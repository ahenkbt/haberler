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kvim" sheetId="1" r:id="rId4"/>
    <sheet state="visible" name="Hedef Liste" sheetId="2" r:id="rId5"/>
    <sheet state="visible" name="özet" sheetId="3" r:id="rId6"/>
    <sheet state="visible" name="Import" sheetId="4" r:id="rId7"/>
    <sheet state="visible" name="Durum Parametreler" sheetId="5" r:id="rId8"/>
  </sheets>
  <definedNames>
    <definedName hidden="1" localSheetId="1" name="_xlnm._FilterDatabase">'Hedef Liste'!$A$1:$AQ$753</definedName>
    <definedName hidden="1" localSheetId="3" name="_xlnm._FilterDatabase">Import!$A$1:$Q$883</definedName>
    <definedName hidden="1" localSheetId="1" name="Z_2EAE423D_DE9C_4790_A0E6_CB2918CA23D7_.wvu.FilterData">'Hedef Liste'!$A$1:$AC$443</definedName>
    <definedName hidden="1" localSheetId="1" name="Z_1CCD2F15_6E18_4F7D_A064_8A6ACF3FDDBE_.wvu.FilterData">'Hedef Liste'!$A$1:$AO$662</definedName>
    <definedName hidden="1" localSheetId="1" name="Z_9A4B629D_8067_4176_96A8_FAF8D5A9B11B_.wvu.FilterData">'Hedef Liste'!$Q$1:$Q$662</definedName>
    <definedName hidden="1" localSheetId="1" name="Z_A6B772E7_2377_429E_A110_68FE568C352A_.wvu.FilterData">'Hedef Liste'!$V$1:$V$692</definedName>
    <definedName hidden="1" localSheetId="1" name="Z_52EA133F_B242_4E98_9F15_8DE89FBBB58F_.wvu.FilterData">'Hedef Liste'!$A$1:$AO$581</definedName>
    <definedName hidden="1" localSheetId="1" name="Z_CA6CD8D7_D9B4_4340_AD39_A8B568BBE7B9_.wvu.FilterData">'Hedef Liste'!$AA$212:$AN$218</definedName>
    <definedName hidden="1" localSheetId="1" name="Z_35EC112A_1CC8_4FB5_838A_B018EC4B42BB_.wvu.FilterData">'Hedef Liste'!$W$199:$W$200</definedName>
    <definedName hidden="1" localSheetId="1" name="Z_612636F0_4676_427D_8732_221D9A45513A_.wvu.FilterData">'Hedef Liste'!$Q$1:$Q$662</definedName>
    <definedName hidden="1" localSheetId="1" name="Z_5AC7C3BA_C45A_43B0_9CD1_E7A8C60551D9_.wvu.FilterData">'Hedef Liste'!$R$1:$R$680</definedName>
    <definedName hidden="1" localSheetId="1" name="Z_3551CA1F_B264_4A2E_BDC6_D6D4783EFDE9_.wvu.FilterData">'Hedef Liste'!$A$1:$AO$662</definedName>
    <definedName hidden="1" localSheetId="1" name="Z_C63410FD_B602_47ED_9DEF_A42C83555846_.wvu.FilterData">'Hedef Liste'!$A$1:$AJ$398</definedName>
    <definedName hidden="1" localSheetId="1" name="Z_AA9C43BC_081D_487B_994F_FAF2A751A64C_.wvu.FilterData">'Hedef Liste'!$W$199</definedName>
    <definedName hidden="1" localSheetId="1" name="Z_F011F8D1_FEA7_4AB3_82FE_7C477A285697_.wvu.FilterData">'Hedef Liste'!$A$1:$AC$568</definedName>
    <definedName hidden="1" localSheetId="1" name="Z_93AFAB44_098B_4B63_95D7_EF7DCE709397_.wvu.FilterData">'Hedef Liste'!$A$1:$AJ$443</definedName>
    <definedName hidden="1" localSheetId="1" name="Z_5ED80FDD_78B5_4946_B281_5E9323D5D2B0_.wvu.FilterData">'Hedef Liste'!$A$1:$AC$450</definedName>
    <definedName hidden="1" localSheetId="1" name="Z_26AAF745_FD25_413E_88C3_358E212949C2_.wvu.FilterData">'Hedef Liste'!$A$1:$AC$450</definedName>
    <definedName hidden="1" localSheetId="1" name="Z_8F3DB152_E524_4F4F_A4A7_D1EED478CDD2_.wvu.FilterData">'Hedef Liste'!$AF$615</definedName>
    <definedName hidden="1" localSheetId="1" name="Z_6F4C6914_5A30_4B6A_A7C9_5BDA2A1D7638_.wvu.FilterData">'Hedef Liste'!$A$1:$AC$450</definedName>
    <definedName hidden="1" localSheetId="1" name="Z_596477FD_10AC_4A70_B968_3E72A9795E4D_.wvu.FilterData">'Hedef Liste'!$V$1:$V$662</definedName>
    <definedName hidden="1" localSheetId="1" name="Z_4B3212FB_6CE1_4241_9087_6BF6F539DA0D_.wvu.FilterData">'Hedef Liste'!$AF$1:$AF$718</definedName>
    <definedName hidden="1" localSheetId="1" name="Z_9C12345D_ECC2_41D0_B0F0_FE03BC2E6BE4_.wvu.FilterData">'Hedef Liste'!$A$1:$AC$450</definedName>
    <definedName hidden="1" localSheetId="1" name="Z_4EBA9641_897B_489C_B27F_7FEC0DDA7E9D_.wvu.FilterData">'Hedef Liste'!$A$1:$AO$662</definedName>
    <definedName hidden="1" localSheetId="1" name="Z_9BC268AF_8BBA_4758_A9E4_A5C79EAB7ED2_.wvu.FilterData">'Hedef Liste'!$A$1:$AA$131</definedName>
    <definedName hidden="1" localSheetId="1" name="Z_A4A1D1FE_8B8E_40A6_9EE0_FE1B8C3E66B5_.wvu.FilterData">'Hedef Liste'!$W$199</definedName>
    <definedName hidden="1" localSheetId="1" name="Z_3F6365B8_D4EE_4A0A_A8F0_AF160B99B81E_.wvu.FilterData">'Hedef Liste'!$W$519:$Y$520</definedName>
    <definedName hidden="1" localSheetId="1" name="Z_4FA0CA2B_F425_4B35_9746_FD8AC5638882_.wvu.FilterData">'Hedef Liste'!$AK$637:$AL$639</definedName>
    <definedName hidden="1" localSheetId="1" name="Z_AB209013_9DDE_4CB9_96BF_B305167B0807_.wvu.FilterData">'Hedef Liste'!$A$1:$AC$450</definedName>
    <definedName hidden="1" localSheetId="1" name="Z_5A929F51_9AA4_4865_8312_231726F1BA72_.wvu.FilterData">'Hedef Liste'!$A$1:$AC$450</definedName>
    <definedName hidden="1" localSheetId="1" name="Z_77864600_9F3D_43DB_8192_5A16958EF381_.wvu.FilterData">'Hedef Liste'!$W$519:$W$520</definedName>
    <definedName hidden="1" localSheetId="1" name="Z_8FE984A8_5EA3_4A96_9E32_2A1360934C18_.wvu.FilterData">'Hedef Liste'!$A$1:$AC$450</definedName>
    <definedName hidden="1" localSheetId="1" name="Z_76163E85_F98A_4AED_8439_E0675A5264FA_.wvu.FilterData">'Hedef Liste'!$Y$551</definedName>
    <definedName hidden="1" localSheetId="1" name="Z_1445159B_E213_48F7_ABCE_42FF68ABA72F_.wvu.FilterData">'Hedef Liste'!$A$1:$AC$450</definedName>
    <definedName hidden="1" localSheetId="1" name="Z_80B014F7_9016_49D6_A5FA_A7AA13E24A38_.wvu.FilterData">'Hedef Liste'!$A$1:$AO$634</definedName>
  </definedNames>
  <calcPr/>
  <customWorkbookViews>
    <customWorkbookView activeSheetId="0" maximized="1" windowHeight="0" windowWidth="0" guid="{76163E85-F98A-4AED-8439-E0675A5264FA}" name="Filtre 30"/>
    <customWorkbookView activeSheetId="0" maximized="1" windowHeight="0" windowWidth="0" guid="{9BC268AF-8BBA-4758-A9E4-A5C79EAB7ED2}" name="Filtre 1"/>
    <customWorkbookView activeSheetId="0" maximized="1" windowHeight="0" windowWidth="0" guid="{596477FD-10AC-4A70-B968-3E72A9795E4D}" name="Filtre 29"/>
    <customWorkbookView activeSheetId="0" maximized="1" windowHeight="0" windowWidth="0" guid="{26AAF745-FD25-413E-88C3-358E212949C2}" name="Filtre 5"/>
    <customWorkbookView activeSheetId="0" maximized="1" windowHeight="0" windowWidth="0" guid="{CA6CD8D7-D9B4-4340-AD39-A8B568BBE7B9}" name="Filtre 28"/>
    <customWorkbookView activeSheetId="0" maximized="1" windowHeight="0" windowWidth="0" guid="{C63410FD-B602-47ED-9DEF-A42C83555846}" name="Filtre 4"/>
    <customWorkbookView activeSheetId="0" maximized="1" windowHeight="0" windowWidth="0" guid="{93AFAB44-098B-4B63-95D7-EF7DCE709397}" name="Filtre 3"/>
    <customWorkbookView activeSheetId="0" maximized="1" windowHeight="0" windowWidth="0" guid="{52EA133F-B242-4E98-9F15-8DE89FBBB58F}" name="Filtre 2"/>
    <customWorkbookView activeSheetId="0" maximized="1" windowHeight="0" windowWidth="0" guid="{5A929F51-9AA4-4865-8312-231726F1BA72}" name="Filtre 9"/>
    <customWorkbookView activeSheetId="0" maximized="1" windowHeight="0" windowWidth="0" guid="{AB209013-9DDE-4CB9-96BF-B305167B0807}" name="Filtre 8"/>
    <customWorkbookView activeSheetId="0" maximized="1" windowHeight="0" windowWidth="0" guid="{8FE984A8-5EA3-4A96-9E32-2A1360934C18}" name="Filtre 7"/>
    <customWorkbookView activeSheetId="0" maximized="1" windowHeight="0" windowWidth="0" guid="{2EAE423D-DE9C-4790-A0E6-CB2918CA23D7}" name="Filtre 6"/>
    <customWorkbookView activeSheetId="0" maximized="1" windowHeight="0" windowWidth="0" guid="{4FA0CA2B-F425-4B35-9746-FD8AC5638882}" name="Filtre 21"/>
    <customWorkbookView activeSheetId="0" maximized="1" windowHeight="0" windowWidth="0" guid="{3F6365B8-D4EE-4A0A-A8F0-AF160B99B81E}" name="Filtre 20"/>
    <customWorkbookView activeSheetId="0" maximized="1" windowHeight="0" windowWidth="0" guid="{612636F0-4676-427D-8732-221D9A45513A}" name="Filtre 23"/>
    <customWorkbookView activeSheetId="0" maximized="1" windowHeight="0" windowWidth="0" guid="{9A4B629D-8067-4176-96A8-FAF8D5A9B11B}" name="Filtre 22"/>
    <customWorkbookView activeSheetId="0" maximized="1" windowHeight="0" windowWidth="0" guid="{4EBA9641-897B-489C-B27F-7FEC0DDA7E9D}" name="Filtre 25"/>
    <customWorkbookView activeSheetId="0" maximized="1" windowHeight="0" windowWidth="0" guid="{3551CA1F-B264-4A2E-BDC6-D6D4783EFDE9}" name="Filtre 24"/>
    <customWorkbookView activeSheetId="0" maximized="1" windowHeight="0" windowWidth="0" guid="{8F3DB152-E524-4F4F-A4A7-D1EED478CDD2}" name="Filtre 27"/>
    <customWorkbookView activeSheetId="0" maximized="1" windowHeight="0" windowWidth="0" guid="{1CCD2F15-6E18-4F7D-A064-8A6ACF3FDDBE}" name="Filtre 26"/>
    <customWorkbookView activeSheetId="0" maximized="1" windowHeight="0" windowWidth="0" guid="{77864600-9F3D-43DB-8192-5A16958EF381}" name="Filtre 18"/>
    <customWorkbookView activeSheetId="0" maximized="1" windowHeight="0" windowWidth="0" guid="{A4A1D1FE-8B8E-40A6-9EE0-FE1B8C3E66B5}" name="Filtre 17"/>
    <customWorkbookView activeSheetId="0" maximized="1" windowHeight="0" windowWidth="0" guid="{80B014F7-9016-49D6-A5FA-A7AA13E24A38}" name="Filtre 19"/>
    <customWorkbookView activeSheetId="0" maximized="1" windowHeight="0" windowWidth="0" guid="{6F4C6914-5A30-4B6A-A7C9-5BDA2A1D7638}" name="Filtre 10"/>
    <customWorkbookView activeSheetId="0" maximized="1" windowHeight="0" windowWidth="0" guid="{A6B772E7-2377-429E-A110-68FE568C352A}" name="Filtre 32"/>
    <customWorkbookView activeSheetId="0" maximized="1" windowHeight="0" windowWidth="0" guid="{5AC7C3BA-C45A-43B0-9CD1-E7A8C60551D9}" name="Filtre 31"/>
    <customWorkbookView activeSheetId="0" maximized="1" windowHeight="0" windowWidth="0" guid="{9C12345D-ECC2-41D0-B0F0-FE03BC2E6BE4}" name="Filtre 12"/>
    <customWorkbookView activeSheetId="0" maximized="1" windowHeight="0" windowWidth="0" guid="{1445159B-E213-48F7-ABCE-42FF68ABA72F}" name="Filtre 11"/>
    <customWorkbookView activeSheetId="0" maximized="1" windowHeight="0" windowWidth="0" guid="{4B3212FB-6CE1-4241-9087-6BF6F539DA0D}" name="Filtre 33"/>
    <customWorkbookView activeSheetId="0" maximized="1" windowHeight="0" windowWidth="0" guid="{F011F8D1-FEA7-4AB3-82FE-7C477A285697}" name="Filtre 14"/>
    <customWorkbookView activeSheetId="0" maximized="1" windowHeight="0" windowWidth="0" guid="{5ED80FDD-78B5-4946-B281-5E9323D5D2B0}" name="Filtre 13"/>
    <customWorkbookView activeSheetId="0" maximized="1" windowHeight="0" windowWidth="0" guid="{35EC112A-1CC8-4FB5-838A-B018EC4B42BB}" name="Filtre 16"/>
    <customWorkbookView activeSheetId="0" maximized="1" windowHeight="0" windowWidth="0" guid="{AA9C43BC-081D-487B-994F-FAF2A751A64C}" name="Filtre 15"/>
  </customWorkbookViews>
  <pivotCaches>
    <pivotCache cacheId="0" r:id="rId9"/>
  </pivotCaches>
</workbook>
</file>

<file path=xl/sharedStrings.xml><?xml version="1.0" encoding="utf-8"?>
<sst xmlns="http://schemas.openxmlformats.org/spreadsheetml/2006/main" count="23548" uniqueCount="5439">
  <si>
    <t>TARİH</t>
  </si>
  <si>
    <t>Randevu
Alan</t>
  </si>
  <si>
    <t>ID</t>
  </si>
  <si>
    <t>RESTORAN</t>
  </si>
  <si>
    <t>SAAT</t>
  </si>
  <si>
    <t>İLÇE / MAHALLE</t>
  </si>
  <si>
    <t>YETKİLİ KİŞİ / TELEFON</t>
  </si>
  <si>
    <t>ADRES</t>
  </si>
  <si>
    <t>Notlar</t>
  </si>
  <si>
    <t>Fotoğraf Adeti</t>
  </si>
  <si>
    <t>Toplam ürün</t>
  </si>
  <si>
    <t>Şubeli</t>
  </si>
  <si>
    <t>İptal</t>
  </si>
  <si>
    <t>Altuğ</t>
  </si>
  <si>
    <t>5f723b068cdcec6cea6fb0f8</t>
  </si>
  <si>
    <t>Çiğ Köfteci Sait, Tepebaşı (Yenibağlar Mah.)</t>
  </si>
  <si>
    <t>11:00</t>
  </si>
  <si>
    <t>Tepebaşı / Yenibağlar</t>
  </si>
  <si>
    <t>İbrahim / 5308302580</t>
  </si>
  <si>
    <t>Yenibağlar mah.Sapanca sok. no16/b</t>
  </si>
  <si>
    <t>5f33c6e6572e4c8d5bc3e1df</t>
  </si>
  <si>
    <t>Always Tantuni Coffee Food, Tepebaşı (Yenibağlar Mah.)</t>
  </si>
  <si>
    <t>Nurşen / 5334575856</t>
  </si>
  <si>
    <t>Yenibağlar, No:63, Şimşek Sk. No:63, 26170 Tepebaşı</t>
  </si>
  <si>
    <t>5fd3e01912cbf37cc3e51a9a</t>
  </si>
  <si>
    <t>Munchies Cookies, Tepebaşı (Işıklar Mah.)</t>
  </si>
  <si>
    <t>Ahmet / 5362058266</t>
  </si>
  <si>
    <t>YENİBAĞLAR MAH. GÜN SK. NO: 20 B TEPEBAŞI/ ESKİŞEHİR</t>
  </si>
  <si>
    <t>600632a626a65ac94432c35f</t>
  </si>
  <si>
    <t>Queen Waffle, Tepebaşı (Yenibağlar mah.)</t>
  </si>
  <si>
    <t>18:00</t>
  </si>
  <si>
    <t>Emir</t>
  </si>
  <si>
    <t>5f75a57096c8ed304936c0a2</t>
  </si>
  <si>
    <t>Black &amp; Red Fried Chicken, Tepebaşı (Eskibağlar Mah.)</t>
  </si>
  <si>
    <t>10:00</t>
  </si>
  <si>
    <t>Tepebaşı / Eskibağlar</t>
  </si>
  <si>
    <t>Ayça / 5454202646</t>
  </si>
  <si>
    <t>Eskibağlar Mah . Balkan Cad. No:71/A Tepebaşı/Eskişehir</t>
  </si>
  <si>
    <t>5ffb7551e348f63a5fa2656b</t>
  </si>
  <si>
    <t>Miss Pilav &amp; Yemek, Tepebaşı (Yenibağlar Mah.)</t>
  </si>
  <si>
    <t>Hümmet / 5534194645</t>
  </si>
  <si>
    <t>Yenibağlar Mah. Üniversite Cad. No:150/B Tepebaşı/ Eskişehir</t>
  </si>
  <si>
    <t>5f33be106b1e0fee8df39e5f</t>
  </si>
  <si>
    <t>Bucks Burger, Tepebaşı (Eskibağlar Mah.)</t>
  </si>
  <si>
    <t xml:space="preserve">Kaan / 5308445526 </t>
  </si>
  <si>
    <t>Eskibağlar, Oğuz Sk. No 6 A, 26170 Tepebaşı/Eskişehir</t>
  </si>
  <si>
    <t>Melika</t>
  </si>
  <si>
    <t>5f6e9c2e32054a515c428e57</t>
  </si>
  <si>
    <t>Arasta Döner, Tepebaşı (Yenibağlar Mah.)</t>
  </si>
  <si>
    <t>İbrahim / 2222050315</t>
  </si>
  <si>
    <t>Yenibağlar, Sapanca Sk., 26170 Tepebaşı/Eskişehir</t>
  </si>
  <si>
    <t>5fcb1b98a28082395ebedef2</t>
  </si>
  <si>
    <t>Kütük Cafe, Tepebaşı (Eskibağlar Mah.)</t>
  </si>
  <si>
    <t>Tepebaşı / Güllük</t>
  </si>
  <si>
    <t>Safiye /  5073695868</t>
  </si>
  <si>
    <t>Eskibağlar mah. Talat Paşa sok. No:49 A D:9 Tepebaşı / Eskişehir</t>
  </si>
  <si>
    <t>5f7b1a02ec14c4d9cd0273f8</t>
  </si>
  <si>
    <t>Adanalı Dürümcü Soner Usta, Cumhuriye</t>
  </si>
  <si>
    <t>Soner / 2222212601</t>
  </si>
  <si>
    <t>Cumhuriye mah. Zübeyde Hanım Cad. No: 4/A Tepebaşı/Eskişehir</t>
  </si>
  <si>
    <t>Sonya &amp; 
Sofya</t>
  </si>
  <si>
    <t>5ff45aae87a63b19b533eb59</t>
  </si>
  <si>
    <t>Turuncu Tantuni, Tepebaşı (Eskibağlar Mah.)</t>
  </si>
  <si>
    <t>İsmet / 2223230565</t>
  </si>
  <si>
    <t>Eskibağlar, Yılmaz Büyükerşen Blv No:58 D:B, 26170 Tepebaşı/Eskişehir</t>
  </si>
  <si>
    <t>5ff7c4d93c3b6e5099616461</t>
  </si>
  <si>
    <t>% Yüz Tantuni, Tepebaşı (Hacı Seyit Mah.)</t>
  </si>
  <si>
    <t>Odunpazar / Kurtuluş</t>
  </si>
  <si>
    <t>Cemil / 2222320100</t>
  </si>
  <si>
    <t>KURTULUŞ MAH/SEMT ZİYA PAŞA CAD. NO: 77 B ODUNPAZARI/ ESKİŞEHİR</t>
  </si>
  <si>
    <t>5f315566b9e5e1dd64db6114</t>
  </si>
  <si>
    <t>Ali Baba Tantuni (Vişnelik Mah.)</t>
  </si>
  <si>
    <t>Odunpazarı/Vişnelik</t>
  </si>
  <si>
    <t>Metin / 2222255303</t>
  </si>
  <si>
    <t>Vişnelik, Öğretmenler Blv No:8, 26020 Odunpazarı/Eskişehir</t>
  </si>
  <si>
    <t>Bir daha çekim randevusu alınmayacak</t>
  </si>
  <si>
    <t>5f3322c003a8187cc9924036</t>
  </si>
  <si>
    <t>Eskişehir Çibörek Evi, Odunpazarı (Akarbaşı Mah.)</t>
  </si>
  <si>
    <t>Odunpazarı / Akarbaşı</t>
  </si>
  <si>
    <t>AYHAN/ / 2222331616</t>
  </si>
  <si>
    <t>Arifiye Mahallesi Mustafa Kemal Atatürk Caddesi No: 38 B Odunpazarı / Eskişehir</t>
  </si>
  <si>
    <t>5f33c747c1598600399196f3</t>
  </si>
  <si>
    <t>Bi Dana Döner, Tepebaşı (Yenibağlar Mah.)</t>
  </si>
  <si>
    <t>ÖMER / 2223250036</t>
  </si>
  <si>
    <t>Prof. Dr. Yılmaz Büyükerşen Blv., No:48, Tepebaşı, Eskişehir, Türkiye</t>
  </si>
  <si>
    <t>5f3335c503a8180e1d92403b</t>
  </si>
  <si>
    <t>Köfteci Ali, Hoşnudiye</t>
  </si>
  <si>
    <t>Tepebaşı / Hoşnudiye</t>
  </si>
  <si>
    <t>İbrahim / 530 229 14 14</t>
  </si>
  <si>
    <t>Hoşnudiye Mah., İstasyon Cad., No:45A, Tepebaşı, Eskişehir</t>
  </si>
  <si>
    <t>5f67f7192702e9083fb20a37</t>
  </si>
  <si>
    <t>Adıyaman Çiğ Köfte Murat Usta, Tepebaşı (Cumhuriye Mah.)</t>
  </si>
  <si>
    <t>Tepebaşı / Ömerağa</t>
  </si>
  <si>
    <t>Mehmet / 5337761568</t>
  </si>
  <si>
    <t>Cumhuriye mah. Zübeyde Hanım Cad. No: 26/A Tepebaşı/Eskişehir</t>
  </si>
  <si>
    <t>5fa5f00566a584ab34fdd59a</t>
  </si>
  <si>
    <t>Adıyaman Çiğ Köftecisi, Odunpazarı (Ihlamurkent Mah.)</t>
  </si>
  <si>
    <t>16:00</t>
  </si>
  <si>
    <t>Odunpazar/Ihlamurkent</t>
  </si>
  <si>
    <t>Serhat / 5412208287</t>
  </si>
  <si>
    <t>Ihlamurkent Mah. Nevruz cad. No:42/EB Odunpazarı/Eskişehir</t>
  </si>
  <si>
    <t>5f35ada4d64681eb3bfeb406</t>
  </si>
  <si>
    <t>Adıyaman Çiğköftecisi İlyas Aybak, Odunpazarı (Emek Mah.)</t>
  </si>
  <si>
    <t>12:30</t>
  </si>
  <si>
    <t>Odunpazar/EMEK</t>
  </si>
  <si>
    <t>Hakan 5438920626</t>
  </si>
  <si>
    <t>Emek, Ertaş Blv. No:111, 26080 Odunpazarı/Eskişehir</t>
  </si>
  <si>
    <t>5fa48b1c857e1a6acc2ad71a</t>
  </si>
  <si>
    <t>Ka-Pi-Ku, Tepebaşı (Eskibağlar Mah.)</t>
  </si>
  <si>
    <t>13:00</t>
  </si>
  <si>
    <t>Suat / 5433429699</t>
  </si>
  <si>
    <t>Eskibağlar, Zübeyde Hanım Blv 3/b, 26000 Tepebaşı/Eskişehir</t>
  </si>
  <si>
    <t>5f2c37946dc562e66bda26c4</t>
  </si>
  <si>
    <t>Gaziantepli Ünvermiş Baklavacı (Vişnelik Mah.)</t>
  </si>
  <si>
    <t>AHMET / 5465485545</t>
  </si>
  <si>
    <t>VİŞNELİK MAHALLESİ ATATÜRK BULVARI NO:106/C ODUNPAZARI ESKİŞEHİR</t>
  </si>
  <si>
    <t>5f843da6a09b8c73a6a1b1df</t>
  </si>
  <si>
    <t>Şimendifer, Odunpazarı (Deliklitaş Mah.)</t>
  </si>
  <si>
    <t>Odunpazar / Deliklitaş</t>
  </si>
  <si>
    <t>Görkem / 5385651648</t>
  </si>
  <si>
    <t>Deliklitaş mah.Kafadar sok. No:13 /A Odunpazarı/Eskişehir</t>
  </si>
  <si>
    <t>5fbd42e09f34a7c2965d49a8</t>
  </si>
  <si>
    <t>Döner House, Odunpazarı (Arifiye Mah.)</t>
  </si>
  <si>
    <t>11:30</t>
  </si>
  <si>
    <t>AZİME / 2224057071</t>
  </si>
  <si>
    <t>Cenazesi var başka haftaya alınacak</t>
  </si>
  <si>
    <t>5f7f1fdeace10e2902a593cc</t>
  </si>
  <si>
    <t>S.O.S. Tepebaşı (Hoşnudiye Mah.)</t>
  </si>
  <si>
    <t>VOLKAN / 5424991597</t>
  </si>
  <si>
    <t>Hoşnudiye Mah. Vural Sok. No:70/c Odunpazarı/Eskişehir</t>
  </si>
  <si>
    <t>Çekim istemiyor, kara liste</t>
  </si>
  <si>
    <t>5fc41798a0a4b1c513dab54f</t>
  </si>
  <si>
    <t>Urfa Lahmacun, Tepebaşı (Eskibağlar Mah. )</t>
  </si>
  <si>
    <t>Salih / 2225025050</t>
  </si>
  <si>
    <t>Eskibağlar Mah. Hatboyu Cad. No: 3 A Tepebaşı Eskişehir</t>
  </si>
  <si>
    <t>5fda1747fa50118ee74ae8d8</t>
  </si>
  <si>
    <t>Anadolu Kelle, Tepebaşı (İhsaniye Mah.)</t>
  </si>
  <si>
    <t>Tepebaşı/ Mustafa Kemal Paşa</t>
  </si>
  <si>
    <t>Timur / 5359291428</t>
  </si>
  <si>
    <t>İhsaniye Mah Sivrihisar 1 Cad. No:21 A Tepebaşı/Eskişehir</t>
  </si>
  <si>
    <t>5f7d78b1ace10e7fbba5759b</t>
  </si>
  <si>
    <t>Arya Mantı &amp; Çibörek, Odunpazarı (Paşa Mah.)</t>
  </si>
  <si>
    <t>Odunpazarı        Paşa</t>
  </si>
  <si>
    <t>Nermin / 5458176074</t>
  </si>
  <si>
    <t>Paşa Mah. Beyler Sok. No:3 Odunpazarı/Eskişehir</t>
  </si>
  <si>
    <t>6000b321e2d9e0f79e046416</t>
  </si>
  <si>
    <t>Maryo Kokoreç &amp; Çorba, Tepebaşı (Şirintepe Mah.)</t>
  </si>
  <si>
    <t>15:30</t>
  </si>
  <si>
    <t>Tepebaşı	/ Şirintepe</t>
  </si>
  <si>
    <t>Emre / 5337134612</t>
  </si>
  <si>
    <t>Şirintepe Mah. İsmet İnönü 2 Cad. No:88 Tepebaşı/ Eskişehir</t>
  </si>
  <si>
    <t>5fda8c79fa5011bcf74af1d5</t>
  </si>
  <si>
    <t>Fabrique Fast Food, Tepebaşı ( Hoşnudiye Mah.)</t>
  </si>
  <si>
    <t>10:30</t>
  </si>
  <si>
    <t>Gamze /5352489933</t>
  </si>
  <si>
    <t>Hoşnudiye Mah. Bayramyeri Sok. No:4 A Tepebaşı / Eskişehir</t>
  </si>
  <si>
    <t>5f7f1b83449e31366ff0704b</t>
  </si>
  <si>
    <t>VF Waffle, Hoşnudiye</t>
  </si>
  <si>
    <t>VELİ / 5444861164</t>
  </si>
  <si>
    <t>Hoşnudiye Mah. Vural Sok. No:70/B Odunpazarı/Eskişehir</t>
  </si>
  <si>
    <t>5fa339d062bd7c92d88b14ca</t>
  </si>
  <si>
    <t>Adıyamanlı Çiğ Köfteci Kemal Usta, Akarbaşı</t>
  </si>
  <si>
    <t>Odunpazarı / Vişnelik</t>
  </si>
  <si>
    <t>Burak / 2222258515</t>
  </si>
  <si>
    <t>Akarbaşı Mah. Emeksiz Sok . No :2 Odunpazarı / Eskişehir</t>
  </si>
  <si>
    <t>5f9163c46d45726d4a85fe33</t>
  </si>
  <si>
    <t>Sucuk Evi Cerrah Tostu Canlar, Tepebaşı (Güllük Mah.)</t>
  </si>
  <si>
    <t>Tepebaşı/ Bahçelievler</t>
  </si>
  <si>
    <t>Saadet / 5394822214</t>
  </si>
  <si>
    <t>Güllük Mh. Balkan cad. no:13 /a Tepebaşı/Eskişehir</t>
  </si>
  <si>
    <t>5fa1249c59fb3f445202116e</t>
  </si>
  <si>
    <t>Antepeli Pide &amp; Kebap Sedat Usta, Tepebaşı (Şirintepe Mah.)</t>
  </si>
  <si>
    <t>Tepebaşı	Şirintepe</t>
  </si>
  <si>
    <t>Meryem / 2223100273</t>
  </si>
  <si>
    <t>Şirintepe Mah Örme sok. no:138/ B Tepebaşı/Eskişehir</t>
  </si>
  <si>
    <t>5fe0f74e20df6e2cafc1ab0b</t>
  </si>
  <si>
    <t>Seda Çiğ Börek, Tepebaşı (Hoşnudiye Mah.)</t>
  </si>
  <si>
    <t>İsmail / 2222335152</t>
  </si>
  <si>
    <t>Hoşnudiye Mah. İstasyon Cad. No: 37 / A Tepebaşı / Eskişehir</t>
  </si>
  <si>
    <t>5fa8973f16241d27ea9aaf48</t>
  </si>
  <si>
    <t>Gym Food, Tepebaşı (Bahçelievler Mah.)</t>
  </si>
  <si>
    <t>AYÇA / 5454202646</t>
  </si>
  <si>
    <t>5f3517c5f86cbfd09410dec6</t>
  </si>
  <si>
    <t>Adanalı Bekir Usta, Tepebaşı (Hoşnudiye Mah.)</t>
  </si>
  <si>
    <t>Keziban / 2222215047</t>
  </si>
  <si>
    <t>Hoşnudiye, 36, Vural Sk., 26130 Tepebaşı/Eskişehir</t>
  </si>
  <si>
    <t>5f67d9567dbb7e1efbe50682</t>
  </si>
  <si>
    <t>Bol Çeşit Soğuk Sandviç, Tepebaşı (Hoşnudiye Mah.)</t>
  </si>
  <si>
    <t>Yusuf / 5069633604</t>
  </si>
  <si>
    <t>Hoşnudiye Mh. Tacin Sk. No:5/B</t>
  </si>
  <si>
    <t>6000b0aedef388c843e0d2c3</t>
  </si>
  <si>
    <t>Angry Grilled Chicken, Tepebaşı (Şirintepe Mah.)</t>
  </si>
  <si>
    <t>Şirintepe Mah. İsmet İnönü 2 Cad. No: 88 Tepebaşı/ Eskişehir</t>
  </si>
  <si>
    <t>5ff4eeb2345867223347bf70</t>
  </si>
  <si>
    <t>Antepli Mustafa'nın Yeri Pide &amp; Kebap, Odunpazarı (Emek Mah.)</t>
  </si>
  <si>
    <t>Odunpazarı/Emek</t>
  </si>
  <si>
    <t>Mustafa / 2222170027</t>
  </si>
  <si>
    <t>EMEK MAH. ERTAŞ CAD. NO: 216 A ODUNPAZARI/ ESKİŞEHİR</t>
  </si>
  <si>
    <t>6000a52b3cc99f6941cdc20a</t>
  </si>
  <si>
    <t>Line Art Cafe, Tepebaşı (Hoşnudiye Mah.)</t>
  </si>
  <si>
    <t>Esra / 5333105600</t>
  </si>
  <si>
    <t>Hoşnudiye Mah. Başak Sok. No:9 B Tepebaşı / Eskişehir</t>
  </si>
  <si>
    <t>5f8da567f3a26130e817135f</t>
  </si>
  <si>
    <t>Liman Pide &amp; Kebap, Tepebaşı (Batıkent Mah.)</t>
  </si>
  <si>
    <t>Tepebaşı	/Batıkent</t>
  </si>
  <si>
    <t>Mesut / 5399355921</t>
  </si>
  <si>
    <t>Batıkent mah . Liman cad. no:14 /d tepebaşı/eskişehir</t>
  </si>
  <si>
    <t>5fdbbb335e70c3db4a8a3baa</t>
  </si>
  <si>
    <t>Gar Kokoreç &amp; Köfte Izgara Salonu,Tepebaşı (Hoşnudiye Mah.)</t>
  </si>
  <si>
    <t>13:30</t>
  </si>
  <si>
    <t>Ahmet / 2222200221</t>
  </si>
  <si>
    <t>Hoşnudiye Mah. İstasyon Cad. No:15/C Tepebaşı / Eskişehir</t>
  </si>
  <si>
    <t>5f33855073c35d702ce6f2f7</t>
  </si>
  <si>
    <t>İzmirli Kumrucum, Tepebaşı (Şirintepe Mah.)</t>
  </si>
  <si>
    <t>Tepebaşı	/Şirintepe</t>
  </si>
  <si>
    <t>Tolga / 2223353516</t>
  </si>
  <si>
    <t>Şirintepe Mah, İsmet İnönü-2 Blv No:60, 26000 Tepebaşı/Eskişehir</t>
  </si>
  <si>
    <t>5fd540c09d557c8210648ece</t>
  </si>
  <si>
    <t>Amcabey Künefe, Odunpazarı (Vişnelik Mah.)</t>
  </si>
  <si>
    <t>İskender / 2222241957</t>
  </si>
  <si>
    <t>Vişnelik Mah. Atatürk Blv. No:108/C Odunpazarı/Eskişehir</t>
  </si>
  <si>
    <t>5f974bdf73a8e63ed775ae54</t>
  </si>
  <si>
    <t>Kent Kokoreç &amp; Tantuni, Gültepe</t>
  </si>
  <si>
    <t>16:30</t>
  </si>
  <si>
    <t>Odunpazarı	Gültepe</t>
  </si>
  <si>
    <t>Kamil / 2222390393</t>
  </si>
  <si>
    <t>Yenikent, Şehit Yüzbaşı Tuncer Güngör Cd No:210/A Odunpazarı/Eskişehir</t>
  </si>
  <si>
    <t>5f971faf5995760d22149039</t>
  </si>
  <si>
    <t>Afiyet Köfte, Odunpazarı (Kurtuluş Mah.)</t>
  </si>
  <si>
    <t>Odunpazarı / Kurtuluş</t>
  </si>
  <si>
    <t>Yağmur / 5522889330</t>
  </si>
  <si>
    <t>Kurtuluş Mahallesi, İnal Sk. No: 17/B Odunpazarı/Eskişehir</t>
  </si>
  <si>
    <t>Devir</t>
  </si>
  <si>
    <t>5f906be46d457214fc85eb15</t>
  </si>
  <si>
    <t>Alişke, Tepebaşı (Batıkent Mah.)</t>
  </si>
  <si>
    <t>Ömer / 5369747347</t>
  </si>
  <si>
    <t>Batıkent Mah. Kapukule sok. no:1/D Tepebaşı/Eskişehir</t>
  </si>
  <si>
    <t>5fa133d83a9b1332b52ed168</t>
  </si>
  <si>
    <t>Aytekin Izgara Bekir'in Yeri, Tepebaşı (Şirintepe Mah.)</t>
  </si>
  <si>
    <t>Bekir / 5525189726</t>
  </si>
  <si>
    <t>Şirintepe Mah.Asilzade sok. No: 8/C TEPEBAŞI/ESKİŞEHİR</t>
  </si>
  <si>
    <t>5fc00d54a9c836ce5dadc411</t>
  </si>
  <si>
    <t>Balkan Lokantası &amp; Ev Yemekleri, Tepebaşı (Çamlıca Mah.)</t>
  </si>
  <si>
    <t>Tepebaşı	Çamlıca</t>
  </si>
  <si>
    <t>Enez / 2223400111</t>
  </si>
  <si>
    <t>ÇAMLICA MAH. ULUSAL EGEMENLİK BLV. NO: 68 A TEPEBAŞI/ ESKİŞEHİR</t>
  </si>
  <si>
    <t>5ff473e80e63fe849bcca6b1</t>
  </si>
  <si>
    <t>Adıyamanlı Düdanlı Bey Çiğ Köfte, Odunpazarı (Büyükdere Mah.)</t>
  </si>
  <si>
    <t>Odunpazarı	Büyükdere</t>
  </si>
  <si>
    <t>Semih / 5510612233</t>
  </si>
  <si>
    <t>Büyükdere Mah. Nisan sok. No:29/B Odunpazarı/Eskişehir</t>
  </si>
  <si>
    <t>5f88a696c6107ebfa52e561a</t>
  </si>
  <si>
    <t>Adıyamanlı Çiğ Köfteci Kemal Usta, Bahçelievler</t>
  </si>
  <si>
    <t>Tepebaşı	Bahçelievler</t>
  </si>
  <si>
    <t>Kemal 2222314444</t>
  </si>
  <si>
    <t>Bahçelievler mah. Seylap cad. no:61 /A Tepebaşı/Eskişehir</t>
  </si>
  <si>
    <t>Eleman yok, ertelenecek</t>
  </si>
  <si>
    <t>5fbe936b8e54b86828978f18</t>
  </si>
  <si>
    <t>Roka Nigar Usta, Tepebaşı (Hoşnudiye Mah.)</t>
  </si>
  <si>
    <t>Nigar / 2222212148</t>
  </si>
  <si>
    <t>Hoşnudiye Mah. Vural Sokak No:30 2 Tepebaşı/ Eskişehir</t>
  </si>
  <si>
    <t>Erteleme istedi</t>
  </si>
  <si>
    <t>5ffeb1f0937d1b3899bdcb36</t>
  </si>
  <si>
    <t>Tost Bank, Tepebaşı (Cumhuriye Mah.)</t>
  </si>
  <si>
    <t>Tepebaşı/Cumhuriye</t>
  </si>
  <si>
    <t>Murat / 5342762426</t>
  </si>
  <si>
    <t>Cumhuriye Mah. Dinçer sok. No:4/A Tepebaşı/Eskişehir</t>
  </si>
  <si>
    <t>5ff10569630a768a56ffece3</t>
  </si>
  <si>
    <t>Abdüsselam Balaban Kebap, Odunpazarı ( Arifiye Mah.)</t>
  </si>
  <si>
    <t>Odunpazarı / Arifiye</t>
  </si>
  <si>
    <t>Oğuz / 2222311444</t>
  </si>
  <si>
    <t>Arifiye, Belediye Sk. No:11, 26010 Odunpazarı/Eskişehir</t>
  </si>
  <si>
    <t>5fc02132a9c8366162adc6b3</t>
  </si>
  <si>
    <t>Ateşle Burger, Odunpazarı (Büyükdere Mah.)</t>
  </si>
  <si>
    <t>Serkan / 5526096230</t>
  </si>
  <si>
    <t>BÜYÜKDERE MAH. PROF. DR. NABİ AVCI BLV. TURUNÇ KONUT Y. KP. NO: 39 B ODUNPAZARI/ ESKİŞEHİR</t>
  </si>
  <si>
    <t>Malzemesi yok tekrar randevu alıncak</t>
  </si>
  <si>
    <t>5f345eea6dfa178d81978e1c</t>
  </si>
  <si>
    <t>Kaptan Tantuni, Odunpazarı (Büyükdere Mah.)</t>
  </si>
  <si>
    <t>Hasan / 5526283031</t>
  </si>
  <si>
    <t>Büyükdere, Kezbandere Sk. No:11/A, 26250 Odunpazarı/Eskişehir</t>
  </si>
  <si>
    <t>5fc006f353168062ce64ec53</t>
  </si>
  <si>
    <t>Karakuzu Çorba Kebap Salonu, Odunpazarı (Büyükdere Mah.)</t>
  </si>
  <si>
    <t>Hüseyin 5528801626</t>
  </si>
  <si>
    <t>Büyükdere Mahallesi Dinçay Sokak No: 2/B Odunpazarı Eskişehir</t>
  </si>
  <si>
    <t>5f6e99e6d85f2500c6270484</t>
  </si>
  <si>
    <t>Makarnacım, Tepebaşı (Eskibağlar Mah.)</t>
  </si>
  <si>
    <t>TUĞFAN / 5342260334</t>
  </si>
  <si>
    <t>Eskibağlar mah. Yenilik Sok. No:38 İç Kapı No: 1 Tepebaşı/Eskişehir</t>
  </si>
  <si>
    <t>Tadilatı var, ileri tarihe randevu alınacak</t>
  </si>
  <si>
    <t>5f90760cdea0636ee6ef8936</t>
  </si>
  <si>
    <t>Batı Patiserrie &amp; Bakery, Tepebaşı (Batıkent Mah.)</t>
  </si>
  <si>
    <t>14:00</t>
  </si>
  <si>
    <t>Tepebaşı	Batıkent</t>
  </si>
  <si>
    <t>CEM / 2223151155</t>
  </si>
  <si>
    <t>Batıkent mah. Bağ sok. NO:13/a-c Tepebaşı/Eskişehir</t>
  </si>
  <si>
    <t>5f3517363322a8a481d8bc6b</t>
  </si>
  <si>
    <t>Abur Cubur Pizza, Eskibağlar</t>
  </si>
  <si>
    <t>15.00</t>
  </si>
  <si>
    <t>tepebaşı  / eski bağlar</t>
  </si>
  <si>
    <t>ahmet / 5444632015</t>
  </si>
  <si>
    <t>Eskibağlar, Oğuz Sk. No:6/B, 26020 Eskişehir Merkez/Eskişehir</t>
  </si>
  <si>
    <t>5ff0ecb4f351dc2884680cb5</t>
  </si>
  <si>
    <t>Ada Çibörek, Tepebaşı ( Hoşnudiye Mah.)</t>
  </si>
  <si>
    <t>5428407726 - Kıvanç Engin</t>
  </si>
  <si>
    <t>Hoşnudiye Mh. Sahilyolu Sk. Adalar No:20</t>
  </si>
  <si>
    <t>5f2c1b55c485d64ed1f077cc</t>
  </si>
  <si>
    <t>Adanalı Dürümcü İbrahim Usta, Cumhuriye</t>
  </si>
  <si>
    <t>TEKİN COŞMAN - 5324867178</t>
  </si>
  <si>
    <t>Nizam Mah, Şht. Recep Koç Cd. No:8 D:B-Blok, 34970 Adalar/İstanbul</t>
  </si>
  <si>
    <t>Sipariş geldikçe çekim yapmak istiyor</t>
  </si>
  <si>
    <t>5fc166a39654d91a2c424884</t>
  </si>
  <si>
    <t>Agah Dürüm, Tepebaşı (Eskibağlar Mah.)</t>
  </si>
  <si>
    <t>14:30</t>
  </si>
  <si>
    <t>Tepebaşı	/ Yenibağlar</t>
  </si>
  <si>
    <t>Veysel / 2223229977</t>
  </si>
  <si>
    <t>Eskibağlar Mah.Prof. Dr. Yılmaz Büyükerşen Blv. No: 36 A Tepebaşı / Eskişehir</t>
  </si>
  <si>
    <t>Malzemeler yok</t>
  </si>
  <si>
    <t>5ff226cdf351dc5180682379</t>
  </si>
  <si>
    <t>İsos Döner, Tepebaşı (Yenibağlar Mah.)</t>
  </si>
  <si>
    <t>MEHMET / 2223225050</t>
  </si>
  <si>
    <t>Yenibağlar, Yılmaz Büyükerşen Blv No:126/c, 26170 Tepebaşı/Eskişehir</t>
  </si>
  <si>
    <t>5fe900258d4d712cb6ae6a1e</t>
  </si>
  <si>
    <t>Batıkent Izgara, Tepebaşı (Batıkent Mah.)</t>
  </si>
  <si>
    <t>Ahmet / 2223250000</t>
  </si>
  <si>
    <t>Batıkent, Aysu Halısaha Tesisi İçerisi, Ertürk Sk. No:2, 26180 Tepebaşı/Eskişehir</t>
  </si>
  <si>
    <t>5fa3faa7b82e0e4e9bc6586d</t>
  </si>
  <si>
    <t>Mantı Diyarı, Hoşnudiye</t>
  </si>
  <si>
    <t>LEVENT / 5493150045</t>
  </si>
  <si>
    <t>Hoşnudiye mah. Şahin cd..No.78/D Tepebaşı/Eskişehir</t>
  </si>
  <si>
    <t>5f98b7dc6d45722c0b86556b</t>
  </si>
  <si>
    <t>Karataş Et Mangal, Odunpazarı (Büyükdere Mah.)</t>
  </si>
  <si>
    <t>Melih / 5422200510</t>
  </si>
  <si>
    <t>Büyükdere Mah. Özel Sok. 2/A ODUNPAZARI / ESKİŞEHİR</t>
  </si>
  <si>
    <t>Ertelendi</t>
  </si>
  <si>
    <t>5f86fd8e1cfa98c81f2d6d9f</t>
  </si>
  <si>
    <t>Lona Coffee And More, Tepebaşı (Eskibağlar Mah.)</t>
  </si>
  <si>
    <t>12.00</t>
  </si>
  <si>
    <t>Tepebaşı/ Eskibağlar</t>
  </si>
  <si>
    <t>Eskibağlar mah. Genez sk. no:38 /f Eskişehir/Tepebaşı</t>
  </si>
  <si>
    <t>Hava Muhalefeti Nedeniyle Ertelendi</t>
  </si>
  <si>
    <t>Mertcan</t>
  </si>
  <si>
    <t>5ffbb1a137b18111e1072cae</t>
  </si>
  <si>
    <t>Bozanlı Çorbacısı, Tepebaşı (Hoşnudiye Mah.)</t>
  </si>
  <si>
    <t>11.00</t>
  </si>
  <si>
    <t>Tepebaşı/hoşnudiye</t>
  </si>
  <si>
    <t>Cengizhan/5545722980</t>
  </si>
  <si>
    <t>Hoşnudiye, İstasyon Cd. No:35, 26130 Tepebaşı/Eskişehir</t>
  </si>
  <si>
    <t>5fcff054448da318ed7c656b</t>
  </si>
  <si>
    <t>Aşktır Çıtır,Tepebaşı (Yenibağlar Mah.)</t>
  </si>
  <si>
    <t>Mert Bey / 2225027626</t>
  </si>
  <si>
    <t>Yenibağlar, Sapanca Sk. no:16/26170 Tepebaşı/Eskişehir</t>
  </si>
  <si>
    <t>5f367741e44c7979c6f00131</t>
  </si>
  <si>
    <t>Ateşte Mangal, Tepebaşı (Yenibağlar Mah.)</t>
  </si>
  <si>
    <t>Yenibağlar, Sapanca Sk. no:16/a, 26170 Tepebaşı/Eskişehir</t>
  </si>
  <si>
    <t>5fda1224a908bd46ce7a3fd4</t>
  </si>
  <si>
    <t>Alaturka House,Tepebaşı(Batıkent Mah.)</t>
  </si>
  <si>
    <t>ERCAN ERDOĞAN - 5458720149</t>
  </si>
  <si>
    <t>BATIKENT MAH. KISMETTEPE SK. NO: 10 A TEPEBASI/ ESKISEHIR</t>
  </si>
  <si>
    <t>Cenazesi var, erteleme talep etti</t>
  </si>
  <si>
    <t>600c2627b7dd9332a7869877</t>
  </si>
  <si>
    <t>Dr. Tost, Tepebaşı (Sütlüce Mah.)</t>
  </si>
  <si>
    <t>Tepebaşı / Sütlüce</t>
  </si>
  <si>
    <t>Sütlüce Mah. Uluzafer Cad. No: 67 Tepebaşı/Eskişehir</t>
  </si>
  <si>
    <t>5fac54c0813db13d41c59c37</t>
  </si>
  <si>
    <t>Birsen Kebap &amp; Pide &amp; Yemek, Tepebaşı (Bahçelievler Mah.)</t>
  </si>
  <si>
    <t>13.00</t>
  </si>
  <si>
    <t>Tepebaşı/Bahçelievler</t>
  </si>
  <si>
    <t>Sinan-5325657919</t>
  </si>
  <si>
    <t xml:space="preserve"> Prof. Dr. Orhan Oğuz Cd. No:113, 26120 Tepebaşı/Eskişehir</t>
  </si>
  <si>
    <t>bütün ürünleri çektirmek istemedi</t>
  </si>
  <si>
    <t>5fc043aca9c83671c1adc70d</t>
  </si>
  <si>
    <t>Doruk Kahvaltı, Tepebaşı (Cumhuriye Mah.)</t>
  </si>
  <si>
    <t>Tepebaşı/aşağısöğütönü</t>
  </si>
  <si>
    <t>Aşağı Söğütönü, mh Keskin yolu no 277, 26000 Tepebaşı/Eskişehir</t>
  </si>
  <si>
    <t>Çekim istemiyor</t>
  </si>
  <si>
    <t>5f81d09efb4bf0730f322ab0</t>
  </si>
  <si>
    <t>Çördük Tost, Tepebaşı (Cumhuriye Mah.)</t>
  </si>
  <si>
    <t>16.00</t>
  </si>
  <si>
    <t>Tepebaşı/Cumhuriyet</t>
  </si>
  <si>
    <t>Aykut/5303717105</t>
  </si>
  <si>
    <t>Cumhuriye Mah. Soydaşağa sok .No:6/A Tepebaşı/Eskişehir</t>
  </si>
  <si>
    <t>5ff4f07d0e63fed3acccbb51</t>
  </si>
  <si>
    <t>Aşura Fast Food, Odunpazarı (Büyükdere Mah.)</t>
  </si>
  <si>
    <t>Odunpazarı / Büyükdere</t>
  </si>
  <si>
    <t>Kazi Yeşil Bey / 5330830806</t>
  </si>
  <si>
    <t>5fce36f9a01a687ec6d07ae2</t>
  </si>
  <si>
    <t>Çiğköfteci Erdal Usta, Tepebaşı (Fatih Mah.)</t>
  </si>
  <si>
    <t>Tepebaşı/FAtih</t>
  </si>
  <si>
    <t>erdal / 5071435857</t>
  </si>
  <si>
    <t>Fatih Mah. Prof. Dr. Orhan Oğuz Cad. No: 52 C Tepebaşı/Eskişehir</t>
  </si>
  <si>
    <t>601c92276ec32eda3c3dfb79</t>
  </si>
  <si>
    <t>Damak Tantuni, Odunpazarı (Büyükdere Mah.)</t>
  </si>
  <si>
    <t>Hamit Bey / 5453569103</t>
  </si>
  <si>
    <t>Büyükdere, Millet Cd. No:66 A, 26040 Eskişehir Merkez/Eskişehir</t>
  </si>
  <si>
    <t>5f681303edfda075cec9a81c</t>
  </si>
  <si>
    <t>Berry &amp; Merry Chicken &amp; Rice House (Büyükdere Mah.)</t>
  </si>
  <si>
    <t>Nazan Hanım / 2222392537</t>
  </si>
  <si>
    <t>Büyükdere mah. Kaplanlı cad. 49/B Odunpazarı/Eskişehir</t>
  </si>
  <si>
    <t>5f5bfb833aba1b579c300b49</t>
  </si>
  <si>
    <t>Ala Tost Sandviç, Tepebaşı (Güllük Mah.)</t>
  </si>
  <si>
    <t>Tepebaşı/güllük</t>
  </si>
  <si>
    <t>ÖMER /5324147942</t>
  </si>
  <si>
    <t>Güllük Mah. Çamlıca sok.No:21/B Tepebaşı/Eskişehir</t>
  </si>
  <si>
    <t>5f33c161d2bdd40d79692617</t>
  </si>
  <si>
    <t>Chicken Farm, Tepebaşı (Güllük Mah.)</t>
  </si>
  <si>
    <t>11.30</t>
  </si>
  <si>
    <t>Güllük, Çamlıca Sk. No:21 D:b, 26170 Tepebaşı/Eskişehir</t>
  </si>
  <si>
    <t>5ff4f57a630a764856009865</t>
  </si>
  <si>
    <t>Chef Line Burger, Noodle, Çıtır Chicken, Tepebaşı(Güllük)</t>
  </si>
  <si>
    <t>600035dd3c3b6e05a962ca88</t>
  </si>
  <si>
    <t>Atölye Express Köfte &amp; Izgara, Tepebaşı (Güllük Mah.)</t>
  </si>
  <si>
    <t>10.00</t>
  </si>
  <si>
    <t>Güllük Mah. Çamlıca Sok. No:21/B Tepebaşı/Eskişehir</t>
  </si>
  <si>
    <t>6000314dfd88ae1c376cf95e</t>
  </si>
  <si>
    <t>Ata Cheff Burger &amp; Sandviç &amp; Sosis, Tepebaşı (Güllük Mah.)</t>
  </si>
  <si>
    <t>5f366e47bee2870a30545535</t>
  </si>
  <si>
    <t>Ala-Express Tantuni, Tepebaşı (Güllük Mah.)</t>
  </si>
  <si>
    <t>17.30</t>
  </si>
  <si>
    <t>5fb9dcd9a3cd287a9e5284b6</t>
  </si>
  <si>
    <t>HNF'M, Odunpazarı (Büyükdere Mah.)</t>
  </si>
  <si>
    <t>Mehmet Bey / 5414354940</t>
  </si>
  <si>
    <t>Büyükdere mah. Gençlik Bulvarı cad. B blk. No :4/43 D Odunpazarı/Eskişehir</t>
  </si>
  <si>
    <t>5f328bf1777d7352944147d4</t>
  </si>
  <si>
    <t>Es Alsancak Kumrucusu (Cumhuriye Mah.)</t>
  </si>
  <si>
    <t>5367656805 / murat</t>
  </si>
  <si>
    <t>Cumhuriye, Tersel Sk. No:6, 26130 Tepebaşı/Eskişehir</t>
  </si>
  <si>
    <t>5f6eb80e2946904744c861b4</t>
  </si>
  <si>
    <t>Aşk'ı Ümit Usta Pide &amp; Tantuni &amp; Kebap (Akarbaşı Mah.)</t>
  </si>
  <si>
    <t>Ümit / 5433348960</t>
  </si>
  <si>
    <t>Akarbaşı Mah. Atatürk Blv. No:125 Odunpazarı / Eskişehir</t>
  </si>
  <si>
    <t>Malzemesi bitmiş, erteleme istedi 11:00 de randevu alınsın</t>
  </si>
  <si>
    <t>5ff13609ce622f35acccdd55</t>
  </si>
  <si>
    <t>Dayı'nın Yeri, Tepebaşı(Tunalı Mah.)</t>
  </si>
  <si>
    <t>Tepebaşı/Yenibağlar</t>
  </si>
  <si>
    <t>Fatoş Hanım - 5427300626</t>
  </si>
  <si>
    <t>Tunalı Mah. Pehlivanlar Sok. No:5/A Tepebaşı/Eskişehir</t>
  </si>
  <si>
    <t>5f91fe8f0a199769d259b4de</t>
  </si>
  <si>
    <t>Kahta Çiğ Köfte, Tepebaşı (Yenibağlar Mah.)</t>
  </si>
  <si>
    <t>Yenibağlar mah . Sapanca sok no:16/B Tepebaşı/Eskişehir</t>
  </si>
  <si>
    <t>,,</t>
  </si>
  <si>
    <t>5f2c1f944d07c428ef7a64c7</t>
  </si>
  <si>
    <t>Wanted Saloon &amp; Pizza, Hoşnudiye</t>
  </si>
  <si>
    <t>Tepebaşı/Hoşnudiye</t>
  </si>
  <si>
    <t>orhun/5395759910</t>
  </si>
  <si>
    <t>Hoşnudiye Mahallesi, Siloönü Sokak No:16/A, 26130</t>
  </si>
  <si>
    <t>tadilattan dolayi erteleme</t>
  </si>
  <si>
    <t>5f333224fb6dd9b7d8dd4030</t>
  </si>
  <si>
    <t>Mersin 26 Tantuni, Büyükdere</t>
  </si>
  <si>
    <t>12:00</t>
  </si>
  <si>
    <t>Adem Bey / 5432419097</t>
  </si>
  <si>
    <t>Büyükdere, Fakülte Cd No:46, 26040 Odunpazarı/Eskişehir</t>
  </si>
  <si>
    <t>5f9748afd0763257ee6ea16d</t>
  </si>
  <si>
    <t>Magic Meal Cafe &amp; Restaurant, Odunpazarı (Büyükdere Mah.)</t>
  </si>
  <si>
    <t>Serkan Bey / 5352628977</t>
  </si>
  <si>
    <t>Büyükdere mah. Vezirköprü sok. No:19/A Odunpazarı / Eskişehir</t>
  </si>
  <si>
    <t>15:00</t>
  </si>
  <si>
    <t>5f2c35f4276682de259234a3</t>
  </si>
  <si>
    <t>Obur Fast Food, Büyükdere</t>
  </si>
  <si>
    <t>Ahmet Bey / 5357375347</t>
  </si>
  <si>
    <t>Büyükdere Mah. Mehmet Osman Cad. Sarıkonak Sok, D:NO:6A, 26040 Odunpazarı</t>
  </si>
  <si>
    <t>5f33ea8803a8183586924e8d</t>
  </si>
  <si>
    <t>For You Fast Food &amp; Toast (Büyükdere Mah.)</t>
  </si>
  <si>
    <t>Gökhan Bey / 5530634999</t>
  </si>
  <si>
    <t>Büyükdere Mahallesi, Dinçay Sk. No: 2/A</t>
  </si>
  <si>
    <t>5ff7dd38b8065e6743f96422</t>
  </si>
  <si>
    <t>Çiftçi Döner, Odunpazarı (Büyükdere Mah.)</t>
  </si>
  <si>
    <t>5f972c68d38ebb3f5c1f8e91</t>
  </si>
  <si>
    <t>Patlayan Patso (Büyükdere Mah.)</t>
  </si>
  <si>
    <t>5fbe8e98a9c8366923adb6a4</t>
  </si>
  <si>
    <t>Yosun Kahvaltı &amp; Cafe, Eskibağlar</t>
  </si>
  <si>
    <t>Pınar / 5077920092</t>
  </si>
  <si>
    <t>ESKİBAĞLAR MAH/SEMT GENÇLİK MERKEZİ SK. NO: 2 İÇ KAPI NO: 19 TEPEBAŞI/ ESKİŞEHİR</t>
  </si>
  <si>
    <t>Malzemesi bitmiş</t>
  </si>
  <si>
    <t>5f3515617199f827028fcefe</t>
  </si>
  <si>
    <t>Beyoğlu Crispy Chicken &amp; Burger, Büyükdere</t>
  </si>
  <si>
    <t>Muzaffer Bey / 5333715309</t>
  </si>
  <si>
    <t>Büyükdere, Kaplanlı Cd No 10 A, 26040 Odunpazarı/Eskişehir</t>
  </si>
  <si>
    <t>Malzeme bitmiş erteleme istiyor</t>
  </si>
  <si>
    <t>5f7c2e8fb238a15de0893510</t>
  </si>
  <si>
    <t>Mangalcı Meryem, Odunpazarı (Büyükdere Mah.)</t>
  </si>
  <si>
    <t>Fatih Bey / 5457269126</t>
  </si>
  <si>
    <t>Büyükdere mah. Elçi Sok .No:1/A Odunpazarı/Eskişehir</t>
  </si>
  <si>
    <t>5ffb8275bb1161563c763e2a</t>
  </si>
  <si>
    <t>Fajita's Chicken &amp; Beef, Odunpazarı (İstiklal Mah.)</t>
  </si>
  <si>
    <t>Hakan Bey / 5376357599</t>
  </si>
  <si>
    <t>İstiklal Mah. Porsuk Blv. No:35/B Odunpazarı/Eskişehir</t>
  </si>
  <si>
    <t>5f33e13efb6dd93e39dd4ca4</t>
  </si>
  <si>
    <t>Park Kumpir &amp; Döner, İstiklal</t>
  </si>
  <si>
    <t>5f34602c480eb9f51d2f2b1e</t>
  </si>
  <si>
    <t>Çıtırr Tavuk, Odunpazarı (Büyükdere Mah.)</t>
  </si>
  <si>
    <t>Ahmet Bey / 5529357810</t>
  </si>
  <si>
    <t>Büyükdere, Millet Cd. No:12, 26040 Odunpazarı/Eskişehir</t>
  </si>
  <si>
    <t>Malzeme bitmiş, erteleme istiyor</t>
  </si>
  <si>
    <t>5fa06de8c9dffe81880549b0</t>
  </si>
  <si>
    <t>Rose, Odunpazarı (İstiklal Mah.)</t>
  </si>
  <si>
    <t>Odunpazarı / İstiklal</t>
  </si>
  <si>
    <t>Volkan Bey / 5059018671</t>
  </si>
  <si>
    <t>İstiklal Mah. Başarılı Sk. No:11/B Odunpazarı/Eskişehir</t>
  </si>
  <si>
    <t>5f333b685dc316633b9ee2c5</t>
  </si>
  <si>
    <t>Öz Mersin Tantuni (İstiklal Mah.)</t>
  </si>
  <si>
    <t>Yunus Bey / 5432409916</t>
  </si>
  <si>
    <t>İstiklal Mah., Şair Fuzuli Cad., No:28/A, Odunpazarı, Eskişehir, Türkiye</t>
  </si>
  <si>
    <t>5fa5f8fbfe8a2043fa8d1960</t>
  </si>
  <si>
    <t>Yediler Kebap, Odunpazarı (Deliklitaş Mah.)</t>
  </si>
  <si>
    <t>Odunpazarı / Deliklitaş</t>
  </si>
  <si>
    <t>Ömer Bey / 5392165580</t>
  </si>
  <si>
    <t>Deliklitaş, Hamamyolu Cd. No:81/A,Odunpazarı/Eskişehir</t>
  </si>
  <si>
    <t>5fbd94869e0f6f33e6f27ec1</t>
  </si>
  <si>
    <t>Yunus Döner, Odunpazarı (Arifiye Mah.)</t>
  </si>
  <si>
    <t>Yunus Bey / 5321348865</t>
  </si>
  <si>
    <t>Arifiye Mahallesi İki Eylül Caddesi No:5 Odunpazarı/Eskişehir</t>
  </si>
  <si>
    <t>5f352bedda66dc55c6d6e977</t>
  </si>
  <si>
    <t>Karadayı Kebap Konağı, Odunpazarı (Osmangazi Mah.)</t>
  </si>
  <si>
    <t>Odunpazarı / Osmangazi</t>
  </si>
  <si>
    <t>İlyas Bey / 5352791245</t>
  </si>
  <si>
    <t>Osmangazi, Basın Şehitleri Cd. No:171, 26140 Odunpazarı/Eskişehir</t>
  </si>
  <si>
    <t>5fd5ecafe730ae27865e152c</t>
  </si>
  <si>
    <t>Sempre Restaurant, Tepebaşı (Hoşnudiye Mah.)</t>
  </si>
  <si>
    <t>Hoşnudiye, Eti Plaza, Kızılcıklı M. Pehlivan Cd., 26130 Tepebaşı/Eskişehir</t>
  </si>
  <si>
    <t>5f330d69fb6dd98232dd3f23</t>
  </si>
  <si>
    <t>Zafer Pastanesi (Büyükdere Mah.)</t>
  </si>
  <si>
    <t>Yıldız Hanım / 5051436006</t>
  </si>
  <si>
    <t>Millet Cad., No:59 Büyükdere Mah., Odunpazarı, Eskişehir, Türkiye</t>
  </si>
  <si>
    <t>5f984ebd8656c782db84092b</t>
  </si>
  <si>
    <t>Tarhun Ev Yemekleri, Odunpazarı (Büyükdere Mah.)</t>
  </si>
  <si>
    <t>Soner Bey /2222390580</t>
  </si>
  <si>
    <t>Büyükdere Mh. Gençlik bulvarı no:4 54 /B Odunpazarı//Eskişehir</t>
  </si>
  <si>
    <t>5f35b5c7da66dcbc5ad6f478</t>
  </si>
  <si>
    <t>ABC Kumru, Odunpazarı (İstiklal Mah.)</t>
  </si>
  <si>
    <t>Ahmet / 5359112020</t>
  </si>
  <si>
    <t>İstiklal, Mustafa Kemal Atatürk Cd No:68, 26000 Odunpazarı/Eskişehir</t>
  </si>
  <si>
    <t>5f33aa845dc3163e6b9ee63e</t>
  </si>
  <si>
    <t>Damak Tantuni, İstiklal</t>
  </si>
  <si>
    <t>5f35aeafa886cd1c2748ee98</t>
  </si>
  <si>
    <t>Boğaziçi Tantuni, Odunpazarı (Emek Mah.)</t>
  </si>
  <si>
    <t>Odunpazarı / Emek</t>
  </si>
  <si>
    <t>Engin / 5322981528</t>
  </si>
  <si>
    <t>Emek Mahallesi Dilek Caddesi Numara 6/A 26080 Odunpazarı/Eskişehir Türkiye</t>
  </si>
  <si>
    <t>5fac842bda004db92b534e4e</t>
  </si>
  <si>
    <t>Yeni Nokta Yemek &amp; Pide &amp; Kebap, Odunpazarı (Büyükdere Mah.)</t>
  </si>
  <si>
    <t>Raşit Bey / 5067896369</t>
  </si>
  <si>
    <t>Büyükdere mah. Gençlik BLV. 31/3 Odunpazarı/Eskişehir</t>
  </si>
  <si>
    <t>5f91904e7ddac148389657cf</t>
  </si>
  <si>
    <t>Hmbrgr Homemade Burgers, Tepebaşı (Hoşnudiye Mah.)</t>
  </si>
  <si>
    <t>Fadime Hanım / 5525152484</t>
  </si>
  <si>
    <t>Hoşnudiye mah. ismet inönü 1 cad. no:1/c. Tepebaşı/Eskişehir</t>
  </si>
  <si>
    <t>5ff2171658f3acc433e6b4ab</t>
  </si>
  <si>
    <t>Hanedar Kebap &amp; Künefe, Tepebaşı ( Batıkent Mah.)</t>
  </si>
  <si>
    <t>Aynur Bozkaya / 2223152315</t>
  </si>
  <si>
    <t>Batıkent Mah. Geven Sok. B Blok No:9/A Tepebaşı/Eskişehir</t>
  </si>
  <si>
    <t>5f88815bc6107e26fb2e5478</t>
  </si>
  <si>
    <t>Gülana, Tepebaşı (Cumhuriye Mah.)</t>
  </si>
  <si>
    <t>Tepebaşı / Cumhuriye</t>
  </si>
  <si>
    <t>Ahmet / 5066178004</t>
  </si>
  <si>
    <t>Cumhuriye mah.Cengiz Topel Cad. No :42/B Tepebaşı /Eskişehir</t>
  </si>
  <si>
    <t>5f6e4440d2725f47c212d669</t>
  </si>
  <si>
    <t>Meşhur Kokoreçci Ahmet Usta</t>
  </si>
  <si>
    <t>16.30</t>
  </si>
  <si>
    <t>TEPEBAŞI/CUMHURİYE</t>
  </si>
  <si>
    <t>AHMET/5438034142</t>
  </si>
  <si>
    <t>Cumhuriye Mah. Kırım Cad. No:6/F Tepebaşı/Eskişehir</t>
  </si>
  <si>
    <t>5fe2eeff3e964b06a3e9ebb5</t>
  </si>
  <si>
    <t>Baklavacı Asel, Tepebaşı ( Eskibağlar Mah.)</t>
  </si>
  <si>
    <t>Tepebaşı / Bahçelievler</t>
  </si>
  <si>
    <t>İsmail Bey / 5352490052</t>
  </si>
  <si>
    <t>Cumhuriye Mahallesi İsmet İnönü-1 Cad. No:7 E Tepebaşı/Eskişehir</t>
  </si>
  <si>
    <t>Dükkan kapalıydı</t>
  </si>
  <si>
    <t>5f6e2b6f9fe43a702e3a673b</t>
  </si>
  <si>
    <t>Es Crispy Chicken, Tepebaşı (Şirintepe Mah.)</t>
  </si>
  <si>
    <t>Tepebaşı / Şirintepe</t>
  </si>
  <si>
    <t>Mustafa Bey / 5397932600</t>
  </si>
  <si>
    <t>Şirintepe, Örme Sk. no:170/B, 26000 Tepebaşı/Eskişehir</t>
  </si>
  <si>
    <t>5f3516ced7872d5c5832935a</t>
  </si>
  <si>
    <t>Yaren Pide &amp; Kebap &amp; Çorba, Çamlıca</t>
  </si>
  <si>
    <t>14.00</t>
  </si>
  <si>
    <t>Tepebaşı/Çamlıca</t>
  </si>
  <si>
    <t>Mehmet/5386583868</t>
  </si>
  <si>
    <t>Çamlıca Mh. Tombakzade Cd. No:64</t>
  </si>
  <si>
    <t>601bb0e2a722c340071836ca</t>
  </si>
  <si>
    <t>Acıcık Çiğköfte, Odunpazarı (Vadişehir Mah.)</t>
  </si>
  <si>
    <t>Odunpazarı / Vadişehir</t>
  </si>
  <si>
    <t>Bilgin Bey / 5330817270</t>
  </si>
  <si>
    <t>Vadişehir Mah. Nilüfer Cad. U Blok No:75/B Odunpazarı/ Eskişehir</t>
  </si>
  <si>
    <t>5fd5e3ed87425e07c57c1374</t>
  </si>
  <si>
    <t>Kırım Tatar Kültür Çiğ Börek Evi, Odunpazarı (Orta Mah.)</t>
  </si>
  <si>
    <t>Odunpazarı / Paşa</t>
  </si>
  <si>
    <t>Soner Bey / 5549086974</t>
  </si>
  <si>
    <t>Orta Mah. Şeyh Şemsettin Sok. No:15/1 Odunpazarı/Eskişehir</t>
  </si>
  <si>
    <t>5f71b8669061b170ca2dfe65</t>
  </si>
  <si>
    <t>Başkan Sofrası Pide &amp; Kebap, Odunpazarı (Çankaya Mah.)</t>
  </si>
  <si>
    <t>Nihat Bey / 5542631337</t>
  </si>
  <si>
    <t>Çankaya Mah. Özlem Cad. No:9/A Odunpazarı/Eskişehir</t>
  </si>
  <si>
    <t>5f3e1c7760b5483845d2a06f</t>
  </si>
  <si>
    <t>Mersin Can Tantuni, Odunpazarı (Kırmızıtoprak Mah.)</t>
  </si>
  <si>
    <t>Odunpazarı / Kırmızıtoprak</t>
  </si>
  <si>
    <t>Yasev Bey / 5534392552</t>
  </si>
  <si>
    <t>Kırmızıtoprak, 26010 Odunpazarı/Eskişehir</t>
  </si>
  <si>
    <t>5f35b52dcd664a67516ad5c1</t>
  </si>
  <si>
    <t>Bach.çe Akademi, Odunpazarı (İstiklal Mah.)</t>
  </si>
  <si>
    <t>Egemen Bey / 5336255627</t>
  </si>
  <si>
    <t>İstiklal, Başarılı Sk. 43A, 26020 Odunpazarı/Eskişehir</t>
  </si>
  <si>
    <t>Dükkan kapanmış</t>
  </si>
  <si>
    <t>5f81dfbcfda822a0d308e15b</t>
  </si>
  <si>
    <t>Makarnax, Odunpazarı (Arifiye Mah.)</t>
  </si>
  <si>
    <t>Ali Bey / 5548010704</t>
  </si>
  <si>
    <t>Arifiye Mah. Süleyman Çakır cad. No:8/B Odunpazarı / Eskişehir</t>
  </si>
  <si>
    <t>ilaçlama varmış, erteleme rica ettiler</t>
  </si>
  <si>
    <t>5f84bf05a32e994404394e65</t>
  </si>
  <si>
    <t>Capo Coffee &amp; Mocktail &amp; Dessert, Tepebaşı (Yenibağlar Mah.)</t>
  </si>
  <si>
    <t>Tepebaşı/yenibağlar</t>
  </si>
  <si>
    <t>Arda / 5058790808</t>
  </si>
  <si>
    <t>Yenibağlar mah.Aşçı sok. no: 9/B Tepebaşı/Eskişehir</t>
  </si>
  <si>
    <t>5ffb7adb3cc99f628ecc8f56</t>
  </si>
  <si>
    <t>Hey Joe Coffee Co, Tepebaşı (Güllük Mah.)</t>
  </si>
  <si>
    <t>Tepebaşı/Eskibağlar</t>
  </si>
  <si>
    <t>Başar/ 5416394979</t>
  </si>
  <si>
    <t>Güllük Mah. Bacı Sok. No:4/A Tepebaşı / Eskişehir</t>
  </si>
  <si>
    <t>5fb86a00493fa54a8c224e04</t>
  </si>
  <si>
    <t>Mangalcım Kokoreç Salih Usta, Tepebaşı (Yenibağlar Mah.)</t>
  </si>
  <si>
    <t>Salih/5301200626</t>
  </si>
  <si>
    <t>Yenibağlar Mah. Eti Cad.b blok 17/A Tepebaşı/Eskişehir</t>
  </si>
  <si>
    <t>5fac7e45001ef3cb071fc582</t>
  </si>
  <si>
    <t>Diyar Izgara &amp; Tantuni &amp; Fast Food, Odunpazarı (Arifiye Mah.)</t>
  </si>
  <si>
    <t>Halit Bey / 5465946373</t>
  </si>
  <si>
    <t>Arifiye mah. Özger Sk. No: 13/B Odunpazarı/Eskişehir</t>
  </si>
  <si>
    <t>5ff1265e8365ab298a8fbe77</t>
  </si>
  <si>
    <t>Yiğit Izgara &amp; Tantuni, Odunpazarı(Emek Mah.)</t>
  </si>
  <si>
    <t>Mehmet Bey / 5511463657</t>
  </si>
  <si>
    <t>Emek Mah., Yanartaş Sok., No:60, Odunpazarı, Eskişehir, Türkiye,</t>
  </si>
  <si>
    <t>5fcad96637964802fd94d7a5</t>
  </si>
  <si>
    <t>Şahin Döner &amp; Izgara, Odunpazarı (Emek Mah.)</t>
  </si>
  <si>
    <t>Özgür Bey / 5304581464</t>
  </si>
  <si>
    <t>Emek Mahallesi 2. Arabacılar Cad: No: 187 Odunpazarı/ Eskişehir</t>
  </si>
  <si>
    <t>5f730d9badafa077e1cbedf0</t>
  </si>
  <si>
    <t>İzmirli Kumrucum, Odunpazarı (Emek Mah.)</t>
  </si>
  <si>
    <t>Muhammed Ali / 5444717658</t>
  </si>
  <si>
    <t>Emek Mah. Ertaş Cad. No:119 / A ODUNPAZARI/ESKİŞEHİR</t>
  </si>
  <si>
    <t>5f9cb58f8f397d5b127ffa4a</t>
  </si>
  <si>
    <t>Gerçek Pilav, Odunpazarı (Deliklitaş Mah.)</t>
  </si>
  <si>
    <t>Şerif Bey / 5452922105 / 2224056132</t>
  </si>
  <si>
    <t>Arifiye Mah. Öztopçu sk. No: 10/B Odunpazarı/Eskişehir</t>
  </si>
  <si>
    <t>5f33c87cfb453fd4e85c4aa9</t>
  </si>
  <si>
    <t>Ciğerci Sedat, Deliklitaş</t>
  </si>
  <si>
    <t>Sedat Bey / 5557662525</t>
  </si>
  <si>
    <t>Deliklitaş, Yunus Emre Cd. No:93 D:B Odunpazarı/Eskişehir</t>
  </si>
  <si>
    <t>5fe31bdb85630279d055b4d2</t>
  </si>
  <si>
    <t>Fenaa Doner, Odunpazarı (İstiklal Mah.)</t>
  </si>
  <si>
    <t>Gökhan Bey / 5307354371</t>
  </si>
  <si>
    <t>Istiklal mah. Basarili sok. No.47 A (Adalar) Odunpazari/ ESKISEHIR</t>
  </si>
  <si>
    <t>5fe7279ece622f5905cb4ded</t>
  </si>
  <si>
    <t>Big A Chef Köfte, Odunpazarı (Osmangazi Mah.)</t>
  </si>
  <si>
    <t>Sevinç Hanım / 5063546965</t>
  </si>
  <si>
    <t>Osmangazi mh, Basın Şehitleri Cd. No : 333 a, 26250 Odunpazarı/Eskişehir</t>
  </si>
  <si>
    <t>5fc970a490b67d94a3631256</t>
  </si>
  <si>
    <t>Değirmencioğlu, Tepebaşı (Hoşnudiye Mah.)</t>
  </si>
  <si>
    <t>Bülent Bey / 5050480256</t>
  </si>
  <si>
    <t>Hoşnudiye Mah. Hacet Sok. No:4 D:3 Tepebaşı/Eskişehir</t>
  </si>
  <si>
    <t>5f6804d8fbf4612ffd1b6e89</t>
  </si>
  <si>
    <t>Margarita Pizza, Tepebaşı (Cumhuriye Mah.)</t>
  </si>
  <si>
    <t>/Sercan5538902626</t>
  </si>
  <si>
    <t>Cumhuriye, Otopark Sk. No:43 D:B, 26000</t>
  </si>
  <si>
    <t>5f6e70d4cea8d5540940b615</t>
  </si>
  <si>
    <t>Zeus Bergama Tostçusu, Tepebaşı (Eskibağlar Mah.)</t>
  </si>
  <si>
    <t>Eskibağlar mah. Gençlik merkezi sok. no :2 iç kapı no:21Tepebaşı /Eskişehir</t>
  </si>
  <si>
    <t>5f9009d33fe49e2b4363208b</t>
  </si>
  <si>
    <t>Mangalcı Ali Usta, Tepebaşı (Yenibağlar Mah.)</t>
  </si>
  <si>
    <t>Ali Bey / 2225028686</t>
  </si>
  <si>
    <t>Yenibağlar mah. Balkan Cad. No:123/A Tepebaşı /Eskişehir</t>
  </si>
  <si>
    <t>5ff46addad8a3875e226f6ed</t>
  </si>
  <si>
    <t>Bulvar Çibörek, Odunpazarı (Arifiye Mah.)</t>
  </si>
  <si>
    <t>Ahmet / 5536000010</t>
  </si>
  <si>
    <t>Arifiye, İletişim Sk., 26010 Odunpazarı/Eskişehir</t>
  </si>
  <si>
    <t>5fecb6024f55ab25f19d4f34</t>
  </si>
  <si>
    <t>Lokma Kebap,Odunpazarı ( Arifiye Mah.)</t>
  </si>
  <si>
    <t>Öznur Hanım / 5334380527</t>
  </si>
  <si>
    <t>Arifiye mah. Yalbı Sok. No/9 Odunpazarı/ Eskişehir</t>
  </si>
  <si>
    <t>5fd5478212cbf3581fe52e49</t>
  </si>
  <si>
    <t>Ev Tadı, Odunpazarı (Arifiye Mah.)</t>
  </si>
  <si>
    <t>Utku Bey / 5452260237</t>
  </si>
  <si>
    <t>Arifiye Mah. Tayfun Sok. No:9/B Odunpazarı/ Eskişehir</t>
  </si>
  <si>
    <t>5f329ce0fb6dd9c3badd3098</t>
  </si>
  <si>
    <t>Abone Mersin Tantuni, Arifiye</t>
  </si>
  <si>
    <t>İlyas Bey / 5444462691</t>
  </si>
  <si>
    <t>Arifiye, Tayfun Sk. No:3-D, 26000 Odunpazarı/Eskişehir</t>
  </si>
  <si>
    <t>5fdb140640a2d463b3d8e81b</t>
  </si>
  <si>
    <t>Puga Coffee Bistro, Odunpazarı ( İstiklal Mah.)</t>
  </si>
  <si>
    <t>Sezgin Babul / 2222220302</t>
  </si>
  <si>
    <t>İstiklal Mah. Porsuk Blv. No:9/B/B Odunpazarı / Eskişehir</t>
  </si>
  <si>
    <t>5f32831907d0637f06519dda</t>
  </si>
  <si>
    <t>Köfteci İbrahim (Güllük Mah.)</t>
  </si>
  <si>
    <t>Murat Bey / 5074765682</t>
  </si>
  <si>
    <t>Güllük Mah. Hatboyu 1 Cad. No:43 C Tepebaşı/ Eskişehir</t>
  </si>
  <si>
    <t>5fbe429f3bde24f10ad0741c</t>
  </si>
  <si>
    <t>Gaziantepli Hüseyin Usta Pide &amp; Kebap, Tepebaşı (Uluönder Mah.)</t>
  </si>
  <si>
    <t>Tepebaşı / Uluönder</t>
  </si>
  <si>
    <t>Hüseyin Bey / 5326800935</t>
  </si>
  <si>
    <t>Uluönder Mahallesi Sultan Sokak No: 12 A Tepebaşı Eskişehir</t>
  </si>
  <si>
    <t>5f345e46af840f183c3568fe</t>
  </si>
  <si>
    <t>Patsocu Abi Fast Food &amp; Kahvaltı (Büyükdere Mah.)</t>
  </si>
  <si>
    <t>Doğan Bey / 5324081350</t>
  </si>
  <si>
    <t>Büyükdere, Kaplanlı Cd No:99, 26040, 26040 Odunpazarı/Eskişehir</t>
  </si>
  <si>
    <t>,</t>
  </si>
  <si>
    <t>5fe103f7afaa3285b5ccba6f</t>
  </si>
  <si>
    <t>Yasin Pide &amp; Döner &amp; Kebap, Odunpazarı (Yenidoğan Mah.)</t>
  </si>
  <si>
    <t>Odunpazarı / Yenidoğan</t>
  </si>
  <si>
    <t>Yasin Bey / 5548748491</t>
  </si>
  <si>
    <t>Yenidoğan Mah. Sevinç Cad. No:28/A Odunpazarı / Eskişehir</t>
  </si>
  <si>
    <t>5ff7d0da292a616ffbb160dd</t>
  </si>
  <si>
    <t>Mersin 33 Tantuni, Odunpazarı (Kurtuluş Mah.)</t>
  </si>
  <si>
    <t>Ahmet Bey / 5522078143</t>
  </si>
  <si>
    <t>Kurtuluş Mah. Ziya Paşa Cad. 77/B Odunpazarı, Eskişehir.</t>
  </si>
  <si>
    <t>5f678d79fe1dca0f4e3ecac1</t>
  </si>
  <si>
    <t>Bulvar Kumpir, Odunpazarı (Vişnelik Mah.)</t>
  </si>
  <si>
    <t>Derya Hanım /5062038122</t>
  </si>
  <si>
    <t>VİŞNELİK MAHALLESİ TAŞKÖPRÜ CAD NO:79/A ODUNPAZARI ESKİŞEHİR</t>
  </si>
  <si>
    <t>5f353146da66dc55f2d6ea1e</t>
  </si>
  <si>
    <t>Çiftlik Kokoreç, Odunpazarı (Vişnelik Mah.)</t>
  </si>
  <si>
    <t>İbrahim Bey / 2222200440</t>
  </si>
  <si>
    <t>Vişnelik Mh, Atatürk Blv. No: 112/B, 26020 Odunpazarı/Eskişehir</t>
  </si>
  <si>
    <t>iptal</t>
  </si>
  <si>
    <t>5f738af47992a78130f7093f</t>
  </si>
  <si>
    <t>Hull Cafe &amp; Bistro, Odunpazarı (Vişnelik Mah.)</t>
  </si>
  <si>
    <t>İdris Bey / 5318870585</t>
  </si>
  <si>
    <t>Vişnelik mah. Ali Fuat Güven cad. No:52 Odunpazarı/Eskişehir</t>
  </si>
  <si>
    <t>kapalıydı</t>
  </si>
  <si>
    <t>5f35aa9bf3dfd151042e3f1a</t>
  </si>
  <si>
    <t>Urfa Kebap, Odunpazarı (Deliklitaş Mah.)</t>
  </si>
  <si>
    <t>odunpazarı/delikli taş</t>
  </si>
  <si>
    <t>HALİL DEMİRKALA/5308919026</t>
  </si>
  <si>
    <t>Deliklitaş Mh, Yunus Emre Cd. No:99/A, 26090 Odunpazarı/Eskişehir</t>
  </si>
  <si>
    <t>5fa8aca51ca45d0443863c15</t>
  </si>
  <si>
    <t>Çok Tatlı Lokma &amp; Kumpir, Odunpazarı (Büyükdere Mah.)</t>
  </si>
  <si>
    <t>Soner Bey / 2222398483</t>
  </si>
  <si>
    <t>Büyükdere, Millet Cd. No:12 D:F, 26040 Eskişehir Merkez/Eskişehir</t>
  </si>
  <si>
    <t>5f332810456a26f869cf7720</t>
  </si>
  <si>
    <t>Karaçor Unlu Mamülleri, İstiklal</t>
  </si>
  <si>
    <t>Ahmet Bey / 2222207123</t>
  </si>
  <si>
    <t>İstiklal, Mustafa Kemal Atatürk Cd 148/B, 26010 Odunpazarı/Eskişehir</t>
  </si>
  <si>
    <t>5f6b9dd9849e1346ef653ff4</t>
  </si>
  <si>
    <t>Tadıtam Çiğ Köfte, Odunpazarı (Vişnelik Mah.)</t>
  </si>
  <si>
    <t>Aytaç Bey / 5066047575</t>
  </si>
  <si>
    <t>Vişnelik mah. Karatay sok. No:2 Odunpazarı/Eskişehir</t>
  </si>
  <si>
    <t>5fd3d222e8f74d15fe6d4dec</t>
  </si>
  <si>
    <t>Tadım Tantuni, Odunpazarı (Arifiye Mah. - Köprübaşı)</t>
  </si>
  <si>
    <t>14.30</t>
  </si>
  <si>
    <t>Arifiye mah .Sivrihisar Cad. No: 10 Odunpazarı/Eskişehir</t>
  </si>
  <si>
    <t>5f33774d355b6a22fd38dbae</t>
  </si>
  <si>
    <t>Es Kumru Sandviç &amp; Döner, Tepebaşı (Hoşnudiye Mah.)</t>
  </si>
  <si>
    <t>Hoşnudiye Mah., Bayrak Sok., No:10A, Tepebaşı, Eskişehir, Türkiye,</t>
  </si>
  <si>
    <t>5fce3ece690d975ac2b16ec2</t>
  </si>
  <si>
    <t>Yeşilçam Dürümcüsü, Tepebaşı (Uluönder Mah.)</t>
  </si>
  <si>
    <t>Ramazan Bey / 2223355045</t>
  </si>
  <si>
    <t>Uluönder Mah. Selva Sok. No:2 B Tepebaşı/ Eskişehir</t>
  </si>
  <si>
    <t>5f35aa1de44c796ecbeff5b1</t>
  </si>
  <si>
    <t>Deniz Pide &amp; Kebap, Odunpazarı (Deliklitaş Mah.)</t>
  </si>
  <si>
    <t>Yunus Emre Bey /5425732626</t>
  </si>
  <si>
    <t>Deliklitaş, Deliklitaş Cd. No:74/A, 26090 Odunpazarı/Eskişehir</t>
  </si>
  <si>
    <t>5f8428fca32e997deb39435d</t>
  </si>
  <si>
    <t>Mangalcı İsmail, Odunpazarı (Deliklitaş Mah.)</t>
  </si>
  <si>
    <t>5ff47923ac60e844676f44a3</t>
  </si>
  <si>
    <t>Konyalı Kardeşler Etli Ekmek,Odunpazarı (Vişnelik Mah.)</t>
  </si>
  <si>
    <t>Süleyman Bey / 5511942676</t>
  </si>
  <si>
    <t>Vişnelik Mah. Atatürk Blv. No:173/A Odunpazarı/Eskişehir</t>
  </si>
  <si>
    <t>Nermin Hanım / 5458176074</t>
  </si>
  <si>
    <t>5f3e1ccbe4f2f87d4e91d636</t>
  </si>
  <si>
    <t>Acıktık Fast Food, Odunpazarı (Kurtuluş Mah.)</t>
  </si>
  <si>
    <t>Nevin Hanım / 5466574392</t>
  </si>
  <si>
    <t>Kurtuluş Mahallesi, İnal Sk. No: 17/B</t>
  </si>
  <si>
    <t>5f2c34fd5b6dd080ba3cd27f</t>
  </si>
  <si>
    <t>Rooster, Tepebaşı (Şirintepe Mah.)</t>
  </si>
  <si>
    <t>TepebaşıŞirintepe</t>
  </si>
  <si>
    <t>Şirintepe, İsmet İnönü-2 Blv No:58, 26200, 26190 Tepebaşı/Eskişehir</t>
  </si>
  <si>
    <t>5f8dadac573041534c661e42</t>
  </si>
  <si>
    <t>Adıyamanlı Çiğ Köfteci Abuzeroğulları, Tepebaşı (Batıkent Mah.)</t>
  </si>
  <si>
    <t>Tepebaşı / Batıkent</t>
  </si>
  <si>
    <t>Furkan Bey / 5070341421</t>
  </si>
  <si>
    <t>Batıkent mah . Liman cad. no:32 /A Tepebaşı/Eskişehir</t>
  </si>
  <si>
    <t>5fba65b2559c8fd44b0d053e</t>
  </si>
  <si>
    <t>Konya Lezzet Durağı, Odunpazarı (Osmangazi Mah.)</t>
  </si>
  <si>
    <t>Odunpazarı / Orhangazi</t>
  </si>
  <si>
    <t>Günay Bey / 5417861076</t>
  </si>
  <si>
    <t>Osmangazi Mah.Basın Şehitleri Cad. No:297/A Odunpazarı/Eskişehir</t>
  </si>
  <si>
    <t>5f3531e1c5459f75975cda02</t>
  </si>
  <si>
    <t>Ab'Bas Fast Food, Odunpazarı (Vişnelik Mah.)</t>
  </si>
  <si>
    <t>Odunpazarı/Kırmızıtoprak</t>
  </si>
  <si>
    <t>Yahya Büyükabacı / 5465879691</t>
  </si>
  <si>
    <t>Vişnelik, Erdinçler Sk. No 1 D:B, 26020 Odunpazarı/Eskişehir</t>
  </si>
  <si>
    <t>5fa893f666a584e0f0fde8d2</t>
  </si>
  <si>
    <t>Gaziantepli Kebapçım, Odunpazarı (Büyükdere Mah.)</t>
  </si>
  <si>
    <t>Odunpazarı/Büyükdere</t>
  </si>
  <si>
    <t>MEHMET KIZILPINAR/05051064040</t>
  </si>
  <si>
    <t xml:space="preserve">Büyükdere mah. kaplanlı cad. 81/A </t>
  </si>
  <si>
    <t xml:space="preserve">hedef listede adres farkli haftaya adres değişikliği olacağı için bu adrese gidilmesi istendi </t>
  </si>
  <si>
    <t>5ff45698630a769e590086d5</t>
  </si>
  <si>
    <t>Vişnelik Pilavcısı, Odunpazarı (Vişnelik Mah.)</t>
  </si>
  <si>
    <t>Metin Bey / 5523782626</t>
  </si>
  <si>
    <t>5ff47c0f05d6ffcddbcfde20</t>
  </si>
  <si>
    <t>Prens Döner, Odunpazarı(Arifiye Mah.)</t>
  </si>
  <si>
    <t>Halil İbrahim Bey / 2222314433</t>
  </si>
  <si>
    <t>Halil İbrahim Bey / 2222314434</t>
  </si>
  <si>
    <t>5f71eeb24b2808c223e07574</t>
  </si>
  <si>
    <t>Adıyamanlı Çiğ Köfteci Kemal Usta, Tunalı</t>
  </si>
  <si>
    <t>Tepebaşı/Tunalı</t>
  </si>
  <si>
    <t>Serdar / 5436938512</t>
  </si>
  <si>
    <t>Tunalı Mah. Sakarya 2 cad. no:60/b Tepebaşı/Eskişehir</t>
  </si>
  <si>
    <t>5ff0cd1ceeb85d703dcec25c</t>
  </si>
  <si>
    <t>Cafe Şekerleme, Tepebaşı (Hoşnudiye Mah.)</t>
  </si>
  <si>
    <t>Ezgi Hanım / 5072918998</t>
  </si>
  <si>
    <t>Hoşnudiye, İsmet İnönü-1 Blv No:57, 26130 Tepebaşı/Eskişehir KANATLI AVM</t>
  </si>
  <si>
    <t>5f338058fb6dd9e37bdd412e</t>
  </si>
  <si>
    <t>Birtat Mersin Tantuni, Tepebaşı (Hoşnudiye Mah.)</t>
  </si>
  <si>
    <t>Moftullah - 2222333896 - 5443787279</t>
  </si>
  <si>
    <t>Hoşnudiye, Cengiz Topel-1 Cd. No:5 D:C, 26130 Tepebaşı/Eskişehir</t>
  </si>
  <si>
    <t>5f32985b73c35dd55ae6e660</t>
  </si>
  <si>
    <t>Taşbaşı Döner, Arifiye</t>
  </si>
  <si>
    <t>Sinan Bey / 5384549930</t>
  </si>
  <si>
    <t>Arifiye, Belediye Sok. No:3 D:51, 26010 Odunpazarı/Eskişehir</t>
  </si>
  <si>
    <t>erteleme</t>
  </si>
  <si>
    <t>Hatem Soyaslan</t>
  </si>
  <si>
    <t>5f315647b9e5e1f92fdb6148</t>
  </si>
  <si>
    <t>Nar-ı Kebap (Vişnelik Mah.)</t>
  </si>
  <si>
    <t>Remzi Bey / 50589588884</t>
  </si>
  <si>
    <t>Vişnelik, Vali Ali Fuat Güven Blv No:54, 26020 Odunpazarı/Eskişehir</t>
  </si>
  <si>
    <t>601d847ab55d19e3fa52929a</t>
  </si>
  <si>
    <t>Abdülkadir Cabbar,Odunpazarı (Büyükdere Mah.)</t>
  </si>
  <si>
    <t>Barış Bey / 5495294726</t>
  </si>
  <si>
    <t>Büyükdere Mah. Kaplanlı Cad. No:10 B Odunpazarı / Eskişehir</t>
  </si>
  <si>
    <t>5f33a853fd2b2803ccab3001</t>
  </si>
  <si>
    <t>Tuana Mersin Tantuni Evi, Kurtuluş</t>
  </si>
  <si>
    <t>Odunpazarı / Gökmeydanı</t>
  </si>
  <si>
    <t>Kadir Bey / 2222400088</t>
  </si>
  <si>
    <t>Kurtuluş, Sarper Blv, 26090 Odunpazarı/Eskişehir</t>
  </si>
  <si>
    <t>5f960363db6eddfb215455ac</t>
  </si>
  <si>
    <t>Yasemin Pide, Odunpazarı (Akçağlan Mah.)</t>
  </si>
  <si>
    <t>Ergün Bey / 2222338062</t>
  </si>
  <si>
    <t>Akçağlan Mah. Cumhuriyet Bulvarı cad. No:18 Odunpazarı, Eskişehir</t>
  </si>
  <si>
    <t>5fa8a382e20f32498ecaceda</t>
  </si>
  <si>
    <t>Pia Juice &amp; Food, Tepebaşı (Hoşnudiye Mah.)</t>
  </si>
  <si>
    <t>ilknur hanım/5309419538</t>
  </si>
  <si>
    <t>Hoşnudiye, Sağın Sk. no:65/A, 26100 Tepebaşı/Eskişehir</t>
  </si>
  <si>
    <t>Enes</t>
  </si>
  <si>
    <t>60311138fbe5051f69aa386b</t>
  </si>
  <si>
    <t>Emek Yıldız Çorba &amp; Yemek &amp; Döner, Odunpazarı (Emek Mah.)</t>
  </si>
  <si>
    <t>Tepebaşı / Emek</t>
  </si>
  <si>
    <t>Yasin Bey / 5452110002</t>
  </si>
  <si>
    <t>Emek Mah. Dilek Cad. No:15A Odunpazarı/Eskişehir</t>
  </si>
  <si>
    <t>5f2c1ddeb76a838a4950b628</t>
  </si>
  <si>
    <t>Ay Yıldız Pide &amp; Kebap &amp; Tantuni, Tepebaşı (Sütlüce Mah.)</t>
  </si>
  <si>
    <t>14,00</t>
  </si>
  <si>
    <t xml:space="preserve">             Tepebaşı /Sütlüce</t>
  </si>
  <si>
    <t>Onurcan Özdemir / 5467670892</t>
  </si>
  <si>
    <t xml:space="preserve">Sütlüce, İstiklal Cd. No:62, 26210, 26210 </t>
  </si>
  <si>
    <t>çarşambaya ertelenecek açmadı</t>
  </si>
  <si>
    <t>60278e4e21f1767f753a4d03</t>
  </si>
  <si>
    <t>Köfteci Apo, Tepebaşı (Hoşnudiye Mah. )</t>
  </si>
  <si>
    <t>15.30</t>
  </si>
  <si>
    <t>2222332952/ali nurullah</t>
  </si>
  <si>
    <t>Hoşnudiye Mah. Bayramyeri Sk No:3 A Tepebaşı/ Eskişehir</t>
  </si>
  <si>
    <t>60358b632d2332e6e3a1c8c8</t>
  </si>
  <si>
    <t>Ayboo Tavuk Mangal, Tepebaşı (Güllük Mah)</t>
  </si>
  <si>
    <t>Serkan Bey / 2229991844</t>
  </si>
  <si>
    <t>Güllük mah. Hatboyu 1 cad. no:31/D TEPEBAŞI/ESKİŞEHİR</t>
  </si>
  <si>
    <t>5f7b59fdb3c83427eb1f11be</t>
  </si>
  <si>
    <t>Delly Tavuk Mangal, Tepebaşı (Güllük Mah.)</t>
  </si>
  <si>
    <t>5f2c12864d07c485ad7a62de</t>
  </si>
  <si>
    <t>Chicky, Tepebaşı (Cumhuriye Mah.)</t>
  </si>
  <si>
    <t>10.30</t>
  </si>
  <si>
    <t>Tebepaşı/Eskibağlar mah.</t>
  </si>
  <si>
    <t>cüneyt bey 5067917147</t>
  </si>
  <si>
    <t>Cumhuriye Mahallesi, Zübeyde Hanım Cd. No:4/A</t>
  </si>
  <si>
    <t>5f352af1da66dc0a56d6e940</t>
  </si>
  <si>
    <t>Deniz Pide, Odunpazarı (Osmangazi Mah.)</t>
  </si>
  <si>
    <t>Serhat Bey / 5535059687</t>
  </si>
  <si>
    <t>Osmangazi Mah. Kemer Sok. No:56/E Odunpazarı/Eskişehir</t>
  </si>
  <si>
    <t>5f3291a698ff3841ac33a587</t>
  </si>
  <si>
    <t>Thyme Tantuni (Yenibağlar Mah.)</t>
  </si>
  <si>
    <t>Cumhuriye, Otopark Sk. No:43 D:B, 26000,</t>
  </si>
  <si>
    <t>60227d3c176fccea08ffb93c</t>
  </si>
  <si>
    <t>Angry Fried Chicken, Tepebaşı (Güllük Mah.)</t>
  </si>
  <si>
    <t>Tepebaşı/Güllük</t>
  </si>
  <si>
    <t>Tolga/5423602152</t>
  </si>
  <si>
    <t>Güllük Mah. Gedik Çıkmazı Sok. No:7/A Tepebaşı/Eskişehir</t>
  </si>
  <si>
    <t>Ezgi Turan</t>
  </si>
  <si>
    <t>5ff11f0658f3acbff9e69e3a</t>
  </si>
  <si>
    <t>Baklavacı Cenap, Odunpazarı (İstiklal Mah.)</t>
  </si>
  <si>
    <t>Odunpazarı	Arifiye</t>
  </si>
  <si>
    <t>Talib Katılmış	5452809090</t>
  </si>
  <si>
    <t>İstiklal Mah. İki Eylül Cad. No:15/A Odunpazarı/Eskişehir</t>
  </si>
  <si>
    <t>5f35b348c5459f57395ce425</t>
  </si>
  <si>
    <t>Çifte Kumru &amp; Fast Food, Odunpazarı (İstiklal Mah.)</t>
  </si>
  <si>
    <t>Saliha Hanım / 5076087642</t>
  </si>
  <si>
    <t>İstiklal, Demirciler Sk. no 50 B, 26004 Odunpazarı/Eskişehir</t>
  </si>
  <si>
    <t>5f67c95dfdc437741fc881e8</t>
  </si>
  <si>
    <t>Antep Nohut Dürüm, Tepebaşı (Bahçelievler Mah.)</t>
  </si>
  <si>
    <t>Furkan/5415269948</t>
  </si>
  <si>
    <t>Bahçelievler Mh. Şafaklar Sk. No:9/B</t>
  </si>
  <si>
    <t>5ff11983dc26c77a97d150ad</t>
  </si>
  <si>
    <t>Tacos Dünyası, Tepebaşı (Bahçelievler Mah.)</t>
  </si>
  <si>
    <t>Bahçelievler, Şafaklar Sk. no 9b, 26170 Tepebaşı/Eskişehir</t>
  </si>
  <si>
    <t>5f85990afb4bf0390c325c79</t>
  </si>
  <si>
    <t>Eshot Pide &amp; Kebap &amp; Lahmacun, Tepebaşı (Çamlıca Mah.)</t>
  </si>
  <si>
    <t>TEpebaşı/Çamlıca</t>
  </si>
  <si>
    <t>Şener/5335445400</t>
  </si>
  <si>
    <t>Çamlıca Mah. Neoplus Avm No:172 Tepebaşı/ Eskişehir</t>
  </si>
  <si>
    <t>6027cdcf7cc399c8285555fe</t>
  </si>
  <si>
    <t>TikTak Tantuni, Tepebaşı (Şirintepe Mah.)</t>
  </si>
  <si>
    <t>Tepebaşı/Şirintepe</t>
  </si>
  <si>
    <t>Umut/5465422296</t>
  </si>
  <si>
    <t>Şirintepe Mah. Asılzade Sok. No:8 A Tepebaşı/Eskişehir</t>
  </si>
  <si>
    <t>KAPALIYDI</t>
  </si>
  <si>
    <t>602a2ffe55fa6184a8fd7cc9</t>
  </si>
  <si>
    <t>Akközde Adana Sofrası, Odunpazarı (Alanönü Mah.)</t>
  </si>
  <si>
    <t>Alanönü/odunpazarı</t>
  </si>
  <si>
    <t>Abidin/5333074901</t>
  </si>
  <si>
    <t>Alanönü Mah. Hicri Sezen Cad. No:10 Oduzpazarı/Eskişehir</t>
  </si>
  <si>
    <t>ERTELENDİ</t>
  </si>
  <si>
    <t>5f3297199396285da8b681bf</t>
  </si>
  <si>
    <t>Gaziantepli Duygu Pide &amp; Kebap, Alanönü</t>
  </si>
  <si>
    <t>Odunpazarı/Kurtuluş</t>
  </si>
  <si>
    <t>Alanönü Mah., Maide Bolel Huzur Evi Cd. No:7 B, Odunpazarı/Eskişehir</t>
  </si>
  <si>
    <t>Yurdagül Kulaksız</t>
  </si>
  <si>
    <t>5ff4faa912a8509aa9bdb72e</t>
  </si>
  <si>
    <t>İzmir Sandviç</t>
  </si>
  <si>
    <t>Odunpazarı/İstiklal</t>
  </si>
  <si>
    <t>Serpil/5310845483</t>
  </si>
  <si>
    <t>İstiklal, Porsuk Bulvari No:1/C Odunpazarı/Eskişehir</t>
  </si>
  <si>
    <t>5f681b00021726a862107d15</t>
  </si>
  <si>
    <t>Abi Tost &amp; Kahvaltı &amp; Köfte (Kırmızıtoprak Mah.)</t>
  </si>
  <si>
    <t>İZZET KAYALI	5355003005</t>
  </si>
  <si>
    <t>Kırmızıtoprak mah. Mustafa Kemal Atatürk Cad. No: 95 / c Odunpazarı / Eskişehir</t>
  </si>
  <si>
    <t>60266e3d919b7aeb2d799b4a</t>
  </si>
  <si>
    <t>Çevlik Kahvaltı, Tepebaşı (Cumhuriye Mah.)</t>
  </si>
  <si>
    <t>Tepebaşı	Cumhuriye</t>
  </si>
  <si>
    <t>Fatih Ersoy        5527033431</t>
  </si>
  <si>
    <t>cumhuriye mah başkan sok 41A</t>
  </si>
  <si>
    <t>ERCAN ERDOĞAN	5458720149</t>
  </si>
  <si>
    <t>Ayfer Altın</t>
  </si>
  <si>
    <t>601bfc2fc989b54d91d760a4</t>
  </si>
  <si>
    <t>Çağlayan Pide &amp; Kebap, Odunpazarı (Kırmızıtoprak Mah.)</t>
  </si>
  <si>
    <t>Odun pazarı/Kırmızı toprak</t>
  </si>
  <si>
    <t xml:space="preserve">çağlayan/5412260787 </t>
  </si>
  <si>
    <t>Kırmızıtoprak Mah. Ercan Sok. No:5/A Odunpazarı/Eskişehir</t>
  </si>
  <si>
    <t>Zeliha Özer</t>
  </si>
  <si>
    <t>VOLKAN BAŞARAN/5424991597</t>
  </si>
  <si>
    <t>Damla Kılcı</t>
  </si>
  <si>
    <t>5f366fb73322a82244d8dbba</t>
  </si>
  <si>
    <t>Barbiger Tava &amp; Izgara, Tepebaşı (Hoşnudiye Mah.)</t>
  </si>
  <si>
    <t>Zeynep Hanım/5452605266</t>
  </si>
  <si>
    <t>Hoşnudiye, Tacin Sk. No:11 Tepebaşı/Eskişehir</t>
  </si>
  <si>
    <t>5f7af367535b296eeb574927</t>
  </si>
  <si>
    <t>Yeni Şehzade Konağı, Tepebaşı (Hoşnudiye Mah.)</t>
  </si>
  <si>
    <t>Emine hanım/5435067376</t>
  </si>
  <si>
    <t>Hoşnudiye mah. Tacin sk.No.8 Tepebaşı/Eskişehir</t>
  </si>
  <si>
    <t>Cuma 12den sonraya istemiş</t>
  </si>
  <si>
    <t xml:space="preserve">Tepebaşı/Eskibağlar </t>
  </si>
  <si>
    <t>TUĞFAN ALPEREN YILDIZ	/5342260334</t>
  </si>
  <si>
    <t>Eskibağlar mah. Yenilik Sok. No:36 İç Kapı No: 1 Tepebaşı/Eskişehir</t>
  </si>
  <si>
    <t>Güneş</t>
  </si>
  <si>
    <t>5f98c708dea0634380f028cf</t>
  </si>
  <si>
    <t>Lades Döner, Odunpazarı (Büyükdere Mah.)</t>
  </si>
  <si>
    <t>Hakan Bey / 05523293319</t>
  </si>
  <si>
    <t>Büyükdere, Osmangazi Ünv. No:38, Odunpazarı/Eskişehir</t>
  </si>
  <si>
    <t>600c8797fb76e313ec2e4c28</t>
  </si>
  <si>
    <t>Piraye Restoran, Tepebaşı (Yenibağlar Mah.)</t>
  </si>
  <si>
    <t>Tepebaşı        /Yenibağlar</t>
  </si>
  <si>
    <t>ALİME DEMİRBAŞ/        5437880626</t>
  </si>
  <si>
    <t>Yenibağlar Mah. Türkaslan Sk. 7A Tepebaşı/ Eskişehir</t>
  </si>
  <si>
    <t>Çekim istemedi</t>
  </si>
  <si>
    <t>Metin Bey/5523782626</t>
  </si>
  <si>
    <t>603562d8e12f9d259852ad78</t>
  </si>
  <si>
    <t>Ejderha Mersin Tantuni, Tepebaşı (Hoşnudiye Mah.)</t>
  </si>
  <si>
    <t>Hakan Bey/5326237379</t>
  </si>
  <si>
    <t>Hoşnudiye mah. istasyon cad. no :11/a Tepebaşı /Eskişehir</t>
  </si>
  <si>
    <t>602a7c0df3768306cb9d742f</t>
  </si>
  <si>
    <t>Hanzade Künefe, Odunpazarı (Vişnelik Mah.)</t>
  </si>
  <si>
    <t>Tuğba Hanım/5323992666</t>
  </si>
  <si>
    <t>VİŞNELİK MAHALLESİ KAYIHAN SOKAK NO:18/1A ODUNPAZARI/ESKİŞEHİR</t>
  </si>
  <si>
    <t>5f36751382cfcf59bf5266c6</t>
  </si>
  <si>
    <t>Museum Kültür Sanat, Tepebaşı (Hoşnudiye Mah.)</t>
  </si>
  <si>
    <t>Kerem Bey/5447820026</t>
  </si>
  <si>
    <t>Museum Kültür Sanat Pub İsmet İnönü 1B Cd. No 109A Tepebaşı - Eskişehir 26110</t>
  </si>
  <si>
    <t>5f3386b5abcd6ab797e1574c</t>
  </si>
  <si>
    <t>Bir Tantuni, Tepebaşı (Şirintepe Mah.)</t>
  </si>
  <si>
    <t>birtan bey/222340142</t>
  </si>
  <si>
    <t>Şirintepe, Paşasoylu Sok. 68/B, 26200 Tepebaşı/Eskişehir</t>
  </si>
  <si>
    <t>5f6e766db46f9486f461a281</t>
  </si>
  <si>
    <t>Tostpik Tost, Odunpazarı (Büyükdere Mah.)</t>
  </si>
  <si>
    <t>Caner Bey/5324471819</t>
  </si>
  <si>
    <t>Büyükdere Mahallesi, Millet Cad. No: 73/A</t>
  </si>
  <si>
    <t>5fda79793edee4493d088e97</t>
  </si>
  <si>
    <t>Adalar Pide &amp; Kebap, Odunpazarı (İstiklal Mah.)</t>
  </si>
  <si>
    <t>Odunpazarrı/İstiklal</t>
  </si>
  <si>
    <t>Mehmet / 05334511829</t>
  </si>
  <si>
    <t>İstiklal Mah. Akınlar Sok. No:29 A Odunpazarı/ Eskişehir</t>
  </si>
  <si>
    <t>602e7c8defa02d783cc04bb3</t>
  </si>
  <si>
    <t>Ali Baba Izgara, Odunpazarı (Büyükdere Mah.)</t>
  </si>
  <si>
    <t>Odunpazarı/Çankaya</t>
  </si>
  <si>
    <t>aydın/5392782664</t>
  </si>
  <si>
    <t>Büyükdere Mah. Sarımeşe Sk. No:4/A Odunpazarı/Eskişehir</t>
  </si>
  <si>
    <t>Emre Dalgıç</t>
  </si>
  <si>
    <t>Meşhur Kokoreçci Ahmet Usta, Tepebaşı (Cumhuriye Mah.)</t>
  </si>
  <si>
    <t>Ahmet Kurt/5538047640</t>
  </si>
  <si>
    <t>Kampanya çözülünce gelicez</t>
  </si>
  <si>
    <t xml:space="preserve">5f33bd366b1e0fe8d5f39deb     </t>
  </si>
  <si>
    <t>Kansas Burger, Tepebaşı (Eskibağlar Mah.)</t>
  </si>
  <si>
    <t>SERKAN ALTAY        /5314508303</t>
  </si>
  <si>
    <t>Eskibağlar, Sakman Sk., 26170 Tepebaşı/Eskişehir</t>
  </si>
  <si>
    <t>5fac6b0bf53b97ccb5792979</t>
  </si>
  <si>
    <t>Social Casual, Tepebaşı (Eskibağlar Mah.)</t>
  </si>
  <si>
    <t>AYKUT YÜCEBAŞ/5327263862</t>
  </si>
  <si>
    <t>Yenibağlar m, Fabrikalar Sk No:1/D, 26000 Tepebaşı/Eskişehir</t>
  </si>
  <si>
    <t>602d0d9fefa02def0ac00965</t>
  </si>
  <si>
    <t>Yiğit Döner Çorba, Odunpzarı (Emek Mah.)</t>
  </si>
  <si>
    <t>Hakan Bey/5063566732</t>
  </si>
  <si>
    <t>Emek Mah. 2. Arabacılar Cad. No:211 A Odunpazarı/Eskişehir</t>
  </si>
  <si>
    <t>17.00</t>
  </si>
  <si>
    <t>60358132c9f056768d8ed9ae</t>
  </si>
  <si>
    <t>Ceylan Pastaneleri, Odunpazarı (Gökmeydan Mah)</t>
  </si>
  <si>
    <t>Odunpazarı / Gökmeydan</t>
  </si>
  <si>
    <t>Kadir Bey / 5416106845</t>
  </si>
  <si>
    <t>Gökmeydan Mh. Cumhuriyet Blv. No:197 Odunpazarı/Eskişehir</t>
  </si>
  <si>
    <t>5fdd25721a5ab842fcece3e2</t>
  </si>
  <si>
    <t>Kasap Izgara, Odunpazarı (Kurtuluş Mah.)</t>
  </si>
  <si>
    <t>Odunpazarı/ Kurtuluş</t>
  </si>
  <si>
    <t>Barış Bey / 5541264709</t>
  </si>
  <si>
    <t>Kurtuluş Mah. Maide Bolel Huzur Evi Cad. No:30 A Odunpazarı / Eskişehir</t>
  </si>
  <si>
    <t>5f56c2db1fcf33f02b81cc36</t>
  </si>
  <si>
    <t>Asya Kokoreç &amp; Fast Food (Büyükdere Mah.)</t>
  </si>
  <si>
    <t>Nazan Ulupınar/2222392537</t>
  </si>
  <si>
    <t>Erteleme istemiş</t>
  </si>
  <si>
    <t>5f5a64bf3c3d83ac40a8d5ae</t>
  </si>
  <si>
    <t>Nosso Premium, Tepebaşı (Hoşnudiye Mah.)</t>
  </si>
  <si>
    <t>Tepebaşı	/Hoşnudiye</t>
  </si>
  <si>
    <t>Fatih Çolak        /5522610026</t>
  </si>
  <si>
    <t>Hoşnudiye Mah., Şahin Cad., No:76 /F, Tepebaşı, Eskişehir, Türkiye,</t>
  </si>
  <si>
    <t>5f9cc72da86d0c3011866b7f</t>
  </si>
  <si>
    <t>My'ss Tantuni, Tepebaşı (Uluönder Mah.)</t>
  </si>
  <si>
    <t>Tepebaşı/Uluönder</t>
  </si>
  <si>
    <t>Emirhan Bey / 5464522526</t>
  </si>
  <si>
    <t>Uluönder mah. Fahrettin Altay Cad. No: 5 / F Tepebaşı/Eskişehir</t>
  </si>
  <si>
    <t>602fb38de87c92a90286e9d3</t>
  </si>
  <si>
    <t>Han Gözleme, Tepebaşı (Bahçelievler Mah.)</t>
  </si>
  <si>
    <t>Hacer Bük / 5356426101</t>
  </si>
  <si>
    <t>Bahçelievler Mah. Balkan Cad. No:44 B İç Kapı No:16 Tepebaşı/Eskişehir</t>
  </si>
  <si>
    <t>5f90191118885c4695d8b96e</t>
  </si>
  <si>
    <t>Pi Box, Tepebaşı (Yenibağlar Mah.)</t>
  </si>
  <si>
    <t>Erhan uzun / 5320566815</t>
  </si>
  <si>
    <t>Yenibağlar mah. Üniversite cad.(Yılmaz Büyükerşen Bulvarı) No:57/B Tepebaşı /Eskişehir</t>
  </si>
  <si>
    <t>5fa5f5b27e7f8a0325802a05</t>
  </si>
  <si>
    <t>Packet Burger, Odunpazarı (İstiklal Mah.)</t>
  </si>
  <si>
    <t>Resul Altundağ/5331499478</t>
  </si>
  <si>
    <t>İstiklal Mah. Başarılı Sk. No:24/A Odunpazarı/Eskişehir</t>
  </si>
  <si>
    <t>Haftaya erteleme istemiş</t>
  </si>
  <si>
    <t>60382e8a8ed508b231147682</t>
  </si>
  <si>
    <t>Doy Doy's, Odunpazarı (Arifiiye Mah.)</t>
  </si>
  <si>
    <t>Odunpazarı/Arifiye</t>
  </si>
  <si>
    <t>Sercan Kale / 2222342929</t>
  </si>
  <si>
    <t>Arifiye Mh. Hamamyolu Cd. 78/C Deliklitaş Eskişehir</t>
  </si>
  <si>
    <t>5f3158f5cb529000f0032493</t>
  </si>
  <si>
    <t>Kebapname (Vişnelik Mah.)</t>
  </si>
  <si>
    <t>Burcu hanım/5374010012</t>
  </si>
  <si>
    <t>Vişnelik, 110/A, Eskişehir Merkez, Atatürk Blv., 26020 Odunpazarı</t>
  </si>
  <si>
    <t>5f95ea29db6edd1655545553</t>
  </si>
  <si>
    <t>Pizzburger, Odunpazarı (Arifiye Mah.)</t>
  </si>
  <si>
    <t>Uğur Can Doğan / 2222020012</t>
  </si>
  <si>
    <t>Arifiye mah. İnhisar Sk. No: 54/B Odunpazarı/Eskişehir</t>
  </si>
  <si>
    <t>5f35a8287bcccfce07d96e10</t>
  </si>
  <si>
    <t>Titanik Ev Yemekleri &amp; Izgara (Büyükdere Mah.)</t>
  </si>
  <si>
    <t>CANER CEM ARSLAN/2222050292</t>
  </si>
  <si>
    <t>Büyükdere, Millet Cd. 8/B , 26040 Odunpazarı/Eskişehir</t>
  </si>
  <si>
    <t>Odunpazarı/Hoşnudiye</t>
  </si>
  <si>
    <t>İLYAS FATİH ŞİMŞEK/5365182674</t>
  </si>
  <si>
    <t>60385519618c3a9a4422c10e</t>
  </si>
  <si>
    <t>Döner Evim, Tepebaşı (Şirintepe Mah.)</t>
  </si>
  <si>
    <t>Odunpazarı/Şirintepe</t>
  </si>
  <si>
    <t>HALİL ÖNER / 2223355035</t>
  </si>
  <si>
    <t>Şirintepe mahallesi Karaca Sokak No 4 Tepebaşı/ Eskişehir</t>
  </si>
  <si>
    <t>Simay Karabıçak / 5422200510</t>
  </si>
  <si>
    <t>5f33e1dfbc33c9640badde7f</t>
  </si>
  <si>
    <t>Samet Döner (Kurtuluş Mah.)</t>
  </si>
  <si>
    <t>Zafer bey / 2222203501</t>
  </si>
  <si>
    <t>Ziya Paşa Caddesi, 18 Kurtuluş, Odunpazarı, Eskişehir</t>
  </si>
  <si>
    <t>603e03b241ca7f12e26de77e</t>
  </si>
  <si>
    <t>Callo &amp; Aunt Toast &amp; Sandwich, Tepebaşı(Yenibağlar Mah.)</t>
  </si>
  <si>
    <t>12.30</t>
  </si>
  <si>
    <t>Tepebaşı/ Yenibağlar</t>
  </si>
  <si>
    <t>Osman bey/5468790808-5372167290</t>
  </si>
  <si>
    <t>Aşçı sokak no.9 / B Tepebaşı/Yenibağlar</t>
  </si>
  <si>
    <t>60385fdc69811fcace93e077</t>
  </si>
  <si>
    <t>A Plus Izgara Tantuni Kokoreç ,Tepebaşı (Hoşnudiye Mah.)</t>
  </si>
  <si>
    <t>15 gün sonraya erteleme</t>
  </si>
  <si>
    <t>5f84ac2729c2fd7d449a253d</t>
  </si>
  <si>
    <t>Mera Kitchen, Tepebaşı (Eskibağlar Mah.)</t>
  </si>
  <si>
    <t>MAHSUN KARA / 2225028151</t>
  </si>
  <si>
    <t>Eskibağlar Mah. Prof. Dr. Yılmaz Büyükerşen Blv. No:70 /A Tepebaşı /Eskişehir</t>
  </si>
  <si>
    <t>devam çekimi</t>
  </si>
  <si>
    <t>5f6e653a1b1d9780c2323297</t>
  </si>
  <si>
    <t>Tadım Tantuni, Hoşnudiye</t>
  </si>
  <si>
    <t>DENİZ BARUT / 2222346620 - 5337264966</t>
  </si>
  <si>
    <t>Hoşnudiye Mh. İsmet inönü 1 cd. A Blok No: 59/A</t>
  </si>
  <si>
    <t>5f33c4736b1e0f5af8f39f30</t>
  </si>
  <si>
    <t>Köfteci Dedenin Yeri, Tepebaşı (Kumlubel Mah.)</t>
  </si>
  <si>
    <t>Tepebaşı/	Kumlubel</t>
  </si>
  <si>
    <t>MURAT YAŞAR ERAT	/2223224243</t>
  </si>
  <si>
    <t>Kumlubel, Lise Sk. No:3, 26220 Tepebaşı/Eskişehir</t>
  </si>
  <si>
    <t>5f7c30b76d3948cab6363d3f</t>
  </si>
  <si>
    <t>Abam Çorba &amp; Sulu Yemek &amp; Kahvaltı, Odunpazarı (Büyükdere Mah.)</t>
  </si>
  <si>
    <t>MERYEM EROĞLU / 5457269126</t>
  </si>
  <si>
    <t>5f3552e602e0084bf18fd59b</t>
  </si>
  <si>
    <t>Three Monkeys Burger House (Vişnelik Mah.)</t>
  </si>
  <si>
    <t>Baturhan Şentürk / 5537390250 - 5055546245</t>
  </si>
  <si>
    <t>Vişnelik, Atatürk Blv. No:112, 26020 Odunpazarı/Eskişehir</t>
  </si>
  <si>
    <t>5f333104e99eb6a4db1c014c</t>
  </si>
  <si>
    <t>Gözdem Çiğ Köfte Evi, Tepebaşı (Eskibağlar.)</t>
  </si>
  <si>
    <t>İHSAN BENZENMİŞ / 5374716960</t>
  </si>
  <si>
    <t>ESKİ BAĞLAR MH.71/B TEPEBAŞI / ESKİBAĞLAR</t>
  </si>
  <si>
    <t>5fe9ef16eeb85d46c0cd607a</t>
  </si>
  <si>
    <t>Opia Coffee Co, Tepebaşı (Yenibağlar Mah.)</t>
  </si>
  <si>
    <t>Özge Sezer Özdemir/Erdal bey 5449348018</t>
  </si>
  <si>
    <t>Yenibağlar Mah. Eti Cad. No:41/C Tepebaşı/Eskişehir</t>
  </si>
  <si>
    <t>6035329af4f386713c817e0b</t>
  </si>
  <si>
    <t>Asi Çıtır Tavuk, Tepebaşı (Cumhuriye Mah.)</t>
  </si>
  <si>
    <t>Saliha hanım / 5538047640</t>
  </si>
  <si>
    <t>5fdbb793bbe311260fb55447</t>
  </si>
  <si>
    <t>Bozüyüklü Emre Kokoreç,Tepebaşı (Uluönder Mah.)</t>
  </si>
  <si>
    <t>EMRE KAYA-MUSA KAYA 5529434015</t>
  </si>
  <si>
    <t>Uluönder Mah. Sultan Sok. No:9/A Tepebaşı / Eskişehir</t>
  </si>
  <si>
    <t>Başar Doğu Ayhan / 5416394979</t>
  </si>
  <si>
    <t>ISMAHAN TUZYURDU / 5427300626</t>
  </si>
  <si>
    <t>Tunalı mah.Pehlivanlar sokak 5/A Tepebaşı / Eskişehir</t>
  </si>
  <si>
    <t>5fcb003ea280821fa2bedef1</t>
  </si>
  <si>
    <t>Safish Meze House, Tepebaşı (Hoşnudiye Mah. )</t>
  </si>
  <si>
    <t>Safiye Çiçek / 5523512677</t>
  </si>
  <si>
    <t>Hoşnudiye Mahallesi Şahin Caddesi No:76/D Tepebaşı/Eskişehir</t>
  </si>
  <si>
    <t>Aliye Karaçınar / 2225028686</t>
  </si>
  <si>
    <t>Çekimden haberleri yoktu</t>
  </si>
  <si>
    <t>Meryem Çulhaoğlu / 2223100273</t>
  </si>
  <si>
    <t>600c28c5276d0f79477a569b</t>
  </si>
  <si>
    <t>Yüce Işık Pide Kebap Salonu,Tepebaşı (Aşağısöğütönü Mah.)</t>
  </si>
  <si>
    <t>Tepebaşı / Aşağısöğütönü</t>
  </si>
  <si>
    <t>ZEYNEP YÜCEIŞIK - 5510778132</t>
  </si>
  <si>
    <t>Aşağı Söğütönü Mah. 1540.Sok. No. 3 İç Kapı No:Z3 Tepebaşı /Eskişehir</t>
  </si>
  <si>
    <t>Ahmet Kurt / 5538047640</t>
  </si>
  <si>
    <t>Bir sonraki güne ertelendi</t>
  </si>
  <si>
    <t>Kevser Sipahioğlı / 2223303031</t>
  </si>
  <si>
    <t>6052f62eae18d773856ee622</t>
  </si>
  <si>
    <t>Yandık Köfte, Tepebaşı (Eskibağlar Mah.)</t>
  </si>
  <si>
    <t>Veysel Bey / 5550147970</t>
  </si>
  <si>
    <t>Eskibağlar mah.Yenilik sk. No:26/A Tepebaşı Eskişehir</t>
  </si>
  <si>
    <t>Salih Bulut / 2225025050</t>
  </si>
  <si>
    <t>Demet Hanım / 2222309249-5065951975</t>
  </si>
  <si>
    <t>Hoşnudiye Mh. Sahilyolu Sk. Adalar No:20 Tepebaşı / Hoşnudiye</t>
  </si>
  <si>
    <t>Muhammed bey / 05079509184</t>
  </si>
  <si>
    <t>Fatih Ersoy / 5527033431</t>
  </si>
  <si>
    <t>cumhuriye mah başkan sok 41A Cumhuriye / Eskişehir</t>
  </si>
  <si>
    <t>Abur Cubur Pizza, Bahçelievler</t>
  </si>
  <si>
    <t>Ahmet İsmail Yaşar / 5444632015</t>
  </si>
  <si>
    <t>Bahçelievler mah. Fulya sokak no:22/A Bahçelievler / Eskişehir</t>
  </si>
  <si>
    <t>Ali Nurullah Aydemir / 2222332952</t>
  </si>
  <si>
    <t>Emine Çelik / 05434058710</t>
  </si>
  <si>
    <t>Serkan bey / 5352628977</t>
  </si>
  <si>
    <t>Cumartesi için konuşulacak burayla.</t>
  </si>
  <si>
    <t>Esra Esin Toraman / 5333105600</t>
  </si>
  <si>
    <t>5f67c6bef081aab154a5922c</t>
  </si>
  <si>
    <t>Tost Makinesi, Tepebaşı (Güllük Mah.)</t>
  </si>
  <si>
    <t>Selçuk Bey - 5462672026</t>
  </si>
  <si>
    <t>Güllük mh. Baysal sk. No:68/a Tepebaşı/Odunpazarı</t>
  </si>
  <si>
    <t>Yıldız Şenen / 2222290050</t>
  </si>
  <si>
    <t>Yetkilinin haberi yokmuş bu randevudan</t>
  </si>
  <si>
    <t>Tepebaşı / Şirinevler</t>
  </si>
  <si>
    <t>Tolga Bey - 2223353516</t>
  </si>
  <si>
    <t>Şirintepe, İsmet İnönü-2 Blv No:60/B Tepebaşı/Eskişehir</t>
  </si>
  <si>
    <t>Serkan Akkol - 2229991844</t>
  </si>
  <si>
    <t>Yunus bey / 5352791245</t>
  </si>
  <si>
    <t>Osmangazi, Basın Şehitleri Cd. No:175/C , 26140 Odunpazarı/Eskişehir</t>
  </si>
  <si>
    <t>Veysel Bey / 2222213326</t>
  </si>
  <si>
    <t>Odunpazarı / Alanönü</t>
  </si>
  <si>
    <t>Abidin bey-Gökhan bey / 5333074901</t>
  </si>
  <si>
    <t>Alanönü Mah. Hicri Sezen Cad. No:10/A Oduzpazarı/Eskişehir</t>
  </si>
  <si>
    <t>Öznur Akçay / 2222213534</t>
  </si>
  <si>
    <t>5f91bc6320c352919c86d38b</t>
  </si>
  <si>
    <t>Zümra Pasta &amp; Cafe, Tepebaşı (Sütlüce Mah.)</t>
  </si>
  <si>
    <t>Tepebaşı / Esentepe</t>
  </si>
  <si>
    <t>Abdurrahman Karaçor / 5526238262</t>
  </si>
  <si>
    <t>Sütlüce mah. Eğitimciler Cad. NO:17/a Tepebaşı/Eskişehir</t>
  </si>
  <si>
    <t>MUZAFFER ÖKSÜZ / 5333715309</t>
  </si>
  <si>
    <t>5f680f5bfbf4616e931b6e8a</t>
  </si>
  <si>
    <t>Keyfinas Waffle &amp; Tost, Osmangazi</t>
  </si>
  <si>
    <t>Vasiye Onuk / 5357373493</t>
  </si>
  <si>
    <t>Osmangazi Mah. Kemer Sok. No:42/A Odunpazarı/Eskişehir</t>
  </si>
  <si>
    <t>Hasan Soner / 2222501436</t>
  </si>
  <si>
    <t>Ezgi Kocatepe / 5461000026</t>
  </si>
  <si>
    <t>ERCAN ERDOĞAN / 5458720149</t>
  </si>
  <si>
    <t>Serkan Bey / 05252628977</t>
  </si>
  <si>
    <t>Cemre Hanım / 0534 299 21 48</t>
  </si>
  <si>
    <t>6052f2afcd697921afc263d6</t>
  </si>
  <si>
    <t>Abear Chicken Çıtır Tavuk, Tepebaşı (Yeşiltepe Mah.)</t>
  </si>
  <si>
    <t>Tepebaşı / Yeşiltepe</t>
  </si>
  <si>
    <t>Onurcan Bey / 5534985754</t>
  </si>
  <si>
    <t>Yeşiltepe mahallesi Beykoz sokak No 60 A Tepebaşı/ Eskişehir</t>
  </si>
  <si>
    <t>Ürünler benzer, 4-5 tane çeksek iki dükkanı da tamamlamış oluyoruz</t>
  </si>
  <si>
    <t>6052efad9f1d19610e010a88</t>
  </si>
  <si>
    <t>Abella Döner &amp; Tantuni &amp; Köfte, Tepebaşı (Yeşiltepe Mah.)</t>
  </si>
  <si>
    <t>6049e2007f1ab8bf3fdb2bc0</t>
  </si>
  <si>
    <t>Tantunix, Tepebaşı (Eskibağlar)</t>
  </si>
  <si>
    <t>Ali Eren Bey / 0537 028 94 79</t>
  </si>
  <si>
    <t>Eskibağlar Mah. Yenilik Sok. No:22 B Tepebaşı/Eskişehir</t>
  </si>
  <si>
    <t>6049e04e3ca2740ba5804114</t>
  </si>
  <si>
    <t>Sıkmacım,Tepebaşı(Eskibağlar)</t>
  </si>
  <si>
    <t>605264c7e7317c657b8ab441</t>
  </si>
  <si>
    <t>Mister Tost, Tepebaşı (Bahçelievler Mah.)</t>
  </si>
  <si>
    <t>Şervin Bey / 5522333859</t>
  </si>
  <si>
    <t>Bahçelievler Mah. Şimşek Sok. No 20 A Tepebaşı/ Eskişehir</t>
  </si>
  <si>
    <t>60526974cb2cf69e026eb816</t>
  </si>
  <si>
    <t>Beyrancı Müslüm Pide &amp; Kebap, Odunpazarı (Kurtuluş Mah.</t>
  </si>
  <si>
    <t>Enes Bey / 0555 178 27 43</t>
  </si>
  <si>
    <t>Kurtuluş Mah. Cumhuriyet Bulvarı No:78 Odunpazarı/ Eskişehir</t>
  </si>
  <si>
    <t>Öğle yoğunluğunda hem sipariş çok olur hem de ekstra ben hazırlarım tüm ürünleri hallederiz dedi Enes bey</t>
  </si>
  <si>
    <t>6036da9cc4832b9a8db01802</t>
  </si>
  <si>
    <t>As İzmirlim Patso &amp; Kumrucum, Odunpazarı (Büyükdere Mah.)</t>
  </si>
  <si>
    <t>Nazım Bey / 5456606594</t>
  </si>
  <si>
    <t>Büyükdere, Fakülte Sok. 5/C, Odunpazarı/Eskişehir</t>
  </si>
  <si>
    <t>5f96074aaf4198cce667b468</t>
  </si>
  <si>
    <t>Acı &amp; Tatlı Adıyaman Çiğ Köftecisi (Büyükdere Mah.)</t>
  </si>
  <si>
    <t>5fa89ed592ac0531c39164b7</t>
  </si>
  <si>
    <t>Aback's Burger &amp; Izgara, Odunpazarı (Büyükdere Mah.)</t>
  </si>
  <si>
    <t>Caner Bey / 0552 280 98 64</t>
  </si>
  <si>
    <t>Büyükdere, B Blok No:8/A, Millet Cd., 26040 Odunpazarı/Eskişehir</t>
  </si>
  <si>
    <t>çekim sağlanmamış</t>
  </si>
  <si>
    <t>6049ec1827aa2014cf5bb206</t>
  </si>
  <si>
    <t>Ada Izgara Köfte Kebap ,Tepebaşı (Sütlüce Mah.)</t>
  </si>
  <si>
    <t>İlkay Bey / 5332360326</t>
  </si>
  <si>
    <t>Sütlüce Mah. Demirkapı Sok. No:62 A Tepebaşı/Eskişehir</t>
  </si>
  <si>
    <t>6049e8ac8aa121675171716b</t>
  </si>
  <si>
    <t>Beyoğlu Gurme , Tepebaşı (Batıkent Mah.)</t>
  </si>
  <si>
    <t>Erdal Bey / 5550963434</t>
  </si>
  <si>
    <t>Batıkent Mah. Prof. Dr. Nusret Fişek Sok. No:2 B Tepebaşı/ Eskişehir</t>
  </si>
  <si>
    <t>Pınar Hanım / 0507 792 00 92</t>
  </si>
  <si>
    <t>606dbbb11278edf983387034</t>
  </si>
  <si>
    <t>Keskin Döner, Odunpazarı (İstiklal Mah.)</t>
  </si>
  <si>
    <t>Mehmet Bey / 2222206867</t>
  </si>
  <si>
    <t>İstiklal Mah. Başarılı Sok. No:11 C Odunpazarı / Eskişehir</t>
  </si>
  <si>
    <t>6070a5dc70bb29141dd4af78</t>
  </si>
  <si>
    <t>Abone Pide &amp; Lahmacun, Odunpazarı(Büyükdere Mah.)</t>
  </si>
  <si>
    <t>Muammer Bey / 2222391126</t>
  </si>
  <si>
    <t>Büyükdere Mah. Kaplanlı Cad. No:86 B Odunpazarı/ Eskişehir</t>
  </si>
  <si>
    <t>6059cb00dedd784f666c3747</t>
  </si>
  <si>
    <t>Yörük Çadırı, Odunpazarı (İstiklal Mah.)</t>
  </si>
  <si>
    <t>Hüseyin Bey / 2222200045</t>
  </si>
  <si>
    <t>İstiklal Mah. Reşadiye Cad. No:8 İç kapı no:42 Odunpazarı/Eskişehir</t>
  </si>
  <si>
    <t>60704b3585c495b5b7b269ab</t>
  </si>
  <si>
    <t>Bi Çiğköfte,Odunpazarı(Vişnelik Mah.)</t>
  </si>
  <si>
    <t>Nurettin Bey / 5323824718</t>
  </si>
  <si>
    <t>Vişnelik Mah. Öğretmenler Cad. No:47 B Odunpazarı/Eskişehir</t>
  </si>
  <si>
    <t>606b0a9a02b6971ee1865dba</t>
  </si>
  <si>
    <t>Turuncu Tantuni, Tepebaşı (Şirintepe Mah.)</t>
  </si>
  <si>
    <t>Harun Bey / 2223200885</t>
  </si>
  <si>
    <t>Şirintepe Mah. Karaca Sok. No:7 B Tepebaşı/ Eskişehir</t>
  </si>
  <si>
    <t xml:space="preserve"> UYGAR BEY/ 5319119157(ÇEKİM DEVAMI)</t>
  </si>
  <si>
    <t>607737354520f4b21c986a59</t>
  </si>
  <si>
    <t>Uncle Roll, Tepebaşı(Yenibağlar Mah.)</t>
  </si>
  <si>
    <t>Ersoy BEY/5467302626</t>
  </si>
  <si>
    <t>Yenibağlar Mah. Sapanca Sok. No:16 B Tepebaşı/ Eskişehir</t>
  </si>
  <si>
    <t>606f0a6e03182dd9bd8ea704</t>
  </si>
  <si>
    <t>Balat Ocakbaşı,Tepebaşı(Hoşnudiye Mah.)</t>
  </si>
  <si>
    <t>YUNUS BEY/5326252575</t>
  </si>
  <si>
    <t>Hoşnudiye Mah. İsmet İnönü-1 No:139 A Tepebaşı/ Eskişehir</t>
  </si>
  <si>
    <t>5f9027257ddac174cc9621cd</t>
  </si>
  <si>
    <t>Torku Ziyafet Döner, Tepebaşı (Yenibağlar Mah.)</t>
  </si>
  <si>
    <t>EMRAH BEY/2223220021</t>
  </si>
  <si>
    <t>Yenibağlar mah. üniversite cad. no:90 /A Tepebaşı/Eskişehir</t>
  </si>
  <si>
    <t>ALPER BEY/5394822214</t>
  </si>
  <si>
    <t>ÜRÜN ÇEKİMLERİMİZ OLMUŞ ZATEN DEYİP İPTALİNİ İSTEDİ</t>
  </si>
  <si>
    <t>Pınar hanım/5077920092</t>
  </si>
  <si>
    <t>60702e6226fd8357ce4b7eb2</t>
  </si>
  <si>
    <t>Asmin Döner, Tepebaşı(Yenibağlar Mah.)</t>
  </si>
  <si>
    <t>Turabi Bey / 5528500526</t>
  </si>
  <si>
    <t>Yenibağlar Mah. Sevingil Sok. No:1 Tepebaşı/Eskişehir</t>
  </si>
  <si>
    <t>607733f3cd039cd2b8c7d266</t>
  </si>
  <si>
    <t>Hooters Çıtır Dürüm, Tepebaşı(Şirintepe Mah.)</t>
  </si>
  <si>
    <t>Gökhan Bey / 5547101747</t>
  </si>
  <si>
    <t>Güllük mahallesi Gedik çıkmazı sokak 7/A Tepebaşı eskişehir</t>
  </si>
  <si>
    <t>ömer faruk bey/5324147942</t>
  </si>
  <si>
    <t>ömer faruk bey/5324147942(çekim devamı)</t>
  </si>
  <si>
    <t>Tepebaşı / Şirintepe (ÇEKİM DEVAMI)</t>
  </si>
  <si>
    <t>SERVET BEY/5466380079</t>
  </si>
  <si>
    <t>5f33e302fb6dd950bddd4cce</t>
  </si>
  <si>
    <t>Tiryaki Tost &amp; Express Coffee,Tepebaşı (Hoşnudiye Mah.)</t>
  </si>
  <si>
    <t>TALİB BEY/5061435585(ÇEKİM DEVAMI)</t>
  </si>
  <si>
    <t>Hoşnudiye, Hacet Sk. No:2C, 26130 Tepebaşı/Eskişehir</t>
  </si>
  <si>
    <t>ALİ EREN BEY/5370289479(ÇEKİM DEVAMI)</t>
  </si>
  <si>
    <t>Tepebaşı/Çamlıca(ÇEKİM DEVAMI)</t>
  </si>
  <si>
    <t>Enez bey /5303632626</t>
  </si>
  <si>
    <t>6079832f38cb1572c3357c25</t>
  </si>
  <si>
    <t>Dünya Fastfood, Tepebaşı (Güllük Mah.)</t>
  </si>
  <si>
    <t>Shahram Shahidi/5539362608</t>
  </si>
  <si>
    <t>Ömerağa Mah. Yılmazlar Sok. No:1 B Tepebaşı/ Eskişehir</t>
  </si>
  <si>
    <t>6079b8d27481557022de5ea7</t>
  </si>
  <si>
    <t>Kayra Usta Tantuni &amp; Çiğ Köfte, Tepebaşı (Şirintepe Mah.)</t>
  </si>
  <si>
    <t>Huriye hanım/5354946989</t>
  </si>
  <si>
    <t>Şirintepe Mah. Yaylapınar sk. No: 96 /A Tepebaşı / ESKİŞEHİR</t>
  </si>
  <si>
    <t>607950c3de7ecfd586a4a17a</t>
  </si>
  <si>
    <t>Bayram Usta Pide &amp; Kebap, Tepebaşı (Hoşnudiye Mah.)</t>
  </si>
  <si>
    <t>Bayram bey/2222335106</t>
  </si>
  <si>
    <t>Hoşnudiye Mah. Bayramyeri Sok. No:12 Tepebaşı / Eskişehir</t>
  </si>
  <si>
    <t>Tekrar çekim yapılacak, yetkili fotoğrafları beğenmemiş</t>
  </si>
  <si>
    <t>Tepebaşı/Hoşnudiye(çekim devamı)</t>
  </si>
  <si>
    <t>ilyas fatih bey/5365182674</t>
  </si>
  <si>
    <t>6079c7e8d415f01fb9abdfb7</t>
  </si>
  <si>
    <t>Ehli Köfte Burger, Tepebaşı(Yeşiltepe Mah.)</t>
  </si>
  <si>
    <t>Tepebaşı/Yeşiltepe</t>
  </si>
  <si>
    <t>OSMAN CAN BEY/5312610028</t>
  </si>
  <si>
    <t>Yeşiltepe Mah. Şehit Halit İlbay Cad. No:40 B Tepebaşı / Eskişehir</t>
  </si>
  <si>
    <t>Çekim istemiyorlar</t>
  </si>
  <si>
    <t>60795708974e084af30b50ba</t>
  </si>
  <si>
    <t>Bağlar Tantuni, Tepebaşı (Güllük Mah.)</t>
  </si>
  <si>
    <t>ERHAN BEY/5387472600</t>
  </si>
  <si>
    <t>Güllük Mah. Sakarya 2 Cad. No:45 A Tepebaşı / Eskişehir</t>
  </si>
  <si>
    <t>606d9ba832637d5369d7c090</t>
  </si>
  <si>
    <t>Argo Tost,Tepebaşı(Eskibağlar Mah.)</t>
  </si>
  <si>
    <t>MEHMET BURAK BEY/5357327041</t>
  </si>
  <si>
    <t>Eskibağlar Mah. Yenilik Sok. No:26 A Tepebaşı/Eskişehir</t>
  </si>
  <si>
    <t>Devam çekimi</t>
  </si>
  <si>
    <t>606d9ec3ccecbbf2800dd118</t>
  </si>
  <si>
    <t>Arsız Köfte,Tepebaşı(Eskibağlar Mah.)</t>
  </si>
  <si>
    <t>BAHADIR BEY/5415838754 (ÇEKİM DEVAMI)</t>
  </si>
  <si>
    <t>Bahçelievler, Prof. Dr. Orhan Oğuz Cd. No:113, 26120 Tepebaşı/Eskişehir</t>
  </si>
  <si>
    <t>TEPEBAŞI/YENİBAĞLAR</t>
  </si>
  <si>
    <t>çağrı bey/53368262381(çekim devamı)</t>
  </si>
  <si>
    <t>tepebaşı/Sütlüce</t>
  </si>
  <si>
    <t>SOHEIL BANAEI/5510459750(çekim devamı)</t>
  </si>
  <si>
    <t>Ürün eklemesi yaptık ama sistemde hala yüklenmesi gerçekleşmedi randevuyu yüklendikten sonra randevu oluşturalım der.</t>
  </si>
  <si>
    <t>bekir bey/5495199726(çekim devamı)</t>
  </si>
  <si>
    <t>bayramdan sonra aranacak</t>
  </si>
  <si>
    <t>6075b01942967570c0f90d88</t>
  </si>
  <si>
    <t>Afilli Tost, Tepebaşı (Yenibağlar Mah.)</t>
  </si>
  <si>
    <t>Muhammed Özgür Şimşek/5538221767</t>
  </si>
  <si>
    <r>
      <rPr>
        <rFont val="Arial"/>
      </rPr>
      <t>yenibağlar mah.sevingil sok.</t>
    </r>
    <r>
      <rPr>
        <rFont val="Arial"/>
        <color rgb="FF1155CC"/>
        <u/>
      </rPr>
      <t xml:space="preserve"> </t>
    </r>
    <r>
      <rPr>
        <rFont val="Arial"/>
      </rPr>
      <t>No:3/B</t>
    </r>
  </si>
  <si>
    <t>TEPEBAŞI/Mustafa Kemal Paşa</t>
  </si>
  <si>
    <t>HALİL BEY/5308919026</t>
  </si>
  <si>
    <t>uygundur bayramdan sonra arayın görüşelim</t>
  </si>
  <si>
    <t>serkan bey/5468089844(çekim devamı)</t>
  </si>
  <si>
    <t>Gülşah Kanallı</t>
  </si>
  <si>
    <t>6080028510bf22c765b717f5</t>
  </si>
  <si>
    <t>Adıyamanlı Çiğköftempark,Odunpazarı(Arifiye Mah.)</t>
  </si>
  <si>
    <t>Veysel Bey / 5462345628</t>
  </si>
  <si>
    <t>Arifiye Mah. Süleyman Çakır Cad. No:5 D Odunpazarı / Eskişehir</t>
  </si>
  <si>
    <t>malzeme eksik ileri tarihe alındı</t>
  </si>
  <si>
    <t>607948956af4c4d14381e652</t>
  </si>
  <si>
    <t>Gondol Çibörek, Odunpazarı (Arifiye Mah.)</t>
  </si>
  <si>
    <t>Hakan Bey / 5556889718</t>
  </si>
  <si>
    <t>Arifiye Mahallesi Porsuk Bulvarı İletişim Sokak No:13 B Odunpazarı / Eskişehir</t>
  </si>
  <si>
    <t>60794dffa1b8befa4dd4dbde</t>
  </si>
  <si>
    <t>Tatlıcı Fehmi Usta, Odunpazarı (Arifiye Mah.)</t>
  </si>
  <si>
    <t>Serap Usal 5432626772</t>
  </si>
  <si>
    <t>Arifiye Mah. Kıbrıs Şehitler Cad. No:2 A Odunpazarı / Eskişehir</t>
  </si>
  <si>
    <t>606b08a3f4e1a870cbcdd981</t>
  </si>
  <si>
    <t>Asil Pide Kebap,Odunpazarı(Deliklitaş Mah.)</t>
  </si>
  <si>
    <t>Mehmet Bey / 5442781306</t>
  </si>
  <si>
    <t>Deliklitaş Mah. Deliklitaş Cad. No:74 A Odunpazarı/ Eskişehir</t>
  </si>
  <si>
    <t>6081b2bfd3de6c5c6ecc011b</t>
  </si>
  <si>
    <t>Gaziantep Kebap &amp; Dürüm Evi, Tepebaşı (Hoşnudiye Mah.)</t>
  </si>
  <si>
    <t>Mehmet Toksöz/5528763030</t>
  </si>
  <si>
    <t>Hoşnudiye Mah. Tacin Sok. No:3 B Tepebaşı/ Eskişehir</t>
  </si>
  <si>
    <t>Çekime geç gidilmiş ürünleri hazır bekledim bir daha da istemiyorum der</t>
  </si>
  <si>
    <t>13.30</t>
  </si>
  <si>
    <t>606232ab06714e90bb67c56c</t>
  </si>
  <si>
    <t>Anadolu Gözleme, Tepebaşı( Bahçelievler Mah.)</t>
  </si>
  <si>
    <t>Tepebaşı/	Bahçelievler</t>
  </si>
  <si>
    <t>Hacer Bük/5454914929</t>
  </si>
  <si>
    <t>Bahçelievler Mah. Balkan Cad. No:44 B Tepebaşı/ Eskişehir</t>
  </si>
  <si>
    <t>ertelendi</t>
  </si>
  <si>
    <t>60809aef7481557feae05f9c</t>
  </si>
  <si>
    <t>Zerafet Çiğköfte,Tepebaşı (Mamure Mah.)</t>
  </si>
  <si>
    <t>Tepebaşı / Şeker</t>
  </si>
  <si>
    <t>Büşra Hanım / 5388881717</t>
  </si>
  <si>
    <t>Mamure Mah. Hasan Polatkan Cad. No:56/A Daire:5 Tepebaşı/Eskişehir</t>
  </si>
  <si>
    <t>608414ffed7a3e1e927376c8</t>
  </si>
  <si>
    <t>Ordinarius Coffee ,Tepebaşı(Eskibağlar Mah.)</t>
  </si>
  <si>
    <t>Gizem Hanım / 5323220170</t>
  </si>
  <si>
    <t>Eskibağlar Mah. Genez Sok. No:38/H Daire No:94 Tepebaşı/ Eskişehir</t>
  </si>
  <si>
    <t>609022ed0be4bd7ad5cdb122</t>
  </si>
  <si>
    <t>Kureyş Baklavaları, Tepebaşı(Cumhuriye Mah.)</t>
  </si>
  <si>
    <t>Gökhan Bey / 5063471479</t>
  </si>
  <si>
    <t>Cumhuriye Mah. Dinçel Sok. No:12 A Tepebaşı / Eskişehir</t>
  </si>
  <si>
    <t>608019d258e4351b07989ef7</t>
  </si>
  <si>
    <t>Keltavuk, Tepebaşı (İhsaniye Mah.)</t>
  </si>
  <si>
    <t>Tepebaşı / İhasaniye</t>
  </si>
  <si>
    <t>Bülent Bey / 5326696090</t>
  </si>
  <si>
    <t>İhsaniye mah. Gazi Yakup Satar cad. No:15/C Tepebaşı/ESKİŞEHİR</t>
  </si>
  <si>
    <t>RANDEVU ALINMAYACAK!!!!</t>
  </si>
  <si>
    <t>608006a7503bf199e540c5d1</t>
  </si>
  <si>
    <t>Merry-j Waffle, Tepebaşı( Yenibağlar Mah.)</t>
  </si>
  <si>
    <t>Tepebaşı/ Işıklar</t>
  </si>
  <si>
    <t>Ahmet Ulusoy 5362058266</t>
  </si>
  <si>
    <t>Işıklar Mh. Eceğül sk. 3/A Tepebaşı/ Eskişehir</t>
  </si>
  <si>
    <t>.12</t>
  </si>
  <si>
    <t>5fda8282bf429cef1fc1d930</t>
  </si>
  <si>
    <t>Deliklitaş Pide &amp; Kebap, Odunpazarı (Deliklitaş Mah.)</t>
  </si>
  <si>
    <t>Rafet Şorabatur/5306079777-2222345258</t>
  </si>
  <si>
    <t>Deliklitaş Mah. İbrahim Karaoğlanoğlu Cad. No:29 C Odunpazarı/ Eskişehir</t>
  </si>
  <si>
    <t>60802bd538cb150c7536e0b0</t>
  </si>
  <si>
    <t>Hazal Pide, Odunpazarı (Kurtuluş Mah.)</t>
  </si>
  <si>
    <t>Nevin KARAKAŞ/2222405610</t>
  </si>
  <si>
    <t>Kurtuluş Mah. Vatan Cad. No:60 ODUNPAZARI/ESKİŞEHİR</t>
  </si>
  <si>
    <t>60882ce6d72f80fc3172189d</t>
  </si>
  <si>
    <t>Cadde Tantuni, Odunpazarı (Gökmeydan Mah.)</t>
  </si>
  <si>
    <t>Odunpazarı/Gökmeydan</t>
  </si>
  <si>
    <t>Salih Yeşilçay/2222278613</t>
  </si>
  <si>
    <t>Gökmeydan Mah. Şükürtepe Sok. No:20 Odunpazarı / Eskişehir</t>
  </si>
  <si>
    <t>6080a4153273c840dd7bc313</t>
  </si>
  <si>
    <t>Gaziantepli Pide Salonu,Odunpazarı (Osmangazi Mah.)</t>
  </si>
  <si>
    <t>Odunpazarı/Osmangazi</t>
  </si>
  <si>
    <t>Şaban Dertliçoban/5078218470</t>
  </si>
  <si>
    <t>Osmangazi Mah. Kemer Sokak No:73 A Odunpazarı / Eskişehir</t>
  </si>
  <si>
    <t>601c875db780c4efd401377b</t>
  </si>
  <si>
    <t>Adıyamanlı Çiğ Köfteci, Tepebaşı (Yenibağlar Mah.)</t>
  </si>
  <si>
    <t>Demet Bilgiç/2222211416</t>
  </si>
  <si>
    <t>Yeni bağlar mah,  Yılmaz Büyükerşen Blv  Akarcık sok. No:27/A, 26000 Tepebaşı/Eskişehir</t>
  </si>
  <si>
    <t>6087026344bd2533cfddabc5</t>
  </si>
  <si>
    <t>Damak Tantuni &amp; Fast Food, Odunpazarı (Emek Mah.)</t>
  </si>
  <si>
    <t>Fırat Yaşlı/2222500421</t>
  </si>
  <si>
    <t>Emek Mah. Ertaş Cad. No:138 B Odunpazarı/Eskişehir</t>
  </si>
  <si>
    <t>6046946d4e9e97538fb51fc2</t>
  </si>
  <si>
    <t>Bulvar Pide &amp; Kebap &amp; Lahmacun, Odunpazarı (Emek Mah.)</t>
  </si>
  <si>
    <t>RAHİME KELEK/5372058674</t>
  </si>
  <si>
    <t>Emek mah. Ziya Gökalp Cad. B blok No: 66/A Eskişehir/Odunpazarı</t>
  </si>
  <si>
    <t>607810c0a562d48cb5f01f06</t>
  </si>
  <si>
    <t>Gaziantepli Pide &amp; Kebap, Odunpazarı(71. Evler Mah.)</t>
  </si>
  <si>
    <t>Odunpazarı/71 Evler 1. Bölge</t>
  </si>
  <si>
    <t>Hüseyin Tunçkaya/5454057429</t>
  </si>
  <si>
    <t>71 Evler Mah. Ertaş Cad. No:323 C Odunpazarı/ Eskişehir</t>
  </si>
  <si>
    <t>6080a0fa1e398b00311e622e</t>
  </si>
  <si>
    <t>Hacer Hala Ev Yemekleri,Odunpazarı ( Vişnelik Mah.)</t>
  </si>
  <si>
    <t>Hülya Mengi/5386921182</t>
  </si>
  <si>
    <t>Vişnelik Mah. Kahramanlar Sok. No:22/B Odunpazarı/ Eskişehir</t>
  </si>
  <si>
    <t>607de485670d462cc0aafaa6</t>
  </si>
  <si>
    <t>Alaçatı Tavuk Çevirme, Tepebaşı(Yenibağlar Mah.)</t>
  </si>
  <si>
    <t>tepebaşı/yenibağlar</t>
  </si>
  <si>
    <t>özgür bey/5382600431</t>
  </si>
  <si>
    <t>Yenibağlar Mah. Balkan Cad. No:107 /1 Tepebaşı/ Eskişehir</t>
  </si>
  <si>
    <t>6090102f8d56dfa6cf8076c9</t>
  </si>
  <si>
    <t>İkizler Tantuni, Odunpazarı(Paşa Mah.)</t>
  </si>
  <si>
    <t>Odunpazarı/Şarkiye</t>
  </si>
  <si>
    <t>İsmail Mıhcı/2222334549</t>
  </si>
  <si>
    <t>Paşa Mah. Ortaç Sok. No:1 İç Kapı No:8 Odunpazarı/Eskişehir</t>
  </si>
  <si>
    <t>6090476b86ba16efb58eb361</t>
  </si>
  <si>
    <t>Big Chicken House, Odunpazarı ( Arifiye Mah.)</t>
  </si>
  <si>
    <t>UĞUR CAN DOĞAN/2222020012</t>
  </si>
  <si>
    <t>Odunpazarı</t>
  </si>
  <si>
    <t>60882f83ed7a3e69d173c2f9</t>
  </si>
  <si>
    <t>Kebapçı Ahmet Usta,Odunpazarı(Kırmızıtoprak Mah.)</t>
  </si>
  <si>
    <t>Ahmet Kelek/5393351823</t>
  </si>
  <si>
    <t>Kırmızıtoprak Mah. Basın Şehitleri Cad. No:84/A Odunpazarı/Eskişehir</t>
  </si>
  <si>
    <t>60846302acb17f4e40dc44ef</t>
  </si>
  <si>
    <t>Nil Fırın, Odunpazarı(Kırmızıtoprak Mah.)</t>
  </si>
  <si>
    <t>Meryem Üstün Genç/5063144739</t>
  </si>
  <si>
    <t>Kırmızıtoprak mah . M.K. Atatürk Caddesi No:83/ B Odunpazarı / Eskişehir</t>
  </si>
  <si>
    <t>605270c611879741bf407b8a</t>
  </si>
  <si>
    <t>Ahsen Pide Kebap, Odunpazarı(Yenidoğan Mah.)</t>
  </si>
  <si>
    <t>Odunpazarı/Yenidoğan</t>
  </si>
  <si>
    <t>Gülnur Uslu/2222372186</t>
  </si>
  <si>
    <t>Yenidoğan Mah. Ali Rıza Efendi Cad. No:22 A İç kapı no: 17 Odunpazarı/ Eskişehir</t>
  </si>
  <si>
    <t>600642525e157f2564d861e6</t>
  </si>
  <si>
    <t>Antep Çiğ Köfte, Odunpazarı (Emek Mah.)</t>
  </si>
  <si>
    <t>Ahmet Duruel/5529357810</t>
  </si>
  <si>
    <t>Emek Mah. Güzelköy Sok. No:9/1 Odunpazarı / Eskişehir</t>
  </si>
  <si>
    <t>İptal etmiş çekim de istemiyor</t>
  </si>
  <si>
    <t>Fatih Likoğlu</t>
  </si>
  <si>
    <t>60bd11d537b1f448d75b4adf</t>
  </si>
  <si>
    <t>Anne Eli Kahvaltı &amp; Fast Food, Odunpazarı (Orhangazi Mah.)</t>
  </si>
  <si>
    <t>Gökhan Bey / 5466164016</t>
  </si>
  <si>
    <t>Orhangazi Mah. Kütahya Yolu Meydanı No:51/A PTT ŞUBESİ BİTİŞİĞİ Odunpazarı / Eskişehir</t>
  </si>
  <si>
    <t>60d17e6470291c692342a93f</t>
  </si>
  <si>
    <t>Bey Döner, Odunpazarı (Emek Mah.)</t>
  </si>
  <si>
    <t>Mehmet Ferhat Bey / 5413132626</t>
  </si>
  <si>
    <t>Emek Mah. Ertaş Cad. No:152/c Odunpazarı / Eskişehir</t>
  </si>
  <si>
    <t>60acd522d96bad09e3700789</t>
  </si>
  <si>
    <t>Prınce Döner, Odunpazarı ( Emek Mah.)</t>
  </si>
  <si>
    <t>Kemal Bey veya Onur Bey / 5432602226</t>
  </si>
  <si>
    <t>Emek Mah. Öztürkler Sok. No:8 A Odunpazarı / Eskişehir</t>
  </si>
  <si>
    <t>606b07d2306c3557c9e87750</t>
  </si>
  <si>
    <t>Antep Kebap Hacı Usta, Odunpazarı(Gökmeydan Mah.)</t>
  </si>
  <si>
    <t>Odunpazarı	Gökmeydan</t>
  </si>
  <si>
    <t>Mehmet Akar        5302000027</t>
  </si>
  <si>
    <t>Gökmeydan Mah. Ondokuz Mayıs Cad. No:104/A Odunpazarı/ Eskişehir</t>
  </si>
  <si>
    <t>60c610f094d150285719c59f</t>
  </si>
  <si>
    <t>Eylül Organik Market,Odunpazarı(Arifiye Mah.)</t>
  </si>
  <si>
    <t>Hülya Hanım / 5427932635</t>
  </si>
  <si>
    <t>Arifiye Mah. Sencer Sok. No: 2/3 Odunpazarı/Eskişehir</t>
  </si>
  <si>
    <t>60c0c77240e3a07db9cd04e4</t>
  </si>
  <si>
    <t>Emirdağ Pide &amp; Güveç, Odunpazarı (Gökmeydan Mah.)</t>
  </si>
  <si>
    <t xml:space="preserve">Odunpazarı / Gökmeydan </t>
  </si>
  <si>
    <t>Cengiz Bey / 5347774799 / 2222371296</t>
  </si>
  <si>
    <t>Gökmeydan Mah. Faruk Şükrü Cad. No:22 E Odunpazarı / Eskişehir</t>
  </si>
  <si>
    <t>Odunpazarı	Akarbaşı</t>
  </si>
  <si>
    <t>gokhan bey 05548529011</t>
  </si>
  <si>
    <t>603869305ccd51dbd7b0bbe4</t>
  </si>
  <si>
    <t>Hüseyin Usta Pide &amp; Kebap, Odunpazarı (Büyükdere Mah.)</t>
  </si>
  <si>
    <t>hüseyin bey 0538 593 68 30</t>
  </si>
  <si>
    <t>Büyükdere mah.Gençlik bulvarı No:39 Odunpazarı/Eskişehir</t>
  </si>
  <si>
    <t>Yıldız Şenen 505 143 60 06  2222290050</t>
  </si>
  <si>
    <t>çekim istemiyoruz çekilenler yeterli dediler</t>
  </si>
  <si>
    <t>609020e19982eb380bc9f923</t>
  </si>
  <si>
    <t>Şan Cafe &amp; Bistro, Odunpazarı(Vişnelik Mah.)</t>
  </si>
  <si>
    <t>çagatay bey 5548615092</t>
  </si>
  <si>
    <t>Akarbaşı Mah. Remzi Korkut Sok. No:1 Odunpazarı/ Eskişehir</t>
  </si>
  <si>
    <t xml:space="preserve">başka güne ertelendi </t>
  </si>
  <si>
    <t>"Odunpazarı	Gökmeydan"</t>
  </si>
  <si>
    <t>Tepebaşı	Güllük</t>
  </si>
  <si>
    <t>Ömer bey 507 581 20 74   2223239500</t>
  </si>
  <si>
    <t>sabah saatlerinde randevu istedi haftaya aranacak</t>
  </si>
  <si>
    <t>60c60bdfc0736234ef821422</t>
  </si>
  <si>
    <t>Abdullah Amcabey Baklava,Tepebaşı (Tunalı Mah.)</t>
  </si>
  <si>
    <t>Tepebaşı	Tunalı</t>
  </si>
  <si>
    <t>Tuğrul Önaçan	5309442634</t>
  </si>
  <si>
    <t>Tunalı Mah. Gaffar Okkan Cad. No:34 C Tepebaşı / Eskişehir</t>
  </si>
  <si>
    <t>60194a1a47ba30e87e0488e6</t>
  </si>
  <si>
    <t>Es Dönerhane, Odunpazarı (71 Evler Mah.)</t>
  </si>
  <si>
    <t>Odunpazarı	71 Evler Boş</t>
  </si>
  <si>
    <t>Bayram Ali Aydın 05423059816</t>
  </si>
  <si>
    <t>71 Evler Mah. Tuğba Sok. No:25 D Odunpazarı/ Eskişehir</t>
  </si>
  <si>
    <t>60bd0ce7a8d67d4596fe11dc</t>
  </si>
  <si>
    <t>Es Ar Kebap, Odunpazarı ( Vadişehir Mah.)</t>
  </si>
  <si>
    <t>Odunpazarı	Vadişehir</t>
  </si>
  <si>
    <t>Burak Ketenci	5073735550</t>
  </si>
  <si>
    <t>Vadişehir Mah. Nilüfer Cad. R Blok No:75 GA Odunpazarı / Eskişehir</t>
  </si>
  <si>
    <t>60526cd4cd697996cdc253fa</t>
  </si>
  <si>
    <t>Chicky &amp; Dany,Odunpazarı (Ihlamurkent Mah.)</t>
  </si>
  <si>
    <t>Odunpazarı	Ihlamurkent</t>
  </si>
  <si>
    <t>Yusuf bey   5332370026</t>
  </si>
  <si>
    <t>Ihlamurkent Mah. Nilüfer Cad D Blok No 14 B Odunpazarı / Eskişehir</t>
  </si>
  <si>
    <t>5fa89a3e866b02d1de9c9f9c</t>
  </si>
  <si>
    <t>Konak Izgara &amp; Mantı &amp; Kahvaltı, Odunpazarı (Akcami Mah.)</t>
  </si>
  <si>
    <t>Odunpazarı	Paşa</t>
  </si>
  <si>
    <t>ERKAN KOZAN        5303058585</t>
  </si>
  <si>
    <t>Kurşunlu Cami Sokak, 17 Akcami, Odunpazari, Eskişehir</t>
  </si>
  <si>
    <t>yoğunluktan dolayı iptal ettirmek istediğini belirtiler haftaya randevu için aranacak</t>
  </si>
  <si>
    <t>60269c147cc39902a854ff86</t>
  </si>
  <si>
    <t>Hey Joe Coffee Co, Odunpazarı (Vişnelik Mah.)</t>
  </si>
  <si>
    <t>Odunpazarı	Vişnelik</t>
  </si>
  <si>
    <t xml:space="preserve"> Burak Banaz Adi Ortaklık        5416394979</t>
  </si>
  <si>
    <t>Vişnelik Mah. Atatürk Blv. No:84 İç Kapı No:A Odunpazarı/Eskişehir</t>
  </si>
  <si>
    <t>randevu iptali gerçekleşti teyit için arandı açmadı.</t>
  </si>
  <si>
    <t>Odunpazarı	Deliklitaş</t>
  </si>
  <si>
    <t>ÖMER YETİK        5392165580</t>
  </si>
  <si>
    <t>Mekanı bahçeli olduğu için yağmurdan dolayı iptal etti</t>
  </si>
  <si>
    <t>Erdoğan bey 532 408 13 50   5525822426</t>
  </si>
  <si>
    <t>eleman eksiklğinden dolayı randevu iptali gerçekleşti bayramdan sonra tekrar aranmasını istiyor.</t>
  </si>
  <si>
    <t>İsmail bey 538 898 45 31  2222020012</t>
  </si>
  <si>
    <t>ustası rahatsızlandığı için randevu iptali gerçekleşti uygun bir güne tekrar randevu alınabilir./ 07/08/2021e ertelendi</t>
  </si>
  <si>
    <t>60c0b7ba96ca486922cc0f34</t>
  </si>
  <si>
    <t>Bsr, Odunpazarı( Arifiye Mah.)</t>
  </si>
  <si>
    <t>Ümitcan Akçardak   5536962626   2224056148</t>
  </si>
  <si>
    <t>Arifiye Mahallsi, Tayfun Sokak, No:25/A Odunpazarı, Eskişehir</t>
  </si>
  <si>
    <t>yoğunluktan dolayı ve fotoğrafları kendileri kullanamayacakları için randevu iptali gerçekleşti.</t>
  </si>
  <si>
    <t>60bd1da3f6cacd271c254f42</t>
  </si>
  <si>
    <t>Latife Cafe, Odunpazarı( Akcamii Mah.)</t>
  </si>
  <si>
    <t>Odunpazarı	Akcami</t>
  </si>
  <si>
    <t>Candeniz Göktaş	5321363060</t>
  </si>
  <si>
    <t>Akcami Mah. Cemalciler Sokak No:19 Odunpazarı / Eskişehir</t>
  </si>
  <si>
    <t>60b4c903c7fd13297f5c5c87</t>
  </si>
  <si>
    <t>Director's Cup,Odunpazarı (Arifiye Mah.)</t>
  </si>
  <si>
    <t>Çiğdem hanım 532 352 72 33   5325001412</t>
  </si>
  <si>
    <t>ARİFİYE MAH. Okullar SK. NO: 3 B ODUNPAZARI/ ESKİŞEHİR</t>
  </si>
  <si>
    <t>60d2cfd4b59e0a06148d8770</t>
  </si>
  <si>
    <t>Rembrandt Toast &amp; Lunch, Tepebaşı (Hoşnudiye Mah.)</t>
  </si>
  <si>
    <t>Tepebaşı	Hoşnudiye</t>
  </si>
  <si>
    <t>Umut Kumral	5335822307</t>
  </si>
  <si>
    <t>HOŞNUDİYE MAH. İSKENDER SK. NO: 8 /1A TEPEBAŞI/ ESKİŞEHİR</t>
  </si>
  <si>
    <t>Barış Kara	5495294726</t>
  </si>
  <si>
    <t>teyit için arandı çekime gidilecek.</t>
  </si>
  <si>
    <t>Odunpazarı	İstiklal</t>
  </si>
  <si>
    <t>Gökhan bey 530 735 43 71   2222210010</t>
  </si>
  <si>
    <t>Tepebaşı	Şeker</t>
  </si>
  <si>
    <t>Uğur bey 544 947 57 94     5388881717</t>
  </si>
  <si>
    <t>60c0c93ccc16a62e1503290c</t>
  </si>
  <si>
    <t>Coco Jambo, Tepebaşı (Hoşnudiye Mah.)</t>
  </si>
  <si>
    <t>Celaleddin Başer	5522061591</t>
  </si>
  <si>
    <t>Hoşnudiye Mah. istasyon Cad. No:9 A Tepebaşı / Eskişehir</t>
  </si>
  <si>
    <t>teyit için arandı ulaşılamadı.</t>
  </si>
  <si>
    <t>60c0ca8a5a60786914e36bce</t>
  </si>
  <si>
    <t>Koç Cağ Kebap,Tepebaşı (Hoşnudiye Mah.)</t>
  </si>
  <si>
    <t>Kadir Koç	2222200992</t>
  </si>
  <si>
    <t>Hoşnudiye Mah. İstasyon Cad. 35 A Tepebaşı / Eskişehir</t>
  </si>
  <si>
    <t>FOTOĞRAFÇI DEAVM EDİYOR İPTAL ETMEYİN TELEFONLARINIZA BAKAR MISINIZ LÜTFEN!!!!!</t>
  </si>
  <si>
    <t>5f32807b0bd9bc03e6fdc56b</t>
  </si>
  <si>
    <t>Fishy Balık Ekmek (Hoşnudiye Mah.)</t>
  </si>
  <si>
    <t xml:space="preserve">Tepebaşı/hoşnudiye </t>
  </si>
  <si>
    <t>HASAN ALİ AYBAR//5448196110</t>
  </si>
  <si>
    <t>Hoşnudiye, Vural Sk. No:19, 26130 Tepebaşı/Eskişehir</t>
  </si>
  <si>
    <t>60c616212b23b6584db839cd</t>
  </si>
  <si>
    <t>Altın Sofra, Tepebaşı (Zafer Mah.)</t>
  </si>
  <si>
    <t>Tepebaşı	Zafer</t>
  </si>
  <si>
    <t>Bilal bey 541 802 21 67   2223220060</t>
  </si>
  <si>
    <t>Zafer Mah. Gaffar Okkan Cad. No:96 A Tepebaşı/ Eskişehir</t>
  </si>
  <si>
    <t>60c0bddfdfedba34380fe9ab</t>
  </si>
  <si>
    <t>Asdo Dondurma Baklava,Tepebaşı( Esentepe Mah.)</t>
  </si>
  <si>
    <t>Tepebaşı	Esentepe</t>
  </si>
  <si>
    <t>Tunahan Aydın	5435511702</t>
  </si>
  <si>
    <t>Esentepe Mah. Eğitimciler Cad. 164/8 Tepebaşı/Eskişehir</t>
  </si>
  <si>
    <t>60cb782795b79c1fc2929abf</t>
  </si>
  <si>
    <t>Bubble ES Waffle,Tepebaşı (Cumhuriye Mah.)</t>
  </si>
  <si>
    <t>Fetihe Eda Önvar	5511074107</t>
  </si>
  <si>
    <t>Cumhuriye mah. Dinçel Sok. No: 10/A Tepebaşı/Eskişehir</t>
  </si>
  <si>
    <t xml:space="preserve">acil ailesinde ameliyat olması gereken biri varmış bu yüzden iptal istedi dükkanı kapatmış pazartesi günü aranacak yeni randevu oluşturmak için </t>
  </si>
  <si>
    <t>"Odunpazarı	Emek"</t>
  </si>
  <si>
    <t>Fırat bey 544 562 39 68    2222500421</t>
  </si>
  <si>
    <t>Muammer Çakır</t>
  </si>
  <si>
    <t>ferhat köksal</t>
  </si>
  <si>
    <t>6145b7312b54dc80fe390430</t>
  </si>
  <si>
    <t>Ciğerci İso Pide &amp; Kebap, Odunpazarı (Deliklitaş Mah.)</t>
  </si>
  <si>
    <t>ismail bey        5453724001- 05306012326</t>
  </si>
  <si>
    <t>Ürünleri hazır olmadığı için yarına ertelendi.</t>
  </si>
  <si>
    <t>6149d11bd86ab22850c2bb0f</t>
  </si>
  <si>
    <t>Özgül Urfa Pide &amp; Kebap, Odunpazarı (Yıldıztepe Mah.)</t>
  </si>
  <si>
    <t>Odunpazarı	Yıldıztepe</t>
  </si>
  <si>
    <t>Abdullah Yücebaş        5323601460</t>
  </si>
  <si>
    <t>Yıldıztepe Mah. Dumlupınar Cad. No:7/1A Odunpazarı / Eskişehir</t>
  </si>
  <si>
    <t>İptal nedeni:Ürünler ziyan olacağını düşünüyor ben size dönüş yapacağım der.</t>
  </si>
  <si>
    <t>Ayşegül Kır</t>
  </si>
  <si>
    <t>611ac1975451ef0690fdcf2d</t>
  </si>
  <si>
    <t>As Döner &amp; Fast Food, Odunpazarı (Arifiye Mah.)</t>
  </si>
  <si>
    <t>İlhan Özer        5453532606</t>
  </si>
  <si>
    <t>İstiklal Mah. Demirciler Sok. No:50 Odunpazarı / Eskişehir</t>
  </si>
  <si>
    <t>611ac04a2b55215ec5b5f313</t>
  </si>
  <si>
    <t>Star Kumpir &amp; Burger, Odunpazarı (Arifiye Mah.)</t>
  </si>
  <si>
    <t>Odunpazarı        Arifiye</t>
  </si>
  <si>
    <t>Arifiye mah. Türe sok . 4 / C</t>
  </si>
  <si>
    <t>60c9fcacec9ecea7305a826d</t>
  </si>
  <si>
    <t>Maya Butik Şarküteri, Odunpazarı (Kurtuluş Mah.)</t>
  </si>
  <si>
    <t>18.00</t>
  </si>
  <si>
    <t>Odunpazarı	Kurtuluş</t>
  </si>
  <si>
    <t>Utku Bey         5334975761</t>
  </si>
  <si>
    <t>Kurtuluş Mah. Ziya Paşa Cad. No:26 A Odunpazarı / Eskişehir</t>
  </si>
  <si>
    <t>60a251ab06a997432356a357</t>
  </si>
  <si>
    <t>Kokoreççi Yunus, Odunpazarı(Deliklitaş Mah.)</t>
  </si>
  <si>
    <t>Odunpazarı/Deliklitaş</t>
  </si>
  <si>
    <t>Mehmet Bey/5434232985</t>
  </si>
  <si>
    <t>Deliklitaş Mah. Değirmen Sok. No:6 A Odunpazarı / Eskişehir</t>
  </si>
  <si>
    <t>restoran dükkanın dısarıdan cekılecegını ürünü elinde tutarak cekılecegını zannediyor</t>
  </si>
  <si>
    <t>ismail bey/05306012326</t>
  </si>
  <si>
    <t>fotoğrafları varmış</t>
  </si>
  <si>
    <t>6158a05a6845406c7c85d636</t>
  </si>
  <si>
    <t>Selçuklu Etli Ekmek, Odunpazarı (Arifiye Mah.)</t>
  </si>
  <si>
    <t>Berkay Bey / 5528584226</t>
  </si>
  <si>
    <t>Arifiye Mahallesi Tekiz Sokak 16/A Odunpazarı Eskişehir</t>
  </si>
  <si>
    <t>6149a398300e5747fa3da116</t>
  </si>
  <si>
    <t>Çifte Kumru Fast Food, Odunpazarı (İstiklal Mah.)</t>
  </si>
  <si>
    <t>Ahmet Bey/5418602600</t>
  </si>
  <si>
    <t>İstiklal Mah. Demirciler sok. No:50/b</t>
  </si>
  <si>
    <t>perşembeye istiyor aranıp saat sorulacak</t>
  </si>
  <si>
    <t>6121292f9a4feb54e7d21514</t>
  </si>
  <si>
    <t>Çiğköfteci Salih Usta, Odunpazarı (Gültepe Mah.)</t>
  </si>
  <si>
    <t>Odunpazarı/Yenikent</t>
  </si>
  <si>
    <t>Salih Bey/5337645044</t>
  </si>
  <si>
    <t>Gültepe Mah. Şehit YZB. T. Güngör Cad. No:206/B Odunpazarı / Eskişehir</t>
  </si>
  <si>
    <t>covid şüphesinden kaynaklı iptal</t>
  </si>
  <si>
    <t>60e0414f835b0c2f956bc852</t>
  </si>
  <si>
    <t>Klas Çorba Döner Köfte Yemek Salonu, Odunpazarı(İstiklal Mah.)</t>
  </si>
  <si>
    <t>Odunpazarı        /İstiklal</t>
  </si>
  <si>
    <t>Halil Yılmaz / 5528245164</t>
  </si>
  <si>
    <t>İstiklal Mah. Konuk Sk. No:36 Odunpazarı/Eskişehir</t>
  </si>
  <si>
    <t>615a0a89c7a73a43e088ff61</t>
  </si>
  <si>
    <t>Ateşbaşı Kebbap, Odunpazarı (İstiklal Mah.)</t>
  </si>
  <si>
    <t>Odunpazarı	/İstiklal</t>
  </si>
  <si>
    <t>Gürhan Yılmaz/        2222343999</t>
  </si>
  <si>
    <t>İSTİKLAL MAH. BAŞARILI SK. NO: 7 A ODUNPAZARI/ESKİŞEHİR</t>
  </si>
  <si>
    <t>6110ed48b9ac195e2ea8b6af</t>
  </si>
  <si>
    <t>Kral Kokoreç, Odunpazarı (Kurtuluş Mah.)</t>
  </si>
  <si>
    <t>Odunpazarı	/Kurtuluş</t>
  </si>
  <si>
    <t>Dilan Kaplan        /2222213454</t>
  </si>
  <si>
    <t>Kurtuluş Mah. Şentürk Sok. No:12 B Odunpazarı / Eskişehir</t>
  </si>
  <si>
    <t>6126d8631bbe8fcd42d25735</t>
  </si>
  <si>
    <t>Çiğköfte Mutfağı, Odunpazarı (Vişnelik Mah.)</t>
  </si>
  <si>
    <t>Odunpazarı	/Vişnelik</t>
  </si>
  <si>
    <t>Kezban Turhal        /5461868682</t>
  </si>
  <si>
    <t>Vişnelik Mah. Öğretmenler Cad. No:5 B Odunpazarı / Eskişehir</t>
  </si>
  <si>
    <t>612a57458f06147387d6302f</t>
  </si>
  <si>
    <t>Vişne Pide &amp; Kebap, Odunpazarı (Sümer Mah.)</t>
  </si>
  <si>
    <t>Odunpazarı        /Sümer</t>
  </si>
  <si>
    <t>Eyyüp Kaya        /2222257979</t>
  </si>
  <si>
    <t>Urfalı Halil İbrahim Sofrası, Odunpazarı(Kırmızıtoprak Mah.)</t>
  </si>
  <si>
    <t>6149919b06dcd57afaf0e6a1</t>
  </si>
  <si>
    <t>Mushroom, Odunpazarı (İstiklal Mah.)</t>
  </si>
  <si>
    <t>Koray Bali/	5516339788</t>
  </si>
  <si>
    <t>İstiklal Mah. Duru Sok. No:5/1 Odunpazarı/Eskişehir</t>
  </si>
  <si>
    <t>erteleme istedi salıya ertelendi</t>
  </si>
  <si>
    <t>VOLKAN ERGİN	/5059018671</t>
  </si>
  <si>
    <t>çekimi salı günü istedi</t>
  </si>
  <si>
    <t>5ff0fc5e630a762b59ffece0</t>
  </si>
  <si>
    <t>Ege Döner Ekrem Usta, Odunpazarı (Arifiye Mah.)</t>
  </si>
  <si>
    <t>Ekrem Bey / 0542 448 38 40</t>
  </si>
  <si>
    <t>Arifiye mah 2 Eylül CAD Taşbaşı iş merkezi no 49 3 Odunpazarı Eskişehir</t>
  </si>
  <si>
    <t>615c97022aee5e1fd2e2e90f</t>
  </si>
  <si>
    <t>Asalet Döner, Odunpazarı (Büyükdere Mah.)</t>
  </si>
  <si>
    <t>Semih Bey / 5528263826</t>
  </si>
  <si>
    <t>Nisan Sokak 29/c</t>
  </si>
  <si>
    <t>Odunpazarı	/Arifiye</t>
  </si>
  <si>
    <t>Utku Harman	5452260237</t>
  </si>
  <si>
    <t xml:space="preserve">devam çekimi / ertelemek istedi müsait durumuna göre kendiisi dönecek </t>
  </si>
  <si>
    <t>My Patso, Odunpazarı (İstiklal Mah.)</t>
  </si>
  <si>
    <t>BAŞKA RANDEVU ALINMAYACAK..</t>
  </si>
  <si>
    <t>5f6e8c413f20e4611cf8dca1</t>
  </si>
  <si>
    <t>Islak Hamburger, Odunpazarı (İstiklal Mah.)</t>
  </si>
  <si>
    <t>ODUNPAZARI / İSTİKLAL</t>
  </si>
  <si>
    <t>ALAATTİN KARABİBER        5418602600</t>
  </si>
  <si>
    <t>RANDEVU ALINMAYACAK</t>
  </si>
  <si>
    <t>Koray Bali/        5516339788</t>
  </si>
  <si>
    <t>VOLKAN ERGİN  / 5059018671</t>
  </si>
  <si>
    <t>5fc02a71200b0d33a0a518f2</t>
  </si>
  <si>
    <t>Serince Çiğ Köfte, Odunpazarı (Arifiye Mah.)</t>
  </si>
  <si>
    <t>Ali Bey / 5386778626</t>
  </si>
  <si>
    <t>Arifiye Mah. İki Eylül Cad. No:90/B Odunpazarı / Eskişehir</t>
  </si>
  <si>
    <t>Selcan Topçu</t>
  </si>
  <si>
    <t xml:space="preserve">Serap Usal/5432626772              </t>
  </si>
  <si>
    <t>Sude Alkan</t>
  </si>
  <si>
    <t>61532b85bd56570a7f0d77e5</t>
  </si>
  <si>
    <t>My Tantuni, Odunpazarı (Büyükdere Mah.)</t>
  </si>
  <si>
    <t>Mehmet Yıldırım/2222292000/5452778943</t>
  </si>
  <si>
    <t>Büyükdere Mah. Kaplanlı Cad. No:111 B Odunpazarı / Eskişehir</t>
  </si>
  <si>
    <t>5fa47c75e67f4639046d8532</t>
  </si>
  <si>
    <t>Yakamoz Tantuni (Büyükdere Mah.)</t>
  </si>
  <si>
    <t>KADİR ADA2222393911/5301103326</t>
  </si>
  <si>
    <t>Büyükdere, Millet Cd., 26040 Odunpazarı/Eskişehir no 101/A</t>
  </si>
  <si>
    <t>Soner Bey / 5444752772</t>
  </si>
  <si>
    <t>61546de2fba70c36ed6830e2</t>
  </si>
  <si>
    <t>Joker Burger, Odunpazarı (Büyükdere Mah.)</t>
  </si>
  <si>
    <t>5f338c53abcd6abfb3e15752</t>
  </si>
  <si>
    <t>Nostalji Gözleme Evi (Büyükdere Mah.)</t>
  </si>
  <si>
    <t>5ff7e65cdef3884256df234b</t>
  </si>
  <si>
    <t>Sokak Lezzetleri ,Odunpazarı (Büyükdere Mah.)</t>
  </si>
  <si>
    <t>5f6e73979fe43a1ae13a68a4</t>
  </si>
  <si>
    <t>Yanık Mangal, Büyükdere</t>
  </si>
  <si>
    <t>BİRCAN YANIK/5050895007</t>
  </si>
  <si>
    <t>Büyükdere mah. Gençlik BLV. 83/A Odunpazarı/Eskişehir</t>
  </si>
  <si>
    <t>12:00dan önce oluşturulmayacak!!!!!</t>
  </si>
  <si>
    <t>60a21d96c4c262bdbf7e6ef1</t>
  </si>
  <si>
    <t>Mydonos Tantuni, Tepebaşı (Eskibağlar Mah.)</t>
  </si>
  <si>
    <t>Tepebaşı/Kanlıca</t>
  </si>
  <si>
    <t>5386330654/Gözde Hanım/2223202021</t>
  </si>
  <si>
    <t>Çamlıca mahallesi günseli sokak no 1 avm 2.kat</t>
  </si>
  <si>
    <t>SERHAN KUM/5079519127</t>
  </si>
  <si>
    <t>eksik 70 adet ürün var devam çekimi/ erteleme istedi gününü kendisi dönüş yapacak bildirecek</t>
  </si>
  <si>
    <t>614c4324deb5396c457289e7</t>
  </si>
  <si>
    <t>The Bear İzmir Sandviç, Tepebaşı(EskibağlarMah.)</t>
  </si>
  <si>
    <t>Ali Eren Bey/5370289479</t>
  </si>
  <si>
    <t>İşletme dar olduğu için çok ekipmanla gidilmemesi rica olundu işletme tarafından.Daha önce problem olmuş</t>
  </si>
  <si>
    <t>61498bf1000b696021b83056</t>
  </si>
  <si>
    <t>Tost In Gen, Tepebaşı (Eskibağlar Mah.)</t>
  </si>
  <si>
    <t xml:space="preserve">Mücahit Bey/5415713662 </t>
  </si>
  <si>
    <t>Eskibağlar Mah. Aşçı Sok. No:8 B Tepebaşı / Eskişehir</t>
  </si>
  <si>
    <t>Notlara bakmanız ricadır. Teşekkürler :)</t>
  </si>
  <si>
    <t>Gül Değirmenci</t>
  </si>
  <si>
    <t>6149cb2b9e06e06352144aa1</t>
  </si>
  <si>
    <t>Mehmet Efendi Baklavaları, Tepebaşı (Bahçelievler Mah.)</t>
  </si>
  <si>
    <t>Mehmet Çetinbaş/5534298680</t>
  </si>
  <si>
    <t>Bahçelievler Mah. Sakarya-2 Cad. No:83 C Tepebaşı / Eskişehir</t>
  </si>
  <si>
    <t>Saat sorunu yok saat 12:00 a yazdık ama görüşerek ileri veya geriye çekebilirsiniz..</t>
  </si>
  <si>
    <t>602534f92f6cd8a73f7d744d</t>
  </si>
  <si>
    <t>East &amp; West Restaurant, Tepebaşı (Bahçelievler Mah.)</t>
  </si>
  <si>
    <t>Mohammad Almoalem/5528282877</t>
  </si>
  <si>
    <t>Bahçelievler Mah. Toros Sk. A Blok No:1 A Tepebaşı/Eskişehir</t>
  </si>
  <si>
    <t>5f9cabfb85129f75177817a6</t>
  </si>
  <si>
    <t>BreakFast Time (Bahçelievler Mah.)</t>
  </si>
  <si>
    <t>Osman Çelik/5469251906</t>
  </si>
  <si>
    <t>Bahçelievler Mah. Prof.Dr.OrhanOğuz Cd. No:17 A Tepebaşı/Eskişehir</t>
  </si>
  <si>
    <t>Saat sorunu yok saat 16:00 a yazdık ama görüşerek ileri veya geriye çekebilirsiniz..</t>
  </si>
  <si>
    <t>5ff10bf7333ef5431faffb6f</t>
  </si>
  <si>
    <t>Cennet Simit, Tepebaşı (Bahçelievler Mah.)</t>
  </si>
  <si>
    <t>602b8ecc53e01d0a7a4ee83e</t>
  </si>
  <si>
    <t>Gözlemeci Raziye, Tepebaşı (Bahçelievler)</t>
  </si>
  <si>
    <t>Osman Çelik/5469251907</t>
  </si>
  <si>
    <t>609190e8d3de6c0418ce5ea5</t>
  </si>
  <si>
    <t>Adıyamanlı Çiğ Köfteci Kemal Usta, Tepebaşı (Orhanoğuz Cad.)</t>
  </si>
  <si>
    <t>Mustafa İslam Bozbay/5063890126</t>
  </si>
  <si>
    <t>Bahçelievler Mah. Prof. Dr. Orhan Oğuz Cad. No:31 C Tepebaşı/ Eskişehir</t>
  </si>
  <si>
    <t>615474805dbf6479da709101</t>
  </si>
  <si>
    <t>Meze Evim, Odunpazarı (Büyükdere Mah.)</t>
  </si>
  <si>
    <t>Dilek Hanım / 5526527226 / 5388659336</t>
  </si>
  <si>
    <t>Büyükdere Mah. Kaplanlı Cad. No:73 A Odunpazarı / Eskişehir</t>
  </si>
  <si>
    <t>yetkili yokmuş hazırlık yapamamış çalışanlar farklı bir güne de istemiyor</t>
  </si>
  <si>
    <t>5f35168bf7ff421bb12a75ea</t>
  </si>
  <si>
    <t>La Cotta Pizza, Büyükdere</t>
  </si>
  <si>
    <t>AHMET EKİN ÜNAL/2222393906/5058564410</t>
  </si>
  <si>
    <t>büyük dere mah prof dr nabi avcı bulvarı 4/53 I</t>
  </si>
  <si>
    <t>ertelemek istiyor o bölgeye gidildiği zaman tekrar aranacak</t>
  </si>
  <si>
    <t>5ff15c71dc26c71aded15ff2</t>
  </si>
  <si>
    <t>Brunch Box Kahvaltı, Tost, Sandwich, Odunpazarı (Büyükdere Mah)</t>
  </si>
  <si>
    <t xml:space="preserve">kndılerı donus saglıycaklar </t>
  </si>
  <si>
    <t>Betül Demir</t>
  </si>
  <si>
    <t>Ahmet DURUEL / 5529357810</t>
  </si>
  <si>
    <t>5f35a0d5cd664a35466ad373</t>
  </si>
  <si>
    <t>Konak Kebap, Odunpazarı (Büyükdere Mah.)</t>
  </si>
  <si>
    <t>Ebru HANIM / 2222392239</t>
  </si>
  <si>
    <t>Cüneyt Bey / 5067917147</t>
  </si>
  <si>
    <t>6149f6df9e06e041d51cf30b</t>
  </si>
  <si>
    <t>M&amp;A Kurabiye, Tepebaşı (Cumhuriye Mah.)</t>
  </si>
  <si>
    <t>Merve Hanım / 2222217999 / 5330433119</t>
  </si>
  <si>
    <t xml:space="preserve">dönüş sağlayacak </t>
  </si>
  <si>
    <t>6109bb12aae93d5493b963a7</t>
  </si>
  <si>
    <t>Meva Mantı Meze, Tepebaşı (Cumhuriye Mah.)</t>
  </si>
  <si>
    <t>6149f8578e1b3e0b0a9a80ef</t>
  </si>
  <si>
    <t>Tatlıcı Meva, Tepebaşı (Cumhuriye Mah.)</t>
  </si>
  <si>
    <t xml:space="preserve">HALİL İBRAHİM YILDIZ/2222314433       </t>
  </si>
  <si>
    <t>ARİFİYE MAH. İKİ EYLÜL CAD. NO: 76 A ODUNPAZARI/ ESKİŞEHİR</t>
  </si>
  <si>
    <t>devam cekımı</t>
  </si>
  <si>
    <t>6109a4013176c8cc12f4d161</t>
  </si>
  <si>
    <t>Belkıs Dayıoğlu Pide Kebab, Odunpazarı (Orhangazi Mah.)</t>
  </si>
  <si>
    <t>Odunpazarı        /ömür mevki</t>
  </si>
  <si>
    <t>İslim İlayda Nur Dayıoğlu//541 290 18 63</t>
  </si>
  <si>
    <t>Orhangazi Mah. Kütahya Yolu Meydanı A Blok No:87/A Odunpazarı / Eskişehir</t>
  </si>
  <si>
    <t xml:space="preserve">fotoğrafçı arkadaşımız mümkün olduğunca aç giderse iyi olur  </t>
  </si>
  <si>
    <t>616bf99d36e8295f3b7da653</t>
  </si>
  <si>
    <t>Konya Sofrası, Odunpazarı (Gültepe Mah.)</t>
  </si>
  <si>
    <t xml:space="preserve">Kemal Bulut/5348161599               </t>
  </si>
  <si>
    <t>Gültepe Mah. Halk Cad. No:131 C Odunpazarı / Eskişehir</t>
  </si>
  <si>
    <t xml:space="preserve">eBRU HANIMIN BUGÜN HİÇ GELMEDİĞİNİ İPTAL SEBEBİNİN NE OLDUĞUNU BİLMEDİĞİNİ SÖYLEDİ </t>
  </si>
  <si>
    <t>10:00-12:00- olarak radnevu alınacak. Arifiye mahallesi</t>
  </si>
  <si>
    <t>Odunpazarı /Arifiye mah</t>
  </si>
  <si>
    <t>Yılmaz Zengin /2222215042.</t>
  </si>
  <si>
    <t>Sivrihisar Cad. No: 10 Odunpazarı/Eskişehir</t>
  </si>
  <si>
    <t>tadilat varmış haftaya cumartesi arayın dedi</t>
  </si>
  <si>
    <t>Ferhat Köksal</t>
  </si>
  <si>
    <t>61546718e725fdb9e478341f</t>
  </si>
  <si>
    <t>Cennet Simit, Odunpazarı (Arifiye Mah.)</t>
  </si>
  <si>
    <t>Burak Van        5530448888 - 05071234444</t>
  </si>
  <si>
    <t>Arifiye Mah. İki Eylül Cad. No:15 A Odunpazarı / Eskişehir</t>
  </si>
  <si>
    <t>erteleme talep etti erken bir saate haftaya çarşambaya alındı</t>
  </si>
  <si>
    <t>15:30'dan sonra randevu alınmayacak...</t>
  </si>
  <si>
    <t>614995de000b695711b92eec</t>
  </si>
  <si>
    <t>The Roots, Tepebaşı (Eskibağlar Mah.)</t>
  </si>
  <si>
    <t>Serkan Bey / 5382769447</t>
  </si>
  <si>
    <t>Eskibağlar Mah. Akmescit Sok. No:4 A Tepebaşı / Eskişehir</t>
  </si>
  <si>
    <t>616bf4b70f99ce643bef15cf</t>
  </si>
  <si>
    <t>By Gurme Burger, Tepebaşı (Eskibağlar Mah.)</t>
  </si>
  <si>
    <t>Mesut Bey / 5327875414</t>
  </si>
  <si>
    <t>Eskibağlar Mah. Sakman Sok. No:29 B Tepebaşı/Eskişehir</t>
  </si>
  <si>
    <t>Tepebaşı	/Eskibağlar</t>
  </si>
  <si>
    <t>SUAT KARADAĞ        /5433429699</t>
  </si>
  <si>
    <t xml:space="preserve">devam çekimi  </t>
  </si>
  <si>
    <t>6166b54c567bc3b49d5f9378</t>
  </si>
  <si>
    <t>Mir Kebap Atölyesi, Tepebaşı (Eskibağlar Mah.)</t>
  </si>
  <si>
    <t>Gamze Hanım / 5394330126</t>
  </si>
  <si>
    <t>Eskibağlar Mah. Nazif Yörükçü Sok. No:66 D:1 Tepebaşı / Eskişehir</t>
  </si>
  <si>
    <t>6113bad451c3380761d19597</t>
  </si>
  <si>
    <t>Helvacı Ali, Tepebaşı(Yenibağlar Mah.)</t>
  </si>
  <si>
    <t>Emre Bey / 5445016618</t>
  </si>
  <si>
    <t>YENİBAĞLAR MAH. PROF. DR. YILMAZ BÜYÜKERŞEN BLV. NO: 47 C TEPEBAŞI/ ESKİŞEHİR</t>
  </si>
  <si>
    <t>60e05c00319f962cc251f0da</t>
  </si>
  <si>
    <t>Hasır, Tepebaşı (Yenibağlar Mah.)</t>
  </si>
  <si>
    <t xml:space="preserve">5071237528 Bayram Bey </t>
  </si>
  <si>
    <t>Yenibağlar Mah. Sapanca Sk. No:16 A Tepebaşı/Eskişehir</t>
  </si>
  <si>
    <t>yetkili uyanamamış saat 4ten sonra uyanıyomuş o yüzden iptal</t>
  </si>
  <si>
    <t>Muhammed Özgür / 5538221767</t>
  </si>
  <si>
    <t xml:space="preserve">yenibağlar mah  sevingil sokak no 3 </t>
  </si>
  <si>
    <t xml:space="preserve">Odunpazarı/ Arifiye </t>
  </si>
  <si>
    <t>İlyas UZUN / 2222213326</t>
  </si>
  <si>
    <t>5ff147ba34586744a54726aa</t>
  </si>
  <si>
    <t>Aperatif Fast Food, Odunpazarı (Arifiye Mah.)</t>
  </si>
  <si>
    <t>60870c191949c77baf251306</t>
  </si>
  <si>
    <t>Köfteci Kokoreçci Melih, Odunpazarı(Arifiye Mah.)</t>
  </si>
  <si>
    <t>Semih Yüreklier/2222211221/5374836323</t>
  </si>
  <si>
    <t>Arifiye Mah. Tuğlan Sok. No:8 Odunpazarı/ Eskişehir</t>
  </si>
  <si>
    <t>Pelin Hanım / 2222200045</t>
  </si>
  <si>
    <t>devam çekimi - 50den fazla ürünü var fotoğrafsız</t>
  </si>
  <si>
    <t>616bf0bdd88883e48928a359</t>
  </si>
  <si>
    <t>Meşhur Cantıkçı İbo, Odunpazarı (Osmangazi Mah.)</t>
  </si>
  <si>
    <t>Odunpazarı/	Osmangazi</t>
  </si>
  <si>
    <t>Serhat İsmail Çölük        2222258256 // 05535059687</t>
  </si>
  <si>
    <t>6110f11a1cebd17a196b12bb</t>
  </si>
  <si>
    <t>Mude Urfa Ocakbaşı Kebap, Odunpazarı (İstiklal Mah.)</t>
  </si>
  <si>
    <t>Muhammet Bıldırcın/5435502663</t>
  </si>
  <si>
    <t>İstiklal Mah. Mustafa Kemal Atatürk Cad. No:78 B Odunpazarı / Eskişehir</t>
  </si>
  <si>
    <t xml:space="preserve">şuan müsait değilim dedi ben 3-4 güne dönüş sağlarım tekrardan randevu olustururuz dedi </t>
  </si>
  <si>
    <t>BAŞKA RANDEVU ALINMAYACAK!!</t>
  </si>
  <si>
    <t>Meva Fırın Pastane</t>
  </si>
  <si>
    <t xml:space="preserve">Eskiden Gülana isimli işletme devir gerçekleşmiş ve isim değişikliği olmuş yeni ismi meva fırın pastane fakat sistemde ekli değildi bu eklendi </t>
  </si>
  <si>
    <t>istiklal / cumhuriye</t>
  </si>
  <si>
    <t>Karaçor Unlu Mamülleri</t>
  </si>
  <si>
    <t xml:space="preserve">osmangazi mah basın şehitleri caddesi no 289 odunpazarı eskişehir </t>
  </si>
  <si>
    <t xml:space="preserve">devam çekimi bu şubede çekilecek istiklal şubesi için de yüklenecek </t>
  </si>
  <si>
    <t>Utku Harman/ 5452260237</t>
  </si>
  <si>
    <t>Halil Yılmaz	5528245164</t>
  </si>
  <si>
    <t>devam çekimi/ okullar kapanacağı için malzemeyi boşa harcamak istemiyot</t>
  </si>
  <si>
    <t>60a8e25694585d3fc8700881</t>
  </si>
  <si>
    <t>Ekleristan, Tepebaşı (Hoşnudiye Mah.)</t>
  </si>
  <si>
    <t xml:space="preserve">Arda Tarazan/5342999496               </t>
  </si>
  <si>
    <t>Hoşnudiye Mah. Kızılcıklı Mahmut Pehlivan Cad. No: 7 C Tepebaşı/ Eskişehir</t>
  </si>
  <si>
    <t>617424b90c0904459343b60c</t>
  </si>
  <si>
    <t>Aurora Waffle, Tepebaşı (Hoşnudiye Mah.)</t>
  </si>
  <si>
    <t xml:space="preserve">Turgay Alver/5356001853        </t>
  </si>
  <si>
    <t>Hoşnudiye Mah. Kadife Çiçeği Sok. No:2/A Tepebaşı Eskişehir</t>
  </si>
  <si>
    <t>614475e44a68e7358c8ba1c3</t>
  </si>
  <si>
    <t>La Vita Kıtchen, Tepebaşı ( Hoşnudiye Mah.)</t>
  </si>
  <si>
    <t xml:space="preserve">Çınar Keskin/2222217050            </t>
  </si>
  <si>
    <t>Hoşnudiye mah. Tacin sk.No.9/1 Tepebaşı/Eskişehir</t>
  </si>
  <si>
    <t>6093f96be15eb76775619e23</t>
  </si>
  <si>
    <t>Üçüzler Baklava, Tepebaşı(Şirintepe Mah.)</t>
  </si>
  <si>
    <t>Tepebaşı /Şirintepe</t>
  </si>
  <si>
    <t xml:space="preserve">Ayşe Eker / 5412057525           </t>
  </si>
  <si>
    <t>Şirintepe Mah. Yaylapınar Sok. No:7 A Tepebaşı/ Eskişehir</t>
  </si>
  <si>
    <t>diğer şubesinden çekimi istiyor</t>
  </si>
  <si>
    <t xml:space="preserve">Umut Göğce/5465422296              </t>
  </si>
  <si>
    <t>6110fd3a4a2336091ca5528d</t>
  </si>
  <si>
    <t>Han Pide &amp; Kebap, Tepebaşı (Şirintepe Mah.)</t>
  </si>
  <si>
    <t>Tepebaşı        Şirintepe</t>
  </si>
  <si>
    <t>Ahmet Eraslan        2223308939</t>
  </si>
  <si>
    <t>Şirintepe Mah. Gözüpek Sok. No:7 A Tepebaşı / Eskişehir</t>
  </si>
  <si>
    <t xml:space="preserve"> </t>
  </si>
  <si>
    <t>Kübra Toprak</t>
  </si>
  <si>
    <t>6158a2b2ff8600fc83f357da</t>
  </si>
  <si>
    <t>Şehrim Köfte &amp; Çorba &amp; Sulu Yemek, Tepebaşı (Tunalı Mah.)</t>
  </si>
  <si>
    <t>Tepebaşı	/ Tunalı</t>
  </si>
  <si>
    <t>Ayşe Dikmen/ 5525515026</t>
  </si>
  <si>
    <t>TUNALI MAH. PROF DR ORHAN OĞUZ CAD NO 8 / D TEPEBAŞI ESKİŞEHİR</t>
  </si>
  <si>
    <t xml:space="preserve">haftaya 14:30 15:00 gibi </t>
  </si>
  <si>
    <t>60e756736ce46dfb754936b2</t>
  </si>
  <si>
    <t>Fırat Pide Kebap, Tepebaşı (Tunalı Mah.)</t>
  </si>
  <si>
    <t>Tepebaşı/ Tunalı</t>
  </si>
  <si>
    <t>Mahmut Yücebaş/ 5376746287</t>
  </si>
  <si>
    <t>Tunalı Mah. Sakarya 2 Cad. No:98 E Tepebaşı/Eskişehir</t>
  </si>
  <si>
    <t>60e8a34e58b5706241be4a7b</t>
  </si>
  <si>
    <t>Ateş Piliç Tantuni Köfte-Izgara Salonu,Tepebaşı (Tunalı Mah.)</t>
  </si>
  <si>
    <t>Tepebaşı	/Tunalı</t>
  </si>
  <si>
    <t>Mehmet Surha/ 5493306699</t>
  </si>
  <si>
    <t>Tunalı Mah. Sakarya 2 Cad. No:60 C Tepebaşı / Eskişehir</t>
  </si>
  <si>
    <t>616bfe15dd11c8196b72a74e</t>
  </si>
  <si>
    <t>Paketçim, Tepebaşı (Tunalı Mah.)</t>
  </si>
  <si>
    <t>618512e470d84b0ba13aae5f</t>
  </si>
  <si>
    <t>Ece'nin Mutfağı Fast Food, Tepebaşı (Yenibağlar Mah.)</t>
  </si>
  <si>
    <t xml:space="preserve">Tepebaşı/Yenibağlar </t>
  </si>
  <si>
    <t>Serkan Bey / 5305893367</t>
  </si>
  <si>
    <t>Yenibağlar Mah. Sapanca Sok. No:10 Tepebaşı Eskişehir</t>
  </si>
  <si>
    <t>618bfb17ec9dff32da8fd29e</t>
  </si>
  <si>
    <t>Dante Cafe, Tepebaşı (Hoşnudiye Mah.)</t>
  </si>
  <si>
    <t>Erkut ÇAKAR/ 5300832848</t>
  </si>
  <si>
    <t>Hoşnudiye Mah. Sahil Yolu Sok. No:32 Tepebaşı Eskişehir</t>
  </si>
  <si>
    <t>60e8a5e448bb371401561882</t>
  </si>
  <si>
    <t>Taş Köprü Adana Dürüm, Tepebaşı (Hoşnudiye Mah.)</t>
  </si>
  <si>
    <t>Hacı Bey / 5461380101</t>
  </si>
  <si>
    <t xml:space="preserve">Hoşnudiye mah. Bayrak sokak. no:6 Tepebaşı/ Eskişehir </t>
  </si>
  <si>
    <t>618640f0280e9725beb7b327</t>
  </si>
  <si>
    <t>Bro's Tantuni, Tepebaşı (Şirintepe Mah.)</t>
  </si>
  <si>
    <t>Müslüm Bey/5395072904</t>
  </si>
  <si>
    <t>Şirintepe Mah. Yaylapınar Sok. No:96 B Tepebaşı Eskişehir</t>
  </si>
  <si>
    <t>615a0e185833ee55b1a19a36</t>
  </si>
  <si>
    <t>Bereket Pide &amp; Döner, Tepebaşı (Bahçelievler Mah.)</t>
  </si>
  <si>
    <t>Ferhat Bey/5078206665</t>
  </si>
  <si>
    <t>Bahçelievler Mah. Prof. Dr. Orhan Oğuz Cad. No:95 B Tepebaşı Eskişehir</t>
  </si>
  <si>
    <t>İptal nedeni: Ustası 1 tane olduğu için yetişemeyeceğini düşünüp erteleme istediler.</t>
  </si>
  <si>
    <t>617071037a4e4b963e0506fa</t>
  </si>
  <si>
    <t>My Waffle, Tepebaşı (Bahçelievler Mah.)</t>
  </si>
  <si>
    <t>Serpil Hanım/5525441104</t>
  </si>
  <si>
    <t>BAHÇELİEVLER MAH. SEYLAP CAD. NO: 65 A TEPEBAŞI/ ESKİŞEHİR</t>
  </si>
  <si>
    <t>İptal nedeni için arandı ama açmadı.</t>
  </si>
  <si>
    <t>61866cab3a95d9741d2b7bb5</t>
  </si>
  <si>
    <t>Tombul Tavuk &amp; Izgara Mangal, Tepebaşı (Şirintepe Mah.)</t>
  </si>
  <si>
    <t xml:space="preserve">Tepebaşı/Şirintepe	</t>
  </si>
  <si>
    <t>Melike Akkuzu/ 5307761698</t>
  </si>
  <si>
    <t>şirintepe mahallesi paşasoylu sokak no:68/a Tepebaşı Eskişehir</t>
  </si>
  <si>
    <t>61824bc316b4f2514330981c</t>
  </si>
  <si>
    <t>Swarthy Fast Food, Tepebaşı (Bahçelievler Mah.)</t>
  </si>
  <si>
    <t>Osman Bey/5469251906</t>
  </si>
  <si>
    <t>Prof. Dr. Orhan Oğuz Cad., No:17A, Tepebaşı, Eskişehir, Türkiye,</t>
  </si>
  <si>
    <t>61276698a30d793a427cca20</t>
  </si>
  <si>
    <t>LoQQum Çiğköfte, Tepebaşı (Yenibağlar Mah.)</t>
  </si>
  <si>
    <t xml:space="preserve">Tepebaşı/ Yenibağlar </t>
  </si>
  <si>
    <t>Bünyamin Bey / 5323210226</t>
  </si>
  <si>
    <t>Yenibağlar Mah. Sevingil Sok. No:3 A Tepebaşı / Eskişehir</t>
  </si>
  <si>
    <t>Tuğba Buyur</t>
  </si>
  <si>
    <t>60c85fad5237fc9d092f5582</t>
  </si>
  <si>
    <t>Eskişehir Meze Evi, Tepebaşı (Hoşnudiye Mah.)</t>
  </si>
  <si>
    <t>Gülsüm Hanım/5528265326</t>
  </si>
  <si>
    <t>Hoşnudiye Mah. Mustafa Kemal Atatürk Cad. No:188 C Tepebaşı / Eskişehir</t>
  </si>
  <si>
    <t>611ac3d2c1dc645bacf6fbcd</t>
  </si>
  <si>
    <t>Gaziantep Karaeski Baklavaları, Tepebaşı (Çamlıca Mah.)</t>
  </si>
  <si>
    <t>Cuma Bey/5457142627</t>
  </si>
  <si>
    <t>Çamlıca Mah. Doğanşehir Sok. No:13 D Tepebaşı / Eskişehir</t>
  </si>
  <si>
    <t xml:space="preserve">Ahmet  Bey / 5412057525           </t>
  </si>
  <si>
    <t>Çamlıca Mah. güllük cad 40A</t>
  </si>
  <si>
    <t>611cf66874e1cbc9e74c680f</t>
  </si>
  <si>
    <t>Hatay Künefe Sadık Usta, Tepebaşı ( Mustafa Kemal Paşa Mah.)</t>
  </si>
  <si>
    <t>Tepebaşı/Mustafa Kemal Paşa</t>
  </si>
  <si>
    <t xml:space="preserve">Zeliha Işık/5537632734                </t>
  </si>
  <si>
    <t>Mustafa Kemal Paşa Mah. Sivrihisar Cad. No:16 A Tepebaşı / Eskişehir</t>
  </si>
  <si>
    <t>6086ff686502c22453ded0b9</t>
  </si>
  <si>
    <t>Helvacı Ali, Tepebaşı(Hoşnudiye Mah.)</t>
  </si>
  <si>
    <t>Betül Hanım/5558545614</t>
  </si>
  <si>
    <t>Hoşnudiye Mah. İsmet İnönü Cad. Gürdal Apt. 16/A Tepebaşı/ Eskişehir</t>
  </si>
  <si>
    <t>6187eaa5ba7c5a4a5e3ab4ec</t>
  </si>
  <si>
    <t>A Little Coffee, Tepebaşı (Cumhuriye Mah.)</t>
  </si>
  <si>
    <t>Tepebaşı /Cumhuriye</t>
  </si>
  <si>
    <t xml:space="preserve">Gökmen Göksel/5326084626             </t>
  </si>
  <si>
    <t>Cumhuriye Mh İsmet İnönü 1 Cd No:5 Tepebaşı Eskişehir</t>
  </si>
  <si>
    <t>5f328a5d250544651d1b585e</t>
  </si>
  <si>
    <t>Sağlık Lahmacun, Tepebaşı (Cumhuriye Mah.)</t>
  </si>
  <si>
    <t>Tepebaşı/ Cumhuriye</t>
  </si>
  <si>
    <t xml:space="preserve">REMZİ İDEM  /444 2 605/5468063614            </t>
  </si>
  <si>
    <t>Cumhuriye, Zübeyde Hanım Blv No: 22 A, 26010 Tepebaşı/Eskişehir</t>
  </si>
  <si>
    <t>15:00 randevusu öncesinden aranmak ister.</t>
  </si>
  <si>
    <t>Esra Esin Toraman/5333105600</t>
  </si>
  <si>
    <t>Kendim çekeceğim ileriki zamanlarda der</t>
  </si>
  <si>
    <t>61824f95d318ea7e42c7c8e7</t>
  </si>
  <si>
    <t>Nur Pide, Tepebaşı (Mamure Mah.)</t>
  </si>
  <si>
    <t>Tepebaşı/Mamure</t>
  </si>
  <si>
    <t xml:space="preserve">Mehmet Muharrem Ermiş/5433611476               </t>
  </si>
  <si>
    <t>Mamure Mah. Hasan Polatkan Cad. No:42 B Tepebaşı / Eskişehir</t>
  </si>
  <si>
    <t>İLERIDE RNDEVU ISTEDI</t>
  </si>
  <si>
    <t>6149c78f2d69893a65f2b864</t>
  </si>
  <si>
    <t>Aperatif Fast Food, Tepebaşı (Ömerağa Mah.)</t>
  </si>
  <si>
    <t>Tepebaşı/Ömerağa</t>
  </si>
  <si>
    <t xml:space="preserve">Türkan Bakılan/2223235633        </t>
  </si>
  <si>
    <t>Ömerağa Mah. Övünme Sok. No:6 A Tepebaşı / Eskişehir</t>
  </si>
  <si>
    <t xml:space="preserve">teyit için arandı ulaşılamıyor </t>
  </si>
  <si>
    <t>İlknur Kalabak/5309419538</t>
  </si>
  <si>
    <t>eskibağlar mah bacı sok 3/D</t>
  </si>
  <si>
    <t>devam çekimi/ bu aralar çok yoğunu vakit ayıramam der</t>
  </si>
  <si>
    <t>60da2d30c8be0925d17a2549</t>
  </si>
  <si>
    <t>Sufle Pasta Cafe &amp; Bistro, Tepebaşı (Hoşnudiye Mah.)</t>
  </si>
  <si>
    <t>Gamze Hanım / 5516008418</t>
  </si>
  <si>
    <t>Hoşnudiye Mah. Cengiz Topel Cad. No:23 Tepebaşı / Eskişehir</t>
  </si>
  <si>
    <t>Umut Kumral/5335822307</t>
  </si>
  <si>
    <t>61939bffdf8b02142645100c</t>
  </si>
  <si>
    <t>Çiğköfte'cim, Tepebaşı (Yenibağlar Mah.)</t>
  </si>
  <si>
    <t>İlhan Bey / 5461270100</t>
  </si>
  <si>
    <t>Yenibağlar Mah. Özbek Sok. No:8 A Tepebaşı Eskişehir</t>
  </si>
  <si>
    <t>6192ccf1e15469278535fa87</t>
  </si>
  <si>
    <t>Kafe Inn, Tepebaşı (Cumhuriye Mah.)</t>
  </si>
  <si>
    <t>Çiğdem Hanım / 5557527221</t>
  </si>
  <si>
    <t>Cumhuriye Mah. Yaprak Sok. No:6 A Tepebaşı Eskişehir</t>
  </si>
  <si>
    <t>60e04fc52a992115ac79a314</t>
  </si>
  <si>
    <t>Adıyamanlı Çiğ Köfteci Abuzeroğulları, Tepebaşı (Yeşiltepe Mah.)</t>
  </si>
  <si>
    <t xml:space="preserve">Tepebaşı/ Yeşiltepe </t>
  </si>
  <si>
    <t>Ömer Bey / 5447844222</t>
  </si>
  <si>
    <t>Yeşiltepe Mah. Bilgeç Cad. No:36C Tepebaşı/Eskişehir</t>
  </si>
  <si>
    <t>teyit için arandı telefon kapalı</t>
  </si>
  <si>
    <t>614b9f88dc6473efa4199885</t>
  </si>
  <si>
    <t>Nokta Pide &amp; Kebap, Tepebaşı (Esentepe Mah.)</t>
  </si>
  <si>
    <t>Tepebaşı /Esentepe</t>
  </si>
  <si>
    <t xml:space="preserve">SERDAR AYDEMİR/5456858527  </t>
  </si>
  <si>
    <t>ESENTEPE MH.EĞİTİMCİLER CD.NO:172/A No: TEPEBAŞI/ Eskişehir</t>
  </si>
  <si>
    <t xml:space="preserve">ürünlerini mail atacaklar </t>
  </si>
  <si>
    <t>60e2e2af1d1024e05482dca3</t>
  </si>
  <si>
    <t>Getir Usta Çiğköftecisi, Tepebaşı (Fatih Mah.)</t>
  </si>
  <si>
    <t>Tepebaşı/Fatih</t>
  </si>
  <si>
    <t>Erdal Bey/5071435857</t>
  </si>
  <si>
    <t>619b147fc591d55d788e4a90</t>
  </si>
  <si>
    <t>Altınbaşak Fırın, Tepebaşı (Hoşnudiye Mah.)</t>
  </si>
  <si>
    <t>Kürşat Bey / 2222100005 / 5309420337</t>
  </si>
  <si>
    <t>Hoşnudiye Mah. Cengiz Topel Cad. No:59 Tepebaşı Eskişehir</t>
  </si>
  <si>
    <t>61276970e96c51fd1bcdfb11</t>
  </si>
  <si>
    <t>Ala Express Kavurma Tirit, Tepebaşı (Güllük Mah.)</t>
  </si>
  <si>
    <t xml:space="preserve">Tepebaşı/ Güllük </t>
  </si>
  <si>
    <t>Ömer Faruk / 2223239500</t>
  </si>
  <si>
    <t>Güllük Mah. Çamlıca sok.No:21/A Tepebaşı/Eskişehir</t>
  </si>
  <si>
    <t>korona testi verdiği için dükkanı açamamış o yüzden ilerde aranmak istedi</t>
  </si>
  <si>
    <t>609407df6745002226075e6d</t>
  </si>
  <si>
    <t>Amigos Potato,Tepebaşı(Güllük Mah.)</t>
  </si>
  <si>
    <t>609406bc532d487c65252442</t>
  </si>
  <si>
    <t>Bright Breakfast,Tepebaşı(Güllük Mah.)</t>
  </si>
  <si>
    <t>6093fc737c9b3a4e7142a685</t>
  </si>
  <si>
    <t>Chubby Chicks, Tepebaşı(Güllük Mah.)</t>
  </si>
  <si>
    <t>609408c379f530a3536c956c</t>
  </si>
  <si>
    <t>Ala Express Dürümcü,Tepebaşı(Güllük Mah.)</t>
  </si>
  <si>
    <t>61825db1cd1a2f0d8331011b</t>
  </si>
  <si>
    <t>Ala Pizza, Tepebaşı (Eskibağlar Mah.)</t>
  </si>
  <si>
    <t xml:space="preserve">Hüseyin Dede        /2226148181         </t>
  </si>
  <si>
    <t>Eskibağlar Mah. Talatpaşa Sok. No:59 A Tepebaşı Eskişehir</t>
  </si>
  <si>
    <t>5f6e379fadafa00e92cbbb1f</t>
  </si>
  <si>
    <t>Crazy Chicken Sish (Güllük Mah.)</t>
  </si>
  <si>
    <t>Furkan bey : 05533088345/ 2223236090</t>
  </si>
  <si>
    <t>Güllük Mah. Alaç Sok. No:12/C Tepebaşı/Eskişehir</t>
  </si>
  <si>
    <t>devam çekimi alındı.</t>
  </si>
  <si>
    <t>Tepebaşı /Tunalı</t>
  </si>
  <si>
    <t xml:space="preserve">Ayşe Dikmen/5525515026        </t>
  </si>
  <si>
    <t>5f3378fd30bf6361f32c87ca</t>
  </si>
  <si>
    <t>Adana Böreği Yunus Usta, Tepebaşı (Hoşnudiye Mah.)</t>
  </si>
  <si>
    <t>Gülseren hanım : 0532 786 00 08</t>
  </si>
  <si>
    <t>Hoşnudiye, İstasyon Cd. No:41, 26130 Tepebaşı/Eskişehir</t>
  </si>
  <si>
    <t>onur bey : 2223303031/ 05427103284</t>
  </si>
  <si>
    <t>devam çekimi/ devam çekimine gerek duymuyor fotoğraflarım bu kadar yeterli der</t>
  </si>
  <si>
    <t xml:space="preserve">Fetihe Eda Önvar/5511074107            </t>
  </si>
  <si>
    <t>61969966021c458237f7a4f0</t>
  </si>
  <si>
    <t>Cingöz Tost, Odunpazarı (Arifiye Mah.)</t>
  </si>
  <si>
    <t>Emre Bey / 5539876000</t>
  </si>
  <si>
    <t>Arifiye Mah. Adliyeciler Sok. No:14 A Odunpazarı Eskişehir</t>
  </si>
  <si>
    <t xml:space="preserve">ID yok </t>
  </si>
  <si>
    <t xml:space="preserve">Tarihi Antep Çiğköfte </t>
  </si>
  <si>
    <t>61954eb588b914222bda8562</t>
  </si>
  <si>
    <t>Oğuzlar Pide &amp; Kebap, Odunpazarı (Büyükdere Mah.)</t>
  </si>
  <si>
    <t xml:space="preserve">Adem Bey / 2222393926 / 5414572076 </t>
  </si>
  <si>
    <t>Büyükdere Mah. Kaplanlı Cad. No:15/1 A Odunpazarı Eskişehir</t>
  </si>
  <si>
    <t>6192ca3ec22959dcec1c2e5a</t>
  </si>
  <si>
    <t>Liya Börek&amp;Pasta, Odunpazarı (Gökmeydan Mah.)</t>
  </si>
  <si>
    <t>09.00</t>
  </si>
  <si>
    <t xml:space="preserve">Nurdane Kurnaz/5389415379        </t>
  </si>
  <si>
    <t>Gökmeydan Mah. Kağıthane Sok. No:3 A Odunpazarı Eskişehir</t>
  </si>
  <si>
    <t>618527649a9897b20e41f0fb</t>
  </si>
  <si>
    <t>Nehir Döner, Odunpazarı (Huzur Mah.)</t>
  </si>
  <si>
    <t>Odunpazarı/Huzur</t>
  </si>
  <si>
    <t xml:space="preserve">Handan Türk/2222371777    </t>
  </si>
  <si>
    <t>Huzur Mah. Ali Rıza Efendi Cad. No:7/1 A Odunpazarı Eskişehir</t>
  </si>
  <si>
    <t>618a3f2da4848e09bbd87d31</t>
  </si>
  <si>
    <t>Karahan Yöresel Tatlar, Odunpazarı (Gökmeydan Mah.)</t>
  </si>
  <si>
    <t xml:space="preserve">Zeynep Karahan/5516763032                </t>
  </si>
  <si>
    <t>Gökmeydan Mah. Borsa Cad. No:54 A Odunpazarı Eskişehir</t>
  </si>
  <si>
    <t xml:space="preserve">erteleme olacak - çrş gününe ertelemesi sağlandı </t>
  </si>
  <si>
    <t>616c0764936f1c2b5bde6dda</t>
  </si>
  <si>
    <t>Burgerci Yakup, Odunpazarı (Vişnelik Mah.)</t>
  </si>
  <si>
    <t>Yakup Ergün/5061160233</t>
  </si>
  <si>
    <t>Vişnelik Mah. Kayıhan Sok. No:22 Odunpazarı / Eskişehir</t>
  </si>
  <si>
    <t>6172f8938978d53a3a50cb67</t>
  </si>
  <si>
    <t>Ice Wich, Odunpazarı (Vişnelik Mah.)</t>
  </si>
  <si>
    <t>Adnan Bey/2222377575/5055829399</t>
  </si>
  <si>
    <t>Vişnelik Mah. Karatay Sk. No:2 Odunpazarı Eskişehir</t>
  </si>
  <si>
    <t>618d9b914d6cd53a7c403040</t>
  </si>
  <si>
    <t>Meşhur Çiğ Köfteci Barış Usta, Odunpazarı (Osmangazi Mah.)</t>
  </si>
  <si>
    <t>Serhat İsmail Çölük/2222258256/5535059687</t>
  </si>
  <si>
    <t>Ömer Faruk / 2223239500/5324147942</t>
  </si>
  <si>
    <t>Başka bir güne çekilecekmiş</t>
  </si>
  <si>
    <t>619c43ea35672a7448b2d3c0</t>
  </si>
  <si>
    <t>Coffee &amp; Tea House, Odunpazarı (Arifiye Mah.)</t>
  </si>
  <si>
    <t>Odunpazarı/Akarbaşı</t>
  </si>
  <si>
    <t xml:space="preserve">Azime Ay        /5388958809                </t>
  </si>
  <si>
    <t>Arifiye Mah. Tayfun Sok. No:37 A Odunpazarı Eskişehir</t>
  </si>
  <si>
    <t>ıptal sebebı  şuanlık cekım ıstemıyor daha sonra grusmemıızı ıstedı</t>
  </si>
  <si>
    <t xml:space="preserve">Hazırlığım yok dedi çekim istemiyor </t>
  </si>
  <si>
    <t>61a0fca416f46b2254e9f6da</t>
  </si>
  <si>
    <t>Hak &amp; Dan Çay ve Tost Evi, Odunpazarı (İstiklal Mah.)</t>
  </si>
  <si>
    <t xml:space="preserve">Hanım Altın/5510785383        </t>
  </si>
  <si>
    <t>İstiklal Mah. Metinbey Sok. No:60 F Odunpazarı Eskişehir</t>
  </si>
  <si>
    <t>618530110fc81943694f2397</t>
  </si>
  <si>
    <t>Paşam Tavuk &amp; Izgara, Odunpazarı (Büyükdere Mah.)</t>
  </si>
  <si>
    <t xml:space="preserve">Hikmet Karatepe/5327238459       </t>
  </si>
  <si>
    <t>Büyükdere Mah. Millet Cad. A Blok No:80 A Odunpazarı Eskişehir</t>
  </si>
  <si>
    <t>fotografcı arakadasımız yetısemedıgı ıcın haftaya salı ertelemesı saglanıldı</t>
  </si>
  <si>
    <t>6192d08bca62751b9d606fa8</t>
  </si>
  <si>
    <t>Aydoğan Döner, Odunpazarı (Emek Mah.)</t>
  </si>
  <si>
    <t xml:space="preserve">Necmettin Aydoğan/5374473225             </t>
  </si>
  <si>
    <t>Emek Mah. Dilek Cad. No:2 A Odunpazarı Eskişehir</t>
  </si>
  <si>
    <t xml:space="preserve">restoran yetkilisine ulaşılamıyor </t>
  </si>
  <si>
    <t>BAŞKA ALINMAYACAK...</t>
  </si>
  <si>
    <t>Mehmet Akar/5302000027</t>
  </si>
  <si>
    <t>61a7c654e70e357681d4a5ea</t>
  </si>
  <si>
    <t>Lezita But’s Döner, Tepebaşı( Bahçelievler Mah.)</t>
  </si>
  <si>
    <t>Muhammed Yusuf/ 5468781940</t>
  </si>
  <si>
    <t>Bahçelievler Mah. Orhan Oğuz Cad. No: 103 B Tepebaşı / Eskişehir</t>
  </si>
  <si>
    <t xml:space="preserve">devam çekimi </t>
  </si>
  <si>
    <t>61a7ef70536fbfb45bbe851d</t>
  </si>
  <si>
    <t>Tostoyevski, Tepebaşı (Bahçelievler Mah.)</t>
  </si>
  <si>
    <t>Recep Ziya/ 5360604093</t>
  </si>
  <si>
    <t>Bahçelievler Mah. Dumanlı Sok. No:2 Tepebaşı Eskişehir</t>
  </si>
  <si>
    <t>61a36b44d201192f67aadacd</t>
  </si>
  <si>
    <t>Rana Fastfood, Tepebaşı (Sütlüce Mah.)</t>
  </si>
  <si>
    <t>Tepebaşı/Sütlüce</t>
  </si>
  <si>
    <t>Özcan/ 5539075064</t>
  </si>
  <si>
    <t>Sütlüce Mah. Uluzafer Cad. No:8 B Tepebaşı Eskişehir</t>
  </si>
  <si>
    <t>istemiyorum dedi Çok yoğunuz yoğunluktan dolayı iptal oldu müsait zamanda ben size dönüşyapayım der.</t>
  </si>
  <si>
    <t>18.00 a kadar büyükdereden alınabilir.</t>
  </si>
  <si>
    <t>Serap Apaydın</t>
  </si>
  <si>
    <t>61a28ff611e446809ae4ffa8</t>
  </si>
  <si>
    <t>Tatlıses Çiğköfte, Odunpazarı (Arifiye Mah.)</t>
  </si>
  <si>
    <t>Abdulkadir Bilgiç /5446316829</t>
  </si>
  <si>
    <t>Arifiye Mah. Süleyman Çakır Cad. No:10 Odunpazarı Eskişehir</t>
  </si>
  <si>
    <t>606f12d56d3eeb0d124093bb</t>
  </si>
  <si>
    <t>İskender Kaya/ 05464618291/2222252002</t>
  </si>
  <si>
    <t>Kırmızıtoprak Mah. Vali Ali Fuat Güven Cad. No:24 C Odunpazarı/ Eskişehir</t>
  </si>
  <si>
    <t xml:space="preserve"> Burak BEY5526283031</t>
  </si>
  <si>
    <t>haftaya cumaya ertelenecek</t>
  </si>
  <si>
    <t>61a4d224021c45ffedebebf3</t>
  </si>
  <si>
    <t>Ases Tost, Tepebaşı (Eskibağlar Mah.)</t>
  </si>
  <si>
    <t>İsmet/ 2223215419 / 5453192936</t>
  </si>
  <si>
    <t>Eskibağlar Mah. Yenilik Sok. No:26 A Tepebaşı / Eskişehir</t>
  </si>
  <si>
    <t>607e8552c36c87c91fef6d84</t>
  </si>
  <si>
    <t>Aksu Köfte &amp; Piyaz &amp; Meze, Tepebaşı (Yenibağlar Mah.)</t>
  </si>
  <si>
    <t>Özgür/ 5382600431</t>
  </si>
  <si>
    <t>Eski bağlar mah. Yenilik sok No:57</t>
  </si>
  <si>
    <t>İPTAL NEDENİ USTALARI KARANTİNADAYMIŞ BİTİNCE TEKRARDAN RANDEVUSUNU ALACAĞIM.</t>
  </si>
  <si>
    <t>61a2951ac53a9223d35ba1c0</t>
  </si>
  <si>
    <t>Gaziantepli Ciğerci Mustafa, Tepebaşı (Zafer Mah.)</t>
  </si>
  <si>
    <t>Mustafa/ 2223214046/ 5073281525</t>
  </si>
  <si>
    <t>Fatih Mh. Türkmen Dağı sk. No:15/B Tepebaşı/ Eskişehir</t>
  </si>
  <si>
    <t>5f9c947d117b182d56474c42</t>
  </si>
  <si>
    <t>Huzur Pide &amp; Kebap, Zafer</t>
  </si>
  <si>
    <t>Ayşe/ 5525515026</t>
  </si>
  <si>
    <t>5f2c1cd6b76a830b5f50b5dd</t>
  </si>
  <si>
    <t>Çarşı Fırın &amp; Çibörek, Odunpazarı (Arifiye Mah.)</t>
  </si>
  <si>
    <t>BEKLAN GENCER/5323137276/</t>
  </si>
  <si>
    <t>Arifiye, Korkmaz Sk. No:7, 26010 Odunpazarı/Eskişehir</t>
  </si>
  <si>
    <t>CUMAYA RANDEVU OLUSTURULDU HAFTAYA</t>
  </si>
  <si>
    <t>Mehmet Kurşun/5434232985</t>
  </si>
  <si>
    <t>2 ürün fotoğrafı çekilmiş</t>
  </si>
  <si>
    <t>Odunpazarı/Sümer</t>
  </si>
  <si>
    <t>Eyyüp Kaya:2222257979/5492211982</t>
  </si>
  <si>
    <t>Sümer Mah. Maral Sok. No:12 A Odunpazarı / Eskişehir</t>
  </si>
  <si>
    <t>devam çekimi alındı.eksik olan ürünleri çıkarmamışlar oyüzden çekim gerçekleşmemiş.</t>
  </si>
  <si>
    <t>614987eb06dcd59812f01742</t>
  </si>
  <si>
    <t>Mr. Kokoreç, Odunpazarı (Kırmızıtoprak Mah.)</t>
  </si>
  <si>
    <t>Ayşenur Ertürk/5013281226</t>
  </si>
  <si>
    <t>Kırmızıtoprak Mah. Taşköprü Cad. No:62 A Odunpazarı/Eskişehir</t>
  </si>
  <si>
    <t>ayşenur hanım eşine işletmeyi açmasını söylemiş ama eşine daha sonra ulaşamamış. kendi fotolarını göndercek</t>
  </si>
  <si>
    <t>15:00'dan sonra randevu alınmayacak...</t>
  </si>
  <si>
    <t>61ad16173c8d99afdce683d3</t>
  </si>
  <si>
    <t>Alaçatı Kumru &amp; Hamburger, Odunpazarı (Arifiye Mah.)</t>
  </si>
  <si>
    <t>Ömür Bey / 5435061051 / 2222010008</t>
  </si>
  <si>
    <t>Arifiye Mah. Özger Sok. No:12 F Odunpazarı Eskişehir</t>
  </si>
  <si>
    <t>Odunpazarı/Yıldıztepe</t>
  </si>
  <si>
    <t>Alper Bey / 2222312722</t>
  </si>
  <si>
    <t>6117b223824f47d535f8da56</t>
  </si>
  <si>
    <t>Kral Kumru &amp; Izgara, Tepebaşı ( Bahçelievler Mah.)</t>
  </si>
  <si>
    <t>Görkem Bey/2223210080</t>
  </si>
  <si>
    <t>Bahçelievler Mah. Dumanlı Sok. No:9 B Tepebaşı / Eskişehir</t>
  </si>
  <si>
    <t>Erteleme nedeni yetkili hastanede olacakmış o yüzden prş gününe ertelendi.</t>
  </si>
  <si>
    <t>600b42679dceb63d40080f7a</t>
  </si>
  <si>
    <t>The Waffle Coffee, Tepebaşı (Eskibağlar Mah.)</t>
  </si>
  <si>
    <t>12:30-13:00</t>
  </si>
  <si>
    <t>Tepebaşı	Yenibağlar</t>
  </si>
  <si>
    <t>FATİH İLYAS ÖZCAN/5435080326</t>
  </si>
  <si>
    <t>Yenibağlar Mah. Prof. Dr. Yılmaz Büyükerşen Blv. No :39/B Tepebaşı / Eskişehir</t>
  </si>
  <si>
    <t xml:space="preserve">Tepebaşı/mamure </t>
  </si>
  <si>
    <t>Uğur bey:5388881717</t>
  </si>
  <si>
    <t>Ömer Bey/5383033737/2223235633</t>
  </si>
  <si>
    <t>Geçen sefer ulaşılamadığı için gidilmemiş ama hep işletmedeyiz gelsinler diyor.</t>
  </si>
  <si>
    <t>Yılmaz Zengin	2222215042</t>
  </si>
  <si>
    <t>devam çekimi-ustaları rahatsız oldugu için çekim sağlanamadı. daha sonra görüşülcek</t>
  </si>
  <si>
    <t>Hüseyin Bey/2222390158 / 5385936830</t>
  </si>
  <si>
    <t>biz maliyeti karşılayamayız kendmiz çekip atalım</t>
  </si>
  <si>
    <t>61b72440af54f598183f045e</t>
  </si>
  <si>
    <t>Food Corner, Odunpazarı (Büyükdere Mah.)</t>
  </si>
  <si>
    <t>Murathan Bey / 5456093291</t>
  </si>
  <si>
    <t>Büyükdere Mah. Prof. Dr. Nabi Avcı Blv. Esogü Çarşı B Blok No:4/53 Odunpazarı Eskişehir</t>
  </si>
  <si>
    <t>ekmek yokmus iptal edildi</t>
  </si>
  <si>
    <t>618520b8ae24ef68a2620984</t>
  </si>
  <si>
    <t>Afyonca, Odunpazarı (Kırmızıtoprak Mah.)</t>
  </si>
  <si>
    <t>Cenk Özel/5350541125</t>
  </si>
  <si>
    <t>Kırmızıtoprak mah. Ercan sok. No 52/a odunpazarı- Eskişehir</t>
  </si>
  <si>
    <t>fotoğraf standartlarınız onlara uygun değilmiş bu yüzden kendileri çekim yapcaklarmış</t>
  </si>
  <si>
    <t>60a75f3c9edb2c90527d383f</t>
  </si>
  <si>
    <t>Rail 112 Kitchen, Tepebaşı (Uluönder Mah.)</t>
  </si>
  <si>
    <t xml:space="preserve">Alihan Çelik/2222330112                </t>
  </si>
  <si>
    <t>Uluönder Mah. Salih Bozok Cad. No:3 B Tepebaşı/ Eskişehir</t>
  </si>
  <si>
    <t>Aliye Hanım / 5388122194 / 2225028686</t>
  </si>
  <si>
    <t xml:space="preserve">restoran kaynaklı </t>
  </si>
  <si>
    <t>BEKLAN GENCER/5323137276</t>
  </si>
  <si>
    <t>fotoğrafçının eşi ve çocuğu rahatsız olduğu için ERTELEMESI SAGLANILDI</t>
  </si>
  <si>
    <t>61214c31ccc2900790c54b96</t>
  </si>
  <si>
    <t>Vitamin 1001, Odunpazarı (Ihlamurkent Mah.)</t>
  </si>
  <si>
    <t>Odunpazarı/Ihlamurkent</t>
  </si>
  <si>
    <t>Müftah Bey / 5346474039</t>
  </si>
  <si>
    <t>Ihlamurkent Mah. Nevruz Cad. No:51 C Odunpazarı / Eskişehir</t>
  </si>
  <si>
    <t>fotoğrafçının eşi ve çocuğu rahatsız olduğu için iptal oldu</t>
  </si>
  <si>
    <t>Koray Bey / 5516339788</t>
  </si>
  <si>
    <t>devir işelemi olacakmış çekim olmayacak</t>
  </si>
  <si>
    <t>616c0398d9efff795b277493</t>
  </si>
  <si>
    <t>Dilo's Döner &amp; Hamburger, Odunpazarı (Ihlamurkent Mah.)</t>
  </si>
  <si>
    <t xml:space="preserve">Osman Varli/2225031111       </t>
  </si>
  <si>
    <t>Ihlamurkent Mah. Nilüfer Cad. No: 14 B Odunpazarı Eskişehir</t>
  </si>
  <si>
    <t>61c0f12f6d2da40466111cf9</t>
  </si>
  <si>
    <t>Adalı Kumru &amp; Fast Food, Tepebaşı (Şirintepe Mah.)</t>
  </si>
  <si>
    <t>Ali Bey / 5449143300</t>
  </si>
  <si>
    <t>Şirintepe Mah. Yaylapınar Cad. NO: 96/ A TEPEBAŞI/ ESKİŞEHİR</t>
  </si>
  <si>
    <t>61a232ec3bd61264e0dbc4c6</t>
  </si>
  <si>
    <t>Bence Döner Tantuni, Tepebaşı ( Şirintepe Mah.)</t>
  </si>
  <si>
    <t>Aysu Hanım / 5461362426</t>
  </si>
  <si>
    <t>61bb7a5467339e5cbe9f07a5</t>
  </si>
  <si>
    <t>Tantunici Mehmet Usta, Tepebaşı (Şirintepe Mah.)</t>
  </si>
  <si>
    <t>Mehmet Bey / 2223303525 / 5418703525</t>
  </si>
  <si>
    <t>Şirintepe Mah. Bursa Cad. No:37 A Tepebaşı Eskişehir</t>
  </si>
  <si>
    <t>Utku Bey / 5334975761</t>
  </si>
  <si>
    <t>çekilecek ürün yokmuş</t>
  </si>
  <si>
    <t>RESTORAN YETKİLİSİ RAHATSIZ TEKRARDAN RANDEVU OLUSTURULACAK</t>
  </si>
  <si>
    <t>61bcd5b03b26a242e9b056e9</t>
  </si>
  <si>
    <t>Tatarhan Çiftliği Izgara, Odunpazarı (Kurtuluş Mah.)</t>
  </si>
  <si>
    <t>Levent Kanber /5068207704</t>
  </si>
  <si>
    <t>Kurtuluş Mah. Ziya Paşa Cad. No:4 A Odunpazarı Eskişehir</t>
  </si>
  <si>
    <t>SABAH TEKRAR ARANSIN / ürünleri halledemem saha temsilcisinin elinde vardır fotoğrafları vardır onlar kullanılır der. hemde sistemi kapalıymış çekim olmadı eksik ürünleri de varmış hepsini çıkarınca dönüş sağlayacak</t>
  </si>
  <si>
    <t>SEDAT YAKAN/2222209998</t>
  </si>
  <si>
    <t>KENDİLERİ ÇEKİM SAGLAYACAKLAR MALİYETLİ OLURMUS</t>
  </si>
  <si>
    <t>LOKOSYON NEDENİYLE ERTELEME PAZARTESİYE SAGLANDI</t>
  </si>
  <si>
    <t>61c4bc03029f19c3b618f3e8</t>
  </si>
  <si>
    <t>Hayat Tatlı, Tepebaşı (Şirintepe Mah.)</t>
  </si>
  <si>
    <t xml:space="preserve">Tepebaşı / Şirintepe </t>
  </si>
  <si>
    <t>Müslüm Kavşut/5395072904</t>
  </si>
  <si>
    <t>61867dd7ef14d5b3ae671642</t>
  </si>
  <si>
    <t>Stuttgart Alman Döneri, Tepebaşı (Şirintepe Mah.)</t>
  </si>
  <si>
    <t>61b9fc5f10687ded227e2054</t>
  </si>
  <si>
    <t>Adıyamanlı Çiğ Köfte &amp; Tatlı, Odunpazarı (Büyükdere Mah.)</t>
  </si>
  <si>
    <t xml:space="preserve">ALİ TURAN/5456606594              </t>
  </si>
  <si>
    <t>Büyükdere, Dalgıç Sok. 5/C, Odunpazarı/Eskişehir</t>
  </si>
  <si>
    <t>61bb6ca962e0e6750a74d552</t>
  </si>
  <si>
    <t>Gaziantep Şirinler Tatlı, Odunpazarı (Büyükdere Mah.)</t>
  </si>
  <si>
    <t>Ağla Tantuni</t>
  </si>
  <si>
    <t>İsmi daha önceden As İzmirlim Patso &amp; Kumrucum, Odunpazarı (Büyükdere Mah.) ama tabela değişikliği olmuş</t>
  </si>
  <si>
    <t>6192c515c534ae8654b81d26</t>
  </si>
  <si>
    <t>Dönerci Bülent Usta, Tepebaşı (Batıkent Mah.)</t>
  </si>
  <si>
    <t>5382208062 Figen Hanım</t>
  </si>
  <si>
    <t>Batıkent Mah. Bülent Ecevit Bulvarı no:29 A Tepebaşı Eskişehir</t>
  </si>
  <si>
    <t>619ac809c52e2f45cc777aa9</t>
  </si>
  <si>
    <t>Hüseyin Usta Mevlana Pide, Tepebaşı (Çamlıca Mah.)</t>
  </si>
  <si>
    <t>Hüseyin Baydur/5322165577</t>
  </si>
  <si>
    <t>Çamlıca, Ulusal Egemenlik Blv. no 174/A, 26180 Tepebaşı/Eskişehir</t>
  </si>
  <si>
    <t>cumaya ertelendi</t>
  </si>
  <si>
    <t>60bd1a2cdfedba45a30f33ff</t>
  </si>
  <si>
    <t>Adıyamanlı Abuzeroğulları, Tepebaşı ( Batıkent Mah.)</t>
  </si>
  <si>
    <t>Tepebaşı/Batıkent</t>
  </si>
  <si>
    <t xml:space="preserve">Muhammed Enes İleli  /5554896073              </t>
  </si>
  <si>
    <t>Batıkent Mah. Liman Cad. No:32 A Tepebaşı/ Eskişehir</t>
  </si>
  <si>
    <t>hafatya cuma gunen ertelenecek fotografcı arkadasımız grusme saglamış</t>
  </si>
  <si>
    <t>61cb63def86a5f4ce9acbdba</t>
  </si>
  <si>
    <t>Fasülyeci, Tepebaşı (Eskibağlar Mah.)</t>
  </si>
  <si>
    <t xml:space="preserve">Erdoğan Bozkurt/5525663126               </t>
  </si>
  <si>
    <t>Eskibağlar Mah. Yılmaz Büyükerşen Blv. No:76/A Tepebaşı Eskişehir</t>
  </si>
  <si>
    <t>61c50bff267c524504b6494b</t>
  </si>
  <si>
    <t>İbrahim Usta Pide &amp; Lahmacun, Tepebaşı (Cumhuriye Mah.)</t>
  </si>
  <si>
    <t>Tepebaşı/cumhurıye</t>
  </si>
  <si>
    <t xml:space="preserve">Murat Demir/2222315121        </t>
  </si>
  <si>
    <t>Cumhuriye Mah. Cengiz Topel Cad. No:80 A Tepebaşı Eskişehir</t>
  </si>
  <si>
    <t>Adanalı Dürümcü İbrahim Usta</t>
  </si>
  <si>
    <t>Cumhuriye, Cengiz Topel Caddesi D:No: 80/B, 26130 Tepebaşı/Eskişehir</t>
  </si>
  <si>
    <t>61bb6ef8e492d24d724c14a5</t>
  </si>
  <si>
    <t>Dalton Fast Food, Tepebaşı (Uluönder Mah.)</t>
  </si>
  <si>
    <t xml:space="preserve">KORAY İSMAİL AKYÜZ/        5616117277        </t>
  </si>
  <si>
    <t>Uluönder, Salih Bozok Cd. No:7, 26190 Tepebaşı/Eskişehir</t>
  </si>
  <si>
    <t>ürün hazır değil</t>
  </si>
  <si>
    <t>61bb7090ec3faf4ad0fae389</t>
  </si>
  <si>
    <t>Halk Pide, Tepebaşı (Uluönder Mah.)</t>
  </si>
  <si>
    <t>5f315a4cf7b4aa7cb0cc56b9</t>
  </si>
  <si>
    <t>Kar-pi Karadeniz Pidesi (Uluönder Mah.)</t>
  </si>
  <si>
    <t>600968ecf69aa48850474729</t>
  </si>
  <si>
    <t>3 Monkey Burger, Tepebaşı (Batıkent Mah)</t>
  </si>
  <si>
    <t>Gökhan/ 5534959158</t>
  </si>
  <si>
    <t>Batıkent Mah. Dizili Sok. No:11 Tepebaşı/ Eskişehir</t>
  </si>
  <si>
    <t>6109c65bca892cf9f4a631c9</t>
  </si>
  <si>
    <t>Max Street Food, Tepebaşı (Batıkent Mah.)</t>
  </si>
  <si>
    <t>Cihangir Bey/5320664262</t>
  </si>
  <si>
    <t>Batıkent Mah. Çamören Sok. B Blok 5/C TEPEBAŞI/ESKİŞEHİR</t>
  </si>
  <si>
    <t>iptal nedeni:ocagında sıkıntı olustugu ıcın salı gunune ertelendi</t>
  </si>
  <si>
    <t>5fda7ccb3edee47a18088f41</t>
  </si>
  <si>
    <t>Bec Burger &amp; Pizza &amp; Sosis, Tepebaşı (Batıkent Mah.)</t>
  </si>
  <si>
    <t>618da5d61a3fa4ca19dbcd6b</t>
  </si>
  <si>
    <t>Kadir Şefin Fast Food Mutfağı, Odunpazarı (Kurtuluş Mah.)</t>
  </si>
  <si>
    <t xml:space="preserve">NAİM UYSAL /2222400088        </t>
  </si>
  <si>
    <t>Kurtuluş Mah. Sarper Cad. No:15 A Odunpazarı Eskişehir</t>
  </si>
  <si>
    <t>61c6d7cd11cb05f60976a4b2</t>
  </si>
  <si>
    <t>Venedik Pastanesi, Odunpazarı (Vişnelik Mah.)</t>
  </si>
  <si>
    <t xml:space="preserve">Adnan Tüylü/2222240407             </t>
  </si>
  <si>
    <t>Vişnelik Mah. Atatürk Blv. No:84 A Odunpazarı Eskişehir</t>
  </si>
  <si>
    <t>5f35521864610e0ca0604d20</t>
  </si>
  <si>
    <t>Adıyamanlı Çiğ Köfteci, Odunpazarı (Vişnelik Mah.)</t>
  </si>
  <si>
    <t xml:space="preserve">YAŞAR KİRAZ/5397248350                </t>
  </si>
  <si>
    <t>Vişnelik, Öğretmenler Blv no:13/A, 26020 Odunpazarı/Eskişehir</t>
  </si>
  <si>
    <t>ertelemesı gerceklestı</t>
  </si>
  <si>
    <t xml:space="preserve">BÜLENT AY/2222301544       </t>
  </si>
  <si>
    <t>Cihangir Bey / 0545 101 06 26 /5320664262</t>
  </si>
  <si>
    <t>Max street food olarak isim değişikliği yapılmış</t>
  </si>
  <si>
    <t>61d083b79a1126c7a3606fea</t>
  </si>
  <si>
    <t>Ice Family, Tepebaşı (Eskibağlar Mah.)</t>
  </si>
  <si>
    <t>Alper bey / 5301083583</t>
  </si>
  <si>
    <t>Eskibağlar, Yılmaz Büyükerşen Blv No:21 Espark AVM 1. Kat no 135. Tepebaşı/Eskişehir</t>
  </si>
  <si>
    <t>Özgür Bey / 5382600431</t>
  </si>
  <si>
    <t xml:space="preserve">Eskibağlar mah. Yenilik sok. no: 57/ B </t>
  </si>
  <si>
    <t>61d7374a7a3e1d430b0d2a79</t>
  </si>
  <si>
    <t>Enes Pide &amp; Tantuni, Tepebaşı (Yeşiltepe Mah.)</t>
  </si>
  <si>
    <t>Hamit Bey/5520101461</t>
  </si>
  <si>
    <t>Yeşiltepe Mah. Bilgeç Cad. No:4/B Tepebaşı/Eskişehir</t>
  </si>
  <si>
    <t>İptal nedeni:Yoğunluk varmış o yüzden çekim sağlanamadı. Pazartesi gününe istedikleri için ileride alınacak.</t>
  </si>
  <si>
    <t>6109a173d59d27e6c0cfb49b</t>
  </si>
  <si>
    <t>Boston Donuts, Tepebaşı (Hoşnudiye Mah.)</t>
  </si>
  <si>
    <t xml:space="preserve">tayfun bey / 5058473289 </t>
  </si>
  <si>
    <t>Hoşnudiye mh. Cengiz Topel Cd. No:61A Tepebaşı Eskişehir</t>
  </si>
  <si>
    <t>İlk randevu telefona cevap vermezsem bile gidilsin ben restoranda olmazsam da çalışanlarım ilgilenir der</t>
  </si>
  <si>
    <t>61dca4539cda244596c47c8a</t>
  </si>
  <si>
    <t>10line Fast Food &amp; Kokoreç, Tepebaşı (Hoşnudiye Mah.)</t>
  </si>
  <si>
    <t>Odunpazarı / Hoşnudiye</t>
  </si>
  <si>
    <t>Alperen Bey / 5523763838</t>
  </si>
  <si>
    <t>HOŞNUDİYE MAH. BAYRAK SK. NO: 8 C- İÇ KAPI NO: - TEPEBAŞI/ ESKİŞEHİR</t>
  </si>
  <si>
    <t>fotoğrafçı rahatsızlandığı için iptal adına arama sağlandı ulaşılamıyor</t>
  </si>
  <si>
    <t>61dcac0ef55c685ed4f65ba6</t>
  </si>
  <si>
    <t>Abdullah Amcabey Baklavaları, Odunpazarı (Osmangazi Mah.)</t>
  </si>
  <si>
    <t xml:space="preserve">Odunpazarı / Osmangazi </t>
  </si>
  <si>
    <t>Mustafa Bey / 5461962025</t>
  </si>
  <si>
    <t>Osmangazi Mah. Basın Şehitleri Cad. No:275 C Odunpazarı Eskişehir</t>
  </si>
  <si>
    <t xml:space="preserve">mail atacak </t>
  </si>
  <si>
    <t>61dc31a4282cba9816a8ea04</t>
  </si>
  <si>
    <t>Çoban Döneri, Odunpazarı (Arifiye Mah.)</t>
  </si>
  <si>
    <t xml:space="preserve">Odunpazarı  / Arifiye </t>
  </si>
  <si>
    <t>Mesut Bey / 5078201051</t>
  </si>
  <si>
    <t>ARİFİYE MAH. KORKMAZ SK. NO: 14 A ODUNPAZARI/ ESKİŞEHİR</t>
  </si>
  <si>
    <t>fotoğrafçı rahatsızlandığı için pazartesiye alındı</t>
  </si>
  <si>
    <t>61b9feffa431e1ec64f46669</t>
  </si>
  <si>
    <t>Adıyaman Çiğ Köftecisi Ali Usta, Odunpazarı (71 Evler Mah.)</t>
  </si>
  <si>
    <t>Odunpazarı	/71 Evler 1. Bölge</t>
  </si>
  <si>
    <t>ALİ TURAN	5456606594</t>
  </si>
  <si>
    <t>71 Evler Mahallesi Kafkas Caddesi 69/D Odunpazarı Eskişehir</t>
  </si>
  <si>
    <t>60098567b4fcb44b7a76156f</t>
  </si>
  <si>
    <t>Safa Konyalı Etli Ekmek, Odunpazarı (71 Evler Mah.)</t>
  </si>
  <si>
    <t>Odunpazarı	71 Evler 1. Bölge</t>
  </si>
  <si>
    <t>Osman Safa        5539140042</t>
  </si>
  <si>
    <t>Yetmişbir Evler Mah. Tuğba Sok. No:25 A Odunpazarı / Eskişehir</t>
  </si>
  <si>
    <t>6027c4449d6209de2564067c</t>
  </si>
  <si>
    <t>Öz Gaziantepli Furkan Pide &amp; Kebap, Odunpazarı (71 Evler Mah.)</t>
  </si>
  <si>
    <t>Ramazan Kelek        2222172645</t>
  </si>
  <si>
    <t>71 Evler Mah. Kafkas Cad. No:67 C Odunpazarı/Eskişehir</t>
  </si>
  <si>
    <t xml:space="preserve">ulaşılamadı  </t>
  </si>
  <si>
    <t>61c0d747b396924295573f37</t>
  </si>
  <si>
    <t>Abdullah Amcabey Baklavaları, Odunpazarı (Emek Mah.)</t>
  </si>
  <si>
    <t>Mevlit Bey / 5458789294</t>
  </si>
  <si>
    <t>Emek Mah. Dilek Caddesi No:17/A Odunpazarı Eskişehir</t>
  </si>
  <si>
    <t>6149a83006dcd54200f4d980</t>
  </si>
  <si>
    <t>Meşhur Tostçu Ramazan, Odunpazarı (Emek Mah.)</t>
  </si>
  <si>
    <t xml:space="preserve">Odunpazarı / Emek </t>
  </si>
  <si>
    <t>Eray Bey / 5456262653 / 2222505022</t>
  </si>
  <si>
    <t>Emek Mah. Ertaş Cad. No:138 A Odunpazarı / Eskişehir</t>
  </si>
  <si>
    <t xml:space="preserve">yetkili yokmuş çekim olmadı </t>
  </si>
  <si>
    <t>Necmettin Bey / 5374473225</t>
  </si>
  <si>
    <t>61de30ebe13ef42570e54b9b</t>
  </si>
  <si>
    <t>Morkoyun Et &amp; Mangal, Odunpazarı (Büyükdere Mah.)</t>
  </si>
  <si>
    <t xml:space="preserve">Odunpazarı / Büyükdere </t>
  </si>
  <si>
    <t>Mehmet Bey / 2222334672 - 05327094206</t>
  </si>
  <si>
    <t>BÜYÜKDERE MAH. MİLLET CAD. NO: 28 B- İÇ KAPI NO: - ODUNPAZARI/ ESKİŞEHİR</t>
  </si>
  <si>
    <t>şehir dışında olacakmış başka zaman aranıp randevusu alınacak</t>
  </si>
  <si>
    <t>6000aa5cfa8f1627a804aaa4</t>
  </si>
  <si>
    <t>Yeşil Döner, Odunpazarı (Emek Mah.)</t>
  </si>
  <si>
    <t>Ali Bey / 5538970526</t>
  </si>
  <si>
    <t>Emek Mah. Ertaş Cad. No: 176 / 1-A Odunpazarı / Eskişehir</t>
  </si>
  <si>
    <t xml:space="preserve">İDRİS NEBİ GÜVENDİ/5318870585       </t>
  </si>
  <si>
    <t>5fa1d0319d384e78d9e3b05c</t>
  </si>
  <si>
    <t>Muti, İstiklal</t>
  </si>
  <si>
    <t xml:space="preserve">ASUMAN ÖZÇELİK/2222051132              </t>
  </si>
  <si>
    <t>İstiklal Mah. Adalar Sok. No:12/A Otunpazarı/Eskişehir</t>
  </si>
  <si>
    <t>MAIL VERILDI KNDI FOTOGRAFLARINI YOLLUYCAKLRMIS</t>
  </si>
  <si>
    <t>605c9d044222b55b649cb6b3</t>
  </si>
  <si>
    <t>Adres Pide &amp; Kebap, Odunpazarı (Kurtuluş Mah.)</t>
  </si>
  <si>
    <t xml:space="preserve">Odunpazarı / Kurtuluş </t>
  </si>
  <si>
    <t>İsmail Bey / 5369880074</t>
  </si>
  <si>
    <t>Kurtuluş Mah. Şıngır Sok. No:27 B Odunpazarı / Eskişehir</t>
  </si>
  <si>
    <t xml:space="preserve">perşembeye tekrar alındı </t>
  </si>
  <si>
    <t>Sinan Bey / 5384549930 / 2222303726</t>
  </si>
  <si>
    <t xml:space="preserve">Arifiye mah. 2 eylül cad. taş başı çarşısı d blok no: 51/3 </t>
  </si>
  <si>
    <t>5fbce7a7df980a2a1f337b61</t>
  </si>
  <si>
    <t>Porsuk Çibörek, Odunpazarı (İstiklal Mah.)</t>
  </si>
  <si>
    <t>Ruhan Hanım / 5413072626 / 2222261326</t>
  </si>
  <si>
    <t>İstiklal Mah. İki Eylül Cad. No:32 B Odunpazarı/Eskişehir</t>
  </si>
  <si>
    <t xml:space="preserve">Müftah Terkan /5346474039      </t>
  </si>
  <si>
    <t>61f1a4759f595658b5a2b61a</t>
  </si>
  <si>
    <t>Şems Kebap, Tepebaşı (M. Kemal Paşa Mah.)</t>
  </si>
  <si>
    <t>Tepebaşı / Mustafa Kemal Paşa Mah.</t>
  </si>
  <si>
    <t>Sabri Bey / 2222218176 / 5444686631</t>
  </si>
  <si>
    <t>Mustafa Kemal Paşa Mah. Sivrihisar Cad. No:35 Tepebaşı Eskişehir</t>
  </si>
  <si>
    <t>61cb6ae50bc148167ba05253</t>
  </si>
  <si>
    <t>Süper Tantuni, Tepebaşı (Ömerağa Mah.)</t>
  </si>
  <si>
    <t>Davut Bey /5013682633 / 5552587964</t>
  </si>
  <si>
    <t>Ömerağa mahallesi saray sokak no:1/a Eskişehir/Tepebaşı</t>
  </si>
  <si>
    <t>61dc9b3edaf26349ed558322</t>
  </si>
  <si>
    <t>Mavi Döner &amp; Fast Food, Tepebaşı (Bahçelievler Mah.)</t>
  </si>
  <si>
    <t xml:space="preserve">Tepebaşı / Bahçelievler </t>
  </si>
  <si>
    <t>Serkan Bey / 5415812048 / 2223227744</t>
  </si>
  <si>
    <t>Bahçelievler Mah. Fulya Sok. No:22 A Tepebaşı Eskişehir</t>
  </si>
  <si>
    <t>61e13a42813c1fda6b0ab6a5</t>
  </si>
  <si>
    <t>Kaktüs Cafe, Odunpazarı (Büyükdere Mah.)</t>
  </si>
  <si>
    <t>Calen Hanım / 5332382867</t>
  </si>
  <si>
    <t>Büyükdere Mah. Prof. Dr. Nabi Avcı Blv. B Blok No:4 / 53 Odunpazarı Eskişehir</t>
  </si>
  <si>
    <t>osmangazi kampüs içi merkez çarşıda kaktüs kafe</t>
  </si>
  <si>
    <t>61e5eca89d163f3c6f7ee38f</t>
  </si>
  <si>
    <t>Tarihi Harbiye Dönercisi, Odunpazarı (Büyükdere Mah.)</t>
  </si>
  <si>
    <t>Eray Hanım / 2222399449 / 5453929525</t>
  </si>
  <si>
    <t>Büyükdere Mh. Millet Caddesi No: 118/A Odunpazarı/Eskişehir</t>
  </si>
  <si>
    <t>5fa88e30a9844620bf3a5bd7</t>
  </si>
  <si>
    <t>Gaziantepli Eyüpoğlu Künefe, Odunpazarı (Büyükdere Mah.)</t>
  </si>
  <si>
    <t>Eyüp Bey / 5464279595</t>
  </si>
  <si>
    <t>Büyükdere, Atatürk Blv. No:259/a, 26040 Odunpazarı/Eskişehir</t>
  </si>
  <si>
    <t>Cumartesi gidilecek</t>
  </si>
  <si>
    <t>Enes Günal</t>
  </si>
  <si>
    <t>Odunpazarı / Uluönder</t>
  </si>
  <si>
    <t>Meryem Hanım / 5063144739</t>
  </si>
  <si>
    <t>Uluönder mah baksan sanayi sitesi yüfte sok No:19 Çıraklık okulu karşısı</t>
  </si>
  <si>
    <t>Yeni açılan şubelerinden çekim yapılacak</t>
  </si>
  <si>
    <t>Odunpazarı / Çamlıca</t>
  </si>
  <si>
    <t>Cuma Dandan	5457142627</t>
  </si>
  <si>
    <t>Devam çekimi / ürünleri eksikmiş pazartesiye ertelen</t>
  </si>
  <si>
    <t>60c0d922eb4965157f73452c</t>
  </si>
  <si>
    <t>Bircan Ocakbaşı, Tepebaşı (Çamlıca Mah.)</t>
  </si>
  <si>
    <t>Hüseyin Bey 5432809180</t>
  </si>
  <si>
    <t>Çamlıca Mah. Birlik Cad. No:91 B Tepebaşı/ Eskişehir</t>
  </si>
  <si>
    <t>İptal sebebi restoran sahibi çok masraf yapıcam demekte</t>
  </si>
  <si>
    <t>Kurtuluş - çankaya mah. alınacak</t>
  </si>
  <si>
    <t>60a7901bc239716f7833f87d</t>
  </si>
  <si>
    <t>Pastacı Yunus, Odunpazarı (Kurtuluş Mah.)</t>
  </si>
  <si>
    <t>Emre Bey / 5392891630</t>
  </si>
  <si>
    <t>Kurtuluş Mah. Cumhuriyet Bulvarı No: 80/A Odunpazarı/Eskişehir</t>
  </si>
  <si>
    <t>Halil Bey / 5308919026</t>
  </si>
  <si>
    <t>Devam çekimi / İptal sebebi saat 2 ye randevu istiyor ileri zamanda yapalım ama saat 2 de olsun diyor</t>
  </si>
  <si>
    <t>61ed0fd609b42e0ab9946ef0</t>
  </si>
  <si>
    <t>Veysel Usta Etli Ekmek &amp; Izgara, Odunpazarı (Çankaya Mah.)</t>
  </si>
  <si>
    <t>Odunpazarı / Çankaya</t>
  </si>
  <si>
    <t>Burak Bey / 5550980026 / 5442784229</t>
  </si>
  <si>
    <t>Çankaya Mah. Kartopu Cad. No:65 B Odunpazarı Eskişehir</t>
  </si>
  <si>
    <t>Başka Randevu Alınmayacak!!</t>
  </si>
  <si>
    <t>Tepebaşı / Çamlıca</t>
  </si>
  <si>
    <t>Cuma Dandan        5457142627</t>
  </si>
  <si>
    <t>Devam çekimi / İptal sebebi 14 Şubat olduğu için ürünleri çok geç gelecekmiş ileriki bir tarihte devam çekimi istiyor</t>
  </si>
  <si>
    <t>621269774f6e6742480596f5</t>
  </si>
  <si>
    <t>Maryo Hot Bread, Tepebaşı (Şirintepe Mah.)</t>
  </si>
  <si>
    <t>Emre Bey / 5337134612</t>
  </si>
  <si>
    <t>Şirintepe Mah. İsmet İnönü-2 Cad. No:88 A Tepebaşı Eskişehir</t>
  </si>
  <si>
    <t>61f456c48cc34428be364248</t>
  </si>
  <si>
    <t>Dönercim Hasan Usta, Tepebaşı (Şirintepe Mah.)</t>
  </si>
  <si>
    <t>Hasan Bey / 2223202938 / 5067952948</t>
  </si>
  <si>
    <t>Şirintepe Mah. Asilzade Sok. No:8 C Tepebaşı Eskişehir</t>
  </si>
  <si>
    <t>61f455e9fc775af44a4f4a9f</t>
  </si>
  <si>
    <t>Patsoscum, Tepebaşı (Şirintepe Mah.)</t>
  </si>
  <si>
    <t>61fc36fd441efff0e255bf75</t>
  </si>
  <si>
    <t>Kampüs Çinçiva Pasta &amp; Cafe, Odunpazarı (Büyükdere Mah.)</t>
  </si>
  <si>
    <t>Göksel Bey / 2222392646</t>
  </si>
  <si>
    <t>Büyükdere Mah. Akasma Sok. No:10 C Odunpazarı Eskişehir</t>
  </si>
  <si>
    <t xml:space="preserve">Odunpazarı / Osmngazi </t>
  </si>
  <si>
    <t>Ahmet Bey / 5461962025</t>
  </si>
  <si>
    <t>61e5b0c4b66cab45e741b09f</t>
  </si>
  <si>
    <t>Nus, Odunpazarı (Vişnelik Mah.)</t>
  </si>
  <si>
    <t xml:space="preserve">Odunpazarı / Vişnelik </t>
  </si>
  <si>
    <t>Cengizhan Bey / 5423102168</t>
  </si>
  <si>
    <t>Vişnelik Mah. Stad Sok. No:2 C Odunpazarı Eskişehir</t>
  </si>
  <si>
    <t>Başka alınmayacak</t>
  </si>
  <si>
    <t>62124c9aee5b0112f0651105</t>
  </si>
  <si>
    <t>Fellas Express, Tepebaşı (Eskibağlar Mah.)</t>
  </si>
  <si>
    <t>AKIN KORAY HAN/5367094081</t>
  </si>
  <si>
    <t>Eskibağlar mah Hatboyu-1 cad No 7A Tepebaşı / ESKİŞEHİR</t>
  </si>
  <si>
    <t>600836be0a01975521f30e04</t>
  </si>
  <si>
    <t>Konyalı Dede, Tepebaşı (Bahçelievler Mah.)</t>
  </si>
  <si>
    <t>GÜNAY bey/05359468782/2223226252</t>
  </si>
  <si>
    <t>Bahçelievler Mah. Seylap Caddesi No:63 A D:16 Tepebaşı/Eskişehir</t>
  </si>
  <si>
    <t>61f1aa1cd5aa87d9d0a6eca5</t>
  </si>
  <si>
    <t>Pozitif Food, Tepebaşı (Yenibağlar Mah.)</t>
  </si>
  <si>
    <t>Mustafa Bey/5386150340</t>
  </si>
  <si>
    <t>Yenibağlar Mah. Sapanca Sok. No:16 D Tepebaşı Eskişehir</t>
  </si>
  <si>
    <t>erteleme istedi haftaya</t>
  </si>
  <si>
    <t>61fc1c4ceb514a54377bdafd</t>
  </si>
  <si>
    <t>Es İstanbul Piliç &amp; Fastfood, Tepebaşı (Cumhuriye Mah.)</t>
  </si>
  <si>
    <t>Kayahan Kaya/5013432634</t>
  </si>
  <si>
    <t>Cumhuriye Mah. Sakarya-1 Cad. No:89 C Tepebaşı Eskişehir</t>
  </si>
  <si>
    <t>61bccb96418884d0816bdb1c</t>
  </si>
  <si>
    <t>Fırat Kebap &amp; Pide, Tepebaşı (Ömerağa Mah.)</t>
  </si>
  <si>
    <t>Ahmet Bey/05347024317/2223232321</t>
  </si>
  <si>
    <t>Ömerağa Mah. Hatboyu-1 Cad. No:115 A Tepebaşı Eskişehir</t>
  </si>
  <si>
    <t>60d300365c309377cfcdff58</t>
  </si>
  <si>
    <t>Sam-Et Döner, Tepebaşı (Şirintepe Mah.)</t>
  </si>
  <si>
    <t>Abdulsamet/ 5378257297</t>
  </si>
  <si>
    <t>Şirintepe Mah. Yaylapınar Sok. No: 21 A Tepebaşı / Eskişehir</t>
  </si>
  <si>
    <t>621a4d00fcd94bc7af64cfb6</t>
  </si>
  <si>
    <t>Dürümcü Sedat Usta, Tepebaşı (Şirintepe Mah.)</t>
  </si>
  <si>
    <t>Kadir Bey / 5443522612 / 2223100273</t>
  </si>
  <si>
    <t>61f051a8d5aa8799658c622e</t>
  </si>
  <si>
    <t>Hey Joe &amp; Bucks, Tepebaşı (Batıkent Mah.)</t>
  </si>
  <si>
    <t xml:space="preserve">Tepebaşı/Batıkent </t>
  </si>
  <si>
    <t>Başar Doğu/ 5416394979</t>
  </si>
  <si>
    <t>Batıkent Mah. Prof. Dr. Nusret Fişek Sok. No:2 C D:3 Tepebaşı Eskişehir</t>
  </si>
  <si>
    <t>6206beac2c2320ebc9cd6446</t>
  </si>
  <si>
    <t>Nasreddin Hoca Ev Yemekleri, Odunpazarı (Deliklitaş Mah.)</t>
  </si>
  <si>
    <t>Necmettin bey/5537445388</t>
  </si>
  <si>
    <t>Deliklitaş Mah. 2 Eylül Cad. No:93 B Odunpazarı Eskişehir</t>
  </si>
  <si>
    <t>5f6815d56a41230b8ae35b90</t>
  </si>
  <si>
    <t>İlknur Pide &amp; Lahmacun (Akarbaşı Mah.)</t>
  </si>
  <si>
    <t>Tepebaşı / Akarbaşı</t>
  </si>
  <si>
    <t>Çetin Bey / 5544636989 / 5366659079</t>
  </si>
  <si>
    <t>Akarbaşı Mah. Arısoy Sok. No: 1/A Tepebaşı/Eskişehir</t>
  </si>
  <si>
    <t>çarşamba günleri bu mahallede pazar kuruluyormuş müsait olamıyormuş haftaya çarşamba dışı bir güne alınacak</t>
  </si>
  <si>
    <t>sadece Büyükdere mahallesi</t>
  </si>
  <si>
    <t>607d5764d067792ab3bfadbb</t>
  </si>
  <si>
    <t>Arsuz Döner &amp; Kudu &amp; Lavaş, Odunpazarı (Büyükdere Mah.)</t>
  </si>
  <si>
    <t>Latif Bey / 2222397267</t>
  </si>
  <si>
    <t>Büyükdere Mah. Millet Cad. No:2 Odunpazarı/Eskişehir</t>
  </si>
  <si>
    <t>622cc220c900daa26f78cf7f</t>
  </si>
  <si>
    <t>Mono Waffle, Odunpazarı (Büyükdere Mah.)</t>
  </si>
  <si>
    <t>Ramazan Bey / 5459468643</t>
  </si>
  <si>
    <t>BÜYÜKDERE MAH. FAKÜLTE SK. NO: 17 B ODUNPAZARI/ ESKİŞEHİR</t>
  </si>
  <si>
    <t>62187fe1987c4827769be920</t>
  </si>
  <si>
    <t>Ahmet Bey / 5327266945</t>
  </si>
  <si>
    <t>Büyükdere Mah. Kaplanlı Cad. No:15 / 1 A Odunpazarı Eskişehir</t>
  </si>
  <si>
    <t xml:space="preserve">hedef listede sıfır data olarak var ama daha önce çekim yapılmış </t>
  </si>
  <si>
    <t>Sadece Eskibağlar - Hoşnudiye</t>
  </si>
  <si>
    <t>Yetkili / 5351050035</t>
  </si>
  <si>
    <t>Hoşnudiye Mah. K. Mahmut Pehlivan Cad. No:13 Tepebaşı/ Eskişehir</t>
  </si>
  <si>
    <t>işletmeye ulaşılamadı gidildi fakat işletme kapalı</t>
  </si>
  <si>
    <t>sadece Kayıhan sokak ve gültepe</t>
  </si>
  <si>
    <t>6227572e140bbf1f28a072ee</t>
  </si>
  <si>
    <t>Waffle Station, Odunpazarı (Gültepe Mah.)</t>
  </si>
  <si>
    <t>Odunpazarı/Gültepe</t>
  </si>
  <si>
    <t>Cihangir Akman/5308955526</t>
  </si>
  <si>
    <t>Gültepe Mah. Halk Cad. No:95 A Odunpazarı Eskişehir</t>
  </si>
  <si>
    <t>hastane işleri çıkmıs haftaya kesin istiyor</t>
  </si>
  <si>
    <t>62273b54b2a63a19ec396b27</t>
  </si>
  <si>
    <t>Hobix Burger., Odunpazarı (Vişnelik Mah.)</t>
  </si>
  <si>
    <t>Batuhan Bagdu/5013745406</t>
  </si>
  <si>
    <t>Vişnelik Mah. Kayıhan Sok. Kanatçı Lokantası No:22 Odunpazarı Eskişehir</t>
  </si>
  <si>
    <t>62372da68e872d9ece629954</t>
  </si>
  <si>
    <t>Tiger Food, Tepebaşı (Ömerağa Mah.)</t>
  </si>
  <si>
    <t xml:space="preserve">Tepebaşı / Ömerağa </t>
  </si>
  <si>
    <t>Muhammed Bey / 5511949160</t>
  </si>
  <si>
    <t>Ömerağa Mah. Acar Sok. No:26 Tepebaşı Eskişehir</t>
  </si>
  <si>
    <t xml:space="preserve">fotoğrafçı gidemediği için salı gününe ertelendi </t>
  </si>
  <si>
    <t>6220edea08e3e6521498e9c0</t>
  </si>
  <si>
    <t>En Fast Sandwich &amp; Tost, Tepebaşı (Ömerağa Mah.)</t>
  </si>
  <si>
    <t>Gölkem Bey / 2224000006-5431131965</t>
  </si>
  <si>
    <t>ÖMERAĞA MAH. HATBOYU-1 CAD. NO: 97 /1B TEPEBAŞI/ ESKİŞEHİR</t>
  </si>
  <si>
    <t>fotoğrafçı gidemediği için çekim saglanmadı</t>
  </si>
  <si>
    <t>62373ddd328bba6e9174947d</t>
  </si>
  <si>
    <t>Yeşil Tava, Odunpazarı (Kırmızıtoprak Mah.)</t>
  </si>
  <si>
    <t>Zeynel Keskin        5342653842</t>
  </si>
  <si>
    <t>Kırmızıtoprak Mah. M.K. Atatürk Cad. No:95 A Odunpazarı Eskişehir</t>
  </si>
  <si>
    <t xml:space="preserve">işletmeye gidildi fakat kapalı </t>
  </si>
  <si>
    <t>cenazesi varmış</t>
  </si>
  <si>
    <t>6220e1e5bb13b860b11766ee</t>
  </si>
  <si>
    <t>No26 Waffle Kitchen, Tepebaşı (Fatih Mah.)</t>
  </si>
  <si>
    <t>MERT GÜNAY	5364576969</t>
  </si>
  <si>
    <t>Fatih Mah. Düzenlik Sok. No:26 Tepebaşı Eskişehir</t>
  </si>
  <si>
    <t>Restaurant ID</t>
  </si>
  <si>
    <t>Restoran
Adı</t>
  </si>
  <si>
    <t>Satışa
Açık Mı?</t>
  </si>
  <si>
    <t>Mutfak</t>
  </si>
  <si>
    <t>TOPLAM
SİPARİŞ</t>
  </si>
  <si>
    <t>SON 2 HAFTA</t>
  </si>
  <si>
    <t>RESİMLİ
ÜRÜN</t>
  </si>
  <si>
    <t>RESİMSİZ
ÜRÜN</t>
  </si>
  <si>
    <t>TOPLAM
ÜRÜN</t>
  </si>
  <si>
    <t>Ratio</t>
  </si>
  <si>
    <t>Yetkili</t>
  </si>
  <si>
    <t>Telefon</t>
  </si>
  <si>
    <t>İLÇE</t>
  </si>
  <si>
    <t>MAHALLE</t>
  </si>
  <si>
    <t>Geleneksel
Zincir</t>
  </si>
  <si>
    <t>FOTOĞRAF
SEGMENT</t>
  </si>
  <si>
    <t>Aradık Mı?</t>
  </si>
  <si>
    <t>Kendi Fotosu
Var</t>
  </si>
  <si>
    <t>Randevu Durum</t>
  </si>
  <si>
    <t>Fotoğrafçı</t>
  </si>
  <si>
    <t>Not</t>
  </si>
  <si>
    <t>Randevu Alma 
Tarihi</t>
  </si>
  <si>
    <t>Randevu 
Tarihi</t>
  </si>
  <si>
    <t>Anket
Durum</t>
  </si>
  <si>
    <t>1. Arama</t>
  </si>
  <si>
    <t>1. Arama
Tarihi</t>
  </si>
  <si>
    <t>2. Arama</t>
  </si>
  <si>
    <t>2. Arama
Tarihi</t>
  </si>
  <si>
    <t>3. Arama</t>
  </si>
  <si>
    <t>3. Arama
Tarihi</t>
  </si>
  <si>
    <t>4. Arama</t>
  </si>
  <si>
    <t>4. Arama
Tarihi</t>
  </si>
  <si>
    <t>5. Arama</t>
  </si>
  <si>
    <t>5. Arama
Tarihi</t>
  </si>
  <si>
    <t>1. Arayan</t>
  </si>
  <si>
    <t>2. Arayan</t>
  </si>
  <si>
    <t>3. Arayan</t>
  </si>
  <si>
    <t>4. Arayan</t>
  </si>
  <si>
    <t>5. Arayan</t>
  </si>
  <si>
    <t>SY</t>
  </si>
  <si>
    <t>SY - Durum</t>
  </si>
  <si>
    <t>Sokak Lezzetleri</t>
  </si>
  <si>
    <t>Kurtuluş</t>
  </si>
  <si>
    <t>0-15</t>
  </si>
  <si>
    <t>Randevu Alındı</t>
  </si>
  <si>
    <t>TEYİT İÇİN ARANDI ÇEKİM GERÇEKLEŞTİMİ BİLMİYORUM DEDİLER GERİ DÖNÜŞ YAPACAKLAR ÇEKİM YAPILMAMIŞSA</t>
  </si>
  <si>
    <t>Gökhan Çakır</t>
  </si>
  <si>
    <t>Tost &amp; Sandviç</t>
  </si>
  <si>
    <t>Alperen Orhan</t>
  </si>
  <si>
    <t>Tepebaşı</t>
  </si>
  <si>
    <t>Hoşnudiye</t>
  </si>
  <si>
    <t>Randevu İptal</t>
  </si>
  <si>
    <t>Görüşüldü</t>
  </si>
  <si>
    <t>622c7bc1704f8c7d9226c83e</t>
  </si>
  <si>
    <t>1965 Efsane Tantuni, Tepebaşı (Erenköy Mah.)</t>
  </si>
  <si>
    <t>Döner</t>
  </si>
  <si>
    <t>METİN YAMAN</t>
  </si>
  <si>
    <t>Yenidoğan</t>
  </si>
  <si>
    <t>Erenköy Mahallesi, Sevinç Caddesi 12/A Odunpazarı/Eskişehir</t>
  </si>
  <si>
    <t>5fa474ba857e1a1eb42ad590</t>
  </si>
  <si>
    <t>1991 Tarihi Ortaköy Kumpircisi (Hoşnudiye Mah. - Cassaba Modern)</t>
  </si>
  <si>
    <t>Hoşnudiye mah.770.sok.no:4 c103 Cassaba, Modern AVM, 26030 Tepebaşı</t>
  </si>
  <si>
    <t>dç istemez/ tam/ fotoğraflar için arandı gerek yok diğerleri ile zaten benzer gibi diğerlerinden alıp koyabilirsiniz dedi.</t>
  </si>
  <si>
    <t>5f74d7639fe43ab7463ac6a6</t>
  </si>
  <si>
    <t>1991 Tarihi Ortaköy Kumpircisi Premium (Eskibağlar)</t>
  </si>
  <si>
    <t>Eskibağlar</t>
  </si>
  <si>
    <t>Eskibağlar mah. Kumlubel sk. No:8 Tepebaşı/Eskişehir</t>
  </si>
  <si>
    <t>Burger</t>
  </si>
  <si>
    <t>Batıkent</t>
  </si>
  <si>
    <t>16-25</t>
  </si>
  <si>
    <t>gökhan bey/ 5534959158</t>
  </si>
  <si>
    <t>Dönüş Yapacak</t>
  </si>
  <si>
    <t>5f3671600274b83d2c5ca2f9</t>
  </si>
  <si>
    <t>Aba Fast Food &amp; Kahvaltı, Odunpazarı (Kırmızıtoprak Mah.)</t>
  </si>
  <si>
    <t>Kırmızıtoprak Mahallesi, Mustafa Kemal Atatürk Caddesi no: 95 / A</t>
  </si>
  <si>
    <t>3 hafta sonra randevu için arayacak // kendisidönecek / yeni dükana taşınmış bir hafta 10 güne oluşturmak istedi / henüz kendisini düzene sokamamış çok fazla türkçe konuşamıyor kendisi bana dönüş yapacak sık sık aranmak istemez</t>
  </si>
  <si>
    <t>Ulaşılamadı</t>
  </si>
  <si>
    <t>5f328f81572e4cb196c3ce23</t>
  </si>
  <si>
    <t>Abartı Izgara (Cumhuriye Mah.)</t>
  </si>
  <si>
    <t>Kebap</t>
  </si>
  <si>
    <t>Cumhuriyet Mah., Tepebaşı, Eskişehir, Türkiye,</t>
  </si>
  <si>
    <t>fotoğraflar için arandı yetkili yok.</t>
  </si>
  <si>
    <t>Yetkili Yok</t>
  </si>
  <si>
    <t>İstiklal</t>
  </si>
  <si>
    <t>Pasta &amp; Tatlı</t>
  </si>
  <si>
    <t>Funda Özkan</t>
  </si>
  <si>
    <t>Emek</t>
  </si>
  <si>
    <t>Ahmet Harun Akbulut</t>
  </si>
  <si>
    <t>Osmangazi</t>
  </si>
  <si>
    <t>Kahvaltı</t>
  </si>
  <si>
    <t>Kırmızıtoprak</t>
  </si>
  <si>
    <t>TEYİT İÇİN ARANDI ÇEKİM GERÇEKLEŞMİŞ</t>
  </si>
  <si>
    <t>6023ddaf2789557d9b92211a</t>
  </si>
  <si>
    <t>Ablanın Yeri, Tepebaşı (Cumhuriye Mah.)</t>
  </si>
  <si>
    <t>Cumhuriye</t>
  </si>
  <si>
    <t>Cumhuriye Mah. Tersel Sk. No: 6 D Tepebaşı/Eskişehir</t>
  </si>
  <si>
    <t>35+</t>
  </si>
  <si>
    <t>Çekim İstemiyor</t>
  </si>
  <si>
    <t>ürünleri hepsini çıkaramam çekim istemiyorum demektedir.//açmadılar/ikna edilmek üzere arandı açmıyor/ ne dediysem yok ben istemiyorum dedi istemiyor kesinlikle aranmasın.</t>
  </si>
  <si>
    <t>Arifiye</t>
  </si>
  <si>
    <t xml:space="preserve">Önceki çekim randevusunu gidilmemiş yeni tarih verildi./çekim gerçekleşmiş iki ay oldu dediler / yetkili yoktu ileteceek </t>
  </si>
  <si>
    <t>Nazmiye Yuka</t>
  </si>
  <si>
    <t>5f3152cfd0c302043a3fce6d</t>
  </si>
  <si>
    <t>Abone Meşhur Tostçu (Yenibağlar Mah.)</t>
  </si>
  <si>
    <t>Yenibağlar</t>
  </si>
  <si>
    <t>Yenibağlar, No:, Martı Sk. No:17, 26170 Tepebaşı/Eskişehir</t>
  </si>
  <si>
    <t>DEVİR EDEBİLİR // yetkili yokmuş</t>
  </si>
  <si>
    <t>Pizza</t>
  </si>
  <si>
    <t>Bahçelievler mah. Fulya sokak no:22/A Bahçelievler / Eskişehir/TEYİT İÇİN ARANDI ÇEKİM GERÇEKLEŞMİŞ</t>
  </si>
  <si>
    <t>5f3150d00c243ba11365248c</t>
  </si>
  <si>
    <t>Acayip Izgara Köfte &amp; Sucuk (Yenibağlar Mah.)</t>
  </si>
  <si>
    <t>Yenibağlar Mah., Martı Sok., No:17/B, Tepebaşı, Eskişehir, Türkiye,</t>
  </si>
  <si>
    <t>MEŞGULE ATIYOR</t>
  </si>
  <si>
    <t>60c0e3ed40dfe0e01ed9492b</t>
  </si>
  <si>
    <t>Acıktım Mersin Tantuni,Odunpazarı (Büyükdere Mah.)</t>
  </si>
  <si>
    <t>Büyükdere</t>
  </si>
  <si>
    <t>Büyükdere Mah. Millet Cad. No: 66 A Odunpazarı / Eskişehir</t>
  </si>
  <si>
    <t>Başka Şubeden Çekilecek</t>
  </si>
  <si>
    <t>damak tantuni ile aynı ürünler varmış ordan alıp koyabilirsiniz der / damak tantunidekilerin koyulmasını istedi hala koyulmamış (Damak Tantuni, Odunpazarı (Büyükdere Mah.)</t>
  </si>
  <si>
    <t>Mantı</t>
  </si>
  <si>
    <t>Eksik ürünlerin fotoğrafların çekimi yapılacak %65 oranında eksik.//TEYİT İÇİN ARANDI ÇEKİM GERÇEKLEŞMİŞ/yt yok</t>
  </si>
  <si>
    <t>620ea837141520d8f125d24b</t>
  </si>
  <si>
    <t>Adalar Mersin Tantuni, Odunpazarı (İstiklal Mah.)</t>
  </si>
  <si>
    <t>Tahsin Demirok</t>
  </si>
  <si>
    <t>İstiklal Mah. Şirin Sok. No:45 A Odunpazarı Eskişehir</t>
  </si>
  <si>
    <t>gönülsüz gibi 1 ay sonra bi bakalım dedi</t>
  </si>
  <si>
    <t>Lahmacun</t>
  </si>
  <si>
    <t>620b97881c3900be88e127a0</t>
  </si>
  <si>
    <t>Adalar Tantuni, Odunpazarı (İstiklal Mah.)</t>
  </si>
  <si>
    <t>TAHİR TAŞ</t>
  </si>
  <si>
    <t>İstiklal Mah. Başarılı Sok. No:17 E Odunpazarı Eskişehir</t>
  </si>
  <si>
    <t>aradığınız kişiye ulaşılmıyor/ terbiysiz surartıma kapatarak tekrar aradığımda da buyrun buyrun diye konuştu gelin dedi gelmeyin dedi randeuvu oluşturulmadı</t>
  </si>
  <si>
    <t>ALİ ERDÖNMEZ</t>
  </si>
  <si>
    <t>Şirintepe</t>
  </si>
  <si>
    <t>Börek</t>
  </si>
  <si>
    <t>numara kullanılmıyor/  0532 786 00 08 gülseren hanımdan randevu alındı.</t>
  </si>
  <si>
    <t>çekilmiş</t>
  </si>
  <si>
    <t>61e187b8401ceca56cd942f7</t>
  </si>
  <si>
    <t>Adanalı Dürümcü İbrahim Usta, Tepebaşı (Cumhuriye Mah.)</t>
  </si>
  <si>
    <t>Tekin Coşman</t>
  </si>
  <si>
    <t>Cumhuriyet</t>
  </si>
  <si>
    <t>Cumhuriye Mah. Cengiz Topel Cad. No:80 B Tepebaşı Eskişehir</t>
  </si>
  <si>
    <t>açmadı</t>
  </si>
  <si>
    <t>26-35</t>
  </si>
  <si>
    <t>61bb78881bcbb528923d4bf0</t>
  </si>
  <si>
    <t>Adanalı Sezer Usta Pide &amp; Lahmacun, Tepebaşı (Hoşnudiye Mah.)</t>
  </si>
  <si>
    <t>Pide</t>
  </si>
  <si>
    <t>SEZER DEMİR</t>
  </si>
  <si>
    <t>Hoşnudiye, Ay Lounge Altı, Şahin Cd. No:76/C, 26130 Tepebaşı/Eskişehir</t>
  </si>
  <si>
    <t xml:space="preserve">yt yok / yetkili yok </t>
  </si>
  <si>
    <t>60e04c27eed350a83e7d1054</t>
  </si>
  <si>
    <t>Adanus Ocakbaşı, Tepebaşı (Cumhuriye Mah.)</t>
  </si>
  <si>
    <t>Cumhuriye Mah. Yaprak Sk. No:6A Tepebaşı/Eskişehir</t>
  </si>
  <si>
    <t>İleride Randevu Alınacak</t>
  </si>
  <si>
    <t>karantinadaymış/açmadı</t>
  </si>
  <si>
    <t>Tekrar Aranacak</t>
  </si>
  <si>
    <t>Çiğ Köfte</t>
  </si>
  <si>
    <t>Ömerağa</t>
  </si>
  <si>
    <t>ALİ TURAN</t>
  </si>
  <si>
    <t>71 Evler 1. Bölge</t>
  </si>
  <si>
    <t>621a5d2926ef38ff0c67fe63</t>
  </si>
  <si>
    <t>Adıyaman Çiğ Köftecisi İlyas Aybak, Odunpazarı (71 Evler Mah.)</t>
  </si>
  <si>
    <t>İlyas Silindir</t>
  </si>
  <si>
    <t>71 Evler Mahallesi Tarih Bulvarı No:43/B Odunpazarı Eskişehir</t>
  </si>
  <si>
    <t>1 saat sonra</t>
  </si>
  <si>
    <t>Ihlamurkent</t>
  </si>
  <si>
    <t>muammer</t>
  </si>
  <si>
    <t>61fc026c3f06a77aa56699d5</t>
  </si>
  <si>
    <t>Adıyamanlı Baraka Çiğ Köftecisi, Odunpazarı (Büyükdere Mah.)</t>
  </si>
  <si>
    <t>Uğurcan Aydoğdu</t>
  </si>
  <si>
    <t>BÜYÜKDERE MAH. KAPLANLI CAD. NO: 77 A ODUNPAZARI/ ESKİŞEHİR</t>
  </si>
  <si>
    <t>Restoran Silindi</t>
  </si>
  <si>
    <t>dalgıc sokak</t>
  </si>
  <si>
    <t>601397ff998c1343f7870497</t>
  </si>
  <si>
    <t>Adıyamanlı Çiğ Köfteci Abuzeroğulları, Tepebaşı (Şirintepe Mah.)</t>
  </si>
  <si>
    <t>Yaylapınar caddesi no 7 c Tepebaşı Eskişehir</t>
  </si>
  <si>
    <t>başka aramada</t>
  </si>
  <si>
    <t>Yeşiltepe</t>
  </si>
  <si>
    <t>Vişnelik</t>
  </si>
  <si>
    <t>62134e0541190985c82b97d6</t>
  </si>
  <si>
    <t>Adıyamanlı Çiğ Köfteci Kemal Usta, Tepebaşı (Batıkent Mah.)</t>
  </si>
  <si>
    <t>Erhan Şen</t>
  </si>
  <si>
    <t>Batıkent Mahallesi Kardak sokak No:13/B Tepebaşı Eskişehir</t>
  </si>
  <si>
    <t>aradığınız kişiye şuanda ulaşılamıyor</t>
  </si>
  <si>
    <t>Bahçelievler</t>
  </si>
  <si>
    <t>Muammer</t>
  </si>
  <si>
    <t>5063890126devam çekimi alınmıştı iptal edildi tekrar aranıp alınacak</t>
  </si>
  <si>
    <t>6257bf8c1e1d387b43be4f00</t>
  </si>
  <si>
    <t>Adıyamanlı Çiğ Köfteci Kemal Usta, Tepebaşı (Sütlüce Mah.)</t>
  </si>
  <si>
    <t>Turgut Ataca</t>
  </si>
  <si>
    <t>Sütlüce</t>
  </si>
  <si>
    <t>Sütlüce Mah. Eğitimciler Cad. No : 61b Tepebaşı/Eskişehir</t>
  </si>
  <si>
    <t>Tunalı</t>
  </si>
  <si>
    <t>TEYİT İÇİN ARANDI AÇMADILAR</t>
  </si>
  <si>
    <t>Vişnelik, Öğretmenler Blv no:97/A, 26020 Odunpazarı/Eskişehir</t>
  </si>
  <si>
    <t>5fce0fd6588017496e3d8763</t>
  </si>
  <si>
    <t>Adıyamanlı Çiğ Köfteci, Tepebaşı (Cumhuriye Mah.)</t>
  </si>
  <si>
    <t>Cumhuriyet Mah. Kırım Cad. No:6 C Tepebaşı/ Eskişehir</t>
  </si>
  <si>
    <t xml:space="preserve">açmadı  </t>
  </si>
  <si>
    <t>Yeni bağlar mah, Yılmaz Büyükerşen Blv No:B, 26000 Tepebaşı/Eskişehir</t>
  </si>
  <si>
    <t>şahsi işletme/TEYİT İÇİN  ARANDI ULAŞILAMADI/ Teyit için arandı çekim gerçekleştimi diye açmadı.açmadı.</t>
  </si>
  <si>
    <t>61e1bcb6401cec19c0ec6ceb</t>
  </si>
  <si>
    <t>Adıyamanlı Çiğköfteci Abuzeroğulları,Odunpazarı (Vişnelik Mah.)</t>
  </si>
  <si>
    <t>Zeliha Altınok</t>
  </si>
  <si>
    <t>VİŞNELİK MAH . ÖĞRETMENLER CAD . NO :5/B . odunlukpazarı/eskişehir</t>
  </si>
  <si>
    <t>0546 145 26 00</t>
  </si>
  <si>
    <t>622cbae54142c96ef467aa79</t>
  </si>
  <si>
    <t>Adıyamanlı Çiğköfteci Eyüp Usta, Tepebaşı (Yenibağlar Mah.)</t>
  </si>
  <si>
    <t>Bünyamin Erkaya</t>
  </si>
  <si>
    <t>60d2fe0facb711dbbfcde36b</t>
  </si>
  <si>
    <t>Adıyamanlı Çiğköfteci Fatih Usta, Tepebaşı (Cumhuriye Mah.)</t>
  </si>
  <si>
    <t>Cumhuriye Mah. Başkan Sok. No: 41 A Tepebaşı / Eskişehir</t>
  </si>
  <si>
    <t xml:space="preserve">15 gün sonra istiyor/ yetkili yok./5520746065/hatta müşterim bekliyor daha sonra tekrar görüşelim dediler/1 hafta sonra aranacak menü güncellemesi sağlanıyormuş / mail atmış </t>
  </si>
  <si>
    <t>paneli açınca dönecek çekim için</t>
  </si>
  <si>
    <t>5f33c7ced2bdd4e00269273a</t>
  </si>
  <si>
    <t>Adıyamanlı Düdanlıbey Çiğ Köftecisi, Tepebaşı (Yenibağlar Mah.)</t>
  </si>
  <si>
    <t>yenibağlar mah, Seylap Cd. no 9 D:b, 26160 Tepebaşı/Eskişehir</t>
  </si>
  <si>
    <t>FOTOĞRAFLAR VERİLMEYECEKSE BOŞUNA GELMEYİN DEDİ.</t>
  </si>
  <si>
    <t>MUAMMER</t>
  </si>
  <si>
    <t>ihtiyacım yok şuan dedi/eleman eksiği varmış kendileri arayacaklar</t>
  </si>
  <si>
    <t>Yenibağlar Mah. Kadı Sok. A No:24 İç Kapı No:3 Tepebaşı/ Eskişehir</t>
  </si>
  <si>
    <t>adres değişti takvime eklendi./TEYİT İÇİN ARANDI MÜSAİT DEĞİLİM SONRA ARAYIN DEDİLER</t>
  </si>
  <si>
    <t>5f6bb056415622afd9fee4e9</t>
  </si>
  <si>
    <t>Ahbap Chicken, Tepebaşı (Eskibağlar Mah.)</t>
  </si>
  <si>
    <t>Eskibağlar mah. Sakman Sok. No:12/E Tepebaşı/Eskişehir</t>
  </si>
  <si>
    <t>TEYİT İÇİN ARANDI YETKİLİ YOKMUŞ/çekim gerçekleşmemiş randevu için arayacaklar/çkım istemıyorlar</t>
  </si>
  <si>
    <t>5f6e3557236a88156bc8a7c2</t>
  </si>
  <si>
    <t>Ailem Balık &amp; Izgara, Odunpazarı (Yenidoğan Mah.)</t>
  </si>
  <si>
    <t>Balık &amp; Deniz Ürünleri</t>
  </si>
  <si>
    <t>Yenidoğan mah. Ali Rıza Efendi Cad. No:26/A Odunpazarı/Eskişehir</t>
  </si>
  <si>
    <t>sezon kapanmış sezon açıldığında tekrar aranıp randevu alınacak / fotoğraflar mevcut gönderirim dedi mail adresi verildi.</t>
  </si>
  <si>
    <t>5f35b29dbe5a0b6c41bb2b98</t>
  </si>
  <si>
    <t>Ailem Ev Yemekleri, Odunpazarı (İstiklal Mah.)</t>
  </si>
  <si>
    <t>Ev Yemekleri</t>
  </si>
  <si>
    <t>İstiklal, Başarılı Sk. NO:4A/1, 26010 Odunpazarı/Eskişehir</t>
  </si>
  <si>
    <t>yoğun oldukları için istemiyorlar / gerek yok istemiyorum dedi kapattı / mail verildi</t>
  </si>
  <si>
    <t>Alanönü</t>
  </si>
  <si>
    <t>Randevuya gidilmemiş Tekrar gün verildi.05055064204yetkili no açmadı./şimdilik kalsın işlerimiz çok düşük</t>
  </si>
  <si>
    <t>Güllük</t>
  </si>
  <si>
    <t>61d73d04a042e5388d1b1f9a</t>
  </si>
  <si>
    <t>ÖMER FARUK ÖZDEMİRLİ</t>
  </si>
  <si>
    <t>Hüseyin Dede</t>
  </si>
  <si>
    <t>625097b579eec00414293f58</t>
  </si>
  <si>
    <t>Ala-Express Pizza &amp; Hamburger, Tepebaşı (Güllük Mah.)</t>
  </si>
  <si>
    <t>6051e91cd285315b13547a18</t>
  </si>
  <si>
    <t>Alaçatı İzmir Kumrum, Odunpazarı (Büyükdere Mah)</t>
  </si>
  <si>
    <t>Büyükdere Mah. Nisan Sok. No:29 D Odunpazarı /Eskişehir</t>
  </si>
  <si>
    <t>BlackList</t>
  </si>
  <si>
    <t>Mail atacak/1 yıldır yapamadıgınız ısı sımdımı yapıyorsunuz hanım efendı kapatın telefonu canınızı sıkmayım dedı</t>
  </si>
  <si>
    <t>Ömür Aydınlı</t>
  </si>
  <si>
    <t>Tavuk</t>
  </si>
  <si>
    <t xml:space="preserve">Eksik ürünlerinin çekimleri sağlanacak </t>
  </si>
  <si>
    <t>5ff4ecac71e89c0358981ef4</t>
  </si>
  <si>
    <t>Alfa Kumru &amp; Patso, Tepebaşı (Güllük Mah.)</t>
  </si>
  <si>
    <t>Crazy Chicken'dan alınacak görseller</t>
  </si>
  <si>
    <t>istemıyor</t>
  </si>
  <si>
    <t>61ce2308bcb79464c4af3e4b</t>
  </si>
  <si>
    <t>All-Pukka, Tepebaşı (Kumlubel Mah.)</t>
  </si>
  <si>
    <t>Özgür Karaağaç</t>
  </si>
  <si>
    <t>Kumlubel</t>
  </si>
  <si>
    <t>Kumlubel Mah. Ashap Sok. No:24 A Tepebaşı/Eskişehir</t>
  </si>
  <si>
    <t xml:space="preserve">4 5 gibi gelir yetkili </t>
  </si>
  <si>
    <t>Zafer</t>
  </si>
  <si>
    <t>Tadilat Var</t>
  </si>
  <si>
    <t>takvimde fotoğrafçı  fatih likoğlu/doğalgaz projesı oldugu bu hafta ıstemedı</t>
  </si>
  <si>
    <t>Kürşat Buğra Narcı</t>
  </si>
  <si>
    <t>61cb4bb81a9c32e898cffb2b</t>
  </si>
  <si>
    <t>Altındağ Döner &amp; Köfte, Tepebaşı (Tunalı Mah.)</t>
  </si>
  <si>
    <t>Aydın Altındağ</t>
  </si>
  <si>
    <t>Tunalı Mah. Pehlivanlar Sok. No:5 A Tepebaşı Eskişehir</t>
  </si>
  <si>
    <t>telefonu kapalı</t>
  </si>
  <si>
    <t>61e5e8f813deb830e7515f1e</t>
  </si>
  <si>
    <t>Altınelek Unlu Mamulleri, Odunpazarı (Emek Mah.)</t>
  </si>
  <si>
    <t>Hüseyin Çekiç</t>
  </si>
  <si>
    <t>Emek Mah. 2. Arabacılar Cad. No:207 A Odunpazarı Eskişehir</t>
  </si>
  <si>
    <t>624ff86e60c9cf3279d3a362</t>
  </si>
  <si>
    <t>Amcabey Baklavaları, Tepebaşı (Batıkent Mah.)</t>
  </si>
  <si>
    <t>RIDVAN ALAN</t>
  </si>
  <si>
    <t>Batıkent mahallesi. Dizili sokak . No:25 Tepebaşı / Eskişehir</t>
  </si>
  <si>
    <t>Diğer</t>
  </si>
  <si>
    <t>Mustafa Kemal Paşa</t>
  </si>
  <si>
    <t>TEYİT İÇİN ARANDI ULAŞILAMADI</t>
  </si>
  <si>
    <t>60279a57919b7ac80079bf7f</t>
  </si>
  <si>
    <t>Angry Fried Chicken, Tepebaşı (Eskibağlar Mah.)</t>
  </si>
  <si>
    <t>Eskibağlar Mah. Nazif Yörükçü Sk No:49 A Tepebaşı/Eskişehir</t>
  </si>
  <si>
    <t>dükkan kapalı</t>
  </si>
  <si>
    <t xml:space="preserve">dönecek  </t>
  </si>
  <si>
    <t>Köfte</t>
  </si>
  <si>
    <t>Gökmeydan</t>
  </si>
  <si>
    <t>takvimde fotoğrafçı  fatih likoğlu/ cumartesi saat 5' e devam çekimi alındı.</t>
  </si>
  <si>
    <t>Hemen Randevu İstiyorum</t>
  </si>
  <si>
    <t>ÇEKİM DEVAMI SERVET 5466380079/TEYİT İÇİN ARANDI ÇEKİM GERÇEKLEŞMİŞ</t>
  </si>
  <si>
    <t>5f35185f7bcccf6481d94bac</t>
  </si>
  <si>
    <t>Antepli Beğendik Pide &amp; Kebap, Vişnelik</t>
  </si>
  <si>
    <t>Vişnelik, Erdinçler Sk. No:4, 26020 Odunpazarı/Eskişehir</t>
  </si>
  <si>
    <t>Şuan deği ama yazın yapabiliriz dedi.salı günleri indirim yaopıyo gıcık oluyorum iyice yogunum istemiyorum dedi</t>
  </si>
  <si>
    <t>Nurhayat Kabataş</t>
  </si>
  <si>
    <t>624fe82a164c0766d9de9897</t>
  </si>
  <si>
    <t>Antik Baklava, Tepebaşı (Cumhuriye Mah.)</t>
  </si>
  <si>
    <t>Fatih Ersoy</t>
  </si>
  <si>
    <t>5f67ac29fbf46153e81b6db7</t>
  </si>
  <si>
    <t>Apache Burger, Odunpazarı (Kırmızıtoprak Mah.)</t>
  </si>
  <si>
    <t>Kırmızıtoprak mah. Mustafa Kemal Atatürk Cad. No: 95 /A Odunpazarı / Eskişehir</t>
  </si>
  <si>
    <t>Numara kullanılmıyor/birden fazla şubesi var aranmasın kendisi dönecek</t>
  </si>
  <si>
    <t>Ömer Bey /5383033737/işletme watsap no:5394501999</t>
  </si>
  <si>
    <t>602d23f443eb4c6abbbe86b5</t>
  </si>
  <si>
    <t>Arabica Cafe, Tepebaşı (Eskibağlar Mah.)</t>
  </si>
  <si>
    <t>Eskibağlar Mah. Genez Sk. No:38 I Tepebaşı/Eskişehir</t>
  </si>
  <si>
    <t>Franchise</t>
  </si>
  <si>
    <t>franchise</t>
  </si>
  <si>
    <t>601bbfcdddc49682a8a74ec0</t>
  </si>
  <si>
    <t>Aras Fast Food, Tepebaşı (Yeşiltepe Mah.)</t>
  </si>
  <si>
    <t>Yeşiltepe Mah. Bilgeç Cad. No:41/C Tepebaşı/Eskişehir</t>
  </si>
  <si>
    <t>şimdilik kulanmıyormuş/açtı konuşmadı</t>
  </si>
  <si>
    <t>53368262381/TEYİT İÇİN ARANDI ÇEKİM GERÇEKLEŞMİŞ</t>
  </si>
  <si>
    <t>61c0ecbee492d2c2ea4cfb88</t>
  </si>
  <si>
    <t>Arkeolog Bey Burger, Tepebaşı (Güllük Mah.)</t>
  </si>
  <si>
    <t>BERK YAKIT</t>
  </si>
  <si>
    <t>GÜLLÜK MAH. BAYSAL SK. NO: 68 A TEPEBAŞI/ ESKİŞEHİR</t>
  </si>
  <si>
    <t>çalışma saatleri değişiyormuş kendisini ayarlayıp bize dönüş sağlayacak</t>
  </si>
  <si>
    <t>numara verildi bizlere geri dönüş yapılacak/ toplu siparişim var ben size dönüş sağlasam olur mu der</t>
  </si>
  <si>
    <t>62373693d5e74b2cd1e63500</t>
  </si>
  <si>
    <t>Artizan Köfte &amp; Burger, Tepebaşı (Hoşnudiye Mah.)</t>
  </si>
  <si>
    <t>Umut Kumral</t>
  </si>
  <si>
    <t>Paşa</t>
  </si>
  <si>
    <t>agla tantunu olarak degıstırılmıs</t>
  </si>
  <si>
    <t>İsmet Bozlusun</t>
  </si>
  <si>
    <t>5fa077aa85129f07c0784439</t>
  </si>
  <si>
    <t>Aslım Tost Evi, Tepebaşı (Bahçelievler Mah.)</t>
  </si>
  <si>
    <t>Bahçelievler Mah. Dumanlı Sok. No:2 Tepebaşı /Eskişehir</t>
  </si>
  <si>
    <t>panelleri ile alakalı ciddi problemleri var iletildi çözülmeden aramayalım.</t>
  </si>
  <si>
    <t>Personel Eksik</t>
  </si>
  <si>
    <t>1 saate ara/ personelim yok tek çalışıyorum 2 ay sonra arayın</t>
  </si>
  <si>
    <t>Akarbaşı</t>
  </si>
  <si>
    <t>Akarbaşı Mah. t.güngör cad. No: 27/A Tepebaşı/Eskişehir</t>
  </si>
  <si>
    <t xml:space="preserve">bölge sorumlusu ile görüşün dedi </t>
  </si>
  <si>
    <t>623f411c30ab3a7517901488</t>
  </si>
  <si>
    <t>Aşkım Kumru &amp; Sandwich, Tepebaşı (Bahçelievler Mah.)</t>
  </si>
  <si>
    <t>İzzet Mustafa Çımbaroğlu</t>
  </si>
  <si>
    <t>Bahçelievler mahallesi İstanbul sokak no:27/A Tepebaşı /Eskişehir</t>
  </si>
  <si>
    <t>arandı ulasılmadı</t>
  </si>
  <si>
    <t>Muammer çakır</t>
  </si>
  <si>
    <t xml:space="preserve">ışletme kucuk oldugu ıcın cekım saglanılmamıs yt tekrardan ıstemıyor </t>
  </si>
  <si>
    <t>İSTİKLAL MAH. BAŞARILI SK. NO: 7 B ODUNPAZARI/ESKİŞEHİR</t>
  </si>
  <si>
    <t xml:space="preserve"> muammer</t>
  </si>
  <si>
    <t>Eşi dilek hanım devam çekimi istiyor.</t>
  </si>
  <si>
    <t xml:space="preserve">Fotoğraflarını kendisi çektircek/ İSTEMEDİ </t>
  </si>
  <si>
    <t>620bcc943f985c4795bd72c6</t>
  </si>
  <si>
    <t>Atlas Tost Evi, Tepebaşı (Güllük Mah.)</t>
  </si>
  <si>
    <t>İhsan Bezenmiş</t>
  </si>
  <si>
    <t>Eskibağlar Mah. Balkan Cad. No: 71/ B Tepebaşı/Eskişehir</t>
  </si>
  <si>
    <t xml:space="preserve">daha önce çekim sağlanmış </t>
  </si>
  <si>
    <t>6045a4e28aa1217e25700f35</t>
  </si>
  <si>
    <t>Atlasbey Çiğköfteleri,Tepebaşı (Güllük Mah.)</t>
  </si>
  <si>
    <t>GÜLLÜK MAH. TALAT PAŞA SK. NO: 80 A TEPEBAŞI/ ESKİŞEHİR</t>
  </si>
  <si>
    <t>Gözdem Çiğ Köfte Evi, Tepebaşı (Güllük Mah.)</t>
  </si>
  <si>
    <t>Turgay Alver</t>
  </si>
  <si>
    <t>Sütlüce, İstiklal Cd. No:62, 26210, 26210 Tepebaşı/Eskişehir</t>
  </si>
  <si>
    <t>ramazandan sonra aranacak hastası varmış//27 sinde arancak dükkanın işleri vamış</t>
  </si>
  <si>
    <t>5f35175bf3dfd17a532df70d</t>
  </si>
  <si>
    <t>Ay-She Tostpito, Eskibağlar</t>
  </si>
  <si>
    <t>Dünya Mutfağı</t>
  </si>
  <si>
    <t>Eskibağlar, Genez Sk. no 34, 26100 Tepebaşı/Eskişehir</t>
  </si>
  <si>
    <t>çekilmiş fotoğraf ama yüklenmemiş/ fotoğraflar için arandı açmadı.</t>
  </si>
  <si>
    <t>5468089844/TEYİT İÇİN ARANDI ÇEKİM GERÇEKLEŞMİŞ</t>
  </si>
  <si>
    <t>Necmettin Aydoğan</t>
  </si>
  <si>
    <t xml:space="preserve">açıp açıp kapatıyor  </t>
  </si>
  <si>
    <t>5f328876335da44cfb1d1fb1</t>
  </si>
  <si>
    <t>Baklahu Hakiki Gaziantep Baklavaları, Tepebaşı (Hoşnudiye Mah.)</t>
  </si>
  <si>
    <t>Hoşnudiye, Kızılcıklı M. Pehlivan Cd. No:37 D:E, 26100 Tepebaşı/Eskişehir</t>
  </si>
  <si>
    <t>624878551d4cbb9773fe6454</t>
  </si>
  <si>
    <t>Baklavacı Cenap Usta, Odunpazarı (Emek Mah.)</t>
  </si>
  <si>
    <t>Melek Eker</t>
  </si>
  <si>
    <t>Emek Mah. Ertaş Cad. Özcanlar Apt No:220 A Odunpazarı Eskişehir</t>
  </si>
  <si>
    <t>6079883dd384d48ad7d296d0</t>
  </si>
  <si>
    <t>Baklavacım, Tepebaşı ( Eskibağlar Mah.)</t>
  </si>
  <si>
    <t>Eskibağlar Mah. Hatboyu 1 Cad. No:2 Tepebaşı / Eskişehir</t>
  </si>
  <si>
    <t>numara kullanılmıyor</t>
  </si>
  <si>
    <t>61acceafd1adeb67aec5472e</t>
  </si>
  <si>
    <t>Balaban Kebap, Odunpazarı (Arifiye Mah.)</t>
  </si>
  <si>
    <t>Sinan Karayiğit</t>
  </si>
  <si>
    <t>Arifiye Mah. Hamamyolu Cad. No:74/11 B Blok Odunpazarı Eskişehir</t>
  </si>
  <si>
    <t xml:space="preserve">mail verildi </t>
  </si>
  <si>
    <t>Çamlıca</t>
  </si>
  <si>
    <t>eksık urunler ıcın yarın arancak/ istemiyorum ürünüm çok dedi bende devam çekimi yaparız tekrardan dedim fotoğraflara girmeyelim yok dedi.</t>
  </si>
  <si>
    <t>Hoşnudiye, Tacin Sk. No:18, 26130 Tepebaşı/Eskişehir</t>
  </si>
  <si>
    <t>Adres de No:11 olacak. /TEYİT İÇİN ARANDI ÇEKİM GERÇEKLEŞMİŞ/şimdilik kalsın eksık urunler</t>
  </si>
  <si>
    <t>61a4ce9eaf4b43f090749cd5</t>
  </si>
  <si>
    <t>Bas Bi' Tost, Tepebaşı (Yenibağlar Mah.)</t>
  </si>
  <si>
    <t>Hakan Kılıçay</t>
  </si>
  <si>
    <t>Yenibağlar Mah. Beraberlik Sok. No:19 A Tepebaşı Eskişehir</t>
  </si>
  <si>
    <t>haftaya alınabilir</t>
  </si>
  <si>
    <t>Vadişehir</t>
  </si>
  <si>
    <t>ÇEKİLMİŞ./yarın aranacak devam çekimi için/ileri tarihlerde devam çekimi için aranacak düğünleri varmış</t>
  </si>
  <si>
    <t>5068926851/müdürle görüşüp yollicakmış/ 05320664262 fotoğraflar için arandı yetkili yok yetkili no açmadı./ pizzalaeın çekimi yapılmamış çok ilerde devam çekim randevusu alınacak</t>
  </si>
  <si>
    <t>5f9744f6ad9906bc07fe0108</t>
  </si>
  <si>
    <t>Bec Burger, Odunpazarı (Vadişehir Mah.)</t>
  </si>
  <si>
    <t>Vadişehir Mahallesi.Nilüfer Caddesi. 75/ M Blok. No: 9 Odunpazarı / Eskişehir</t>
  </si>
  <si>
    <t>telefon açılmadı/açmadı</t>
  </si>
  <si>
    <t>541 290 18 63 / Çekim gerçekleşmiş devam çekimi olarak aranabilir.</t>
  </si>
  <si>
    <t>hülya hanım/5526527926 / ustası eksikmiş ve yoğunlukları varmış şu an da ertelemek istediler.</t>
  </si>
  <si>
    <t>621a547b597aa26681fd0dae</t>
  </si>
  <si>
    <t>Bereket Pide &amp; Kebap Evi, Odunpazarı (Emek Mah.)</t>
  </si>
  <si>
    <t>Abdülkadir Bayrak</t>
  </si>
  <si>
    <t>Emek MH. Öztürkler Sk. No.1/E Odunpazarı/ESKİŞEHİR</t>
  </si>
  <si>
    <t>619c496041ebf403a2251f2a</t>
  </si>
  <si>
    <t>Berhan Fast Food, Odunpazarı (Vişnelik Mah.)</t>
  </si>
  <si>
    <t>Nezahat Öztürk</t>
  </si>
  <si>
    <t>Vişnelik Mah. Erdinçler Sok. No:1 A Odunpazarı Eskişehir</t>
  </si>
  <si>
    <t xml:space="preserve">sipariş alamıyorum masraf yapamam kalsın </t>
  </si>
  <si>
    <t>5f33c62e30bf6354f72c901c</t>
  </si>
  <si>
    <t>Besler Tantuni, Güllük</t>
  </si>
  <si>
    <t>Güllük, Sakarya-2 Cd. No:65 D:E, 26170 Tepebaşı/Eskişehir</t>
  </si>
  <si>
    <t>61a3653d11e44616d2f4bc66</t>
  </si>
  <si>
    <t>Beyaz Tavalar, Tepebaşı (Bahçelievler Mah.)</t>
  </si>
  <si>
    <t>Uğur Göker</t>
  </si>
  <si>
    <t>BAHÇELİEVLER MAH. PROF.DR. ORHAN OĞUZ CAD. NO: 15 A TEPEBAŞI/ ESKİŞEHİR</t>
  </si>
  <si>
    <t xml:space="preserve">Önceki randevuya hiç gidilmemiş./Menüsüyle ilgili ciddi sıkıntıları var </t>
  </si>
  <si>
    <t>62273895dc627183de24cb09</t>
  </si>
  <si>
    <t>Ebru Dokumacı</t>
  </si>
  <si>
    <t>Batıkent Mah. Prof. Dr. Nusret Fişek Sok. No:2 Tepebaşı Eskişehir</t>
  </si>
  <si>
    <t>61c0e2591a8109787ca49a02</t>
  </si>
  <si>
    <t>Beyoğlu Kokoreç, Odunpazarı (Büyükdere Mah.)</t>
  </si>
  <si>
    <t>SAMET KARAKAYA</t>
  </si>
  <si>
    <t>Büyükdere Mah. Sarımeşe Sok. No:4 A Odunpazarı Eskişehir</t>
  </si>
  <si>
    <t>5345246749/saat 5 gbı aranılcak/yarım saat sonra aranılck/işletme saat 6 da acılıormus bu yuzden tam gun calıstıgı zmn alınacak randevusu</t>
  </si>
  <si>
    <t>60940a82d3c7bf3f1c38bb7d</t>
  </si>
  <si>
    <t>Bi Çiğköfte, Odunpazarı (İstiklal Mah.)</t>
  </si>
  <si>
    <t>İstiklal Mahallesi Başarılı Sokak No:1 D Odunpazarı / Eskişehir</t>
  </si>
  <si>
    <t>çekimi yapılmış</t>
  </si>
  <si>
    <t>621a6826c63d13a96f163b6f</t>
  </si>
  <si>
    <t>Bi Nazır Pasta &amp; Börek &amp; Tatlı, Odunpazarı (Büyükdere Mah.)</t>
  </si>
  <si>
    <t>AYSUN KIRTAŞ</t>
  </si>
  <si>
    <t>Büyükdere, Millet Cd. No:15 Odunpazarı/Eskişehir</t>
  </si>
  <si>
    <t>yt yok no verdim</t>
  </si>
  <si>
    <t>5fa163c5de99753d6f4ca99f</t>
  </si>
  <si>
    <t>Bi Nazır Tantuni, Odunpazarı (Büyükdere Mah.)</t>
  </si>
  <si>
    <t>Gerek yok dediakşama dogru ararsanız daha iyi olur dedi ikna edilenbilir gibi geldi bana/ ŞUAN DÜŞÜNMÜYORMUŞ /yetkili hastaymış o yüzden sonra aranacak yetkili pazaresi gelir</t>
  </si>
  <si>
    <t>5fa160edf08752004ce1dcf6</t>
  </si>
  <si>
    <t>Bi-Nazır Pide &amp; Kebap, Odunpazarı (Büyükdere Mah.)</t>
  </si>
  <si>
    <t>menüde değişiklik yapacağını belirtti/yetkili hastaymış o yüzden sonra aranacak/yt yok 5 ten sonra/aksam uzerı aranılck/yt yok no verdim</t>
  </si>
  <si>
    <t>5f35159982cfcff154524ce6</t>
  </si>
  <si>
    <t>Bi-Nazır Pizza, Büyükdere</t>
  </si>
  <si>
    <t>Büyükdere, Millet Cd. No:15, 26040 Odunpazarı/Eskişehir</t>
  </si>
  <si>
    <t xml:space="preserve">2 hafta sonra ara/teşekkür ederim sağolun dedi / teşekkür ederim şuan istemiyorum dedi </t>
  </si>
  <si>
    <t>620b950436e4205781bb465e</t>
  </si>
  <si>
    <t>Big Çıtır Dürüm, Tepebaşı(Güllük Mah.)</t>
  </si>
  <si>
    <t>TOLGA KUMRU</t>
  </si>
  <si>
    <t>Şirintepe Mah. İsmet İnönü-2 Cad. No:60 B Tepebaşı/ Eskişehir</t>
  </si>
  <si>
    <t>Hüseyin Bey 5432809180 / çok masraf yapıcam dedi</t>
  </si>
  <si>
    <t>Sinan bey/5325657919 DEVAM İSTİYOR AMA HAFTAYA İSTİYOR.</t>
  </si>
  <si>
    <t>61a65677743bf41a5101a372</t>
  </si>
  <si>
    <t>Birtat Lahmacun &amp; Pide, Odunpazarı (İstiklal Mah.)</t>
  </si>
  <si>
    <t>fotografları bölge sorumlusuna iletmiş yüklemesini saglayacagını söylemiş</t>
  </si>
  <si>
    <t>6212a30498c97b5f570cd218</t>
  </si>
  <si>
    <t>Bol Çeşit Gözleme Evi, Tepebaşı (Bahçelievler Mah.)</t>
  </si>
  <si>
    <t xml:space="preserve">şuan bir yoğunluğumuz var o bitsin ben sizi araım dedi </t>
  </si>
  <si>
    <t>5f2c33a38e6cb27e3714c9c8</t>
  </si>
  <si>
    <t>Boss Burger, Tepebaşı (Güllük Mah.)</t>
  </si>
  <si>
    <t>Güllük, Bacı Sk. No:10, 26190 Tepebaşı/Eskişehir</t>
  </si>
  <si>
    <t>Tayfun Üçok</t>
  </si>
  <si>
    <t>Ertuğrulgazi</t>
  </si>
  <si>
    <t>Hoşnudiye mahallesi istasyon cad no :37 / c Eskişehir / Tepebaşı</t>
  </si>
  <si>
    <t>61f04f1665436a8a9b80e570</t>
  </si>
  <si>
    <t>Bozok Döner, Tepebaşı (Yenibağlar Mah.)</t>
  </si>
  <si>
    <t>ALİYE KARAÇINAR</t>
  </si>
  <si>
    <t>ben kendim hallediyorum dedi</t>
  </si>
  <si>
    <t>Uluönder</t>
  </si>
  <si>
    <t>5f35a62b02e00833ac8fd7a6</t>
  </si>
  <si>
    <t>Breadli, Odunpazarı (Büyükdere Mah.)</t>
  </si>
  <si>
    <t>Büyükdere, MERKEZ CARSI N:4, Osmangazi Ünv., 26040 Odunpazarı/Eskişehir</t>
  </si>
  <si>
    <t>mail verildi/ FOTOĞRAFI VAR / fotoğraflar için arandı yetkili yok.</t>
  </si>
  <si>
    <t>61c6e2ecd210503285fc2db4</t>
  </si>
  <si>
    <t>Bro Burger, Odunpazarı (Büyükdere Mah.)</t>
  </si>
  <si>
    <t>Aykut Şahin</t>
  </si>
  <si>
    <t>Büyükdere Mah. Papatyalar Sok. No:30 B Odunpazarı Eskişehir</t>
  </si>
  <si>
    <t>tek çalışıyorum yoğunum gerek yok,düşünürsem ararım</t>
  </si>
  <si>
    <t>Müslüm Kavşut</t>
  </si>
  <si>
    <t>Büyükdere Mah. Millet Cad. No:104 Odunpazarı/Eskişehir</t>
  </si>
  <si>
    <t xml:space="preserve">5058564410 ahmet bey /1 ay sonra görüşmek ister / yılbasından sonra aranacak / okulun için /beni bir hafta sonra arayın dedi </t>
  </si>
  <si>
    <t xml:space="preserve">yetkili yok /menu guncellenecek daha sonra aranılck/guncellenmemıs daha / 1 saat sonra / henüz menü güncellemesi bitmemiş / haftaya pazartesi aranacak 7 menü talebi hala olmamış / 5536962626 ümitcan beyin numarası </t>
  </si>
  <si>
    <t>6206c7bdc5cdd2bb6ff271ee</t>
  </si>
  <si>
    <t>Bsr,Odunpazarı( İstiklal Mah.)</t>
  </si>
  <si>
    <t>Ümitcan Akçardak</t>
  </si>
  <si>
    <t>İstiklal mah. ertuğrulbey sok. no:15/a eskişehir odunpazarı</t>
  </si>
  <si>
    <t>biz kendi çekimlerimizi yaptırdık ama kabul edilmedi o yüzden istemiyorum teşekkürler der suratıma kapattı</t>
  </si>
  <si>
    <t>62508e0589dbea002902772b</t>
  </si>
  <si>
    <t>Bu Kokoreç &amp; Çorba, Tepebaşı (Hoşnudiye Mah.)</t>
  </si>
  <si>
    <t>Bayram Akın</t>
  </si>
  <si>
    <t>Hoşnudiye Mah. Vural Sok. No:52 Tepebaşı Eskişehir</t>
  </si>
  <si>
    <t>ULASILMADI/çekım gerceklessmıs yuklenılmıs ama begenılmedıgı ıcın tekrardan kaldırılmıs</t>
  </si>
  <si>
    <t>5fd3fb249501119d74bc2c7b</t>
  </si>
  <si>
    <t>Bufalo Burger, Odunpazarı (İstiklal Mah.)</t>
  </si>
  <si>
    <t>İstiklal Mah. Porsuk Bulvarı No:69/A Odunpazarı/Eskişehir</t>
  </si>
  <si>
    <t>Sistemden Çıkmak İstiyor</t>
  </si>
  <si>
    <t>5325907343hiç bi şekilde ikna olmuyo 12 dakika falan konuştu çok dertli</t>
  </si>
  <si>
    <t xml:space="preserve">TEYİT İÇİN ARANDI YETKİLİ YOKMUŞ </t>
  </si>
  <si>
    <t>61a7e839743bf40a393e5650</t>
  </si>
  <si>
    <t>Bunway, Tepebaşı (Uluönder Mah.)</t>
  </si>
  <si>
    <t>Batuhan Dar</t>
  </si>
  <si>
    <t>Uluönder mahallesi Selva sokak B1 blok No 8A Tepebaşı Eskişehir</t>
  </si>
  <si>
    <t>subat ayından snra aranılck</t>
  </si>
  <si>
    <t>60bd0964e105094887d930b3</t>
  </si>
  <si>
    <t>Burger Yiyelim, Tepebaşı (Hoşnudiye Mah.)</t>
  </si>
  <si>
    <t>Hoşnudiye Mah. İsmetinönü-1 Cad. No:67 A İç Kapı No:8 Tepebaşı / Eskişehir</t>
  </si>
  <si>
    <t>15 dkka sonra aranacak /fotoğraflarımız mevcut bu şube içinde kullanıcaz dediler/ fotoğraflar için arandı ulaşılamadı.</t>
  </si>
  <si>
    <t>618da87d4e902f4d9deb8197</t>
  </si>
  <si>
    <t>Burgermix Steak, Tepebaşı (Eskibağlar Mah.)</t>
  </si>
  <si>
    <t>Enes Atabay</t>
  </si>
  <si>
    <t>Eskibağlar Mah. Kumlubel Sok. No:8 B Tepebaşı Eskişehir</t>
  </si>
  <si>
    <t xml:space="preserve">kimse gelip beni ziyaret etmiyor fiyat güncellemesi de olmuyor getir getirsin istiyoru moda yok herkes not alıyor güya ama kimse ilgilenmiyor getir kendini bozdu der / şuanda istemiyorum dedi </t>
  </si>
  <si>
    <t>Fatma Şafak</t>
  </si>
  <si>
    <t>60e76c78508ede526f333c8b</t>
  </si>
  <si>
    <t>By Şölen, Tepebaşı (Fatih Mah.)</t>
  </si>
  <si>
    <t>Fatih</t>
  </si>
  <si>
    <t>Fatih Mah. Prof. Dr. Orhan Oğuz Cad. No: 50A Tepebaşı/Eskişehir</t>
  </si>
  <si>
    <t>müsait değilmiş.</t>
  </si>
  <si>
    <t xml:space="preserve">12 1 gibi aranacak/5469419701/açmadıÇEKİM GERÇEKLEŞMEMİŞ İPTAL EDİLMİŞ İLERİ TARİHLERDE RANDEVU İÇİN ARANACAK- - ürün hazırlayacak vakti yok dedi </t>
  </si>
  <si>
    <t>5f7ddacb03658e372ea71c6c</t>
  </si>
  <si>
    <t>Cafe De Paris, Hoşnudiye</t>
  </si>
  <si>
    <t>Hoşnudiye Mah. Porsuk Blv. Sahil yolu no:10 Tepebaşı /Eskişehir</t>
  </si>
  <si>
    <t>dönecek/yasaklar tamamen kalksın dedi/bu ay ben restoranda olmuycam önümüzdeki aya ypalım dediler - 15 dk ya aranacak yetkili yok ÖNÜMÜZDEKİ AY ARA/ 1 ay sonra tekrar ara der</t>
  </si>
  <si>
    <t>6159f8ca5584c5cb81d09fba</t>
  </si>
  <si>
    <t>Cajun Corner, Tepebaşı (Eskibağlar Mah.)</t>
  </si>
  <si>
    <t>Del Agha Rajabi</t>
  </si>
  <si>
    <t>Eskibağlar Mah. Sakman Sok. No:11/1 Tepebaşı / Eskişehir</t>
  </si>
  <si>
    <t>5fbae88ba5b98f43c752a244</t>
  </si>
  <si>
    <t>Calanthe Cafe, Tepebaşı (Eskibağlar Mah.)</t>
  </si>
  <si>
    <t>İçecek</t>
  </si>
  <si>
    <t>Eskibağlar mah. Genez sk. no:95 Eskişehir/Tepebaşı</t>
  </si>
  <si>
    <t>kendi fotoğraflarını atıcak./gerekirse ben çektiririm dedi/ fotoğrafları gönderdim uygun olmadığına dair dönüş yaptınız oyüzden fotoğraflar mevcur değil dedi çekimi biz yapalım dediğimde sürekli arıyorsunuz öyle talebim yok olursa dnüş yaparım dedi.</t>
  </si>
  <si>
    <t>Yenibağlar Mh. Sevingil Sk. No:1/A Tepebaşı, Eskişehir, Türkiye,</t>
  </si>
  <si>
    <t>61fec4e10ca059b987d48cd5</t>
  </si>
  <si>
    <t>Capo Coffee &amp; Mocktail H. Collesium Tepebaşı (Eskibağlar Mah.)</t>
  </si>
  <si>
    <t>Kahve</t>
  </si>
  <si>
    <t>ARDA YÜCEL</t>
  </si>
  <si>
    <t>ESKİBAĞLAR MAH. GENEZ SK. NO: 38 D TEPEBAŞI/ ESKİŞEHİR</t>
  </si>
  <si>
    <t xml:space="preserve">hayır istemiyoru deyip kapattı </t>
  </si>
  <si>
    <t>dönecek /5071234444 burak bey mesgul/Çekim gerçekleşmiş./d.ç önümüzdeki hafta olue</t>
  </si>
  <si>
    <t>5f3282e2b6572ccaf7730568</t>
  </si>
  <si>
    <t>Cennet Simit, Odunpazarı (İstiklal Mah.)</t>
  </si>
  <si>
    <t>İstiklal, Başarılı Sk. No:10, 26010 Odunpazarı</t>
  </si>
  <si>
    <t>kayıtlı numara yok/kayıtlı numara yok</t>
  </si>
  <si>
    <t>61c0c341a431e1cf3a39b6d4</t>
  </si>
  <si>
    <t>mail verildi</t>
  </si>
  <si>
    <t>Yeni açıldığı sonra istiyo,/TEYİT İÇİN ARANDI AÇMADILAR</t>
  </si>
  <si>
    <t>5f35a9a8a1bf0546be9bac96</t>
  </si>
  <si>
    <t>Cheese Pizza, Odunpazarı (Çankaya Mah.)</t>
  </si>
  <si>
    <t>Çankaya</t>
  </si>
  <si>
    <t>nilufer caddesi no 5/b 26210 Eskişehir</t>
  </si>
  <si>
    <t>tek seferde o kadar ürün çıkartamam dedi/çok fazla ürün çıkartamamd dedi1 saat sonra arancakeşine sorcak</t>
  </si>
  <si>
    <t>6212702cdb17649e60db96fd</t>
  </si>
  <si>
    <t>Cheest Döner, Tepebaşı (Şirintepe Mah.)</t>
  </si>
  <si>
    <t>ABDULSAMET KAYA</t>
  </si>
  <si>
    <t>61499fd8522107a9ce2bcc16</t>
  </si>
  <si>
    <t>Chef İzmir Sandviç &amp; Döner &amp; Kudu, Odunpazarı (Büyükdere Mah.)</t>
  </si>
  <si>
    <t>Büyükdere Mah. Fakülte Sok. No:48 B Odunpazarı / Eskişehir</t>
  </si>
  <si>
    <t>mail verildi.çekim istemiyor.</t>
  </si>
  <si>
    <t>5fc43267a0a4b17192dab572</t>
  </si>
  <si>
    <t>Cheff Chicken Home, Tepebaşı (Güllük Mah.)</t>
  </si>
  <si>
    <t>5f6e21d0b57e854e72e7aae7</t>
  </si>
  <si>
    <t>Chicken Bank, Odunpazarı (Vişnelik Mah.)</t>
  </si>
  <si>
    <t>VİŞNELİK MAHALLESİ ATATÜRK BULVARI NO:112/B ODUNPAZARI ESKİŞEHİR</t>
  </si>
  <si>
    <t>yt yok döncekler/işletme tasınacakmıs</t>
  </si>
  <si>
    <t>cüneyt bey 5067917147-5363187968/devam çekimi alındı/ çekim gerçekleşmiş.</t>
  </si>
  <si>
    <t>6259ccab08f19f4dc8f0df3c</t>
  </si>
  <si>
    <t>Ciğerci Göksel, Tepebaşı (Yenibağlar Mah.)</t>
  </si>
  <si>
    <t>Sezer Turan</t>
  </si>
  <si>
    <t>Anadolu Üniversitesi Acikögretim Fakültesi</t>
  </si>
  <si>
    <t>Yenibağlar Mah. Prof. Dr. Yılmaz Büyükerşen Blv. No:158 A Tepebaşı Eskişehir</t>
  </si>
  <si>
    <t>6185171e3a95d9daf7fe4191</t>
  </si>
  <si>
    <t>Nurettin Göze</t>
  </si>
  <si>
    <t>Deliklitaş</t>
  </si>
  <si>
    <t xml:space="preserve">MAİL VERILDI / açıp konuşmuyor </t>
  </si>
  <si>
    <t>6126d5f22eeeddd9a18263e3</t>
  </si>
  <si>
    <t>Ciğerci Mesut, Tepebaşı ( Yenibağlar Mah.)</t>
  </si>
  <si>
    <t>Yenibağlar Mah. Eti Cad. No:39 D Tepebaşı / Eskişehir</t>
  </si>
  <si>
    <t>mail verildi / fotoğraflar için arandı açmadı.</t>
  </si>
  <si>
    <t>Devam çekimi için aradım müsait olamıyoruz müsait olunca biz çekip atalım der</t>
  </si>
  <si>
    <t>5fa0890af087526fd7e1cd8d</t>
  </si>
  <si>
    <t>Ciğerci Sedat, Yenibağlar</t>
  </si>
  <si>
    <t>Yenibağlar Mh, Yılmaz Büyükerşen Blv No:146 Tepebaşı/Eskişehir</t>
  </si>
  <si>
    <t>gerek yok kendimiz çekicez diyor.</t>
  </si>
  <si>
    <t>Emre Tezel</t>
  </si>
  <si>
    <t>6193ff221370eb2c05293e8c</t>
  </si>
  <si>
    <t>City's Pizza, Tepebaşı (Çamlıca Mah.)</t>
  </si>
  <si>
    <t>Seyit Ahmet Yeni</t>
  </si>
  <si>
    <t>Çamlıca mahallesi Gündüz ökçün bulvarı No : 163 B Tepebaşı Eskişehir</t>
  </si>
  <si>
    <t>Turgay Bey 5434627180</t>
  </si>
  <si>
    <t>6193fff1d8c5c642216b105a</t>
  </si>
  <si>
    <t>City's Pizza, Tepebaşı (Güllük Mah.)</t>
  </si>
  <si>
    <t>Güllük mahallesi Baysal sokak no: 69 A Tepebaşı Eskişehir</t>
  </si>
  <si>
    <t>Turgay Bey işletme müdürü;5434627180 /elinde fotoğraflar varmış onların durumuna bi bakayım tekrar görüşelim dedi</t>
  </si>
  <si>
    <t>5f9cd218911dec4ce972c372</t>
  </si>
  <si>
    <t>Clement Mathieu's Fast Food, Odunpazarı (Büyükdere Mah.)</t>
  </si>
  <si>
    <t>Büyükdere mah. Vezirköprü sk. 19/A Odunpazarı/Eskişehir</t>
  </si>
  <si>
    <t>Diğer dükkanda çekilenlerle bu dükkandaki menü uyuşmuyor // başka dükkanına yapıldı   Magic Meal Cafe &amp; Restaurant, Odunpazarı (Büyükdere Mah.)  /kendı arıycak</t>
  </si>
  <si>
    <t>Azime Ay</t>
  </si>
  <si>
    <t>SUAN ICIN  CEKIM ISTEMEDI GETİR TARAFINDAN DAHA SONRA GRUSMEK ISTEDI/cekım taraftarı degılım dedı</t>
  </si>
  <si>
    <t>fotoğraf 2 ay önce çekilmiş/ 05533088345 furkan beyden devam çekimi alındı.</t>
  </si>
  <si>
    <t>6234dda9ff5dbd2cb5ac4408</t>
  </si>
  <si>
    <t>Crypto Mutfak, Tepebaşı (Eskibağlar Mah.)</t>
  </si>
  <si>
    <t>BÜLENT LOFÇA</t>
  </si>
  <si>
    <t>Eski bağlar mahallesi prof doktor Yılmaz Büyükerşen bulvarı no 16/A tepebaşı Eskişehir</t>
  </si>
  <si>
    <t xml:space="preserve">ellerinde yüksek kalite fotoğraflar varmış </t>
  </si>
  <si>
    <t xml:space="preserve">Tekrar arandı teli açan yok/açmıyorlar/açmıyor/ 5419782717 sipariş numarası yetkili yokmuş --5323137276 beklan bey hastanedetymiş daha sonra aranacak/ 1 ay sonra aranacak / yoğunuz der haftaya ara </t>
  </si>
  <si>
    <t xml:space="preserve">no kullanılmıyor  </t>
  </si>
  <si>
    <t>61e175ac55d1910cd546367b</t>
  </si>
  <si>
    <t>Çıtır Dürüm, Tepebaşı (Güllük Mah.)</t>
  </si>
  <si>
    <t>FURKAN SEYDAN</t>
  </si>
  <si>
    <t>620ba07f6e93926aa5093ed1</t>
  </si>
  <si>
    <t>Çıtır Simit, Odunpazarı (İstiklal Mah.)</t>
  </si>
  <si>
    <t>Yunus Sencer Doğan</t>
  </si>
  <si>
    <t>İstiklal Mah. Yalaman Sok. No:25 A Odunpazarı Eskişehir</t>
  </si>
  <si>
    <t xml:space="preserve">saha temsilciniz Gökhan beyle bi görüşeyim der / şuan hasta yatıyormuş hafataya tekrar aranacak / mail atacak </t>
  </si>
  <si>
    <t>devam çekimi istemiyor</t>
  </si>
  <si>
    <t>Ahmet Bey/Saliha Hanım/ çekim gerçekleşmiş./ devam çekimi istemiyor</t>
  </si>
  <si>
    <t>yt yok döncekler/5455774657/işletme tasınacakmıs</t>
  </si>
  <si>
    <t>61fc203e6a240786c45e3c2f</t>
  </si>
  <si>
    <t>Çiğ Köfte Dünyası, Tepebaşı (Zafer Mah.)</t>
  </si>
  <si>
    <t>Abdullah Bilen</t>
  </si>
  <si>
    <t>Zafer Mah. Derman Cad. No:120 A Tepebaşı Eskişehir</t>
  </si>
  <si>
    <t>5f9cb7af00b49b5ee1b06286</t>
  </si>
  <si>
    <t>Çiğ Köfteci Sait (Cumhuriye Mah.)</t>
  </si>
  <si>
    <t>605d7c300e468e83a9c6c6ce</t>
  </si>
  <si>
    <t>Çiğ Köfteci Salih Usta, Odunpazarı (Büyükdere Mah.)</t>
  </si>
  <si>
    <t>Büyükdere Mah. Millet Cad. No:66 A Odunpazarı/ Eskişehir</t>
  </si>
  <si>
    <t>saedece çiğ köfte için fotoğrafa ihtiyaç duymuyoruz der.</t>
  </si>
  <si>
    <t>605d9f64c271aee2372e3c90</t>
  </si>
  <si>
    <t>Çiğ Köfteci Salih Usta, Tepebaşı (Şirintepe Mah.)</t>
  </si>
  <si>
    <t>Şirintepe Mah. Paşasoylu Sok. No:4 A Tepebaşı/ Eskişehir</t>
  </si>
  <si>
    <t>Ramazandan Sonra Randevu Istiyor</t>
  </si>
  <si>
    <t xml:space="preserve">yetkili yok  </t>
  </si>
  <si>
    <t>İlhan Genç</t>
  </si>
  <si>
    <t>Yenikent</t>
  </si>
  <si>
    <t xml:space="preserve">Salih bey/ pzt tekrar aranacak çünkü şehir dısındaymıs/pzrtesı aranılck daha sonra randvusu olusturulck / aamayın dedi </t>
  </si>
  <si>
    <t>608468265e38d4fc2c0b82bb</t>
  </si>
  <si>
    <t>Çiğköftem, Odunpazarı( Yıldıztepe Mah.)</t>
  </si>
  <si>
    <t>Yıldıztepe</t>
  </si>
  <si>
    <t>Yıldıztepe Mah. Dumlupınar Cad. D Blok No:27/A Odunpazarı/ Eskişehir</t>
  </si>
  <si>
    <t>kendi fotoları varmış düşünüp arayacak</t>
  </si>
  <si>
    <t>Erkan Demirel</t>
  </si>
  <si>
    <t>Hicran Binici</t>
  </si>
  <si>
    <t>5444752772/yt yok 5 dkka sonra ara/eksık urunu yok ccekılmıs hepsı/ çekim gerçekleşmiş.</t>
  </si>
  <si>
    <t>hepsi standart ekmekte ve hepsi farklı içerikli çok detaylı bir çekim olması gerekiyor içerisini görebilmek için ben de bu kadar detaylı bir çekim istemiyorum der</t>
  </si>
  <si>
    <t>takvimde fotoğrafçı fatih likoğlu çekim gerçekleşmemiş yeniden randevu oluşturuldu</t>
  </si>
  <si>
    <t>İstiklal, Türkiye, Mustafa Kemal Atatürk Cd No:68, 26010 Odunpazarı/Eskişehir</t>
  </si>
  <si>
    <t>saat:11:00</t>
  </si>
  <si>
    <t xml:space="preserve">olanlar yeterli dedi </t>
  </si>
  <si>
    <t>Erkut Çakar</t>
  </si>
  <si>
    <t>604698f1075e9b7e76b5f61d</t>
  </si>
  <si>
    <t>Dayının Yeri Sami Usta,Tepebaşı (Batıkent Mah.)</t>
  </si>
  <si>
    <t>Batıkent Mah. Hayrettin Karaca sok. No:7 D:1 Tepebaşı/Eskişehir</t>
  </si>
  <si>
    <t>SALI GÜNÜ EKRARDAN ARANCAK. KARAR VERİCEK.//açmadı/açmadı/ açmadı./ sami bey şuan olmaz hastam var ve tadilatımda  var ddi 20 gün sonrası için olabilir dedi.</t>
  </si>
  <si>
    <t>62168fe89cb19b31e7946bb5</t>
  </si>
  <si>
    <t>Dede Tantuni &amp; Köfte, Tepebaşı (Çamlıca Mah.)</t>
  </si>
  <si>
    <t>Tolga Bulut</t>
  </si>
  <si>
    <t>Çamlıca mahallesi Ertuğrulgazi caddesi no18 B Tepebaşı Eskişehir</t>
  </si>
  <si>
    <t xml:space="preserve">devam cekımı/ diğer şubesine de ekleme yapılacak ama bizim şubemizde diğer şubesi ekli değil </t>
  </si>
  <si>
    <t>TEYİT İÇİN ARANDI ÇEKİM GERÇEKLEŞMEMİŞ YENİ RANDEVU İSTEMEDİLER / dükkan mahkemelikmiş bu yüzden küçülmeye gidiceklermiş istemiyor</t>
  </si>
  <si>
    <t>salı veya cuma için çekim devamına randevu alıncak. // devam çekimi alındı/ saat 5ten sonrası için randevu ıstedı sadece</t>
  </si>
  <si>
    <t>60a76ab9145ec93c40cd2af7</t>
  </si>
  <si>
    <t>Deniz Pide, Odunpazarı (Eskibağlar Mah.)</t>
  </si>
  <si>
    <t>Eskibağlar mah, yenilik sokak no:22/A tepebaşı -Eskişehir</t>
  </si>
  <si>
    <t>mail verildi.yemek sepetinden alın dedi fotoğrafları kullanamıyoruz dediğimde ozaman çekim istemiyorum kalsın dedi.</t>
  </si>
  <si>
    <t>5535059687-dönecek</t>
  </si>
  <si>
    <t>5ffb799058e9c1c4a5d7e2b8</t>
  </si>
  <si>
    <t>Dilek Pide &amp; Kebap, Tepebaşı (Ertuğrulgazi Mah.)</t>
  </si>
  <si>
    <t>Ertuğrulgazi Mah., Çilem Cad., No:61, Tepebaşı, Eskişehir, Türkiye,</t>
  </si>
  <si>
    <t>İlgi alaka yok muhatab bulamıyoruz demektedir.</t>
  </si>
  <si>
    <t>Osman Varli</t>
  </si>
  <si>
    <t>Fit</t>
  </si>
  <si>
    <t>dç için panelde kontrol edip dönecek/dç ıstemez yeterlıymıs bu kadar urun fotografı</t>
  </si>
  <si>
    <t>5ff10e7034586780304715d7</t>
  </si>
  <si>
    <t>Diyares Pide, Tepebaşı (Kumlubel Mah.)</t>
  </si>
  <si>
    <t>Kumlubel Mah. Esenli sk. B Blok No:83/B Tepebaşı/Eskişehir</t>
  </si>
  <si>
    <t>kulanılmamakta/kullanılmıyor</t>
  </si>
  <si>
    <t>5f315490cdb856407e1f2993</t>
  </si>
  <si>
    <t>Dodo's, Tepebaşı (Yenibağlar Mah.)</t>
  </si>
  <si>
    <t>Yenibağlar, Yılmaz Büyükerşen Blv No:156, 26170 Tepebaşı/Eskişehir</t>
  </si>
  <si>
    <t>60acd7c80bf97004861c3f31</t>
  </si>
  <si>
    <t>Doğa Etli Ekmek, Odunpazarı (Huzur Mah.)</t>
  </si>
  <si>
    <t>Eskişehir Odunpazarı huzur mahallesi Ali Rıza efendi caddesi 103/c</t>
  </si>
  <si>
    <t>iki üç gün sonra arayın dediler/ıstemıyor eger olursa bn sıze donus sglrım dedı</t>
  </si>
  <si>
    <t>62168731fb30ce09153b340c</t>
  </si>
  <si>
    <t>Doğan Piliç &amp; Izgara, Odunpazarı (71 Evler Mah.)</t>
  </si>
  <si>
    <t>Yusuf Doğan</t>
  </si>
  <si>
    <t>71 Evler 2. Bölge</t>
  </si>
  <si>
    <t>71 Evler Mah. Balsu Blv. No:32 A Odunpazarı Eskişehir</t>
  </si>
  <si>
    <t>5f772cc2d52f0d4949202555</t>
  </si>
  <si>
    <t>Dolunay Tantuni, Şirintepe</t>
  </si>
  <si>
    <t>Şirintepe mah. Paşasoylu sok.No:1/B</t>
  </si>
  <si>
    <t>yok saolun teşekkür ederim dedi</t>
  </si>
  <si>
    <t>618bf6a581db4e8b69edb1ab</t>
  </si>
  <si>
    <t>Donas, Odunpazarı (Arifiye Mah.)</t>
  </si>
  <si>
    <t>Veysel Kenan Araz</t>
  </si>
  <si>
    <t>Arifiye Mah. Hamamyolu Cad. No:74 D Odunpazarı Eskişehir</t>
  </si>
  <si>
    <t xml:space="preserve">kendileri çekim yaptırmak istedi </t>
  </si>
  <si>
    <t>619aadca021c456c3483e44f</t>
  </si>
  <si>
    <t>Donas, Odunpazarı (Eskibağlar Mah.)</t>
  </si>
  <si>
    <t>Eskibağlar Mah. Üniversite Cad. No:58 A Tepebaşı Eskişehir</t>
  </si>
  <si>
    <t>açmadı./yt 11.30 gelecek/ çekim istemiyor</t>
  </si>
  <si>
    <t>619aaa107306454e9a525b44</t>
  </si>
  <si>
    <t>Donas, Odunpazarı (İstiklal Mah.)</t>
  </si>
  <si>
    <t>İstiklal Mah. Şair Fuzuli Cad. No:8/1 Odunpazarı Eskişehir</t>
  </si>
  <si>
    <t>mail atacak bıze 5312510697</t>
  </si>
  <si>
    <t>Arifiye Mh. Hamamyolu Cd. 78/C</t>
  </si>
  <si>
    <t>62134bddd80c5a5ed7ec6dff</t>
  </si>
  <si>
    <t>DoyaJacksinn Fast Food, Tepebaşı (Yeşiltepe Mah.)</t>
  </si>
  <si>
    <t>Özlem Çevik</t>
  </si>
  <si>
    <t>şuan işleri drgunmuş</t>
  </si>
  <si>
    <t>623f30150d89504278f58fd7</t>
  </si>
  <si>
    <t>Doyur Beni, Tepebaşı (Hacı Ali Bey Mah.)</t>
  </si>
  <si>
    <t>Nurettin Tuna</t>
  </si>
  <si>
    <t>Hacı Ali Bey, Sivrihisar-1 Cd. No:9, 26120 Tepebaşı/Eskişehir</t>
  </si>
  <si>
    <t>61a362f3c591d524baba2f43</t>
  </si>
  <si>
    <t>Doyuran Burger, Tepebaşı (Bahçelievler Mah.)</t>
  </si>
  <si>
    <t xml:space="preserve">Tüm yemekleri bir anda çıkartamam çekim istemiyorum der/yarım saate  gelirmiş4:30 </t>
  </si>
  <si>
    <t>Baturhan Şentürk</t>
  </si>
  <si>
    <t>Hasan Atinar</t>
  </si>
  <si>
    <t>2 şubesi var 2sine de alındı</t>
  </si>
  <si>
    <t>5f3447969686750d4c004a27</t>
  </si>
  <si>
    <t>Dönerus İskenderun Döneri, Büyükdere</t>
  </si>
  <si>
    <t>Büyükdere, Çayırlar Sk. No:3, 26040 Odunpazarı/Eskişehir</t>
  </si>
  <si>
    <t>5497870594-ulaş bey yarın aranacak/ DÜŞÜNMÜYORLARMIŞ</t>
  </si>
  <si>
    <t>616fd12cdaf57483ee19c46b</t>
  </si>
  <si>
    <t>Dönerus İskenderun Döneri, Odunpazarı (Emek Mah.)</t>
  </si>
  <si>
    <t>Ulaş Gümüş</t>
  </si>
  <si>
    <t>Emek Mah. Ertaş Cad. No:152 C Odunpazarı Eskişehir</t>
  </si>
  <si>
    <t xml:space="preserve">mail adresi verildi </t>
  </si>
  <si>
    <t>61fc16c80ca05959b8a4d8ea</t>
  </si>
  <si>
    <t>Dr. Beyaz Pastanesi, Odunpazarı (Vişnelik Mah.)</t>
  </si>
  <si>
    <t>Hadiye Şentürk</t>
  </si>
  <si>
    <t>Vişnelik Mah. Atatürk Blv. No:86 C Odunpazarı Eskişehir</t>
  </si>
  <si>
    <t xml:space="preserve">2 ay önce gönderniş yüklenmesini istiyor </t>
  </si>
  <si>
    <t>61484f0906dcd57d5cce387b</t>
  </si>
  <si>
    <t>Dublin, Tepebaşı (Hoşnudiye Mah.)</t>
  </si>
  <si>
    <t>Hoşnudiye Mah. Siloönü Sok No:5 Tepebaşı / Eskişehir</t>
  </si>
  <si>
    <t>609138714294c784a20a20bc</t>
  </si>
  <si>
    <t>Dünya Burger, Tepebaşı (Yenibağlar Mah.)</t>
  </si>
  <si>
    <t>Yenibağlar, Yılmaz Büyükerşen Blv No:84/D, 26170 Tepebaşı/Eskişehir</t>
  </si>
  <si>
    <t>mail atacak/ fotoğraflar için arandı mail adresi iletildi. yaşar bey 05323651908</t>
  </si>
  <si>
    <t>623f2de7ee9d435b827e2801</t>
  </si>
  <si>
    <t>Dünya Köfte Ekmek Arası, Tepebaşı (Yenibağlar Mah.)</t>
  </si>
  <si>
    <t>Celal Çakır</t>
  </si>
  <si>
    <t>YENİBAĞLAR MAH.PROF.DR.YILMAZ YILMAZ BÜYÜKERŞEN BULVARI NO:84/A</t>
  </si>
  <si>
    <t>5fda88dd8aae78503bb30b0c</t>
  </si>
  <si>
    <t>Dünya Köfte, Odunpazarı (Akarbaşı Mah.)</t>
  </si>
  <si>
    <t>franchise olduğu için merkezi arayın der/ytk yokmuş 6-7 gibi</t>
  </si>
  <si>
    <t>Kadir Bürke</t>
  </si>
  <si>
    <t>60223536df74344cb984931b</t>
  </si>
  <si>
    <t>Ecem Kokoreç, Tepebaşı (Hoşnudiye)</t>
  </si>
  <si>
    <t>Hoşnudiye Mah. Vurak Sk. No:32 A Tepebaşı/Eskişehir</t>
  </si>
  <si>
    <t>yetkili yok// açmadı//açmadılaaçmıyor</t>
  </si>
  <si>
    <t>0542 448 38 40 çekim gerçekleşmiş.</t>
  </si>
  <si>
    <t>açılış saati 11:45</t>
  </si>
  <si>
    <t>Fotoğraflarım Var</t>
  </si>
  <si>
    <t>61c4bf7218ba3c7d6f7a4a15</t>
  </si>
  <si>
    <t>Ekmek Arası, Odunpazarı (Vadişehir Mah.)</t>
  </si>
  <si>
    <t>Erkan Ceylan</t>
  </si>
  <si>
    <t xml:space="preserve">ualaşılmıyor  </t>
  </si>
  <si>
    <t>61f1a12264718c719b513697</t>
  </si>
  <si>
    <t>Elif Pide, Tepebaşı (Şarhöyük Mah.)</t>
  </si>
  <si>
    <t>İbrahim Halil Taşdemir</t>
  </si>
  <si>
    <t>Şarhöyük</t>
  </si>
  <si>
    <t>Şarhöyük Mah. Yücel Sok. No:15 A Tepebaşı Eskişehir</t>
  </si>
  <si>
    <t>Fotoğrafçı Fatih</t>
  </si>
  <si>
    <t>GÖLKEM ÖZKAN</t>
  </si>
  <si>
    <t>HAMİT MAMAN</t>
  </si>
  <si>
    <t>sadece pzt gününe istiyorlar</t>
  </si>
  <si>
    <t>622b1291f1312ab844873140</t>
  </si>
  <si>
    <t>Eren Er Çiğköfte, Tepebaşı (Çamlıca Mah.)</t>
  </si>
  <si>
    <t>ÖKKEŞ BULDUM</t>
  </si>
  <si>
    <t>Çamlıca Mah. Doğanşehir Sok. No:16 A Tepebaşı Eskişehir</t>
  </si>
  <si>
    <t>Cumhuriyet Mah. Tersel Sok. No:6/C D:2 Tepebaşı/ Eskişehir</t>
  </si>
  <si>
    <t>takvimde fotoğrafçı fatih likoğlu</t>
  </si>
  <si>
    <t>5f338d4d13c9ae448424482c</t>
  </si>
  <si>
    <t>Es Damak Fast Food &amp; Sandviç &amp; Kahvaltı (Cumhuriye Mah.)</t>
  </si>
  <si>
    <t>Cumhuriye, Kırım Cd. 19/a, 26130 Tepebaşı/Eskişehir</t>
  </si>
  <si>
    <t xml:space="preserve">yetkili yok 5 dakika sonra arancak  /Saat 4-6 arasında aranacak  öğlen yoğun oluyormuş </t>
  </si>
  <si>
    <t>71 Evler Boş</t>
  </si>
  <si>
    <t>faik likoglu</t>
  </si>
  <si>
    <t>getirden şikayetçi</t>
  </si>
  <si>
    <t>622753841492ebb6d14b488d</t>
  </si>
  <si>
    <t>Ramazan Çetin</t>
  </si>
  <si>
    <t>71 Evler Mah. Tuğba Sok. No:25 D Odunpazarı Eskişehir</t>
  </si>
  <si>
    <t>Kayahan Kaya</t>
  </si>
  <si>
    <t>dç istemez/olan fotograflar yeterlı dedı</t>
  </si>
  <si>
    <t>5f33849a98ff385f1933b5ed</t>
  </si>
  <si>
    <t>Es Patso, Tepebaşı (Şirintepe Mah.)</t>
  </si>
  <si>
    <t>619c4d4c742d170eed11ab77</t>
  </si>
  <si>
    <t>Es Tat Köfte &amp; Kokoreç, Odunpazarı (Vişnelik Mah.)</t>
  </si>
  <si>
    <t>5f34647cc1ca0a6fc9834758</t>
  </si>
  <si>
    <t>Es Urfa Pide &amp; Kebap, Odunpazarı (Büyükdere Mah.)</t>
  </si>
  <si>
    <t>Büyükdere, Millet Cd. No: 30, 26040 Odunpazarı/Eskişehir</t>
  </si>
  <si>
    <t>haftaya görüşülecek/ ürünlerin hepsi çekimden sonra çöpe gideecek yazıktır günahtır hiç gerek yok der</t>
  </si>
  <si>
    <t>5335445400   - /TEYİT İÇİN ARANDI ÇEKİM GERÇEKLEŞMİŞ DEVAM ÇEKİMİ İÇİN ARANACAK/yt yok yarın ara/şener bey 12:30 gibi olur dedi.şener bey pazartesi yada salı yapabiliriz şuan için okul kapalı kalabalık olduğu için yetiştiremem çok yoğun oluyorum dedi./dha sonra olsun cokta onemlı degıl / İşler dutgun olduğu için daha sonra istiyor</t>
  </si>
  <si>
    <t>Akarbaşı, Atatürk Blv. No:97, 26020 Odunpazarı/Eskişehir</t>
  </si>
  <si>
    <t>gülsüm hanım</t>
  </si>
  <si>
    <t>Ecem Ünal</t>
  </si>
  <si>
    <t>5fce1d62448da3caa17c31c6</t>
  </si>
  <si>
    <t>Etevim Burger, Tepebaşı (Eskibağlar Mah.)</t>
  </si>
  <si>
    <t>Steak</t>
  </si>
  <si>
    <t>Eskibağlar Mah.Hatboyu Caddesi No:13 Tepebaşı/ Eskişehir</t>
  </si>
  <si>
    <t>5320570294 kadir /servet 5324124954 mail verildi / fotoğraflar için arandı yetkili yok.</t>
  </si>
  <si>
    <t>5fa080254754fe9bac9be568</t>
  </si>
  <si>
    <t>Etevim Steakhouse, Tepebaşı (Yenibağlar Mah.)</t>
  </si>
  <si>
    <t>Yenibağlar, İsmet İnönü-1 Blv No:130Tepebaşı/Eskişehir</t>
  </si>
  <si>
    <t>5 DK SONRA ARANCAK. / açılış saati 12:00/ fotoğraflar için arandı yetkili yok.</t>
  </si>
  <si>
    <t>devam çekimi /ertelemek istedi müsait durumuna göre kendiisi dönecek /5366017171 utku harman menu guncellenecek daha sonra aranılck//donus saglıycak kendılerı bız aramıycaz</t>
  </si>
  <si>
    <t>5f3514ad4e6e6a82dc8e27d5</t>
  </si>
  <si>
    <t>Express Pizza (Büyükdere Mah.)</t>
  </si>
  <si>
    <t>Büyükdere, Kaplanlı Cd, 26040 Odunpazarı/Eskişehir</t>
  </si>
  <si>
    <t>Tekrar arandı masraf yapamayacağı söyledi/gerek yok saolun dyıp kapttı</t>
  </si>
  <si>
    <t>621884e9f0098b540b13840b</t>
  </si>
  <si>
    <t>Eymen Izgara, Odunpazarı (Büyükdere Mah.)</t>
  </si>
  <si>
    <t>Zafer Uğuz</t>
  </si>
  <si>
    <t xml:space="preserve">2222393926 dükkan </t>
  </si>
  <si>
    <t>Sofya &amp; Sonya</t>
  </si>
  <si>
    <t>bır hafta sonra aranack müsait bir saate alınacak /gun ıcı musaıt olamıyoruz cok ılerıde grusulebılır dedı- hakan bey numarası : 05376357599 ulasılamadı</t>
  </si>
  <si>
    <t>6193fd7f4c33d5378d56b7b2</t>
  </si>
  <si>
    <t>Fast Kitchen, Tepebaşı (Çamlıca Mah.)</t>
  </si>
  <si>
    <t>Çamlıca mahallesi Gündüz Ökçün bulvarı No : 163 B Tepebaşı Eskişehir</t>
  </si>
  <si>
    <t>6193fe6377a79e3cec3b8266</t>
  </si>
  <si>
    <t>Fast Kitchen, Tepebaşı (Güllük Mah.)</t>
  </si>
  <si>
    <t>Erdoğan Bozkurt</t>
  </si>
  <si>
    <t>625099168aae463b400f4b08</t>
  </si>
  <si>
    <t>Fc Chicken Farm, Tepebaşı (Güllük Mah.)</t>
  </si>
  <si>
    <t>5f3517114e6e6a0d358e281d</t>
  </si>
  <si>
    <t>Fellas Burger &amp; Fried Chicken, Eskibağlar</t>
  </si>
  <si>
    <t>Eskibağlar Mahallesi, Gençlik Merkezi Sk. No: 2/11</t>
  </si>
  <si>
    <t xml:space="preserve"> ÇEKİMİ YAPILMIŞ 5348782800</t>
  </si>
  <si>
    <t>5f3517eac5459fd0525cd4b4</t>
  </si>
  <si>
    <t>Fellas Burger &amp; Fried Chicken, O.G.Ü. Kampüs</t>
  </si>
  <si>
    <t>Osman Gazi Üni. Kampüs</t>
  </si>
  <si>
    <t>AKIN KORAY HAN</t>
  </si>
  <si>
    <t>devam çekimi istiyor</t>
  </si>
  <si>
    <t>61f7af9cac46bb45eb8a4567</t>
  </si>
  <si>
    <t>Fenaa Fast Food,Odunpazarı (İstiklal Mah.)</t>
  </si>
  <si>
    <t>Gülhan Çeliker</t>
  </si>
  <si>
    <t xml:space="preserve">Gökhan Bey / Çekim istiyor ama öğleden sonraya / birkaç önceden haber verilmesini istiyor </t>
  </si>
  <si>
    <t>Hasan Yücebaş</t>
  </si>
  <si>
    <t>Mahmut beyden randevu alındı.</t>
  </si>
  <si>
    <t>60250638f7f564b454b9d06a</t>
  </si>
  <si>
    <t>Filozofun Yeri Pide Kebap Köfte (Akarbaşı Mah.)</t>
  </si>
  <si>
    <t>Ters konuşan terbiyesiz bir işletmeci/drek ıstemıyorum dedı</t>
  </si>
  <si>
    <t>Murathan Kuş</t>
  </si>
  <si>
    <t xml:space="preserve">gökhan bey d.ç istemez / kalan ürünlkeri çekip gönderecek </t>
  </si>
  <si>
    <t>5f63762d3c9a2c6ad4e7843e</t>
  </si>
  <si>
    <t>Fratello Pizzeria, Tepebaşı (Güllük Mah.)</t>
  </si>
  <si>
    <t>Güllük, Bacı Sk. No:48/A, 26000 Tepebaşı/Eskişehir</t>
  </si>
  <si>
    <t>5f67fcb56dbb880e3913665a</t>
  </si>
  <si>
    <t>Galata's Pizza (Yenibağlar Mah.)</t>
  </si>
  <si>
    <t>Yenibağlar Mah. Akıcı sok. no : 45 /A Tepebaşı/Eskişehir</t>
  </si>
  <si>
    <t>5321633159 engin bey /mail adresi verildi fotoğrafları gönderimini sağlayacak.</t>
  </si>
  <si>
    <t>5f33c28b30bf6356322c8f3a</t>
  </si>
  <si>
    <t>Gar Pide &amp; Kebap, Tepebaşı (Hoşnudiye Mah.)</t>
  </si>
  <si>
    <t>Hoşnudiye, Mustafa Kemal Atatürk Cd 170/A, 26170 Tepebaşı/Eskişehir</t>
  </si>
  <si>
    <t>2222301544devır ıhtımalı var 2 hafta sonra arancak</t>
  </si>
  <si>
    <t>5f3291b8e99eb6bacf1bf529</t>
  </si>
  <si>
    <t>Gaziantep Cennet Pide &amp; Lahmacun, Akarbaşı</t>
  </si>
  <si>
    <t>Akarbaşı, Yörüksoy Sk. No:1 D:c, 26020 Odunpazarı/Eskişehir</t>
  </si>
  <si>
    <t xml:space="preserve">resim istemiyorkurbandan sonra arancak daha sakin olurum ürünlerde boşa gitmez yiyecek adam çok dedi - müsait değilim dedi ayıracak vaktim yok dedi </t>
  </si>
  <si>
    <t>devam çekimi randevu alındı</t>
  </si>
  <si>
    <t>61b9fff84ae455cc9702c363</t>
  </si>
  <si>
    <t>Gaziantep Şirinler Tatlı, Odunpazarı (71 Evler Mah.)</t>
  </si>
  <si>
    <t>61bb6ca962e0e6750a74d552	Gaziantep Şirinler Tatlı, Odunpazarı (Büyükdere Mah.)</t>
  </si>
  <si>
    <t>622736317f7af38fd0fe1ca5</t>
  </si>
  <si>
    <t>Gaziantep Zehra Pide &amp; Lahmacun, Odunpazarı (Emek Mah.)</t>
  </si>
  <si>
    <t>Hüseyin Kelek</t>
  </si>
  <si>
    <t>Emek Mah. Dilek Cad. No:58 C Odunpazarı Eskişehir</t>
  </si>
  <si>
    <t>6236117bb42bfb5bb3a6c9bd</t>
  </si>
  <si>
    <t>Gaziantepli Aslanbey Baklava, Tepebaşı (Zafer Mah.)</t>
  </si>
  <si>
    <t>MEHMET DANDAN</t>
  </si>
  <si>
    <t>Zafer Mahallesi Esenyurt Sokak C Blok No:1/A, Tepebaşı/Eskişehir</t>
  </si>
  <si>
    <t>Mustafa Güçlü</t>
  </si>
  <si>
    <t>Büyükdere, Atatürk Blv., 26040 Odunpazarı/Eskişehir</t>
  </si>
  <si>
    <t>0546 427 95 95 cevapsız/usta eksıklıgı var 10 gun sonra aranılck/0546 427 95 95 cevapsız</t>
  </si>
  <si>
    <t>606235771d92b2740c7446dd</t>
  </si>
  <si>
    <t>Gaziantepli Gazioğlu Baklavaları, Tepebaşı( Bahçelievler Mah.)</t>
  </si>
  <si>
    <t>Bahçelievler Mah. Seylap Cad. No:67 A Tepebaşı/ Eskişehir</t>
  </si>
  <si>
    <t>haftaya size döneceğim der // bayramdan sonra/daha önce çekimi yapılmış  devam çekimmi yapılcakmış yarın öğlen arancak tekrar /takvimde yerini bulamadım/HASTANEDEYİM DAHA SNRA GÖRÜŞELİM DEDİLER.</t>
  </si>
  <si>
    <t>601aa90f38711c2b1a354f12</t>
  </si>
  <si>
    <t>Gaziantepli Hasanoğlu Kebap Pide, Odunpazarı (Ihlamurkent Mah)</t>
  </si>
  <si>
    <t>Ihlamurkent mah. Nilüfer cad. 14/A Odunpazarı /Eskişehir</t>
  </si>
  <si>
    <t>5f33c839b61d53bb5b6d7733</t>
  </si>
  <si>
    <t>Gaziantepli Pideci Yağmur Pide &amp; Kebap, Tepebaşı (Zafer Mah.)</t>
  </si>
  <si>
    <t>Zafer Mah. Derman Cad. No:116 Tepebaşı / Eskişehir</t>
  </si>
  <si>
    <t>dönüş sağlayacak // Gerek duymuyorum istemiyorum der/istemiyoruz sağolun dedi</t>
  </si>
  <si>
    <t xml:space="preserve">erdal bey </t>
  </si>
  <si>
    <t>623a3831d6eec90ac033f68d</t>
  </si>
  <si>
    <t>Geyik Cafe, Tepebaşı (Cumhuriye Mah.)</t>
  </si>
  <si>
    <t>Erdem Altok</t>
  </si>
  <si>
    <t>Cumhuriye Mah. Paşa Sok. No:26 B Tepebaşı Eskişehir</t>
  </si>
  <si>
    <t>6220e5e7b4053c5fe1390cc8</t>
  </si>
  <si>
    <t>Gıdak Gıdak Burger &amp; Fried Chicken, Odunpazarı (Büyükdere Mah.)</t>
  </si>
  <si>
    <t>Birgül Gümüş</t>
  </si>
  <si>
    <t>getiryemek diyince yüzüme kapattı</t>
  </si>
  <si>
    <t>6220e6f53d343f475dbe0913</t>
  </si>
  <si>
    <t>Gıdak Gıdak Burger &amp; Fried Chicken, Odunpazarı (Emek Mah.)</t>
  </si>
  <si>
    <t>623a3508a3d22369a1ae4ede</t>
  </si>
  <si>
    <t>Gohan Poke Bowl, Odunpazarı (İstiklal Mah.)</t>
  </si>
  <si>
    <t>Sarpkan Kaşkal</t>
  </si>
  <si>
    <t>İstiklal Mah. Duru Sok. No:5 A Odunpazarı Eskişehir</t>
  </si>
  <si>
    <t xml:space="preserve">fotoğrafları varmış ve mail atmış </t>
  </si>
  <si>
    <t>5556889718 hakan bey /TEYİT İÇİN ARANDI ÇEKİM GERÇEKLEŞMİŞ RESİMLER YÜKLENMEMİŞ</t>
  </si>
  <si>
    <t>62168452af87d86335c21319</t>
  </si>
  <si>
    <t>Göksel Tantuni, Tepebaşı (Yenibağlar Mah.)</t>
  </si>
  <si>
    <t>Güllük, Talat Paşa Sk. No:80/A, 26000 Tepebaşı/Eskişehir</t>
  </si>
  <si>
    <t>61c0a04dab91f5fc9fb39a5f</t>
  </si>
  <si>
    <t>Gözleme Sanatı, Tepebaşı (Bahçelievler Mah.)</t>
  </si>
  <si>
    <t>Bahçelievler Mah. Prof. Dr. Orhan Oğuz Cad. No:17/A Tepebaşı/Eskişehir</t>
  </si>
  <si>
    <t>5f3289c59686752b1f0020c5</t>
  </si>
  <si>
    <t>Gurme Express Pizza (Batıkent Mah.)</t>
  </si>
  <si>
    <t>Batıkent mah. Geven Sk. 4/H Tepebaşı/Eskişehir</t>
  </si>
  <si>
    <t>bize maliyetli olacak istemiyoruz dedi</t>
  </si>
  <si>
    <t>5f6e617296c8ed0454363b47</t>
  </si>
  <si>
    <t>Gurmee Onur Kokoreç Köfte, Tepebaşı (Bahçelievler Mah.)</t>
  </si>
  <si>
    <t>Bahçelievler mah. prof.dr.Orhan Oğuz cad.No:21/c Tepebaşı/Eskişehir</t>
  </si>
  <si>
    <t>arayıp durmayın dedi teli kapattı</t>
  </si>
  <si>
    <t>624ff6203632c65ddba10c68</t>
  </si>
  <si>
    <t>Güllük Lokantası, Tepebaşı (Güllük Mah.)</t>
  </si>
  <si>
    <t>Mustafa İçel</t>
  </si>
  <si>
    <t>güllük mah sakarya 2 cad no 53 a Tepebaşı/Eskişehir</t>
  </si>
  <si>
    <t>6214b995f1a7d545f52c5747</t>
  </si>
  <si>
    <t>Hacıalioğlu Çiğ Köftecisi, Tepebaşı (Çamlıca Mah.)</t>
  </si>
  <si>
    <t>Doğukan Kabakcı</t>
  </si>
  <si>
    <t>Çamlıca Mahallesi Tombakzade Caddesi No 80/C Tepebaşı Eskişehir</t>
  </si>
  <si>
    <t>TABELA DEĞİŞİKLİĞİ YAPACAKLAR</t>
  </si>
  <si>
    <t>Hanım Altın</t>
  </si>
  <si>
    <t>KORAY İSMAİL AKYÜZ</t>
  </si>
  <si>
    <t>61b67bdb3882ad253c56c2f1</t>
  </si>
  <si>
    <t>Hamarat Usta, Odunpazarı (Büyükdere Mah.)</t>
  </si>
  <si>
    <t>AHMET ERİM</t>
  </si>
  <si>
    <t>Büyükdere Mahallesi, Altınçağ Sk. No:20/A Odunpazarı Eskişehir</t>
  </si>
  <si>
    <t>10 dkkada bır cagrı merkezını arıyor ve arayıp bagırarak knsyor</t>
  </si>
  <si>
    <t>624f230bcdcc3475e80d9bb9</t>
  </si>
  <si>
    <t>Hammur Pizza &amp; Pasta, Odunpazarı (Osmangazi Mah.)</t>
  </si>
  <si>
    <t>MUSTAFA KEREM SÖNMEZ</t>
  </si>
  <si>
    <t>OSMANGAZİ MAH. BASIN ŞEHİTLERİ CAD. NO: 165 A ODUNPAZARI/ ESKİŞEHİR</t>
  </si>
  <si>
    <t xml:space="preserve">istemiyor </t>
  </si>
  <si>
    <t>aksam saatlerine randevu istiyor aksam randevu olusturulamayacksa bence aramayın kadın çok saygısız</t>
  </si>
  <si>
    <t>61ef10b5aaae423c46880ccb</t>
  </si>
  <si>
    <t>Has Balık Evi, Odunpazarı (Akarbaşı Mah.)</t>
  </si>
  <si>
    <t>Deniz Ürünleri</t>
  </si>
  <si>
    <t>Hakan Uçmazkol</t>
  </si>
  <si>
    <t>Akarbaşı Mahallesi Atatürk Bulvarı No:58/B Odunpazarı Eskişehir</t>
  </si>
  <si>
    <t>araç kullanıyorum sonra arayın der/Her aradağımda müsait değilim diyor pek inandırıcı gelmiyor ama yine de tekrar aranıp bilgi verilmeli</t>
  </si>
  <si>
    <t>5f905695dea0634721ef870b</t>
  </si>
  <si>
    <t>Haylaz Fast Food &amp; Balık, Tepebaşı (Bahçelievler Mah.)</t>
  </si>
  <si>
    <t>Bahçelievler mah.Seylap cad. no:35 /B Tepebaşı/Eskişehir</t>
  </si>
  <si>
    <t>Menüsü değişecek, kendi fotolar çektirip bize yollayacak/ARAYA PANDEMİ GİRDİ YAPAMADIK DEVİRDE OLABİLİR İŞLETME DEDİ BELLİ DEGİL..</t>
  </si>
  <si>
    <t>siparişlerim hızlı olmadığı için şuan fotoğraf çekimi yaptıramam çıkarttığım ürünleri geri satmam gerek demekte ancak yaz başı gibi olur diyor</t>
  </si>
  <si>
    <t>5f328b0b6198064323f8df49</t>
  </si>
  <si>
    <t>Hega Pizza &amp; Burger, Tepebaşı (Cumhuriye Mah.)</t>
  </si>
  <si>
    <t>CUMHURİYE MAHALLESİ İŞ BULMA SOKAK NO:33/B. 26130 TEPEBAŞI/Eskişehir</t>
  </si>
  <si>
    <t>KENDİ FOT. VAR</t>
  </si>
  <si>
    <t>betül hanım</t>
  </si>
  <si>
    <t>Başar Doğu AYHAN</t>
  </si>
  <si>
    <t xml:space="preserve">randevu iptali gerçekleşti teyit için arandı açmadı.- 1 buçuk hafta aranacak tadilat var </t>
  </si>
  <si>
    <t>Eksik ürünlerin çekimi yapılacak</t>
  </si>
  <si>
    <t>6036e4dd62f0eabc0e36a0ff</t>
  </si>
  <si>
    <t>Hippo French Tacos,Tepebaşı (Yenibağlar Mah.)</t>
  </si>
  <si>
    <t>YENİBAĞLAR MAH. CADDE/SOKAK PROF. DR. YILMAZ BÜYÜKERŞEN BLV. KAPI NO 47 A</t>
  </si>
  <si>
    <t>KENDİMİZ ÇEKİM YAPTIK GÖNDERDİK YÜKLERLER DEDİ.fotoğraflar için arandı meşgul.</t>
  </si>
  <si>
    <t xml:space="preserve">öğleden sonra gelecekmiş  </t>
  </si>
  <si>
    <t>Batuhan Bagdu</t>
  </si>
  <si>
    <t>randevuyu yalnızca akşam 6 dan sonra açtıkları için geç saatlere istiyor fotoğrafçı arkadaşla görüşme sağlayıp oluşturulacak. Gökhan Bey yetkili. Güllük mahallesi Gedik çıkmazı sokak 7/A Tepebaşı eskişehir</t>
  </si>
  <si>
    <t>Müsait olmadığı için iptal vermiş/çarşamba günü randevu istiyorlar - misafirim var dedi haftaya çarsamba istiyor /15 dkka sonra aranılck/kndılerı donus saglıycklr</t>
  </si>
  <si>
    <t>Hüseyin Baydur</t>
  </si>
  <si>
    <t>5385936830 hüseyin bey-biz maliyeti karşılayamayız kendmiz çekip atalım</t>
  </si>
  <si>
    <t>Gökhan Güleç</t>
  </si>
  <si>
    <t>Alper bey</t>
  </si>
  <si>
    <t>Aytaç Tetik</t>
  </si>
  <si>
    <t xml:space="preserve">5055829399 adnan </t>
  </si>
  <si>
    <t>çekim gerçekleşmemiş / devam çekimi istemiyor</t>
  </si>
  <si>
    <t>Murat Demir</t>
  </si>
  <si>
    <t>5f333c361f35d342b156ce66</t>
  </si>
  <si>
    <t>İçel Mersin Tantuni, Deliklitaş</t>
  </si>
  <si>
    <t>Deliklitaş Mah. Yunusemre Cad. No:93/A Odunpazarı, Eskişehir</t>
  </si>
  <si>
    <t>Akarbaşı Mah. Arısoy Sok. No: 11/A Tepebaşı/Eskişehir</t>
  </si>
  <si>
    <t>yetkili ilker bey çekimi ileri ki zamanlarda istiyor ben çekimin son zamanları dedim bi daha aranırsa ona göre konuşulsun</t>
  </si>
  <si>
    <t>5f67f995554732a9edd7b5d9</t>
  </si>
  <si>
    <t>İnci Midye (Cumhuriye Mah.)</t>
  </si>
  <si>
    <t>5ffb5de0937d1b6a62bd08ff</t>
  </si>
  <si>
    <t>İskele Et &amp; Balık, Tepebaşı (Bahçelievler Mah.)</t>
  </si>
  <si>
    <t>Bahçelievler Mah. Sakarya 2 Cad. 85/a Eskişehir » Tepebaşı</t>
  </si>
  <si>
    <t>61cb57077f4eac7c68ed9ba1</t>
  </si>
  <si>
    <t>İskenderci Kocabey, Tepebaşı (Hoşnudiye Mah.)</t>
  </si>
  <si>
    <t>Önder Erkul</t>
  </si>
  <si>
    <t>Hoşnudiye Mah. 770. Sok. No:4 CC Tepebaşı Eskişehir</t>
  </si>
  <si>
    <t xml:space="preserve">5324992699 burdan dönüşl yapılacak sistemdeki no aranmasın o işletmeyle ilgilenmiyormuş/ 5326667723 Önder bey çalışma arkadaşlarına sorup dönecek bana / çekilmiş fotoğrafı varmış mail atacak </t>
  </si>
  <si>
    <t>5f359ff79c0da75e56c71562</t>
  </si>
  <si>
    <t>İsmail Usta Pide &amp; Döner &amp; Izgara, Odunpazarı (Büyükdere Mah.)</t>
  </si>
  <si>
    <t>Büyükdere, No:97, Millet Cd., 26040 Odunpazarı/Eskişehir</t>
  </si>
  <si>
    <t>Gerek olmadığını söylüyor./ GEREK YOK DEDİ</t>
  </si>
  <si>
    <t>6059c6074a6b0a075ce4ba95</t>
  </si>
  <si>
    <t>İsotto Çiğ Köfte, Tepebaşı (Şirintepe Mah.)</t>
  </si>
  <si>
    <t>Şirintepe Mah. Bursa Cad. No:45/A Tepebaşı/Eskişehir</t>
  </si>
  <si>
    <t>61b1e94db212cb3e4b6c37f5</t>
  </si>
  <si>
    <t>İzmir Sandviç, Odunpazarı (İstiklal Mah.)</t>
  </si>
  <si>
    <t>İmdat Özılgın</t>
  </si>
  <si>
    <t>İstiklal Mah. Porsuk Blv. No:1 C Odunpazarı Eskişehir</t>
  </si>
  <si>
    <t xml:space="preserve">Çekimi daha önce getir tarafından yapılmış ama ben %0 olduğunu fotoğraf randevusu olmadığını belirttim ısrarla çekildiğini beyan ediyor, farklı bir şubesi olup olmadığını belirttim "hayır yok başka şubem buraya gelip çektiler" dedi tekrardan. Yılbaşından sonra tekrardan ürünlerinin çekiminin yapılmasının uygun olacağını belirtti/ısrarla cekım gercejklestı dedı / 3 ay önce çekildi diyor </t>
  </si>
  <si>
    <t>aysu hanım 5461362426</t>
  </si>
  <si>
    <t>61a7c5943b922f35b3b93a27</t>
  </si>
  <si>
    <t>İzmirli Sandwich &amp; Tost, Tepebaşı (Bahçelievler Mah.)</t>
  </si>
  <si>
    <t>Muhammed Yusuf Erol</t>
  </si>
  <si>
    <t>çekimler yapılmış bizim tarafımızdan Lezita But’s Döner, Tepebaşı( Bahçelievler Mah.) paneli için randevu alınmş o gün çekilmiş.</t>
  </si>
  <si>
    <t>5 6 gibi / yetkili sadece akşamlatı oluyormuş no paylaşmıyorlar/çekim gerçekleşmiş.</t>
  </si>
  <si>
    <t>619ab0b299477fbb5cbf9dbc</t>
  </si>
  <si>
    <t>Kabuklu Midye &amp; Izgara &amp; Meze, Odunpazarı (Büyükdere Mah.)</t>
  </si>
  <si>
    <t>Nazan Ulupınar</t>
  </si>
  <si>
    <t xml:space="preserve">personel sıkıntım var ve ürün maliyeti çok olacak o yüzden gerek duymuyorum der </t>
  </si>
  <si>
    <t>623a40c97289cc06582d9a6f</t>
  </si>
  <si>
    <t>Kadıneli Zeyno, Tepebaşı (Çamlıca Mah.)</t>
  </si>
  <si>
    <t>Zeynep Sırmagül</t>
  </si>
  <si>
    <t>Çamlıca Mah. Gündüz Ökçün-1 Blv. No:139 B Tepebaşı Eskişehir</t>
  </si>
  <si>
    <t>NAİM UYSAL</t>
  </si>
  <si>
    <t>yt aksam 7 bucukta geleckmıs/1 saat sonra aranacak / Kadir Bey 5055617236 Bugün müsait değilim yarın ara dedi</t>
  </si>
  <si>
    <t>Çiğdem Çakıroğlu</t>
  </si>
  <si>
    <t>619c4f5e6b64b87f0ba1f772</t>
  </si>
  <si>
    <t>Kafkas Kebap Necip Usta, Tepebaşı (Çamlıca Mah.)</t>
  </si>
  <si>
    <t>Hacer Arı</t>
  </si>
  <si>
    <t>Çamlıca Mah. Ulusal Egemenlik Blv. No:134 A Tepebaşı Eskişehir</t>
  </si>
  <si>
    <t>5f346505fe473409ae6e7475</t>
  </si>
  <si>
    <t>Kahta Çiğ Köfte, Odunpazarı (Büyükdere Mah.)</t>
  </si>
  <si>
    <t>Büyükdere, Uğurbey Sk. No.29 A, 26040 Odunpazarı/Eskişehir</t>
  </si>
  <si>
    <t>Eksik ürünlerin çekimleri yapılacak</t>
  </si>
  <si>
    <t>60995f2d984d615c5f67a2d6</t>
  </si>
  <si>
    <t>Kahta Çiğköfte,Tepebaşı (Tunalı Mah.)</t>
  </si>
  <si>
    <t>Tunalı Mah. Pehlivanlar Sok. No:5 A Tepebaşı / Eskişehir</t>
  </si>
  <si>
    <t>61b21c8469cd19a3e03a6730</t>
  </si>
  <si>
    <t>Kahvaltıcım, Tepebaşı (Şirintepe Mah.)</t>
  </si>
  <si>
    <t>HİLMİ ŞAHİN</t>
  </si>
  <si>
    <t>dger işletmesındekı fotografları yuklemek ıstedı eksık kalanlar ıcınde cekım gerceklesebılır dedı</t>
  </si>
  <si>
    <t>Canel Çerçi</t>
  </si>
  <si>
    <t>osmangazi kampüs içi merkez çarşı</t>
  </si>
  <si>
    <t>Göksel Sarı</t>
  </si>
  <si>
    <t>5fa8923b5b96e1c4828e419a</t>
  </si>
  <si>
    <t>Kanatçı İbo, Odunpazarı (Vişnelik Mah.)</t>
  </si>
  <si>
    <t>VİŞNELİK MAHALLESİ KAYAĞAN SOKAK NO:22 Odunpazarı/Eskişehir</t>
  </si>
  <si>
    <t xml:space="preserve">tel kapalı  / istemiyorum dedi </t>
  </si>
  <si>
    <t>5f33bd366b1e0fe8d5f39deb</t>
  </si>
  <si>
    <t>5 6 GİBİ ARANCAK./TEYİT İÇİN ARANDI YETKİLİ YOK</t>
  </si>
  <si>
    <t>gun ıcı aranılabılır yt yok haftaya cumaya alınabilir</t>
  </si>
  <si>
    <t>d.ç alındı / Muhammed Bey 5079509184 / Yeni şube açacakmış orda yapalım der</t>
  </si>
  <si>
    <t>Osmangazi, Basın Şehitleri Cd. No:173, 26140 Odunpazarı/Eskişehir</t>
  </si>
  <si>
    <t>Randevu tarihi için aranmış ama Takvime yazılmamış yeni tarih verildi</t>
  </si>
  <si>
    <t>Zeynep Karahan</t>
  </si>
  <si>
    <t>6090306e889c7e30a6e8c1fc</t>
  </si>
  <si>
    <t>Karakedi Bozacısı, Tepebaşı ( M.Kemal Paşa Mah.)</t>
  </si>
  <si>
    <t>Musatafa Kemal Paşa Mah. Değirmen Sok. No:5 E Tepebaşı/Eskişehir</t>
  </si>
  <si>
    <t>5063559113 serhan bey // mail  atmış</t>
  </si>
  <si>
    <t>6251620967c68b9160c4cb87</t>
  </si>
  <si>
    <t>Karşıyaka Kumrucusu, Tepebaşı (Çamlıca Mah.)</t>
  </si>
  <si>
    <t>Murat Korkmaz</t>
  </si>
  <si>
    <t>Çamlıca Mah. Birlik Cad. No:15 A Tepebaşı Eskişehir</t>
  </si>
  <si>
    <t xml:space="preserve">dükkanı kaqpatacakmış  </t>
  </si>
  <si>
    <t>Yoğunluk biraz azalsın dediler ileride aranacak İSTEMİYORMUS</t>
  </si>
  <si>
    <t>614a0d31079a916d95d99bd3</t>
  </si>
  <si>
    <t>Kebapçı Harun, Odunpazarı (Arifiye Mah.)</t>
  </si>
  <si>
    <t>Arifiye Mah. Özger Sok. No:13 D Odunpazarı / Eskişehir</t>
  </si>
  <si>
    <t>yetkili  12 de gelirmiş  /5465946373/ deger ısletmesındekı fotografları kullanılcak</t>
  </si>
  <si>
    <t>5ff7e253b765dd4491b03c05</t>
  </si>
  <si>
    <t>Kebapçı Ulaş'ın Yeri, Tepebaşı (Güllük Mah.)</t>
  </si>
  <si>
    <t>Saraç İsmail, Güllük mahallesi Hatboyu-1 caddesi, Bey Apt No:37/B, 26170 Tepebaşı/Eskişehir</t>
  </si>
  <si>
    <t>6034e39005dd290162fdea61</t>
  </si>
  <si>
    <t>Kebapçı Yunus, Odunpazarı (Büyükdere Mah.)</t>
  </si>
  <si>
    <t>Büyükdere, Canlar Sk. No:41 Odunpazarı/Eskişehir</t>
  </si>
  <si>
    <t xml:space="preserve">devam çekimi için arandı yetkili yok / devam çekimi alınabilir </t>
  </si>
  <si>
    <t>Gültepe</t>
  </si>
  <si>
    <t>6117b080b0c3ff3cbeb5e410</t>
  </si>
  <si>
    <t>Kerim Pide, Odunpazarı (Gökmeydan Mah.)</t>
  </si>
  <si>
    <t>GÖKMEYDAN MAH. DEDE EFENDİ CAD. NO: 51 A ODUNPAZARI/ ESKİŞEHİR</t>
  </si>
  <si>
    <t>DONUS SAGLIYCK/kndılerı donus saglıycklr</t>
  </si>
  <si>
    <t xml:space="preserve">muammer  </t>
  </si>
  <si>
    <t xml:space="preserve">devam çekimi istemiyor/ devam çekimi için durum iyi değil oyüzden istemiyoruz dedi. / devam çekimi alınabilir </t>
  </si>
  <si>
    <t>624fea3f0d778c53b7f6dd9c</t>
  </si>
  <si>
    <t>Kocaman Tost, Tepebaşı (Hoşnudiye Mah.)</t>
  </si>
  <si>
    <t>Haldun Bayrak</t>
  </si>
  <si>
    <t>6109a6458fa9085e9aeccb0e</t>
  </si>
  <si>
    <t>Kokoreç Yavuz Usta, Tepebaşı (Çamlıca Mah.)</t>
  </si>
  <si>
    <t>Çamlıca Mah. Dayıbey Sokak No:101 Tepebaşı / Eskişehir</t>
  </si>
  <si>
    <t>eşi aygül hanım ile görüştüm akşam servisindeydi tekrar aranacak /açmadı./ açmadı./ açmadı</t>
  </si>
  <si>
    <t>TEYİT İÇİN ARANDI NUMARA HATALI</t>
  </si>
  <si>
    <t>6236e9d209aea12395a6bdf9</t>
  </si>
  <si>
    <t>Konya Meram Etli Ekmek &amp; Lahmacun, Odunpazarı (Kurtuluş Mah.)</t>
  </si>
  <si>
    <t>EMRAH EKER</t>
  </si>
  <si>
    <t>Eskişehir Odunpazarı Kurtuluş mahallesi Kurtuluş cami sokak no 38/A</t>
  </si>
  <si>
    <t>Kemal Bulut</t>
  </si>
  <si>
    <t>61853b937925537ddd1ce51b</t>
  </si>
  <si>
    <t>Konyalı Eyüp Usta, Tepebaşı (Sütlüce Mah.)</t>
  </si>
  <si>
    <t>Cihan Eyüp Sert</t>
  </si>
  <si>
    <t>Sütlüce Mah. İstiklal Cd. No:34/A Tepebaşı/Eskişehir</t>
  </si>
  <si>
    <t xml:space="preserve">GETİR ILE ILGILI SORUNLARI VAR FIYATLAR KONUSUNDA </t>
  </si>
  <si>
    <t>61e5b755a4d4f76d2f932e77</t>
  </si>
  <si>
    <t>Konyalım Etli Ekmek, Tepebaşı (Şirintepe Mah.)</t>
  </si>
  <si>
    <t>Mustafa Gezgin</t>
  </si>
  <si>
    <t>Şirintepe Mah. Ilgın Sok. No:5 A Tepebaşı Eskişehir</t>
  </si>
  <si>
    <t>624f13220267911487f11e56</t>
  </si>
  <si>
    <t>Konyalım Mis Etli Ekmek, Odunpazarı (Alanönü Mah.)</t>
  </si>
  <si>
    <t>Bülent Arıkan</t>
  </si>
  <si>
    <t>Alanönü Mah. Cumhuriyet Blv. No:48 B Odunpazarı Eskişehir</t>
  </si>
  <si>
    <t>5f35b06982cfcf0690525eb9</t>
  </si>
  <si>
    <t>Korkmaz Kokoreç, Odunpazarı (Emek Mah.)</t>
  </si>
  <si>
    <t>Emek, Ertaş Blv. No:197, 26080 Odunpazarı/Eskişehir</t>
  </si>
  <si>
    <t>5f2c1572d783356b484989ce</t>
  </si>
  <si>
    <t>Koza Kebap, Tepebaşı (Hoşnudiye Mah.)</t>
  </si>
  <si>
    <t xml:space="preserve">Tekrar tekrar arandı teli açan yok// kendileri dönecek/20 dk sonra//5357316198 acmadı/ 4 5 gibi dönecek/ AHMET BEYLE GÖRÜŞME SAĞLADIM PAZARTESİ ARAYIN DEDİ / Yrtkili müsait değilmiş </t>
  </si>
  <si>
    <t>623d83a504c13cff45178dad</t>
  </si>
  <si>
    <t>Köfteci Koca Usta, Tepebaşı (Hoşnudiye Mah.)</t>
  </si>
  <si>
    <t>Erol Kök</t>
  </si>
  <si>
    <t>Hoşnudiye, İstasyon Cd. No: 25,Tepebaşı/Eskişehir</t>
  </si>
  <si>
    <t>5374836323// açmadı</t>
  </si>
  <si>
    <t>5f344c5d03a8183877925533</t>
  </si>
  <si>
    <t>Köfteci Melih, Sütlüce</t>
  </si>
  <si>
    <t>Sütlüce, İstiklal Cd. 38/A, 26010 Odunpazarı/Eskişehir</t>
  </si>
  <si>
    <t xml:space="preserve">tadilata gireceklermiş geri dönüş sağlayacaklar </t>
  </si>
  <si>
    <t>Fotoğraf çekimi yapıldımı diye arandı açmadı.</t>
  </si>
  <si>
    <t>5f6e7fc9b57e855a03e7ac8d</t>
  </si>
  <si>
    <t>Kumrucu Ali, Tepebaşı (Sütlüce Mah.)</t>
  </si>
  <si>
    <t>Sütlüce mah. İstiklal CD. NO:38/A TEPEBAŞI /ESKİŞEHİR</t>
  </si>
  <si>
    <t>61852d7ef5a47d419e513809</t>
  </si>
  <si>
    <t>Kumrucu Bayram, Tepebaşı (Yenibağlar Mah.)</t>
  </si>
  <si>
    <t>Mert Mihalıç</t>
  </si>
  <si>
    <t>5522265367 geç saate istiyo</t>
  </si>
  <si>
    <t>61e5ac34e8696379ae599c81</t>
  </si>
  <si>
    <t>Kutuda Baklava, Tepebaşı (Bahçelievler Mah.)</t>
  </si>
  <si>
    <t>Mehmet Çetinbaş</t>
  </si>
  <si>
    <t>ürünlerinin olup olmadığına bakıp dönecek</t>
  </si>
  <si>
    <t>615bece8623f1f563c60301f</t>
  </si>
  <si>
    <t>Kuzum Tantuni Çiğ Köfte &amp; Fast Food, Tepebaşı (Şirintepe Mah.)</t>
  </si>
  <si>
    <t>Şirintepe Mah. Neyzen Tevfik Sok. No:4 A Tepebaşı Eskişehir</t>
  </si>
  <si>
    <t>tel kapalı</t>
  </si>
  <si>
    <t>Büyükdere, Millet Cd. No:104/B, 26000 Odunpazarı/Eskişehir</t>
  </si>
  <si>
    <t>5058564410 prof dr nabi avcı bulvarı 4/53 I o bölgeye gidildiği zaman tekrar arancak erteleme talep ediyor/1 ay sonra görüşelim der /sreklı sreklı aramayın dedı kndımız sızlerle ıletısıme gecerı dedı ARANMASIN.</t>
  </si>
  <si>
    <t>çekim yapılmış</t>
  </si>
  <si>
    <t>61d740976dcd70606ece1d75</t>
  </si>
  <si>
    <t>Lahmacun Dünyası, Odunpazarı (Büyükdere Mah.)</t>
  </si>
  <si>
    <t>Büyükdere Mahallesi, Altınçağ Sk. No:20/A</t>
  </si>
  <si>
    <t xml:space="preserve">getirle sorunları varmış dinlemeden kapattı </t>
  </si>
  <si>
    <t>5fcace326a62b83913bd383e</t>
  </si>
  <si>
    <t>Lara Şampiyon Kokoreç, Odunpazarı (Vişnelik Mah.)</t>
  </si>
  <si>
    <t>VİŞNELİK MAHALLESİ KAYAĞAN SOKAK NO:22 ODUNPAZARI/ESKİŞEHİR</t>
  </si>
  <si>
    <t>yanlış numara</t>
  </si>
  <si>
    <t>5fcb264cfb47241f19b42459</t>
  </si>
  <si>
    <t>Lezzeti İkram Pide &amp; Kebap, Odunpazarı (Büyükdere Mah.)</t>
  </si>
  <si>
    <t>cok fazla sorunu var merkeze ıletıldı aranmasın/*10 dkkada bır cagrı merkezını arıyor ve arayıp bagırarak knsyor</t>
  </si>
  <si>
    <t>61545b84e725fd94ac75f7de</t>
  </si>
  <si>
    <t>Licchi Chicken, Tepebaşı (Yenibağlar Mah.)</t>
  </si>
  <si>
    <t>Yenibağlar Mah. Aşçı Sok. No:9 A Tepebaşı / Eskişehir</t>
  </si>
  <si>
    <t>5331386383 mail verildi</t>
  </si>
  <si>
    <t>5f6e1d14aa4e040520d3ef09</t>
  </si>
  <si>
    <t>Limoon Midye, Tepebaşı (Çamlıca)</t>
  </si>
  <si>
    <t>Çamlıca mah. Gündüz sok. Ökçün Cad. No:27/A Tepebaşı/Eskişehir</t>
  </si>
  <si>
    <t>watsaptan mesaj gönderdim / no çalmıyor. Ulaşılamıyor</t>
  </si>
  <si>
    <t>623d7f48ab5e64cc0a5bf490</t>
  </si>
  <si>
    <t>Linda Burger House, Tepebaşı (Batıkent Mah.)</t>
  </si>
  <si>
    <t>Mustafa Canbolat</t>
  </si>
  <si>
    <t>Batıkent mh ulusal egemenlik bulvarı no 13a Tepebaşı Eskişehir</t>
  </si>
  <si>
    <t>kendi fotoğraflarının çekimini gerçekleştirecekmiş</t>
  </si>
  <si>
    <t>Nurdane Kurnaz</t>
  </si>
  <si>
    <t>611ab904d1623731b6f9832c</t>
  </si>
  <si>
    <t>Lizette Restoran, Tepebaşı (Bahçelievler Mah.)</t>
  </si>
  <si>
    <t>Swarthy Fast Food, Tepebaşı (Bahçelievler Mah.) için randevu alındı.yeni bir işletme açacakmış hepsi bir olsun ben sizi arayım dedi irtibat verildi.</t>
  </si>
  <si>
    <t>erteleme istedi gününü kendisi dönüş yapacak bildirecek</t>
  </si>
  <si>
    <t>61e16e5b9311cc3bfb84f51a</t>
  </si>
  <si>
    <t>Lotus Fastfood, Tepebaşı (Sütlüce Mah.)</t>
  </si>
  <si>
    <t>611ab7c16e2a2c54541e3be2</t>
  </si>
  <si>
    <t>Lovelle Restorant, Tepebaşı (Bahçelievler Mah.)</t>
  </si>
  <si>
    <t>Swarthy Fast Food, Tepebaşı (Bahçelievler Mah.) için randevu alındı/yeni bir işletme açacakmış hepsi bir olsun ben sizi arayım dedi irtibat verildi.</t>
  </si>
  <si>
    <t>5f6808f4a26f34377f9e895d</t>
  </si>
  <si>
    <t>Löp Löp Dürüm &amp; Sandviç, Bahçelievler</t>
  </si>
  <si>
    <t>Bahçelievler mah. Bilnur Sok. No : 38/1 Tepebaşı/Eskişehir</t>
  </si>
  <si>
    <t xml:space="preserve">5330433119 merve hanım </t>
  </si>
  <si>
    <t>6212379d3861289061fb5db2</t>
  </si>
  <si>
    <t>M&amp;R. Tacos,Odunpazarı(Vadişehir Mah.)</t>
  </si>
  <si>
    <t>Mehmet Çoban</t>
  </si>
  <si>
    <t>Vadisehir mah. Nilüfer caddesi no:75/HA Odunpazarı/ Eskişehir</t>
  </si>
  <si>
    <t>Eksik ürün çekimi olmuş tamamlanmasını istiyor./d.ç için müsait değil 5426713812 filiz hanım / öğrenciler gelince yapalım dedi</t>
  </si>
  <si>
    <t>makarnalar çekim için uygun olmuyor gerek yok der</t>
  </si>
  <si>
    <t>607d647f57449660944c7520</t>
  </si>
  <si>
    <t>Malmül ,Tepebaşı (Hoşnudiye Mah.)</t>
  </si>
  <si>
    <t>Hoşnudiye mah. ismet inönü 1 cad. no :61 /A Tepebaşı /Eskişehir</t>
  </si>
  <si>
    <t>ulaşılmıyor.</t>
  </si>
  <si>
    <t>616f0035f3c61061fa629633</t>
  </si>
  <si>
    <t>Mandarins Burger &amp; Chicken, Tepebaşı (Ömerağa Mah.)</t>
  </si>
  <si>
    <t>EMRE TEMİZ</t>
  </si>
  <si>
    <t>ÖMERAĞA MAH. HATBOYU-1 CAD. NO: 55 A TEPEBAŞI/ ESKİŞEHİR</t>
  </si>
  <si>
    <t>5071149897 İŞLETME 4 TE ACILIYOR DHA SONRA ARNILCK</t>
  </si>
  <si>
    <t>5f9742a435889d5a44b23e0a</t>
  </si>
  <si>
    <t>Mandarins, Tepebaşı (Hoşnudiye Mah.)</t>
  </si>
  <si>
    <t>Hoşnudiye, Kızılcıklı Mahmut Pehlivan Caddesi 7AB, Tepebaşı/Eskişehir</t>
  </si>
  <si>
    <t xml:space="preserve">TEYİT İÇİN ARANDI MEŞGUL / devam çekimi alındı </t>
  </si>
  <si>
    <t>çekim sağlanmış ama hepsi yüklenmemiş şikayetçi / İşletmeyi kapatmışlar</t>
  </si>
  <si>
    <t>5f314e94f9051a627cdd042c</t>
  </si>
  <si>
    <t>Maraş Pide &amp; Lahmacun (Yeşiltepe Mah.)</t>
  </si>
  <si>
    <t>Yeşiltepe Mah., Bilgeç Cad., No:41D, Tepebaşı</t>
  </si>
  <si>
    <t xml:space="preserve">5398856201 Cenazesi var </t>
  </si>
  <si>
    <t>Hoşnudiye Mah., Otopark Sok., No:43, Tepebaşı, Eskişehir, Türkiye,</t>
  </si>
  <si>
    <t>60262f4046a84325b96e0efe</t>
  </si>
  <si>
    <t>Margarita Pizza, Tepebaşı (Çamlıca Mah.)</t>
  </si>
  <si>
    <t>Çamlıca mah. Gülperi sok. iç kapı no:1 Tepebaşı/Eskişehir</t>
  </si>
  <si>
    <t>Diğer şubeden alınacak/5435297980 muhammed musait deığiliz.</t>
  </si>
  <si>
    <t>6020ab161f27d58175874904</t>
  </si>
  <si>
    <t>Marifet Pide &amp; Kebap, Odunpazarı (Deliklitaş Mah.)</t>
  </si>
  <si>
    <t>Deliklitaş mah. Deliklitaş caddesi no81/A Odunpazarı/Eskişehir</t>
  </si>
  <si>
    <t>maile atacak eksikleri</t>
  </si>
  <si>
    <t>61ed0dc51959991a170b20c1</t>
  </si>
  <si>
    <t>Mars Pizza, Odunpazarı (İstiklal Mah.)</t>
  </si>
  <si>
    <t>Abdullah Yeşildağ</t>
  </si>
  <si>
    <t>İstiklal, Porsuk Bulvari Tema Vakfı Sk no:35/B, 26010 Odunpazarı/Eskişehir</t>
  </si>
  <si>
    <t>gerek duymuyorum der</t>
  </si>
  <si>
    <t>Emre Üçer</t>
  </si>
  <si>
    <t>Oğuzhan Kucur</t>
  </si>
  <si>
    <t>Cihangir Bey / pizzaları çekilmemiş çok ileri bir tarihte tekrardan devam çekimi alınabilir</t>
  </si>
  <si>
    <t>devam çekimi alındı / Devam çekimi iptal / 10 kere çekildi diyerek azarladı arkadaşlarınız size iletmediyse bu benim problemim değil dedi</t>
  </si>
  <si>
    <t>eksik ürünleri varmış ama bunun için tekrar aranacak yarına çıkmayacakmış ürünleri, ya da kendisi arayacak.</t>
  </si>
  <si>
    <t>615a079f892909bcbb401401</t>
  </si>
  <si>
    <t>Memphis Cafe &amp; Kitchen, Odunpazarı (Sümer Mah.)</t>
  </si>
  <si>
    <t>Sümer</t>
  </si>
  <si>
    <t>Sümer Mah. Çuha Sok. No: 19 Odunpazarı Eskişehir</t>
  </si>
  <si>
    <t>getir kuryesiyle çalışmak istediği için kimseyle iletişime geçememiş o yüzden de sistemi açıkmış sistemi çıldığı takdirde iletişime geçilebilir</t>
  </si>
  <si>
    <t>5f9cadeba85edc366347da25</t>
  </si>
  <si>
    <t>Menemenci Uğur (Bahçelievler Mah.)</t>
  </si>
  <si>
    <t>619abee0eac7007eba606309</t>
  </si>
  <si>
    <t>Mercanoğlu Tost Evi, Tepebaşı (Esentepe Mah.)</t>
  </si>
  <si>
    <t>Nurgül Mercan</t>
  </si>
  <si>
    <t>Esentepe</t>
  </si>
  <si>
    <t>Esentepe Mah. Eğitimciler Cad. No:174 D Tepebaşı Eskişehir</t>
  </si>
  <si>
    <t>Nurgül hnm 5417642626 akşam üzeri tekrar ara</t>
  </si>
  <si>
    <t>5f338eff13c9ae4e97244849</t>
  </si>
  <si>
    <t>Mersin Atomcu, Hoşnudiye</t>
  </si>
  <si>
    <t>Cumhuriye, Cengiz Topel-1 Cd. No:53/C, 26130 Tepebaşı/Eskişehir</t>
  </si>
  <si>
    <t xml:space="preserve">ürünler elimde patlar istemiyorum dedi </t>
  </si>
  <si>
    <t>62509525e6ab4a4dba0d2ed8</t>
  </si>
  <si>
    <t>Mertimm Tantuni, Tepebaşı (Yenibağlar Mah.)</t>
  </si>
  <si>
    <t>Mert Uzman</t>
  </si>
  <si>
    <t>Yenibağlar Mah. Sapanca Sok. No:16 A Tepebaşı Eskişehir</t>
  </si>
  <si>
    <t>619ab3cedf79614bce7ca8ca</t>
  </si>
  <si>
    <t>Mesken Burger - Islak Hamburger, Odunpazarı (Büyükdere Mah.)</t>
  </si>
  <si>
    <t>İbrahim Uzun</t>
  </si>
  <si>
    <t>Poyraz bey 5510761483 maliyetler çok olduğu için daha sonra istiyor</t>
  </si>
  <si>
    <t>60e026a1b77b2c0c3f439b1d</t>
  </si>
  <si>
    <t>Meşhur Adıyaman Çiğ Köftecisi İlyas Aybak,(Cumhuriye Mah.)</t>
  </si>
  <si>
    <t>Cumhuriye Mahallesi İsmet İnönü 1 Caddesi No:1A Tepebaşı/ESKİŞEHİR</t>
  </si>
  <si>
    <t>başka birine ait aranmasın</t>
  </si>
  <si>
    <t>5f6e880eb57e8560a5e7ac92</t>
  </si>
  <si>
    <t>Meşhur Adıyaman Çiğ Köftecisi Ömer Aybak (Bahçelievler Mah.)</t>
  </si>
  <si>
    <t>Bahçelievler mah. Sakarya2 Cad. No:99/B Tepebaşı/Eskişehir</t>
  </si>
  <si>
    <t>5f8e9284850bab03d33550fa</t>
  </si>
  <si>
    <t>Meşhur Adıyaman Çiğ Köftecisi Ömer Aybak (Batıkent Mah.)</t>
  </si>
  <si>
    <t>Batıkent mah. Kardak sok. No: 30/d Tepebaşı/Eskişehir</t>
  </si>
  <si>
    <t>5f8e94cabbd4701bd73d9b99</t>
  </si>
  <si>
    <t>Meşhur Adıyaman Çiğ Köftecisi Ömer Aybak (Gökmeydan Mah.)</t>
  </si>
  <si>
    <t>Gökmeydan mah. Cumhuriyet bulvarı cad. no:197/B Eskişehir/Odunpazarı</t>
  </si>
  <si>
    <t>61e5eb34aeae2d24307ec2b8</t>
  </si>
  <si>
    <t>Meşhur Adıyaman Çiğ Köftecisi Ömer Aybak, Odunpazarı(Huzur Mah.)</t>
  </si>
  <si>
    <t>Sedanur Demirel</t>
  </si>
  <si>
    <t>Huzur</t>
  </si>
  <si>
    <t>Huzur Mah. Ali Rıza Efendi Cad. No:49 B Odunpazarı Eskişehir</t>
  </si>
  <si>
    <t>61e5b49de53f9d3673886fb5</t>
  </si>
  <si>
    <t>Meşhur Adıyaman Çiğ Köftecisi Ömer Aybak,(Çamlıca Mah-Ökçün Blv)</t>
  </si>
  <si>
    <t>Yusuf Tomurer</t>
  </si>
  <si>
    <t>Çamlıca Mah. Gündüz Ökçün Blv. No:67 A Tepebaşı Eskişehir</t>
  </si>
  <si>
    <t>6049ef433ca2742461805899</t>
  </si>
  <si>
    <t>Meşhur Adıyaman Çiğ Köftecisi Ömer Aybak,(İstiklal)</t>
  </si>
  <si>
    <t>İstiklal Mah. M.K. Atatürk Cad. No:156 D Odunpazarı/ Eskişehir</t>
  </si>
  <si>
    <t>6022c9843c1a97887abb2703</t>
  </si>
  <si>
    <t>Meşhur Adıyaman Çiğ Köftecisi Ömer Aybak,Tepebaşı (Çamlıca Mah.)</t>
  </si>
  <si>
    <t>Çamlıca Mah. Birlik Cad. No:20/D Tepebaşı/Eskişehir</t>
  </si>
  <si>
    <t>60902d857993a92cf0f387a9</t>
  </si>
  <si>
    <t>Meşhur Adıyaman Çiğ Köftecisi Ömer Aybak,Tepebaşı(Yenibağlar Mh)</t>
  </si>
  <si>
    <t>Yenibağlar Mah. Prof. Dr. Yılmaz Büyükerşen Blv. No:142 C Tepebaşı/ Eskişehir</t>
  </si>
  <si>
    <t>5fc02b294e309552a66db018</t>
  </si>
  <si>
    <t>Meşhur Adıyaman Çiğköftecisi Ömer Aybak ( Büyükdere Mah.)</t>
  </si>
  <si>
    <t>Büyükdere mah. fakülte sok. 5/c Odunpazarı/Eskişehir</t>
  </si>
  <si>
    <t>5f72fffb849e13fcb365dde0</t>
  </si>
  <si>
    <t>Meşhur Adıyamanlı Çiğ Köftecisi Ömer Aybak (Emek Mah.)</t>
  </si>
  <si>
    <t>Serhat İsmail Çölük</t>
  </si>
  <si>
    <t xml:space="preserve">5535059687// açmadı   / ÇEKİM SAĞLAMIŞ </t>
  </si>
  <si>
    <t xml:space="preserve">5535059687 / ÇEKİM YAPILMIŞ </t>
  </si>
  <si>
    <t>uygun bi günde kendileri dönecek</t>
  </si>
  <si>
    <t>6035678805dd291360fdff29</t>
  </si>
  <si>
    <t>Meydan - 1 Kokoreç &amp; Köfte, Tepebaşı (Hoşnudiye Mah.)</t>
  </si>
  <si>
    <t xml:space="preserve">ıkı kere yuzume kapattı/ musa bey yetkiliyle görüşecek duruma göre hareket edecekler / gelip çektiniz eminim diyor </t>
  </si>
  <si>
    <t>çekimi istemiyor</t>
  </si>
  <si>
    <t>İbadettin Aslan</t>
  </si>
  <si>
    <t>daha sonra aranacak</t>
  </si>
  <si>
    <t>61e184d3800401a6bc049ba3</t>
  </si>
  <si>
    <t>Mirinda Cafe, Odunpazarı (Vişnelik Mah.)</t>
  </si>
  <si>
    <t>Tuğrul Ergit</t>
  </si>
  <si>
    <t>Vişnelik Mah. Atatürk Blv. No:165 A Odunpazarı Eskişehir</t>
  </si>
  <si>
    <t>624f1582b2a531ac79e135c1</t>
  </si>
  <si>
    <t>Mis Mersin Tantuni, Odunpazarı (Akçağlan Mah.)</t>
  </si>
  <si>
    <t>Akçağlan Mah. Cumhuriyet Blv. No:34 B Odunpazarı Eskişehir</t>
  </si>
  <si>
    <t>RAMAZAN KESKİN</t>
  </si>
  <si>
    <t>Mehmet Kılıç</t>
  </si>
  <si>
    <t>şehir dışında olacakmış başka zaman aranabilr/haftaya dönüş yapacak</t>
  </si>
  <si>
    <t>61c0e71c27cfce4c3c9daa3a</t>
  </si>
  <si>
    <t>Mr. Gurme Fast Food, Odunpazarı (Büyükdere Mah.)</t>
  </si>
  <si>
    <t>5f352ef686f7db508ff8e992</t>
  </si>
  <si>
    <t>Murrys Mannitta Chicken Bar, Odunpazarı (Vişnelik Mah.)</t>
  </si>
  <si>
    <t>Vişnelik Mah. Şehit. Zeynel Toköz Sok. No:26A</t>
  </si>
  <si>
    <t>eksik numara</t>
  </si>
  <si>
    <t>606238f6b48e84311e44002c</t>
  </si>
  <si>
    <t>Müzeyyen Ocakbaşı, Odunpazarı(Akarbaşı Mah.)</t>
  </si>
  <si>
    <t>Akarbaşı Mah. Atatürk Blv. No:139 B Odunpazarı/ Eskişehir</t>
  </si>
  <si>
    <t>62124ea65b4ec74ef96c0d4d</t>
  </si>
  <si>
    <t>My Family Fast Food, Odunpazarı (İstiklal Mah.)</t>
  </si>
  <si>
    <t>Yıldız Çelik</t>
  </si>
  <si>
    <t xml:space="preserve">yoğun oldukları için istemiyorlar mail verildi </t>
  </si>
  <si>
    <t>Emre / Geri dönüş yapacak/TEYİT İÇİN ARANDI ÇEKİM GERÇEKLEŞMİŞ/ çekim gerçekleşmiş./ devam çekimi istemiyor</t>
  </si>
  <si>
    <t>5452778943/ çekim gerçekleştimi diye teyit amacıyla aradım açmadı.</t>
  </si>
  <si>
    <t>SERPİL ÇAKAR</t>
  </si>
  <si>
    <t>Serpil Hanım; 5525441104 sistemdeki no aranmasın bu no aransın.</t>
  </si>
  <si>
    <t>5464522526/TEYİT İÇİN ARANDI ÇEKİM GERÇEKLEŞMİŞ</t>
  </si>
  <si>
    <t>60a21f0f0c1744bada242a24</t>
  </si>
  <si>
    <t>Mydonos Tantuni, Odunpazarı (Büyükdere Mah.)</t>
  </si>
  <si>
    <t>Büyükdere mah.Gençlik bulvarı No:43/B Odunpazarı/Eskişehir</t>
  </si>
  <si>
    <t>5386330654 gözde arandı ama mesşguldü / kendisi dönüş yapacak/ VAGA ŞUBESİNDEN İKİ GÜN ÖNCE ÇEKİM SAĞLANMIŞ</t>
  </si>
  <si>
    <t>60a21ff33b78af7d8973bcce</t>
  </si>
  <si>
    <t>Mydonos Tantuni, Tepebaşı (Çamlıca Mah.)</t>
  </si>
  <si>
    <t>Çamlıca Mah.</t>
  </si>
  <si>
    <t>5386330654 gözde hanım / 60a21d96c4c262bdbf7e6ef1        Mydonos Tantuni, Tepebaşı (Eskibağlar Mah.)</t>
  </si>
  <si>
    <t>ESKİBAĞLAR MAH/SEMT ÜNİVERSİTE CAD. NO: 13 A TEPEBAŞI/ ESKİŞEHİR</t>
  </si>
  <si>
    <t xml:space="preserve">5386330654 gözde hanım / kanlıca mahallesi günseri sokak no 1 avm 2.kat </t>
  </si>
  <si>
    <t>614b9d7e16d64cf1c4c7bb12</t>
  </si>
  <si>
    <t>Myra Çikolata Evim, Tepebaşı (Hoşnudiye Mah.)</t>
  </si>
  <si>
    <t>Hoşnudiye Mah. 770. Sok. No:4 BC Tepebaşı/Eskişehir</t>
  </si>
  <si>
    <t xml:space="preserve">PANELDE FOTOĞRAFLARI MEVCUT </t>
  </si>
  <si>
    <t>61c4d50462361705e116f71a</t>
  </si>
  <si>
    <t>Nadir Büfe, Tepebaşı (Hoşnudiye Mah.)</t>
  </si>
  <si>
    <t>ONUR ÇELİK</t>
  </si>
  <si>
    <t>Hoşnudiye Mahallesi 732. Sokak No: 20/1 Tepebaşı Eskişehir</t>
  </si>
  <si>
    <t>istemiyoruz dedı</t>
  </si>
  <si>
    <t>Necmettin Uğurlu</t>
  </si>
  <si>
    <t>Handan Türk</t>
  </si>
  <si>
    <t>6089c7ce757bb67a46e80f9f</t>
  </si>
  <si>
    <t>Nil Fırın, Odunpazarı(Akarbaşı Mah.)</t>
  </si>
  <si>
    <t>Akarbaşı Mah. Şehir Güngören Bostan Sok. No:1/A Odunpazarı/Eskişehir</t>
  </si>
  <si>
    <t>devam çekimi alındı</t>
  </si>
  <si>
    <t>6089c9444eb0b7d42bdab115</t>
  </si>
  <si>
    <t>Nil Fırın, Odunpazarı(Yıldıztepe Mah.)</t>
  </si>
  <si>
    <t>Yıldıztepe Mah. Dumlupınar Cad. No:33/A Odunpazarı/Eskişehir</t>
  </si>
  <si>
    <t>61fc217029ae5d013283b23a</t>
  </si>
  <si>
    <t>Nilda Fast Food, Tepebaşı (Zafer Mah.)</t>
  </si>
  <si>
    <t>MERT GÜNAY</t>
  </si>
  <si>
    <t>615a1213e8c9b9d865825382</t>
  </si>
  <si>
    <t>Nohutçu Mehmet, Tepebaşı (Eskibağlar Mah.)</t>
  </si>
  <si>
    <t>Hoşnudiye Mah., Şahin Cad., No:82, Tepebaşı, Eskişehir, Türkiye,</t>
  </si>
  <si>
    <t>aslan bey saat 4 ten sonra arancak/mail paylasılck kndı urunlerının fotogrfları vr</t>
  </si>
  <si>
    <t>Çekim yapılmış/yt yok 1 saat sonra/ çekim gerçekleşmiş.</t>
  </si>
  <si>
    <t>5ff114630e63fe27e1cc2fce</t>
  </si>
  <si>
    <t>Nur Döner, Odunpazarı (Emek Mah.)</t>
  </si>
  <si>
    <t>Emek Mah., Ertaş Cad., No:176/1A, Odunpazarı, Eskişehir,</t>
  </si>
  <si>
    <t>mustafa siparişim var dedi yüzüme kapattı</t>
  </si>
  <si>
    <t>5f351837cd664a93bc6ab9e2</t>
  </si>
  <si>
    <t>Nur Pide &amp; Tantuni, Tepebaşı (Batıkent Mah.)</t>
  </si>
  <si>
    <t>Batıkent, Ertürkoğlu Sk. No:20, 26180 Tepebaşı/Eskişehir</t>
  </si>
  <si>
    <t>Paket servis çalışıyorlar Ürün hazırlamaa vakitleri bulunmuyormuş/ meşgule attı.istemiyorum ürün çıkaramam dedi yoğunluğunuza göre randevu oluşturalım dedim onu bilemeyiz bazen sipariş oluyor bazen olmuyor dedi.</t>
  </si>
  <si>
    <t>614a0fb69e06e0e611235b6a</t>
  </si>
  <si>
    <t>Nur Pide, Tepebaşı (Çamlıca Mah.)</t>
  </si>
  <si>
    <t>Çamlıca Mah. Ulusal Egemenlik Blv. No:130 Tepebaşı/Eskişehir</t>
  </si>
  <si>
    <t>yapınca ben o urunlerı ne yapıcam demekte</t>
  </si>
  <si>
    <t>Mehmet Muharrem Ermiş</t>
  </si>
  <si>
    <t>Mamure</t>
  </si>
  <si>
    <t>bu aralar ıstemıyorlae</t>
  </si>
  <si>
    <t>Hamide Eliç</t>
  </si>
  <si>
    <t>5f847f206d39487dd836d431</t>
  </si>
  <si>
    <t>O'Dürüm, Tepebaşı (Hoşnudiye Mah.)</t>
  </si>
  <si>
    <t>Hoşnudiye Mahallesi Sağın Sokak, Kanatlı AVM No:4</t>
  </si>
  <si>
    <t xml:space="preserve">açılış saati 11:45 / mail adresi iletildi ( izzet bey yetkili ) </t>
  </si>
  <si>
    <t>5357375347 ahmet</t>
  </si>
  <si>
    <t>624fe36a752ee77fa8ae5d18</t>
  </si>
  <si>
    <t>Odöner, Tepebaşı (Hoşnudiye Mah.)</t>
  </si>
  <si>
    <t>MUSTAFA ÜMİT KALELİ</t>
  </si>
  <si>
    <t>5ff5016c71e89c728f981fbe</t>
  </si>
  <si>
    <t>Okyanus Tost Evi, Tepebaşı (Uluönder Mah.)</t>
  </si>
  <si>
    <t>Uluönder Mahallesi Sultan Sokak Tepebaşı Eskişehir</t>
  </si>
  <si>
    <t xml:space="preserve">aranmak istemiyor-açmadı </t>
  </si>
  <si>
    <t>61be15e8d897491b9ae835e8</t>
  </si>
  <si>
    <t>Onion Cafe &amp; Food, Tepebaşı (Hoşnudiye Mah.)</t>
  </si>
  <si>
    <t>Ekin Tuna</t>
  </si>
  <si>
    <t>Hoşnudiye Mah. Sağın Sok. No:65 A Tepebaşı Eskişehir</t>
  </si>
  <si>
    <t>61c2239b8dbd05503f7b3e5f</t>
  </si>
  <si>
    <t>Online Mutfak, Tepebaşı (Bahçelievler Mah.)</t>
  </si>
  <si>
    <t>5ff7fe3e35e580e6754436c2</t>
  </si>
  <si>
    <t>Onur İşkembe, Tepebaşı (Hoşnudiye Mah.)</t>
  </si>
  <si>
    <t>Cumhuriye, Cengiz Topel-1 Cd. 49/a, 26130 Tepebaşı/Eskişehir</t>
  </si>
  <si>
    <t>5495492126 / akşam 8 cıvarlarına ıstedı olmayacagını soyledım kendı donecek/yt yok 8 den sonra ara</t>
  </si>
  <si>
    <t>Yenibağlar Mah. Eti Cad. No:41 Tepebaşı/Eskişehir</t>
  </si>
  <si>
    <t>624fe5ffce87e9111907aae8</t>
  </si>
  <si>
    <t>Oskar Sıcak Fırın &amp; Cafe, Tepebaşı (Cumhuriye Mah.)</t>
  </si>
  <si>
    <t>Hamdi Tunahan Barışkan</t>
  </si>
  <si>
    <t>Cumhuriye Mah. Sakarya 1 Cad. No:67/A</t>
  </si>
  <si>
    <t>5fe1e6f461e7ff74dcfc690d</t>
  </si>
  <si>
    <t>Öncü Döner, Tepebaşı (Yenibağlar Mah.)</t>
  </si>
  <si>
    <t>Yenibağlar Mahallesi Üniversite Cad. No: 94/D Tepebaşı/Eskişehir</t>
  </si>
  <si>
    <t>Orkun Ölçekci</t>
  </si>
  <si>
    <t>5ff2219beeb85d441eceee1f</t>
  </si>
  <si>
    <t>Özbesin Ocakbaşı, Tepebaşı(Batıkent Mah.)</t>
  </si>
  <si>
    <t>Batıkent, Gerekli Sk. No:29, 26180 Tepebaşı/Eskişehir</t>
  </si>
  <si>
    <t>muammer çakır</t>
  </si>
  <si>
    <t>iptalin sebebi için arandı yetkili müsait değilmiş yoldayım dedi.</t>
  </si>
  <si>
    <t>Mehmet Surha</t>
  </si>
  <si>
    <t>5f9723ca3459b82de692339d</t>
  </si>
  <si>
    <t>Paprika Kahvaltı &amp; Fast Food, Tepebaşı (Eskibağlar Mah.)</t>
  </si>
  <si>
    <t>Eskibağlar mah. Talat Paşa sok. No:59 A Tepebaşı / Eskişehir</t>
  </si>
  <si>
    <t>622cccfc8ecbc535e27d6338</t>
  </si>
  <si>
    <t>Paristanbul Tantuni, Odunpazarı (Emek Mah.)</t>
  </si>
  <si>
    <t>MEHMET AYDIN</t>
  </si>
  <si>
    <t>EMEK MAH. ERTAŞ CAD. ÖZCANLAR APT NO: 220 B ODUNPAZARI/ ESKİŞEHİR</t>
  </si>
  <si>
    <t>yoğun oluyormuş istemedi</t>
  </si>
  <si>
    <t>Hikmet Karatepe</t>
  </si>
  <si>
    <t>TEYİT İÇİN  ARANDI ÇEKİM GERÇEKLEŞMİŞ/devam çekimi istemiyor</t>
  </si>
  <si>
    <t>61809cdc93bf2dea6ea4763a</t>
  </si>
  <si>
    <t>Patsoyt, Tepebaşı (Yenibağlar Mah.)</t>
  </si>
  <si>
    <t>Oytun Akmeşe</t>
  </si>
  <si>
    <t>Yenibağlar mah . Bolay sok no: 21/A Tepebaşı/Eskişehir</t>
  </si>
  <si>
    <t xml:space="preserve">işlemesini akşam 22:00 de açıp sabah 08:00 kapatıyor </t>
  </si>
  <si>
    <t>5f315747304c826ba94782ac</t>
  </si>
  <si>
    <t>Pepinot's Home Cooking (Vişnelik Mah.)</t>
  </si>
  <si>
    <t>Vişnelik, Şht. Zeynel Toköz Sk. no:26, 26020 Odunpazarı/Eskişehir</t>
  </si>
  <si>
    <t>Yenibağlar mah. Üniversite cad. No:57/B Tepebaşı /Eskişehir</t>
  </si>
  <si>
    <t xml:space="preserve">eskibağlar mah bacı sok 3/D / devam çekimi iptal oldu 2 hafta sonra aranacak tekrar / GEREK YOK DEDİ </t>
  </si>
  <si>
    <t>5f3670daf413540c494f36e3</t>
  </si>
  <si>
    <t>Piano Pizza (Eskibağlar Mah.)</t>
  </si>
  <si>
    <t>Eskibağlar, Haller, Gençlik Mrk. Sk. No:2/29, 26170 Tepebaşı/Eskişehir</t>
  </si>
  <si>
    <t>fotoğrafta görünenin aynısını isteyecek müşteri, o yüzden istemiyorum der</t>
  </si>
  <si>
    <t>61dc98a5252ae47e99718dac</t>
  </si>
  <si>
    <t>Pide Bank Etli Ekmek, Tepebaşı (Şirintepe Mah.)</t>
  </si>
  <si>
    <t xml:space="preserve">ben size dönüş yaparım dedi </t>
  </si>
  <si>
    <t>5f33bf08bc33c96e0fadd917</t>
  </si>
  <si>
    <t>Pidza Pide &amp; Pizza, Tepebaşı (Eskibağlar Mah.)</t>
  </si>
  <si>
    <t>Eskibağlar, Sakman Sk. No:12 D:E, 26170 Tepebaşı/Eskişehir</t>
  </si>
  <si>
    <t>618d988a51c1a03fdccb52f8</t>
  </si>
  <si>
    <t>Pilav Üstü, Tepebaşı (Yenibağlar Mah.)</t>
  </si>
  <si>
    <t>KADİR BOLU</t>
  </si>
  <si>
    <t>yenibağlar mh. balkan cad. no : 90 /b</t>
  </si>
  <si>
    <t>622743440bbf262ac4250a81</t>
  </si>
  <si>
    <t>Pilavcı, Odunpazarı (Büyükdere Mah.)</t>
  </si>
  <si>
    <t>YAĞMUR ŞATIR</t>
  </si>
  <si>
    <t xml:space="preserve">haftaya kızı olunca olabilir </t>
  </si>
  <si>
    <t>606db9c216fa098537a41021</t>
  </si>
  <si>
    <t>Pilove Point, Tepebaşı(Eskibağlar Mah.)</t>
  </si>
  <si>
    <t>Eskibağlar Mah. Aşçı Sok. No:10 B Tepebaşı/ Eskişehir</t>
  </si>
  <si>
    <t>ÇEKİM YAPILMIŞ</t>
  </si>
  <si>
    <t>61a101682664594fa2c78f06</t>
  </si>
  <si>
    <t>Pişiviç,Tepebaşı (Eskibağlar Mah. )</t>
  </si>
  <si>
    <t>Tuba Yıldırım</t>
  </si>
  <si>
    <t xml:space="preserve">Sizin tarafınızdan çekimler sağlandı bu panel için gerek yok dedi. </t>
  </si>
  <si>
    <t>5f5bf7a48d5d51ece2039cfe</t>
  </si>
  <si>
    <t>Pizza Locale, Hoşnudiye</t>
  </si>
  <si>
    <t>Hoşnudiye Mh. İsmet inönü 1 cd. A Blok No: 153/E</t>
  </si>
  <si>
    <t>6075b34d04a0f246917f566e</t>
  </si>
  <si>
    <t>Pollo’s, Tepebaşı( Yenibağlar Mah.)</t>
  </si>
  <si>
    <t xml:space="preserve">ŞUAN ÇEKİM İSTEMİYOR </t>
  </si>
  <si>
    <t xml:space="preserve">haftaya iletişime gteçelim dedi/taner bey hastanede yatıyormus dedı calısanı / nilüfer hanım yetkili ile görüşüp haber verecek / ruhan nhanım ile iletişime geçildi 5413072626 </t>
  </si>
  <si>
    <t>5f9977130a199739465a3643</t>
  </si>
  <si>
    <t>Posta Pide, Odunpazarı (Arifiye Mah.)</t>
  </si>
  <si>
    <t>Arifiye mah. Yandaş sok. No:7 Odunpazarı/Eskişehir</t>
  </si>
  <si>
    <t>wetransfer uzerınden paylasılcak</t>
  </si>
  <si>
    <t>Mojtaba Golmohammadı</t>
  </si>
  <si>
    <t>mustafa bey dönecek</t>
  </si>
  <si>
    <t>6220ef8c16f4808b22eef8f6</t>
  </si>
  <si>
    <t>Premium Burger, Tepebaşı (Ömerağa Mah.)</t>
  </si>
  <si>
    <t>Menü Güncellemesi Yapılacak</t>
  </si>
  <si>
    <t xml:space="preserve">daha sonra alınabilir dedi </t>
  </si>
  <si>
    <t>60901317e42846e9e81a5747</t>
  </si>
  <si>
    <t>Puffy Waffle &amp; Cafe, Tepebaşı(Hoşnudiye Mah.)</t>
  </si>
  <si>
    <t>Hoşnudiye Mah. Porsuk Bulvarı Sahilyolu Sokak No:20 A Tepebaşı/Eskişehir</t>
  </si>
  <si>
    <t xml:space="preserve">musaıt degılım ıstemıyorum / şu zamnada hiç uygun değiliz dedi </t>
  </si>
  <si>
    <t>618da9216232aa60c9643495</t>
  </si>
  <si>
    <t>Quick Pizza, Tepebaşı (Eskibağlar Mah.)</t>
  </si>
  <si>
    <t>kimse gelip beni ziyaret etmiyor fiyat güncellemesi de olmuyor getir getirsin istiyoru moda yok herkes not alıyor güya ama kimse ilgilenmiyor getir kendini bozdu der</t>
  </si>
  <si>
    <t>Çok yoğunuz yoğunluktan dolayı iptal oldu müsait zamanda ben size dönüşyapayım der./  mail atacak</t>
  </si>
  <si>
    <t>5ff5053bcf33767d3db62d19</t>
  </si>
  <si>
    <t>Ravza Pide &amp; Kebap, Tepebaşı (Sütlüce Mah.)</t>
  </si>
  <si>
    <t>60063db126a65ac32132c360</t>
  </si>
  <si>
    <t>Redfood Burger &amp; Pizza, Tepebaşı (Hoşnudiye Mah.)</t>
  </si>
  <si>
    <t>Hoşnudiye Mah. İsmet İnönü 1 Cad. No:62 D Tepebaşı / Eskişehir</t>
  </si>
  <si>
    <t>maıl atmıs yuklenmemıs poanelı de aktıf olarak kullanmıyorlar zaten</t>
  </si>
  <si>
    <t>Eksik ürün ve yeni menü ürünlerinin çekimleri yapılacak / devam çekimi talebinde bulundular alındı randevu</t>
  </si>
  <si>
    <t>devam çekimi /çekim gerçekleşmiş.</t>
  </si>
  <si>
    <t>6081738dde7ecf5f67a5dc70</t>
  </si>
  <si>
    <t>Rüyam Kahvaltı, Odunpazarı(Vişnelik Mah.)</t>
  </si>
  <si>
    <t>istemiyorum dedi biz 11 diycez onlar geç gelcek yetişemiycez dedi</t>
  </si>
  <si>
    <t>62566ee7bac9b9180e838260</t>
  </si>
  <si>
    <t>Safa Konya Etli Etmek, Odunpazarı (71 Evler Mah.)</t>
  </si>
  <si>
    <t>MUHAMMED SAFA</t>
  </si>
  <si>
    <t>Odunpazarı 71 evler mh Tuğba sokak 25A.</t>
  </si>
  <si>
    <t>o kadar ürünü çıkaramam demektedir.eleman eksigim var onu halledersem olabilir ben dönüş saglarım dedi</t>
  </si>
  <si>
    <t>444 2 605/5468063614</t>
  </si>
  <si>
    <t>5f6ce0b3361cb3b4e0c9050f</t>
  </si>
  <si>
    <t>Sağlık Pide &amp; Kebap &amp; Döner, Adalar</t>
  </si>
  <si>
    <t>İstiklal Mah. Başarılı Sk. No:35 Odunpazarı/Eskişehir</t>
  </si>
  <si>
    <t>fotoları prof ama yüklenmemiş tekrar atacak</t>
  </si>
  <si>
    <t>5f6c9d214156227580fef036</t>
  </si>
  <si>
    <t>Sağlık Pide &amp; Kebap &amp; Döner, Yenibağlar</t>
  </si>
  <si>
    <t>Yenibağlar, Yılmaz Büyükerşen Blv No:132 Tepebaşı/Eskişehir</t>
  </si>
  <si>
    <t xml:space="preserve">Cepten geri dönüş yapacak / defalarca mail atmış artık yüklenmesini istiyor </t>
  </si>
  <si>
    <t>5f35a55cd646812fecfeb3eb</t>
  </si>
  <si>
    <t>Sağlık Pide, Odunpazarı (Büyükdere Mah.)</t>
  </si>
  <si>
    <t>Büyükdere, Bayraktepe Sk. No:4, 26040, 26040 Odunpazarı/Eskişehir</t>
  </si>
  <si>
    <t>gülten hanım mail verildi</t>
  </si>
  <si>
    <t>5fe479fcbc2d632944137301</t>
  </si>
  <si>
    <t>Samsat Çiğ Köfte Tepebaşı (Hacıseyit Mah.)</t>
  </si>
  <si>
    <t>Hacıseyit mahallesi. Zübeyde hanım caddesi . 82-B Tepebaşı ESKİŞEHİR</t>
  </si>
  <si>
    <t>5f6e7c7e32054a8e2c428e50</t>
  </si>
  <si>
    <t>Samsat Çiğ Köfte, Tepebaşı (Şirintepe Mah.)</t>
  </si>
  <si>
    <t>Şirintepe, Örme Sk. no:119/A Tepebaşı/Eskişehir</t>
  </si>
  <si>
    <t xml:space="preserve">5432626383 getirle problemleri var sistemden çıkmayı bile düşünüyorum </t>
  </si>
  <si>
    <t>6212a425498914194668e064</t>
  </si>
  <si>
    <t>Sandwich Dükkanı, Tepebaşı (Bahçelievler Mah.)</t>
  </si>
  <si>
    <t>mail atmış</t>
  </si>
  <si>
    <t>623a3e57ae28887e8fcba9af</t>
  </si>
  <si>
    <t>Saray Ocakbaşı, Odunpazarı (Büyükdere Mah.)</t>
  </si>
  <si>
    <t>Kasım Katırcı</t>
  </si>
  <si>
    <t>Büyükdere Mah. Dr. Sadık Ahmet Cad. No:26 Odunpazarı Eskişehir</t>
  </si>
  <si>
    <t>606b094efde1be576806be24</t>
  </si>
  <si>
    <t>Savgu Star Döner, Odunpazarı(Deliklitaş Mah.)</t>
  </si>
  <si>
    <t>Deliklitaş Mah. Hamamyolu Cad. No:49 A Odunpazarı/Eskişehir</t>
  </si>
  <si>
    <t>getirle sorunları nvar/getiri kullanmıyoruz dediler/0555 585 48 72/ULASILMADI</t>
  </si>
  <si>
    <t>5f33dfffad5516cce75858ba</t>
  </si>
  <si>
    <t>Sekiz Yatık Döner, Ertuğrulgazi</t>
  </si>
  <si>
    <t>Ertuğrulgazi Mahallesi Aliya İzzetbegoviç Cad. (Şahin Cad.) No: 41/A, 26150 Tepebaşı/Eskişehir</t>
  </si>
  <si>
    <t>dç istemez/ çekim gerçekleştimi diye teyit amacıyla aradım açmadı.</t>
  </si>
  <si>
    <t xml:space="preserve">yt yok yarım saat sonra  / devam çekimi alındı </t>
  </si>
  <si>
    <t>5fc427fffc71443df74599f3</t>
  </si>
  <si>
    <t>Serdivan Cafe &amp; Bistro, Tepebaşı (Eskibağlar Mah.)</t>
  </si>
  <si>
    <t>Eskibağlar Mah. Prof. Dr. Yılmaz Büyükerşen Blv. No: 21/224 Tepebaşı Eskişehir</t>
  </si>
  <si>
    <t>çekim için fotoğrafcıları aramış / açılış saati 13:45</t>
  </si>
  <si>
    <t>5fcfebc0ddc8652ce9b229f0</t>
  </si>
  <si>
    <t>Serdivan Waffle (Espark), Tepebaşı (Eskibağlar Mah.)</t>
  </si>
  <si>
    <t>Eskibağlar mahallesi Yılmaz büyük erşan bulvarı No :12 / 204</t>
  </si>
  <si>
    <t>Fotoğrafları maile yolladıktan sonra karar verilcek</t>
  </si>
  <si>
    <t>624fdea8e32832cfc30ebde3</t>
  </si>
  <si>
    <t>Serdivan Waffle, Tepebaşı (Yenibağlar Mah.)</t>
  </si>
  <si>
    <t>Hacer Yavuz</t>
  </si>
  <si>
    <t>Yenibağlar Mahallesi Prof. Dr. Yılmaz Büyükerşen Bulvarı NO: 130 Tepebaşı ESKİŞEHİR</t>
  </si>
  <si>
    <t>Çekim gerçekleşmiş.</t>
  </si>
  <si>
    <t>5f886b4f8c38c830d5b58efc</t>
  </si>
  <si>
    <t>Servet Cafe &amp; Restaurant, Odunpazarı (Büyükdere Mah.)</t>
  </si>
  <si>
    <t>Büyükdere mah. Gençlik blv. cad. 4/48 Odunpazarı/Eskişehir</t>
  </si>
  <si>
    <t>osman bey 2 saat sonra gelirmiş/osman bey 1 saate gelrmıs</t>
  </si>
  <si>
    <t>5f886f09a32e99888339b045</t>
  </si>
  <si>
    <t>Servet Etli Ekmek &amp; Steakhouse, Odunpazarı (Çankaya Mah.)</t>
  </si>
  <si>
    <t>Çankaya mah. Kartopu cad. 65/b Odunpazarı /Eskişehir</t>
  </si>
  <si>
    <t>kendisi geri dönüş yapacak 05323902026/mail atacaklar</t>
  </si>
  <si>
    <t>15 GÜN KAPALI1 saat sonra arancakyetkili yokmuş/çekim gerçekleşmiş.</t>
  </si>
  <si>
    <t>5f6c9460b57e856305e76a0e</t>
  </si>
  <si>
    <t>Sosoreç, Odunpazarı</t>
  </si>
  <si>
    <t>2.şubesi var Park kumpirden fotoğrafları yükleyin diyor./ gerek yok/ gerek yok der</t>
  </si>
  <si>
    <t>6220f7415d24a1ec73877fad</t>
  </si>
  <si>
    <t>Special Izgara &amp; Fast Food, Odunpazarı (Büyükdere Mah.)</t>
  </si>
  <si>
    <t>Furkan Durukan</t>
  </si>
  <si>
    <t xml:space="preserve">belki ilerleyen haftalarda ama şuan değil dedi </t>
  </si>
  <si>
    <t>meşgul  / çekim gerçekleşmiş.</t>
  </si>
  <si>
    <t>625093788594f47a4195bba1</t>
  </si>
  <si>
    <t>Street Taste, Odunpazarı (Ihlamurkent Mah.)</t>
  </si>
  <si>
    <t>Yunus Uzun</t>
  </si>
  <si>
    <t>Ihlamurkent Mah. Nevruz cad. No:36/EB Odunpazarı/Eskişehir</t>
  </si>
  <si>
    <t>624ff0d1b8bf8782855ad5ac</t>
  </si>
  <si>
    <t>Street Taste, Tepebaşı (Batıkent Mah.)</t>
  </si>
  <si>
    <t>Gökhan Demircan</t>
  </si>
  <si>
    <t>5f5351e9bac3891edf7a1294</t>
  </si>
  <si>
    <t>Subway, Tepebaşı (Eskibağlar Mah.)</t>
  </si>
  <si>
    <t>Eskibağlar Mh. Üniversite Cd. Haller Gençlik Merkezi, No:2/13</t>
  </si>
  <si>
    <t>AÇMIYOR.</t>
  </si>
  <si>
    <t>Tekrar çekim için Alper bey kendisi arayacak istiyor ama ayarlama yapacakmış /İLK ÇEKİM YAPILMIŞ DEVAM ALINACAK ONUN İÇİNDE CUMA CUMARTESİ PAZAR HARİCİ HER GÜN OLUR DEDİ.  TEKRAR ARANSIN</t>
  </si>
  <si>
    <t>5f314fb814446dab23298b90</t>
  </si>
  <si>
    <t>Sultan Ateşi Pide &amp; Kebap &amp; Tantuni (Yenibağlar Mah.)</t>
  </si>
  <si>
    <t>Yenibağlar, Seylap Cd. No:5, 26170 Tepebaşı/Eskişehir</t>
  </si>
  <si>
    <t>YARIM SAAT SONRA ARANCAK</t>
  </si>
  <si>
    <t>MURAT SHAFİİ</t>
  </si>
  <si>
    <t>Davut Bey / 5552587964</t>
  </si>
  <si>
    <t>Osman Çelik</t>
  </si>
  <si>
    <t>Eskik çekimeri mevcut tamamlanmasını istedi</t>
  </si>
  <si>
    <t>5f315e877004a385a9ce063e</t>
  </si>
  <si>
    <t>Şahin Pide &amp; Kebap (Tunalı Mah.)</t>
  </si>
  <si>
    <t>Tunalı, Sakarya-2 Cd. no:64/A, 26220 Tepebaşı/Eskişehir</t>
  </si>
  <si>
    <t>2222902655 // geçen ay da söyledim istemiyorum der</t>
  </si>
  <si>
    <t>60ef17806531cab9fd9c9060</t>
  </si>
  <si>
    <t>Şanlıurfa Pide &amp; Kebap, Tepebaşı (Sütlüce Mah.)</t>
  </si>
  <si>
    <t>SÜTLÜCE MAH. İSTİKLAL CAD. NO: 62 TEPEBAŞI/ ESKİŞEHİR</t>
  </si>
  <si>
    <t>GEREK DUYMUYORUZ DEDI</t>
  </si>
  <si>
    <t>61af57a8449556372601d74c</t>
  </si>
  <si>
    <t>Şanlıurfa Pide Kebap, Odunpazarı (Büyükdere Mah.)</t>
  </si>
  <si>
    <t>ramazan beyin problemleri var aranmasın /10 dkkada bır cagrı merkezını arıyor ve arayıp bagırarak knsyor</t>
  </si>
  <si>
    <t>602fceaba9d2c19ebb002bfc</t>
  </si>
  <si>
    <t>Şans İskenderun Döneri, Odunpazarı (Büyükdere Mah.)</t>
  </si>
  <si>
    <t>aktif kullandıgımız bır yer degıl gerek yok</t>
  </si>
  <si>
    <t>61ce20bfb05c6f762655d4d1</t>
  </si>
  <si>
    <t>Şef Pide, Tepebaşı (Kumlubel Mah.)</t>
  </si>
  <si>
    <t>4 5 gibi gelir yetkili</t>
  </si>
  <si>
    <t>61934e764d6cd5632ff4794b</t>
  </si>
  <si>
    <t>Şef Pikaçu Izgara &amp; Mangal, Tepebaşı (Şirintepe Mah.)</t>
  </si>
  <si>
    <t>Melike Akkuzu</t>
  </si>
  <si>
    <t>61866cab3a95d9741d2b7bb5 buradaki çekimler bu işletmede de kullanılacak menü içerikleri aynı</t>
  </si>
  <si>
    <t>5f3536d0b0d244a8f4802113</t>
  </si>
  <si>
    <t>Şehir Köfte Evi, Odunpazarı (Vişnelik Mah.)</t>
  </si>
  <si>
    <t>Vişnelik, Öğretmenler Blv, 26020 Odunpazarı/Eskişehir</t>
  </si>
  <si>
    <t>mail verildi atıcak incelenicek/fotoları varmış oglu atcakmış</t>
  </si>
  <si>
    <t>619696a4df79612690eec781</t>
  </si>
  <si>
    <t>Şehir Pide &amp; Kebap, Tepebaşı (Tunalı Mah.)</t>
  </si>
  <si>
    <t>Muharrem Çubuk</t>
  </si>
  <si>
    <t>Tunalı Mah. Gaffar Okkan Cad. No:9 C Tepebaşı Eskişehir</t>
  </si>
  <si>
    <t>musaıt degılım daha sonra/musaıt degıllermıs ıstemıyorlar bu aralar/ şu an da elektriklerde kesik dahah sonra tekrar görüşelm der</t>
  </si>
  <si>
    <t>Sabri Gürsoy</t>
  </si>
  <si>
    <t>619560168e04b931b3be46b9</t>
  </si>
  <si>
    <t>Şirin Kepçe Lokantası, Odunpazarı (Kurtuluş Mah.)</t>
  </si>
  <si>
    <t>Aslı Gür Yıldız</t>
  </si>
  <si>
    <t>Kurtuluş Mah. Cumhuriyet Blv. No:69 A Odunpazarı Eskişehir</t>
  </si>
  <si>
    <t>cekım ıstemıyorlar / her gün farklı ürün çıkarttığı için istemiyor</t>
  </si>
  <si>
    <t>5f738133200a0dd3ca3104c7</t>
  </si>
  <si>
    <t>Taco Bar, Tepebaşı (Güllük Mah.)</t>
  </si>
  <si>
    <t>5f2c18a31c697056580becf3</t>
  </si>
  <si>
    <t>Tadım Tantuni 1996 (Yenibağlar Mah.)</t>
  </si>
  <si>
    <t>Yenibağlar, Yılmaz Büyükerşen Blv No:45 / F, 26000 Tepebaşı/Eskişehir</t>
  </si>
  <si>
    <t>61fecbe3d28d51265d804f6e</t>
  </si>
  <si>
    <t>Tadıtam Çiğ Köfte, Odunpazarı (Kırmızıtoprak Mah.)</t>
  </si>
  <si>
    <t>Adnan Ertuğrul</t>
  </si>
  <si>
    <t>Vişnelik Mah. Karatay Sok. No:2 Odunpazarı Eskişehir</t>
  </si>
  <si>
    <t>kırmızı tpoprak şubesinden alınacak</t>
  </si>
  <si>
    <t>Mehmet Aydın</t>
  </si>
  <si>
    <t>5418703525/devam çekimi alındı</t>
  </si>
  <si>
    <t xml:space="preserve">TEYİT İÇİN ARANDI ÇEKİM GERÇEKLEŞMİŞ/cekım saglanılmıs dç ıcın gerek yok getırı brakmayı dusunuyorum </t>
  </si>
  <si>
    <t>Gül Önal</t>
  </si>
  <si>
    <t>Hoşnudiye Mah. İsmet İnönü-1 Cad. No:53 A Tepebaşı / Eskişehir</t>
  </si>
  <si>
    <t>açılış saati 12:00 saat 15:00 de ara/YT YOK</t>
  </si>
  <si>
    <t>62274d3677123abcc4e7f375</t>
  </si>
  <si>
    <t>Taşan Döner, Odunpazarı (Arifiye Mah.)</t>
  </si>
  <si>
    <t>İmran Adaylar</t>
  </si>
  <si>
    <t>ARİFİYE MAH/SEMT BELEDİYE SK. TAŞBAŞI ÇARŞISI NO: 2 İÇ KAPI NO: 65 ODUNPAZARI/ ESKİŞEHİR</t>
  </si>
  <si>
    <t xml:space="preserve">fotoğrafları varmış mail atacak </t>
  </si>
  <si>
    <t xml:space="preserve">problemlerim var benim bilgim olmadan indirim yapıyorlar dedi  </t>
  </si>
  <si>
    <t>Levent Kanber</t>
  </si>
  <si>
    <t xml:space="preserve">eksik ürünleri de varmış hepsini çıkarınca dönüş sağlayacak / levent bey toplantıdaymış </t>
  </si>
  <si>
    <t>bütün ürünler çekilmiş ama yüklenmemiş  / çekim gerçekleşmiş haydarbey eksik ürünleri için istiyor ama ben size dönüş yaparım dedi ona göre tatlıları hazırlayınca çekim yapılsın dedi aramazsa aranabilir.</t>
  </si>
  <si>
    <t>yt yok akşam üzeri 17:00 gibi burada olurlar tekrar arayın derler.</t>
  </si>
  <si>
    <t>61099d7ec16c5a8ea7042bd9</t>
  </si>
  <si>
    <t>Tatlıdil Köftecisi, Odunpazarı (Arifiye Mah.)</t>
  </si>
  <si>
    <t>arifiye mahallesi yandaş sokak no 19 eskişehir</t>
  </si>
  <si>
    <t xml:space="preserve">saolun ıstmıyoruz dedı/ yetkili şehir dışında </t>
  </si>
  <si>
    <t>Abdulkadir Bilgiç</t>
  </si>
  <si>
    <t>6092c29467cf303f6bf7ccdb</t>
  </si>
  <si>
    <t>Tavalı Mutfak,Odunpazarı(Vadişehir Mah.)</t>
  </si>
  <si>
    <t>merkezle iletişime geçilecek</t>
  </si>
  <si>
    <t>61f4593bf6dc60164ac00295</t>
  </si>
  <si>
    <t>Tavuk Izgara, Odunpazarı (Arifiye Mah.)</t>
  </si>
  <si>
    <t>61e16afb09eec1723857fb37</t>
  </si>
  <si>
    <t>Tavuk Sanatı, Tepebaşı (Bahçelievler Mah.)</t>
  </si>
  <si>
    <t>Mail atacak</t>
  </si>
  <si>
    <t>6089bd4765feb0149477254f</t>
  </si>
  <si>
    <t>Tavux, Tepebaşı (Hoşnudiye Mah.)</t>
  </si>
  <si>
    <t>Hoşnudiye Mah. İsmet İnönü-1 Cad. No: 62 D Tepebaşı/Eskişehir</t>
  </si>
  <si>
    <t>61a7eb881f41ad4fa807bd7e</t>
  </si>
  <si>
    <t>Tepebaşı 33 Tantuni, Tepebaşı (Şirintepe Mah.)</t>
  </si>
  <si>
    <t>Muammer Kalay</t>
  </si>
  <si>
    <t>Şirintepe Mahallesi Gözüpek Sokak No: 5/B Tepebaşı Eskişehir</t>
  </si>
  <si>
    <t>601d2ea83a805a64b630a47b</t>
  </si>
  <si>
    <t>Terra Pizza - Pizza Pizza, Odunpazarı (Akarbaşı Mah.)</t>
  </si>
  <si>
    <t>AKARBAŞI MAH. ATATÜRK BULVARI 56/6 Eskişehir</t>
  </si>
  <si>
    <t>60c61a833f525cbbc8fb16fe</t>
  </si>
  <si>
    <t>The Box, Tepebaşı (Batıkent Mah.)</t>
  </si>
  <si>
    <t>Çamlıca Mah. Tombakzade Cad. No:116 A Tepebaşı / Eskişehir</t>
  </si>
  <si>
    <t>dç istemez / açmadı</t>
  </si>
  <si>
    <t>6207f6244eff26c2ed82cb23</t>
  </si>
  <si>
    <t>The Fix Coffee, Tepebaşı (Yenibağlar Mah.)</t>
  </si>
  <si>
    <t>Mert Can Dinççetin</t>
  </si>
  <si>
    <t>Yenibağlar Mah. Eti Cad. No:29 A Tepebaşı Eskişehir</t>
  </si>
  <si>
    <t>5f2c15079a39a72fd79c2855</t>
  </si>
  <si>
    <t>The Gonyalı Kebap &amp; Pide, Tepebaşı (Bahçelievler Mah.)</t>
  </si>
  <si>
    <t>Bahçelievler mah, Balkan Cd. No: 34/A, 26000 Tepebaşı/Eskişehir</t>
  </si>
  <si>
    <t>İŞLETME YETKİLİSİ KIVANÇ BEYMİŞ. HÜSEYİN BEY DEVİR ETMİŞ. SUAN DÜŞÜNMÜYORUM İSTERSEM ARAYIM SİZİ DEDİ İRTİBAT NO VERİLDİ.yetkili yok.</t>
  </si>
  <si>
    <t>5f33bafefb453fcd3b5c4810</t>
  </si>
  <si>
    <t>The One Burger (Eskibağlar Mah.)</t>
  </si>
  <si>
    <t>Eskibağlar, Genez Sk. 38/B, 26170 Tepebaşı/Eskişehir</t>
  </si>
  <si>
    <t>yetkili kişişu anda yok ben not alıyorum dçnüş yapsınlar der.</t>
  </si>
  <si>
    <t>Sevgi Alemdaroğlu</t>
  </si>
  <si>
    <t>serkan bey yetkili</t>
  </si>
  <si>
    <t>Yenibağlar Mah. Prof. Dr. Yılmaz Büyükerşen Blv. No :36 Tepebaşı / Eskişehir</t>
  </si>
  <si>
    <t>39/B - fatih bey</t>
  </si>
  <si>
    <t>621a5113d17437ee8f62d7e9</t>
  </si>
  <si>
    <t>Therapy Waffle, Tepebaşı (Hoşnudiye Mah.)</t>
  </si>
  <si>
    <t>Hürrem Yavuz</t>
  </si>
  <si>
    <t>HOŞNUDİYE MAH. MUSTAFA KEMAL ATATÜRK CAD. NO: 190 D TEPEBAŞI/ ESKİŞEHİR</t>
  </si>
  <si>
    <t xml:space="preserve">daha öncede görüştük istemiyorum dedi </t>
  </si>
  <si>
    <t>5ff7d897e348f66562a1f5c9</t>
  </si>
  <si>
    <t>Three Monkey Burger House, Odunpazarı (Ihlamurkent Mah.)</t>
  </si>
  <si>
    <t>iş yeri sahibi atıcak</t>
  </si>
  <si>
    <t>60c61c62baf01d87991c7e3a</t>
  </si>
  <si>
    <t>Three Monkey Burger House, Tepebaşı (Uluönder Mah.)</t>
  </si>
  <si>
    <t>Uluönder Mah. Salih Bozok Cad. No:3 C Tepebaşı / Eskişehir</t>
  </si>
  <si>
    <t>13:00den sonra aranacak/5315145798/şirket halledıyor dedı</t>
  </si>
  <si>
    <t>60e75dd63160b1d93510ce0b</t>
  </si>
  <si>
    <t>Three Monkey's Burger House, Odunpazarı (Kurtuluş Mah.)</t>
  </si>
  <si>
    <t>KURTULUŞ MAH. ZİYA PAŞA CAD. NO: 25 C ODUNPAZARI/ ESKİŞEHİR</t>
  </si>
  <si>
    <t xml:space="preserve">10 dk ya aranacak - elinde fotografları varmıs maili adresi verildi/mail atıldı </t>
  </si>
  <si>
    <t>5f333a50c159862e7c918d00</t>
  </si>
  <si>
    <t>Three Monkeys Burger House (Güllük Mah.)</t>
  </si>
  <si>
    <t>Güllük, Bacı Sk. No:8, 26170 Tepebaşı/Eskişehir</t>
  </si>
  <si>
    <t>iş yeri sahibi atıcak/yt yok döncekler</t>
  </si>
  <si>
    <t>RESİMLERİM YETERLİ DEVAM ÇEKİMİ İSTEMİYORUM DEDİ.</t>
  </si>
  <si>
    <t>ÇEKİMİ YAPILMIŞ DİĞER KALAN ÜRÜN İÇİN RAMAZANDAN SONRA DÜŞÜNELİM DEDİ./Devam çekimi ileride randevu için aranacak</t>
  </si>
  <si>
    <t>Sayedmohammad Mırtaleb Esfarjanı</t>
  </si>
  <si>
    <t xml:space="preserve">ÇEKİM GERÇEKLEŞMİŞ. / devam çekimi alındı </t>
  </si>
  <si>
    <t>(ÇEKİM DEVAMI)5061435585</t>
  </si>
  <si>
    <t>5f33e0c1bdf9f88bd3222b5a</t>
  </si>
  <si>
    <t>TK Tat Kanatçı, İstiklal</t>
  </si>
  <si>
    <t>istiklal mh, Adalar Sk. No:8-A, 26000 Odunpazarı/Eskişehir</t>
  </si>
  <si>
    <t>mail verildi/ 5323823865</t>
  </si>
  <si>
    <t>6023d69bed5d4eb8ff3c13ed</t>
  </si>
  <si>
    <t>Tombik Et ve Tavuk Döner, Tepebaşı (Hoşnudiye)</t>
  </si>
  <si>
    <t>Hoşnudiye, Kadife Çiçeği Sk. No:1A, 26100 Tepebaşı/Eskişehir</t>
  </si>
  <si>
    <t>6081a667c14c89dd6a9ca3ed</t>
  </si>
  <si>
    <t>Tospik Tost, Odunpazarı (Büyükdere Mah.)</t>
  </si>
  <si>
    <t>Büyükdere Mah. Millet Cad. No:73 A Odunpazarı/ Eskişehir</t>
  </si>
  <si>
    <t>renstorantımızın adı değişti bölge sorumlusu Gökhan bey uygulamadaki paneli kapatmak yerine devir yapmış diğer panel de fotoğraflar var ordan alınıp yüklecek ama ilgilenen yok Gökhan beyin bizi taktığı yok diyerek serzenişte bulundu</t>
  </si>
  <si>
    <t>mücahit bey 5415713662 /ÖZLEM  MAİL ATILDI</t>
  </si>
  <si>
    <t>607986b9191de0e0d3a14be4</t>
  </si>
  <si>
    <t>Tostçu Abla , Tepebaşı ( Hoşnudiye Mah.)</t>
  </si>
  <si>
    <t>YANLIŞ NUMARA</t>
  </si>
  <si>
    <t>5f9cb03285129f89dd7817a7</t>
  </si>
  <si>
    <t>Tostizzza Express, İstiklal</t>
  </si>
  <si>
    <t>İstiklal Mah. Yalaman Sk. No:1 A Odunpazarı/Eskişehir</t>
  </si>
  <si>
    <t xml:space="preserve">mail verildi /mail atmayı unutmuş 1 2  gün içerisinde atacaklar </t>
  </si>
  <si>
    <t>5f33bd98777d73611441668b</t>
  </si>
  <si>
    <t>Tostmodern, Tepebaşı (Eskibağlar Mah.)</t>
  </si>
  <si>
    <t>Eskibağlar, Yenilik Sk. No:41, 26170, 26170 Tepebaşı/Eskişehir</t>
  </si>
  <si>
    <t>ses vermiyo</t>
  </si>
  <si>
    <t>Recep Ziya Toros</t>
  </si>
  <si>
    <t>TEYİT İÇİN ARANDI ÇEKİM GERÇEKLEŞMİŞ / Kadir Bey 5055617236 Bugün müsait değilim yarın ara dedi</t>
  </si>
  <si>
    <t>623d9bdcf6229eb9da15ef76</t>
  </si>
  <si>
    <t>U. S Fast Food, Odunpazarı (Büyükdere Mah.)</t>
  </si>
  <si>
    <t>ULAŞ GÜMÜŞ</t>
  </si>
  <si>
    <t>60c0db39cfd592424758a2a4</t>
  </si>
  <si>
    <t>Unique Breakfast &amp; Cafe,Tepebaşı( Eskibağlar Mah.)</t>
  </si>
  <si>
    <t>Eskibağlar Mah. Genez Sok. No:53 A Tepebaşı / Eskişehir</t>
  </si>
  <si>
    <t>uygun değilmiş</t>
  </si>
  <si>
    <t>5308919026/TEYİT İÇİN ARANDI ÇEKİM GERÇEKLEŞMİŞ / Devam çekimi alındı / devam çekimi iptal İptal sebebi saat 2 ye randevu istiyor ileri zamanda yapalım ama saat 2 de olsun diyor</t>
  </si>
  <si>
    <t xml:space="preserve">yarım saate ara / tadilata girmiş </t>
  </si>
  <si>
    <t>602275bd468b465d706c40c8</t>
  </si>
  <si>
    <t>Urfalı Kardeşler, Odunpazarı (Sümer Mah.)</t>
  </si>
  <si>
    <t>Sümer Mah. Atatürk Blv. No: 130/A Odunpazarı/Eskişehir</t>
  </si>
  <si>
    <t>hiç istekli değildi istemedi3</t>
  </si>
  <si>
    <t>6059d978dd0543811a95f76a</t>
  </si>
  <si>
    <t>Ustha Pide &amp; Kebap &amp; Lahmacun, Odunpazarı (Deliklitaş Mah.)</t>
  </si>
  <si>
    <t>Arifiye Mah. Hamamyolu Cad. No: 76 B Odunpazarı/ Eskişehir</t>
  </si>
  <si>
    <t xml:space="preserve">açmadı / 5323137276 beklan bey hastanedetymiş daha sonra aranacak/ 1 ay sonra aranacak </t>
  </si>
  <si>
    <t>62509aeb5d1046f2052f31f5</t>
  </si>
  <si>
    <t>Ayşe Eker</t>
  </si>
  <si>
    <t>Şirintepe Mah. Yaylapınar Sok. No:7 A Tepebaşı Eskişehir</t>
  </si>
  <si>
    <t>622750401caa5209a6958b6a</t>
  </si>
  <si>
    <t>Ünvermiş Baklavaları, Tepebaşı (Hoşnudiye Mah.)</t>
  </si>
  <si>
    <t>AHMET TOPRAK</t>
  </si>
  <si>
    <t>hoşnudiye mah . başak sok. no1 tepebaşı /eskişehir</t>
  </si>
  <si>
    <t>618c037c6fd0a71b45a27776</t>
  </si>
  <si>
    <t>Üsküp Köfte, Odunpazarı (Ihlamurkent Mah.)</t>
  </si>
  <si>
    <t>Sibel Güvenç</t>
  </si>
  <si>
    <t>Ihlamurkent Mah. Nilüfer Cad. No:22 A Odunpazarı Eskişehir</t>
  </si>
  <si>
    <t>hatice hanım mail verildi</t>
  </si>
  <si>
    <t>61c4db473ce9fe7a7f30258d</t>
  </si>
  <si>
    <t>Üsküp Köfte, Tepebaşı (Uluönder Mah.)</t>
  </si>
  <si>
    <t>Uluönder Mah Salih Bozok Cad No:4/C Tepebaşı- Eskişehir</t>
  </si>
  <si>
    <t>geçersiz numara/ulasılmadı</t>
  </si>
  <si>
    <t>623f335c77a1ae27fa8140eb</t>
  </si>
  <si>
    <t>Vatan Döner, Odunpazarı (Kurtuluş Mah.)</t>
  </si>
  <si>
    <t>Yücel Karapınar</t>
  </si>
  <si>
    <t>Kurtuluş Mah. Vatan Cad. ODUNPAZARI/ESKİŞEHİR</t>
  </si>
  <si>
    <t>5f9cd77f4f83053ff4f7b5eb</t>
  </si>
  <si>
    <t>Vegan Eskişehir, Odunpazarı (Deliklitaş Mah.)</t>
  </si>
  <si>
    <t>Deliklitaş mah. Prof.Dr.İlhan Cemalciler sok. No:2/A Odunpazarı/Eskişehir</t>
  </si>
  <si>
    <t xml:space="preserve">0554 596 56 28 / getir ile problemleri varmış bu yüzden istemiyorum dedi </t>
  </si>
  <si>
    <t>Adnan Tüylü</t>
  </si>
  <si>
    <t>5f6ba94fd670cf222fe12b8c</t>
  </si>
  <si>
    <t>Very Berry Bakery, Tepebaşı (Eskibağlar Mah.)</t>
  </si>
  <si>
    <t>Eskibağlar mah. Tüt Sok. B blok No: 9 Tepebaşı /Eskişehir</t>
  </si>
  <si>
    <t>Burak Baydur</t>
  </si>
  <si>
    <t>5492211982 devam çekimi alındı. / devam çekimi iptal olmuş</t>
  </si>
  <si>
    <t>6149af8a87c8ffc185bc8922</t>
  </si>
  <si>
    <t>Volvoks Cafe &amp; Bistro, Odunpazarı (Arifiye Mah.)</t>
  </si>
  <si>
    <t>Arifiye Mah. Bilir Sok. No:15 A Odunpazarı/Eskişehir</t>
  </si>
  <si>
    <t xml:space="preserve">elim dolu müsait degilim dedi 30 dk ya aranacak / 4390 sakın aramayın bu numarayı şikayetçi </t>
  </si>
  <si>
    <t>Cihangir Akman</t>
  </si>
  <si>
    <t>6079ba9fd4c52428046175a7</t>
  </si>
  <si>
    <t>Walker's Coffee House, Odunpazarı (Vişnelik Mah.)</t>
  </si>
  <si>
    <t>Vişnelik Mahalledi Atatürk Bulvarı 177/B Odunpazarı-Eskişehir</t>
  </si>
  <si>
    <t>5ff2242ef351dca85f68236f</t>
  </si>
  <si>
    <t>Walker's Coffee House, Tepebaşı (Eskibağlar Mah.)</t>
  </si>
  <si>
    <t>Eskibağlar Mah. Hatboyu-1 Cad. No:9/D Tepebaşı/Eskişehir</t>
  </si>
  <si>
    <t>61b67e157f67733ad13a2398</t>
  </si>
  <si>
    <t>Wanted Pizza &amp; Burger, Tepebaşı (Batıkent Mah.)</t>
  </si>
  <si>
    <t>CİHAN DURMUŞ</t>
  </si>
  <si>
    <t>Batıkent Mahallesi Liman Caddesi 24/A Tepebaşı Eskişehir</t>
  </si>
  <si>
    <t>5062860106 / 2 saat sonra ara der/kndılerı donus saglıycaklr</t>
  </si>
  <si>
    <t>Hoşnudiye Mahallesi, Siloönü Sokak No:16/A, 26130 Tepebaşı/Eskişehir</t>
  </si>
  <si>
    <t>tadilatları halen devam ediyormuş daha sonra tekrar görüşülecek/ açmadı</t>
  </si>
  <si>
    <t>Büyükdere, Millet Cd., 26040 Odunpazarı/Eskişehir</t>
  </si>
  <si>
    <t>no101/A 5301103326/2 saat sonra aranılck/dıger subesındekı footograflar kullanılck</t>
  </si>
  <si>
    <t>dç istemez şikayetleri de var</t>
  </si>
  <si>
    <t>61f44de026a9a30ad716edb6</t>
  </si>
  <si>
    <t>Yaprak Döner &amp; Tantuni, Tepebaşı (Çamlıca Mah.)</t>
  </si>
  <si>
    <t>Necip Örkün</t>
  </si>
  <si>
    <t>Çamlıca Mahallesi Birlik Cad. No:80 A Tepebaşı Eskişehir</t>
  </si>
  <si>
    <t>Necip Bey 5383161602 / Şimdi değil olacağı zaman ben size dönerim dedi</t>
  </si>
  <si>
    <t>yt yok 10 dk sonra DEVAM İSTEMİYOR MAİL VERİLDİ</t>
  </si>
  <si>
    <t>ileride devam çekimi için aranacak</t>
  </si>
  <si>
    <t>takvimde fotoğrafçı fatih likoğlu devam çekimi olarak alındı//mekanı bahçel olduğu için yağmurdan dolayı iptal edildi ilerleyen günlerde yeni randevu istiyor- yazın randevu istiyor dedi / yaz firmasılarmış tam kapasitemiz yazın oluyor dedi o zaman yapalım çekimi dedi</t>
  </si>
  <si>
    <t>Şehir dışında yetkili/yetkili öğleden sonra gelirmiş/yarın aranılck tekrardan yt yok/ Ali bey ile görüşüldü 5538970526</t>
  </si>
  <si>
    <t>Zeynel Keskin</t>
  </si>
  <si>
    <t>6250923236ad5c053e5c1565</t>
  </si>
  <si>
    <t>Yiyido Kızarmış Piliç Çevirme, Odunpazarı (Arifiye Mah.)</t>
  </si>
  <si>
    <t>Alime Karanfil</t>
  </si>
  <si>
    <t>Arife mahallesi tayfun sokak 37 b Odunpazarı Eskişehir</t>
  </si>
  <si>
    <t xml:space="preserve">devam çekimi istemiyor  </t>
  </si>
  <si>
    <t>62274546d0bbcded09c22dfb</t>
  </si>
  <si>
    <t>Yörük Çadırı, Odunpazarı (Büyükdere Mah.)</t>
  </si>
  <si>
    <t>Hüseyin Karaağaç</t>
  </si>
  <si>
    <t>Büyükdere Mah. Millet Cad. No:15 A Odunpazarı Eskişehir</t>
  </si>
  <si>
    <t xml:space="preserve">diğer şubede çekilmiş </t>
  </si>
  <si>
    <t xml:space="preserve">TEYİT İÇİN ARANDI ÇEKİM GERÇEKLEŞMİŞ/devam çekimi </t>
  </si>
  <si>
    <t xml:space="preserve">Ürün çekimleri eksik tamamlanacak % 57 oranında/devam çekimi randevusu oluşturuldu/devam çekimi istemiyoruz çekilenler yeterli dediler / devm çekimi iptal olmuş </t>
  </si>
  <si>
    <t>61b7298c33320b2bf727bf0d</t>
  </si>
  <si>
    <t>Zeplin Burger House, Odunpazarı (Arifiye Mah.)</t>
  </si>
  <si>
    <t>sistemi yeni açtığım için menü de değişiklik gerçekleşmesi gerek onlar gerçekleşsin ondan sonra ben sizi ararım der</t>
  </si>
  <si>
    <t>Şeker</t>
  </si>
  <si>
    <t>Uğur beyden randevu alındı.</t>
  </si>
  <si>
    <t>61f43eca629ed57143c7a2de</t>
  </si>
  <si>
    <t>Zerafet Döner, Odunpazarı (Yenidoğan Mah.)</t>
  </si>
  <si>
    <t>Serkan Tunç</t>
  </si>
  <si>
    <t>YENİDOĞAN MAH. 1.DÖKÜMCÜLER SOK NO:26 ODUNPAZARI ESKİŞEHİR</t>
  </si>
  <si>
    <t>Eksik ürünlerin çekimleri yapılacak%89 oranında eksiklik var./ onur bey : 05427103284</t>
  </si>
  <si>
    <t>623daa03cfca5d36d15e02b4</t>
  </si>
  <si>
    <t>Zeze Meze, Tepebaşı (Aşağı Söğütönü Mah.)</t>
  </si>
  <si>
    <t>SÜREYYA PERİSANİ TUNÇ</t>
  </si>
  <si>
    <t>Aşağı Söğütönü</t>
  </si>
  <si>
    <t>AŞAĞI SÖĞÜTÖNÜ MAH. 1500 BLV. NO: 15 D TEPEBAŞI/ ESKİŞEHİR</t>
  </si>
  <si>
    <t>5fcf2cffcef434bc625f8d08</t>
  </si>
  <si>
    <t>Zuzu Kokoreç &amp; Fast Food, Tepebaşı (Batıkent Mah.)</t>
  </si>
  <si>
    <t>Batıkent Mah. Şehit Nedim Sarı Sok. No:38/A D:2</t>
  </si>
  <si>
    <t>Dönecek/ açmadı./ açmadı.açmadı.</t>
  </si>
  <si>
    <t>Bölge sorumlusu iletişime geçecek// istemiyorum uygun görürsem ben dönerim der</t>
  </si>
  <si>
    <t>COUNTA / Restaurant ID</t>
  </si>
  <si>
    <t>Toplam Rest</t>
  </si>
  <si>
    <t>Genel Toplam</t>
  </si>
  <si>
    <t>Fotoğraflı</t>
  </si>
  <si>
    <t>%</t>
  </si>
  <si>
    <t>Top. Rest</t>
  </si>
  <si>
    <t>İptal Oranı</t>
  </si>
  <si>
    <t>Ürün Adet</t>
  </si>
  <si>
    <t>0-25</t>
  </si>
  <si>
    <t>25+</t>
  </si>
  <si>
    <t>Lokasyon Uzak</t>
  </si>
  <si>
    <t>0-20%</t>
  </si>
  <si>
    <t>Haziran'da Aranacak</t>
  </si>
  <si>
    <t>21-50%</t>
  </si>
  <si>
    <t>51-80%</t>
  </si>
  <si>
    <t>&gt;80%</t>
  </si>
  <si>
    <t>Fotoğrafı Var</t>
  </si>
  <si>
    <t>TOPLAM</t>
  </si>
  <si>
    <t>Randevu Başarı %</t>
  </si>
  <si>
    <t>COUNTA / İLÇE</t>
  </si>
  <si>
    <t>Eklendi mi</t>
  </si>
  <si>
    <t>DOĞRU</t>
  </si>
  <si>
    <t>Geleneksel</t>
  </si>
  <si>
    <t>Obur Fast Food (Büyükdere Mah.)</t>
  </si>
  <si>
    <t>AHMET ÜSTÜN</t>
  </si>
  <si>
    <t>BEKLAN GENCER</t>
  </si>
  <si>
    <t>Wopsow Burger, Tepebaşı (Güllük Mah.)</t>
  </si>
  <si>
    <t>TURHAN GÜVENÇ SAYAN</t>
  </si>
  <si>
    <t>Eren Göker</t>
  </si>
  <si>
    <t>İstiklal Mah., Başarılı Sok., No:10, Odunpazarı, Eskişehir, Türkiye,</t>
  </si>
  <si>
    <t>KADRİYE ÇELİKOĞLU</t>
  </si>
  <si>
    <t>Murat Erken</t>
  </si>
  <si>
    <t>Gaziantep Cennet Pide &amp; Lahmacun (Vişnelik Mah.)</t>
  </si>
  <si>
    <t>MEHMET YALPI</t>
  </si>
  <si>
    <t>Gaziantepli Duygu Pide &amp; Kebap (Kurtuluş Mah.)</t>
  </si>
  <si>
    <t>YAKUP TUNÇKAYA</t>
  </si>
  <si>
    <t>HÜLYA DEMİR</t>
  </si>
  <si>
    <t>Özgür Demirtaş</t>
  </si>
  <si>
    <t>MURAT YAŞAR ERAT</t>
  </si>
  <si>
    <t>AHMET DURUEL</t>
  </si>
  <si>
    <t>Abur Cubur Pizza (Eskibağlar Mah.)</t>
  </si>
  <si>
    <t>AHMET İSMAİL YAŞAR</t>
  </si>
  <si>
    <t>İLYAS BOZKURT</t>
  </si>
  <si>
    <t>MURAT DALBAK</t>
  </si>
  <si>
    <t>ZEYNEP KAHRAMAN</t>
  </si>
  <si>
    <t>Park Kumpir &amp; Döner (İstiklal Mah.)</t>
  </si>
  <si>
    <t>5f367796f7ff4246d22a91fb</t>
  </si>
  <si>
    <t>Little Caesars, Akarbaşı (Atatürk Bulvarı)</t>
  </si>
  <si>
    <t>Aykut Kızılay</t>
  </si>
  <si>
    <t>Akarbaşı Mah.Atatürk Bulvarı.No:38/A Odunpazarı / ESKİŞEHİR</t>
  </si>
  <si>
    <t>Key</t>
  </si>
  <si>
    <t>ERMAN ACAY</t>
  </si>
  <si>
    <t>Eskisehir Osmangazi Üniversitesi Meselik Yerleşkesi 2. Bölge</t>
  </si>
  <si>
    <t>İsmail Korkmaz</t>
  </si>
  <si>
    <t>YASEV ÇETİNKAYA</t>
  </si>
  <si>
    <t>Acayip Patso &amp; Sandwich (Yenibağlar Mah.)</t>
  </si>
  <si>
    <t>ALİ KARGA</t>
  </si>
  <si>
    <t>REMZİ HAKBİLEN</t>
  </si>
  <si>
    <t>YANLIŞ</t>
  </si>
  <si>
    <t>BİLAL OKAN</t>
  </si>
  <si>
    <t>ÖZLEM ŞİDE</t>
  </si>
  <si>
    <t>MERVE TINMAZ</t>
  </si>
  <si>
    <t>Soner AKAGÜNDÜZ</t>
  </si>
  <si>
    <t>Ciğerci Sedat (Kurtuluş Mah.)</t>
  </si>
  <si>
    <t>SEDAT YAKAN</t>
  </si>
  <si>
    <t>İçem Kokoreç, Odunpazarı (Sütlüce Mah.)</t>
  </si>
  <si>
    <t>ALİ KOCADAĞ</t>
  </si>
  <si>
    <t>Anadolu Üniversitesi</t>
  </si>
  <si>
    <t>HAKAN ADALIOĞLU</t>
  </si>
  <si>
    <t>Köfteci Ali (Hoşnudiye Mah.)</t>
  </si>
  <si>
    <t>AYŞE KELEBEK</t>
  </si>
  <si>
    <t>ŞERİFE BURCU ÖZEGE</t>
  </si>
  <si>
    <t>BÜYÜKDERE MAH. NİSAN SK. NO: 29 D ODUNPAZARI/ ESKİŞEHİR</t>
  </si>
  <si>
    <t>Ebru Atak</t>
  </si>
  <si>
    <t>ALİ ÇUBUK</t>
  </si>
  <si>
    <t>Elif Başer</t>
  </si>
  <si>
    <t>Burcu Baran</t>
  </si>
  <si>
    <t>Abone Mersin Tantuni (Arifiye Mah.)</t>
  </si>
  <si>
    <t>İlyas Uzun</t>
  </si>
  <si>
    <t>MUHTULLAH ŞAM</t>
  </si>
  <si>
    <t>Mehmet Önal</t>
  </si>
  <si>
    <t>Atomcu (Hoşnudiye Mah.)</t>
  </si>
  <si>
    <t>BURAK HAZIM</t>
  </si>
  <si>
    <t>Damak Tantuni (İstiklal Mah.)</t>
  </si>
  <si>
    <t>AHMET SERTKAL</t>
  </si>
  <si>
    <t>SERKAN ALTAY</t>
  </si>
  <si>
    <t>Cafer Er</t>
  </si>
  <si>
    <t>SEVİL İNLER</t>
  </si>
  <si>
    <t>YAŞAR KİRAZ</t>
  </si>
  <si>
    <t>Vişnelik, Öğretmenler Blv no:13/E, 26020 Odunpazarı/Eskişehir</t>
  </si>
  <si>
    <t>5f36335364610e46fe605a7e</t>
  </si>
  <si>
    <t>McDonald's, Yenibağlar</t>
  </si>
  <si>
    <t>Ömer Tarık Güney</t>
  </si>
  <si>
    <t>Yenibağlar Mh. Üniversite CD. No:112 / A Eskişehir</t>
  </si>
  <si>
    <t>HOSSEIN DELAVANDANI</t>
  </si>
  <si>
    <t>İçel Mersin Tantuni (Kurtuluş Mah.)</t>
  </si>
  <si>
    <t>AHMET MUSAB TÜRKYILMAZ</t>
  </si>
  <si>
    <t>SERCAN GÜNAY</t>
  </si>
  <si>
    <t>ENGİN MEHMET AKIN</t>
  </si>
  <si>
    <t>mehmet tüfenk</t>
  </si>
  <si>
    <t>BURCU MALKOÇ</t>
  </si>
  <si>
    <t>HİDAYET IŞIK</t>
  </si>
  <si>
    <t>Nazife Şengür</t>
  </si>
  <si>
    <t>5f6cf85553d9042f908a5dd3</t>
  </si>
  <si>
    <t>Komagene Etsiz Çiğ Köfte, Ihlamurkent</t>
  </si>
  <si>
    <t>Esra Gonca Parlar</t>
  </si>
  <si>
    <t>IHLAMURKENT MH. NEVRUZ CD. NO:51/C</t>
  </si>
  <si>
    <t>5f6bb343361cb3a793c8fb42</t>
  </si>
  <si>
    <t>Komagene Etsiz Çiğ Köfte, Tepebaşı (Tombakzade Cad.)</t>
  </si>
  <si>
    <t>ÇAMLICA MAH. TOMBAKZADE CD. NO:75/A</t>
  </si>
  <si>
    <t>İDRİS NEBİ GÜVENDİ</t>
  </si>
  <si>
    <t>Fellas Burger &amp; Fried Chicken (Eskibağlar Mah.)</t>
  </si>
  <si>
    <t>Selçuk Yeni</t>
  </si>
  <si>
    <t>Ömer Faruk Özdemirli</t>
  </si>
  <si>
    <t>Löp Löp Dürüm &amp; Sandviç (Bahçelievler Mah.)</t>
  </si>
  <si>
    <t>Safiye Ermiş</t>
  </si>
  <si>
    <t>İSMAİL ERDEM</t>
  </si>
  <si>
    <t>SENA GÜR</t>
  </si>
  <si>
    <t>Mehmet Tüfenk</t>
  </si>
  <si>
    <t>Crazy Chicken Sis (Güllük Mah.)</t>
  </si>
  <si>
    <t>Özgür Marankoz</t>
  </si>
  <si>
    <t>Sağlık Pide &amp; Kebap &amp; Döner (İstiklal Mah.)</t>
  </si>
  <si>
    <t>REMZİ İDEM</t>
  </si>
  <si>
    <t>Sağlık Pide &amp; Kebap &amp; Döner (Yenibağlar Mah.)</t>
  </si>
  <si>
    <t>Sosoreç (İstiklal Mah.)</t>
  </si>
  <si>
    <t>5f6cfa0596c8ed2fc935e0cb</t>
  </si>
  <si>
    <t>Komagene Etsiz Çiğ Köfte, Büyükdere (Kaplanlı Cad.)</t>
  </si>
  <si>
    <t>BÜYÜKDERE MH. KAPLANLI CD. NO:13 / B</t>
  </si>
  <si>
    <t>5f6bb09eed5c1b3b2596d7fd</t>
  </si>
  <si>
    <t>Komagene Etsiz Çiğ Köfte, Tepebaşı (Cengiz Topel Cad.)</t>
  </si>
  <si>
    <t>HOŞNUDİYE MH. CENGİZ TOPEL CD. NO:52/A</t>
  </si>
  <si>
    <t>5f6ba61aed5c1b3aa196d7df</t>
  </si>
  <si>
    <t>Komagene Etsiz Çiğ Köfte, Çamlıca</t>
  </si>
  <si>
    <t>ÇAMLICA MH. BİRLİK CD. NO:6/B</t>
  </si>
  <si>
    <t>Delly Tavuk Mangal Izgara Köfte , Tepebaşı (Güllük Mah.)</t>
  </si>
  <si>
    <t>SERKAN AKKOL</t>
  </si>
  <si>
    <t>5f8564df8c38c8a8fbb54345</t>
  </si>
  <si>
    <t>Komagene Etsiz Çiğ Köfte, Yenibağlar</t>
  </si>
  <si>
    <t>YENİ BAĞLAR MH. ÜNİV. CD. NO:90/D</t>
  </si>
  <si>
    <t>Yanık Mangal (Büyükdere Mah.)</t>
  </si>
  <si>
    <t>TOLGAY GÖKKILIÇ</t>
  </si>
  <si>
    <t>Hosseın Delavandanı</t>
  </si>
  <si>
    <t>NAZAN ULUPINAR</t>
  </si>
  <si>
    <t>ÇETİN ÖZER</t>
  </si>
  <si>
    <t>KEVSER SİPAHİOĞLU</t>
  </si>
  <si>
    <t>TEZCAN KILINÇ</t>
  </si>
  <si>
    <t>İbrahim Öksüz</t>
  </si>
  <si>
    <t>5f6bb76170dd0e81c6c110ea</t>
  </si>
  <si>
    <t>Komagene Etsiz Çiğ Köfte, Vişnelik</t>
  </si>
  <si>
    <t>VİŞNELİK MH. ATATÜRK BLV SÖNMEZ APT. NO:84/B</t>
  </si>
  <si>
    <t>5f6cf5cdb410ed349806b074</t>
  </si>
  <si>
    <t>Komagene Etsiz Çiğ Köfte, Gültepe (T. Güngör Cad.)</t>
  </si>
  <si>
    <t>GÜLTEPE MH. SEYİTGAZİ CD. NO:180/A</t>
  </si>
  <si>
    <t>5f6baceeb46f9419f2615ec5</t>
  </si>
  <si>
    <t>Komagene Etsiz Çiğ Köfte, Tepebaşı (Kızılcıklı Cad.)</t>
  </si>
  <si>
    <t>HOŞNUDİYE MH. KIZILCIKLI M.PEHLİVAN CD. NO: 39 B</t>
  </si>
  <si>
    <t>Cafe De Paris (Kırmızıtoprak Mah.)</t>
  </si>
  <si>
    <t>FAZIL YILDIRIM</t>
  </si>
  <si>
    <t>Beyoğlu Crispy Chicken &amp; Burger (Büyükdere Mah.)</t>
  </si>
  <si>
    <t>MUZAFFER ÖKSÜZ</t>
  </si>
  <si>
    <t>5f85e915e6660d4faa333869</t>
  </si>
  <si>
    <t>Komagene Etsiz Çiğ Köfte (Kurtuluş Mah.)</t>
  </si>
  <si>
    <t>KURTULUŞ MAH. CUMHURİYET BLV. NO:108/A</t>
  </si>
  <si>
    <t>Barış Çalık</t>
  </si>
  <si>
    <t>MESUT GENÇYILMAZ</t>
  </si>
  <si>
    <t>5f8963ce578807203340d3c2</t>
  </si>
  <si>
    <t>Crakers Pizza (Eskibağlar Mah.)</t>
  </si>
  <si>
    <t>Tarık Durgun</t>
  </si>
  <si>
    <t>Eskibağlar Yılmaz Büyükerşen Bulvarı Espark Avm Kat:2 No:203 Tepebaşı/Eskişehir</t>
  </si>
  <si>
    <t>SAADET AVCI</t>
  </si>
  <si>
    <t>ISMAHAN TUZYURDU</t>
  </si>
  <si>
    <t>ABDURRAHMAN KARAÇOR</t>
  </si>
  <si>
    <t>TUBA YILDIRIM</t>
  </si>
  <si>
    <t>SERHAN KUM</t>
  </si>
  <si>
    <t>Mehmet Ali Kuru</t>
  </si>
  <si>
    <t>MUSTAFA TÜRKOĞLU</t>
  </si>
  <si>
    <t>Bi-Nazır Pizza (Büyükdere Mah.)</t>
  </si>
  <si>
    <t>MURAT APAYDIN</t>
  </si>
  <si>
    <t>ÖMER BULUT</t>
  </si>
  <si>
    <t>Mersin 26 Tantuni (Büyükdere Mah.)</t>
  </si>
  <si>
    <t>ADEM KESKİN</t>
  </si>
  <si>
    <t>KEMAL UÇAK</t>
  </si>
  <si>
    <t>HALİL DEMİRKALA</t>
  </si>
  <si>
    <t>Wanted Saloon &amp; Pizza (Hoşnudiye Mah.)</t>
  </si>
  <si>
    <t>GÖNÜL SEZEN</t>
  </si>
  <si>
    <t>Batıkent, Ertürkoğlu Sk. No:16A, 26180 Tepebaşı/Eskişehir</t>
  </si>
  <si>
    <t>GÜNSELİ TAŞDELEN</t>
  </si>
  <si>
    <t>İSMAİL GÖLÜKÇÜ</t>
  </si>
  <si>
    <t>Yıldız Şenen</t>
  </si>
  <si>
    <t>Fatih Çolak</t>
  </si>
  <si>
    <t>İZZET KAYALI</t>
  </si>
  <si>
    <t>SAMET DEMLİ</t>
  </si>
  <si>
    <t>Tuğçe İlayda Gökalp</t>
  </si>
  <si>
    <t>Adıyamanlı Çiğ Köfteci Kemal Usta (Tunalı Mah.)</t>
  </si>
  <si>
    <t>SERDAR KALPAKLI</t>
  </si>
  <si>
    <t>TUĞFAN ALPEREN YILDIZ</t>
  </si>
  <si>
    <t>5f6ba8cc97e03c46e2d4316f</t>
  </si>
  <si>
    <t>Komagene Etsiz Çiğ Köfte, Tepebaşı (Sütlüce Mah.)</t>
  </si>
  <si>
    <t>SÜTLÜCE MH. EĞİTİMCİLER CD. NO:89/D</t>
  </si>
  <si>
    <t>5f6ba0669061b1a70d2d9f10</t>
  </si>
  <si>
    <t>Komagene Etsiz Çiğ Köfte, Uluönder</t>
  </si>
  <si>
    <t>ULUÖNDER MH. SALİH BOZOK CD. 3/A</t>
  </si>
  <si>
    <t>5f6ba39c6bbc8a06ca07a49e</t>
  </si>
  <si>
    <t>Komagene Etsiz Çiğ Köfte, Batıkent</t>
  </si>
  <si>
    <t>BATIKENT MH. GÜNDÜZÖKÇÜN BLV. 7/C</t>
  </si>
  <si>
    <t>5f7471f132054a3d77430860</t>
  </si>
  <si>
    <t>Little Caesars, Tepebaşı (Yenibağlar Mah.)</t>
  </si>
  <si>
    <t>Yenibağlar Mah. Doktor Yılmaz Büyükerşen Cd. (Üniversite Cd.) Maliyeciler Sitesi 152/B Tepebaşı/Eskişehir</t>
  </si>
  <si>
    <t>Adanalı Dürümcü Soner Usta (Eskibağlar Mah.)</t>
  </si>
  <si>
    <t>SONER COŞMAN</t>
  </si>
  <si>
    <t>VF Waffle (Hoşnudiye Mah.)</t>
  </si>
  <si>
    <t>VELİ TURAN</t>
  </si>
  <si>
    <t>5f85ed86c1a1226bdd097cc0</t>
  </si>
  <si>
    <t>Komagene Etsiz Çiğ Köfte, Ertuğrulgazi (Şahin Cad.)</t>
  </si>
  <si>
    <t>ERTUĞRULGAZİ MAH. ALİYA İZZETBEGOVİÇ CAD. NO:15/ B TEPEBAŞI ESKİŞEHİR</t>
  </si>
  <si>
    <t>Servet Steak House, Odunpazarı (Büyükdere Mah.)</t>
  </si>
  <si>
    <t>OSMAN KOYUNCU</t>
  </si>
  <si>
    <t>Oso Kebap &amp; Etli Ekmek, Odunpazarı (Büyükdere Mah.)</t>
  </si>
  <si>
    <t>ALPER BALCI</t>
  </si>
  <si>
    <t>Dönerus İskenderun Döneri (Büyükdere Mah.)</t>
  </si>
  <si>
    <t>Ciğerci Sedat (Yenibağlar Mah.)</t>
  </si>
  <si>
    <t>Adıyamanlı Çiğ Köfteci, Odunpazarı (Akarbaşı Mah.)</t>
  </si>
  <si>
    <t>BURAK AÇIL</t>
  </si>
  <si>
    <t>ÖMER YETİK</t>
  </si>
  <si>
    <t>Tostizzza Express (İstiklal Mah.)</t>
  </si>
  <si>
    <t>Emre Yücel</t>
  </si>
  <si>
    <t>FİLİZ CENGİZ</t>
  </si>
  <si>
    <t>5fb2ceb075d20d1eb8bbd82b</t>
  </si>
  <si>
    <t>Komagene Etsiz Çiğ Köfte, Odunpazarı (Akcami Mah.-Atatürk Bulv.)</t>
  </si>
  <si>
    <t>AKCAMİ MH. ATATÜRK BLV. NO:5/B</t>
  </si>
  <si>
    <t>Vegan Eskişehir, Tepebaşı (Eskibağlar Mah.)</t>
  </si>
  <si>
    <t>İPEK ÇUBUK</t>
  </si>
  <si>
    <t>Eskibağlar Mah. Yenilik Sok. No:22/A Tepebaşı / Eskişehir</t>
  </si>
  <si>
    <t>SUAT KARADAĞ</t>
  </si>
  <si>
    <t>5f329023d6022777b3d31385</t>
  </si>
  <si>
    <t>Tavalı Mutfak, Tepebaşı (Yenibağlar Mah.)</t>
  </si>
  <si>
    <t>ŞÜKRÜ TAŞDELEN</t>
  </si>
  <si>
    <t>Yenibağlar, Üniversitesi Caddesi No:110/A, 26100 Tepebaşı/Eskişehir</t>
  </si>
  <si>
    <t>VEYSEL ODABAŞI</t>
  </si>
  <si>
    <t>Mustafa Haleplioğlu</t>
  </si>
  <si>
    <t>GİZEM BAŞKAN</t>
  </si>
  <si>
    <t>Arya Mantı &amp; Çibörek, Odunpazarı( İstiklal Mah.)</t>
  </si>
  <si>
    <t>NERMİN ÖZCAN</t>
  </si>
  <si>
    <t>İstiklal Mahallesi Mustafa Kemal Atatürk Caddesi Ulubat Sok. No3 /A Odunpazarı/Eskişehir</t>
  </si>
  <si>
    <t>BAYRAM ERUS</t>
  </si>
  <si>
    <t>Ramazan Güler</t>
  </si>
  <si>
    <t>5f33c3f6572e4cac8fc3e15f</t>
  </si>
  <si>
    <t>Pizza İl Forno, Tepebaşı (Hoşnudiye Mah.)</t>
  </si>
  <si>
    <t>Beran Yanmaz</t>
  </si>
  <si>
    <t>Hoşnudiye Mah. 770 Sokak No:4 Daire No:4 Tepebaşı/Eskişehir</t>
  </si>
  <si>
    <t>Utku Harman</t>
  </si>
  <si>
    <t>5f85e9e2ace10ede3aa5f335</t>
  </si>
  <si>
    <t>Komagene Etsiz Çiğ Köfte, Emek (Ertaş Cad.)</t>
  </si>
  <si>
    <t>EMEK MH. ERTAŞ CD. NO:152/B</t>
  </si>
  <si>
    <t>ŞENER KARACA</t>
  </si>
  <si>
    <t>Meva Fırın &amp; Pastane, Tepebaşı (Cumhuriye Mah.)</t>
  </si>
  <si>
    <t>MESUT YILMAZ</t>
  </si>
  <si>
    <t>Taco Bar, Tepebaşı (Yenibağlar Mah.)</t>
  </si>
  <si>
    <t>VOLKAN CETAL</t>
  </si>
  <si>
    <t>YEMLİHAN KARABULUT</t>
  </si>
  <si>
    <t>VOLKAN ERGİN</t>
  </si>
  <si>
    <t>Acil Dürüm &amp; Mangal, Odunpazarı (Büyükdere Mah.)</t>
  </si>
  <si>
    <t>Simay Karabıçak</t>
  </si>
  <si>
    <t>5fb3cf60b9c88b93a5915b32</t>
  </si>
  <si>
    <t>Komagene Etsiz Çiğ Köfte, Tunalı (Gaffar Okkan Cad.)</t>
  </si>
  <si>
    <t>TUNALI MH. GAFFAR OKKAN CD. NO:43/A</t>
  </si>
  <si>
    <t>EYÜP ÖZİŞ</t>
  </si>
  <si>
    <t>TANER KESİKBAŞ</t>
  </si>
  <si>
    <t>AZİME AY</t>
  </si>
  <si>
    <t>SERVET KESKİN</t>
  </si>
  <si>
    <t>SİNAN BİRSEN</t>
  </si>
  <si>
    <t>Tadım Tantuni (Hoşnudiye Mah.)</t>
  </si>
  <si>
    <t>DENİZ BARUT</t>
  </si>
  <si>
    <t>Mehmet Yıldız</t>
  </si>
  <si>
    <t>5fe0697dbc2d63200d12f2f8</t>
  </si>
  <si>
    <t>Chinese &amp; Sushi Express (Hoşnudiye Mah.)</t>
  </si>
  <si>
    <t>Uzak Doğu</t>
  </si>
  <si>
    <t>Hoşnudiye Mah Cassaba Modern AVM 770. Sokak A-B-C Öpt No: 4 AE</t>
  </si>
  <si>
    <t>Yaşar Kocabıyık</t>
  </si>
  <si>
    <t>MEHMET ALTINTAŞ</t>
  </si>
  <si>
    <t>SALİH BULUT</t>
  </si>
  <si>
    <t>ENEZ SİNAL</t>
  </si>
  <si>
    <t>AYFER ALPHAN</t>
  </si>
  <si>
    <t>Porsuk Meslek Yüksekokulu</t>
  </si>
  <si>
    <t>Demet Bilgiç</t>
  </si>
  <si>
    <t>İlknur Kalabak</t>
  </si>
  <si>
    <t>AYŞEGÜL BAYIN</t>
  </si>
  <si>
    <t>Musa Kaya</t>
  </si>
  <si>
    <t>Rafet Şorabatur</t>
  </si>
  <si>
    <t>Besler Tantuni (Tunalı Mah.)</t>
  </si>
  <si>
    <t>HASAN TAKTAK</t>
  </si>
  <si>
    <t>Yunus Gökgöz</t>
  </si>
  <si>
    <t>ALAATTİN KARABİBER</t>
  </si>
  <si>
    <t>Ahmet Kaya</t>
  </si>
  <si>
    <t>Özcan Peker</t>
  </si>
  <si>
    <t>Aynur Bozkaya</t>
  </si>
  <si>
    <t>Yiğit Izgara &amp; Tantuni, Odunpazarı (Emek Mah.)</t>
  </si>
  <si>
    <t>Mehmet Topçu</t>
  </si>
  <si>
    <t>Gulhan Celiker</t>
  </si>
  <si>
    <t>Three Monkeys Burger House, Tepebaşı (Batıkent Mah.)</t>
  </si>
  <si>
    <t>Osman Safa</t>
  </si>
  <si>
    <t>Murat Günçal</t>
  </si>
  <si>
    <t>İsmail Ayan</t>
  </si>
  <si>
    <t>HASAN ALİ AYBAR</t>
  </si>
  <si>
    <t>Taşbaşı Döner (İstiklal Mah.)</t>
  </si>
  <si>
    <t>SİNAN ATİNAR</t>
  </si>
  <si>
    <t>SİBEL DELGEÇ ÖZLEK</t>
  </si>
  <si>
    <t>DENİZ SEREN AYDIN</t>
  </si>
  <si>
    <t>Mahmut Duran</t>
  </si>
  <si>
    <t>ESRA ÇETİNKAYA ENGİN</t>
  </si>
  <si>
    <t>TK Tat Kanatçı (İstiklal Mah.)</t>
  </si>
  <si>
    <t>NESRİN ÇİÇEK</t>
  </si>
  <si>
    <t>5f55fc90bac38953067a258d</t>
  </si>
  <si>
    <t>KFC, Eskibağlar (Espark)</t>
  </si>
  <si>
    <t>Tamer Yılmaz</t>
  </si>
  <si>
    <t>"Espark Alışveriş Merkezi Eskibağlar Mahallesi Üniversite Caddesi No:21 Mağaza No:2-75ESKİŞEHİR"</t>
  </si>
  <si>
    <t>Hakan Taşçı</t>
  </si>
  <si>
    <t>AYKUT GÖÇMEL</t>
  </si>
  <si>
    <t>SEBAHATTİN DENİZ</t>
  </si>
  <si>
    <t>Ayberk Yıldız</t>
  </si>
  <si>
    <t>EMRAH İLHAN</t>
  </si>
  <si>
    <t>Yağız Simit, Tepebaşı (Bahçelievler Mah.)</t>
  </si>
  <si>
    <t>Kent Kokoreç &amp; Tantuni (Gültepe Mah.)</t>
  </si>
  <si>
    <t>TUĞÇE SOLMAZ</t>
  </si>
  <si>
    <t>601160cf3e4d624ce32799be</t>
  </si>
  <si>
    <t>Starbucks®, Tepebaşı (Hoşnudiye Mah.)</t>
  </si>
  <si>
    <t>Sertaç Yontan</t>
  </si>
  <si>
    <t>Hosnudiye Mah. Acibadem Sok. Acibadem Hospital No:19 Eskibaglar - Eskişehir</t>
  </si>
  <si>
    <t>Hacı Hasanoğlu</t>
  </si>
  <si>
    <t>Hamza Elhudar</t>
  </si>
  <si>
    <t>Başar Doğu Ayhan- Burak Banaz Adi Ortaklık</t>
  </si>
  <si>
    <t>Başar Doğu Ayhan</t>
  </si>
  <si>
    <t>5ffd6567f112356061afc9f4</t>
  </si>
  <si>
    <t>Komagene Etsiz Çiğ Köfte, Odunpazarı (71 Evler Mah.)</t>
  </si>
  <si>
    <t>71 EVLER MH. KAFKAS CD. NO 59/C</t>
  </si>
  <si>
    <t>Chicken Empire, Tepebaşı (Güllük Mah.)</t>
  </si>
  <si>
    <t>Odürüm, Tepebaşı (Hoşnudiye Mah.)</t>
  </si>
  <si>
    <t>Huzur Pide &amp; Kebap, Tepebaşı (Zafer Mah.)</t>
  </si>
  <si>
    <t>Mantı Diyarı (Hoşnudiye Mah.)</t>
  </si>
  <si>
    <t>LEVENT GÜLTEKİN</t>
  </si>
  <si>
    <t>İHSAN YÜCE YETİŞKİN</t>
  </si>
  <si>
    <t>ERHAN UZUN</t>
  </si>
  <si>
    <t>5fda991846ac1e2b24568c36</t>
  </si>
  <si>
    <t>Pino, Odunpazarı (Vişnelik Mah.)</t>
  </si>
  <si>
    <t>Vişnelik Mah. Atatürk Blv. No: 76 A Odunpazarı/ Eskişehir</t>
  </si>
  <si>
    <t>5fbeaca0eb1fbc4dc27f2387</t>
  </si>
  <si>
    <t>Pino, Tepebaşı (Hoşnudiye Mah.)</t>
  </si>
  <si>
    <t>FUAT GÜRCÜOĞLU</t>
  </si>
  <si>
    <t>HOŞNUDİYE MAH/SEMT İSMETİNÖNÜ-1 CAD. NO: 60 A TEPEBAŞI/ ESKİŞEHİR</t>
  </si>
  <si>
    <t>5ff503b5e5886ae6cd963aa8</t>
  </si>
  <si>
    <t>Pino, Tepebaşı (Batıkent Mah.)</t>
  </si>
  <si>
    <t>Melike Kurunç</t>
  </si>
  <si>
    <t>Batıkent Mah. Geven Sok. No:4 / A D:3 Tepebaşı/Eskişehir</t>
  </si>
  <si>
    <t>CENGİZHAN BALABAN</t>
  </si>
  <si>
    <t>SERKAN AKAY</t>
  </si>
  <si>
    <t>Bayram Ali Aydın</t>
  </si>
  <si>
    <t>601afb4a435929c61d949330</t>
  </si>
  <si>
    <t>Starbucks®, Tepebaşı (İsmet İnönü 1 Cad.)</t>
  </si>
  <si>
    <t>Ismet Inonu 1 Cad. NO:57 Tepebasi Kanatli Avm, Zemin Kat</t>
  </si>
  <si>
    <t>SAFİYE BULUŞ</t>
  </si>
  <si>
    <t>Şekerleme Waffle, Tepebaşı (Hoşnudiye Mah.)</t>
  </si>
  <si>
    <t>EZGİ KOCATEPE</t>
  </si>
  <si>
    <t>Hüseyin Atay</t>
  </si>
  <si>
    <t>Tolga Kumru</t>
  </si>
  <si>
    <t>Hasan Hüseyin Balcı</t>
  </si>
  <si>
    <t>Muhammed Zübeyir Taşyürek</t>
  </si>
  <si>
    <t>Sadık Ceylan</t>
  </si>
  <si>
    <t>ZELAL ZENGİN</t>
  </si>
  <si>
    <t>60390f75d6d0ad55c4910371</t>
  </si>
  <si>
    <t>Kahve Dünyası, Odunpazarı (Eskibağlar Mah.)</t>
  </si>
  <si>
    <t>Burak Bezgin</t>
  </si>
  <si>
    <t>Espark Avm - Eskibağlar, Yılmaz Büyükerşen Blv No:21, 26170 Tepebaşı/Eskişehir</t>
  </si>
  <si>
    <t>Ahmet Demir</t>
  </si>
  <si>
    <t>OSMAN ACAR</t>
  </si>
  <si>
    <t>FATİH İLYAS ÖZCAN</t>
  </si>
  <si>
    <t>Nebahat Topçu</t>
  </si>
  <si>
    <t>Konyalı Ceylani Usta , Tepebaşı (Bahçelievler Mah.)</t>
  </si>
  <si>
    <t>Semanur Erbay</t>
  </si>
  <si>
    <t>ÇAĞRI KUZGUN</t>
  </si>
  <si>
    <t>ERGÜN SARIKAVAK</t>
  </si>
  <si>
    <t>HAMİT KARAÇOL</t>
  </si>
  <si>
    <t>Muhammed Tozlu</t>
  </si>
  <si>
    <t>TALİB KATILMIŞ</t>
  </si>
  <si>
    <t>Ercüment açar</t>
  </si>
  <si>
    <t>Meşhur Adıyaman Çiğ Köftecisi Ömer Aybak, Yenişen,Büyükdere</t>
  </si>
  <si>
    <t>Hasan Şimşek</t>
  </si>
  <si>
    <t>Büyükdere mahallesi yenişen sokak no 34 B</t>
  </si>
  <si>
    <t>Müftah Çubuk</t>
  </si>
  <si>
    <t>Emine Çelik</t>
  </si>
  <si>
    <t>Ahmet Temel</t>
  </si>
  <si>
    <t>Onur Baran</t>
  </si>
  <si>
    <t>Yiğit Döner Çorba, Odunpazarı (Emek Mah.)</t>
  </si>
  <si>
    <t>Hasan Soner</t>
  </si>
  <si>
    <t>Nafize Şengür</t>
  </si>
  <si>
    <t>Ramazan Kelek</t>
  </si>
  <si>
    <t>NİHAL PEKÇOLAKLAR</t>
  </si>
  <si>
    <t>Hüseyin Ejderha</t>
  </si>
  <si>
    <t>Tuğba Yılmaz</t>
  </si>
  <si>
    <t>Tuana Mersin Tantuni Evi (Gökmeydan Mah.)</t>
  </si>
  <si>
    <t>Arabica Coffee House, Tepebaşı (Eskibağlar Mah.)</t>
  </si>
  <si>
    <t>Elif Ülger Yalçın</t>
  </si>
  <si>
    <t>Eskibağlar Mah. Genez Sk. No:38 Tepebaşı/Eskişehir</t>
  </si>
  <si>
    <t>5f85de5e962a96ff39cce27e</t>
  </si>
  <si>
    <t>Komagene Etsiz Çiğ Köfte, Deliklitaş (İ. Karaoğlanoğlu Cad.)</t>
  </si>
  <si>
    <t>DELİKLİTAŞ MH. İBRAHİMKARAOĞLANOĞLU CD. NO:14/A</t>
  </si>
  <si>
    <t>MEHMET KIZILPINAR</t>
  </si>
  <si>
    <t>Sercan Kale</t>
  </si>
  <si>
    <t>Hakim Murat</t>
  </si>
  <si>
    <t>60391601d6d0ad3d859104cc</t>
  </si>
  <si>
    <t>Kahve Dünyası, Tepebaşı (Hoşnudiye Mah.)</t>
  </si>
  <si>
    <t>HOŞNUDİYE MH ÖZDİLEK AVM DOGRUER SK NO.1 26130 TEPEBAŞI ESKİŞEHİR</t>
  </si>
  <si>
    <t>Adıyamanlı Çiğ Köfteci Kemal Usta, Tepebaşı (Şirintepe Mah.)</t>
  </si>
  <si>
    <t>ONUR ÖZTÜRK</t>
  </si>
  <si>
    <t>Murat Balkan</t>
  </si>
  <si>
    <t>Keziban Coşman</t>
  </si>
  <si>
    <t>Dolunay Tantuni (Şirintepe Mah.)</t>
  </si>
  <si>
    <t>FATİH ARSLAN</t>
  </si>
  <si>
    <t>RAHİME KELEK</t>
  </si>
  <si>
    <t>Yılmaz Zengin</t>
  </si>
  <si>
    <t>sivrihisar caddesi no:10 kemalpaşa mahallesi tepebaşı eskişehir</t>
  </si>
  <si>
    <t>Emine Silmez</t>
  </si>
  <si>
    <t>Mustafa Akça</t>
  </si>
  <si>
    <t>SÜLEYMAN TOPALOĞLU</t>
  </si>
  <si>
    <t>60586b605d3a670ee9c76208</t>
  </si>
  <si>
    <t>Komagene Etsiz Çiğ Köfte, Tepebaşı (Işıklar Mah.)</t>
  </si>
  <si>
    <t>Işıklar</t>
  </si>
  <si>
    <t>IŞIKLAR MAH. SİVRİHİSAR-1 CAD. NO: 95 E</t>
  </si>
  <si>
    <t>605c6e039c6108620a916637</t>
  </si>
  <si>
    <t>Burger King, Odunpazarı (Vişnelik Mah.)</t>
  </si>
  <si>
    <t>Emre May</t>
  </si>
  <si>
    <t>HASAN POLATKAN BULVARI BAŞAN SOKAK VİŞNELİK MEVKİİ</t>
  </si>
  <si>
    <t>Hamit Karaçöl</t>
  </si>
  <si>
    <t>HAKAN AYSEKİN</t>
  </si>
  <si>
    <t>6065b77cc84173dfed79b186</t>
  </si>
  <si>
    <t>Domino's Pizza, Odunpazarı (Emek Mah.)</t>
  </si>
  <si>
    <t>Zeliha Nalbant</t>
  </si>
  <si>
    <t>Emek Mah. Ertaş Cad. No:248 A B C Odunpazarı Eskişehir</t>
  </si>
  <si>
    <t>604239557f1ab8fd75d87bcb</t>
  </si>
  <si>
    <t>Domino's Pizza, Odunpazarı (Sümer Mah.)</t>
  </si>
  <si>
    <t>Atatürk Bulv. No:138 B Eskişehir</t>
  </si>
  <si>
    <t>60423f9d972cd09d72c21af0</t>
  </si>
  <si>
    <t>Domino's Pizza, Tepebaşı (Eskibağlar Mah.)</t>
  </si>
  <si>
    <t>Üniversite Cad. Katrancı Apt. No:72 B Bağlar Eskişehir</t>
  </si>
  <si>
    <t>Harun Tekin</t>
  </si>
  <si>
    <t>Mehmet Cavat Keskin</t>
  </si>
  <si>
    <t>KADİR ADA</t>
  </si>
  <si>
    <t>HÜSEYİN ÇİÇEK</t>
  </si>
  <si>
    <t>Gülnur Uslu</t>
  </si>
  <si>
    <t>Beklan Gençer</t>
  </si>
  <si>
    <t>Yasin Turnal</t>
  </si>
  <si>
    <t>605c82c434f5ff64a356ef9c</t>
  </si>
  <si>
    <t>Popeyes, Tepebaşı (Çamlıca Mah.)</t>
  </si>
  <si>
    <t>Çamlıca, 1 Gülperi Sokak, 26180 Tepebaşı/Eskişehir</t>
  </si>
  <si>
    <t>605c78aa4c11b079383a798c</t>
  </si>
  <si>
    <t>Burger King, Tepebaşı (Eskibağlar Mah.)</t>
  </si>
  <si>
    <t>ESKİBAĞLAR MAH. ÜNİVERSİTE CAD. 60/A TEPEBAŞI</t>
  </si>
  <si>
    <t>Mehmet Çakmak</t>
  </si>
  <si>
    <t>CEMİL AYAZ</t>
  </si>
  <si>
    <t>5ffd6b08def5a0a227567695</t>
  </si>
  <si>
    <t>Komagene Etsiz Çiğ Köfte, Odunpazarı (Dilek Cad.)</t>
  </si>
  <si>
    <t>EMEK MAH. DİLEK CAD. NO:20A</t>
  </si>
  <si>
    <t>SEMİH ONUR</t>
  </si>
  <si>
    <t>605c93992bf0d25b0d7f2053</t>
  </si>
  <si>
    <t>Burger King, Tepebaşı (Hoşnudiye Mah. - Özdilek Avm)</t>
  </si>
  <si>
    <t>Hoşnudiye Mahallesi, Doğruer Sokak, No:1, Eskişehir</t>
  </si>
  <si>
    <t>MERYEM EROĞLU</t>
  </si>
  <si>
    <t>605c8f692f111e44eb8bacae</t>
  </si>
  <si>
    <t>Popeyes, Tepebaşı (Hoşnudiye Mah.)</t>
  </si>
  <si>
    <t>Hoşnudiye Mah. Doğruer Sok. No:2, Özdilek AVM, 26000 Tepebaşı</t>
  </si>
  <si>
    <t>Seyit Ünal Şakar</t>
  </si>
  <si>
    <t>İbrahim Kaya</t>
  </si>
  <si>
    <t>605c8dbd34f5ff64c956efed</t>
  </si>
  <si>
    <t>Usta Dönerci, Tepebaşı (Hoşnudiye Mah.)</t>
  </si>
  <si>
    <t>Hoşnudiye Mah. Doğruer sok. No:1.</t>
  </si>
  <si>
    <t>Latif Günbeği</t>
  </si>
  <si>
    <t>HASAN KARAKAŞ</t>
  </si>
  <si>
    <t>Büşra Anılmış</t>
  </si>
  <si>
    <t>Battal Emre Değer</t>
  </si>
  <si>
    <t>Meryem Üstün Genç</t>
  </si>
  <si>
    <t>İlknur Ünsal</t>
  </si>
  <si>
    <t>604248a5b8edc7e20b0f11c4</t>
  </si>
  <si>
    <t>Domino's Pizza, Odunpazarı (Yıldıztepe Mah.)</t>
  </si>
  <si>
    <t>Yıldıztepe Mah. Halk Cad. No:116 A Odunpazarı Eskişehir</t>
  </si>
  <si>
    <t>604246209756a07fc8d89b5e</t>
  </si>
  <si>
    <t>Domino's Pizza, Tepebaşı (Batıkent Mah.)</t>
  </si>
  <si>
    <t>Batıkent Mah. Harbiye Sok. No:58 Dükkan:4 Tepebaşı Eskişehir</t>
  </si>
  <si>
    <t>SONER AKAGÜNDÜZ</t>
  </si>
  <si>
    <t>Mehmet Akar</t>
  </si>
  <si>
    <t>Süleyman Tekin</t>
  </si>
  <si>
    <t>60426c52eee50992e8e56a94</t>
  </si>
  <si>
    <t>Domino's Pizza, Tepebaşı (Şirintepe Mah.)</t>
  </si>
  <si>
    <t>Şirintepe Mah. Kolej Sok. No:1 Tepebaşı Eskişehir</t>
  </si>
  <si>
    <t>6065b49d251ddd19895442cc</t>
  </si>
  <si>
    <t>Domino's Pizza, Odunpazarı (Çankaya Mah.)</t>
  </si>
  <si>
    <t>Çankaya Mah. Özlem Cad. No: 61 A Odunpazarı Eskişehir</t>
  </si>
  <si>
    <t>Murat kaya</t>
  </si>
  <si>
    <t>Zeynep Ersoy</t>
  </si>
  <si>
    <t>Timur Büyüktoğtul</t>
  </si>
  <si>
    <t>Ahmet Kelek</t>
  </si>
  <si>
    <t>605c80b053493f6719d30d9b</t>
  </si>
  <si>
    <t>Sbarro Pizza, Tepebaşı (Eskibağlar Mah.)</t>
  </si>
  <si>
    <t>ÜNİVERSİTE CAD.NO:21 ESPRAK A.V.M DÜKKAN NO:2/73E</t>
  </si>
  <si>
    <t>Mustafa Erdem</t>
  </si>
  <si>
    <t>Mehmet Maşuk Cengiz</t>
  </si>
  <si>
    <t>5fac9888f1d8540ff7e94ea4</t>
  </si>
  <si>
    <t>Pino, Arifiye (Porsuk Bulvarı)</t>
  </si>
  <si>
    <t>Arifiye, İletişim sk. No:11/ C Odunpazarı/Eskişehir</t>
  </si>
  <si>
    <t>Osman Can Yılmaz</t>
  </si>
  <si>
    <t>Serap Usal</t>
  </si>
  <si>
    <t>Arifiye Mah. Kıbrıs Şehitleri Cad. No:2 A Odunpazarı / Eskişehir</t>
  </si>
  <si>
    <t>Merih Seçil</t>
  </si>
  <si>
    <t>605ca6294b047579c0589945</t>
  </si>
  <si>
    <t>Usta Dönerci, Tepebaşı (Çamlıca Mah.)</t>
  </si>
  <si>
    <t>ÇAMLICA MH .GÜLPERİ SK. NO:1/149</t>
  </si>
  <si>
    <t>Hooters Çıtır Dürüm, Tepebaşı(Güllük Mah.)</t>
  </si>
  <si>
    <t>AYHAN TETİK</t>
  </si>
  <si>
    <t>Cihan Bozacılar</t>
  </si>
  <si>
    <t>Deniz Pide, Tepebaşı (Eskibağlar Mah.)</t>
  </si>
  <si>
    <t>İpek Çubuk</t>
  </si>
  <si>
    <t>HÜLYA YEŞİLGİL</t>
  </si>
  <si>
    <t>60b772411fac12279fd4663d</t>
  </si>
  <si>
    <t>Usta Dönerci, Tepebaşı (İsmet İnönü Cad.)</t>
  </si>
  <si>
    <t>KANATLI ALIŞVERİŞ MERKEZİ İSMET İNÖNÜ CAD.</t>
  </si>
  <si>
    <t>60c0e56740dfe058eed9494d</t>
  </si>
  <si>
    <t>Bolulu Hasan Usta, Tepebaşı (Eskibağlar Mah.)</t>
  </si>
  <si>
    <t>Özel Uslu</t>
  </si>
  <si>
    <t>ESKİBAĞLAR MAH. PROF. DR. YILMAZ BÜYÜKERŞEN BLV. NO: 21 İÇ KAPI NO: 220 TEPEBAŞI/ ESKİŞEHİR</t>
  </si>
  <si>
    <t>ÖZGÜR GÜVEN</t>
  </si>
  <si>
    <t>SERHAT ANILIR</t>
  </si>
  <si>
    <t>5fa0736aa85edc4439482380</t>
  </si>
  <si>
    <t>Gaziantepli Ünvermiş Baklavaları, Tepebaşı (Şirintepe Mah.)</t>
  </si>
  <si>
    <t>Şirintepe mah ülkümen sok no 32/A Tepebaşı/Eskişehir</t>
  </si>
  <si>
    <t>Alperlisinden Tost, Tepebaşı (Bahçelievler Mah.)</t>
  </si>
  <si>
    <t>Ismahan Tuzyurdu</t>
  </si>
  <si>
    <t>60a24639ede6e9f1ba4d5d7c</t>
  </si>
  <si>
    <t>Burger King, Tepebaşı (Hoşnudiye Mah.-Kanatlı Avm)</t>
  </si>
  <si>
    <t>KANATLI ALIŞVERİŞ MERKEZİ İSMET İNÖNÜ CAD.NO:57_23</t>
  </si>
  <si>
    <t>Mehmet Ali Bircan</t>
  </si>
  <si>
    <t>Bilal Yıldız</t>
  </si>
  <si>
    <t>5f55fa54a336b8d738dd7e31</t>
  </si>
  <si>
    <t>KFC, Vişnelik (Bulvar)</t>
  </si>
  <si>
    <t>"Vişnelik Mahallesi, Atatürk Bulvarı No:167/A Odunpazarı/ESKİŞEHİR"</t>
  </si>
  <si>
    <t>Prens Döner, Odunpazarı ( Emek Mah.)</t>
  </si>
  <si>
    <t>Mehmet Emin Engiz</t>
  </si>
  <si>
    <t>60b0bb503d811e7de583477c</t>
  </si>
  <si>
    <t>Komagene Etsiz Çiğ Köfte, Tepebaşı (Şarhöyük Mah.)</t>
  </si>
  <si>
    <t>ŞARHÖYÜK MAH. BÜLBÜLLER SK. NO:25/A</t>
  </si>
  <si>
    <t>Mustafa Yılmaz</t>
  </si>
  <si>
    <t>Burak Ketenci</t>
  </si>
  <si>
    <t>60d488517c1e71135f1e2564</t>
  </si>
  <si>
    <t>Usta Pideci, Tepebaşı (Hoşnudiye Mah.)</t>
  </si>
  <si>
    <t>Hoşnudiye mah.eski bağlar mah.Acıbadem sok.Eski bağlar Özdilek avm tepebaşı-eskişehir</t>
  </si>
  <si>
    <t>Fellas Burger &amp; Fried Chicken (Büyükdere Mah.)</t>
  </si>
  <si>
    <t>Büyükdere mah. Gençlik Blv. No: 4/54A Osmangazi Üniversitesi Merkez Çarşı ODUNPAZARI / ESKİŞEHİR</t>
  </si>
  <si>
    <t>Meliha Aksu</t>
  </si>
  <si>
    <t>Köşem Et &amp; Tavuk Tantuni, Odunpazarı(İstiklal Mah.)</t>
  </si>
  <si>
    <t>Halil Yılmaz</t>
  </si>
  <si>
    <t>GÜZİN ATICI</t>
  </si>
  <si>
    <t>60d4865abaae876c3055099d</t>
  </si>
  <si>
    <t>Sbarro Pizza, Tepebaşı (Hoşnudiye Mah.)</t>
  </si>
  <si>
    <t>Unique Coffee &amp; Snacks, Tepebaşı( Eskibağlar Mah.)</t>
  </si>
  <si>
    <t>Begüm Taşkır</t>
  </si>
  <si>
    <t>Yasin Ahmet Torun</t>
  </si>
  <si>
    <t>ALİ CEBECİ</t>
  </si>
  <si>
    <t>Muhammed Özgür Şimşek</t>
  </si>
  <si>
    <t>Yenibağlar Mah. Sevingil Sok. B No:3 İç Kapı No:3 Tepebaşı/ Eskişehir</t>
  </si>
  <si>
    <t>Alev Torun</t>
  </si>
  <si>
    <t>Resul Kürkçü</t>
  </si>
  <si>
    <t>Ayşe Çetinkaya</t>
  </si>
  <si>
    <t>Fırat Yaşlı</t>
  </si>
  <si>
    <t>İSMAİL. ÇİFTÇİ</t>
  </si>
  <si>
    <t>NURGÜL GÖKTÜRK</t>
  </si>
  <si>
    <t>605c78febf03aa8fdc2fa176</t>
  </si>
  <si>
    <t>Usta Pideci, Tepebaşı (Eskibağlar Mah.)</t>
  </si>
  <si>
    <t>NURCAN ÖZTÜRK</t>
  </si>
  <si>
    <t>METİN KETENCİ</t>
  </si>
  <si>
    <t>Salih Yeşilçay</t>
  </si>
  <si>
    <t>Abidin Kocabuğa</t>
  </si>
  <si>
    <t>Ateş Piliç, Tepebaşı (Tunalı Mah.)</t>
  </si>
  <si>
    <t>İHSAN BEZENMİŞ</t>
  </si>
  <si>
    <t>Yosun Kahvaltı &amp; Cafe (Eskibağlar Mah.)</t>
  </si>
  <si>
    <t>GÜL KEDİKLİ</t>
  </si>
  <si>
    <t>KERİM BEBİK</t>
  </si>
  <si>
    <t>Özlem Ürün</t>
  </si>
  <si>
    <t>Canan Yıldırım</t>
  </si>
  <si>
    <t>BEKİR YAVUZ</t>
  </si>
  <si>
    <t>Yasemin Ayyıldız</t>
  </si>
  <si>
    <t>Abdulkerim Ölki</t>
  </si>
  <si>
    <t>Perihan Yeter</t>
  </si>
  <si>
    <t>Cuma Dandan</t>
  </si>
  <si>
    <t>Eyyüp Kaya</t>
  </si>
  <si>
    <t>La Cotta Pizza (Büyükdere Mah.)</t>
  </si>
  <si>
    <t>AHMET EKİN ÜNAL</t>
  </si>
  <si>
    <t>Büyükdere, Osmangazi Ünv. No:38, 26040 Odunpazarı/Eskişehir, Türkiye</t>
  </si>
  <si>
    <t>İsmet Tekin</t>
  </si>
  <si>
    <t>Halit Arpacı</t>
  </si>
  <si>
    <t>Müftah Terkan</t>
  </si>
  <si>
    <t>Adıyamanlı Çiğ Köfteci Ahmet Usta, Tepebaşı (Kumlubel Mah.)</t>
  </si>
  <si>
    <t>Ahmet Öztürk</t>
  </si>
  <si>
    <t>Kumlubel Mah. Esenli Sok. No:104 B Tepebaşı/ Eskişehir</t>
  </si>
  <si>
    <t>Sinan Güler</t>
  </si>
  <si>
    <t>611d1e7b750c6370edff585a</t>
  </si>
  <si>
    <t>Oses Çiğ Köfte, Odunpazarı (Ertaş Cad.)</t>
  </si>
  <si>
    <t>Berk Tekin</t>
  </si>
  <si>
    <t>Emek Mah Ertaç Cad No 351 Odunpazarı Eskişehir</t>
  </si>
  <si>
    <t>M&amp;A Kurabiye, Tepebaşı (Cumhuriye Mah.) 1</t>
  </si>
  <si>
    <t>614a0a6d9e06e0139321fc9e</t>
  </si>
  <si>
    <t>Diyar Izgara, Odunpazarı (Arifiye Mah.)</t>
  </si>
  <si>
    <t>ERAY YANIK</t>
  </si>
  <si>
    <t>Nevzatcan Dinçer</t>
  </si>
  <si>
    <t>6148534f092473e24f0023a5</t>
  </si>
  <si>
    <t>Passage Cafe, Tepebaşı (Hoşnudiye Mah.)</t>
  </si>
  <si>
    <t>Ceylan Akçınar</t>
  </si>
  <si>
    <t>Burak Van</t>
  </si>
  <si>
    <t>Rıdvan Soydaş</t>
  </si>
  <si>
    <t>Berkay Barutçu</t>
  </si>
  <si>
    <t>Tugay Ateş</t>
  </si>
  <si>
    <t>60f2a3ff5c36d717aa347f57</t>
  </si>
  <si>
    <t>Pino, Odunpazarı (Vadişehir Mah.)</t>
  </si>
  <si>
    <t>Vadişehir Mahallesi.Nilüfer Caddesi. 75/ G Blok. Odunpazarı / Eskişehir</t>
  </si>
  <si>
    <t>İslim İlayda Nur Dayıoğlu</t>
  </si>
  <si>
    <t>Esra Esin Toraman</t>
  </si>
  <si>
    <t>Ahmet Eraslan</t>
  </si>
  <si>
    <t>60424294763a42063386d61f</t>
  </si>
  <si>
    <t>Domino's Pizza, Odunpazarı (Kurtuluş Mah.)</t>
  </si>
  <si>
    <t>Kurtuluş Mah. Ziya Paşa Cad. No:6 B Odunpazarı Eskişehir</t>
  </si>
  <si>
    <t>Dilan Kaplan</t>
  </si>
  <si>
    <t>EMRE EŞENBUĞA</t>
  </si>
  <si>
    <t>Gürhan Yılmaz</t>
  </si>
  <si>
    <t>Tost Dünyası, Odunpazarı (Büyükdere Mah)</t>
  </si>
  <si>
    <t>Şerife Burcu Özege</t>
  </si>
  <si>
    <t>Dürdane Aldemir</t>
  </si>
  <si>
    <t>Ahmet Ekin Özmen</t>
  </si>
  <si>
    <t>61730a51dbdb6e330863e054</t>
  </si>
  <si>
    <t>Emirgan Sütiş, Tepebaşı (Hoşnudiye Mah.)</t>
  </si>
  <si>
    <t>Murat Ilgaz</t>
  </si>
  <si>
    <t>Hoşnudiye mah. istasyon cad. no:3 tepebaşı/eskişehir</t>
  </si>
  <si>
    <t>Premium</t>
  </si>
  <si>
    <t>Menemenci Uğur, (Bahçelievler Mah.)</t>
  </si>
  <si>
    <t>Nurettin Aybek</t>
  </si>
  <si>
    <t>614099f18ced4ded898c9b17</t>
  </si>
  <si>
    <t>Popeyes, Tepebaşı (Eskibağlar Mah.)</t>
  </si>
  <si>
    <t>Eskibağlar, Yılmaz Büyükerşen Blv No:21, Tepebaşı/Eskişehir</t>
  </si>
  <si>
    <t>Hakan Caferler</t>
  </si>
  <si>
    <t>Abdullah Yücebaş</t>
  </si>
  <si>
    <t>Çınar Keskin</t>
  </si>
  <si>
    <t>61485260a1bb413dbb806d28</t>
  </si>
  <si>
    <t>Acıktım Kafedeyiz, Tepebaşı (Hoşnudiye Mah.)</t>
  </si>
  <si>
    <t>SERDAR AYDEMİR</t>
  </si>
  <si>
    <t>Musahan Seyhan</t>
  </si>
  <si>
    <t>Muti (İstiklal Mah.)</t>
  </si>
  <si>
    <t>ASUMAN ÖZÇELİK</t>
  </si>
  <si>
    <t>Şengül Erken</t>
  </si>
  <si>
    <t>Ferda Küçükoğlu</t>
  </si>
  <si>
    <t>Mesut Aydın</t>
  </si>
  <si>
    <t>Ekrem Doğulu</t>
  </si>
  <si>
    <t>Ahmet Altıntaş</t>
  </si>
  <si>
    <t>Muhammadjon Rahimov</t>
  </si>
  <si>
    <t>614b35733874914164318594</t>
  </si>
  <si>
    <t>Komagene Etsiz Çiğ Köfte, Odunpazarı (Orhangazi Mah.)</t>
  </si>
  <si>
    <t>Orhangazi 1. Bölge</t>
  </si>
  <si>
    <t>ORHANGAZİ MAH. BAYRAM SOK. NO:1A/2</t>
  </si>
  <si>
    <t>SAMİ BAL</t>
  </si>
  <si>
    <t>Aynur Şener</t>
  </si>
  <si>
    <t>Dilek Budak</t>
  </si>
  <si>
    <t>Ferat Uğur</t>
  </si>
  <si>
    <t>Ayşe Dikmen</t>
  </si>
  <si>
    <t>Furkan Baki Turunç</t>
  </si>
  <si>
    <t>ÜMİT KESİK</t>
  </si>
  <si>
    <t>5fbf4d3e0696a22ceb935edf</t>
  </si>
  <si>
    <t>Mado, Tepebaşı (Hoşnudiye Mah.)</t>
  </si>
  <si>
    <t>Enes Aksoylar</t>
  </si>
  <si>
    <t>Hoşnudiye, İsmet İnönü-1 Blv No:135 D:A, 26130 Tepebaşı/Eskişehir</t>
  </si>
  <si>
    <t>6183ac10050d8378aa079a12</t>
  </si>
  <si>
    <t>Hot Döner, Tepebaşı (Yenibağlar Mah.)</t>
  </si>
  <si>
    <t>ÖZNUR KALYONCU</t>
  </si>
  <si>
    <t>YENİBAĞLAR MAH. PROF. DR. YILMAZ BÜYÜKERŞEN BLV. NO: 49 A TEPEBAŞI/ ESKİŞEHİR</t>
  </si>
  <si>
    <t>Mustafa İslam Bozbay</t>
  </si>
  <si>
    <t>Çiğköftem, Odunpazarı (Yıldıztepe Mah.)</t>
  </si>
  <si>
    <t>Mert Gülşen</t>
  </si>
  <si>
    <t>Şaban Dertliçoban</t>
  </si>
  <si>
    <t>Ali Tümkaya</t>
  </si>
  <si>
    <t>City's Pizza, Tepebaşı (Batıkent Mah.)</t>
  </si>
  <si>
    <t>616953859a27cc16cfc73e8c</t>
  </si>
  <si>
    <t>Kahve Dünyası, Tepebaşı (Kanatlı AVM)</t>
  </si>
  <si>
    <t>İsmet İnönü Cd. Kanatlı Alışveriş Merkezi No 57</t>
  </si>
  <si>
    <t>Erhan Yıldırım</t>
  </si>
  <si>
    <t>61824d47f886c182172c67c4</t>
  </si>
  <si>
    <t>Boston Donuts, Odunpazarı (Vişnelik Mah.)</t>
  </si>
  <si>
    <t>Vişnelik mh Atatürk bulvarı no:82B Odunpazarı Eskişehir</t>
  </si>
  <si>
    <t>Big Zeplin Burger House, Odunpazarı (Arifiye Mah.)</t>
  </si>
  <si>
    <t>61b9f6b251c4353504b1af19</t>
  </si>
  <si>
    <t>Nil Fırın, Tepebaşı (Uluönder Mah.)</t>
  </si>
  <si>
    <t>Uluönder Mah., Güfte Sok., No:19, Tepebaşı, Eskişehir, Türkiye,</t>
  </si>
  <si>
    <t>Ali Nurullah Aydemir</t>
  </si>
  <si>
    <t>SATIA AKSOY</t>
  </si>
  <si>
    <t>Büyükdere, Kaplanlı Cd, No: 8 A 26040 Odunpazarı/Eskişehir</t>
  </si>
  <si>
    <t>Fast Kitchen, Tepebaşı (Bağlar Mah.)</t>
  </si>
  <si>
    <t>City's Pizza, Tepebaşı (Bağlar Mah.)</t>
  </si>
  <si>
    <t>Büyükdere mah. Canlar sok. 41/A Odunpazarı/Eskişehir</t>
  </si>
  <si>
    <t>Alihan Çelik</t>
  </si>
  <si>
    <t>Bilecik Çiğköftecisi, Tepebaşı (Fatih Mah.)</t>
  </si>
  <si>
    <t>Cengiz Kumcu</t>
  </si>
  <si>
    <t>Muhammed Enes İleli</t>
  </si>
  <si>
    <t>61c507d2267c525f7ab624ca</t>
  </si>
  <si>
    <t>Meşhur Adıyaman Çiğ Köftecisi Ömer Aybak, (Şirintepe Mah.)</t>
  </si>
  <si>
    <t>Bahattin Kanıgür</t>
  </si>
  <si>
    <t>Şirintepe Mah. Yaylapınar Sok. No:73 A Tepebaşı Eskişehir</t>
  </si>
  <si>
    <t>Mamül ,Tepebaşı (Hoşnudiye Mah.)</t>
  </si>
  <si>
    <t>Şanlıurfa Fırat Pide Kebap, Tepebaşı (Tunalı Mah.)</t>
  </si>
  <si>
    <t>Mahmut Yücebaş</t>
  </si>
  <si>
    <t>Çiftlik Tantuni &amp; Fast Food, Odunpazarı (Vişnelik Mah.)</t>
  </si>
  <si>
    <t>İBRAHİM ÖZ</t>
  </si>
  <si>
    <t>Sinan Kıraç</t>
  </si>
  <si>
    <t>The Shaggy Sandwich, Tepebaşı( Yenibağlar Mah.)</t>
  </si>
  <si>
    <t>6046055eee8c4aa01ca0bd90</t>
  </si>
  <si>
    <t>Sushico (Hoşnudiye Mah.)</t>
  </si>
  <si>
    <t>Ayşenur Ertürk</t>
  </si>
  <si>
    <t>Ömer Küçük</t>
  </si>
  <si>
    <t>61e1693031d18e33dcf859b9</t>
  </si>
  <si>
    <t>Komagene Etsiz Çiğ Köfte, Odunpazarı (Kırmızı Toprak Mah.)</t>
  </si>
  <si>
    <t>KIRMIZI TOPRAK MAH. ERCAN SOK. NO:7/A</t>
  </si>
  <si>
    <t>61e1ba87a7e6b7580183ba16</t>
  </si>
  <si>
    <t>Gaziantep Karaeski Baklavaları, Odunpazarı (Büyükdere Mah.)</t>
  </si>
  <si>
    <t>Vahit Dandan</t>
  </si>
  <si>
    <t>Büyükdere Mah. Kaplanlı Cad. No:53 B Odunpazarı Eskişehir</t>
  </si>
  <si>
    <t>61e9c9fa990f371c83804cb1</t>
  </si>
  <si>
    <t>78 Coffee, Odunpazarı (Sümer Mah.)</t>
  </si>
  <si>
    <t>Serhat Yeşil</t>
  </si>
  <si>
    <t>Sümer Mah. Muhsin Ertuğrul Sok. No:24 Odunpazarı Eskişehir</t>
  </si>
  <si>
    <t>617005a1489a8c45f313cd61</t>
  </si>
  <si>
    <t>Levent Börek, Odunpazarı (Vadişehir Mah.)</t>
  </si>
  <si>
    <t>YELİZ EĞİLMEZGİL</t>
  </si>
  <si>
    <t>VADİŞEHİR MAH. NİLÜFER CAD. NO:75/CA</t>
  </si>
  <si>
    <t>61f1ad8c7185bbdde46a2f72</t>
  </si>
  <si>
    <t>Fast Kitchen, Odunpazarı (Büyükdere Mah.)</t>
  </si>
  <si>
    <t>Büyükdere Mahallesi Capella park No:70 B Odunpazarı Eskişehir</t>
  </si>
  <si>
    <t>Mehmet Yıldırım</t>
  </si>
  <si>
    <t>Engin Gedik</t>
  </si>
  <si>
    <t>Çıttır Simit, Odunpazarı (İstiklal Mah.)</t>
  </si>
  <si>
    <t>Erener Çiğ Köfte, Tepebaşı (Çamlıca Mah.)</t>
  </si>
  <si>
    <t>61fc23e7e8519f879f565459</t>
  </si>
  <si>
    <t>KAAN BOZKURT</t>
  </si>
  <si>
    <t>İLKER AHMET TATLIDİL</t>
  </si>
  <si>
    <t>Gülcan Uluağaç</t>
  </si>
  <si>
    <t>Nedim Abacı</t>
  </si>
  <si>
    <t>6137b4c63a16299b91b8af7b</t>
  </si>
  <si>
    <t>Levent Börek, Tepebaşı (Hoşnudiye Mah.)</t>
  </si>
  <si>
    <t>HOŞNUDİYE MAH. CENGİZ TOPEL CAD. NO:61B</t>
  </si>
  <si>
    <t>Bsr, Odunpazarı (Arifiye Mah.)</t>
  </si>
  <si>
    <t>61f1ac4b165be70614dd82f5</t>
  </si>
  <si>
    <t>City's Pizza, Odunpazarı (Büyükdere Mah.)</t>
  </si>
  <si>
    <t>61fd116c5f4f9704608443b1</t>
  </si>
  <si>
    <t>Terra Pizza - Pizza Pizza, Tepebaşı (Batıkent Mah.)</t>
  </si>
  <si>
    <t>Batıkent Mah. Şehit Ali Usta Sk. No:5A</t>
  </si>
  <si>
    <t>61fd2d43d15d3125746e8689</t>
  </si>
  <si>
    <t>KFC, Odunpazarı (İstiklal Mah.)</t>
  </si>
  <si>
    <t>İstiklal Mah. Başarılı Sok. No:26 Odunpazarı/Eskişehir</t>
  </si>
  <si>
    <t>Kaktüs Cafe &amp; Ev Yapımı Lezzetler, Odunpazarı (Büyükdere Mah.)</t>
  </si>
  <si>
    <t>623c96924eaea067936066e6</t>
  </si>
  <si>
    <t>Limoon Midye, Tepebaşı (Hoşnudiye Mah.)</t>
  </si>
  <si>
    <t>Hoşnudiye mahallesi İstasyon caddesi no45b Tepebaşı Eskişehir</t>
  </si>
  <si>
    <t>6224ee0c6f10c12e9258e7e2</t>
  </si>
  <si>
    <t>SR Döner, Tepebaşı (Eskibağlar Mah.)</t>
  </si>
  <si>
    <t>Eskişehir Sr Döner</t>
  </si>
  <si>
    <t>Eskibağlar mah Prof dr Yılmaz Büyükerşan Bulvarı 60/B Tepebaşı Eskişehir</t>
  </si>
  <si>
    <t>61fc34781f68230a19aa54d3</t>
  </si>
  <si>
    <t>Patsocu Abi, Odunpazarı (Büyükdere Mah.)</t>
  </si>
  <si>
    <t>Murat Yürüksoy</t>
  </si>
  <si>
    <t>Büyükdere mah. Kaplanlı cad. No: 99A Odunpazarı Eakişehir</t>
  </si>
  <si>
    <t>620504e527414d533c9147a7</t>
  </si>
  <si>
    <t>Terra Pizza - Pizza Pizza, Odunpazarı (Emek Mah.)</t>
  </si>
  <si>
    <t>Emek Mah. Ziya Gökalp Cad. No:68B</t>
  </si>
  <si>
    <t>621739a7c1022f24e6cb1cec</t>
  </si>
  <si>
    <t>Maydonoz Döner (Vadişehir Mah.)</t>
  </si>
  <si>
    <t>HALİL CODA</t>
  </si>
  <si>
    <t>VADİŞEHİR MAH. NİLÜFER CAD. T BLOK NO: 75 C ODUNPAZARI/ ESKİŞEHİR</t>
  </si>
  <si>
    <t>Umut Göğce</t>
  </si>
  <si>
    <t>Umut Kale</t>
  </si>
  <si>
    <t>6200e6731d1b7fdeeeec8424</t>
  </si>
  <si>
    <t>Komagene Etsiz Çiğ Köfte, Tepebaşı (Güllük Mah.)</t>
  </si>
  <si>
    <t>GÜLLÜK MAH. SAKARYA-2 CAD. NO: 63 A</t>
  </si>
  <si>
    <t>5f3630769c0da73f2ec71a70</t>
  </si>
  <si>
    <t>McDonald's, Tepebaşı (Hoşnudiye Mah.)</t>
  </si>
  <si>
    <t>İnönü Caddesi , Başkurt İş Merkezi , Eskişehir, 26130</t>
  </si>
  <si>
    <t>601163dcd22e22f1f5b518d5</t>
  </si>
  <si>
    <t>Starbucks®, Odunpazarı (Vişnelik Mah.)</t>
  </si>
  <si>
    <t>Visnelik Mahallesi Ataturk Bulvari NO:163 Zemin Kat Bağımsız Bölüm No:15 Odunpazari / Eskişehir</t>
  </si>
  <si>
    <t>Serhan Ürersoy</t>
  </si>
  <si>
    <t>Fatma Ataç</t>
  </si>
  <si>
    <t>FATMA KUŞ</t>
  </si>
  <si>
    <t>Altınemek Unlu Mamulleri, Odunpazarı (Emek Mah.)</t>
  </si>
  <si>
    <t>Es Ayvalık Tost, Odunpazarı (Arifiye Mah.)</t>
  </si>
  <si>
    <t>İlhan Özer</t>
  </si>
  <si>
    <t>Arifiye Mah. Türe Sok. No:4C Odunpazarı / Eskişehir</t>
  </si>
  <si>
    <t>620f80a6924405ceb7c94a71</t>
  </si>
  <si>
    <t>Komagene Etsiz Çiğ Köfte, Tepebaşı (Fatih Mah.)</t>
  </si>
  <si>
    <t>FATİH MAH. PROF.DR. ORHAN OĞUZ CAD. 48 B</t>
  </si>
  <si>
    <t>6213913a25c65e513ac48317</t>
  </si>
  <si>
    <t>Emirgan Sütiş, Odunpazarı (Büyükdere Mah.)</t>
  </si>
  <si>
    <t>Büyükdere mahallesi, fakülte spkak no:2 d odunpazarı</t>
  </si>
  <si>
    <t>62222e6411b2c20c44b6bc6e</t>
  </si>
  <si>
    <t>Papa John's Pizza, Tepebaşı (Yenibağlar Mah.)</t>
  </si>
  <si>
    <t>Gökhan Karakuş</t>
  </si>
  <si>
    <t>YENİBAĞLAR Mah. İSMETİNÖNÜ-1 Cd. CAPELLA OTEL No: 104 C / TEPEBAŞI / ESKİŞEHİR (CAPELLA OTEL altında ki dükkan) Bina Kodu: 104 C</t>
  </si>
  <si>
    <t>620e493fdb176425608535d9</t>
  </si>
  <si>
    <t>Komagene Etsiz Çiğ Köfte, Odunpazarı (istiklal Mah.)</t>
  </si>
  <si>
    <t>İSTİKLAL MAH. ERTUĞRULBEY SK. NO:17/C</t>
  </si>
  <si>
    <t>623744cfe74f0ca20a5b8bf0</t>
  </si>
  <si>
    <t>Stick İzmir Sandviç, Tepebaşı(EskibağlarMah.)</t>
  </si>
  <si>
    <t>SELİM EROĞLU</t>
  </si>
  <si>
    <t>623a3202e79a1c4e0be20234</t>
  </si>
  <si>
    <t>Adıyamanlı Karabey Çiğköfte, Odunpazarı (Büyükdere Mah.)</t>
  </si>
  <si>
    <t>6204ecf68679141f75222eb9</t>
  </si>
  <si>
    <t>Terra Pizza - Pizza Pizza, Tepebaşı (Bahçelievler Mah.)</t>
  </si>
  <si>
    <t>Bahçelievler Mah. Orhan Oğuz Cad. No:85A</t>
  </si>
  <si>
    <t>62126d7d1415522570b31347</t>
  </si>
  <si>
    <t>Şekerleme Waffle &amp; Kumpir, Odunpazarı (Vadişehir Mah.)</t>
  </si>
  <si>
    <t>Vadişehir Mah. Yıldızpark çarşısı, Nilüfer Cad. No:75ga Odunpazarı/Eskişehir</t>
  </si>
  <si>
    <t>6220fea8fa2e0f09c21cae1c</t>
  </si>
  <si>
    <t>Dante Kitchen, Odunpazarı (İstiklal Mah.)</t>
  </si>
  <si>
    <t>İstiklal mahallesi Porsuk bulvarı 39/C Odunpazarı Eskişehir</t>
  </si>
  <si>
    <t>622f426b1b4eef1bf68dcfd7</t>
  </si>
  <si>
    <t>MUSTAFA ADIGÜZEL</t>
  </si>
  <si>
    <t>62124a5d33f4f11ff45aabdb</t>
  </si>
  <si>
    <t>Ala Tantuni, Odunpazarı (71 Evler Mah.)</t>
  </si>
  <si>
    <t>60052db37b25a28d8fed3807</t>
  </si>
  <si>
    <t>Pidem, Tepebaşı (Çamlıca Mah.)</t>
  </si>
  <si>
    <t>Eskişehir Vega Şube</t>
  </si>
  <si>
    <t>Çamlıca Mah. Birinci Gülperi Sok. Vega Outlet Avm 26180 Tepebaşı / Eskişehir</t>
  </si>
  <si>
    <t>Sekiz Yatık Döner (Ertuğrulgazi Mah.)</t>
  </si>
  <si>
    <t>GÖKHAN KANTAR</t>
  </si>
  <si>
    <t>Özben Bağırsakçı</t>
  </si>
  <si>
    <t>5fc692c4ed7e512dce03b89f</t>
  </si>
  <si>
    <t>Tavuk Dünyası, Tepebaşı (Eskibağlar Mah.)</t>
  </si>
  <si>
    <t>EJDER TUNCER</t>
  </si>
  <si>
    <t>ESKİBAĞLAR MH.ÜNİVERSİTE CD 58/C TEPEBASI/ESKİŞEHİR</t>
  </si>
  <si>
    <t>6172bf8361c94c9139e4d32d</t>
  </si>
  <si>
    <t>Tavuk Dünyası, Tepebaşı (Çamlıca Mah.)</t>
  </si>
  <si>
    <t>ÖMER ÜÇEŞ</t>
  </si>
  <si>
    <t>ÇAMLICA MAH. GÜLPERİ SK. 1/120 TEPEBAŞI- ESKİŞEHİR</t>
  </si>
  <si>
    <t>Antepli Beğendik Pide &amp; Kebap (Kırmızıtoprak Mah.)</t>
  </si>
  <si>
    <t>MUSTAFA ÖZTÜRK</t>
  </si>
  <si>
    <t>MURAT ALTAY</t>
  </si>
  <si>
    <t>Yenibağlar mah Gün Sok. No:8 E Tepebaşı/Eskişehir</t>
  </si>
  <si>
    <t>602e66fec20d04f68c5059a5</t>
  </si>
  <si>
    <t>Pasaport Pizza, Tepebaşı (Güllük Mah.)</t>
  </si>
  <si>
    <t>Tezcan Bayraktar</t>
  </si>
  <si>
    <t>SAKARYA 2 CADDESİ 47 /A</t>
  </si>
  <si>
    <t>61068bd27c9dae46fb94c609</t>
  </si>
  <si>
    <t>Pasaport Pizza, Tepebaşı (Batıkent Mah.)</t>
  </si>
  <si>
    <t>BATIKENT MAH GÜNDÜZ ÖKÇÜN CAD NO 6/E TEPEBAŞI ESKİŞEHİR</t>
  </si>
  <si>
    <t>Türkan Bakılan</t>
  </si>
  <si>
    <t>Karaçor Unlu Mamülleri (İstiklal Mah.)</t>
  </si>
  <si>
    <t>AHMET KARAÇOR</t>
  </si>
  <si>
    <t>MURAT HASIRCI</t>
  </si>
  <si>
    <t>60115d87ad901775896d8c50</t>
  </si>
  <si>
    <t>Starbucks®, Odunpazarı (İstiklal Mah.)</t>
  </si>
  <si>
    <t>İstiklal Mah. Porsuk Bulv. No: 11- 11 B Odunpazarı / Eskişehir</t>
  </si>
  <si>
    <t>61fcefdea3e888512fcf9416</t>
  </si>
  <si>
    <t>Big Chefs (Hoşnudiye Mah.)</t>
  </si>
  <si>
    <t>BİRTAN YUCATAN</t>
  </si>
  <si>
    <t>Hoşnudiye Mah. 770 Sok. A-B-C No: CI Tepebaşı /Eskişehir</t>
  </si>
  <si>
    <t>61fd0ba99d909a98bc142a79</t>
  </si>
  <si>
    <t>Biber Ev Yemekleri, Tepebaşı (Yenibağlar Mah.)</t>
  </si>
  <si>
    <t>Yenibağlar Mah. Seylap Cad. No:4/A Tepebaşı/Eskişehir</t>
  </si>
  <si>
    <t>60052b7d99ddd4a6eff9fa35</t>
  </si>
  <si>
    <t>Pidem, Tepebaşı (Hoşnudiye Mah.)</t>
  </si>
  <si>
    <t>SADRA GIDA İNŞ.SAN.VE TC.A.Ş.</t>
  </si>
  <si>
    <t>Kanatlı Avm. İsmet İnönü Cad No:57 Zemin Kat 5 Nolu Mağaza Kanatlı/Eskişehir</t>
  </si>
  <si>
    <t>6257c9da46b89e19195b7ee5</t>
  </si>
  <si>
    <t>Gaziantep Pınar Kebap &amp; Pide, Odunpazarı (Arifiye Mah.)</t>
  </si>
  <si>
    <t>Fatih Mehmet İldeş</t>
  </si>
  <si>
    <t>Arifiye Mah. Tayfun Sk. No: 4 Odunpazarı/Eskişehir</t>
  </si>
  <si>
    <t>Es Pilav Point, Tepebaşı(Eskibağlar Mah.)</t>
  </si>
  <si>
    <t>Recep Yılmaz</t>
  </si>
  <si>
    <t>Arda Tarazan</t>
  </si>
  <si>
    <t>5fe5d01658f3acf5bee4bb4d</t>
  </si>
  <si>
    <t>Dürümle, Tepebaşı (Eskibağlar Mah.-Espark)</t>
  </si>
  <si>
    <t>AYKUT ARSLAN</t>
  </si>
  <si>
    <t>Eskibağlar Mah.Üniversite Cad.No:21/205 Espark Avm Tepebaşı/Eskişehir</t>
  </si>
  <si>
    <t>621265af1579e5231624f6c3</t>
  </si>
  <si>
    <t>Omminn, Odunpazarı (Şarkiye Mah.)</t>
  </si>
  <si>
    <t>Hande Tabanca</t>
  </si>
  <si>
    <t>Şarkiye</t>
  </si>
  <si>
    <t>Şarkiye Mh. Türkmen Hoca Sk. No:15 Odunpazarı ESKİŞEHİR</t>
  </si>
  <si>
    <t>Maryo Hot Bread Grilled, Tepebaşı (Şirintepe Mah.)</t>
  </si>
  <si>
    <t>6257cf00963d183da2d8d6ec</t>
  </si>
  <si>
    <t>Bal Burger, Odunpazarı (İstiklal Mah.)</t>
  </si>
  <si>
    <t>Hasan Koca</t>
  </si>
  <si>
    <t>İSTİKLAL MAH. ADALAR SK. NO: 23 A ODUNPAZARI/ ESKİŞEHİR</t>
  </si>
  <si>
    <t>Prens Döner, Odunpazarı (Arifiye Mah.)</t>
  </si>
  <si>
    <t>HALİL İBRAHİM YILDIZ</t>
  </si>
  <si>
    <t>601164bc4e3bdf38d1666a14</t>
  </si>
  <si>
    <t>Starbucks®, Tepebaşı (Cassaba Modern)</t>
  </si>
  <si>
    <t>Cassaba: Hoşnudiye Mah. 748 Sok. A-B-C Apt. No: 3BA Tepebaşı/ESKİŞEHİR</t>
  </si>
  <si>
    <t>601163704337de2e3e2b9047</t>
  </si>
  <si>
    <t>Starbucks®, Tepebaşı (Yenibağlar Mah.)</t>
  </si>
  <si>
    <t>Yenibaglar Mah. Yorulmaz Sokak Ramada Oteli Zemin kat No: 2 Tepebasi Eskisehir</t>
  </si>
  <si>
    <t>Ay-She Tostpito (Eskibağlar Mah.)</t>
  </si>
  <si>
    <t>AYŞE BAHAR BOROZAN</t>
  </si>
  <si>
    <t>620f8101d380f6710fc2f059</t>
  </si>
  <si>
    <t>Komagene Etsiz Çiğ Köfte, Odunpazarı (Akarbaşı Mah.)</t>
  </si>
  <si>
    <t>AKARBAŞI MAH. MUSTAFA KEMAL ATATÜRK CAD. NO:33/C</t>
  </si>
  <si>
    <t>61814c42988d952d02f369d4</t>
  </si>
  <si>
    <t>Öncü Döner, Odunpazarı (Büyükdere Mah.)</t>
  </si>
  <si>
    <t>Hasan Şahin</t>
  </si>
  <si>
    <t>Büyükdere Mah. Fakülte Sokak no:4/B Odunpazarı/ Eskişehir</t>
  </si>
  <si>
    <t>Urfa Kebabı, Odunpazarı (Büyükdere Mah.)</t>
  </si>
  <si>
    <t>Cheff Kumru, Tepebaşı (Güllük Mah.)</t>
  </si>
  <si>
    <t>İsmail Kalender</t>
  </si>
  <si>
    <t>Serhat Ekici</t>
  </si>
  <si>
    <t>617965657853511591c9de87</t>
  </si>
  <si>
    <t>Pidem, Tepebaşı (Yenibağlar Mah.)</t>
  </si>
  <si>
    <t>Bahadır Zereylioğlu</t>
  </si>
  <si>
    <t>YENİBAĞLAR MAH. PROF. DR. YILMAZ BÜYÜKERŞEN BLV. NO: 110 B TEPEBAŞI/ ESKİŞEHİR</t>
  </si>
  <si>
    <t>BÜLENT AY</t>
  </si>
  <si>
    <t>Arifiye Mah Tekiz Sokak No:11 Odunpazarı Eskişehir</t>
  </si>
  <si>
    <t>61a7d79c4453e1bfb61b04e7</t>
  </si>
  <si>
    <t>Değirmencioğlu, Odunpazarı (Arifiye Mah.)</t>
  </si>
  <si>
    <t>Hoşnudiye Mah Hacet Sokak No:4 Odunpazarı Eskişehir</t>
  </si>
  <si>
    <t>Ahmet Atay</t>
  </si>
  <si>
    <t>MEHMET AZAD ZENGİN</t>
  </si>
  <si>
    <t>ERCAN ERDOĞAN</t>
  </si>
  <si>
    <t>HASAN ÖZEL</t>
  </si>
  <si>
    <t>Ala Tantuni, Odunpazarı (Büyükdere Mah.)</t>
  </si>
  <si>
    <t>Seçkin Lezzetler</t>
  </si>
  <si>
    <t>61964585defefe6c3d939b56</t>
  </si>
  <si>
    <t>Caribou Coffee, Tepebaşı (Hoşnudiye Mah.)</t>
  </si>
  <si>
    <t>Güray Kallek</t>
  </si>
  <si>
    <t>İSMET İNÖNÜ 1 CAD. 78/A</t>
  </si>
  <si>
    <t>Kuzum Tantuni &amp; Kokoreç &amp; Fast Food, Odunpazarı (Akarbaşı Mah.)</t>
  </si>
  <si>
    <t>Köfteci Kokoreççi Melih Kokoreç, Odunpazarı (Arifiye Mah.)</t>
  </si>
  <si>
    <t>Semih Yüreklier</t>
  </si>
  <si>
    <t>Premium Kahvaltı, Tepebaşı (Ömerağa Mah.)</t>
  </si>
  <si>
    <t>Atlas Tost Evi, Tepebaşı (Eskibağlar Mah.)</t>
  </si>
  <si>
    <t>620a1ad80e0c3df37b5b9f69</t>
  </si>
  <si>
    <t>Dürümle, Tepebaşı (Çamlıca Mah.-Vega Outlet Avm)</t>
  </si>
  <si>
    <t>Mehmet Selçuk</t>
  </si>
  <si>
    <t>Veysel Karani Dolu</t>
  </si>
  <si>
    <t>Ömer faruk özdemirli</t>
  </si>
  <si>
    <t>İnci Tanem Pide &amp; Kebap &amp; Köfte, Odunpazarı (Akarbaşı Mah.)</t>
  </si>
  <si>
    <t>Ümit Kesik</t>
  </si>
  <si>
    <t>Yavuz Şentürk</t>
  </si>
  <si>
    <t>Özge Sezer Özdemir</t>
  </si>
  <si>
    <t>SAADET BAHAR ŞİRİNER</t>
  </si>
  <si>
    <t>Ice Wich Soğuk Sandwich, Odunpazarı (Vişnelik Mah.)</t>
  </si>
  <si>
    <t>Kumpircim, Tepebaşı (Eskibağlar Mah.)</t>
  </si>
  <si>
    <t>EBRU SÖNMEZ</t>
  </si>
  <si>
    <t>61f45031d3eb77a6a41fd3a1</t>
  </si>
  <si>
    <t>Kurtuluş Mah. Ziya Paşa Cad. No:77 Odunpazarı Eskişehir</t>
  </si>
  <si>
    <t>Fetihe Eda Önvar</t>
  </si>
  <si>
    <t>İndirimliler</t>
  </si>
  <si>
    <t>Mehmet Kurşun</t>
  </si>
  <si>
    <t>MERAL ÖZKAYKI</t>
  </si>
  <si>
    <t>61b9938b3b26a2fa7a055a6c</t>
  </si>
  <si>
    <t>Çiğköftem, Tepebaşı (Çamlıca Mah.)</t>
  </si>
  <si>
    <t>UĞUR ACAROĞLU</t>
  </si>
  <si>
    <t>Çamlıca Mah. Gülperi Sk. No: 1 Vega Outlet Avm</t>
  </si>
  <si>
    <t>5f35ac654589df026a4a92f6</t>
  </si>
  <si>
    <t>Frango Döner &amp; Sauce, Yenibağlar</t>
  </si>
  <si>
    <t>Üniverste Blv No:47,Yenibağlar Mahallesi, 26170 Tepebaşı/Eskişehir, 26170 TEPEBAŞI/Eskişehir</t>
  </si>
  <si>
    <t>Yusuf Dursun</t>
  </si>
  <si>
    <t>Hoşnudiye Mh. Tacin Sk. No:3/B</t>
  </si>
  <si>
    <t>Kadir Koç</t>
  </si>
  <si>
    <t>Özlem arslan</t>
  </si>
  <si>
    <t>Beyza gülşah</t>
  </si>
  <si>
    <t>Özlem gümüş</t>
  </si>
  <si>
    <t>Kadriye Polat</t>
  </si>
  <si>
    <t>Yılbaşından Sonra Aranacak</t>
  </si>
  <si>
    <t>Şükriye Demir</t>
  </si>
  <si>
    <t>Ece Bayındır</t>
  </si>
  <si>
    <t>Senanur Çınar</t>
  </si>
  <si>
    <t>İleride Randevu İstiyorum</t>
  </si>
  <si>
    <t>Randevu Alınabilir</t>
  </si>
  <si>
    <t>Fotoğrafları Yok - Randevu Alınabilir</t>
  </si>
  <si>
    <t>Fotoğrafları Gönderecek</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</si>
</sst>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yy"/>
    <numFmt numFmtId="165" formatCode="dd.mm.yyyy"/>
    <numFmt numFmtId="166" formatCode="hh:mm"/>
    <numFmt numFmtId="167" formatCode="dd.MM.yyyy"/>
    <numFmt numFmtId="168" formatCode="dd/mm/yyyy"/>
    <numFmt numFmtId="169" formatCode="d&quot;/&quot;m&quot;/&quot;yy"/>
  </numFmts>
  <fonts count="51">
    <font>
      <sz val="10.0"/>
      <color rgb="FF000000"/>
      <name val="Arial"/>
      <scheme val="minor"/>
    </font>
    <font>
      <b/>
      <color rgb="FFFFFFFF"/>
      <name val="Arial"/>
    </font>
    <font>
      <color theme="1"/>
      <name val="Arial"/>
      <scheme val="minor"/>
    </font>
    <font>
      <b/>
      <color rgb="FF000000"/>
      <name val="Arial"/>
    </font>
    <font>
      <color theme="1"/>
      <name val="Arial"/>
    </font>
    <font/>
    <font>
      <b/>
      <color theme="1"/>
      <name val="Arial"/>
      <scheme val="minor"/>
    </font>
    <font>
      <sz val="11.0"/>
      <color rgb="FF000000"/>
      <name val="Calibri"/>
    </font>
    <font>
      <b/>
      <color theme="1"/>
      <name val="Arial"/>
    </font>
    <font>
      <color rgb="FF000000"/>
      <name val="Roboto"/>
    </font>
    <font>
      <sz val="36.0"/>
      <color theme="1"/>
      <name val="Arial"/>
    </font>
    <font>
      <sz val="11.0"/>
      <color rgb="FF202124"/>
      <name val="Arial"/>
    </font>
    <font>
      <sz val="11.0"/>
      <color rgb="FF000000"/>
      <name val="Docs-Calibri"/>
    </font>
    <font>
      <b/>
      <sz val="11.0"/>
      <color rgb="FF000000"/>
      <name val="Arial"/>
    </font>
    <font>
      <sz val="11.0"/>
      <color rgb="FF000000"/>
      <name val="Inconsolata"/>
    </font>
    <font>
      <color rgb="FF000000"/>
      <name val="Arial"/>
    </font>
    <font>
      <color rgb="FF434343"/>
      <name val="Arial"/>
    </font>
    <font>
      <sz val="11.0"/>
      <color rgb="FF434343"/>
      <name val="Calibri"/>
    </font>
    <font>
      <u/>
      <color rgb="FF0000FF"/>
      <name val="Arial"/>
    </font>
    <font>
      <sz val="18.0"/>
      <color theme="1"/>
      <name val="Impact"/>
    </font>
    <font>
      <b/>
      <sz val="24.0"/>
      <color theme="1"/>
      <name val="Caveat"/>
    </font>
    <font>
      <b/>
      <sz val="11.0"/>
      <color theme="1"/>
      <name val="Arial"/>
    </font>
    <font>
      <sz val="11.0"/>
      <color theme="1"/>
      <name val="Calibri"/>
    </font>
    <font>
      <color theme="1"/>
      <name val="Roboto"/>
    </font>
    <font>
      <sz val="10.0"/>
      <color theme="1"/>
      <name val="Arial"/>
    </font>
    <font>
      <sz val="11.0"/>
      <color rgb="FF202124"/>
      <name val="Arial"/>
      <scheme val="minor"/>
    </font>
    <font>
      <color rgb="FF000000"/>
      <name val="Arial"/>
      <scheme val="minor"/>
    </font>
    <font>
      <b/>
      <sz val="11.0"/>
      <color rgb="FF000000"/>
      <name val="Calibri"/>
    </font>
    <font>
      <u/>
      <sz val="11.0"/>
      <color rgb="FF1A0DAB"/>
      <name val="Arial"/>
    </font>
    <font>
      <u/>
      <sz val="11.0"/>
      <color rgb="FF000000"/>
      <name val="Arial"/>
    </font>
    <font>
      <u/>
      <sz val="11.0"/>
      <color rgb="FF1A0DAB"/>
      <name val="Arial"/>
    </font>
    <font>
      <b/>
      <sz val="11.0"/>
      <color rgb="FFFFD10D"/>
      <name val="&quot;Calibri Light&quot;"/>
    </font>
    <font>
      <b/>
      <sz val="11.0"/>
      <color rgb="FFFFD10D"/>
      <name val="Arial"/>
    </font>
    <font>
      <color rgb="FF5D3EBE"/>
      <name val="Arial"/>
    </font>
    <font>
      <color rgb="FF5D3EBE"/>
      <name val="Arial"/>
      <scheme val="minor"/>
    </font>
    <font>
      <color rgb="FFFFD20B"/>
      <name val="&quot;Avenir Book&quot;"/>
    </font>
    <font>
      <b/>
      <color theme="1"/>
      <name val="&quot;Avenir Book&quot;"/>
    </font>
    <font>
      <b/>
      <color rgb="FF5D3EBC"/>
      <name val="Arial"/>
      <scheme val="minor"/>
    </font>
    <font>
      <b/>
      <color rgb="FF5C3DBD"/>
      <name val="&quot;Avenir Book&quot;"/>
    </font>
    <font>
      <color rgb="FFFFD10D"/>
      <name val="Arial"/>
      <scheme val="minor"/>
    </font>
    <font>
      <b/>
      <color rgb="FFFFD20B"/>
      <name val="&quot;Avenir Book&quot;"/>
    </font>
    <font>
      <color rgb="FF5C3DBD"/>
      <name val="&quot;Avenir Book&quot;"/>
    </font>
    <font>
      <color theme="1"/>
      <name val="&quot;Avenir Book&quot;"/>
    </font>
    <font>
      <sz val="9.0"/>
      <color rgb="FF5C3DBD"/>
      <name val="&quot;Avenir Book&quot;"/>
    </font>
    <font>
      <b/>
      <color rgb="FF5D3EBE"/>
      <name val="Arial"/>
    </font>
    <font>
      <b/>
      <color rgb="FF5D3EBC"/>
      <name val="Arial"/>
    </font>
    <font>
      <color rgb="FFFFD10D"/>
      <name val="Arial"/>
    </font>
    <font>
      <b/>
      <color rgb="FF5D3EBE"/>
      <name val="Arial"/>
      <scheme val="minor"/>
    </font>
    <font>
      <b/>
      <color rgb="FF5D3EBE"/>
      <name val="Slack-Lato"/>
    </font>
    <font>
      <b/>
      <sz val="11.0"/>
      <color rgb="FF5D3EBE"/>
      <name val="Arial"/>
    </font>
    <font>
      <b/>
      <sz val="11.0"/>
      <color rgb="FF5D3EBE"/>
      <name val="Slack-Lato"/>
    </font>
  </fonts>
  <fills count="26">
    <fill>
      <patternFill patternType="none"/>
    </fill>
    <fill>
      <patternFill patternType="lightGray"/>
    </fill>
    <fill>
      <patternFill patternType="solid">
        <fgColor rgb="FF0B5394"/>
        <bgColor rgb="FF0B5394"/>
      </patternFill>
    </fill>
    <fill>
      <patternFill patternType="solid">
        <fgColor rgb="FFA2C4C9"/>
        <bgColor rgb="FFA2C4C9"/>
      </patternFill>
    </fill>
    <fill>
      <patternFill patternType="solid">
        <fgColor rgb="FFD9D2E9"/>
        <bgColor rgb="FFD9D2E9"/>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theme="5"/>
        <bgColor theme="5"/>
      </patternFill>
    </fill>
    <fill>
      <patternFill patternType="solid">
        <fgColor rgb="FFFFFF00"/>
        <bgColor rgb="FFFFFF00"/>
      </patternFill>
    </fill>
    <fill>
      <patternFill patternType="solid">
        <fgColor theme="0"/>
        <bgColor theme="0"/>
      </patternFill>
    </fill>
    <fill>
      <patternFill patternType="solid">
        <fgColor rgb="FFD5A6BD"/>
        <bgColor rgb="FFD5A6BD"/>
      </patternFill>
    </fill>
    <fill>
      <patternFill patternType="solid">
        <fgColor rgb="FF9FC5E8"/>
        <bgColor rgb="FF9FC5E8"/>
      </patternFill>
    </fill>
    <fill>
      <patternFill patternType="solid">
        <fgColor rgb="FFCCCCCC"/>
        <bgColor rgb="FFCCCCCC"/>
      </patternFill>
    </fill>
    <fill>
      <patternFill patternType="solid">
        <fgColor rgb="FFD9D9D9"/>
        <bgColor rgb="FFD9D9D9"/>
      </patternFill>
    </fill>
    <fill>
      <patternFill patternType="solid">
        <fgColor rgb="FFFF9900"/>
        <bgColor rgb="FFFF9900"/>
      </patternFill>
    </fill>
    <fill>
      <patternFill patternType="solid">
        <fgColor rgb="FFFF00FF"/>
        <bgColor rgb="FFFF00FF"/>
      </patternFill>
    </fill>
    <fill>
      <patternFill patternType="solid">
        <fgColor rgb="FFB7E1CD"/>
        <bgColor rgb="FFB7E1CD"/>
      </patternFill>
    </fill>
    <fill>
      <patternFill patternType="solid">
        <fgColor rgb="FF00FFFF"/>
        <bgColor rgb="FF00FFFF"/>
      </patternFill>
    </fill>
    <fill>
      <patternFill patternType="solid">
        <fgColor rgb="FFEFEFEF"/>
        <bgColor rgb="FFEFEFEF"/>
      </patternFill>
    </fill>
    <fill>
      <patternFill patternType="solid">
        <fgColor rgb="FF5D3EBC"/>
        <bgColor rgb="FF5D3EBC"/>
      </patternFill>
    </fill>
    <fill>
      <patternFill patternType="solid">
        <fgColor rgb="FFFFD10C"/>
        <bgColor rgb="FFFFD10C"/>
      </patternFill>
    </fill>
    <fill>
      <patternFill patternType="solid">
        <fgColor rgb="FFFFD10D"/>
        <bgColor rgb="FFFFD10D"/>
      </patternFill>
    </fill>
    <fill>
      <patternFill patternType="solid">
        <fgColor rgb="FF5C3DBD"/>
        <bgColor rgb="FF5C3DBD"/>
      </patternFill>
    </fill>
    <fill>
      <patternFill patternType="solid">
        <fgColor rgb="FFFFF5AB"/>
        <bgColor rgb="FFFFF5AB"/>
      </patternFill>
    </fill>
    <fill>
      <patternFill patternType="solid">
        <fgColor rgb="FFFFD20B"/>
        <bgColor rgb="FFFFD20B"/>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style="thin">
        <color rgb="FF000000"/>
      </top>
      <bottom style="thin">
        <color rgb="FF000000"/>
      </bottom>
    </border>
  </borders>
  <cellStyleXfs count="1">
    <xf borderId="0" fillId="0" fontId="0" numFmtId="0" applyAlignment="1" applyFont="1"/>
  </cellStyleXfs>
  <cellXfs count="45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2" fontId="1" numFmtId="164" xfId="0" applyAlignment="1" applyBorder="1" applyFont="1" applyNumberFormat="1">
      <alignment horizontal="center" vertical="bottom"/>
    </xf>
    <xf borderId="1" fillId="2" fontId="1" numFmtId="0" xfId="0" applyAlignment="1" applyBorder="1" applyFont="1">
      <alignment horizontal="center" vertical="bottom"/>
    </xf>
    <xf borderId="1" fillId="2" fontId="1" numFmtId="49" xfId="0" applyAlignment="1" applyBorder="1" applyFont="1" applyNumberFormat="1">
      <alignment horizontal="center" vertical="bottom"/>
    </xf>
    <xf borderId="1" fillId="2" fontId="1" numFmtId="0" xfId="0" applyAlignment="1" applyBorder="1" applyFont="1">
      <alignment horizontal="center" shrinkToFit="0" vertical="bottom" wrapText="1"/>
    </xf>
    <xf borderId="1" fillId="0" fontId="2" numFmtId="0" xfId="0" applyBorder="1" applyFont="1"/>
    <xf borderId="1" fillId="3" fontId="3" numFmtId="165" xfId="0" applyAlignment="1" applyBorder="1" applyFill="1" applyFont="1" applyNumberFormat="1">
      <alignment horizontal="center" readingOrder="0" shrinkToFit="0" vertical="bottom" wrapText="1"/>
    </xf>
    <xf borderId="1" fillId="0" fontId="4" numFmtId="0" xfId="0" applyAlignment="1" applyBorder="1" applyFont="1">
      <alignment vertical="bottom"/>
    </xf>
    <xf borderId="2" fillId="0" fontId="4" numFmtId="0" xfId="0" applyAlignment="1" applyBorder="1" applyFont="1">
      <alignment vertical="bottom"/>
    </xf>
    <xf borderId="3" fillId="0" fontId="5" numFmtId="0" xfId="0" applyBorder="1" applyFont="1"/>
    <xf borderId="4" fillId="0" fontId="5" numFmtId="0" xfId="0" applyBorder="1" applyFont="1"/>
    <xf borderId="1" fillId="0" fontId="6" numFmtId="0" xfId="0" applyBorder="1" applyFont="1"/>
    <xf borderId="1" fillId="4" fontId="3" numFmtId="0" xfId="0" applyAlignment="1" applyBorder="1" applyFill="1" applyFont="1">
      <alignment horizontal="center" readingOrder="0" vertical="bottom"/>
    </xf>
    <xf borderId="1" fillId="0" fontId="7" numFmtId="0" xfId="0" applyAlignment="1" applyBorder="1" applyFont="1">
      <alignment vertical="bottom"/>
    </xf>
    <xf borderId="1" fillId="5" fontId="7" numFmtId="0" xfId="0" applyAlignment="1" applyBorder="1" applyFill="1" applyFont="1">
      <alignment vertical="bottom"/>
    </xf>
    <xf borderId="1" fillId="5" fontId="4" numFmtId="49" xfId="0" applyAlignment="1" applyBorder="1" applyFont="1" applyNumberFormat="1">
      <alignment horizontal="center" readingOrder="0" vertical="bottom"/>
    </xf>
    <xf borderId="1" fillId="5" fontId="4" numFmtId="0" xfId="0" applyAlignment="1" applyBorder="1" applyFont="1">
      <alignment readingOrder="0"/>
    </xf>
    <xf borderId="1" fillId="5" fontId="4" numFmtId="0" xfId="0" applyAlignment="1" applyBorder="1" applyFont="1">
      <alignment readingOrder="0" vertical="bottom"/>
    </xf>
    <xf borderId="1" fillId="5" fontId="4" numFmtId="20" xfId="0" applyAlignment="1" applyBorder="1" applyFont="1" applyNumberFormat="1">
      <alignment vertical="bottom"/>
    </xf>
    <xf borderId="1" fillId="5" fontId="8" numFmtId="3" xfId="0" applyAlignment="1" applyBorder="1" applyFont="1" applyNumberFormat="1">
      <alignment readingOrder="0" vertical="bottom"/>
    </xf>
    <xf borderId="1" fillId="5" fontId="2" numFmtId="0" xfId="0" applyBorder="1" applyFont="1"/>
    <xf borderId="1" fillId="5" fontId="4" numFmtId="166" xfId="0" applyAlignment="1" applyBorder="1" applyFont="1" applyNumberFormat="1">
      <alignment horizontal="center" readingOrder="0" vertical="bottom"/>
    </xf>
    <xf borderId="1" fillId="5" fontId="4" numFmtId="0" xfId="0" applyAlignment="1" applyBorder="1" applyFont="1">
      <alignment vertical="bottom"/>
    </xf>
    <xf borderId="1" fillId="5" fontId="8" numFmtId="0" xfId="0" applyAlignment="1" applyBorder="1" applyFont="1">
      <alignment readingOrder="0" vertical="bottom"/>
    </xf>
    <xf borderId="1" fillId="5" fontId="7" numFmtId="0" xfId="0" applyAlignment="1" applyBorder="1" applyFont="1">
      <alignment horizontal="left" readingOrder="0"/>
    </xf>
    <xf borderId="1" fillId="0" fontId="2" numFmtId="0" xfId="0" applyAlignment="1" applyBorder="1" applyFont="1">
      <alignment horizontal="center"/>
    </xf>
    <xf borderId="1" fillId="5" fontId="2" numFmtId="0" xfId="0" applyAlignment="1" applyBorder="1" applyFont="1">
      <alignment readingOrder="0"/>
    </xf>
    <xf borderId="1" fillId="0" fontId="8" numFmtId="0" xfId="0" applyAlignment="1" applyBorder="1" applyFont="1">
      <alignment vertical="bottom"/>
    </xf>
    <xf borderId="1" fillId="6" fontId="4" numFmtId="49" xfId="0" applyAlignment="1" applyBorder="1" applyFill="1" applyFont="1" applyNumberFormat="1">
      <alignment horizontal="center" vertical="bottom"/>
    </xf>
    <xf borderId="1" fillId="6" fontId="4" numFmtId="0" xfId="0" applyAlignment="1" applyBorder="1" applyFont="1">
      <alignment vertical="bottom"/>
    </xf>
    <xf borderId="1" fillId="6" fontId="8" numFmtId="0" xfId="0" applyAlignment="1" applyBorder="1" applyFont="1">
      <alignment vertical="bottom"/>
    </xf>
    <xf borderId="1" fillId="5" fontId="4" numFmtId="166" xfId="0" applyAlignment="1" applyBorder="1" applyFont="1" applyNumberFormat="1">
      <alignment horizontal="center" readingOrder="0"/>
    </xf>
    <xf borderId="1" fillId="0" fontId="4" numFmtId="49" xfId="0" applyAlignment="1" applyBorder="1" applyFont="1" applyNumberFormat="1">
      <alignment horizontal="center" vertical="bottom"/>
    </xf>
    <xf borderId="1" fillId="0" fontId="4" numFmtId="20" xfId="0" applyAlignment="1" applyBorder="1" applyFont="1" applyNumberFormat="1">
      <alignment vertical="bottom"/>
    </xf>
    <xf borderId="1" fillId="0" fontId="4" numFmtId="166" xfId="0" applyAlignment="1" applyBorder="1" applyFont="1" applyNumberFormat="1">
      <alignment horizontal="center" vertical="bottom"/>
    </xf>
    <xf borderId="1" fillId="5" fontId="7" numFmtId="0" xfId="0" applyAlignment="1" applyBorder="1" applyFont="1">
      <alignment readingOrder="0" vertical="bottom"/>
    </xf>
    <xf borderId="1" fillId="6" fontId="4" numFmtId="49" xfId="0" applyAlignment="1" applyBorder="1" applyFont="1" applyNumberFormat="1">
      <alignment horizontal="center" readingOrder="0" vertical="bottom"/>
    </xf>
    <xf borderId="1" fillId="6" fontId="4" numFmtId="0" xfId="0" applyAlignment="1" applyBorder="1" applyFont="1">
      <alignment readingOrder="0" vertical="bottom"/>
    </xf>
    <xf borderId="1" fillId="0" fontId="4" numFmtId="0" xfId="0" applyAlignment="1" applyBorder="1" applyFont="1">
      <alignment readingOrder="0" vertical="bottom"/>
    </xf>
    <xf borderId="1" fillId="5" fontId="2" numFmtId="166" xfId="0" applyAlignment="1" applyBorder="1" applyFont="1" applyNumberFormat="1">
      <alignment horizontal="center" readingOrder="0"/>
    </xf>
    <xf borderId="1" fillId="5" fontId="6" numFmtId="3" xfId="0" applyAlignment="1" applyBorder="1" applyFont="1" applyNumberFormat="1">
      <alignment readingOrder="0"/>
    </xf>
    <xf borderId="1" fillId="7" fontId="7" numFmtId="0" xfId="0" applyAlignment="1" applyBorder="1" applyFill="1" applyFont="1">
      <alignment vertical="bottom"/>
    </xf>
    <xf borderId="1" fillId="7" fontId="4" numFmtId="166" xfId="0" applyAlignment="1" applyBorder="1" applyFont="1" applyNumberFormat="1">
      <alignment horizontal="center" readingOrder="0" vertical="bottom"/>
    </xf>
    <xf borderId="1" fillId="7" fontId="4" numFmtId="0" xfId="0" applyAlignment="1" applyBorder="1" applyFont="1">
      <alignment readingOrder="0" vertical="bottom"/>
    </xf>
    <xf borderId="1" fillId="7" fontId="4" numFmtId="0" xfId="0" applyAlignment="1" applyBorder="1" applyFont="1">
      <alignment vertical="bottom"/>
    </xf>
    <xf borderId="1" fillId="7" fontId="8" numFmtId="0" xfId="0" applyAlignment="1" applyBorder="1" applyFont="1">
      <alignment vertical="bottom"/>
    </xf>
    <xf borderId="1" fillId="7" fontId="2" numFmtId="0" xfId="0" applyBorder="1" applyFont="1"/>
    <xf borderId="1" fillId="7" fontId="2" numFmtId="0" xfId="0" applyAlignment="1" applyBorder="1" applyFont="1">
      <alignment readingOrder="0"/>
    </xf>
    <xf borderId="1" fillId="6" fontId="4" numFmtId="166" xfId="0" applyAlignment="1" applyBorder="1" applyFont="1" applyNumberFormat="1">
      <alignment horizontal="center" readingOrder="0" vertical="bottom"/>
    </xf>
    <xf borderId="5" fillId="0" fontId="4" numFmtId="0" xfId="0" applyAlignment="1" applyBorder="1" applyFont="1">
      <alignment vertical="bottom"/>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 fillId="7" fontId="4" numFmtId="49" xfId="0" applyAlignment="1" applyBorder="1" applyFont="1" applyNumberFormat="1">
      <alignment horizontal="center" readingOrder="0" vertical="bottom"/>
    </xf>
    <xf borderId="1" fillId="7" fontId="7" numFmtId="0" xfId="0" applyAlignment="1" applyBorder="1" applyFont="1">
      <alignment readingOrder="0" vertical="bottom"/>
    </xf>
    <xf borderId="1" fillId="7" fontId="6" numFmtId="0" xfId="0" applyBorder="1" applyFont="1"/>
    <xf borderId="1" fillId="0" fontId="7" numFmtId="0" xfId="0" applyAlignment="1" applyBorder="1" applyFont="1">
      <alignment readingOrder="0" shrinkToFit="0" vertical="bottom" wrapText="0"/>
    </xf>
    <xf borderId="1" fillId="5" fontId="7" numFmtId="0" xfId="0" applyAlignment="1" applyBorder="1" applyFont="1">
      <alignment readingOrder="0" shrinkToFit="0" vertical="bottom" wrapText="0"/>
    </xf>
    <xf borderId="1" fillId="7" fontId="4" numFmtId="20" xfId="0" applyAlignment="1" applyBorder="1" applyFont="1" applyNumberFormat="1">
      <alignment vertical="bottom"/>
    </xf>
    <xf borderId="1" fillId="5" fontId="6" numFmtId="0" xfId="0" applyAlignment="1" applyBorder="1" applyFont="1">
      <alignment readingOrder="0"/>
    </xf>
    <xf borderId="13" fillId="4" fontId="3" numFmtId="0" xfId="0" applyAlignment="1" applyBorder="1" applyFont="1">
      <alignment horizontal="center" readingOrder="0" vertical="bottom"/>
    </xf>
    <xf borderId="14" fillId="0" fontId="5" numFmtId="0" xfId="0" applyBorder="1" applyFont="1"/>
    <xf borderId="15" fillId="0" fontId="5" numFmtId="0" xfId="0" applyBorder="1" applyFont="1"/>
    <xf borderId="1" fillId="0" fontId="9" numFmtId="0" xfId="0" applyAlignment="1" applyBorder="1" applyFont="1">
      <alignment readingOrder="0"/>
    </xf>
    <xf borderId="1" fillId="7" fontId="9" numFmtId="0" xfId="0" applyAlignment="1" applyBorder="1" applyFont="1">
      <alignment readingOrder="0"/>
    </xf>
    <xf borderId="1" fillId="7" fontId="4" numFmtId="0" xfId="0" applyAlignment="1" applyBorder="1" applyFont="1">
      <alignment horizontal="center" readingOrder="0" vertical="bottom"/>
    </xf>
    <xf borderId="1" fillId="6" fontId="9" numFmtId="0" xfId="0" applyAlignment="1" applyBorder="1" applyFont="1">
      <alignment readingOrder="0"/>
    </xf>
    <xf borderId="1" fillId="6" fontId="4" numFmtId="0" xfId="0" applyAlignment="1" applyBorder="1" applyFont="1">
      <alignment horizontal="center" readingOrder="0" vertical="bottom"/>
    </xf>
    <xf borderId="1" fillId="7" fontId="7" numFmtId="0" xfId="0" applyAlignment="1" applyBorder="1" applyFont="1">
      <alignment readingOrder="0" shrinkToFit="0" vertical="bottom" wrapText="0"/>
    </xf>
    <xf borderId="1" fillId="7" fontId="2" numFmtId="166" xfId="0" applyAlignment="1" applyBorder="1" applyFont="1" applyNumberFormat="1">
      <alignment horizontal="center" readingOrder="0"/>
    </xf>
    <xf borderId="1" fillId="5" fontId="9" numFmtId="0" xfId="0" applyAlignment="1" applyBorder="1" applyFont="1">
      <alignment readingOrder="0"/>
    </xf>
    <xf borderId="1" fillId="5" fontId="4" numFmtId="0" xfId="0" applyAlignment="1" applyBorder="1" applyFont="1">
      <alignment horizontal="center" readingOrder="0" vertical="bottom"/>
    </xf>
    <xf borderId="1" fillId="0" fontId="10" numFmtId="0" xfId="0" applyAlignment="1" applyBorder="1" applyFont="1">
      <alignment readingOrder="0" vertical="bottom"/>
    </xf>
    <xf borderId="1" fillId="7" fontId="10" numFmtId="0" xfId="0" applyAlignment="1" applyBorder="1" applyFont="1">
      <alignment readingOrder="0" vertical="bottom"/>
    </xf>
    <xf borderId="1" fillId="7" fontId="2" numFmtId="0" xfId="0" applyAlignment="1" applyBorder="1" applyFont="1">
      <alignment horizontal="center"/>
    </xf>
    <xf borderId="1" fillId="7" fontId="4" numFmtId="49" xfId="0" applyAlignment="1" applyBorder="1" applyFont="1" applyNumberFormat="1">
      <alignment horizontal="center" vertical="bottom"/>
    </xf>
    <xf borderId="1" fillId="6" fontId="4" numFmtId="20" xfId="0" applyAlignment="1" applyBorder="1" applyFont="1" applyNumberFormat="1">
      <alignment vertical="bottom"/>
    </xf>
    <xf borderId="1" fillId="5" fontId="11" numFmtId="0" xfId="0" applyAlignment="1" applyBorder="1" applyFont="1">
      <alignment horizontal="left" readingOrder="0"/>
    </xf>
    <xf borderId="1" fillId="7" fontId="4" numFmtId="0" xfId="0" applyAlignment="1" applyBorder="1" applyFont="1">
      <alignment horizontal="left" readingOrder="0" vertical="bottom"/>
    </xf>
    <xf borderId="1" fillId="7" fontId="11" numFmtId="0" xfId="0" applyAlignment="1" applyBorder="1" applyFont="1">
      <alignment horizontal="left" readingOrder="0"/>
    </xf>
    <xf borderId="1" fillId="7" fontId="2" numFmtId="0" xfId="0" applyAlignment="1" applyBorder="1" applyFont="1">
      <alignment horizontal="center" readingOrder="0"/>
    </xf>
    <xf borderId="1" fillId="5" fontId="9" numFmtId="166" xfId="0" applyAlignment="1" applyBorder="1" applyFont="1" applyNumberFormat="1">
      <alignment horizontal="center" readingOrder="0"/>
    </xf>
    <xf borderId="1" fillId="0" fontId="7" numFmtId="0" xfId="0" applyAlignment="1" applyBorder="1" applyFont="1">
      <alignment shrinkToFit="0" vertical="bottom" wrapText="0"/>
    </xf>
    <xf borderId="1" fillId="5" fontId="7" numFmtId="0" xfId="0" applyAlignment="1" applyBorder="1" applyFont="1">
      <alignment shrinkToFit="0" vertical="bottom" wrapText="0"/>
    </xf>
    <xf borderId="13" fillId="5" fontId="4" numFmtId="0" xfId="0" applyAlignment="1" applyBorder="1" applyFont="1">
      <alignment readingOrder="0" vertical="center"/>
    </xf>
    <xf borderId="13" fillId="5" fontId="8" numFmtId="3" xfId="0" applyAlignment="1" applyBorder="1" applyFont="1" applyNumberFormat="1">
      <alignment readingOrder="0" vertical="center"/>
    </xf>
    <xf borderId="1" fillId="6" fontId="11" numFmtId="0" xfId="0" applyAlignment="1" applyBorder="1" applyFont="1">
      <alignment horizontal="left" readingOrder="0"/>
    </xf>
    <xf borderId="1" fillId="5" fontId="12" numFmtId="0" xfId="0" applyAlignment="1" applyBorder="1" applyFont="1">
      <alignment horizontal="left" readingOrder="0"/>
    </xf>
    <xf borderId="1" fillId="6" fontId="4" numFmtId="166" xfId="0" applyAlignment="1" applyBorder="1" applyFont="1" applyNumberFormat="1">
      <alignment horizontal="center" vertical="bottom"/>
    </xf>
    <xf borderId="1" fillId="3" fontId="13" numFmtId="165" xfId="0" applyAlignment="1" applyBorder="1" applyFont="1" applyNumberFormat="1">
      <alignment horizontal="center" readingOrder="0" shrinkToFit="0" vertical="bottom" wrapText="1"/>
    </xf>
    <xf borderId="1" fillId="5" fontId="7" numFmtId="0" xfId="0" applyAlignment="1" applyBorder="1" applyFont="1">
      <alignment horizontal="center" readingOrder="0" shrinkToFit="0" vertical="bottom" wrapText="0"/>
    </xf>
    <xf borderId="1" fillId="5" fontId="8" numFmtId="3" xfId="0" applyAlignment="1" applyBorder="1" applyFont="1" applyNumberFormat="1">
      <alignment vertical="bottom"/>
    </xf>
    <xf borderId="1" fillId="5" fontId="7" numFmtId="166" xfId="0" applyAlignment="1" applyBorder="1" applyFont="1" applyNumberFormat="1">
      <alignment horizontal="center" readingOrder="0" shrinkToFit="0" vertical="bottom" wrapText="0"/>
    </xf>
    <xf borderId="1" fillId="5" fontId="8" numFmtId="0" xfId="0" applyAlignment="1" applyBorder="1" applyFont="1">
      <alignment vertical="bottom"/>
    </xf>
    <xf borderId="1" fillId="7" fontId="8" numFmtId="3" xfId="0" applyAlignment="1" applyBorder="1" applyFont="1" applyNumberFormat="1">
      <alignment vertical="bottom"/>
    </xf>
    <xf borderId="1" fillId="0" fontId="2" numFmtId="166" xfId="0" applyAlignment="1" applyBorder="1" applyFont="1" applyNumberFormat="1">
      <alignment horizontal="center" readingOrder="0"/>
    </xf>
    <xf borderId="1" fillId="0" fontId="2" numFmtId="0" xfId="0" applyAlignment="1" applyBorder="1" applyFont="1">
      <alignment readingOrder="0"/>
    </xf>
    <xf borderId="1" fillId="0" fontId="8" numFmtId="3" xfId="0" applyAlignment="1" applyBorder="1" applyFont="1" applyNumberFormat="1">
      <alignment vertical="bottom"/>
    </xf>
    <xf borderId="1" fillId="5" fontId="7" numFmtId="0" xfId="0" applyAlignment="1" applyBorder="1" applyFont="1">
      <alignment horizontal="left" readingOrder="0" vertical="bottom"/>
    </xf>
    <xf borderId="1" fillId="5" fontId="7" numFmtId="0" xfId="0" applyAlignment="1" applyBorder="1" applyFont="1">
      <alignment horizontal="right" vertical="bottom"/>
    </xf>
    <xf borderId="1" fillId="5" fontId="2" numFmtId="0" xfId="0" applyAlignment="1" applyBorder="1" applyFont="1">
      <alignment horizontal="center" readingOrder="0"/>
    </xf>
    <xf borderId="1" fillId="7" fontId="14" numFmtId="3" xfId="0" applyBorder="1" applyFont="1" applyNumberFormat="1"/>
    <xf borderId="1" fillId="5" fontId="14" numFmtId="3" xfId="0" applyBorder="1" applyFont="1" applyNumberFormat="1"/>
    <xf borderId="1" fillId="7" fontId="14" numFmtId="0" xfId="0" applyBorder="1" applyFont="1"/>
    <xf borderId="1" fillId="6" fontId="14" numFmtId="3" xfId="0" applyBorder="1" applyFont="1" applyNumberFormat="1"/>
    <xf borderId="1" fillId="5" fontId="14" numFmtId="0" xfId="0" applyBorder="1" applyFont="1"/>
    <xf borderId="1" fillId="7" fontId="7" numFmtId="0" xfId="0" applyAlignment="1" applyBorder="1" applyFont="1">
      <alignment vertical="bottom"/>
    </xf>
    <xf borderId="1" fillId="7" fontId="4" numFmtId="0" xfId="0" applyAlignment="1" applyBorder="1" applyFont="1">
      <alignment vertical="bottom"/>
    </xf>
    <xf borderId="1" fillId="5" fontId="7" numFmtId="49" xfId="0" applyAlignment="1" applyBorder="1" applyFont="1" applyNumberFormat="1">
      <alignment vertical="bottom"/>
    </xf>
    <xf borderId="1" fillId="5" fontId="15" numFmtId="0" xfId="0" applyAlignment="1" applyBorder="1" applyFont="1">
      <alignment horizontal="left" readingOrder="0"/>
    </xf>
    <xf borderId="1" fillId="5" fontId="7" numFmtId="0" xfId="0" applyAlignment="1" applyBorder="1" applyFont="1">
      <alignment horizontal="center" vertical="bottom"/>
    </xf>
    <xf borderId="1" fillId="0" fontId="7" numFmtId="0" xfId="0" applyAlignment="1" applyBorder="1" applyFont="1">
      <alignment readingOrder="0" vertical="bottom"/>
    </xf>
    <xf borderId="1" fillId="6" fontId="7" numFmtId="0" xfId="0" applyAlignment="1" applyBorder="1" applyFont="1">
      <alignment readingOrder="0" vertical="bottom"/>
    </xf>
    <xf borderId="1" fillId="5" fontId="7" numFmtId="0" xfId="0" applyAlignment="1" applyBorder="1" applyFont="1">
      <alignment horizontal="right" readingOrder="0" vertical="bottom"/>
    </xf>
    <xf borderId="2" fillId="0" fontId="7" numFmtId="0" xfId="0" applyAlignment="1" applyBorder="1" applyFont="1">
      <alignment readingOrder="0" vertical="bottom"/>
    </xf>
    <xf borderId="1" fillId="0" fontId="2" numFmtId="0" xfId="0" applyAlignment="1" applyBorder="1" applyFont="1">
      <alignment horizontal="center" readingOrder="0"/>
    </xf>
    <xf borderId="1" fillId="0" fontId="7" numFmtId="0" xfId="0" applyAlignment="1" applyBorder="1" applyFont="1">
      <alignment horizontal="center" readingOrder="0" shrinkToFit="0" vertical="bottom" wrapText="0"/>
    </xf>
    <xf borderId="1" fillId="5" fontId="2" numFmtId="0" xfId="0" applyAlignment="1" applyBorder="1" applyFont="1">
      <alignment readingOrder="0"/>
    </xf>
    <xf borderId="1" fillId="7" fontId="7" numFmtId="0" xfId="0" applyAlignment="1" applyBorder="1" applyFont="1">
      <alignment horizontal="left" readingOrder="0"/>
    </xf>
    <xf borderId="1" fillId="7" fontId="2" numFmtId="0" xfId="0" applyAlignment="1" applyBorder="1" applyFont="1">
      <alignment readingOrder="0"/>
    </xf>
    <xf borderId="1" fillId="6" fontId="7" numFmtId="0" xfId="0" applyAlignment="1" applyBorder="1" applyFont="1">
      <alignment vertical="bottom"/>
    </xf>
    <xf borderId="1" fillId="0" fontId="4" numFmtId="0" xfId="0" applyAlignment="1" applyBorder="1" applyFont="1">
      <alignment horizontal="center" vertical="bottom"/>
    </xf>
    <xf borderId="1" fillId="0" fontId="4" numFmtId="0" xfId="0" applyAlignment="1" applyBorder="1" applyFont="1">
      <alignment readingOrder="0" vertical="bottom"/>
    </xf>
    <xf borderId="1" fillId="0" fontId="4" numFmtId="166" xfId="0" applyAlignment="1" applyBorder="1" applyFont="1" applyNumberFormat="1">
      <alignment horizontal="center" readingOrder="0" vertical="bottom"/>
    </xf>
    <xf borderId="1" fillId="0" fontId="2" numFmtId="0" xfId="0" applyAlignment="1" applyBorder="1" applyFont="1">
      <alignment readingOrder="0"/>
    </xf>
    <xf borderId="1" fillId="4" fontId="4" numFmtId="0" xfId="0" applyAlignment="1" applyBorder="1" applyFont="1">
      <alignment vertical="bottom"/>
    </xf>
    <xf borderId="1" fillId="4" fontId="3" numFmtId="0" xfId="0" applyAlignment="1" applyBorder="1" applyFont="1">
      <alignment horizontal="center" vertical="bottom"/>
    </xf>
    <xf borderId="1" fillId="6" fontId="14" numFmtId="0" xfId="0" applyBorder="1" applyFont="1"/>
    <xf borderId="1" fillId="7" fontId="16" numFmtId="0" xfId="0" applyAlignment="1" applyBorder="1" applyFont="1">
      <alignment readingOrder="0" vertical="bottom"/>
    </xf>
    <xf borderId="1" fillId="7" fontId="17" numFmtId="0" xfId="0" applyAlignment="1" applyBorder="1" applyFont="1">
      <alignment vertical="bottom"/>
    </xf>
    <xf borderId="1" fillId="7" fontId="16" numFmtId="0" xfId="0" applyAlignment="1" applyBorder="1" applyFont="1">
      <alignment horizontal="center" readingOrder="0" vertical="bottom"/>
    </xf>
    <xf borderId="1" fillId="0" fontId="4" numFmtId="0" xfId="0" applyAlignment="1" applyBorder="1" applyFont="1">
      <alignment horizontal="center" readingOrder="0" vertical="bottom"/>
    </xf>
    <xf borderId="1" fillId="0" fontId="7" numFmtId="166" xfId="0" applyAlignment="1" applyBorder="1" applyFont="1" applyNumberFormat="1">
      <alignment horizontal="center" readingOrder="0" shrinkToFit="0" vertical="bottom" wrapText="0"/>
    </xf>
    <xf borderId="1" fillId="0" fontId="7" numFmtId="0" xfId="0" applyAlignment="1" applyBorder="1" applyFont="1">
      <alignment horizontal="left" readingOrder="0" vertical="bottom"/>
    </xf>
    <xf borderId="1" fillId="0" fontId="4" numFmtId="3" xfId="0" applyAlignment="1" applyBorder="1" applyFont="1" applyNumberFormat="1">
      <alignment horizontal="center" readingOrder="0" vertical="bottom"/>
    </xf>
    <xf borderId="1" fillId="8" fontId="4" numFmtId="0" xfId="0" applyAlignment="1" applyBorder="1" applyFill="1" applyFont="1">
      <alignment readingOrder="0" vertical="bottom"/>
    </xf>
    <xf borderId="1" fillId="8" fontId="4" numFmtId="0" xfId="0" applyAlignment="1" applyBorder="1" applyFont="1">
      <alignment horizontal="center" readingOrder="0" vertical="bottom"/>
    </xf>
    <xf borderId="1" fillId="0" fontId="18" numFmtId="0" xfId="0" applyAlignment="1" applyBorder="1" applyFont="1">
      <alignment readingOrder="0" vertical="bottom"/>
    </xf>
    <xf borderId="0" fillId="7" fontId="2" numFmtId="0" xfId="0" applyAlignment="1" applyFont="1">
      <alignment readingOrder="0"/>
    </xf>
    <xf borderId="0" fillId="5" fontId="2" numFmtId="0" xfId="0" applyAlignment="1" applyFont="1">
      <alignment readingOrder="0"/>
    </xf>
    <xf borderId="0" fillId="5" fontId="2" numFmtId="0" xfId="0" applyAlignment="1" applyFont="1">
      <alignment readingOrder="0"/>
    </xf>
    <xf borderId="0" fillId="0" fontId="2" numFmtId="166" xfId="0" applyAlignment="1" applyFont="1" applyNumberFormat="1">
      <alignment horizontal="center" readingOrder="0"/>
    </xf>
    <xf borderId="0" fillId="0" fontId="2" numFmtId="0" xfId="0" applyAlignment="1" applyFont="1">
      <alignment readingOrder="0"/>
    </xf>
    <xf borderId="0" fillId="7" fontId="2" numFmtId="0" xfId="0" applyAlignment="1" applyFont="1">
      <alignment readingOrder="0"/>
    </xf>
    <xf borderId="0" fillId="0" fontId="2" numFmtId="0" xfId="0" applyAlignment="1" applyFont="1">
      <alignment readingOrder="0"/>
    </xf>
    <xf borderId="0" fillId="0" fontId="7" numFmtId="0" xfId="0" applyAlignment="1" applyFont="1">
      <alignment readingOrder="0" shrinkToFit="0" vertical="bottom" wrapText="0"/>
    </xf>
    <xf borderId="0" fillId="0" fontId="2" numFmtId="0" xfId="0" applyAlignment="1" applyFont="1">
      <alignment horizontal="center"/>
    </xf>
    <xf borderId="13" fillId="9" fontId="19" numFmtId="0" xfId="0" applyAlignment="1" applyBorder="1" applyFill="1" applyFont="1">
      <alignment horizontal="center" readingOrder="0" vertical="center"/>
    </xf>
    <xf borderId="0" fillId="7" fontId="7" numFmtId="0" xfId="0" applyAlignment="1" applyFont="1">
      <alignment vertical="bottom"/>
    </xf>
    <xf borderId="0" fillId="7" fontId="7" numFmtId="0" xfId="0" applyAlignment="1" applyFont="1">
      <alignment horizontal="left" readingOrder="0" vertical="bottom"/>
    </xf>
    <xf borderId="0" fillId="7" fontId="7" numFmtId="0" xfId="0" applyAlignment="1" applyFont="1">
      <alignment readingOrder="0" shrinkToFit="0" vertical="bottom" wrapText="0"/>
    </xf>
    <xf borderId="1" fillId="6" fontId="2" numFmtId="0" xfId="0" applyAlignment="1" applyBorder="1" applyFont="1">
      <alignment readingOrder="0"/>
    </xf>
    <xf borderId="1" fillId="0" fontId="4" numFmtId="0" xfId="0" applyAlignment="1" applyBorder="1" applyFont="1">
      <alignment vertical="bottom"/>
    </xf>
    <xf borderId="1" fillId="0" fontId="4" numFmtId="0" xfId="0" applyAlignment="1" applyBorder="1" applyFont="1">
      <alignment horizontal="center" vertical="bottom"/>
    </xf>
    <xf borderId="13" fillId="4" fontId="3" numFmtId="0" xfId="0" applyAlignment="1" applyBorder="1" applyFont="1">
      <alignment horizontal="center" readingOrder="0" vertical="center"/>
    </xf>
    <xf borderId="0" fillId="0" fontId="4" numFmtId="0" xfId="0" applyAlignment="1" applyFont="1">
      <alignment vertical="bottom"/>
    </xf>
    <xf borderId="0" fillId="0" fontId="4" numFmtId="0" xfId="0" applyAlignment="1" applyFont="1">
      <alignment horizontal="center" vertical="bottom"/>
    </xf>
    <xf borderId="0" fillId="5" fontId="7" numFmtId="0" xfId="0" applyAlignment="1" applyFont="1">
      <alignment readingOrder="0" shrinkToFit="0" vertical="bottom" wrapText="0"/>
    </xf>
    <xf borderId="0" fillId="7" fontId="4" numFmtId="0" xfId="0" applyAlignment="1" applyFont="1">
      <alignment readingOrder="0" vertical="bottom"/>
    </xf>
    <xf borderId="0" fillId="7" fontId="4" numFmtId="166" xfId="0" applyAlignment="1" applyFont="1" applyNumberFormat="1">
      <alignment horizontal="center" readingOrder="0" vertical="bottom"/>
    </xf>
    <xf borderId="0" fillId="0" fontId="4" numFmtId="0" xfId="0" applyAlignment="1" applyFont="1">
      <alignment readingOrder="0" vertical="bottom"/>
    </xf>
    <xf borderId="0" fillId="4" fontId="2" numFmtId="0" xfId="0" applyFont="1"/>
    <xf borderId="1" fillId="4" fontId="3" numFmtId="0" xfId="0" applyAlignment="1" applyBorder="1" applyFont="1">
      <alignment horizontal="center" readingOrder="0" vertical="center"/>
    </xf>
    <xf borderId="0" fillId="6" fontId="2" numFmtId="0" xfId="0" applyAlignment="1" applyFont="1">
      <alignment readingOrder="0"/>
    </xf>
    <xf borderId="0" fillId="6" fontId="7" numFmtId="0" xfId="0" applyAlignment="1" applyFont="1">
      <alignment readingOrder="0" shrinkToFit="0" vertical="bottom" wrapText="0"/>
    </xf>
    <xf borderId="0" fillId="6" fontId="7" numFmtId="0" xfId="0" applyAlignment="1" applyFont="1">
      <alignment vertical="bottom"/>
    </xf>
    <xf borderId="0" fillId="5" fontId="4" numFmtId="0" xfId="0" applyAlignment="1" applyFont="1">
      <alignment readingOrder="0" vertical="bottom"/>
    </xf>
    <xf borderId="1" fillId="0" fontId="8" numFmtId="0" xfId="0" applyAlignment="1" applyBorder="1" applyFont="1">
      <alignment readingOrder="0" vertical="bottom"/>
    </xf>
    <xf borderId="1" fillId="3" fontId="13" numFmtId="0" xfId="0" applyAlignment="1" applyBorder="1" applyFont="1">
      <alignment horizontal="center" readingOrder="0" shrinkToFit="0" vertical="bottom" wrapText="1"/>
    </xf>
    <xf borderId="0" fillId="7" fontId="2" numFmtId="166" xfId="0" applyAlignment="1" applyFont="1" applyNumberFormat="1">
      <alignment horizontal="center" readingOrder="0"/>
    </xf>
    <xf borderId="0" fillId="5" fontId="7" numFmtId="0" xfId="0" applyAlignment="1" applyFont="1">
      <alignment vertical="bottom"/>
    </xf>
    <xf borderId="0" fillId="4" fontId="4" numFmtId="0" xfId="0" applyAlignment="1" applyFont="1">
      <alignment vertical="bottom"/>
    </xf>
    <xf borderId="2" fillId="0" fontId="4" numFmtId="0" xfId="0" applyAlignment="1" applyBorder="1" applyFont="1">
      <alignment readingOrder="0" vertical="bottom"/>
    </xf>
    <xf borderId="5" fillId="9" fontId="20" numFmtId="0" xfId="0" applyAlignment="1" applyBorder="1" applyFont="1">
      <alignment horizontal="center" readingOrder="0" vertical="center"/>
    </xf>
    <xf borderId="1" fillId="3" fontId="4" numFmtId="165" xfId="0" applyAlignment="1" applyBorder="1" applyFont="1" applyNumberFormat="1">
      <alignment vertical="bottom"/>
    </xf>
    <xf borderId="14" fillId="4" fontId="8" numFmtId="0" xfId="0" applyAlignment="1" applyBorder="1" applyFont="1">
      <alignment horizontal="center"/>
    </xf>
    <xf borderId="12" fillId="4" fontId="8" numFmtId="0" xfId="0" applyAlignment="1" applyBorder="1" applyFont="1">
      <alignment horizontal="center" vertical="bottom"/>
    </xf>
    <xf borderId="0" fillId="5" fontId="15" numFmtId="0" xfId="0" applyAlignment="1" applyFont="1">
      <alignment horizontal="left" readingOrder="0"/>
    </xf>
    <xf borderId="0" fillId="5" fontId="9" numFmtId="0" xfId="0" applyAlignment="1" applyFont="1">
      <alignment readingOrder="0"/>
    </xf>
    <xf borderId="4" fillId="3" fontId="21" numFmtId="165" xfId="0" applyAlignment="1" applyBorder="1" applyFont="1" applyNumberFormat="1">
      <alignment horizontal="center" readingOrder="0" shrinkToFit="0" vertical="bottom" wrapText="1"/>
    </xf>
    <xf borderId="14" fillId="4" fontId="8" numFmtId="0" xfId="0" applyAlignment="1" applyBorder="1" applyFont="1">
      <alignment horizontal="center" vertical="bottom"/>
    </xf>
    <xf borderId="2" fillId="5" fontId="4" numFmtId="0" xfId="0" applyAlignment="1" applyBorder="1" applyFont="1">
      <alignment readingOrder="0" vertical="bottom"/>
    </xf>
    <xf borderId="15" fillId="4" fontId="8" numFmtId="0" xfId="0" applyAlignment="1" applyBorder="1" applyFont="1">
      <alignment horizontal="center" vertical="bottom"/>
    </xf>
    <xf borderId="1" fillId="9" fontId="4" numFmtId="0" xfId="0" applyAlignment="1" applyBorder="1" applyFont="1">
      <alignment readingOrder="0" vertical="bottom"/>
    </xf>
    <xf borderId="1" fillId="10" fontId="2" numFmtId="0" xfId="0" applyAlignment="1" applyBorder="1" applyFill="1" applyFont="1">
      <alignment readingOrder="0"/>
    </xf>
    <xf borderId="1" fillId="10" fontId="4" numFmtId="0" xfId="0" applyAlignment="1" applyBorder="1" applyFont="1">
      <alignment vertical="bottom"/>
    </xf>
    <xf borderId="1" fillId="5" fontId="22" numFmtId="0" xfId="0" applyAlignment="1" applyBorder="1" applyFont="1">
      <alignment vertical="bottom"/>
    </xf>
    <xf borderId="1" fillId="10" fontId="4" numFmtId="0" xfId="0" applyAlignment="1" applyBorder="1" applyFont="1">
      <alignment readingOrder="0" vertical="bottom"/>
    </xf>
    <xf borderId="1" fillId="11" fontId="4" numFmtId="0" xfId="0" applyAlignment="1" applyBorder="1" applyFill="1" applyFont="1">
      <alignment readingOrder="0" vertical="bottom"/>
    </xf>
    <xf borderId="1" fillId="11" fontId="4" numFmtId="0" xfId="0" applyAlignment="1" applyBorder="1" applyFont="1">
      <alignment vertical="bottom"/>
    </xf>
    <xf borderId="1" fillId="5" fontId="4" numFmtId="0" xfId="0" applyAlignment="1" applyBorder="1" applyFont="1">
      <alignment vertical="bottom"/>
    </xf>
    <xf borderId="1" fillId="5" fontId="22" numFmtId="0" xfId="0" applyAlignment="1" applyBorder="1" applyFont="1">
      <alignment vertical="bottom"/>
    </xf>
    <xf borderId="4" fillId="5" fontId="4" numFmtId="0" xfId="0" applyAlignment="1" applyBorder="1" applyFont="1">
      <alignment horizontal="center" readingOrder="0" vertical="bottom"/>
    </xf>
    <xf borderId="4" fillId="5" fontId="4" numFmtId="0" xfId="0" applyAlignment="1" applyBorder="1" applyFont="1">
      <alignment vertical="bottom"/>
    </xf>
    <xf borderId="1" fillId="5" fontId="23" numFmtId="0" xfId="0" applyAlignment="1" applyBorder="1" applyFont="1">
      <alignment vertical="bottom"/>
    </xf>
    <xf borderId="2" fillId="9" fontId="7" numFmtId="0" xfId="0" applyAlignment="1" applyBorder="1" applyFont="1">
      <alignment readingOrder="0" shrinkToFit="0" vertical="bottom" wrapText="0"/>
    </xf>
    <xf borderId="0" fillId="7" fontId="15" numFmtId="0" xfId="0" applyAlignment="1" applyFont="1">
      <alignment horizontal="left" readingOrder="0"/>
    </xf>
    <xf borderId="0" fillId="7" fontId="9" numFmtId="0" xfId="0" applyAlignment="1" applyFont="1">
      <alignment readingOrder="0"/>
    </xf>
    <xf borderId="0" fillId="5" fontId="2" numFmtId="166" xfId="0" applyAlignment="1" applyFont="1" applyNumberFormat="1">
      <alignment horizontal="center" readingOrder="0"/>
    </xf>
    <xf borderId="1" fillId="9" fontId="7" numFmtId="0" xfId="0" applyAlignment="1" applyBorder="1" applyFont="1">
      <alignment readingOrder="0" shrinkToFit="0" vertical="bottom" wrapText="0"/>
    </xf>
    <xf borderId="1" fillId="6" fontId="15" numFmtId="0" xfId="0" applyAlignment="1" applyBorder="1" applyFont="1">
      <alignment horizontal="left" readingOrder="0"/>
    </xf>
    <xf borderId="1" fillId="5" fontId="4" numFmtId="0" xfId="0" applyAlignment="1" applyBorder="1" applyFont="1">
      <alignment horizontal="center" vertical="bottom"/>
    </xf>
    <xf borderId="1" fillId="5" fontId="23" numFmtId="0" xfId="0" applyAlignment="1" applyBorder="1" applyFont="1">
      <alignment shrinkToFit="0" vertical="bottom" wrapText="0"/>
    </xf>
    <xf borderId="1" fillId="5" fontId="24" numFmtId="0" xfId="0" applyAlignment="1" applyBorder="1" applyFont="1">
      <alignment horizontal="center" readingOrder="0" vertical="center"/>
    </xf>
    <xf borderId="1" fillId="10" fontId="7" numFmtId="0" xfId="0" applyAlignment="1" applyBorder="1" applyFont="1">
      <alignment readingOrder="0" shrinkToFit="0" vertical="bottom" wrapText="0"/>
    </xf>
    <xf borderId="1" fillId="10" fontId="4" numFmtId="0" xfId="0" applyAlignment="1" applyBorder="1" applyFont="1">
      <alignment horizontal="center" readingOrder="0" vertical="bottom"/>
    </xf>
    <xf borderId="1" fillId="6" fontId="7" numFmtId="0" xfId="0" applyAlignment="1" applyBorder="1" applyFont="1">
      <alignment readingOrder="0" shrinkToFit="0" vertical="bottom" wrapText="0"/>
    </xf>
    <xf borderId="4" fillId="5" fontId="22" numFmtId="0" xfId="0" applyAlignment="1" applyBorder="1" applyFont="1">
      <alignment vertical="bottom"/>
    </xf>
    <xf borderId="4" fillId="5" fontId="4" numFmtId="166" xfId="0" applyAlignment="1" applyBorder="1" applyFont="1" applyNumberFormat="1">
      <alignment horizontal="center" readingOrder="0" vertical="bottom"/>
    </xf>
    <xf borderId="4" fillId="5" fontId="23" numFmtId="0" xfId="0" applyAlignment="1" applyBorder="1" applyFont="1">
      <alignment vertical="bottom"/>
    </xf>
    <xf borderId="0" fillId="10" fontId="7" numFmtId="0" xfId="0" applyAlignment="1" applyFont="1">
      <alignment readingOrder="0" shrinkToFit="0" vertical="bottom" wrapText="0"/>
    </xf>
    <xf borderId="15" fillId="3" fontId="4" numFmtId="165" xfId="0" applyAlignment="1" applyBorder="1" applyFont="1" applyNumberFormat="1">
      <alignment vertical="bottom"/>
    </xf>
    <xf borderId="12" fillId="3" fontId="21" numFmtId="165" xfId="0" applyAlignment="1" applyBorder="1" applyFont="1" applyNumberFormat="1">
      <alignment horizontal="center" readingOrder="0" shrinkToFit="0" vertical="bottom" wrapText="1"/>
    </xf>
    <xf borderId="14" fillId="4" fontId="8" numFmtId="0" xfId="0" applyAlignment="1" applyBorder="1" applyFont="1">
      <alignment horizontal="center" vertical="center"/>
    </xf>
    <xf borderId="1" fillId="7" fontId="22" numFmtId="0" xfId="0" applyAlignment="1" applyBorder="1" applyFont="1">
      <alignment vertical="bottom"/>
    </xf>
    <xf borderId="15" fillId="7" fontId="4" numFmtId="0" xfId="0" applyAlignment="1" applyBorder="1" applyFont="1">
      <alignment vertical="bottom"/>
    </xf>
    <xf borderId="15" fillId="7" fontId="4" numFmtId="0" xfId="0" applyAlignment="1" applyBorder="1" applyFont="1">
      <alignment vertical="bottom"/>
    </xf>
    <xf borderId="15" fillId="7" fontId="4" numFmtId="0" xfId="0" applyAlignment="1" applyBorder="1" applyFont="1">
      <alignment readingOrder="0" vertical="bottom"/>
    </xf>
    <xf borderId="15" fillId="0" fontId="4" numFmtId="0" xfId="0" applyAlignment="1" applyBorder="1" applyFont="1">
      <alignment vertical="bottom"/>
    </xf>
    <xf borderId="1" fillId="0" fontId="22" numFmtId="0" xfId="0" applyAlignment="1" applyBorder="1" applyFont="1">
      <alignment vertical="bottom"/>
    </xf>
    <xf borderId="4" fillId="5" fontId="4" numFmtId="0" xfId="0" applyAlignment="1" applyBorder="1" applyFont="1">
      <alignment readingOrder="0" vertical="bottom"/>
    </xf>
    <xf borderId="1" fillId="7" fontId="15" numFmtId="0" xfId="0" applyAlignment="1" applyBorder="1" applyFont="1">
      <alignment horizontal="left" readingOrder="0"/>
    </xf>
    <xf borderId="12" fillId="7" fontId="4" numFmtId="0" xfId="0" applyAlignment="1" applyBorder="1" applyFont="1">
      <alignment vertical="bottom"/>
    </xf>
    <xf borderId="12" fillId="7" fontId="4" numFmtId="166" xfId="0" applyAlignment="1" applyBorder="1" applyFont="1" applyNumberFormat="1">
      <alignment horizontal="center" readingOrder="0" vertical="bottom"/>
    </xf>
    <xf borderId="12" fillId="7" fontId="4" numFmtId="0" xfId="0" applyAlignment="1" applyBorder="1" applyFont="1">
      <alignment readingOrder="0" vertical="bottom"/>
    </xf>
    <xf borderId="15" fillId="5" fontId="22" numFmtId="0" xfId="0" applyAlignment="1" applyBorder="1" applyFont="1">
      <alignment vertical="bottom"/>
    </xf>
    <xf borderId="12" fillId="5" fontId="22" numFmtId="0" xfId="0" applyAlignment="1" applyBorder="1" applyFont="1">
      <alignment vertical="bottom"/>
    </xf>
    <xf borderId="12" fillId="5" fontId="4" numFmtId="166" xfId="0" applyAlignment="1" applyBorder="1" applyFont="1" applyNumberFormat="1">
      <alignment horizontal="center" readingOrder="0" vertical="bottom"/>
    </xf>
    <xf borderId="12" fillId="5" fontId="4" numFmtId="0" xfId="0" applyAlignment="1" applyBorder="1" applyFont="1">
      <alignment vertical="bottom"/>
    </xf>
    <xf borderId="12" fillId="5" fontId="4" numFmtId="0" xfId="0" applyAlignment="1" applyBorder="1" applyFont="1">
      <alignment readingOrder="0" vertical="bottom"/>
    </xf>
    <xf borderId="15" fillId="5" fontId="4" numFmtId="0" xfId="0" applyAlignment="1" applyBorder="1" applyFont="1">
      <alignment vertical="bottom"/>
    </xf>
    <xf borderId="1" fillId="10" fontId="4" numFmtId="166" xfId="0" applyAlignment="1" applyBorder="1" applyFont="1" applyNumberFormat="1">
      <alignment horizontal="center" readingOrder="0" vertical="bottom"/>
    </xf>
    <xf borderId="2" fillId="5" fontId="7" numFmtId="0" xfId="0" applyAlignment="1" applyBorder="1" applyFont="1">
      <alignment readingOrder="0" shrinkToFit="0" vertical="bottom" wrapText="0"/>
    </xf>
    <xf borderId="1" fillId="5" fontId="24" numFmtId="166" xfId="0" applyAlignment="1" applyBorder="1" applyFont="1" applyNumberFormat="1">
      <alignment horizontal="center" readingOrder="0" vertical="center"/>
    </xf>
    <xf borderId="1" fillId="5" fontId="22" numFmtId="0" xfId="0" applyAlignment="1" applyBorder="1" applyFont="1">
      <alignment readingOrder="0" vertical="bottom"/>
    </xf>
    <xf borderId="16" fillId="5" fontId="23" numFmtId="0" xfId="0" applyAlignment="1" applyBorder="1" applyFont="1">
      <alignment shrinkToFit="0" vertical="bottom" wrapText="0"/>
    </xf>
    <xf borderId="4" fillId="10" fontId="21" numFmtId="165" xfId="0" applyAlignment="1" applyBorder="1" applyFont="1" applyNumberFormat="1">
      <alignment horizontal="center" readingOrder="0" shrinkToFit="0" vertical="bottom" wrapText="1"/>
    </xf>
    <xf borderId="1" fillId="10" fontId="21" numFmtId="165" xfId="0" applyAlignment="1" applyBorder="1" applyFont="1" applyNumberFormat="1">
      <alignment horizontal="center" readingOrder="0" shrinkToFit="0" vertical="bottom" wrapText="1"/>
    </xf>
    <xf borderId="1" fillId="10" fontId="8" numFmtId="0" xfId="0" applyAlignment="1" applyBorder="1" applyFont="1">
      <alignment horizontal="center" vertical="bottom"/>
    </xf>
    <xf borderId="0" fillId="0" fontId="7" numFmtId="0" xfId="0" applyAlignment="1" applyFont="1">
      <alignment vertical="bottom"/>
    </xf>
    <xf borderId="0" fillId="0" fontId="4" numFmtId="0" xfId="0" applyFont="1"/>
    <xf borderId="0" fillId="5" fontId="7" numFmtId="0" xfId="0" applyAlignment="1" applyFont="1">
      <alignment readingOrder="0" vertical="bottom"/>
    </xf>
    <xf borderId="1" fillId="9" fontId="4" numFmtId="0" xfId="0" applyAlignment="1" applyBorder="1" applyFont="1">
      <alignment vertical="bottom"/>
    </xf>
    <xf borderId="1" fillId="7" fontId="22" numFmtId="0" xfId="0" applyAlignment="1" applyBorder="1" applyFont="1">
      <alignment vertical="bottom"/>
    </xf>
    <xf borderId="11" fillId="5" fontId="22" numFmtId="0" xfId="0" applyAlignment="1" applyBorder="1" applyFont="1">
      <alignment vertical="bottom"/>
    </xf>
    <xf borderId="0" fillId="5" fontId="25" numFmtId="0" xfId="0" applyAlignment="1" applyFont="1">
      <alignment horizontal="left" readingOrder="0"/>
    </xf>
    <xf borderId="0" fillId="5" fontId="11" numFmtId="0" xfId="0" applyAlignment="1" applyFont="1">
      <alignment horizontal="left" readingOrder="0"/>
    </xf>
    <xf borderId="1" fillId="12" fontId="4" numFmtId="0" xfId="0" applyAlignment="1" applyBorder="1" applyFill="1" applyFont="1">
      <alignment readingOrder="0" vertical="bottom"/>
    </xf>
    <xf borderId="1" fillId="13" fontId="4" numFmtId="0" xfId="0" applyAlignment="1" applyBorder="1" applyFill="1" applyFont="1">
      <alignment readingOrder="0" vertical="bottom"/>
    </xf>
    <xf borderId="1" fillId="13" fontId="7" numFmtId="0" xfId="0" applyAlignment="1" applyBorder="1" applyFont="1">
      <alignment readingOrder="0" shrinkToFit="0" vertical="bottom" wrapText="0"/>
    </xf>
    <xf borderId="1" fillId="5" fontId="4" numFmtId="166" xfId="0" applyAlignment="1" applyBorder="1" applyFont="1" applyNumberFormat="1">
      <alignment horizontal="center" vertical="bottom"/>
    </xf>
    <xf borderId="1" fillId="5" fontId="22" numFmtId="0" xfId="0" applyAlignment="1" applyBorder="1" applyFont="1">
      <alignment shrinkToFit="0" vertical="bottom" wrapText="0"/>
    </xf>
    <xf borderId="13" fillId="4" fontId="8" numFmtId="0" xfId="0" applyAlignment="1" applyBorder="1" applyFont="1">
      <alignment horizontal="center" vertical="bottom"/>
    </xf>
    <xf borderId="4" fillId="4" fontId="8" numFmtId="0" xfId="0" applyAlignment="1" applyBorder="1" applyFont="1">
      <alignment horizontal="center" vertical="bottom"/>
    </xf>
    <xf borderId="0" fillId="5" fontId="22" numFmtId="0" xfId="0" applyAlignment="1" applyFont="1">
      <alignment vertical="bottom"/>
    </xf>
    <xf borderId="4" fillId="5" fontId="4" numFmtId="166" xfId="0" applyAlignment="1" applyBorder="1" applyFont="1" applyNumberFormat="1">
      <alignment horizontal="center" vertical="bottom"/>
    </xf>
    <xf borderId="0" fillId="7" fontId="22" numFmtId="166" xfId="0" applyAlignment="1" applyFont="1" applyNumberFormat="1">
      <alignment vertical="bottom"/>
    </xf>
    <xf borderId="11" fillId="9" fontId="2" numFmtId="0" xfId="0" applyAlignment="1" applyBorder="1" applyFont="1">
      <alignment readingOrder="0"/>
    </xf>
    <xf borderId="0" fillId="7" fontId="22" numFmtId="0" xfId="0" applyAlignment="1" applyFont="1">
      <alignment vertical="bottom"/>
    </xf>
    <xf borderId="0" fillId="0" fontId="22" numFmtId="0" xfId="0" applyAlignment="1" applyFont="1">
      <alignment vertical="bottom"/>
    </xf>
    <xf borderId="1" fillId="5" fontId="26" numFmtId="0" xfId="0" applyAlignment="1" applyBorder="1" applyFont="1">
      <alignment readingOrder="0"/>
    </xf>
    <xf borderId="1" fillId="7" fontId="26" numFmtId="0" xfId="0" applyAlignment="1" applyBorder="1" applyFont="1">
      <alignment readingOrder="0"/>
    </xf>
    <xf borderId="16" fillId="5" fontId="22" numFmtId="0" xfId="0" applyAlignment="1" applyBorder="1" applyFont="1">
      <alignment shrinkToFit="0" vertical="bottom" wrapText="0"/>
    </xf>
    <xf borderId="2" fillId="10" fontId="7" numFmtId="0" xfId="0" applyAlignment="1" applyBorder="1" applyFont="1">
      <alignment readingOrder="0" shrinkToFit="0" vertical="bottom" wrapText="0"/>
    </xf>
    <xf borderId="0" fillId="4" fontId="8" numFmtId="0" xfId="0" applyAlignment="1" applyFont="1">
      <alignment horizontal="center" vertical="bottom"/>
    </xf>
    <xf borderId="0" fillId="0" fontId="4" numFmtId="166" xfId="0" applyAlignment="1" applyFont="1" applyNumberFormat="1">
      <alignment horizontal="center" readingOrder="0" vertical="bottom"/>
    </xf>
    <xf borderId="0" fillId="13" fontId="27" numFmtId="0" xfId="0" applyAlignment="1" applyFont="1">
      <alignment horizontal="center" vertical="center"/>
    </xf>
    <xf borderId="0" fillId="13" fontId="27" numFmtId="0" xfId="0" applyAlignment="1" applyFont="1">
      <alignment horizontal="center" readingOrder="0" vertical="center"/>
    </xf>
    <xf borderId="0" fillId="13" fontId="27" numFmtId="3" xfId="0" applyAlignment="1" applyFont="1" applyNumberFormat="1">
      <alignment horizontal="center" vertical="center"/>
    </xf>
    <xf borderId="0" fillId="7" fontId="8" numFmtId="0" xfId="0" applyAlignment="1" applyFont="1">
      <alignment horizontal="right" readingOrder="0" vertical="center"/>
    </xf>
    <xf borderId="0" fillId="14" fontId="8" numFmtId="0" xfId="0" applyAlignment="1" applyFill="1" applyFont="1">
      <alignment horizontal="center" readingOrder="0" vertical="center"/>
    </xf>
    <xf borderId="0" fillId="14" fontId="8" numFmtId="0" xfId="0" applyAlignment="1" applyFont="1">
      <alignment horizontal="center" vertical="center"/>
    </xf>
    <xf borderId="0" fillId="14" fontId="8" numFmtId="167" xfId="0" applyAlignment="1" applyFont="1" applyNumberFormat="1">
      <alignment horizontal="center" vertical="center"/>
    </xf>
    <xf borderId="0" fillId="14" fontId="8" numFmtId="0" xfId="0" applyAlignment="1" applyFont="1">
      <alignment horizontal="center" readingOrder="0"/>
    </xf>
    <xf borderId="0" fillId="14" fontId="8" numFmtId="0" xfId="0" applyAlignment="1" applyFont="1">
      <alignment horizontal="center"/>
    </xf>
    <xf borderId="0" fillId="0" fontId="7" numFmtId="0" xfId="0" applyAlignment="1" applyFont="1">
      <alignment horizontal="right" vertical="bottom"/>
    </xf>
    <xf borderId="0" fillId="5" fontId="7" numFmtId="3" xfId="0" applyAlignment="1" applyFont="1" applyNumberFormat="1">
      <alignment horizontal="right" vertical="bottom"/>
    </xf>
    <xf borderId="0" fillId="5" fontId="7" numFmtId="9" xfId="0" applyAlignment="1" applyFont="1" applyNumberFormat="1">
      <alignment horizontal="right" vertical="bottom"/>
    </xf>
    <xf borderId="0" fillId="5" fontId="7" numFmtId="0" xfId="0" applyAlignment="1" applyFont="1">
      <alignment horizontal="right" vertical="bottom"/>
    </xf>
    <xf borderId="0" fillId="5" fontId="4" numFmtId="0" xfId="0" applyAlignment="1" applyFont="1">
      <alignment horizontal="right" readingOrder="0"/>
    </xf>
    <xf borderId="0" fillId="5" fontId="4" numFmtId="0" xfId="0" applyAlignment="1" applyFont="1">
      <alignment readingOrder="0"/>
    </xf>
    <xf borderId="0" fillId="5" fontId="4" numFmtId="0" xfId="0" applyFont="1"/>
    <xf borderId="0" fillId="5" fontId="4" numFmtId="167" xfId="0" applyAlignment="1" applyFont="1" applyNumberFormat="1">
      <alignment readingOrder="0" vertical="bottom"/>
    </xf>
    <xf borderId="0" fillId="0" fontId="4" numFmtId="167" xfId="0" applyAlignment="1" applyFont="1" applyNumberFormat="1">
      <alignment vertical="bottom"/>
    </xf>
    <xf borderId="0" fillId="0" fontId="7" numFmtId="3" xfId="0" applyAlignment="1" applyFont="1" applyNumberFormat="1">
      <alignment horizontal="right" vertical="bottom"/>
    </xf>
    <xf borderId="0" fillId="0" fontId="7" numFmtId="0" xfId="0" applyAlignment="1" applyFont="1">
      <alignment readingOrder="0" vertical="bottom"/>
    </xf>
    <xf borderId="0" fillId="0" fontId="4" numFmtId="0" xfId="0" applyAlignment="1" applyFont="1">
      <alignment horizontal="right" readingOrder="0"/>
    </xf>
    <xf borderId="0" fillId="0" fontId="4" numFmtId="0" xfId="0" applyAlignment="1" applyFont="1">
      <alignment readingOrder="0"/>
    </xf>
    <xf borderId="0" fillId="0" fontId="4" numFmtId="0" xfId="0" applyFont="1"/>
    <xf borderId="0" fillId="0" fontId="2" numFmtId="167" xfId="0" applyAlignment="1" applyFont="1" applyNumberFormat="1">
      <alignment readingOrder="0"/>
    </xf>
    <xf borderId="0" fillId="0" fontId="4" numFmtId="167" xfId="0" applyAlignment="1" applyFont="1" applyNumberFormat="1">
      <alignment readingOrder="0" vertical="bottom"/>
    </xf>
    <xf borderId="0" fillId="0" fontId="2" numFmtId="0" xfId="0" applyFont="1"/>
    <xf borderId="0" fillId="0" fontId="2" numFmtId="167" xfId="0" applyFont="1" applyNumberFormat="1"/>
    <xf borderId="0" fillId="5" fontId="4" numFmtId="0" xfId="0" applyAlignment="1" applyFont="1">
      <alignment vertical="bottom"/>
    </xf>
    <xf borderId="0" fillId="5" fontId="4" numFmtId="167" xfId="0" applyAlignment="1" applyFont="1" applyNumberFormat="1">
      <alignment vertical="bottom"/>
    </xf>
    <xf borderId="0" fillId="5" fontId="4" numFmtId="0" xfId="0" applyAlignment="1" applyFont="1">
      <alignment horizontal="right" readingOrder="0"/>
    </xf>
    <xf borderId="0" fillId="10" fontId="4" numFmtId="0" xfId="0" applyAlignment="1" applyFont="1">
      <alignment horizontal="center" vertical="bottom"/>
    </xf>
    <xf borderId="0" fillId="6" fontId="9" numFmtId="0" xfId="0" applyAlignment="1" applyFont="1">
      <alignment readingOrder="0"/>
    </xf>
    <xf borderId="0" fillId="9" fontId="7" numFmtId="0" xfId="0" applyAlignment="1" applyFont="1">
      <alignment vertical="bottom"/>
    </xf>
    <xf borderId="0" fillId="9" fontId="7" numFmtId="0" xfId="0" applyAlignment="1" applyFont="1">
      <alignment horizontal="right" vertical="bottom"/>
    </xf>
    <xf borderId="0" fillId="9" fontId="4" numFmtId="0" xfId="0" applyAlignment="1" applyFont="1">
      <alignment horizontal="right" readingOrder="0"/>
    </xf>
    <xf borderId="0" fillId="9" fontId="4" numFmtId="0" xfId="0" applyAlignment="1" applyFont="1">
      <alignment readingOrder="0"/>
    </xf>
    <xf borderId="0" fillId="9" fontId="4" numFmtId="0" xfId="0" applyFont="1"/>
    <xf borderId="0" fillId="9" fontId="4" numFmtId="0" xfId="0" applyAlignment="1" applyFont="1">
      <alignment vertical="bottom"/>
    </xf>
    <xf borderId="0" fillId="9" fontId="4" numFmtId="0" xfId="0" applyAlignment="1" applyFont="1">
      <alignment readingOrder="0" vertical="bottom"/>
    </xf>
    <xf borderId="0" fillId="9" fontId="4" numFmtId="167" xfId="0" applyAlignment="1" applyFont="1" applyNumberFormat="1">
      <alignment readingOrder="0" vertical="bottom"/>
    </xf>
    <xf borderId="0" fillId="6" fontId="15" numFmtId="0" xfId="0" applyAlignment="1" applyFont="1">
      <alignment horizontal="center" readingOrder="0" vertical="bottom"/>
    </xf>
    <xf borderId="12" fillId="0" fontId="2" numFmtId="0" xfId="0" applyBorder="1" applyFont="1"/>
    <xf borderId="0" fillId="6" fontId="3" numFmtId="0" xfId="0" applyAlignment="1" applyFont="1">
      <alignment horizontal="center" readingOrder="0" vertical="bottom"/>
    </xf>
    <xf borderId="0" fillId="6" fontId="7" numFmtId="0" xfId="0" applyAlignment="1" applyFont="1">
      <alignment readingOrder="0" vertical="bottom"/>
    </xf>
    <xf borderId="0" fillId="0" fontId="4" numFmtId="0" xfId="0" applyAlignment="1" applyFont="1">
      <alignment horizontal="right" readingOrder="0"/>
    </xf>
    <xf borderId="0" fillId="9" fontId="7" numFmtId="0" xfId="0" applyAlignment="1" applyFont="1">
      <alignment readingOrder="0" shrinkToFit="0" vertical="bottom" wrapText="0"/>
    </xf>
    <xf borderId="0" fillId="9" fontId="2" numFmtId="0" xfId="0" applyFont="1"/>
    <xf borderId="0" fillId="9" fontId="2" numFmtId="0" xfId="0" applyAlignment="1" applyFont="1">
      <alignment readingOrder="0"/>
    </xf>
    <xf borderId="0" fillId="9" fontId="2" numFmtId="167" xfId="0" applyAlignment="1" applyFont="1" applyNumberFormat="1">
      <alignment readingOrder="0"/>
    </xf>
    <xf borderId="0" fillId="15" fontId="7" numFmtId="0" xfId="0" applyAlignment="1" applyFill="1" applyFont="1">
      <alignment vertical="bottom"/>
    </xf>
    <xf borderId="0" fillId="15" fontId="7" numFmtId="0" xfId="0" applyAlignment="1" applyFont="1">
      <alignment horizontal="right" vertical="bottom"/>
    </xf>
    <xf borderId="0" fillId="15" fontId="4" numFmtId="0" xfId="0" applyAlignment="1" applyFont="1">
      <alignment horizontal="right" readingOrder="0"/>
    </xf>
    <xf borderId="0" fillId="15" fontId="4" numFmtId="0" xfId="0" applyAlignment="1" applyFont="1">
      <alignment readingOrder="0"/>
    </xf>
    <xf borderId="0" fillId="15" fontId="4" numFmtId="0" xfId="0" applyFont="1"/>
    <xf borderId="0" fillId="15" fontId="4" numFmtId="0" xfId="0" applyAlignment="1" applyFont="1">
      <alignment readingOrder="0" vertical="bottom"/>
    </xf>
    <xf borderId="0" fillId="15" fontId="2" numFmtId="0" xfId="0" applyAlignment="1" applyFont="1">
      <alignment readingOrder="0"/>
    </xf>
    <xf borderId="0" fillId="15" fontId="4" numFmtId="167" xfId="0" applyAlignment="1" applyFont="1" applyNumberFormat="1">
      <alignment readingOrder="0" vertical="bottom"/>
    </xf>
    <xf borderId="0" fillId="0" fontId="4" numFmtId="168" xfId="0" applyAlignment="1" applyFont="1" applyNumberFormat="1">
      <alignment vertical="bottom"/>
    </xf>
    <xf borderId="1" fillId="9" fontId="2" numFmtId="0" xfId="0" applyAlignment="1" applyBorder="1" applyFont="1">
      <alignment readingOrder="0"/>
    </xf>
    <xf borderId="0" fillId="0" fontId="2" numFmtId="0" xfId="0" applyAlignment="1" applyFont="1">
      <alignment horizontal="right"/>
    </xf>
    <xf borderId="0" fillId="15" fontId="2" numFmtId="167" xfId="0" applyAlignment="1" applyFont="1" applyNumberFormat="1">
      <alignment readingOrder="0"/>
    </xf>
    <xf borderId="1" fillId="0" fontId="4" numFmtId="167" xfId="0" applyAlignment="1" applyBorder="1" applyFont="1" applyNumberFormat="1">
      <alignment vertical="bottom"/>
    </xf>
    <xf borderId="0" fillId="15" fontId="4" numFmtId="0" xfId="0" applyAlignment="1" applyFont="1">
      <alignment vertical="bottom"/>
    </xf>
    <xf borderId="0" fillId="6" fontId="4" numFmtId="0" xfId="0" applyAlignment="1" applyFont="1">
      <alignment horizontal="right" readingOrder="0"/>
    </xf>
    <xf borderId="0" fillId="6" fontId="4" numFmtId="0" xfId="0" applyAlignment="1" applyFont="1">
      <alignment readingOrder="0"/>
    </xf>
    <xf borderId="0" fillId="6" fontId="4" numFmtId="0" xfId="0" applyFont="1"/>
    <xf borderId="0" fillId="6" fontId="4" numFmtId="0" xfId="0" applyAlignment="1" applyFont="1">
      <alignment readingOrder="0" vertical="bottom"/>
    </xf>
    <xf borderId="0" fillId="6" fontId="4" numFmtId="167" xfId="0" applyAlignment="1" applyFont="1" applyNumberFormat="1">
      <alignment readingOrder="0" vertical="bottom"/>
    </xf>
    <xf borderId="12" fillId="0" fontId="4" numFmtId="0" xfId="0" applyAlignment="1" applyBorder="1" applyFont="1">
      <alignment readingOrder="0" vertical="bottom"/>
    </xf>
    <xf borderId="0" fillId="7" fontId="7" numFmtId="0" xfId="0" applyAlignment="1" applyFont="1">
      <alignment horizontal="right" vertical="bottom"/>
    </xf>
    <xf borderId="0" fillId="7" fontId="4" numFmtId="0" xfId="0" applyAlignment="1" applyFont="1">
      <alignment horizontal="right" readingOrder="0"/>
    </xf>
    <xf borderId="0" fillId="7" fontId="4" numFmtId="0" xfId="0" applyAlignment="1" applyFont="1">
      <alignment readingOrder="0"/>
    </xf>
    <xf borderId="0" fillId="7" fontId="4" numFmtId="0" xfId="0" applyFont="1"/>
    <xf borderId="0" fillId="7" fontId="4" numFmtId="167" xfId="0" applyAlignment="1" applyFont="1" applyNumberFormat="1">
      <alignment readingOrder="0" vertical="bottom"/>
    </xf>
    <xf borderId="0" fillId="15" fontId="4" numFmtId="167" xfId="0" applyAlignment="1" applyFont="1" applyNumberFormat="1">
      <alignment vertical="bottom"/>
    </xf>
    <xf borderId="0" fillId="16" fontId="7" numFmtId="0" xfId="0" applyAlignment="1" applyFill="1" applyFont="1">
      <alignment vertical="bottom"/>
    </xf>
    <xf borderId="0" fillId="16" fontId="7" numFmtId="0" xfId="0" applyAlignment="1" applyFont="1">
      <alignment horizontal="right" vertical="bottom"/>
    </xf>
    <xf borderId="0" fillId="16" fontId="4" numFmtId="0" xfId="0" applyAlignment="1" applyFont="1">
      <alignment horizontal="right" readingOrder="0"/>
    </xf>
    <xf borderId="0" fillId="16" fontId="4" numFmtId="0" xfId="0" applyAlignment="1" applyFont="1">
      <alignment readingOrder="0"/>
    </xf>
    <xf borderId="0" fillId="16" fontId="4" numFmtId="0" xfId="0" applyFont="1"/>
    <xf borderId="0" fillId="16" fontId="4" numFmtId="0" xfId="0" applyAlignment="1" applyFont="1">
      <alignment vertical="bottom"/>
    </xf>
    <xf borderId="12" fillId="16" fontId="4" numFmtId="0" xfId="0" applyAlignment="1" applyBorder="1" applyFont="1">
      <alignment vertical="bottom"/>
    </xf>
    <xf borderId="0" fillId="16" fontId="4" numFmtId="0" xfId="0" applyAlignment="1" applyFont="1">
      <alignment readingOrder="0" vertical="bottom"/>
    </xf>
    <xf borderId="0" fillId="16" fontId="4" numFmtId="167" xfId="0" applyAlignment="1" applyFont="1" applyNumberFormat="1">
      <alignment vertical="bottom"/>
    </xf>
    <xf borderId="0" fillId="15" fontId="4" numFmtId="0" xfId="0" applyAlignment="1" applyFont="1">
      <alignment horizontal="center" vertical="bottom"/>
    </xf>
    <xf borderId="0" fillId="6" fontId="8" numFmtId="0" xfId="0" applyAlignment="1" applyFont="1">
      <alignment horizontal="center" vertical="bottom"/>
    </xf>
    <xf borderId="0" fillId="15" fontId="15" numFmtId="0" xfId="0" applyAlignment="1" applyFont="1">
      <alignment horizontal="center" readingOrder="0" vertical="bottom"/>
    </xf>
    <xf borderId="0" fillId="5" fontId="2" numFmtId="0" xfId="0" applyFont="1"/>
    <xf borderId="0" fillId="5" fontId="2" numFmtId="167" xfId="0" applyFont="1" applyNumberFormat="1"/>
    <xf borderId="0" fillId="6" fontId="28" numFmtId="0" xfId="0" applyAlignment="1" applyFont="1">
      <alignment horizontal="left" readingOrder="0"/>
    </xf>
    <xf borderId="12" fillId="0" fontId="2" numFmtId="0" xfId="0" applyAlignment="1" applyBorder="1" applyFont="1">
      <alignment readingOrder="0"/>
    </xf>
    <xf borderId="0" fillId="17" fontId="7" numFmtId="0" xfId="0" applyAlignment="1" applyFill="1" applyFont="1">
      <alignment vertical="bottom"/>
    </xf>
    <xf borderId="12" fillId="6" fontId="8" numFmtId="0" xfId="0" applyAlignment="1" applyBorder="1" applyFont="1">
      <alignment horizontal="center" vertical="bottom"/>
    </xf>
    <xf borderId="12" fillId="0" fontId="4" numFmtId="0" xfId="0" applyAlignment="1" applyBorder="1" applyFont="1">
      <alignment vertical="bottom"/>
    </xf>
    <xf borderId="0" fillId="6" fontId="4" numFmtId="0" xfId="0" applyAlignment="1" applyFont="1">
      <alignment vertical="bottom"/>
    </xf>
    <xf borderId="12" fillId="10" fontId="4" numFmtId="0" xfId="0" applyAlignment="1" applyBorder="1" applyFont="1">
      <alignment horizontal="center" vertical="bottom"/>
    </xf>
    <xf borderId="0" fillId="5" fontId="2" numFmtId="167" xfId="0" applyAlignment="1" applyFont="1" applyNumberFormat="1">
      <alignment readingOrder="0"/>
    </xf>
    <xf borderId="0" fillId="7" fontId="4" numFmtId="0" xfId="0" applyAlignment="1" applyFont="1">
      <alignment vertical="bottom"/>
    </xf>
    <xf borderId="0" fillId="7" fontId="4" numFmtId="167" xfId="0" applyAlignment="1" applyFont="1" applyNumberFormat="1">
      <alignment vertical="bottom"/>
    </xf>
    <xf borderId="0" fillId="0" fontId="4" numFmtId="168" xfId="0" applyAlignment="1" applyFont="1" applyNumberFormat="1">
      <alignment readingOrder="0" vertical="bottom"/>
    </xf>
    <xf borderId="0" fillId="0" fontId="7" numFmtId="165" xfId="0" applyAlignment="1" applyFont="1" applyNumberFormat="1">
      <alignment readingOrder="0" shrinkToFit="0" vertical="bottom" wrapText="0"/>
    </xf>
    <xf borderId="0" fillId="18" fontId="7" numFmtId="0" xfId="0" applyAlignment="1" applyFill="1" applyFont="1">
      <alignment vertical="bottom"/>
    </xf>
    <xf borderId="0" fillId="18" fontId="7" numFmtId="0" xfId="0" applyAlignment="1" applyFont="1">
      <alignment horizontal="right" vertical="bottom"/>
    </xf>
    <xf borderId="0" fillId="18" fontId="4" numFmtId="0" xfId="0" applyAlignment="1" applyFont="1">
      <alignment horizontal="right" readingOrder="0"/>
    </xf>
    <xf borderId="0" fillId="18" fontId="4" numFmtId="0" xfId="0" applyAlignment="1" applyFont="1">
      <alignment readingOrder="0"/>
    </xf>
    <xf borderId="0" fillId="18" fontId="4" numFmtId="0" xfId="0" applyAlignment="1" applyFont="1">
      <alignment vertical="bottom"/>
    </xf>
    <xf borderId="0" fillId="18" fontId="4" numFmtId="167" xfId="0" applyAlignment="1" applyFont="1" applyNumberFormat="1">
      <alignment vertical="bottom"/>
    </xf>
    <xf borderId="12" fillId="5" fontId="2" numFmtId="0" xfId="0" applyBorder="1" applyFont="1"/>
    <xf borderId="0" fillId="6" fontId="29" numFmtId="0" xfId="0" applyAlignment="1" applyFont="1">
      <alignment horizontal="left" readingOrder="0"/>
    </xf>
    <xf borderId="12" fillId="10" fontId="8" numFmtId="0" xfId="0" applyAlignment="1" applyBorder="1" applyFont="1">
      <alignment horizontal="left" vertical="bottom"/>
    </xf>
    <xf borderId="0" fillId="19" fontId="8" numFmtId="0" xfId="0" applyAlignment="1" applyFill="1" applyFont="1">
      <alignment horizontal="center" vertical="bottom"/>
    </xf>
    <xf borderId="0" fillId="7" fontId="2" numFmtId="167" xfId="0" applyAlignment="1" applyFont="1" applyNumberFormat="1">
      <alignment readingOrder="0"/>
    </xf>
    <xf borderId="0" fillId="10" fontId="8" numFmtId="0" xfId="0" applyAlignment="1" applyFont="1">
      <alignment horizontal="center" vertical="bottom"/>
    </xf>
    <xf borderId="0" fillId="6" fontId="15" numFmtId="0" xfId="0" applyAlignment="1" applyFont="1">
      <alignment horizontal="left" readingOrder="0"/>
    </xf>
    <xf borderId="0" fillId="0" fontId="7" numFmtId="0" xfId="0" applyAlignment="1" applyFont="1">
      <alignment horizontal="right" readingOrder="0" vertical="bottom"/>
    </xf>
    <xf borderId="0" fillId="10" fontId="8" numFmtId="0" xfId="0" applyAlignment="1" applyFont="1">
      <alignment horizontal="left" vertical="bottom"/>
    </xf>
    <xf borderId="0" fillId="5" fontId="3" numFmtId="0" xfId="0" applyAlignment="1" applyFont="1">
      <alignment horizontal="center" readingOrder="0" vertical="bottom"/>
    </xf>
    <xf borderId="0" fillId="0" fontId="2" numFmtId="0" xfId="0" applyFont="1"/>
    <xf borderId="0" fillId="0" fontId="6" numFmtId="0" xfId="0" applyFont="1"/>
    <xf borderId="0" fillId="9" fontId="4" numFmtId="167" xfId="0" applyAlignment="1" applyFont="1" applyNumberFormat="1">
      <alignment vertical="bottom"/>
    </xf>
    <xf borderId="0" fillId="6" fontId="30" numFmtId="0" xfId="0" applyAlignment="1" applyFont="1">
      <alignment horizontal="left" readingOrder="0"/>
    </xf>
    <xf borderId="0" fillId="0" fontId="2" numFmtId="0" xfId="0" applyAlignment="1" applyFont="1">
      <alignment horizontal="center" readingOrder="0"/>
    </xf>
    <xf borderId="0" fillId="0" fontId="2" numFmtId="167" xfId="0" applyAlignment="1" applyFont="1" applyNumberFormat="1">
      <alignment horizontal="center"/>
    </xf>
    <xf borderId="0" fillId="9" fontId="4" numFmtId="0" xfId="0" applyAlignment="1" applyFont="1">
      <alignment horizontal="right" readingOrder="0"/>
    </xf>
    <xf borderId="0" fillId="0" fontId="4" numFmtId="0" xfId="0" applyAlignment="1" applyFont="1">
      <alignment vertical="bottom"/>
    </xf>
    <xf borderId="0" fillId="4" fontId="8" numFmtId="0" xfId="0" applyAlignment="1" applyFont="1">
      <alignment horizontal="center" vertical="bottom"/>
    </xf>
    <xf borderId="0" fillId="18" fontId="4" numFmtId="0" xfId="0" applyAlignment="1" applyFont="1">
      <alignment readingOrder="0" vertical="bottom"/>
    </xf>
    <xf borderId="12" fillId="5" fontId="4" numFmtId="0" xfId="0" applyAlignment="1" applyBorder="1" applyFont="1">
      <alignment vertical="bottom"/>
    </xf>
    <xf borderId="12" fillId="9" fontId="4" numFmtId="0" xfId="0" applyAlignment="1" applyBorder="1" applyFont="1">
      <alignment readingOrder="0" vertical="bottom"/>
    </xf>
    <xf borderId="12" fillId="15" fontId="4" numFmtId="0" xfId="0" applyAlignment="1" applyBorder="1" applyFont="1">
      <alignment vertical="bottom"/>
    </xf>
    <xf borderId="12" fillId="6" fontId="3" numFmtId="0" xfId="0" applyAlignment="1" applyBorder="1" applyFont="1">
      <alignment horizontal="center" readingOrder="0" vertical="bottom"/>
    </xf>
    <xf borderId="0" fillId="18" fontId="2" numFmtId="0" xfId="0" applyAlignment="1" applyFont="1">
      <alignment readingOrder="0"/>
    </xf>
    <xf borderId="0" fillId="18" fontId="2" numFmtId="167" xfId="0" applyAlignment="1" applyFont="1" applyNumberFormat="1">
      <alignment readingOrder="0"/>
    </xf>
    <xf borderId="0" fillId="20" fontId="31" numFmtId="0" xfId="0" applyAlignment="1" applyFill="1" applyFont="1">
      <alignment horizontal="center" shrinkToFit="0" wrapText="1"/>
    </xf>
    <xf borderId="0" fillId="20" fontId="32" numFmtId="0" xfId="0" applyAlignment="1" applyFont="1">
      <alignment horizontal="center" shrinkToFit="0" wrapText="1"/>
    </xf>
    <xf borderId="0" fillId="20" fontId="31" numFmtId="0" xfId="0" applyAlignment="1" applyFont="1">
      <alignment horizontal="center" shrinkToFit="0" vertical="center" wrapText="1"/>
    </xf>
    <xf borderId="0" fillId="20" fontId="32" numFmtId="0" xfId="0" applyAlignment="1" applyFont="1">
      <alignment horizontal="center" shrinkToFit="0" vertical="center" wrapText="1"/>
    </xf>
    <xf borderId="0" fillId="21" fontId="33" numFmtId="0" xfId="0" applyAlignment="1" applyFill="1" applyFont="1">
      <alignment vertical="bottom"/>
    </xf>
    <xf borderId="0" fillId="0" fontId="4" numFmtId="0" xfId="0" applyAlignment="1" applyFont="1">
      <alignment horizontal="right" vertical="bottom"/>
    </xf>
    <xf borderId="0" fillId="0" fontId="4" numFmtId="169" xfId="0" applyAlignment="1" applyFont="1" applyNumberFormat="1">
      <alignment horizontal="right" readingOrder="0" vertical="bottom"/>
    </xf>
    <xf borderId="0" fillId="0" fontId="2" numFmtId="1" xfId="0" applyFont="1" applyNumberFormat="1"/>
    <xf borderId="0" fillId="22" fontId="33" numFmtId="169" xfId="0" applyAlignment="1" applyFill="1" applyFont="1" applyNumberFormat="1">
      <alignment horizontal="center" readingOrder="0" vertical="bottom"/>
    </xf>
    <xf borderId="0" fillId="19" fontId="34" numFmtId="0" xfId="0" applyAlignment="1" applyFont="1">
      <alignment horizontal="center" readingOrder="0"/>
    </xf>
    <xf borderId="0" fillId="19" fontId="34" numFmtId="1" xfId="0" applyAlignment="1" applyFont="1" applyNumberFormat="1">
      <alignment horizontal="center"/>
    </xf>
    <xf borderId="0" fillId="0" fontId="2" numFmtId="10" xfId="0" applyFont="1" applyNumberFormat="1"/>
    <xf borderId="0" fillId="23" fontId="35" numFmtId="0" xfId="0" applyAlignment="1" applyFill="1" applyFont="1">
      <alignment vertical="bottom"/>
    </xf>
    <xf borderId="0" fillId="24" fontId="36" numFmtId="0" xfId="0" applyAlignment="1" applyFill="1" applyFont="1">
      <alignment horizontal="center" vertical="bottom"/>
    </xf>
    <xf borderId="0" fillId="22" fontId="37" numFmtId="0" xfId="0" applyAlignment="1" applyFont="1">
      <alignment horizontal="center" readingOrder="0"/>
    </xf>
    <xf borderId="0" fillId="6" fontId="36" numFmtId="0" xfId="0" applyAlignment="1" applyFont="1">
      <alignment horizontal="center" vertical="bottom"/>
    </xf>
    <xf borderId="0" fillId="6" fontId="38" numFmtId="9" xfId="0" applyAlignment="1" applyFont="1" applyNumberFormat="1">
      <alignment horizontal="center" vertical="bottom"/>
    </xf>
    <xf borderId="0" fillId="20" fontId="39" numFmtId="10" xfId="0" applyAlignment="1" applyFont="1" applyNumberFormat="1">
      <alignment horizontal="center"/>
    </xf>
    <xf borderId="0" fillId="0" fontId="4" numFmtId="1" xfId="0" applyAlignment="1" applyFont="1" applyNumberFormat="1">
      <alignment vertical="bottom"/>
    </xf>
    <xf borderId="0" fillId="0" fontId="4" numFmtId="169" xfId="0" applyAlignment="1" applyFont="1" applyNumberFormat="1">
      <alignment vertical="bottom"/>
    </xf>
    <xf borderId="0" fillId="23" fontId="40" numFmtId="0" xfId="0" applyAlignment="1" applyFont="1">
      <alignment horizontal="center" vertical="bottom"/>
    </xf>
    <xf borderId="0" fillId="23" fontId="40" numFmtId="0" xfId="0" applyAlignment="1" applyFont="1">
      <alignment horizontal="center" vertical="bottom"/>
    </xf>
    <xf borderId="0" fillId="25" fontId="41" numFmtId="0" xfId="0" applyAlignment="1" applyFill="1" applyFont="1">
      <alignment vertical="bottom"/>
    </xf>
    <xf borderId="0" fillId="6" fontId="42" numFmtId="1" xfId="0" applyAlignment="1" applyFont="1" applyNumberFormat="1">
      <alignment horizontal="center" vertical="bottom"/>
    </xf>
    <xf borderId="0" fillId="24" fontId="42" numFmtId="1" xfId="0" applyAlignment="1" applyFont="1" applyNumberFormat="1">
      <alignment horizontal="center" vertical="bottom"/>
    </xf>
    <xf borderId="0" fillId="24" fontId="43" numFmtId="9" xfId="0" applyAlignment="1" applyFont="1" applyNumberFormat="1">
      <alignment horizontal="center" vertical="bottom"/>
    </xf>
    <xf borderId="0" fillId="6" fontId="43" numFmtId="9" xfId="0" applyAlignment="1" applyFont="1" applyNumberFormat="1">
      <alignment horizontal="center" vertical="bottom"/>
    </xf>
    <xf borderId="0" fillId="13" fontId="44" numFmtId="0" xfId="0" applyAlignment="1" applyFont="1">
      <alignment vertical="bottom"/>
    </xf>
    <xf borderId="0" fillId="22" fontId="45" numFmtId="0" xfId="0" applyAlignment="1" applyFont="1">
      <alignment horizontal="center" vertical="bottom"/>
    </xf>
    <xf borderId="0" fillId="20" fontId="46" numFmtId="10" xfId="0" applyAlignment="1" applyFont="1" applyNumberFormat="1">
      <alignment horizontal="center" vertical="bottom"/>
    </xf>
    <xf borderId="0" fillId="22" fontId="47" numFmtId="0" xfId="0" applyAlignment="1" applyFont="1">
      <alignment horizontal="center"/>
    </xf>
    <xf borderId="0" fillId="22" fontId="47" numFmtId="1" xfId="0" applyAlignment="1" applyFont="1" applyNumberFormat="1">
      <alignment horizontal="center"/>
    </xf>
    <xf borderId="0" fillId="13" fontId="27" numFmtId="10" xfId="0" applyAlignment="1" applyFont="1" applyNumberFormat="1">
      <alignment horizontal="center" vertical="center"/>
    </xf>
    <xf borderId="0" fillId="14" fontId="3" numFmtId="0" xfId="0" applyAlignment="1" applyFont="1">
      <alignment horizontal="center" readingOrder="0" vertical="center"/>
    </xf>
    <xf borderId="0" fillId="0" fontId="2" numFmtId="0" xfId="0" applyAlignment="1" applyFont="1">
      <alignment vertical="center"/>
    </xf>
    <xf borderId="0" fillId="0" fontId="7" numFmtId="0" xfId="0" applyAlignment="1" applyFont="1">
      <alignment horizontal="center" readingOrder="0" shrinkToFit="0" vertical="bottom" wrapText="0"/>
    </xf>
    <xf borderId="0" fillId="0" fontId="7" numFmtId="0" xfId="0" applyAlignment="1" applyFont="1">
      <alignment horizontal="right" readingOrder="0" shrinkToFit="0" vertical="bottom" wrapText="0"/>
    </xf>
    <xf borderId="0" fillId="0" fontId="7" numFmtId="9" xfId="0" applyAlignment="1" applyFont="1" applyNumberFormat="1">
      <alignment horizontal="right" readingOrder="0" shrinkToFit="0" vertical="bottom" wrapText="0"/>
    </xf>
    <xf borderId="0" fillId="0" fontId="26" numFmtId="0" xfId="0" applyFont="1"/>
    <xf borderId="0" fillId="0" fontId="7" numFmtId="0" xfId="0" applyAlignment="1" applyFont="1">
      <alignment shrinkToFit="0" vertical="bottom" wrapText="0"/>
    </xf>
    <xf borderId="0" fillId="0" fontId="7" numFmtId="10" xfId="0" applyAlignment="1" applyFont="1" applyNumberFormat="1">
      <alignment horizontal="right" readingOrder="0" shrinkToFit="0" vertical="bottom" wrapText="0"/>
    </xf>
    <xf borderId="1" fillId="0" fontId="4" numFmtId="0" xfId="0" applyAlignment="1" applyBorder="1" applyFont="1">
      <alignment shrinkToFit="0" vertical="bottom" wrapText="0"/>
    </xf>
    <xf borderId="0" fillId="0" fontId="4" numFmtId="167" xfId="0" applyAlignment="1" applyFont="1" applyNumberFormat="1">
      <alignment horizontal="right" vertical="bottom"/>
    </xf>
    <xf borderId="0" fillId="21" fontId="48" numFmtId="0" xfId="0" applyAlignment="1" applyFont="1">
      <alignment vertical="bottom"/>
    </xf>
    <xf borderId="1" fillId="21" fontId="48" numFmtId="0" xfId="0" applyAlignment="1" applyBorder="1" applyFont="1">
      <alignment shrinkToFit="0" vertical="bottom" wrapText="0"/>
    </xf>
    <xf borderId="0" fillId="21" fontId="48" numFmtId="0" xfId="0" applyAlignment="1" applyFont="1">
      <alignment vertical="bottom"/>
    </xf>
    <xf borderId="1" fillId="21" fontId="44" numFmtId="0" xfId="0" applyAlignment="1" applyBorder="1" applyFont="1">
      <alignment readingOrder="0" shrinkToFit="0" vertical="bottom" wrapText="0"/>
    </xf>
    <xf borderId="1" fillId="21" fontId="4" numFmtId="0" xfId="0" applyAlignment="1" applyBorder="1" applyFont="1">
      <alignment vertical="bottom"/>
    </xf>
    <xf borderId="1" fillId="21" fontId="49" numFmtId="0" xfId="0" applyAlignment="1" applyBorder="1" applyFont="1">
      <alignment vertical="bottom"/>
    </xf>
    <xf borderId="1" fillId="21" fontId="49" numFmtId="0" xfId="0" applyAlignment="1" applyBorder="1" applyFont="1">
      <alignment shrinkToFit="0" vertical="bottom" wrapText="0"/>
    </xf>
    <xf borderId="0" fillId="21" fontId="50" numFmtId="0" xfId="0" applyAlignment="1" applyFont="1">
      <alignment vertical="bottom"/>
    </xf>
    <xf borderId="1" fillId="21" fontId="50" numFmtId="0" xfId="0" applyAlignment="1" applyBorder="1" applyFont="1">
      <alignment vertical="bottom"/>
    </xf>
    <xf borderId="1" fillId="21" fontId="50" numFmtId="0" xfId="0" applyAlignment="1" applyBorder="1" applyFont="1">
      <alignment shrinkToFit="0" vertical="bottom" wrapText="0"/>
    </xf>
  </cellXfs>
  <cellStyles count="1">
    <cellStyle xfId="0" name="Normal" builtinId="0"/>
  </cellStyles>
  <dxfs count="2">
    <dxf>
      <font/>
      <fill>
        <patternFill patternType="solid">
          <fgColor rgb="FFB7E1CD"/>
          <bgColor rgb="FFB7E1CD"/>
        </patternFill>
      </fill>
      <border/>
    </dxf>
    <dxf>
      <font/>
      <fill>
        <patternFill patternType="solid">
          <fgColor rgb="FFE67C73"/>
          <bgColor rgb="FFE67C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753" sheet="Hedef Liste"/>
  </cacheSource>
  <cacheFields>
    <cacheField name="Restaurant ID" numFmtId="0">
      <sharedItems>
        <s v="5ff7c4d93c3b6e5099616461"/>
        <s v="61dca4539cda244596c47c8a"/>
        <s v="622c7bc1704f8c7d9226c83e"/>
        <s v="5fa474ba857e1a1eb42ad590"/>
        <s v="5f74d7639fe43ab7463ac6a6"/>
        <s v="600968ecf69aa48850474729"/>
        <s v="5f3671600274b83d2c5ca2f9"/>
        <s v="5f328f81572e4cb196c3ce23"/>
        <s v="5f35b5c7da66dcbc5ad6f478"/>
        <s v="61c0d747b396924295573f37"/>
        <s v="61dcac0ef55c685ed4f65ba6"/>
        <s v="5f681b00021726a862107d15"/>
        <s v="6023ddaf2789557d9b92211a"/>
        <s v="5f329ce0fb6dd9c3badd3098"/>
        <s v="5f3152cfd0c302043a3fce6d"/>
        <s v="5f3517363322a8a481d8bc6b"/>
        <s v="5f3150d00c243ba11365248c"/>
        <s v="60c0e3ed40dfe0e01ed9492b"/>
        <s v="5ff0ecb4f351dc2884680cb5"/>
        <s v="620ea837141520d8f125d24b"/>
        <s v="5fda79793edee4493d088e97"/>
        <s v="620b97881c3900be88e127a0"/>
        <s v="61c0f12f6d2da40466111cf9"/>
        <s v="5f3378fd30bf6361f32c87ca"/>
        <s v="5f3517c5f86cbfd09410dec6"/>
        <s v="61e187b8401ceca56cd942f7"/>
        <s v="5f7b1a02ec14c4d9cd0273f8"/>
        <s v="61bb78881bcbb528923d4bf0"/>
        <s v="60e04c27eed350a83e7d1054"/>
        <s v="5f67f7192702e9083fb20a37"/>
        <s v="61b9feffa431e1ec64f46669"/>
        <s v="621a5d2926ef38ff0c67fe63"/>
        <s v="5fa5f00566a584ab34fdd59a"/>
        <s v="5f35ada4d64681eb3bfeb406"/>
        <s v="60bd1a2cdfedba45a30f33ff"/>
        <s v="61fc026c3f06a77aa56699d5"/>
        <s v="61b9fc5f10687ded227e2054"/>
        <s v="601397ff998c1343f7870497"/>
        <s v="60e04fc52a992115ac79a314"/>
        <s v="5fa339d062bd7c92d88b14ca"/>
        <s v="62134e0541190985c82b97d6"/>
        <s v="609190e8d3de6c0418ce5ea5"/>
        <s v="6257bf8c1e1d387b43be4f00"/>
        <s v="5f71eeb24b2808c223e07574"/>
        <s v="5f35521864610e0ca0604d20"/>
        <s v="5fce0fd6588017496e3d8763"/>
        <s v="601c875db780c4efd401377b"/>
        <s v="61e1bcb6401cec19c0ec6ceb"/>
        <s v="622cbae54142c96ef467aa79"/>
        <s v="60d2fe0facb711dbbfcde36b"/>
        <s v="6080028510bf22c765b717f5"/>
        <s v="5f33c7ced2bdd4e00269273a"/>
        <s v="605c9d044222b55b649cb6b3"/>
        <s v="6075b01942967570c0f90d88"/>
        <s v="5fc166a39654d91a2c424884"/>
        <s v="5f6bb056415622afd9fee4e9"/>
        <s v="605270c611879741bf407b8a"/>
        <s v="5f6e3557236a88156bc8a7c2"/>
        <s v="5f35b29dbe5a0b6c41bb2b98"/>
        <s v="602a2ffe55fa6184a8fd7cc9"/>
        <s v="609408c379f530a3536c956c"/>
        <s v="61d73d04a042e5388d1b1f9a"/>
        <s v="61825db1cd1a2f0d8331011b"/>
        <s v="5f5bfb833aba1b579c300b49"/>
        <s v="625097b579eec00414293f58"/>
        <s v="5f366e47bee2870a30545535"/>
        <s v="6051e91cd285315b13547a18"/>
        <s v="61ad16173c8d99afdce683d3"/>
        <s v="607de485670d462cc0aafaa6"/>
        <s v="5fda1224a908bd46ce7a3fd4"/>
        <s v="5ff4ecac71e89c0358981ef4"/>
        <s v="5f315566b9e5e1dd64db6114"/>
        <s v="61ce2308bcb79464c4af3e4b"/>
        <s v="60c616212b23b6584db839cd"/>
        <s v="619b147fc591d55d788e4a90"/>
        <s v="61cb4bb81a9c32e898cffb2b"/>
        <s v="61e5e8f813deb830e7515f1e"/>
        <s v="624ff86e60c9cf3279d3a362"/>
        <s v="5fd540c09d557c8210648ece"/>
        <s v="609407df6745002226075e6d"/>
        <s v="5fda1747fa50118ee74ae8d8"/>
        <s v="60279a57919b7ac80079bf7f"/>
        <s v="60227d3c176fccea08ffb93c"/>
        <s v="6000b0aedef388c843e0d2c3"/>
        <s v="606b07d2306c3557c9e87750"/>
        <s v="5fa1249c59fb3f445202116e"/>
        <s v="5f35185f7bcccf6481d94bac"/>
        <s v="624fe82a164c0766d9de9897"/>
        <s v="5f67ac29fbf46153e81b6db7"/>
        <s v="5ff147ba34586744a54726aa"/>
        <s v="6149c78f2d69893a65f2b864"/>
        <s v="602d23f443eb4c6abbbe86b5"/>
        <s v="601bbfcdddc49682a8a74ec0"/>
        <s v="5f6e9c2e32054a515c428e57"/>
        <s v="61c0ecbee492d2c2ea4cfb88"/>
        <s v="607d5764d067792ab3bfadbb"/>
        <s v="62373693d5e74b2cd1e63500"/>
        <s v="5f7d78b1ace10e7fbba5759b"/>
        <s v="6036da9cc4832b9a8db01802"/>
        <s v="61a4d224021c45ffedebebf3"/>
        <s v="5fa077aa85129f07c0784439"/>
        <s v="5f56c2db1fcf33f02b81cc36"/>
        <s v="5f6eb80e2946904744c861b4"/>
        <s v="623f411c30ab3a7517901488"/>
        <s v="6000314dfd88ae1c376cf95e"/>
        <s v="60e8a34e58b5706241be4a7b"/>
        <s v="615a0a89c7a73a43e088ff61"/>
        <s v="5fc02132a9c8366162adc6b3"/>
        <s v="620bcc943f985c4795bd72c6"/>
        <s v="6045a4e28aa1217e25700f35"/>
        <s v="617424b90c0904459343b60c"/>
        <s v="5f2c1ddeb76a838a4950b628"/>
        <s v="5f35175bf3dfd17a532df70d"/>
        <s v="60358b632d2332e6e3a1c8c8"/>
        <s v="6192d08bca62751b9d606fa8"/>
        <s v="60795708974e084af30b50ba"/>
        <s v="5f328876335da44cfb1d1fb1"/>
        <s v="624878551d4cbb9773fe6454"/>
        <s v="6079883dd384d48ad7d296d0"/>
        <s v="61acceafd1adeb67aec5472e"/>
        <s v="5fc00d54a9c836ce5dadc411"/>
        <s v="5f366fb73322a82244d8dbba"/>
        <s v="61a4ce9eaf4b43f090749cd5"/>
        <s v="5f71b8669061b170ca2dfe65"/>
        <s v="5fda7ccb3edee47a18088f41"/>
        <s v="5f9744f6ad9906bc07fe0108"/>
        <s v="6109a4013176c8cc12f4d161"/>
        <s v="61a232ec3bd61264e0dbc4c6"/>
        <s v="615a0e185833ee55b1a19a36"/>
        <s v="621a547b597aa26681fd0dae"/>
        <s v="619c496041ebf403a2251f2a"/>
        <s v="5f681303edfda075cec9a81c"/>
        <s v="5f33c62e30bf6354f72c901c"/>
        <s v="61a3653d11e44616d2f4bc66"/>
        <s v="5f3515617199f827028fcefe"/>
        <s v="62273895dc627183de24cb09"/>
        <s v="61c0e2591a8109787ca49a02"/>
        <s v="60940a82d3c7bf3f1c38bb7d"/>
        <s v="60704b3585c495b5b7b269ab"/>
        <s v="621a6826c63d13a96f163b6f"/>
        <s v="5fa163c5de99753d6f4ca99f"/>
        <s v="5fa160edf08752004ce1dcf6"/>
        <s v="5f35159982cfcff154524ce6"/>
        <s v="620b950436e4205781bb465e"/>
        <s v="60c0d922eb4965157f73452c"/>
        <s v="5fac54c0813db13d41c59c37"/>
        <s v="61a65677743bf41a5101a372"/>
        <s v="5f338058fb6dd9e37bdd412e"/>
        <s v="5f35aeafa886cd1c2748ee98"/>
        <s v="6212a30498c97b5f570cd218"/>
        <s v="5f67d9567dbb7e1efbe50682"/>
        <s v="5f2c33a38e6cb27e3714c9c8"/>
        <s v="6109a173d59d27e6c0cfb49b"/>
        <s v="5ffbb1a137b18111e1072cae"/>
        <s v="61f04f1665436a8a9b80e570"/>
        <s v="5fdbb793bbe311260fb55447"/>
        <s v="5f35a62b02e00833ac8fd7a6"/>
        <s v="5f9cabfb85129f75177817a6"/>
        <s v="609406bc532d487c65252442"/>
        <s v="61c6e2ecd210503285fc2db4"/>
        <s v="618640f0280e9725beb7b327"/>
        <s v="5ff15c71dc26c71aded15ff2"/>
        <s v="60c0b7ba96ca486922cc0f34"/>
        <s v="6206c7bdc5cdd2bb6ff271ee"/>
        <s v="62508e0589dbea002902772b"/>
        <s v="60cb782795b79c1fc2929abf"/>
        <s v="5fd3fb249501119d74bc2c7b"/>
        <s v="6046946d4e9e97538fb51fc2"/>
        <s v="61a7e839743bf40a393e5650"/>
        <s v="60bd0964e105094887d930b3"/>
        <s v="618da87d4e902f4d9deb8197"/>
        <s v="616bf4b70f99ce643bef15cf"/>
        <s v="60e76c78508ede526f333c8b"/>
        <s v="60882ce6d72f80fc3172189d"/>
        <s v="5f7ddacb03658e372ea71c6c"/>
        <s v="5ff0cd1ceeb85d703dcec25c"/>
        <s v="6159f8ca5584c5cb81d09fba"/>
        <s v="5fbae88ba5b98f43c752a244"/>
        <s v="603e03b241ca7f12e26de77e"/>
        <s v="61fec4e10ca059b987d48cd5"/>
        <s v="61546718e725fdb9e478341f"/>
        <s v="5f3282e2b6572ccaf7730568"/>
        <s v="5ff10bf7333ef5431faffb6f"/>
        <s v="61c0c341a431e1cf3a39b6d4"/>
        <s v="60358132c9f056768d8ed9ae"/>
        <s v="5f35a9a8a1bf0546be9bac96"/>
        <s v="6212702cdb17649e60db96fd"/>
        <s v="61499fd8522107a9ce2bcc16"/>
        <s v="5ff4f57a630a764856009865"/>
        <s v="5fc43267a0a4b17192dab572"/>
        <s v="5f6e21d0b57e854e72e7aae7"/>
        <s v="5f33c161d2bdd40d79692617"/>
        <s v="5f2c12864d07c485ad7a62de"/>
        <s v="6093fc737c9b3a4e7142a685"/>
        <s v="6259ccab08f19f4dc8f0df3c"/>
        <s v="6185171e3a95d9daf7fe4191"/>
        <s v="6126d5f22eeeddd9a18263e3"/>
        <s v="5f33c87cfb453fd4e85c4aa9"/>
        <s v="5fa0890af087526fd7e1cd8d"/>
        <s v="61969966021c458237f7a4f0"/>
        <s v="6193ff221370eb2c05293e8c"/>
        <s v="6193fff1d8c5c642216b105a"/>
        <s v="5f9cd218911dec4ce972c372"/>
        <s v="619c43ea35672a7448b2d3c0"/>
        <s v="5f6e379fadafa00e92cbbb1f"/>
        <s v="6234dda9ff5dbd2cb5ac4408"/>
        <s v="601bfc2fc989b54d91d760a4"/>
        <s v="5f2c1cd6b76a830b5f50b5dd"/>
        <s v="60266e3d919b7aeb2d799b4a"/>
        <s v="61e175ac55d1910cd546367b"/>
        <s v="620ba07f6e93926aa5093ed1"/>
        <s v="5f34602c480eb9f51d2f2b1e"/>
        <s v="5ff7dd38b8065e6743f96422"/>
        <s v="6149a398300e5747fa3da116"/>
        <s v="5f353146da66dc55f2d6ea1e"/>
        <s v="61fc203e6a240786c45e3c2f"/>
        <s v="5f9cb7af00b49b5ee1b06286"/>
        <s v="5f723b068cdcec6cea6fb0f8"/>
        <s v="605d7c300e468e83a9c6c6ce"/>
        <s v="605d9f64c271aee2372e3c90"/>
        <s v="61939bffdf8b02142645100c"/>
        <s v="5fce36f9a01a687ec6d07ae2"/>
        <s v="6121292f9a4feb54e7d21514"/>
        <s v="608468265e38d4fc2c0b82bb"/>
        <s v="61dc31a4282cba9816a8ea04"/>
        <s v="5fa8aca51ca45d0443863c15"/>
        <s v="5f81d09efb4bf0730f322ab0"/>
        <s v="6087026344bd2533cfddabc5"/>
        <s v="5f33aa845dc3163e6b9ee63e"/>
        <s v="601c92276ec32eda3c3dfb79"/>
        <s v="618bfb17ec9dff32da8fd29e"/>
        <s v="604698f1075e9b7e76b5f61d"/>
        <s v="62168fe89cb19b31e7946bb5"/>
        <s v="5fc970a490b67d94a3631256"/>
        <s v="5fda8282bf429cef1fc1d930"/>
        <s v="5f7b59fdb3c83427eb1f11be"/>
        <s v="60a76ab9145ec93c40cd2af7"/>
        <s v="5f352af1da66dc0a56d6e940"/>
        <s v="5ffb799058e9c1c4a5d7e2b8"/>
        <s v="616c0398d9efff795b277493"/>
        <s v="60b4c903c7fd13297f5c5c87"/>
        <s v="5ff10e7034586780304715d7"/>
        <s v="5f315490cdb856407e1f2993"/>
        <s v="60acd7c80bf97004861c3f31"/>
        <s v="62168731fb30ce09153b340c"/>
        <s v="5f772cc2d52f0d4949202555"/>
        <s v="618bf6a581db4e8b69edb1ab"/>
        <s v="619aadca021c456c3483e44f"/>
        <s v="619aaa107306454e9a525b44"/>
        <s v="60382e8a8ed508b231147682"/>
        <s v="62134bddd80c5a5ed7ec6dff"/>
        <s v="623f30150d89504278f58fd7"/>
        <s v="61a362f3c591d524baba2f43"/>
        <s v="60385519618c3a9a4422c10e"/>
        <s v="5fbd42e09f34a7c2965d49a8"/>
        <s v="6192c515c534ae8654b81d26"/>
        <s v="61f456c48cc34428be364248"/>
        <s v="5f3447969686750d4c004a27"/>
        <s v="616fd12cdaf57483ee19c46b"/>
        <s v="61fc16c80ca05959b8a4d8ea"/>
        <s v="61484f0906dcd57d5cce387b"/>
        <s v="609138714294c784a20a20bc"/>
        <s v="623f2de7ee9d435b827e2801"/>
        <s v="5fda88dd8aae78503bb30b0c"/>
        <s v="621a4d00fcd94bc7af64cfb6"/>
        <s v="60223536df74344cb984931b"/>
        <s v="5ff0fc5e630a762b59ffece0"/>
        <s v="6079c7e8d415f01fb9abdfb7"/>
        <s v="603562d8e12f9d259852ad78"/>
        <s v="60a8e25694585d3fc8700881"/>
        <s v="61c4bf7218ba3c7d6f7a4a15"/>
        <s v="61f1a12264718c719b513697"/>
        <s v="60311138fbe5051f69aa386b"/>
        <s v="60c0c77240e3a07db9cd04e4"/>
        <s v="6220edea08e3e6521498e9c0"/>
        <s v="61d7374a7a3e1d430b0d2a79"/>
        <s v="622b1291f1312ab844873140"/>
        <s v="5f328bf1777d7352944147d4"/>
        <s v="60bd0ce7a8d67d4596fe11dc"/>
        <s v="5f338d4d13c9ae448424482c"/>
        <s v="60194a1a47ba30e87e0488e6"/>
        <s v="622753841492ebb6d14b488d"/>
        <s v="61fc1c4ceb514a54377bdafd"/>
        <s v="5f33774d355b6a22fd38dbae"/>
        <s v="5f33849a98ff385f1933b5ed"/>
        <s v="619c4d4c742d170eed11ab77"/>
        <s v="5f34647cc1ca0a6fc9834758"/>
        <s v="5f85990afb4bf0390c325c79"/>
        <s v="5f3322c003a8187cc9924036"/>
        <s v="60c85fad5237fc9d092f5582"/>
        <s v="5fce1d62448da3caa17c31c6"/>
        <s v="5fa080254754fe9bac9be568"/>
        <s v="5fd5478212cbf3581fe52e49"/>
        <s v="5f3514ad4e6e6a82dc8e27d5"/>
        <s v="621884e9f0098b540b13840b"/>
        <s v="5ffb8275bb1161563c763e2a"/>
        <s v="6193fd7f4c33d5378d56b7b2"/>
        <s v="6193fe6377a79e3cec3b8266"/>
        <s v="61cb63def86a5f4ce9acbdba"/>
        <s v="625099168aae463b400f4b08"/>
        <s v="5f3517114e6e6a0d358e281d"/>
        <s v="5f3517eac5459fd0525cd4b4"/>
        <s v="62124c9aee5b0112f0651105"/>
        <s v="5fe31bdb85630279d055b4d2"/>
        <s v="61f7af9cac46bb45eb8a4567"/>
        <s v="61bccb96418884d0816bdb1c"/>
        <s v="60e756736ce46dfb754936b2"/>
        <s v="60250638f7f564b454b9d06a"/>
        <s v="5f32807b0bd9bc03e6fdc56b"/>
        <s v="61b72440af54f598183f045e"/>
        <s v="5f33ea8803a8183586924e8d"/>
        <s v="5f63762d3c9a2c6ad4e7843e"/>
        <s v="5f67fcb56dbb880e3913665a"/>
        <s v="5fdbbb335e70c3db4a8a3baa"/>
        <s v="5f33c28b30bf6356322c8f3a"/>
        <s v="5f3291b8e99eb6bacf1bf529"/>
        <s v="611ac3d2c1dc645bacf6fbcd"/>
        <s v="61b9fff84ae455cc9702c363"/>
        <s v="61bb6ca962e0e6750a74d552"/>
        <s v="622736317f7af38fd0fe1ca5"/>
        <s v="6236117bb42bfb5bb3a6c9bd"/>
        <s v="61a2951ac53a9223d35ba1c0"/>
        <s v="5f3297199396285da8b681bf"/>
        <s v="5fa88e30a9844620bf3a5bd7"/>
        <s v="606235771d92b2740c7446dd"/>
        <s v="601aa90f38711c2b1a354f12"/>
        <s v="5fbe429f3bde24f10ad0741c"/>
        <s v="6080a4153273c840dd7bc313"/>
        <s v="5f33c839b61d53bb5b6d7733"/>
        <s v="5f2c37946dc562e66bda26c4"/>
        <s v="5f9cb58f8f397d5b127ffa4a"/>
        <s v="60e2e2af1d1024e05482dca3"/>
        <s v="623a3831d6eec90ac033f68d"/>
        <s v="6220e5e7b4053c5fe1390cc8"/>
        <s v="6220e6f53d343f475dbe0913"/>
        <s v="623a3508a3d22369a1ae4ede"/>
        <s v="607948956af4c4d14381e652"/>
        <s v="62168452af87d86335c21319"/>
        <s v="5f333104e99eb6a4db1c014c"/>
        <s v="61c0a04dab91f5fc9fb39a5f"/>
        <s v="602b8ecc53e01d0a7a4ee83e"/>
        <s v="5f3289c59686752b1f0020c5"/>
        <s v="5f6e617296c8ed0454363b47"/>
        <s v="5f88815bc6107e26fb2e5478"/>
        <s v="624ff6203632c65ddba10c68"/>
        <s v="6214b995f1a7d545f52c5747"/>
        <s v="61a0fca416f46b2254e9f6da"/>
        <s v="61bb7090ec3faf4ad0fae389"/>
        <s v="61b67bdb3882ad253c56c2f1"/>
        <s v="624f230bcdcc3475e80d9bb9"/>
        <s v="6110fd3a4a2336091ca5528d"/>
        <s v="5ff2171658f3acc433e6b4ab"/>
        <s v="602a7c0df3768306cb9d742f"/>
        <s v="61ef10b5aaae423c46880ccb"/>
        <s v="61c4bc03029f19c3b618f3e8"/>
        <s v="5f905695dea0634721ef870b"/>
        <s v="60802bd538cb150c7536e0b0"/>
        <s v="5f328b0b6198064323f8df49"/>
        <s v="6086ff686502c22453ded0b9"/>
        <s v="6113bad451c3380761d19597"/>
        <s v="61f051a8d5aa8799658c622e"/>
        <s v="60269c147cc39902a854ff86"/>
        <s v="5ffb7adb3cc99f628ecc8f56"/>
        <s v="6036e4dd62f0eabc0e36a0ff"/>
        <s v="5f91904e7ddac148389657cf"/>
        <s v="62273b54b2a63a19ec396b27"/>
        <s v="607733f3cd039cd2b8c7d266"/>
        <s v="5f738af47992a78130f7093f"/>
        <s v="5f9c947d117b182d56474c42"/>
        <s v="619ac809c52e2f45cc777aa9"/>
        <s v="603869305ccd51dbd7b0bbe4"/>
        <s v="61d083b79a1126c7a3606fea"/>
        <s v="6172f8938978d53a3a50cb67"/>
        <s v="5f6e8c413f20e4611cf8dca1"/>
        <s v="61c50bff267c524504b6494b"/>
        <s v="5f333c361f35d342b156ce66"/>
        <s v="5f6815d56a41230b8ae35b90"/>
        <s v="5f67f995554732a9edd7b5d9"/>
        <s v="5ffb5de0937d1b6a62bd08ff"/>
        <s v="61cb57077f4eac7c68ed9ba1"/>
        <s v="5f359ff79c0da75e56c71562"/>
        <s v="5ff226cdf351dc5180682379"/>
        <s v="6059c6074a6b0a075ce4ba95"/>
        <s v="61b1e94db212cb3e4b6c37f5"/>
        <s v="5f730d9badafa077e1cbedf0"/>
        <s v="5f33855073c35d702ce6f2f7"/>
        <s v="61a7c5943b922f35b3b93a27"/>
        <s v="61546de2fba70c36ed6830e2"/>
        <s v="5fa48b1c857e1a6acc2ad71a"/>
        <s v="619ab0b299477fbb5cbf9dbc"/>
        <s v="623a40c97289cc06582d9a6f"/>
        <s v="618da5d61a3fa4ca19dbcd6b"/>
        <s v="6192ccf1e15469278535fa87"/>
        <s v="619c4f5e6b64b87f0ba1f772"/>
        <s v="5f346505fe473409ae6e7475"/>
        <s v="5f91fe8f0a199769d259b4de"/>
        <s v="60995f2d984d615c5f67a2d6"/>
        <s v="61b21c8469cd19a3e03a6730"/>
        <s v="61e13a42813c1fda6b0ab6a5"/>
        <s v="61fc36fd441efff0e255bf75"/>
        <s v="5fa8923b5b96e1c4828e419a"/>
        <s v="5f33bd366b1e0fe8d5f39deb"/>
        <s v="5f345eea6dfa178d81978e1c"/>
        <s v="5f315a4cf7b4aa7cb0cc56b9"/>
        <s v="5f332810456a26f869cf7720"/>
        <s v="5f352bedda66dc55c6d6e977"/>
        <s v="618a3f2da4848e09bbd87d31"/>
        <s v="6090306e889c7e30a6e8c1fc"/>
        <s v="5f98b7dc6d45722c0b86556b"/>
        <s v="6251620967c68b9160c4cb87"/>
        <s v="6079b8d27481557022de5ea7"/>
        <s v="60882f83ed7a3e69d173c2f9"/>
        <s v="614a0d31079a916d95d99bd3"/>
        <s v="5ff7e253b765dd4491b03c05"/>
        <s v="6034e39005dd290162fdea61"/>
        <s v="5f3158f5cb529000f0032493"/>
        <s v="5f974bdf73a8e63ed775ae54"/>
        <s v="6117b080b0c3ff3cbeb5e410"/>
        <s v="606dbbb11278edf983387034"/>
        <s v="60e0414f835b0c2f956bc852"/>
        <s v="624fea3f0d778c53b7f6dd9c"/>
        <s v="60c0ca8a5a60786914e36bce"/>
        <s v="6109a6458fa9085e9aeccb0e"/>
        <s v="60a251ab06a997432356a357"/>
        <s v="5fba65b2559c8fd44b0d053e"/>
        <s v="6236e9d209aea12395a6bdf9"/>
        <s v="616bf99d36e8295f3b7da653"/>
        <s v="600836be0a01975521f30e04"/>
        <s v="61853b937925537ddd1ce51b"/>
        <s v="5ff47923ac60e844676f44a3"/>
        <s v="61e5b755a4d4f76d2f932e77"/>
        <s v="624f13220267911487f11e56"/>
        <s v="5f35b06982cfcf0690525eb9"/>
        <s v="5f2c1572d783356b484989ce"/>
        <s v="5f3335c503a8180e1d92403b"/>
        <s v="60278e4e21f1767f753a4d03"/>
        <s v="5f33c4736b1e0f5af8f39f30"/>
        <s v="5f32831907d0637f06519dda"/>
        <s v="623d83a504c13cff45178dad"/>
        <s v="60870c191949c77baf251306"/>
        <s v="5f344c5d03a8183877925533"/>
        <s v="6110ed48b9ac195e2ea8b6af"/>
        <s v="5f6e7fc9b57e855a03e7ac8d"/>
        <s v="61852d7ef5a47d419e513809"/>
        <s v="61e5ac34e8696379ae599c81"/>
        <s v="615bece8623f1f563c60301f"/>
        <s v="5fcb1b98a28082395ebedef2"/>
        <s v="5f35168bf7ff421bb12a75ea"/>
        <s v="614475e44a68e7358c8ba1c3"/>
        <s v="5f98c708dea0634380f028cf"/>
        <s v="61d740976dcd70606ece1d75"/>
        <s v="5fcace326a62b83913bd383e"/>
        <s v="61a7c654e70e357681d4a5ea"/>
        <s v="5fcb264cfb47241f19b42459"/>
        <s v="61545b84e725fd94ac75f7de"/>
        <s v="5f8da567f3a26130e817135f"/>
        <s v="5f6e1d14aa4e040520d3ef09"/>
        <s v="623d7f48ab5e64cc0a5bf490"/>
        <s v="6000a52b3cc99f6941cdc20a"/>
        <s v="6192ca3ec22959dcec1c2e5a"/>
        <s v="611ab904d1623731b6f9832c"/>
        <s v="5f86fd8e1cfa98c81f2d6d9f"/>
        <s v="61276698a30d793a427cca20"/>
        <s v="61e16e5b9311cc3bfb84f51a"/>
        <s v="611ab7c16e2a2c54541e3be2"/>
        <s v="5f6808f4a26f34377f9e895d"/>
        <s v="6149f6df9e06e041d51cf30b"/>
        <s v="6212379d3861289061fb5db2"/>
        <s v="5f9748afd0763257ee6ea16d"/>
        <s v="5f6e99e6d85f2500c6270484"/>
        <s v="5f81dfbcfda822a0d308e15b"/>
        <s v="607d647f57449660944c7520"/>
        <s v="616f0035f3c61061fa629633"/>
        <s v="5f9742a435889d5a44b23e0a"/>
        <s v="5f9009d33fe49e2b4363208b"/>
        <s v="5f7c2e8fb238a15de0893510"/>
        <s v="5fa3faa7b82e0e4e9bc6586d"/>
        <s v="5f314e94f9051a627cdd042c"/>
        <s v="5f6804d8fbf4612ffd1b6e89"/>
        <s v="60262f4046a84325b96e0efe"/>
        <s v="6020ab161f27d58175874904"/>
        <s v="61ed0dc51959991a170b20c1"/>
        <s v="621269774f6e6742480596f5"/>
        <s v="61dc9b3edaf26349ed558322"/>
        <s v="6109c65bca892cf9f4a631c9"/>
        <s v="60c9fcacec9ecea7305a826d"/>
        <s v="6149cb2b9e06e06352144aa1"/>
        <s v="615a079f892909bcbb401401"/>
        <s v="5f9cadeba85edc366347da25"/>
        <s v="619abee0eac7007eba606309"/>
        <s v="5f333224fb6dd9b7d8dd4030"/>
        <s v="5f338eff13c9ae4e97244849"/>
        <s v="5f3e1c7760b5483845d2a06f"/>
        <s v="62509525e6ab4a4dba0d2ed8"/>
        <s v="619ab3cedf79614bce7ca8ca"/>
        <s v="60e026a1b77b2c0c3f439b1d"/>
        <s v="5f6e880eb57e8560a5e7ac92"/>
        <s v="5f8e9284850bab03d33550fa"/>
        <s v="5f8e94cabbd4701bd73d9b99"/>
        <s v="61e5eb34aeae2d24307ec2b8"/>
        <s v="61e5b49de53f9d3673886fb5"/>
        <s v="6049ef433ca2742461805899"/>
        <s v="6022c9843c1a97887abb2703"/>
        <s v="60902d857993a92cf0f387a9"/>
        <s v="5fc02b294e309552a66db018"/>
        <s v="5f72fffb849e13fcb365dde0"/>
        <s v="616bf0bdd88883e48928a359"/>
        <s v="618d9b914d6cd53a7c403040"/>
        <s v="6149a83006dcd54200f4d980"/>
        <s v="6109bb12aae93d5493b963a7"/>
        <s v="6035678805dd291360fdff29"/>
        <s v="615474805dbf6479da709101"/>
        <s v="6166b54c567bc3b49d5f9378"/>
        <s v="61e184d3800401a6bc049ba3"/>
        <s v="624f1582b2a531ac79e135c1"/>
        <s v="622cc220c900daa26f78cf7f"/>
        <s v="61de30ebe13ef42570e54b9b"/>
        <s v="61c0e71c27cfce4c3c9daa3a"/>
        <s v="614987eb06dcd59812f01742"/>
        <s v="5f352ef686f7db508ff8e992"/>
        <s v="5fa1d0319d384e78d9e3b05c"/>
        <s v="606238f6b48e84311e44002c"/>
        <s v="62124ea65b4ec74ef96c0d4d"/>
        <s v="5f35b348c5459f57395ce425"/>
        <s v="61532b85bd56570a7f0d77e5"/>
        <s v="617071037a4e4b963e0506fa"/>
        <s v="5f9cc72da86d0c3011866b7f"/>
        <s v="60a21f0f0c1744bada242a24"/>
        <s v="60a21ff33b78af7d8973bcce"/>
        <s v="60a21d96c4c262bdbf7e6ef1"/>
        <s v="614b9d7e16d64cf1c4c7bb12"/>
        <s v="61c4d50462361705e116f71a"/>
        <s v="5f315647b9e5e1f92fdb6148"/>
        <s v="6206beac2c2320ebc9cd6446"/>
        <s v="618527649a9897b20e41f0fb"/>
        <s v="6089c7ce757bb67a46e80f9f"/>
        <s v="60846302acb17f4e40dc44ef"/>
        <s v="6089c9444eb0b7d42bdab115"/>
        <s v="61fc217029ae5d013283b23a"/>
        <s v="6220e1e5bb13b860b11766ee"/>
        <s v="615a1213e8c9b9d865825382"/>
        <s v="614b9f88dc6473efa4199885"/>
        <s v="5f5a64bf3c3d83ac40a8d5ae"/>
        <s v="5f338c53abcd6abfb3e15752"/>
        <s v="5ff114630e63fe27e1cc2fce"/>
        <s v="5f351837cd664a93bc6ab9e2"/>
        <s v="614a0fb69e06e0e611235b6a"/>
        <s v="61824f95d318ea7e42c7c8e7"/>
        <s v="61e5b0c4b66cab45e741b09f"/>
        <s v="5f847f206d39487dd836d431"/>
        <s v="5f2c35f4276682de259234a3"/>
        <s v="624fe36a752ee77fa8ae5d18"/>
        <s v="62187fe1987c4827769be920"/>
        <s v="5ff5016c71e89c728f981fbe"/>
        <s v="61be15e8d897491b9ae835e8"/>
        <s v="61c2239b8dbd05503f7b3e5f"/>
        <s v="5ff7fe3e35e580e6754436c2"/>
        <s v="5fe9ef16eeb85d46c0cd607a"/>
        <s v="624fe5ffce87e9111907aae8"/>
        <s v="5fe1e6f461e7ff74dcfc690d"/>
        <s v="6027c4449d6209de2564067c"/>
        <s v="5f333b685dc316633b9ee2c5"/>
        <s v="5ff2219beeb85d441eceee1f"/>
        <s v="6149d11bd86ab22850c2bb0f"/>
        <s v="616bfe15dd11c8196b72a74e"/>
        <s v="5f9723ca3459b82de692339d"/>
        <s v="622cccfc8ecbc535e27d6338"/>
        <s v="5f33e13efb6dd93e39dd4ca4"/>
        <s v="60a7901bc239716f7833f87d"/>
        <s v="618530110fc81943694f2397"/>
        <s v="5f972c68d38ebb3f5c1f8e91"/>
        <s v="61f455e9fc775af44a4f4a9f"/>
        <s v="61809cdc93bf2dea6ea4763a"/>
        <s v="5f315747304c826ba94782ac"/>
        <s v="5f90191118885c4695d8b96e"/>
        <s v="5fa8a382e20f32498ecaceda"/>
        <s v="5f3670daf413540c494f36e3"/>
        <s v="61dc98a5252ae47e99718dac"/>
        <s v="5f33bf08bc33c96e0fadd917"/>
        <s v="618d988a51c1a03fdccb52f8"/>
        <s v="622743440bbf262ac4250a81"/>
        <s v="606db9c216fa098537a41021"/>
        <s v="61a101682664594fa2c78f06"/>
        <s v="5f5bf7a48d5d51ece2039cfe"/>
        <s v="6075b34d04a0f246917f566e"/>
        <s v="5fbce7a7df980a2a1f337b61"/>
        <s v="5f9977130a199739465a3643"/>
        <s v="61f1aa1cd5aa87d9d0a6eca5"/>
        <s v="6220ef8c16f4808b22eef8f6"/>
        <s v="5ff47c0f05d6ffcddbcfde20"/>
        <s v="60acd522d96bad09e3700789"/>
        <s v="60901317e42846e9e81a5747"/>
        <s v="618da9216232aa60c9643495"/>
        <s v="60a75f3c9edb2c90527d383f"/>
        <s v="61a36b44d201192f67aadacd"/>
        <s v="5ff5053bcf33767d3db62d19"/>
        <s v="60063db126a65ac32132c360"/>
        <s v="60d2cfd4b59e0a06148d8770"/>
        <s v="5f2c34fd5b6dd080ba3cd27f"/>
        <s v="5fa06de8c9dffe81880549b0"/>
        <s v="6081738dde7ecf5f67a5dc70"/>
        <s v="62566ee7bac9b9180e838260"/>
        <s v="60098567b4fcb44b7a76156f"/>
        <s v="5f328a5d250544651d1b585e"/>
        <s v="5f6ce0b3361cb3b4e0c9050f"/>
        <s v="5f6c9d214156227580fef036"/>
        <s v="5f35a55cd646812fecfeb3eb"/>
        <s v="60d300365c309377cfcdff58"/>
        <s v="5f33e1dfbc33c9640badde7f"/>
        <s v="5fe479fcbc2d632944137301"/>
        <s v="5f6e7c7e32054a8e2c428e50"/>
        <s v="6212a425498914194668e064"/>
        <s v="623a3e57ae28887e8fcba9af"/>
        <s v="606b094efde1be576806be24"/>
        <s v="5fe0f74e20df6e2cafc1ab0b"/>
        <s v="5f33dfffad5516cce75858ba"/>
        <s v="6158a05a6845406c7c85d636"/>
        <s v="5fd5ecafe730ae27865e152c"/>
        <s v="5fc427fffc71443df74599f3"/>
        <s v="5fcfebc0ddc8652ce9b229f0"/>
        <s v="624fdea8e32832cfc30ebde3"/>
        <s v="5fc02a71200b0d33a0a518f2"/>
        <s v="5f886b4f8c38c830d5b58efc"/>
        <s v="5f886f09a32e99888339b045"/>
        <s v="5ff7e65cdef3884256df234b"/>
        <s v="5f6c9460b57e856305e76a0e"/>
        <s v="6220f7415d24a1ec73877fad"/>
        <s v="611ac04a2b55215ec5b5f313"/>
        <s v="625093788594f47a4195bba1"/>
        <s v="624ff0d1b8bf8782855ad5ac"/>
        <s v="61867dd7ef14d5b3ae671642"/>
        <s v="5f5351e9bac3891edf7a1294"/>
        <s v="5f9163c46d45726d4a85fe33"/>
        <s v="60da2d30c8be0925d17a2549"/>
        <s v="5f314fb814446dab23298b90"/>
        <s v="61cb6ae50bc148167ba05253"/>
        <s v="61824bc316b4f2514330981c"/>
        <s v="5fcad96637964802fd94d7a5"/>
        <s v="5f315e877004a385a9ce063e"/>
        <s v="60ef17806531cab9fd9c9060"/>
        <s v="61af57a8449556372601d74c"/>
        <s v="602fceaba9d2c19ebb002bfc"/>
        <s v="61ce20bfb05c6f762655d4d1"/>
        <s v="61934e764d6cd5632ff4794b"/>
        <s v="5f3536d0b0d244a8f4802113"/>
        <s v="619696a4df79612690eec781"/>
        <s v="6158a2b2ff8600fc83f357da"/>
        <s v="61f1a4759f595658b5a2b61a"/>
        <s v="619560168e04b931b3be46b9"/>
        <s v="5f738133200a0dd3ca3104c7"/>
        <s v="5f2c18a31c697056580becf3"/>
        <s v="5f6e653a1b1d9780c2323297"/>
        <s v="5fd3d222e8f74d15fe6d4dec"/>
        <s v="61fecbe3d28d51265d804f6e"/>
        <s v="5f6b9dd9849e1346ef653ff4"/>
        <s v="61bb7a5467339e5cbe9f07a5"/>
        <s v="5f984ebd8656c782db84092b"/>
        <s v="61e5eca89d163f3c6f7ee38f"/>
        <s v="60e8a5e448bb371401561882"/>
        <s v="62274d3677123abcc4e7f375"/>
        <s v="5f32985b73c35dd55ae6e660"/>
        <s v="61bcd5b03b26a242e9b056e9"/>
        <s v="60794dffa1b8befa4dd4dbde"/>
        <s v="6149f8578e1b3e0b0a9a80ef"/>
        <s v="61099d7ec16c5a8ea7042bd9"/>
        <s v="61a28ff611e446809ae4ffa8"/>
        <s v="6092c29467cf303f6bf7ccdb"/>
        <s v="61f4593bf6dc60164ac00295"/>
        <s v="61e16afb09eec1723857fb37"/>
        <s v="6089bd4765feb0149477254f"/>
        <s v="61a7eb881f41ad4fa807bd7e"/>
        <s v="601d2ea83a805a64b630a47b"/>
        <s v="614c4324deb5396c457289e7"/>
        <s v="60c61a833f525cbbc8fb16fe"/>
        <s v="6207f6244eff26c2ed82cb23"/>
        <s v="5f2c15079a39a72fd79c2855"/>
        <s v="5f33bafefb453fcd3b5c4810"/>
        <s v="614995de000b695711b92eec"/>
        <s v="600b42679dceb63d40080f7a"/>
        <s v="621a5113d17437ee8f62d7e9"/>
        <s v="5ff7d897e348f66562a1f5c9"/>
        <s v="60c61c62baf01d87991c7e3a"/>
        <s v="60e75dd63160b1d93510ce0b"/>
        <s v="5f333a50c159862e7c918d00"/>
        <s v="5f3552e602e0084bf18fd59b"/>
        <s v="5f3291a698ff3841ac33a587"/>
        <s v="62372da68e872d9ece629954"/>
        <s v="6027cdcf7cc399c8285555fe"/>
        <s v="5f33e302fb6dd950bddd4cce"/>
        <s v="5f33e0c1bdf9f88bd3222b5a"/>
        <s v="6023d69bed5d4eb8ff3c13ed"/>
        <s v="61866cab3a95d9741d2b7bb5"/>
        <s v="5f9027257ddac174cc9621cd"/>
        <s v="6081a667c14c89dd6a9ca3ed"/>
        <s v="61498bf1000b696021b83056"/>
        <s v="607986b9191de0e0d3a14be4"/>
        <s v="5f9cb03285129f89dd7817a7"/>
        <s v="5f33bd98777d73611441668b"/>
        <s v="61a7ef70536fbfb45bbe851d"/>
        <s v="5f33a853fd2b2803ccab3001"/>
        <s v="5ff45aae87a63b19b533eb59"/>
        <s v="606b0a9a02b6971ee1865dba"/>
        <s v="623d9bdcf6229eb9da15ef76"/>
        <s v="607737354520f4b21c986a59"/>
        <s v="60c0db39cfd592424758a2a4"/>
        <s v="5f35aa9bf3dfd151042e3f1a"/>
        <s v="5fc41798a0a4b1c513dab54f"/>
        <s v="606f12d56d3eeb0d124093bb"/>
        <s v="602275bd468b465d706c40c8"/>
        <s v="6059d978dd0543811a95f76a"/>
        <s v="62509aeb5d1046f2052f31f5"/>
        <s v="622750401caa5209a6958b6a"/>
        <s v="618c037c6fd0a71b45a27776"/>
        <s v="61c4db473ce9fe7a7f30258d"/>
        <s v="623f335c77a1ae27fa8140eb"/>
        <s v="5f9cd77f4f83053ff4f7b5eb"/>
        <s v="61c6d7cd11cb05f60976a4b2"/>
        <s v="5f6ba94fd670cf222fe12b8c"/>
        <s v="61ed0fd609b42e0ab9946ef0"/>
        <s v="5f7f1b83449e31366ff0704b"/>
        <s v="612a57458f06147387d6302f"/>
        <s v="61214c31ccc2900790c54b96"/>
        <s v="6149af8a87c8ffc185bc8922"/>
        <s v="6227572e140bbf1f28a072ee"/>
        <s v="6079ba9fd4c52428046175a7"/>
        <s v="5ff2242ef351dca85f68236f"/>
        <s v="61b67e157f67733ad13a2398"/>
        <s v="5f2c1f944d07c428ef7a64c7"/>
        <s v="5fa47c75e67f4639046d8532"/>
        <s v="5f6e73979fe43a1ae13a68a4"/>
        <s v="61f44de026a9a30ad716edb6"/>
        <s v="5f960363db6eddfb215455ac"/>
        <s v="5fe103f7afaa3285b5ccba6f"/>
        <s v="5fa5f8fbfe8a2043fa8d1960"/>
        <s v="6000aa5cfa8f1627a804aaa4"/>
        <s v="62373ddd328bba6e9174947d"/>
        <s v="5fce3ece690d975ac2b16ec2"/>
        <s v="602d0d9fefa02def0ac00965"/>
        <s v="5ff1265e8365ab298a8fbe77"/>
        <s v="6250923236ad5c053e5c1565"/>
        <s v="5fbe8e98a9c8366923adb6a4"/>
        <s v="62274546d0bbcded09c22dfb"/>
        <s v="6059cb00dedd784f666c3747"/>
        <s v="5fbd94869e0f6f33e6f27ec1"/>
        <s v="5f330d69fb6dd98232dd3f23"/>
        <s v="61b7298c33320b2bf727bf0d"/>
        <s v="60809aef7481557feae05f9c"/>
        <s v="61f43eca629ed57143c7a2de"/>
        <s v="5f6e70d4cea8d5540940b615"/>
        <s v="623daa03cfca5d36d15e02b4"/>
        <s v="5fcf2cffcef434bc625f8d08"/>
        <s v="5f91bc6320c352919c86d38b"/>
      </sharedItems>
    </cacheField>
    <cacheField name="Restoran&#10;Adı" numFmtId="0">
      <sharedItems>
        <s v="% Yüz Tantuni, Tepebaşı (Hacı Seyit Mah.)"/>
        <s v="10line Fast Food &amp; Kokoreç, Tepebaşı (Hoşnudiye Mah.)"/>
        <s v="1965 Efsane Tantuni, Tepebaşı (Erenköy Mah.)"/>
        <s v="1991 Tarihi Ortaköy Kumpircisi (Hoşnudiye Mah. - Cassaba Modern)"/>
        <s v="1991 Tarihi Ortaköy Kumpircisi Premium (Eskibağlar)"/>
        <s v="3 Monkey Burger, Tepebaşı (Batıkent Mah)"/>
        <s v="Aba Fast Food &amp; Kahvaltı, Odunpazarı (Kırmızıtoprak Mah.)"/>
        <s v="Abartı Izgara (Cumhuriye Mah.)"/>
        <s v="ABC Kumru, Odunpazarı (İstiklal Mah.)"/>
        <s v="Abdullah Amcabey Baklavaları, Odunpazarı (Emek Mah.)"/>
        <s v="Abdullah Amcabey Baklavaları, Odunpazarı (Osmangazi Mah.)"/>
        <s v="Abi Tost &amp; Kahvaltı &amp; Köfte (Kırmızıtoprak Mah.)"/>
        <s v="Ablanın Yeri, Tepebaşı (Cumhuriye Mah.)"/>
        <s v="Abone Mersin Tantuni, Arifiye"/>
        <s v="Abone Meşhur Tostçu (Yenibağlar Mah.)"/>
        <s v="Abur Cubur Pizza, Eskibağlar"/>
        <s v="Acayip Izgara Köfte &amp; Sucuk (Yenibağlar Mah.)"/>
        <s v="Acıktım Mersin Tantuni,Odunpazarı (Büyükdere Mah.)"/>
        <s v="Ada Çibörek, Tepebaşı ( Hoşnudiye Mah.)"/>
        <s v="Adalar Mersin Tantuni, Odunpazarı (İstiklal Mah.)"/>
        <s v="Adalar Pide &amp; Kebap, Odunpazarı (İstiklal Mah.)"/>
        <s v="Adalar Tantuni, Odunpazarı (İstiklal Mah.)"/>
        <s v="Adalı Kumru &amp; Fast Food, Tepebaşı (Şirintepe Mah.)"/>
        <s v="Adana Böreği Yunus Usta, Tepebaşı (Hoşnudiye Mah.)"/>
        <s v="Adanalı Bekir Usta, Tepebaşı (Hoşnudiye Mah.)"/>
        <s v="Adanalı Dürümcü İbrahim Usta, Tepebaşı (Cumhuriye Mah.)"/>
        <s v="Adanalı Dürümcü Soner Usta, Cumhuriye"/>
        <s v="Adanalı Sezer Usta Pide &amp; Lahmacun, Tepebaşı (Hoşnudiye Mah.)"/>
        <s v="Adanus Ocakbaşı, Tepebaşı (Cumhuriye Mah.)"/>
        <s v="Adıyaman Çiğ Köfte Murat Usta, Tepebaşı (Cumhuriye Mah.)"/>
        <s v="Adıyaman Çiğ Köftecisi Ali Usta, Odunpazarı (71 Evler Mah.)"/>
        <s v="Adıyaman Çiğ Köftecisi İlyas Aybak, Odunpazarı (71 Evler Mah.)"/>
        <s v="Adıyaman Çiğ Köftecisi, Odunpazarı (Ihlamurkent Mah.)"/>
        <s v="Adıyaman Çiğköftecisi İlyas Aybak, Odunpazarı (Emek Mah.)"/>
        <s v="Adıyamanlı Abuzeroğulları, Tepebaşı ( Batıkent Mah.)"/>
        <s v="Adıyamanlı Baraka Çiğ Köftecisi, Odunpazarı (Büyükdere Mah.)"/>
        <s v="Adıyamanlı Çiğ Köfte &amp; Tatlı, Odunpazarı (Büyükdere Mah.)"/>
        <s v="Adıyamanlı Çiğ Köfteci Abuzeroğulları, Tepebaşı (Şirintepe Mah.)"/>
        <s v="Adıyamanlı Çiğ Köfteci Abuzeroğulları, Tepebaşı (Yeşiltepe Mah.)"/>
        <s v="Adıyamanlı Çiğ Köfteci Kemal Usta, Akarbaşı"/>
        <s v="Adıyamanlı Çiğ Köfteci Kemal Usta, Tepebaşı (Batıkent Mah.)"/>
        <s v="Adıyamanlı Çiğ Köfteci Kemal Usta, Tepebaşı (Orhanoğuz Cad.)"/>
        <s v="Adıyamanlı Çiğ Köfteci Kemal Usta, Tepebaşı (Sütlüce Mah.)"/>
        <s v="Adıyamanlı Çiğ Köfteci Kemal Usta, Tunalı"/>
        <s v="Adıyamanlı Çiğ Köfteci, Odunpazarı (Vişnelik Mah.)"/>
        <s v="Adıyamanlı Çiğ Köfteci, Tepebaşı (Cumhuriye Mah.)"/>
        <s v="Adıyamanlı Çiğ Köfteci, Tepebaşı (Yenibağlar Mah.)"/>
        <s v="Adıyamanlı Çiğköfteci Abuzeroğulları,Odunpazarı (Vişnelik Mah.)"/>
        <s v="Adıyamanlı Çiğköfteci Eyüp Usta, Tepebaşı (Yenibağlar Mah.)"/>
        <s v="Adıyamanlı Çiğköfteci Fatih Usta, Tepebaşı (Cumhuriye Mah.)"/>
        <s v="Adıyamanlı Çiğköftempark,Odunpazarı(Arifiye Mah.)"/>
        <s v="Adıyamanlı Düdanlıbey Çiğ Köftecisi, Tepebaşı (Yenibağlar Mah.)"/>
        <s v="Adres Pide &amp; Kebap, Odunpazarı (Kurtuluş Mah.)"/>
        <s v="Afilli Tost, Tepebaşı (Yenibağlar Mah.)"/>
        <s v="Agah Dürüm, Tepebaşı (Eskibağlar Mah.)"/>
        <s v="Ahbap Chicken, Tepebaşı (Eskibağlar Mah.)"/>
        <s v="Ahsen Pide Kebap, Odunpazarı(Yenidoğan Mah.)"/>
        <s v="Ailem Balık &amp; Izgara, Odunpazarı (Yenidoğan Mah.)"/>
        <s v="Ailem Ev Yemekleri, Odunpazarı (İstiklal Mah.)"/>
        <s v="Akközde Adana Sofrası, Odunpazarı (Alanönü Mah.)"/>
        <s v="Ala Express Dürümcü,Tepebaşı(Güllük Mah.)"/>
        <s v="Ala Express Kavurma Tirit, Tepebaşı (Güllük Mah.)"/>
        <s v="Ala Pizza, Tepebaşı (Eskibağlar Mah.)"/>
        <s v="Ala Tost Sandviç, Tepebaşı (Güllük Mah.)"/>
        <s v="Ala-Express Pizza &amp; Hamburger, Tepebaşı (Güllük Mah.)"/>
        <s v="Ala-Express Tantuni, Tepebaşı (Güllük Mah.)"/>
        <s v="Alaçatı İzmir Kumrum, Odunpazarı (Büyükdere Mah)"/>
        <s v="Alaçatı Kumru &amp; Hamburger, Odunpazarı (Arifiye Mah.)"/>
        <s v="Alaçatı Tavuk Çevirme, Tepebaşı(Yenibağlar Mah.)"/>
        <s v="Alaturka House,Tepebaşı(Batıkent Mah.)"/>
        <s v="Alfa Kumru &amp; Patso, Tepebaşı (Güllük Mah.)"/>
        <s v="Ali Baba Tantuni (Vişnelik Mah.)"/>
        <s v="All-Pukka, Tepebaşı (Kumlubel Mah.)"/>
        <s v="Altın Sofra, Tepebaşı (Zafer Mah.)"/>
        <s v="Altınbaşak Fırın, Tepebaşı (Hoşnudiye Mah.)"/>
        <s v="Altındağ Döner &amp; Köfte, Tepebaşı (Tunalı Mah.)"/>
        <s v="Altınelek Unlu Mamulleri, Odunpazarı (Emek Mah.)"/>
        <s v="Amcabey Baklavaları, Tepebaşı (Batıkent Mah.)"/>
        <s v="Amcabey Künefe, Odunpazarı (Vişnelik Mah.)"/>
        <s v="Amigos Potato,Tepebaşı(Güllük Mah.)"/>
        <s v="Anadolu Kelle, Tepebaşı (İhsaniye Mah.)"/>
        <s v="Angry Fried Chicken, Tepebaşı (Eskibağlar Mah.)"/>
        <s v="Angry Fried Chicken, Tepebaşı (Güllük Mah.)"/>
        <s v="Angry Grilled Chicken, Tepebaşı (Şirintepe Mah.)"/>
        <s v="Antep Kebap Hacı Usta, Odunpazarı(Gökmeydan Mah.)"/>
        <s v="Antepeli Pide &amp; Kebap Sedat Usta, Tepebaşı (Şirintepe Mah.)"/>
        <s v="Antepli Beğendik Pide &amp; Kebap, Vişnelik"/>
        <s v="Antik Baklava, Tepebaşı (Cumhuriye Mah.)"/>
        <s v="Apache Burger, Odunpazarı (Kırmızıtoprak Mah.)"/>
        <s v="Aperatif Fast Food, Odunpazarı (Arifiye Mah.)"/>
        <s v="Aperatif Fast Food, Tepebaşı (Ömerağa Mah.)"/>
        <s v="Arabica Cafe, Tepebaşı (Eskibağlar Mah.)"/>
        <s v="Aras Fast Food, Tepebaşı (Yeşiltepe Mah.)"/>
        <s v="Arasta Döner, Tepebaşı (Yenibağlar Mah.)"/>
        <s v="Arkeolog Bey Burger, Tepebaşı (Güllük Mah.)"/>
        <s v="Arsuz Döner &amp; Kudu &amp; Lavaş, Odunpazarı (Büyükdere Mah.)"/>
        <s v="Artizan Köfte &amp; Burger, Tepebaşı (Hoşnudiye Mah.)"/>
        <s v="Arya Mantı &amp; Çibörek, Odunpazarı (Paşa Mah.)"/>
        <s v="As İzmirlim Patso &amp; Kumrucum, Odunpazarı (Büyükdere Mah.)"/>
        <s v="Ases Tost, Tepebaşı (Eskibağlar Mah.)"/>
        <s v="Aslım Tost Evi, Tepebaşı (Bahçelievler Mah.)"/>
        <s v="Asya Kokoreç &amp; Fast Food (Büyükdere Mah.)"/>
        <s v="Aşk'ı Ümit Usta Pide &amp; Tantuni &amp; Kebap (Akarbaşı Mah.)"/>
        <s v="Aşkım Kumru &amp; Sandwich, Tepebaşı (Bahçelievler Mah.)"/>
        <s v="Ata Cheff Burger &amp; Sandviç &amp; Sosis, Tepebaşı (Güllük Mah.)"/>
        <s v="Ateş Piliç Tantuni Köfte-Izgara Salonu,Tepebaşı (Tunalı Mah.)"/>
        <s v="Ateşbaşı Kebbap, Odunpazarı (İstiklal Mah.)"/>
        <s v="Ateşle Burger, Odunpazarı (Büyükdere Mah.)"/>
        <s v="Atlas Tost Evi, Tepebaşı (Güllük Mah.)"/>
        <s v="Atlasbey Çiğköfteleri,Tepebaşı (Güllük Mah.)"/>
        <s v="Aurora Waffle, Tepebaşı (Hoşnudiye Mah.)"/>
        <s v="Ay Yıldız Pide &amp; Kebap &amp; Tantuni, Tepebaşı (Sütlüce Mah.)"/>
        <s v="Ay-She Tostpito, Eskibağlar"/>
        <s v="Ayboo Tavuk Mangal, Tepebaşı (Güllük Mah)"/>
        <s v="Aydoğan Döner, Odunpazarı (Emek Mah.)"/>
        <s v="Bağlar Tantuni, Tepebaşı (Güllük Mah.)"/>
        <s v="Baklahu Hakiki Gaziantep Baklavaları, Tepebaşı (Hoşnudiye Mah.)"/>
        <s v="Baklavacı Cenap Usta, Odunpazarı (Emek Mah.)"/>
        <s v="Baklavacım, Tepebaşı ( Eskibağlar Mah.)"/>
        <s v="Balaban Kebap, Odunpazarı (Arifiye Mah.)"/>
        <s v="Balkan Lokantası &amp; Ev Yemekleri, Tepebaşı (Çamlıca Mah.)"/>
        <s v="Barbiger Tava &amp; Izgara, Tepebaşı (Hoşnudiye Mah.)"/>
        <s v="Bas Bi' Tost, Tepebaşı (Yenibağlar Mah.)"/>
        <s v="Başkan Sofrası Pide &amp; Kebap, Odunpazarı (Çankaya Mah.)"/>
        <s v="Bec Burger &amp; Pizza &amp; Sosis, Tepebaşı (Batıkent Mah.)"/>
        <s v="Bec Burger, Odunpazarı (Vadişehir Mah.)"/>
        <s v="Belkıs Dayıoğlu Pide Kebab, Odunpazarı (Orhangazi Mah.)"/>
        <s v="Bence Döner Tantuni, Tepebaşı ( Şirintepe Mah.)"/>
        <s v="Bereket Pide &amp; Döner, Tepebaşı (Bahçelievler Mah.)"/>
        <s v="Bereket Pide &amp; Kebap Evi, Odunpazarı (Emek Mah.)"/>
        <s v="Berhan Fast Food, Odunpazarı (Vişnelik Mah.)"/>
        <s v="Berry &amp; Merry Chicken &amp; Rice House (Büyükdere Mah.)"/>
        <s v="Besler Tantuni, Güllük"/>
        <s v="Beyaz Tavalar, Tepebaşı (Bahçelievler Mah.)"/>
        <s v="Beyoğlu Crispy Chicken &amp; Burger, Büyükdere"/>
        <s v="Beyoğlu Gurme , Tepebaşı (Batıkent Mah.)"/>
        <s v="Beyoğlu Kokoreç, Odunpazarı (Büyükdere Mah.)"/>
        <s v="Bi Çiğköfte, Odunpazarı (İstiklal Mah.)"/>
        <s v="Bi Çiğköfte,Odunpazarı(Vişnelik Mah.)"/>
        <s v="Bi Nazır Pasta &amp; Börek &amp; Tatlı, Odunpazarı (Büyükdere Mah.)"/>
        <s v="Bi Nazır Tantuni, Odunpazarı (Büyükdere Mah.)"/>
        <s v="Bi-Nazır Pide &amp; Kebap, Odunpazarı (Büyükdere Mah.)"/>
        <s v="Bi-Nazır Pizza, Büyükdere"/>
        <s v="Big Çıtır Dürüm, Tepebaşı(Güllük Mah.)"/>
        <s v="Bircan Ocakbaşı, Tepebaşı (Çamlıca Mah.)"/>
        <s v="Birsen Kebap &amp; Pide &amp; Yemek, Tepebaşı (Bahçelievler Mah.)"/>
        <s v="Birtat Lahmacun &amp; Pide, Odunpazarı (İstiklal Mah.)"/>
        <s v="Birtat Mersin Tantuni, Tepebaşı (Hoşnudiye Mah.)"/>
        <s v="Boğaziçi Tantuni, Odunpazarı (Emek Mah.)"/>
        <s v="Bol Çeşit Gözleme Evi, Tepebaşı (Bahçelievler Mah.)"/>
        <s v="Bol Çeşit Soğuk Sandviç, Tepebaşı (Hoşnudiye Mah.)"/>
        <s v="Boss Burger, Tepebaşı (Güllük Mah.)"/>
        <s v="Boston Donuts, Tepebaşı (Hoşnudiye Mah.)"/>
        <s v="Bozanlı Çorbacısı, Tepebaşı (Hoşnudiye Mah.)"/>
        <s v="Bozok Döner, Tepebaşı (Yenibağlar Mah.)"/>
        <s v="Bozüyüklü Emre Kokoreç,Tepebaşı (Uluönder Mah.)"/>
        <s v="Breadli, Odunpazarı (Büyükdere Mah.)"/>
        <s v="BreakFast Time (Bahçelievler Mah.)"/>
        <s v="Bright Breakfast,Tepebaşı(Güllük Mah.)"/>
        <s v="Bro Burger, Odunpazarı (Büyükdere Mah.)"/>
        <s v="Bro's Tantuni, Tepebaşı (Şirintepe Mah.)"/>
        <s v="Brunch Box Kahvaltı, Tost, Sandwich, Odunpazarı (Büyükdere Mah)"/>
        <s v="Bsr, Odunpazarı( Arifiye Mah.)"/>
        <s v="Bsr,Odunpazarı( İstiklal Mah.)"/>
        <s v="Bu Kokoreç &amp; Çorba, Tepebaşı (Hoşnudiye Mah.)"/>
        <s v="Bubble ES Waffle,Tepebaşı (Cumhuriye Mah.)"/>
        <s v="Bufalo Burger, Odunpazarı (İstiklal Mah.)"/>
        <s v="Bulvar Pide &amp; Kebap &amp; Lahmacun, Odunpazarı (Emek Mah.)"/>
        <s v="Bunway, Tepebaşı (Uluönder Mah.)"/>
        <s v="Burger Yiyelim, Tepebaşı (Hoşnudiye Mah.)"/>
        <s v="Burgermix Steak, Tepebaşı (Eskibağlar Mah.)"/>
        <s v="By Gurme Burger, Tepebaşı (Eskibağlar Mah.)"/>
        <s v="By Şölen, Tepebaşı (Fatih Mah.)"/>
        <s v="Cadde Tantuni, Odunpazarı (Gökmeydan Mah.)"/>
        <s v="Cafe De Paris, Hoşnudiye"/>
        <s v="Cafe Şekerleme, Tepebaşı (Hoşnudiye Mah.)"/>
        <s v="Cajun Corner, Tepebaşı (Eskibağlar Mah.)"/>
        <s v="Calanthe Cafe, Tepebaşı (Eskibağlar Mah.)"/>
        <s v="Callo &amp; Aunt Toast &amp; Sandwich, Tepebaşı(Yenibağlar Mah.)"/>
        <s v="Capo Coffee &amp; Mocktail H. Collesium Tepebaşı (Eskibağlar Mah.)"/>
        <s v="Cennet Simit, Odunpazarı (Arifiye Mah.)"/>
        <s v="Cennet Simit, Odunpazarı (İstiklal Mah.)"/>
        <s v="Cennet Simit, Tepebaşı (Bahçelievler Mah.)"/>
        <s v="Ceylan Pastaneleri, Odunpazarı (Gökmeydan Mah)"/>
        <s v="Cheese Pizza, Odunpazarı (Çankaya Mah.)"/>
        <s v="Cheest Döner, Tepebaşı (Şirintepe Mah.)"/>
        <s v="Chef İzmir Sandviç &amp; Döner &amp; Kudu, Odunpazarı (Büyükdere Mah.)"/>
        <s v="Chef Line Burger, Noodle, Çıtır Chicken, Tepebaşı(Güllük)"/>
        <s v="Cheff Chicken Home, Tepebaşı (Güllük Mah.)"/>
        <s v="Chicken Bank, Odunpazarı (Vişnelik Mah.)"/>
        <s v="Chicken Farm, Tepebaşı (Güllük Mah.)"/>
        <s v="Chicky, Tepebaşı (Cumhuriye Mah.)"/>
        <s v="Chubby Chicks, Tepebaşı(Güllük Mah.)"/>
        <s v="Ciğerci Göksel, Tepebaşı (Yenibağlar Mah.)"/>
        <s v="Ciğerci İso Pide &amp; Kebap, Odunpazarı (Deliklitaş Mah.)"/>
        <s v="Ciğerci Mesut, Tepebaşı ( Yenibağlar Mah.)"/>
        <s v="Ciğerci Sedat, Deliklitaş"/>
        <s v="Ciğerci Sedat, Yenibağlar"/>
        <s v="Cingöz Tost, Odunpazarı (Arifiye Mah.)"/>
        <s v="City's Pizza, Tepebaşı (Çamlıca Mah.)"/>
        <s v="City's Pizza, Tepebaşı (Güllük Mah.)"/>
        <s v="Clement Mathieu's Fast Food, Odunpazarı (Büyükdere Mah.)"/>
        <s v="Coffee &amp; Tea House, Odunpazarı (Arifiye Mah.)"/>
        <s v="Crazy Chicken Sish (Güllük Mah.)"/>
        <s v="Crypto Mutfak, Tepebaşı (Eskibağlar Mah.)"/>
        <s v="Çağlayan Pide &amp; Kebap, Odunpazarı (Kırmızıtoprak Mah.)"/>
        <s v="Çarşı Fırın &amp; Çibörek, Odunpazarı (Arifiye Mah.)"/>
        <s v="Çevlik Kahvaltı, Tepebaşı (Cumhuriye Mah.)"/>
        <s v="Çıtır Dürüm, Tepebaşı (Güllük Mah.)"/>
        <s v="Çıtır Simit, Odunpazarı (İstiklal Mah.)"/>
        <s v="Çıtırr Tavuk, Odunpazarı (Büyükdere Mah.)"/>
        <s v="Çiftçi Döner, Odunpazarı (Büyükdere Mah.)"/>
        <s v="Çifte Kumru Fast Food, Odunpazarı (İstiklal Mah.)"/>
        <s v="Çiftlik Kokoreç, Odunpazarı (Vişnelik Mah.)"/>
        <s v="Çiğ Köfte Dünyası, Tepebaşı (Zafer Mah.)"/>
        <s v="Çiğ Köfteci Sait (Cumhuriye Mah.)"/>
        <s v="Çiğ Köfteci Sait, Tepebaşı (Yenibağlar Mah.)"/>
        <s v="Çiğ Köfteci Salih Usta, Odunpazarı (Büyükdere Mah.)"/>
        <s v="Çiğ Köfteci Salih Usta, Tepebaşı (Şirintepe Mah.)"/>
        <s v="Çiğköfte'cim, Tepebaşı (Yenibağlar Mah.)"/>
        <s v="Çiğköfteci Erdal Usta, Tepebaşı (Fatih Mah.)"/>
        <s v="Çiğköfteci Salih Usta, Odunpazarı (Gültepe Mah.)"/>
        <s v="Çiğköftem, Odunpazarı( Yıldıztepe Mah.)"/>
        <s v="Çoban Döneri, Odunpazarı (Arifiye Mah.)"/>
        <s v="Çok Tatlı Lokma &amp; Kumpir, Odunpazarı (Büyükdere Mah.)"/>
        <s v="Çördük Tost, Tepebaşı (Cumhuriye Mah.)"/>
        <s v="Damak Tantuni &amp; Fast Food, Odunpazarı (Emek Mah.)"/>
        <s v="Damak Tantuni, İstiklal"/>
        <s v="Damak Tantuni, Odunpazarı (Büyükdere Mah.)"/>
        <s v="Dante Cafe, Tepebaşı (Hoşnudiye Mah.)"/>
        <s v="Dayının Yeri Sami Usta,Tepebaşı (Batıkent Mah.)"/>
        <s v="Dede Tantuni &amp; Köfte, Tepebaşı (Çamlıca Mah.)"/>
        <s v="Değirmencioğlu, Tepebaşı (Hoşnudiye Mah.)"/>
        <s v="Deliklitaş Pide &amp; Kebap, Odunpazarı (Deliklitaş Mah.)"/>
        <s v="Delly Tavuk Mangal, Tepebaşı (Güllük Mah.)"/>
        <s v="Deniz Pide, Odunpazarı (Eskibağlar Mah.)"/>
        <s v="Deniz Pide, Odunpazarı (Osmangazi Mah.)"/>
        <s v="Dilek Pide &amp; Kebap, Tepebaşı (Ertuğrulgazi Mah.)"/>
        <s v="Dilo's Döner &amp; Hamburger, Odunpazarı (Ihlamurkent Mah.)"/>
        <s v="Director's Cup,Odunpazarı (Arifiye Mah.)"/>
        <s v="Diyares Pide, Tepebaşı (Kumlubel Mah.)"/>
        <s v="Dodo's, Tepebaşı (Yenibağlar Mah.)"/>
        <s v="Doğa Etli Ekmek, Odunpazarı (Huzur Mah.)"/>
        <s v="Doğan Piliç &amp; Izgara, Odunpazarı (71 Evler Mah.)"/>
        <s v="Dolunay Tantuni, Şirintepe"/>
        <s v="Donas, Odunpazarı (Arifiye Mah.)"/>
        <s v="Donas, Odunpazarı (Eskibağlar Mah.)"/>
        <s v="Donas, Odunpazarı (İstiklal Mah.)"/>
        <s v="Doy Doy's, Odunpazarı (Arifiiye Mah.)"/>
        <s v="DoyaJacksinn Fast Food, Tepebaşı (Yeşiltepe Mah.)"/>
        <s v="Doyur Beni, Tepebaşı (Hacı Ali Bey Mah.)"/>
        <s v="Doyuran Burger, Tepebaşı (Bahçelievler Mah.)"/>
        <s v="Döner Evim, Tepebaşı (Şirintepe Mah.)"/>
        <s v="Döner House, Odunpazarı (Arifiye Mah.)"/>
        <s v="Dönerci Bülent Usta, Tepebaşı (Batıkent Mah.)"/>
        <s v="Dönercim Hasan Usta, Tepebaşı (Şirintepe Mah.)"/>
        <s v="Dönerus İskenderun Döneri, Büyükdere"/>
        <s v="Dönerus İskenderun Döneri, Odunpazarı (Emek Mah.)"/>
        <s v="Dr. Beyaz Pastanesi, Odunpazarı (Vişnelik Mah.)"/>
        <s v="Dublin, Tepebaşı (Hoşnudiye Mah.)"/>
        <s v="Dünya Burger, Tepebaşı (Yenibağlar Mah.)"/>
        <s v="Dünya Köfte Ekmek Arası, Tepebaşı (Yenibağlar Mah.)"/>
        <s v="Dünya Köfte, Odunpazarı (Akarbaşı Mah.)"/>
        <s v="Dürümcü Sedat Usta, Tepebaşı (Şirintepe Mah.)"/>
        <s v="Ecem Kokoreç, Tepebaşı (Hoşnudiye)"/>
        <s v="Ege Döner Ekrem Usta, Odunpazarı (Arifiye Mah.)"/>
        <s v="Ehli Köfte Burger, Tepebaşı(Yeşiltepe Mah.)"/>
        <s v="Ejderha Mersin Tantuni, Tepebaşı (Hoşnudiye Mah.)"/>
        <s v="Ekleristan, Tepebaşı (Hoşnudiye Mah.)"/>
        <s v="Ekmek Arası, Odunpazarı (Vadişehir Mah.)"/>
        <s v="Elif Pide, Tepebaşı (Şarhöyük Mah.)"/>
        <s v="Emek Yıldız Çorba &amp; Yemek &amp; Döner, Odunpazarı (Emek Mah.)"/>
        <s v="Emirdağ Pide &amp; Güveç, Odunpazarı (Gökmeydan Mah.)"/>
        <s v="En Fast Sandwich &amp; Tost, Tepebaşı (Ömerağa Mah.)"/>
        <s v="Enes Pide &amp; Tantuni, Tepebaşı (Yeşiltepe Mah.)"/>
        <s v="Eren Er Çiğköfte, Tepebaşı (Çamlıca Mah.)"/>
        <s v="Es Alsancak Kumrucusu (Cumhuriye Mah.)"/>
        <s v="Es Ar Kebap, Odunpazarı ( Vadişehir Mah.)"/>
        <s v="Es Damak Fast Food &amp; Sandviç &amp; Kahvaltı (Cumhuriye Mah.)"/>
        <s v="Es Dönerhane, Odunpazarı (71 Evler Mah.)"/>
        <s v="Es İstanbul Piliç &amp; Fastfood, Tepebaşı (Cumhuriye Mah.)"/>
        <s v="Es Kumru Sandviç &amp; Döner, Tepebaşı (Hoşnudiye Mah.)"/>
        <s v="Es Patso, Tepebaşı (Şirintepe Mah.)"/>
        <s v="Es Tat Köfte &amp; Kokoreç, Odunpazarı (Vişnelik Mah.)"/>
        <s v="Es Urfa Pide &amp; Kebap, Odunpazarı (Büyükdere Mah.)"/>
        <s v="Eshot Pide &amp; Kebap &amp; Lahmacun, Tepebaşı (Çamlıca Mah.)"/>
        <s v="Eskişehir Çibörek Evi, Odunpazarı (Akarbaşı Mah.)"/>
        <s v="Eskişehir Meze Evi, Tepebaşı (Hoşnudiye Mah.)"/>
        <s v="Etevim Burger, Tepebaşı (Eskibağlar Mah.)"/>
        <s v="Etevim Steakhouse, Tepebaşı (Yenibağlar Mah.)"/>
        <s v="Ev Tadı, Odunpazarı (Arifiye Mah.)"/>
        <s v="Express Pizza (Büyükdere Mah.)"/>
        <s v="Eymen Izgara, Odunpazarı (Büyükdere Mah.)"/>
        <s v="Fajita's Chicken &amp; Beef, Odunpazarı (İstiklal Mah.)"/>
        <s v="Fast Kitchen, Tepebaşı (Çamlıca Mah.)"/>
        <s v="Fast Kitchen, Tepebaşı (Güllük Mah.)"/>
        <s v="Fasülyeci, Tepebaşı (Eskibağlar Mah.)"/>
        <s v="Fc Chicken Farm, Tepebaşı (Güllük Mah.)"/>
        <s v="Fellas Burger &amp; Fried Chicken, Eskibağlar"/>
        <s v="Fellas Burger &amp; Fried Chicken, O.G.Ü. Kampüs"/>
        <s v="Fellas Express, Tepebaşı (Eskibağlar Mah.)"/>
        <s v="Fenaa Doner, Odunpazarı (İstiklal Mah.)"/>
        <s v="Fenaa Fast Food,Odunpazarı (İstiklal Mah.)"/>
        <s v="Fırat Kebap &amp; Pide, Tepebaşı (Ömerağa Mah.)"/>
        <s v="Fırat Pide Kebap, Tepebaşı (Tunalı Mah.)"/>
        <s v="Filozofun Yeri Pide Kebap Köfte (Akarbaşı Mah.)"/>
        <s v="Fishy Balık Ekmek (Hoşnudiye Mah.)"/>
        <s v="Food Corner, Odunpazarı (Büyükdere Mah.)"/>
        <s v="For You Fast Food &amp; Toast (Büyükdere Mah.)"/>
        <s v="Fratello Pizzeria, Tepebaşı (Güllük Mah.)"/>
        <s v="Galata's Pizza (Yenibağlar Mah.)"/>
        <s v="Gar Kokoreç &amp; Köfte Izgara Salonu,Tepebaşı (Hoşnudiye Mah.)"/>
        <s v="Gar Pide &amp; Kebap, Tepebaşı (Hoşnudiye Mah.)"/>
        <s v="Gaziantep Cennet Pide &amp; Lahmacun, Akarbaşı"/>
        <s v="Gaziantep Karaeski Baklavaları, Tepebaşı (Çamlıca Mah.)"/>
        <s v="Gaziantep Şirinler Tatlı, Odunpazarı (71 Evler Mah.)"/>
        <s v="Gaziantep Şirinler Tatlı, Odunpazarı (Büyükdere Mah.)"/>
        <s v="Gaziantep Zehra Pide &amp; Lahmacun, Odunpazarı (Emek Mah.)"/>
        <s v="Gaziantepli Aslanbey Baklava, Tepebaşı (Zafer Mah.)"/>
        <s v="Gaziantepli Ciğerci Mustafa, Tepebaşı (Zafer Mah.)"/>
        <s v="Gaziantepli Duygu Pide &amp; Kebap, Alanönü"/>
        <s v="Gaziantepli Eyüpoğlu Künefe, Odunpazarı (Büyükdere Mah.)"/>
        <s v="Gaziantepli Gazioğlu Baklavaları, Tepebaşı( Bahçelievler Mah.)"/>
        <s v="Gaziantepli Hasanoğlu Kebap Pide, Odunpazarı (Ihlamurkent Mah)"/>
        <s v="Gaziantepli Hüseyin Usta Pide &amp; Kebap, Tepebaşı (Uluönder Mah.)"/>
        <s v="Gaziantepli Pide Salonu,Odunpazarı (Osmangazi Mah.)"/>
        <s v="Gaziantepli Pideci Yağmur Pide &amp; Kebap, Tepebaşı (Zafer Mah.)"/>
        <s v="Gaziantepli Ünvermiş Baklavacı (Vişnelik Mah.)"/>
        <s v="Gerçek Pilav, Odunpazarı (Deliklitaş Mah.)"/>
        <s v="Getir Usta Çiğköftecisi, Tepebaşı (Fatih Mah.)"/>
        <s v="Geyik Cafe, Tepebaşı (Cumhuriye Mah.)"/>
        <s v="Gıdak Gıdak Burger &amp; Fried Chicken, Odunpazarı (Büyükdere Mah.)"/>
        <s v="Gıdak Gıdak Burger &amp; Fried Chicken, Odunpazarı (Emek Mah.)"/>
        <s v="Gohan Poke Bowl, Odunpazarı (İstiklal Mah.)"/>
        <s v="Gondol Çibörek, Odunpazarı (Arifiye Mah.)"/>
        <s v="Göksel Tantuni, Tepebaşı (Yenibağlar Mah.)"/>
        <s v="Gözdem Çiğ Köfte Evi, Tepebaşı (Güllük Mah.)"/>
        <s v="Gözleme Sanatı, Tepebaşı (Bahçelievler Mah.)"/>
        <s v="Gözlemeci Raziye, Tepebaşı (Bahçelievler)"/>
        <s v="Gurme Express Pizza (Batıkent Mah.)"/>
        <s v="Gurmee Onur Kokoreç Köfte, Tepebaşı (Bahçelievler Mah.)"/>
        <s v="Gülana, Tepebaşı (Cumhuriye Mah.)"/>
        <s v="Güllük Lokantası, Tepebaşı (Güllük Mah.)"/>
        <s v="Hacıalioğlu Çiğ Köftecisi, Tepebaşı (Çamlıca Mah.)"/>
        <s v="Hak &amp; Dan Çay ve Tost Evi, Odunpazarı (İstiklal Mah.)"/>
        <s v="Halk Pide, Tepebaşı (Uluönder Mah.)"/>
        <s v="Hamarat Usta, Odunpazarı (Büyükdere Mah.)"/>
        <s v="Hammur Pizza &amp; Pasta, Odunpazarı (Osmangazi Mah.)"/>
        <s v="Han Pide &amp; Kebap, Tepebaşı (Şirintepe Mah.)"/>
        <s v="Hanedar Kebap &amp; Künefe, Tepebaşı ( Batıkent Mah.)"/>
        <s v="Hanzade Künefe, Odunpazarı (Vişnelik Mah.)"/>
        <s v="Has Balık Evi, Odunpazarı (Akarbaşı Mah.)"/>
        <s v="Hayat Tatlı, Tepebaşı (Şirintepe Mah.)"/>
        <s v="Haylaz Fast Food &amp; Balık, Tepebaşı (Bahçelievler Mah.)"/>
        <s v="Hazal Pide, Odunpazarı (Kurtuluş Mah.)"/>
        <s v="Hega Pizza &amp; Burger, Tepebaşı (Cumhuriye Mah.)"/>
        <s v="Helvacı Ali, Tepebaşı(Hoşnudiye Mah.)"/>
        <s v="Helvacı Ali, Tepebaşı(Yenibağlar Mah.)"/>
        <s v="Hey Joe &amp; Bucks, Tepebaşı (Batıkent Mah.)"/>
        <s v="Hey Joe Coffee Co, Odunpazarı (Vişnelik Mah.)"/>
        <s v="Hey Joe Coffee Co, Tepebaşı (Güllük Mah.)"/>
        <s v="Hippo French Tacos,Tepebaşı (Yenibağlar Mah.)"/>
        <s v="Hmbrgr Homemade Burgers, Tepebaşı (Hoşnudiye Mah.)"/>
        <s v="Hobix Burger., Odunpazarı (Vişnelik Mah.)"/>
        <s v="Hooters Çıtır Dürüm, Tepebaşı(Şirintepe Mah.)"/>
        <s v="Hull Cafe &amp; Bistro, Odunpazarı (Vişnelik Mah.)"/>
        <s v="Huzur Pide &amp; Kebap, Zafer"/>
        <s v="Hüseyin Usta Mevlana Pide, Tepebaşı (Çamlıca Mah.)"/>
        <s v="Hüseyin Usta Pide &amp; Kebap, Odunpazarı (Büyükdere Mah.)"/>
        <s v="Ice Family, Tepebaşı (Eskibağlar Mah.)"/>
        <s v="Ice Wich, Odunpazarı (Vişnelik Mah.)"/>
        <s v="Islak Hamburger, Odunpazarı (İstiklal Mah.)"/>
        <s v="İbrahim Usta Pide &amp; Lahmacun, Tepebaşı (Cumhuriye Mah.)"/>
        <s v="İçel Mersin Tantuni, Deliklitaş"/>
        <s v="İlknur Pide &amp; Lahmacun (Akarbaşı Mah.)"/>
        <s v="İnci Midye (Cumhuriye Mah.)"/>
        <s v="İskele Et &amp; Balık, Tepebaşı (Bahçelievler Mah.)"/>
        <s v="İskenderci Kocabey, Tepebaşı (Hoşnudiye Mah.)"/>
        <s v="İsmail Usta Pide &amp; Döner &amp; Izgara, Odunpazarı (Büyükdere Mah.)"/>
        <s v="İsos Döner, Tepebaşı (Yenibağlar Mah.)"/>
        <s v="İsotto Çiğ Köfte, Tepebaşı (Şirintepe Mah.)"/>
        <s v="İzmir Sandviç, Odunpazarı (İstiklal Mah.)"/>
        <s v="İzmirli Kumrucum, Odunpazarı (Emek Mah.)"/>
        <s v="İzmirli Kumrucum, Tepebaşı (Şirintepe Mah.)"/>
        <s v="İzmirli Sandwich &amp; Tost, Tepebaşı (Bahçelievler Mah.)"/>
        <s v="Joker Burger, Odunpazarı (Büyükdere Mah.)"/>
        <s v="Ka-Pi-Ku, Tepebaşı (Eskibağlar Mah.)"/>
        <s v="Kabuklu Midye &amp; Izgara &amp; Meze, Odunpazarı (Büyükdere Mah.)"/>
        <s v="Kadıneli Zeyno, Tepebaşı (Çamlıca Mah.)"/>
        <s v="Kadir Şefin Fast Food Mutfağı, Odunpazarı (Kurtuluş Mah.)"/>
        <s v="Kafe Inn, Tepebaşı (Cumhuriye Mah.)"/>
        <s v="Kafkas Kebap Necip Usta, Tepebaşı (Çamlıca Mah.)"/>
        <s v="Kahta Çiğ Köfte, Odunpazarı (Büyükdere Mah.)"/>
        <s v="Kahta Çiğ Köfte, Tepebaşı (Yenibağlar Mah.)"/>
        <s v="Kahta Çiğköfte,Tepebaşı (Tunalı Mah.)"/>
        <s v="Kahvaltıcım, Tepebaşı (Şirintepe Mah.)"/>
        <s v="Kaktüs Cafe, Odunpazarı (Büyükdere Mah.)"/>
        <s v="Kampüs Çinçiva Pasta &amp; Cafe, Odunpazarı (Büyükdere Mah.)"/>
        <s v="Kanatçı İbo, Odunpazarı (Vişnelik Mah.)"/>
        <s v="Kansas Burger, Tepebaşı (Eskibağlar Mah.)"/>
        <s v="Kaptan Tantuni, Odunpazarı (Büyükdere Mah.)"/>
        <s v="Kar-pi Karadeniz Pidesi (Uluönder Mah.)"/>
        <s v="Karaçor Unlu Mamülleri, İstiklal"/>
        <s v="Karadayı Kebap Konağı, Odunpazarı (Osmangazi Mah.)"/>
        <s v="Karahan Yöresel Tatlar, Odunpazarı (Gökmeydan Mah.)"/>
        <s v="Karakedi Bozacısı, Tepebaşı ( M.Kemal Paşa Mah.)"/>
        <s v="Karataş Et Mangal, Odunpazarı (Büyükdere Mah.)"/>
        <s v="Karşıyaka Kumrucusu, Tepebaşı (Çamlıca Mah.)"/>
        <s v="Kayra Usta Tantuni &amp; Çiğ Köfte, Tepebaşı (Şirintepe Mah.)"/>
        <s v="Kebapçı Ahmet Usta,Odunpazarı(Kırmızıtoprak Mah.)"/>
        <s v="Kebapçı Harun, Odunpazarı (Arifiye Mah.)"/>
        <s v="Kebapçı Ulaş'ın Yeri, Tepebaşı (Güllük Mah.)"/>
        <s v="Kebapçı Yunus, Odunpazarı (Büyükdere Mah.)"/>
        <s v="Kebapname (Vişnelik Mah.)"/>
        <s v="Kent Kokoreç &amp; Tantuni, Gültepe"/>
        <s v="Kerim Pide, Odunpazarı (Gökmeydan Mah.)"/>
        <s v="Keskin Döner, Odunpazarı (İstiklal Mah.)"/>
        <s v="Klas Çorba Döner Köfte Yemek Salonu, Odunpazarı(İstiklal Mah.)"/>
        <s v="Kocaman Tost, Tepebaşı (Hoşnudiye Mah.)"/>
        <s v="Koç Cağ Kebap,Tepebaşı (Hoşnudiye Mah.)"/>
        <s v="Kokoreç Yavuz Usta, Tepebaşı (Çamlıca Mah.)"/>
        <s v="Kokoreççi Yunus, Odunpazarı(Deliklitaş Mah.)"/>
        <s v="Konya Lezzet Durağı, Odunpazarı (Osmangazi Mah.)"/>
        <s v="Konya Meram Etli Ekmek &amp; Lahmacun, Odunpazarı (Kurtuluş Mah.)"/>
        <s v="Konya Sofrası, Odunpazarı (Gültepe Mah.)"/>
        <s v="Konyalı Dede, Tepebaşı (Bahçelievler Mah.)"/>
        <s v="Konyalı Eyüp Usta, Tepebaşı (Sütlüce Mah.)"/>
        <s v="Konyalı Kardeşler Etli Ekmek,Odunpazarı (Vişnelik Mah.)"/>
        <s v="Konyalım Etli Ekmek, Tepebaşı (Şirintepe Mah.)"/>
        <s v="Konyalım Mis Etli Ekmek, Odunpazarı (Alanönü Mah.)"/>
        <s v="Korkmaz Kokoreç, Odunpazarı (Emek Mah.)"/>
        <s v="Koza Kebap, Tepebaşı (Hoşnudiye Mah.)"/>
        <s v="Köfteci Ali, Hoşnudiye"/>
        <s v="Köfteci Apo, Tepebaşı (Hoşnudiye Mah. )"/>
        <s v="Köfteci Dedenin Yeri, Tepebaşı (Kumlubel Mah.)"/>
        <s v="Köfteci İbrahim (Güllük Mah.)"/>
        <s v="Köfteci Koca Usta, Tepebaşı (Hoşnudiye Mah.)"/>
        <s v="Köfteci Kokoreçci Melih, Odunpazarı(Arifiye Mah.)"/>
        <s v="Köfteci Melih, Sütlüce"/>
        <s v="Kral Kokoreç, Odunpazarı (Kurtuluş Mah.)"/>
        <s v="Kumrucu Ali, Tepebaşı (Sütlüce Mah.)"/>
        <s v="Kumrucu Bayram, Tepebaşı (Yenibağlar Mah.)"/>
        <s v="Kutuda Baklava, Tepebaşı (Bahçelievler Mah.)"/>
        <s v="Kuzum Tantuni Çiğ Köfte &amp; Fast Food, Tepebaşı (Şirintepe Mah.)"/>
        <s v="Kütük Cafe, Tepebaşı (Eskibağlar Mah.)"/>
        <s v="La Cotta Pizza, Büyükdere"/>
        <s v="La Vita Kıtchen, Tepebaşı ( Hoşnudiye Mah.)"/>
        <s v="Lades Döner, Odunpazarı (Büyükdere Mah.)"/>
        <s v="Lahmacun Dünyası, Odunpazarı (Büyükdere Mah.)"/>
        <s v="Lara Şampiyon Kokoreç, Odunpazarı (Vişnelik Mah.)"/>
        <s v="Lezita But’s Döner, Tepebaşı( Bahçelievler Mah.)"/>
        <s v="Lezzeti İkram Pide &amp; Kebap, Odunpazarı (Büyükdere Mah.)"/>
        <s v="Licchi Chicken, Tepebaşı (Yenibağlar Mah.)"/>
        <s v="Liman Pide &amp; Kebap, Tepebaşı (Batıkent Mah.)"/>
        <s v="Limoon Midye, Tepebaşı (Çamlıca)"/>
        <s v="Linda Burger House, Tepebaşı (Batıkent Mah.)"/>
        <s v="Line Art Cafe, Tepebaşı (Hoşnudiye Mah.)"/>
        <s v="Liya Börek&amp;Pasta, Odunpazarı (Gökmeydan Mah.)"/>
        <s v="Lizette Restoran, Tepebaşı (Bahçelievler Mah.)"/>
        <s v="Lona Coffee And More, Tepebaşı (Eskibağlar Mah.)"/>
        <s v="LoQQum Çiğköfte, Tepebaşı (Yenibağlar Mah.)"/>
        <s v="Lotus Fastfood, Tepebaşı (Sütlüce Mah.)"/>
        <s v="Lovelle Restorant, Tepebaşı (Bahçelievler Mah.)"/>
        <s v="Löp Löp Dürüm &amp; Sandviç, Bahçelievler"/>
        <s v="M&amp;A Kurabiye, Tepebaşı (Cumhuriye Mah.)"/>
        <s v="M&amp;R. Tacos,Odunpazarı(Vadişehir Mah.)"/>
        <s v="Magic Meal Cafe &amp; Restaurant, Odunpazarı (Büyükdere Mah.)"/>
        <s v="Makarnacım, Tepebaşı (Eskibağlar Mah.)"/>
        <s v="Makarnax, Odunpazarı (Arifiye Mah.)"/>
        <s v="Malmül ,Tepebaşı (Hoşnudiye Mah.)"/>
        <s v="Mandarins Burger &amp; Chicken, Tepebaşı (Ömerağa Mah.)"/>
        <s v="Mandarins, Tepebaşı (Hoşnudiye Mah.)"/>
        <s v="Mangalcı Ali Usta, Tepebaşı (Yenibağlar Mah.)"/>
        <s v="Mangalcı Meryem, Odunpazarı (Büyükdere Mah.)"/>
        <s v="Mantı Diyarı, Hoşnudiye"/>
        <s v="Maraş Pide &amp; Lahmacun (Yeşiltepe Mah.)"/>
        <s v="Margarita Pizza, Tepebaşı (Cumhuriye Mah.)"/>
        <s v="Margarita Pizza, Tepebaşı (Çamlıca Mah.)"/>
        <s v="Marifet Pide &amp; Kebap, Odunpazarı (Deliklitaş Mah.)"/>
        <s v="Mars Pizza, Odunpazarı (İstiklal Mah.)"/>
        <s v="Maryo Hot Bread, Tepebaşı (Şirintepe Mah.)"/>
        <s v="Mavi Döner &amp; Fast Food, Tepebaşı (Bahçelievler Mah.)"/>
        <s v="Max Street Food, Tepebaşı (Batıkent Mah.)"/>
        <s v="Maya Butik Şarküteri, Odunpazarı (Kurtuluş Mah.)"/>
        <s v="Mehmet Efendi Baklavaları, Tepebaşı (Bahçelievler Mah.)"/>
        <s v="Memphis Cafe &amp; Kitchen, Odunpazarı (Sümer Mah.)"/>
        <s v="Menemenci Uğur (Bahçelievler Mah.)"/>
        <s v="Mercanoğlu Tost Evi, Tepebaşı (Esentepe Mah.)"/>
        <s v="Mersin 26 Tantuni, Büyükdere"/>
        <s v="Mersin Atomcu, Hoşnudiye"/>
        <s v="Mersin Can Tantuni, Odunpazarı (Kırmızıtoprak Mah.)"/>
        <s v="Mertimm Tantuni, Tepebaşı (Yenibağlar Mah.)"/>
        <s v="Mesken Burger - Islak Hamburger, Odunpazarı (Büyükdere Mah.)"/>
        <s v="Meşhur Adıyaman Çiğ Köftecisi İlyas Aybak,(Cumhuriye Mah.)"/>
        <s v="Meşhur Adıyaman Çiğ Köftecisi Ömer Aybak (Bahçelievler Mah.)"/>
        <s v="Meşhur Adıyaman Çiğ Köftecisi Ömer Aybak (Batıkent Mah.)"/>
        <s v="Meşhur Adıyaman Çiğ Köftecisi Ömer Aybak (Gökmeydan Mah.)"/>
        <s v="Meşhur Adıyaman Çiğ Köftecisi Ömer Aybak, Odunpazarı(Huzur Mah.)"/>
        <s v="Meşhur Adıyaman Çiğ Köftecisi Ömer Aybak,(Çamlıca Mah-Ökçün Blv)"/>
        <s v="Meşhur Adıyaman Çiğ Köftecisi Ömer Aybak,(İstiklal)"/>
        <s v="Meşhur Adıyaman Çiğ Köftecisi Ömer Aybak,Tepebaşı (Çamlıca Mah.)"/>
        <s v="Meşhur Adıyaman Çiğ Köftecisi Ömer Aybak,Tepebaşı(Yenibağlar Mh)"/>
        <s v="Meşhur Adıyaman Çiğköftecisi Ömer Aybak ( Büyükdere Mah.)"/>
        <s v="Meşhur Adıyamanlı Çiğ Köftecisi Ömer Aybak (Emek Mah.)"/>
        <s v="Meşhur Cantıkçı İbo, Odunpazarı (Osmangazi Mah.)"/>
        <s v="Meşhur Çiğ Köfteci Barış Usta, Odunpazarı (Osmangazi Mah.)"/>
        <s v="Meşhur Tostçu Ramazan, Odunpazarı (Emek Mah.)"/>
        <s v="Meva Mantı Meze, Tepebaşı (Cumhuriye Mah.)"/>
        <s v="Meydan - 1 Kokoreç &amp; Köfte, Tepebaşı (Hoşnudiye Mah.)"/>
        <s v="Meze Evim, Odunpazarı (Büyükdere Mah.)"/>
        <s v="Mir Kebap Atölyesi, Tepebaşı (Eskibağlar Mah.)"/>
        <s v="Mirinda Cafe, Odunpazarı (Vişnelik Mah.)"/>
        <s v="Mis Mersin Tantuni, Odunpazarı (Akçağlan Mah.)"/>
        <s v="Mono Waffle, Odunpazarı (Büyükdere Mah.)"/>
        <s v="Morkoyun Et &amp; Mangal, Odunpazarı (Büyükdere Mah.)"/>
        <s v="Mr. Gurme Fast Food, Odunpazarı (Büyükdere Mah.)"/>
        <s v="Mr. Kokoreç, Odunpazarı (Kırmızıtoprak Mah.)"/>
        <s v="Murrys Mannitta Chicken Bar, Odunpazarı (Vişnelik Mah.)"/>
        <s v="Muti, İstiklal"/>
        <s v="Müzeyyen Ocakbaşı, Odunpazarı(Akarbaşı Mah.)"/>
        <s v="My Family Fast Food, Odunpazarı (İstiklal Mah.)"/>
        <s v="My Patso, Odunpazarı (İstiklal Mah.)"/>
        <s v="My Tantuni, Odunpazarı (Büyükdere Mah.)"/>
        <s v="My Waffle, Tepebaşı (Bahçelievler Mah.)"/>
        <s v="My'ss Tantuni, Tepebaşı (Uluönder Mah.)"/>
        <s v="Mydonos Tantuni, Odunpazarı (Büyükdere Mah.)"/>
        <s v="Mydonos Tantuni, Tepebaşı (Çamlıca Mah.)"/>
        <s v="Mydonos Tantuni, Tepebaşı (Eskibağlar Mah.)"/>
        <s v="Myra Çikolata Evim, Tepebaşı (Hoşnudiye Mah.)"/>
        <s v="Nadir Büfe, Tepebaşı (Hoşnudiye Mah.)"/>
        <s v="Nar-ı Kebap (Vişnelik Mah.)"/>
        <s v="Nasreddin Hoca Ev Yemekleri, Odunpazarı (Deliklitaş Mah.)"/>
        <s v="Nehir Döner, Odunpazarı (Huzur Mah.)"/>
        <s v="Nil Fırın, Odunpazarı(Akarbaşı Mah.)"/>
        <s v="Nil Fırın, Odunpazarı(Kırmızıtoprak Mah.)"/>
        <s v="Nil Fırın, Odunpazarı(Yıldıztepe Mah.)"/>
        <s v="Nilda Fast Food, Tepebaşı (Zafer Mah.)"/>
        <s v="No26 Waffle Kitchen, Tepebaşı (Fatih Mah.)"/>
        <s v="Nohutçu Mehmet, Tepebaşı (Eskibağlar Mah.)"/>
        <s v="Nokta Pide &amp; Kebap, Tepebaşı (Esentepe Mah.)"/>
        <s v="Nosso Premium, Tepebaşı (Hoşnudiye Mah.)"/>
        <s v="Nostalji Gözleme Evi (Büyükdere Mah.)"/>
        <s v="Nur Döner, Odunpazarı (Emek Mah.)"/>
        <s v="Nur Pide &amp; Tantuni, Tepebaşı (Batıkent Mah.)"/>
        <s v="Nur Pide, Tepebaşı (Çamlıca Mah.)"/>
        <s v="Nur Pide, Tepebaşı (Mamure Mah.)"/>
        <s v="Nus, Odunpazarı (Vişnelik Mah.)"/>
        <s v="O'Dürüm, Tepebaşı (Hoşnudiye Mah.)"/>
        <s v="Obur Fast Food, Büyükdere"/>
        <s v="Odöner, Tepebaşı (Hoşnudiye Mah.)"/>
        <s v="Oğuzlar Pide &amp; Kebap, Odunpazarı (Büyükdere Mah.)"/>
        <s v="Okyanus Tost Evi, Tepebaşı (Uluönder Mah.)"/>
        <s v="Onion Cafe &amp; Food, Tepebaşı (Hoşnudiye Mah.)"/>
        <s v="Online Mutfak, Tepebaşı (Bahçelievler Mah.)"/>
        <s v="Onur İşkembe, Tepebaşı (Hoşnudiye Mah.)"/>
        <s v="Opia Coffee Co, Tepebaşı (Yenibağlar Mah.)"/>
        <s v="Oskar Sıcak Fırın &amp; Cafe, Tepebaşı (Cumhuriye Mah.)"/>
        <s v="Öncü Döner, Tepebaşı (Yenibağlar Mah.)"/>
        <s v="Öz Gaziantepli Furkan Pide &amp; Kebap, Odunpazarı (71 Evler Mah.)"/>
        <s v="Öz Mersin Tantuni (İstiklal Mah.)"/>
        <s v="Özbesin Ocakbaşı, Tepebaşı(Batıkent Mah.)"/>
        <s v="Özgül Urfa Pide &amp; Kebap, Odunpazarı (Yıldıztepe Mah.)"/>
        <s v="Paketçim, Tepebaşı (Tunalı Mah.)"/>
        <s v="Paprika Kahvaltı &amp; Fast Food, Tepebaşı (Eskibağlar Mah.)"/>
        <s v="Paristanbul Tantuni, Odunpazarı (Emek Mah.)"/>
        <s v="Park Kumpir &amp; Döner, İstiklal"/>
        <s v="Pastacı Yunus, Odunpazarı (Kurtuluş Mah.)"/>
        <s v="Paşam Tavuk &amp; Izgara, Odunpazarı (Büyükdere Mah.)"/>
        <s v="Patlayan Patso (Büyükdere Mah.)"/>
        <s v="Patsoscum, Tepebaşı (Şirintepe Mah.)"/>
        <s v="Patsoyt, Tepebaşı (Yenibağlar Mah.)"/>
        <s v="Pepinot's Home Cooking (Vişnelik Mah.)"/>
        <s v="Pi Box, Tepebaşı (Yenibağlar Mah.)"/>
        <s v="Pia Juice &amp; Food, Tepebaşı (Hoşnudiye Mah.)"/>
        <s v="Piano Pizza (Eskibağlar Mah.)"/>
        <s v="Pide Bank Etli Ekmek, Tepebaşı (Şirintepe Mah.)"/>
        <s v="Pidza Pide &amp; Pizza, Tepebaşı (Eskibağlar Mah.)"/>
        <s v="Pilav Üstü, Tepebaşı (Yenibağlar Mah.)"/>
        <s v="Pilavcı, Odunpazarı (Büyükdere Mah.)"/>
        <s v="Pilove Point, Tepebaşı(Eskibağlar Mah.)"/>
        <s v="Pişiviç,Tepebaşı (Eskibağlar Mah. )"/>
        <s v="Pizza Locale, Hoşnudiye"/>
        <s v="Pollo’s, Tepebaşı( Yenibağlar Mah.)"/>
        <s v="Porsuk Çibörek, Odunpazarı (İstiklal Mah.)"/>
        <s v="Posta Pide, Odunpazarı (Arifiye Mah.)"/>
        <s v="Pozitif Food, Tepebaşı (Yenibağlar Mah.)"/>
        <s v="Premium Burger, Tepebaşı (Ömerağa Mah.)"/>
        <s v="Prens Döner, Odunpazarı(Arifiye Mah.)"/>
        <s v="Prınce Döner, Odunpazarı ( Emek Mah.)"/>
        <s v="Puffy Waffle &amp; Cafe, Tepebaşı(Hoşnudiye Mah.)"/>
        <s v="Quick Pizza, Tepebaşı (Eskibağlar Mah.)"/>
        <s v="Rail 112 Kitchen, Tepebaşı (Uluönder Mah.)"/>
        <s v="Rana Fastfood, Tepebaşı (Sütlüce Mah.)"/>
        <s v="Ravza Pide &amp; Kebap, Tepebaşı (Sütlüce Mah.)"/>
        <s v="Redfood Burger &amp; Pizza, Tepebaşı (Hoşnudiye Mah.)"/>
        <s v="Rembrandt Toast &amp; Lunch, Tepebaşı (Hoşnudiye Mah.)"/>
        <s v="Rooster, Tepebaşı (Şirintepe Mah.)"/>
        <s v="Rose, Odunpazarı (İstiklal Mah.)"/>
        <s v="Rüyam Kahvaltı, Odunpazarı(Vişnelik Mah.)"/>
        <s v="Safa Konya Etli Etmek, Odunpazarı (71 Evler Mah.)"/>
        <s v="Safa Konyalı Etli Ekmek, Odunpazarı (71 Evler Mah.)"/>
        <s v="Sağlık Lahmacun, Tepebaşı (Cumhuriye Mah.)"/>
        <s v="Sağlık Pide &amp; Kebap &amp; Döner, Adalar"/>
        <s v="Sağlık Pide &amp; Kebap &amp; Döner, Yenibağlar"/>
        <s v="Sağlık Pide, Odunpazarı (Büyükdere Mah.)"/>
        <s v="Sam-Et Döner, Tepebaşı (Şirintepe Mah.)"/>
        <s v="Samet Döner (Kurtuluş Mah.)"/>
        <s v="Samsat Çiğ Köfte Tepebaşı (Hacıseyit Mah.)"/>
        <s v="Samsat Çiğ Köfte, Tepebaşı (Şirintepe Mah.)"/>
        <s v="Sandwich Dükkanı, Tepebaşı (Bahçelievler Mah.)"/>
        <s v="Saray Ocakbaşı, Odunpazarı (Büyükdere Mah.)"/>
        <s v="Savgu Star Döner, Odunpazarı(Deliklitaş Mah.)"/>
        <s v="Seda Çiğ Börek, Tepebaşı (Hoşnudiye Mah.)"/>
        <s v="Sekiz Yatık Döner, Ertuğrulgazi"/>
        <s v="Selçuklu Etli Ekmek, Odunpazarı (Arifiye Mah.)"/>
        <s v="Sempre Restaurant, Tepebaşı (Hoşnudiye Mah.)"/>
        <s v="Serdivan Cafe &amp; Bistro, Tepebaşı (Eskibağlar Mah.)"/>
        <s v="Serdivan Waffle (Espark), Tepebaşı (Eskibağlar Mah.)"/>
        <s v="Serdivan Waffle, Tepebaşı (Yenibağlar Mah.)"/>
        <s v="Serince Çiğ Köfte, Odunpazarı (Arifiye Mah.)"/>
        <s v="Servet Cafe &amp; Restaurant, Odunpazarı (Büyükdere Mah.)"/>
        <s v="Servet Etli Ekmek &amp; Steakhouse, Odunpazarı (Çankaya Mah.)"/>
        <s v="Sokak Lezzetleri ,Odunpazarı (Büyükdere Mah.)"/>
        <s v="Sosoreç, Odunpazarı"/>
        <s v="Special Izgara &amp; Fast Food, Odunpazarı (Büyükdere Mah.)"/>
        <s v="Star Kumpir &amp; Burger, Odunpazarı (Arifiye Mah.)"/>
        <s v="Street Taste, Odunpazarı (Ihlamurkent Mah.)"/>
        <s v="Street Taste, Tepebaşı (Batıkent Mah.)"/>
        <s v="Stuttgart Alman Döneri, Tepebaşı (Şirintepe Mah.)"/>
        <s v="Subway, Tepebaşı (Eskibağlar Mah.)"/>
        <s v="Sucuk Evi Cerrah Tostu Canlar, Tepebaşı (Güllük Mah.)"/>
        <s v="Sufle Pasta Cafe &amp; Bistro, Tepebaşı (Hoşnudiye Mah.)"/>
        <s v="Sultan Ateşi Pide &amp; Kebap &amp; Tantuni (Yenibağlar Mah.)"/>
        <s v="Süper Tantuni, Tepebaşı (Ömerağa Mah.)"/>
        <s v="Swarthy Fast Food, Tepebaşı (Bahçelievler Mah.)"/>
        <s v="Şahin Döner &amp; Izgara, Odunpazarı (Emek Mah.)"/>
        <s v="Şahin Pide &amp; Kebap (Tunalı Mah.)"/>
        <s v="Şanlıurfa Pide &amp; Kebap, Tepebaşı (Sütlüce Mah.)"/>
        <s v="Şanlıurfa Pide Kebap, Odunpazarı (Büyükdere Mah.)"/>
        <s v="Şans İskenderun Döneri, Odunpazarı (Büyükdere Mah.)"/>
        <s v="Şef Pide, Tepebaşı (Kumlubel Mah.)"/>
        <s v="Şef Pikaçu Izgara &amp; Mangal, Tepebaşı (Şirintepe Mah.)"/>
        <s v="Şehir Köfte Evi, Odunpazarı (Vişnelik Mah.)"/>
        <s v="Şehir Pide &amp; Kebap, Tepebaşı (Tunalı Mah.)"/>
        <s v="Şehrim Köfte &amp; Çorba &amp; Sulu Yemek, Tepebaşı (Tunalı Mah.)"/>
        <s v="Şems Kebap, Tepebaşı (M. Kemal Paşa Mah.)"/>
        <s v="Şirin Kepçe Lokantası, Odunpazarı (Kurtuluş Mah.)"/>
        <s v="Taco Bar, Tepebaşı (Güllük Mah.)"/>
        <s v="Tadım Tantuni 1996 (Yenibağlar Mah.)"/>
        <s v="Tadım Tantuni, Hoşnudiye"/>
        <s v="Tadım Tantuni, Odunpazarı (Arifiye Mah. - Köprübaşı)"/>
        <s v="Tadıtam Çiğ Köfte, Odunpazarı (Kırmızıtoprak Mah.)"/>
        <s v="Tadıtam Çiğ Köfte, Odunpazarı (Vişnelik Mah.)"/>
        <s v="Tantunici Mehmet Usta, Tepebaşı (Şirintepe Mah.)"/>
        <s v="Tarhun Ev Yemekleri, Odunpazarı (Büyükdere Mah.)"/>
        <s v="Tarihi Harbiye Dönercisi, Odunpazarı (Büyükdere Mah.)"/>
        <s v="Taş Köprü Adana Dürüm, Tepebaşı (Hoşnudiye Mah.)"/>
        <s v="Taşan Döner, Odunpazarı (Arifiye Mah.)"/>
        <s v="Taşbaşı Döner, Arifiye"/>
        <s v="Tatarhan Çiftliği Izgara, Odunpazarı (Kurtuluş Mah.)"/>
        <s v="Tatlıcı Fehmi Usta, Odunpazarı (Arifiye Mah.)"/>
        <s v="Tatlıcı Meva, Tepebaşı (Cumhuriye Mah.)"/>
        <s v="Tatlıdil Köftecisi, Odunpazarı (Arifiye Mah.)"/>
        <s v="Tatlıses Çiğköfte, Odunpazarı (Arifiye Mah.)"/>
        <s v="Tavalı Mutfak,Odunpazarı(Vadişehir Mah.)"/>
        <s v="Tavuk Izgara, Odunpazarı (Arifiye Mah.)"/>
        <s v="Tavuk Sanatı, Tepebaşı (Bahçelievler Mah.)"/>
        <s v="Tavux, Tepebaşı (Hoşnudiye Mah.)"/>
        <s v="Tepebaşı 33 Tantuni, Tepebaşı (Şirintepe Mah.)"/>
        <s v="Terra Pizza - Pizza Pizza, Odunpazarı (Akarbaşı Mah.)"/>
        <s v="The Bear İzmir Sandviç, Tepebaşı(EskibağlarMah.)"/>
        <s v="The Box, Tepebaşı (Batıkent Mah.)"/>
        <s v="The Fix Coffee, Tepebaşı (Yenibağlar Mah.)"/>
        <s v="The Gonyalı Kebap &amp; Pide, Tepebaşı (Bahçelievler Mah.)"/>
        <s v="The One Burger (Eskibağlar Mah.)"/>
        <s v="The Roots, Tepebaşı (Eskibağlar Mah.)"/>
        <s v="The Waffle Coffee, Tepebaşı (Eskibağlar Mah.)"/>
        <s v="Therapy Waffle, Tepebaşı (Hoşnudiye Mah.)"/>
        <s v="Three Monkey Burger House, Odunpazarı (Ihlamurkent Mah.)"/>
        <s v="Three Monkey Burger House, Tepebaşı (Uluönder Mah.)"/>
        <s v="Three Monkey's Burger House, Odunpazarı (Kurtuluş Mah.)"/>
        <s v="Three Monkeys Burger House (Güllük Mah.)"/>
        <s v="Three Monkeys Burger House (Vişnelik Mah.)"/>
        <s v="Thyme Tantuni (Yenibağlar Mah.)"/>
        <s v="Tiger Food, Tepebaşı (Ömerağa Mah.)"/>
        <s v="TikTak Tantuni, Tepebaşı (Şirintepe Mah.)"/>
        <s v="Tiryaki Tost &amp; Express Coffee,Tepebaşı (Hoşnudiye Mah.)"/>
        <s v="TK Tat Kanatçı, İstiklal"/>
        <s v="Tombik Et ve Tavuk Döner, Tepebaşı (Hoşnudiye)"/>
        <s v="Tombul Tavuk &amp; Izgara Mangal, Tepebaşı (Şirintepe Mah.)"/>
        <s v="Torku Ziyafet Döner, Tepebaşı (Yenibağlar Mah.)"/>
        <s v="Tospik Tost, Odunpazarı (Büyükdere Mah.)"/>
        <s v="Tost In Gen, Tepebaşı (Eskibağlar Mah.)"/>
        <s v="Tostçu Abla , Tepebaşı ( Hoşnudiye Mah.)"/>
        <s v="Tostizzza Express, İstiklal"/>
        <s v="Tostmodern, Tepebaşı (Eskibağlar Mah.)"/>
        <s v="Tostoyevski, Tepebaşı (Bahçelievler Mah.)"/>
        <s v="Tuana Mersin Tantuni Evi, Kurtuluş"/>
        <s v="Turuncu Tantuni, Tepebaşı (Eskibağlar Mah.)"/>
        <s v="Turuncu Tantuni, Tepebaşı (Şirintepe Mah.)"/>
        <s v="U. S Fast Food, Odunpazarı (Büyükdere Mah.)"/>
        <s v="Uncle Roll, Tepebaşı(Yenibağlar Mah.)"/>
        <s v="Unique Breakfast &amp; Cafe,Tepebaşı( Eskibağlar Mah.)"/>
        <s v="Urfa Kebap, Odunpazarı (Deliklitaş Mah.)"/>
        <s v="Urfa Lahmacun, Tepebaşı (Eskibağlar Mah. )"/>
        <s v="Urfalı Halil İbrahim Sofrası, Odunpazarı(Kırmızıtoprak Mah.)"/>
        <s v="Urfalı Kardeşler, Odunpazarı (Sümer Mah.)"/>
        <s v="Ustha Pide &amp; Kebap &amp; Lahmacun, Odunpazarı (Deliklitaş Mah.)"/>
        <s v="Üçüzler Baklava, Tepebaşı(Şirintepe Mah.)"/>
        <s v="Ünvermiş Baklavaları, Tepebaşı (Hoşnudiye Mah.)"/>
        <s v="Üsküp Köfte, Odunpazarı (Ihlamurkent Mah.)"/>
        <s v="Üsküp Köfte, Tepebaşı (Uluönder Mah.)"/>
        <s v="Vatan Döner, Odunpazarı (Kurtuluş Mah.)"/>
        <s v="Vegan Eskişehir, Odunpazarı (Deliklitaş Mah.)"/>
        <s v="Venedik Pastanesi, Odunpazarı (Vişnelik Mah.)"/>
        <s v="Very Berry Bakery, Tepebaşı (Eskibağlar Mah.)"/>
        <s v="Veysel Usta Etli Ekmek &amp; Izgara, Odunpazarı (Çankaya Mah.)"/>
        <s v="VF Waffle, Hoşnudiye"/>
        <s v="Vişne Pide &amp; Kebap, Odunpazarı (Sümer Mah.)"/>
        <s v="Vitamin 1001, Odunpazarı (Ihlamurkent Mah.)"/>
        <s v="Volvoks Cafe &amp; Bistro, Odunpazarı (Arifiye Mah.)"/>
        <s v="Waffle Station, Odunpazarı (Gültepe Mah.)"/>
        <s v="Walker's Coffee House, Odunpazarı (Vişnelik Mah.)"/>
        <s v="Walker's Coffee House, Tepebaşı (Eskibağlar Mah.)"/>
        <s v="Wanted Pizza &amp; Burger, Tepebaşı (Batıkent Mah.)"/>
        <s v="Wanted Saloon &amp; Pizza, Hoşnudiye"/>
        <s v="Yakamoz Tantuni (Büyükdere Mah.)"/>
        <s v="Yanık Mangal, Büyükdere"/>
        <s v="Yaprak Döner &amp; Tantuni, Tepebaşı (Çamlıca Mah.)"/>
        <s v="Yasemin Pide, Odunpazarı (Akçağlan Mah.)"/>
        <s v="Yasin Pide &amp; Döner &amp; Kebap, Odunpazarı (Yenidoğan Mah.)"/>
        <s v="Yediler Kebap, Odunpazarı (Deliklitaş Mah.)"/>
        <s v="Yeşil Döner, Odunpazarı (Emek Mah.)"/>
        <s v="Yeşil Tava, Odunpazarı (Kırmızıtoprak Mah.)"/>
        <s v="Yeşilçam Dürümcüsü, Tepebaşı (Uluönder Mah.)"/>
        <s v="Yiğit Döner Çorba, Odunpzarı (Emek Mah.)"/>
        <s v="Yiğit Izgara &amp; Tantuni, Odunpazarı(Emek Mah.)"/>
        <s v="Yiyido Kızarmış Piliç Çevirme, Odunpazarı (Arifiye Mah.)"/>
        <s v="Yosun Kahvaltı &amp; Cafe, Eskibağlar"/>
        <s v="Yörük Çadırı, Odunpazarı (Büyükdere Mah.)"/>
        <s v="Yörük Çadırı, Odunpazarı (İstiklal Mah.)"/>
        <s v="Yunus Döner, Odunpazarı (Arifiye Mah.)"/>
        <s v="Zafer Pastanesi (Büyükdere Mah.)"/>
        <s v="Zeplin Burger House, Odunpazarı (Arifiye Mah.)"/>
        <s v="Zerafet Çiğköfte,Tepebaşı (Mamure Mah.)"/>
        <s v="Zerafet Döner, Odunpazarı (Yenidoğan Mah.)"/>
        <s v="Zeus Bergama Tostçusu, Tepebaşı (Eskibağlar Mah.)"/>
        <s v="Zeze Meze, Tepebaşı (Aşağı Söğütönü Mah.)"/>
        <s v="Zuzu Kokoreç &amp; Fast Food, Tepebaşı (Batıkent Mah.)"/>
        <s v="Zümra Pasta &amp; Cafe, Tepebaşı (Sütlüce Mah.)"/>
      </sharedItems>
    </cacheField>
    <cacheField name="Satışa&#10;Açık Mı?" numFmtId="0">
      <sharedItems>
        <s v="DOĞRU"/>
        <s v="YANLIŞ"/>
      </sharedItems>
    </cacheField>
    <cacheField name="Mutfak" numFmtId="0">
      <sharedItems>
        <s v="Sokak Lezzetleri"/>
        <s v="Tost &amp; Sandviç"/>
        <s v="Döner"/>
        <s v="Burger"/>
        <s v="Kebap"/>
        <s v="Pasta &amp; Tatlı"/>
        <s v="Kahvaltı"/>
        <s v="Pizza"/>
        <s v="Mantı"/>
        <s v="Lahmacun"/>
        <s v="Börek"/>
        <s v="Pide"/>
        <s v="Çiğ Köfte"/>
        <s v="Balık &amp; Deniz Ürünleri"/>
        <s v="Ev Yemekleri"/>
        <s v="Tavuk"/>
        <s v="Diğer"/>
        <s v="Köfte"/>
        <s v="Dünya Mutfağı"/>
        <s v="İçecek"/>
        <s v="Kahve"/>
        <s v="Fit"/>
        <s v="Steak"/>
        <s v="Deniz Ürünleri"/>
      </sharedItems>
    </cacheField>
    <cacheField name="TOPLAM&#10;SİPARİŞ" numFmtId="0">
      <sharedItems containsString="0" containsBlank="1" containsNumber="1" containsInteger="1">
        <n v="1515.0"/>
        <m/>
        <n v="1646.0"/>
        <n v="5391.0"/>
        <n v="6197.0"/>
        <n v="1560.0"/>
        <n v="2481.0"/>
        <n v="1297.0"/>
        <n v="47.0"/>
        <n v="195.0"/>
        <n v="1508.0"/>
        <n v="2738.0"/>
        <n v="5294.0"/>
        <n v="5915.0"/>
        <n v="3065.0"/>
        <n v="1078.0"/>
        <n v="2740.0"/>
        <n v="219.0"/>
        <n v="2.0"/>
        <n v="8262.0"/>
        <n v="955.0"/>
        <n v="613.0"/>
        <n v="2378.0"/>
        <n v="689.0"/>
        <n v="790.0"/>
        <n v="4919.0"/>
        <n v="197.0"/>
        <n v="121.0"/>
        <n v="692.0"/>
        <n v="39.0"/>
        <n v="13.0"/>
        <n v="862.0"/>
        <n v="2628.0"/>
        <n v="542.0"/>
        <n v="333.0"/>
        <n v="137.0"/>
        <n v="976.0"/>
        <n v="1711.0"/>
        <n v="217.0"/>
        <n v="698.0"/>
        <n v="4.0"/>
        <n v="230.0"/>
        <n v="2905.0"/>
        <n v="4367.0"/>
        <n v="1559.0"/>
        <n v="38.0"/>
        <n v="220.0"/>
        <n v="297.0"/>
        <n v="1090.0"/>
        <n v="2928.0"/>
        <n v="3749.0"/>
        <n v="4542.0"/>
        <n v="1352.0"/>
        <n v="15493.0"/>
        <n v="2886.0"/>
        <n v="527.0"/>
        <n v="6614.0"/>
        <n v="7682.0"/>
        <n v="4885.0"/>
        <n v="15.0"/>
        <n v="2921.0"/>
        <n v="5711.0"/>
        <n v="8990.0"/>
        <n v="3456.0"/>
        <n v="1189.0"/>
        <n v="1608.0"/>
        <n v="211.0"/>
        <n v="1127.0"/>
        <n v="9926.0"/>
        <n v="386.0"/>
        <n v="4475.0"/>
        <n v="978.0"/>
        <n v="60.0"/>
        <n v="673.0"/>
        <n v="332.0"/>
        <n v="125.0"/>
        <n v="239.0"/>
        <n v="1.0"/>
        <n v="3323.0"/>
        <n v="3247.0"/>
        <n v="489.0"/>
        <n v="5098.0"/>
        <n v="684.0"/>
        <n v="1120.0"/>
        <n v="1333.0"/>
        <n v="129.0"/>
        <n v="124.0"/>
        <n v="614.0"/>
        <n v="5909.0"/>
        <n v="3318.0"/>
        <n v="3875.0"/>
        <n v="3962.0"/>
        <n v="1758.0"/>
        <n v="164.0"/>
        <n v="3131.0"/>
        <n v="4336.0"/>
        <n v="256.0"/>
        <n v="1192.0"/>
        <n v="2273.0"/>
        <n v="734.0"/>
        <n v="8313.0"/>
        <n v="30.0"/>
        <n v="1291.0"/>
        <n v="359.0"/>
        <n v="1261.0"/>
        <n v="17207.0"/>
        <n v="3048.0"/>
        <n v="170.0"/>
        <n v="25740.0"/>
        <n v="2076.0"/>
        <n v="5.0"/>
        <n v="344.0"/>
        <n v="3423.0"/>
        <n v="7158.0"/>
        <n v="2030.0"/>
        <n v="212.0"/>
        <n v="2866.0"/>
        <n v="3295.0"/>
        <n v="746.0"/>
        <n v="1359.0"/>
        <n v="1319.0"/>
        <n v="44.0"/>
        <n v="67.0"/>
        <n v="6250.0"/>
        <n v="3916.0"/>
        <n v="2820.0"/>
        <n v="5870.0"/>
        <n v="349.0"/>
        <n v="376.0"/>
        <n v="584.0"/>
        <n v="6918.0"/>
        <n v="7231.0"/>
        <n v="13499.0"/>
        <n v="154.0"/>
        <n v="10661.0"/>
        <n v="827.0"/>
        <n v="3771.0"/>
        <n v="1217.0"/>
        <n v="399.0"/>
        <n v="10949.0"/>
        <n v="13282.0"/>
        <n v="5716.0"/>
        <n v="2647.0"/>
        <n v="439.0"/>
        <n v="918.0"/>
        <n v="1314.0"/>
        <n v="6095.0"/>
        <n v="370.0"/>
        <n v="1983.0"/>
        <n v="4548.0"/>
        <n v="260.0"/>
        <n v="187.0"/>
        <n v="8740.0"/>
        <n v="1902.0"/>
        <n v="50.0"/>
        <n v="7316.0"/>
        <n v="1633.0"/>
        <n v="1279.0"/>
        <n v="916.0"/>
        <n v="1280.0"/>
        <n v="789.0"/>
        <n v="2376.0"/>
        <n v="15678.0"/>
        <n v="556.0"/>
        <n v="22.0"/>
        <n v="4499.0"/>
        <n v="4340.0"/>
        <n v="427.0"/>
        <n v="1007.0"/>
        <n v="940.0"/>
        <n v="1996.0"/>
        <n v="4561.0"/>
        <n v="826.0"/>
        <n v="1900.0"/>
        <n v="16956.0"/>
        <n v="10966.0"/>
        <n v="655.0"/>
        <n v="182.0"/>
        <n v="539.0"/>
        <n v="4859.0"/>
        <n v="5039.0"/>
        <n v="591.0"/>
        <n v="372.0"/>
        <n v="1617.0"/>
        <n v="32.0"/>
        <n v="159.0"/>
        <n v="15260.0"/>
        <n v="352.0"/>
        <n v="1018.0"/>
        <n v="3373.0"/>
        <n v="1178.0"/>
        <n v="24099.0"/>
        <n v="1302.0"/>
        <n v="967.0"/>
        <n v="2100.0"/>
        <n v="1220.0"/>
        <n v="2436.0"/>
        <n v="1631.0"/>
        <n v="1342.0"/>
        <n v="7668.0"/>
        <n v="27.0"/>
        <n v="2293.0"/>
        <n v="64.0"/>
        <n v="472.0"/>
        <n v="15169.0"/>
        <n v="1830.0"/>
        <n v="3818.0"/>
        <n v="10519.0"/>
        <n v="1228.0"/>
        <n v="158.0"/>
        <n v="2883.0"/>
        <n v="1823.0"/>
        <n v="11666.0"/>
        <n v="1634.0"/>
        <n v="12817.0"/>
        <n v="1681.0"/>
        <n v="1686.0"/>
        <n v="88.0"/>
        <n v="1117.0"/>
        <n v="15075.0"/>
        <n v="1339.0"/>
        <n v="79.0"/>
        <n v="3930.0"/>
        <n v="2235.0"/>
        <n v="4825.0"/>
        <n v="2092.0"/>
        <n v="1793.0"/>
        <n v="45.0"/>
        <n v="1308.0"/>
        <n v="5550.0"/>
        <n v="5671.0"/>
        <n v="874.0"/>
        <n v="94.0"/>
        <n v="39452.0"/>
        <n v="3599.0"/>
        <n v="1008.0"/>
        <n v="35.0"/>
        <n v="3506.0"/>
        <n v="16.0"/>
        <n v="9436.0"/>
        <n v="97.0"/>
        <n v="1152.0"/>
        <n v="8438.0"/>
        <n v="2512.0"/>
        <n v="1328.0"/>
        <n v="847.0"/>
        <n v="437.0"/>
        <n v="221.0"/>
        <n v="1675.0"/>
        <n v="23.0"/>
        <n v="2332.0"/>
        <n v="1951.0"/>
        <n v="1647.0"/>
        <n v="471.0"/>
        <n v="52.0"/>
        <n v="76.0"/>
        <n v="2196.0"/>
        <n v="2504.0"/>
        <n v="7973.0"/>
        <n v="2971.0"/>
        <n v="669.0"/>
        <n v="438.0"/>
        <n v="3586.0"/>
        <n v="3893.0"/>
        <n v="1973.0"/>
        <n v="14537.0"/>
        <n v="31.0"/>
        <n v="4780.0"/>
        <n v="209.0"/>
        <n v="919.0"/>
        <n v="586.0"/>
        <n v="31198.0"/>
        <n v="10845.0"/>
        <n v="9545.0"/>
        <n v="537.0"/>
        <n v="674.0"/>
        <n v="1562.0"/>
        <n v="445.0"/>
        <n v="4061.0"/>
        <n v="302.0"/>
        <n v="12149.0"/>
        <n v="18291.0"/>
        <n v="5911.0"/>
        <n v="502.0"/>
        <n v="1005.0"/>
        <n v="10026.0"/>
        <n v="1335.0"/>
        <n v="75.0"/>
        <n v="261.0"/>
        <n v="132.0"/>
        <n v="18.0"/>
        <n v="360.0"/>
        <n v="1696.0"/>
        <n v="1925.0"/>
        <n v="208.0"/>
        <n v="3646.0"/>
        <n v="1043.0"/>
        <n v="727.0"/>
        <n v="2871.0"/>
        <n v="9675.0"/>
        <n v="1480.0"/>
        <n v="7.0"/>
        <n v="10.0"/>
        <n v="1580.0"/>
        <n v="5631.0"/>
        <n v="923.0"/>
        <n v="3079.0"/>
        <n v="6302.0"/>
        <n v="1322.0"/>
        <n v="40.0"/>
        <n v="58.0"/>
        <n v="169.0"/>
        <n v="245.0"/>
        <n v="1413.0"/>
        <n v="202.0"/>
        <n v="2717.0"/>
        <n v="93.0"/>
        <n v="117.0"/>
        <n v="7408.0"/>
        <n v="443.0"/>
        <n v="24275.0"/>
        <n v="1263.0"/>
        <n v="555.0"/>
        <n v="116.0"/>
        <n v="63.0"/>
        <n v="1578.0"/>
        <n v="34913.0"/>
        <n v="1512.0"/>
        <n v="3569.0"/>
        <n v="4393.0"/>
        <n v="25915.0"/>
        <n v="102.0"/>
        <n v="4726.0"/>
        <n v="545.0"/>
        <n v="4180.0"/>
        <n v="1266.0"/>
        <n v="1609.0"/>
        <n v="1488.0"/>
        <n v="514.0"/>
        <n v="2055.0"/>
        <n v="271.0"/>
        <n v="3568.0"/>
        <n v="6923.0"/>
        <n v="856.0"/>
        <n v="1009.0"/>
        <n v="29122.0"/>
        <n v="722.0"/>
        <n v="1065.0"/>
        <n v="768.0"/>
        <n v="266.0"/>
        <n v="342.0"/>
        <n v="3017.0"/>
        <n v="1716.0"/>
        <n v="531.0"/>
        <n v="1461.0"/>
        <n v="28.0"/>
        <n v="82.0"/>
        <n v="942.0"/>
        <n v="35629.0"/>
        <n v="4032.0"/>
        <n v="3889.0"/>
        <n v="1569.0"/>
        <n v="2053.0"/>
        <n v="2206.0"/>
        <n v="3121.0"/>
        <n v="2130.0"/>
        <n v="1200.0"/>
        <n v="5581.0"/>
        <n v="1071.0"/>
        <n v="6030.0"/>
        <n v="2967.0"/>
        <n v="3223.0"/>
        <n v="915.0"/>
        <n v="168.0"/>
        <n v="554.0"/>
        <n v="440.0"/>
        <n v="446.0"/>
        <n v="41.0"/>
        <n v="1235.0"/>
        <n v="8208.0"/>
        <n v="1432.0"/>
        <n v="902.0"/>
        <n v="12.0"/>
        <n v="1627.0"/>
        <n v="14468.0"/>
        <n v="1655.0"/>
        <n v="17509.0"/>
        <n v="3984.0"/>
        <n v="8.0"/>
        <n v="1768.0"/>
        <n v="254.0"/>
        <n v="729.0"/>
        <n v="301.0"/>
        <n v="104.0"/>
        <n v="6679.0"/>
        <n v="1384.0"/>
        <n v="730.0"/>
        <n v="28082.0"/>
        <n v="922.0"/>
        <n v="1596.0"/>
        <n v="1351.0"/>
        <n v="3074.0"/>
        <n v="1358.0"/>
        <n v="952.0"/>
        <n v="65.0"/>
        <n v="14.0"/>
        <n v="389.0"/>
        <n v="296.0"/>
        <n v="3294.0"/>
        <n v="1674.0"/>
        <n v="264.0"/>
        <n v="300.0"/>
        <n v="10298.0"/>
        <n v="111.0"/>
        <n v="7588.0"/>
        <n v="3134.0"/>
        <n v="1091.0"/>
        <n v="172.0"/>
        <n v="285.0"/>
        <n v="7596.0"/>
        <n v="3166.0"/>
        <n v="3257.0"/>
        <n v="2624.0"/>
        <n v="8199.0"/>
        <n v="18215.0"/>
        <n v="49.0"/>
        <n v="786.0"/>
        <n v="19.0"/>
        <n v="430.0"/>
        <n v="2364.0"/>
        <n v="670.0"/>
        <n v="1080.0"/>
        <n v="1470.0"/>
        <n v="120.0"/>
        <n v="2229.0"/>
        <n v="24498.0"/>
        <n v="5914.0"/>
        <n v="675.0"/>
        <n v="1667.0"/>
        <n v="157.0"/>
        <n v="1796.0"/>
        <n v="199.0"/>
        <n v="145.0"/>
        <n v="176.0"/>
        <n v="844.0"/>
        <n v="1764.0"/>
        <n v="2882.0"/>
        <n v="608.0"/>
        <n v="78.0"/>
        <n v="334.0"/>
        <n v="2465.0"/>
        <n v="607.0"/>
        <n v="37.0"/>
        <n v="34.0"/>
        <n v="288.0"/>
        <n v="1347.0"/>
        <n v="1114.0"/>
        <n v="311.0"/>
        <n v="4359.0"/>
        <n v="96.0"/>
        <n v="33.0"/>
        <n v="1669.0"/>
        <n v="2972.0"/>
        <n v="357.0"/>
        <n v="3271.0"/>
        <n v="8436.0"/>
        <n v="6455.0"/>
        <n v="3133.0"/>
        <n v="7678.0"/>
        <n v="308.0"/>
        <n v="6.0"/>
        <n v="3539.0"/>
        <n v="155.0"/>
        <n v="1169.0"/>
        <n v="882.0"/>
        <n v="511.0"/>
        <n v="11.0"/>
        <n v="368.0"/>
        <n v="1089.0"/>
        <n v="814.0"/>
        <n v="3430.0"/>
        <n v="6261.0"/>
        <n v="623.0"/>
        <n v="4597.0"/>
        <n v="1295.0"/>
        <n v="244.0"/>
        <n v="3773.0"/>
        <n v="17017.0"/>
        <n v="1605.0"/>
        <n v="304.0"/>
        <n v="318.0"/>
        <n v="972.0"/>
        <n v="17.0"/>
        <n v="13958.0"/>
        <n v="163.0"/>
        <n v="2532.0"/>
        <n v="2922.0"/>
        <n v="2374.0"/>
        <n v="2095.0"/>
        <n v="3919.0"/>
        <n v="225.0"/>
        <n v="15935.0"/>
        <n v="1776.0"/>
        <n v="8891.0"/>
        <n v="276.0"/>
        <n v="5500.0"/>
        <n v="5575.0"/>
        <n v="2662.0"/>
        <n v="2409.0"/>
        <n v="9.0"/>
        <n v="12321.0"/>
        <n v="721.0"/>
        <n v="754.0"/>
        <n v="21899.0"/>
        <n v="36.0"/>
        <n v="313.0"/>
        <n v="281.0"/>
        <n v="3748.0"/>
        <n v="8913.0"/>
        <n v="2093.0"/>
        <n v="1025.0"/>
        <n v="2319.0"/>
        <n v="2449.0"/>
        <n v="1955.0"/>
        <n v="1416.0"/>
        <n v="1650.0"/>
        <n v="2351.0"/>
        <n v="27514.0"/>
        <n v="1707.0"/>
        <n v="840.0"/>
        <n v="1487.0"/>
        <n v="8661.0"/>
        <n v="4648.0"/>
        <n v="17223.0"/>
        <n v="4495.0"/>
        <n v="1173.0"/>
        <n v="1159.0"/>
        <n v="1568.0"/>
        <n v="528.0"/>
        <n v="51.0"/>
        <n v="1284.0"/>
        <n v="5340.0"/>
        <n v="7909.0"/>
        <n v="454.0"/>
        <n v="701.0"/>
        <n v="11756.0"/>
        <n v="43.0"/>
        <n v="353.0"/>
        <n v="1324.0"/>
        <n v="2169.0"/>
        <n v="2705.0"/>
        <n v="485.0"/>
        <n v="3.0"/>
        <n v="206.0"/>
        <n v="11739.0"/>
        <n v="2676.0"/>
        <n v="626.0"/>
        <n v="2978.0"/>
        <n v="151.0"/>
        <n v="4056.0"/>
        <n v="1160.0"/>
        <n v="346.0"/>
        <n v="2420.0"/>
        <n v="233.0"/>
        <n v="21.0"/>
        <n v="2405.0"/>
        <n v="27902.0"/>
        <n v="31410.0"/>
        <n v="28343.0"/>
        <n v="255.0"/>
        <n v="5064.0"/>
        <n v="879.0"/>
        <n v="1130.0"/>
        <n v="2480.0"/>
        <n v="838.0"/>
        <n v="42.0"/>
        <n v="1318.0"/>
        <n v="1249.0"/>
        <n v="392.0"/>
        <n v="829.0"/>
        <n v="138.0"/>
        <n v="1894.0"/>
        <n v="279.0"/>
        <n v="9030.0"/>
        <n v="7138.0"/>
        <n v="858.0"/>
        <n v="18443.0"/>
        <n v="13991.0"/>
        <n v="56.0"/>
        <n v="4716.0"/>
        <n v="396.0"/>
        <n v="5321.0"/>
        <n v="4645.0"/>
        <n v="4106.0"/>
        <n v="7679.0"/>
        <n v="8734.0"/>
        <n v="8699.0"/>
        <n v="184.0"/>
        <n v="13424.0"/>
        <n v="2375.0"/>
        <n v="388.0"/>
        <n v="1841.0"/>
        <n v="9825.0"/>
        <n v="404.0"/>
        <n v="809.0"/>
        <n v="10486.0"/>
        <n v="2347.0"/>
        <n v="9022.0"/>
        <n v="7570.0"/>
        <n v="2782.0"/>
        <n v="450.0"/>
        <n v="3084.0"/>
        <n v="3069.0"/>
        <n v="1199.0"/>
        <n v="2052.0"/>
        <n v="425.0"/>
        <n v="146.0"/>
        <n v="2067.0"/>
        <n v="1640.0"/>
        <n v="2355.0"/>
        <n v="850.0"/>
        <n v="7601.0"/>
        <n v="259.0"/>
        <n v="693.0"/>
        <n v="678.0"/>
        <n v="503.0"/>
        <n v="278.0"/>
        <n v="1868.0"/>
        <n v="595.0"/>
        <n v="7612.0"/>
        <n v="17377.0"/>
        <n v="8243.0"/>
        <n v="3016.0"/>
        <n v="4777.0"/>
        <n v="1057.0"/>
        <n v="3820.0"/>
        <n v="4664.0"/>
        <n v="1177.0"/>
        <n v="2062.0"/>
        <n v="5515.0"/>
        <n v="86.0"/>
        <n v="3498.0"/>
        <n v="2158.0"/>
        <n v="7096.0"/>
        <n v="518.0"/>
        <n v="2104.0"/>
        <n v="974.0"/>
        <n v="5604.0"/>
      </sharedItems>
    </cacheField>
    <cacheField name="SON 2 HAFTA" numFmtId="0">
      <sharedItems containsString="0" containsBlank="1" containsNumber="1" containsInteger="1">
        <n v="18.0"/>
        <m/>
        <n v="157.0"/>
        <n v="121.0"/>
        <n v="20.0"/>
        <n v="495.0"/>
        <n v="30.0"/>
        <n v="62.0"/>
        <n v="57.0"/>
        <n v="71.0"/>
        <n v="148.0"/>
        <n v="187.0"/>
        <n v="201.0"/>
        <n v="13.0"/>
        <n v="91.0"/>
        <n v="422.0"/>
        <n v="241.0"/>
        <n v="85.0"/>
        <n v="45.0"/>
        <n v="2.0"/>
        <n v="70.0"/>
        <n v="31.0"/>
        <n v="24.0"/>
        <n v="17.0"/>
        <n v="6.0"/>
        <n v="1.0"/>
        <n v="21.0"/>
        <n v="50.0"/>
        <n v="27.0"/>
        <n v="137.0"/>
        <n v="22.0"/>
        <n v="4.0"/>
        <n v="69.0"/>
        <n v="33.0"/>
        <n v="32.0"/>
        <n v="127.0"/>
        <n v="8.0"/>
        <n v="104.0"/>
        <n v="3.0"/>
        <n v="48.0"/>
        <n v="40.0"/>
        <n v="189.0"/>
        <n v="463.0"/>
        <n v="798.0"/>
        <n v="102.0"/>
        <n v="518.0"/>
        <n v="89.0"/>
        <n v="220.0"/>
        <n v="5.0"/>
        <n v="94.0"/>
        <n v="169.0"/>
        <n v="34.0"/>
        <n v="90.0"/>
        <n v="129.0"/>
        <n v="147.0"/>
        <n v="202.0"/>
        <n v="209.0"/>
        <n v="483.0"/>
        <n v="19.0"/>
        <n v="29.0"/>
        <n v="310.0"/>
        <n v="285.0"/>
        <n v="80.0"/>
        <n v="26.0"/>
        <n v="172.0"/>
        <n v="109.0"/>
        <n v="68.0"/>
        <n v="83.0"/>
        <n v="23.0"/>
        <n v="569.0"/>
        <n v="11.0"/>
        <n v="2007.0"/>
        <n v="51.0"/>
        <n v="38.0"/>
        <n v="96.0"/>
        <n v="15.0"/>
        <n v="218.0"/>
        <n v="67.0"/>
        <n v="103.0"/>
        <n v="231.0"/>
        <n v="10.0"/>
        <n v="166.0"/>
        <n v="143.0"/>
        <n v="142.0"/>
        <n v="258.0"/>
        <n v="338.0"/>
        <n v="319.0"/>
        <n v="383.0"/>
        <n v="14.0"/>
        <n v="120.0"/>
        <n v="175.0"/>
        <n v="112.0"/>
        <n v="333.0"/>
        <n v="219.0"/>
        <n v="312.0"/>
        <n v="424.0"/>
        <n v="12.0"/>
        <n v="195.0"/>
        <n v="87.0"/>
        <n v="392.0"/>
        <n v="37.0"/>
        <n v="1289.0"/>
        <n v="248.0"/>
        <n v="66.0"/>
        <n v="204.0"/>
        <n v="420.0"/>
        <n v="16.0"/>
        <n v="46.0"/>
        <n v="88.0"/>
        <n v="292.0"/>
        <n v="329.0"/>
        <n v="173.0"/>
        <n v="165.0"/>
        <n v="75.0"/>
        <n v="734.0"/>
        <n v="61.0"/>
        <n v="138.0"/>
        <n v="117.0"/>
        <n v="49.0"/>
        <n v="578.0"/>
        <n v="113.0"/>
        <n v="515.0"/>
        <n v="139.0"/>
        <n v="191.0"/>
        <n v="282.0"/>
        <n v="1365.0"/>
        <n v="125.0"/>
        <n v="208.0"/>
        <n v="458.0"/>
        <n v="160.0"/>
        <n v="162.0"/>
        <n v="371.0"/>
        <n v="9.0"/>
        <n v="1798.0"/>
        <n v="251.0"/>
        <n v="193.0"/>
        <n v="238.0"/>
        <n v="53.0"/>
        <n v="386.0"/>
        <n v="65.0"/>
        <n v="58.0"/>
        <n v="146.0"/>
        <n v="44.0"/>
        <n v="222.0"/>
        <n v="95.0"/>
        <n v="502.0"/>
        <n v="433.0"/>
        <n v="227.0"/>
        <n v="412.0"/>
        <n v="269.0"/>
        <n v="149.0"/>
        <n v="236.0"/>
        <n v="25.0"/>
        <n v="28.0"/>
        <n v="47.0"/>
        <n v="7.0"/>
        <n v="289.0"/>
        <n v="485.0"/>
        <n v="176.0"/>
        <n v="86.0"/>
        <n v="163.0"/>
        <n v="41.0"/>
        <n v="451.0"/>
        <n v="1107.0"/>
        <n v="755.0"/>
        <n v="150.0"/>
        <n v="115.0"/>
        <n v="60.0"/>
        <n v="351.0"/>
        <n v="1346.0"/>
        <n v="152.0"/>
        <n v="1091.0"/>
        <n v="97.0"/>
        <n v="74.0"/>
        <n v="63.0"/>
        <n v="84.0"/>
        <n v="81.0"/>
        <n v="101.0"/>
        <n v="526.0"/>
        <n v="170.0"/>
        <n v="114.0"/>
        <n v="42.0"/>
        <n v="893.0"/>
        <n v="177.0"/>
        <n v="300.0"/>
        <n v="82.0"/>
        <n v="835.0"/>
        <n v="73.0"/>
        <n v="59.0"/>
        <n v="315.0"/>
        <n v="774.0"/>
        <n v="154.0"/>
        <n v="316.0"/>
        <n v="126.0"/>
        <n v="39.0"/>
        <n v="221.0"/>
        <n v="589.0"/>
        <n v="302.0"/>
        <n v="309.0"/>
        <n v="660.0"/>
        <n v="247.0"/>
        <n v="224.0"/>
        <n v="36.0"/>
        <n v="171.0"/>
        <n v="151.0"/>
        <n v="111.0"/>
        <n v="200.0"/>
        <n v="280.0"/>
        <n v="134.0"/>
        <n v="181.0"/>
        <n v="443.0"/>
        <n v="135.0"/>
        <n v="404.0"/>
        <n v="56.0"/>
        <n v="136.0"/>
        <n v="340.0"/>
        <n v="107.0"/>
        <n v="294.0"/>
        <n v="635.0"/>
        <n v="164.0"/>
        <n v="666.0"/>
        <n v="531.0"/>
        <n v="394.0"/>
        <n v="352.0"/>
        <n v="303.0"/>
        <n v="76.0"/>
        <n v="183.0"/>
        <n v="955.0"/>
        <n v="122.0"/>
        <n v="283.0"/>
        <n v="1411.0"/>
        <n v="43.0"/>
        <n v="437.0"/>
        <n v="747.0"/>
        <n v="98.0"/>
        <n v="35.0"/>
        <n v="729.0"/>
        <n v="446.0"/>
        <n v="132.0"/>
        <n v="133.0"/>
        <n v="1283.0"/>
        <n v="441.0"/>
        <n v="301.0"/>
        <n v="465.0"/>
        <n v="972.0"/>
        <n v="1509.0"/>
        <n v="387.0"/>
        <n v="141.0"/>
        <n v="264.0"/>
        <n v="279.0"/>
        <n v="532.0"/>
        <n v="64.0"/>
        <n v="499.0"/>
        <n v="376.0"/>
        <n v="124.0"/>
        <n v="145.0"/>
        <n v="118.0"/>
        <n v="225.0"/>
        <n v="686.0"/>
        <n v="409.0"/>
        <n v="370.0"/>
        <n v="506.0"/>
        <n v="105.0"/>
        <n v="92.0"/>
        <n v="186.0"/>
        <n v="203.0"/>
        <n v="272.0"/>
        <n v="93.0"/>
        <n v="79.0"/>
        <n v="349.0"/>
      </sharedItems>
    </cacheField>
    <cacheField name="RESİMLİ&#10;ÜRÜN" numFmtId="3">
      <sharedItems containsSemiMixedTypes="0" containsString="0" containsNumber="1" containsInteger="1">
        <n v="2.0"/>
        <n v="0.0"/>
        <n v="6.0"/>
        <n v="35.0"/>
        <n v="8.0"/>
        <n v="11.0"/>
        <n v="28.0"/>
        <n v="15.0"/>
        <n v="25.0"/>
        <n v="65.0"/>
        <n v="5.0"/>
        <n v="34.0"/>
        <n v="29.0"/>
        <n v="19.0"/>
        <n v="12.0"/>
        <n v="3.0"/>
        <n v="17.0"/>
        <n v="10.0"/>
        <n v="9.0"/>
        <n v="20.0"/>
        <n v="26.0"/>
        <n v="33.0"/>
        <n v="22.0"/>
        <n v="13.0"/>
        <n v="7.0"/>
        <n v="21.0"/>
        <n v="1.0"/>
        <n v="18.0"/>
        <n v="40.0"/>
        <n v="24.0"/>
        <n v="38.0"/>
        <n v="67.0"/>
        <n v="39.0"/>
        <n v="31.0"/>
        <n v="53.0"/>
        <n v="81.0"/>
        <n v="51.0"/>
        <n v="16.0"/>
        <n v="85.0"/>
        <n v="4.0"/>
        <n v="14.0"/>
        <n v="42.0"/>
        <n v="64.0"/>
        <n v="52.0"/>
        <n v="56.0"/>
        <n v="30.0"/>
        <n v="48.0"/>
        <n v="66.0"/>
        <n v="27.0"/>
        <n v="32.0"/>
        <n v="46.0"/>
        <n v="43.0"/>
        <n v="47.0"/>
        <n v="45.0"/>
        <n v="73.0"/>
        <n v="58.0"/>
        <n v="55.0"/>
        <n v="41.0"/>
        <n v="102.0"/>
        <n v="50.0"/>
      </sharedItems>
    </cacheField>
    <cacheField name="RESİMSİZ&#10;ÜRÜN" numFmtId="3">
      <sharedItems containsSemiMixedTypes="0" containsString="0" containsNumber="1" containsInteger="1">
        <n v="5.0"/>
        <n v="16.0"/>
        <n v="11.0"/>
        <n v="15.0"/>
        <n v="1.0"/>
        <n v="37.0"/>
        <n v="55.0"/>
        <n v="47.0"/>
        <n v="9.0"/>
        <n v="60.0"/>
        <n v="83.0"/>
        <n v="28.0"/>
        <n v="193.0"/>
        <n v="36.0"/>
        <n v="25.0"/>
        <n v="40.0"/>
        <n v="4.0"/>
        <n v="38.0"/>
        <n v="19.0"/>
        <n v="21.0"/>
        <n v="14.0"/>
        <n v="12.0"/>
        <n v="0.0"/>
        <n v="22.0"/>
        <n v="13.0"/>
        <n v="10.0"/>
        <n v="23.0"/>
        <n v="31.0"/>
        <n v="18.0"/>
        <n v="32.0"/>
        <n v="29.0"/>
        <n v="7.0"/>
        <n v="24.0"/>
        <n v="6.0"/>
        <n v="42.0"/>
        <n v="50.0"/>
        <n v="82.0"/>
        <n v="17.0"/>
        <n v="56.0"/>
        <n v="26.0"/>
        <n v="20.0"/>
        <n v="65.0"/>
        <n v="3.0"/>
        <n v="46.0"/>
        <n v="30.0"/>
        <n v="8.0"/>
        <n v="2.0"/>
        <n v="35.0"/>
        <n v="89.0"/>
        <n v="59.0"/>
        <n v="53.0"/>
        <n v="45.0"/>
        <n v="57.0"/>
        <n v="68.0"/>
        <n v="74.0"/>
        <n v="49.0"/>
        <n v="75.0"/>
        <n v="39.0"/>
        <n v="43.0"/>
        <n v="33.0"/>
        <n v="34.0"/>
        <n v="80.0"/>
        <n v="96.0"/>
        <n v="27.0"/>
        <n v="66.0"/>
        <n v="41.0"/>
        <n v="64.0"/>
        <n v="62.0"/>
        <n v="90.0"/>
        <n v="51.0"/>
        <n v="84.0"/>
        <n v="58.0"/>
        <n v="127.0"/>
        <n v="44.0"/>
        <n v="69.0"/>
        <n v="48.0"/>
        <n v="72.0"/>
        <n v="71.0"/>
        <n v="54.0"/>
        <n v="152.0"/>
        <n v="67.0"/>
        <n v="123.0"/>
        <n v="61.0"/>
        <n v="78.0"/>
        <n v="73.0"/>
        <n v="108.0"/>
        <n v="267.0"/>
        <n v="70.0"/>
        <n v="88.0"/>
        <n v="102.0"/>
        <n v="77.0"/>
        <n v="104.0"/>
        <n v="52.0"/>
        <n v="95.0"/>
        <n v="93.0"/>
        <n v="237.0"/>
        <n v="134.0"/>
        <n v="63.0"/>
        <n v="133.0"/>
        <n v="118.0"/>
      </sharedItems>
    </cacheField>
    <cacheField name="TOPLAM&#10;ÜRÜN" numFmtId="3">
      <sharedItems containsSemiMixedTypes="0" containsString="0" containsNumber="1" containsInteger="1">
        <n v="7.0"/>
        <n v="16.0"/>
        <n v="11.0"/>
        <n v="21.0"/>
        <n v="72.0"/>
        <n v="55.0"/>
        <n v="47.0"/>
        <n v="9.0"/>
        <n v="37.0"/>
        <n v="75.0"/>
        <n v="83.0"/>
        <n v="53.0"/>
        <n v="193.0"/>
        <n v="101.0"/>
        <n v="25.0"/>
        <n v="33.0"/>
        <n v="74.0"/>
        <n v="4.0"/>
        <n v="49.0"/>
        <n v="19.0"/>
        <n v="66.0"/>
        <n v="34.0"/>
        <n v="14.0"/>
        <n v="23.0"/>
        <n v="5.0"/>
        <n v="22.0"/>
        <n v="27.0"/>
        <n v="3.0"/>
        <n v="15.0"/>
        <n v="10.0"/>
        <n v="31.0"/>
        <n v="26.0"/>
        <n v="32.0"/>
        <n v="29.0"/>
        <n v="13.0"/>
        <n v="24.0"/>
        <n v="18.0"/>
        <n v="40.0"/>
        <n v="6.0"/>
        <n v="54.0"/>
        <n v="65.0"/>
        <n v="82.0"/>
        <n v="12.0"/>
        <n v="17.0"/>
        <n v="56.0"/>
        <n v="46.0"/>
        <n v="8.0"/>
        <n v="71.0"/>
        <n v="36.0"/>
        <n v="30.0"/>
        <n v="45.0"/>
        <n v="35.0"/>
        <n v="89.0"/>
        <n v="28.0"/>
        <n v="80.0"/>
        <n v="1.0"/>
        <n v="60.0"/>
        <n v="48.0"/>
        <n v="39.0"/>
        <n v="64.0"/>
        <n v="57.0"/>
        <n v="68.0"/>
        <n v="20.0"/>
        <n v="59.0"/>
        <n v="50.0"/>
        <n v="43.0"/>
        <n v="38.0"/>
        <n v="41.0"/>
        <n v="79.0"/>
        <n v="52.0"/>
        <n v="96.0"/>
        <n v="58.0"/>
        <n v="97.0"/>
        <n v="107.0"/>
        <n v="62.0"/>
        <n v="90.0"/>
        <n v="77.0"/>
        <n v="51.0"/>
        <n v="88.0"/>
        <n v="78.0"/>
        <n v="84.0"/>
        <n v="63.0"/>
        <n v="138.0"/>
        <n v="42.0"/>
        <n v="44.0"/>
        <n v="61.0"/>
        <n v="69.0"/>
        <n v="94.0"/>
        <n v="2.0"/>
        <n v="187.0"/>
        <n v="67.0"/>
        <n v="123.0"/>
        <n v="99.0"/>
        <n v="86.0"/>
        <n v="117.0"/>
        <n v="73.0"/>
        <n v="108.0"/>
        <n v="267.0"/>
        <n v="70.0"/>
        <n v="91.0"/>
        <n v="102.0"/>
        <n v="104.0"/>
        <n v="95.0"/>
        <n v="150.0"/>
        <n v="122.0"/>
        <n v="93.0"/>
        <n v="237.0"/>
        <n v="134.0"/>
        <n v="127.0"/>
        <n v="133.0"/>
        <n v="168.0"/>
        <n v="98.0"/>
      </sharedItems>
    </cacheField>
    <cacheField name="Ratio" numFmtId="9">
      <sharedItems containsSemiMixedTypes="0" containsString="0" containsNumber="1">
        <n v="0.29"/>
        <n v="0.0"/>
        <n v="0.86"/>
        <n v="0.49"/>
        <n v="0.89"/>
        <n v="0.69"/>
        <n v="0.76"/>
        <n v="0.2"/>
        <n v="0.47"/>
        <n v="0.64"/>
        <n v="0.15"/>
        <n v="0.46"/>
        <n v="0.22"/>
        <n v="0.44"/>
        <n v="0.56"/>
        <n v="0.55"/>
        <n v="0.36"/>
        <n v="0.48"/>
        <n v="1.0"/>
        <n v="0.19"/>
        <n v="0.63"/>
        <n v="0.38"/>
        <n v="0.45"/>
        <n v="0.41"/>
        <n v="0.16"/>
        <n v="0.31"/>
        <n v="0.6"/>
        <n v="0.23"/>
        <n v="0.5"/>
        <n v="0.33"/>
        <n v="0.43"/>
        <n v="0.57"/>
        <n v="0.75"/>
        <n v="0.72"/>
        <n v="0.92"/>
        <n v="0.35"/>
        <n v="0.61"/>
        <n v="0.68"/>
        <n v="0.58"/>
        <n v="0.67"/>
        <n v="0.26"/>
        <n v="0.12"/>
        <n v="0.52"/>
        <n v="0.32"/>
        <n v="0.51"/>
        <n v="0.27"/>
        <n v="0.18"/>
        <n v="0.3"/>
        <n v="0.4"/>
        <n v="0.54"/>
        <n v="0.93"/>
        <n v="0.81"/>
        <n v="0.85"/>
        <n v="0.73"/>
        <n v="0.65"/>
        <n v="0.95"/>
        <n v="0.71"/>
        <n v="0.83"/>
        <n v="0.53"/>
        <n v="0.82"/>
        <n v="0.84"/>
        <n v="0.39"/>
        <n v="0.79"/>
        <n v="0.42"/>
        <n v="0.74"/>
        <n v="0.77"/>
        <n v="0.37"/>
        <n v="0.14"/>
        <n v="0.21"/>
        <n v="0.25"/>
        <n v="0.03"/>
        <n v="0.62"/>
        <n v="0.06"/>
        <n v="0.96"/>
        <n v="0.08"/>
        <n v="0.24"/>
        <n v="0.17"/>
        <n v="0.97"/>
        <n v="0.07"/>
        <n v="0.28"/>
        <n v="0.9"/>
        <n v="0.59"/>
        <n v="0.34"/>
        <n v="0.7"/>
        <n v="0.88"/>
        <n v="0.8"/>
        <n v="0.87"/>
        <n v="0.13"/>
        <n v="0.98"/>
        <n v="0.11"/>
        <n v="0.05"/>
        <n v="0.78"/>
        <n v="0.02"/>
        <n v="0.1"/>
      </sharedItems>
    </cacheField>
    <cacheField name="Yetkili" numFmtId="0">
      <sharedItems>
        <s v="CEMİL AYAZ"/>
        <s v="Alperen Orhan"/>
        <s v="METİN YAMAN"/>
        <s v="NİHAL PEKÇOLAKLAR"/>
        <s v="EBRU SÖNMEZ"/>
        <s v="Gökhan Demircan"/>
        <s v="HOSSEIN DELAVANDANI"/>
        <s v="Mehmet Önal"/>
        <s v="AHMET SERTKAL"/>
        <s v="Funda Özkan"/>
        <s v="Ahmet Harun Akbulut"/>
        <s v="İZZET KAYALI"/>
        <s v="Ahmet Temel"/>
        <s v="İlyas Uzun"/>
        <s v="ALİ KARGA"/>
        <s v="AHMET İSMAİL YAŞAR"/>
        <s v="HAMİT KARAÇOL"/>
        <s v="ESRA ÇETİNKAYA ENGİN"/>
        <s v="Tahsin Demirok"/>
        <s v="Mehmet Yıldız"/>
        <s v="TAHİR TAŞ"/>
        <s v="ALİ ERDÖNMEZ"/>
        <s v="MERVE TINMAZ"/>
        <s v="Keziban Coşman"/>
        <s v="Tekin Coşman"/>
        <s v="SONER COŞMAN"/>
        <s v="SEZER DEMİR"/>
        <s v="Özlem Ürün"/>
        <s v="Mehmet Tüfenk"/>
        <s v="ALİ TURAN"/>
        <s v="İlyas Silindir"/>
        <s v="SERHAT ANILIR"/>
        <s v="HAKAN ADALIOĞLU"/>
        <s v="Muhammed Enes İleli"/>
        <s v="Uğurcan Aydoğdu"/>
        <s v="Murat kaya"/>
        <s v="Ömer Küçük"/>
        <s v="BURAK AÇIL"/>
        <s v="Erhan Şen"/>
        <s v="Mustafa İslam Bozbay"/>
        <s v="Turgut Ataca"/>
        <s v="SERDAR KALPAKLI"/>
        <s v="YAŞAR KİRAZ"/>
        <s v="Demet Bilgiç"/>
        <s v="Zeliha Altınok"/>
        <s v="Bünyamin Erkaya"/>
        <s v="Fatih Ersoy"/>
        <s v="Mehmet Selçuk"/>
        <s v="MUSTAFA TÜRKOĞLU"/>
        <s v="İsmail Kalender"/>
        <s v="Muhammed Özgür Şimşek"/>
        <s v="VEYSEL ODABAŞI"/>
        <s v="Nazife Şengür"/>
        <s v="Gülnur Uslu"/>
        <s v="NURCAN ÖZTÜRK"/>
        <s v="Yıldız Çelik"/>
        <s v="Abidin Kocabuğa"/>
        <s v="ÖMER FARUK ÖZDEMİRLİ"/>
        <s v="Hüseyin Dede"/>
        <s v="Ömer Faruk Özdemirli"/>
        <s v="Şerife Burcu Özege"/>
        <s v="Ömür Aydınlı"/>
        <s v="Özgür Demirtaş"/>
        <s v="ERCAN ERDOĞAN"/>
        <s v="FURKAN SEYDAN"/>
        <s v="METİN KETENCİ"/>
        <s v="Özgür Karaağaç"/>
        <s v="Bilal Yıldız"/>
        <s v="Kürşat Buğra Narcı"/>
        <s v="Aydın Altındağ"/>
        <s v="Hüseyin Çekiç"/>
        <s v="RIDVAN ALAN"/>
        <s v="Özben Bağırsakçı"/>
        <s v="Timur Büyüktoğtul"/>
        <s v="Hamza Elhudar"/>
        <s v="Tolga Kumru"/>
        <s v="Emre Üçer"/>
        <s v="Mehmet Akar"/>
        <s v="Kadir Bürke"/>
        <s v="MUSTAFA ÖZTÜRK"/>
        <s v="Hosseın Delavandanı"/>
        <s v="Türkan Bakılan"/>
        <s v="Elif Ülger Yalçın"/>
        <s v="Mehmet Ali Kuru"/>
        <s v="Ahmet Kaya"/>
        <s v="BERK YAKIT"/>
        <s v="Latif Günbeği"/>
        <s v="Umut Kumral"/>
        <s v="NERMİN ÖZCAN"/>
        <s v="İsmet Bozlusun"/>
        <s v="SAADET AVCI"/>
        <s v="NAZAN ULUPINAR"/>
        <s v="ÜMİT KESİK"/>
        <s v="İzzet Mustafa Çımbaroğlu"/>
        <s v="Mehmet Surha"/>
        <s v="Gürhan Yılmaz"/>
        <s v="SERKAN AKAY"/>
        <s v="İhsan Bezenmiş"/>
        <s v="İHSAN BEZENMİŞ"/>
        <s v="Turgay Alver"/>
        <s v="KEMAL UÇAK"/>
        <s v="AYŞE BAHAR BOROZAN"/>
        <s v="SERKAN AKKOL"/>
        <s v="Necmettin Aydoğan"/>
        <s v="Erhan Yıldırım"/>
        <s v="Umut Kale"/>
        <s v="Melek Eker"/>
        <s v="Musahan Seyhan"/>
        <s v="Sinan Karayiğit"/>
        <s v="ENEZ SİNAL"/>
        <s v="ZEYNEP KAHRAMAN"/>
        <s v="Hakan Kılıçay"/>
        <s v="GİZEM BAŞKAN"/>
        <s v="DENİZ SEREN AYDIN"/>
        <s v="Erkan Ceylan"/>
        <s v="İslim İlayda Nur Dayıoğlu"/>
        <s v="Ferat Uğur"/>
        <s v="Abdülkadir Bayrak"/>
        <s v="Nezahat Öztürk"/>
        <s v="HASAN TAKTAK"/>
        <s v="Uğur Göker"/>
        <s v="MUZAFFER ÖKSÜZ"/>
        <s v="Ebru Dokumacı"/>
        <s v="SAMET KARAKAYA"/>
        <s v="Nurettin Aybek"/>
        <s v="AYSUN KIRTAŞ"/>
        <s v="MURAT APAYDIN"/>
        <s v="Mehmet Ali Bircan"/>
        <s v="SİNAN BİRSEN"/>
        <s v="MUHTULLAH ŞAM"/>
        <s v="TEZCAN KILINÇ"/>
        <s v="Yusuf Dursun"/>
        <s v="TURHAN GÜVENÇ SAYAN"/>
        <s v="Tayfun Üçok"/>
        <s v="CENGİZHAN BALABAN"/>
        <s v="ALİYE KARAÇINAR"/>
        <s v="Musa Kaya"/>
        <s v="ERMAN ACAY"/>
        <s v="Osman Çelik"/>
        <s v="Aykut Şahin"/>
        <s v="Müslüm Kavşut"/>
        <s v="Ahmet Ekin Özmen"/>
        <s v="Ümitcan Akçardak"/>
        <s v="Bayram Akın"/>
        <s v="Fetihe Eda Önvar"/>
        <s v="GÜZİN ATICI"/>
        <s v="RAHİME KELEK"/>
        <s v="Batuhan Dar"/>
        <s v="Veysel Karani Dolu"/>
        <s v="Enes Atabay"/>
        <s v="Fatma Şafak"/>
        <s v="Ekrem Doğulu"/>
        <s v="Salih Yeşilçay"/>
        <s v="FAZIL YILDIRIM"/>
        <s v="EZGİ KOCATEPE"/>
        <s v="Del Agha Rajabi"/>
        <s v="ONUR ÇELİK"/>
        <s v="OSMAN ACAR"/>
        <s v="ARDA YÜCEL"/>
        <s v="Burak Van"/>
        <s v="Eren Göker"/>
        <s v="Sadık Ceylan"/>
        <s v="SİBEL DELGEÇ ÖZLEK"/>
        <s v="ABDULSAMET KAYA"/>
        <s v="Muhammadjon Rahimov"/>
        <s v="SEVİL İNLER"/>
        <s v="İHSAN YÜCE YETİŞKİN"/>
        <s v="Sezer Turan"/>
        <s v="Nurettin Göze"/>
        <s v="Mesut Aydın"/>
        <s v="SEDAT YAKAN"/>
        <s v="Emre Tezel"/>
        <s v="Seyit Ahmet Yeni"/>
        <s v="FİLİZ CENGİZ"/>
        <s v="Azime Ay"/>
        <s v="BÜLENT LOFÇA"/>
        <s v="Zeynep Ersoy"/>
        <s v="BEKLAN GENCER"/>
        <s v="Yunus Sencer Doğan"/>
        <s v="AHMET DURUEL"/>
        <s v="SEMİH ONUR"/>
        <s v="ALAATTİN KARABİBER"/>
        <s v="Abdullah Bilen"/>
        <s v="İbrahim Öksüz"/>
        <s v="Hamit Karaçöl"/>
        <s v="Ahmet Öztürk"/>
        <s v="İlhan Genç"/>
        <s v="İlknur Ünsal"/>
        <s v="Gülcan Uluağaç"/>
        <s v="Mert Gülşen"/>
        <s v="Hicran Binici"/>
        <s v="SONER AKAGÜNDÜZ"/>
        <s v="AYKUT GÖÇMEL"/>
        <s v="Fırat Yaşlı"/>
        <s v="Erkut Çakar"/>
        <s v="SAMİ BAL"/>
        <s v="Tolga Bulut"/>
        <s v="BÜLENT AY"/>
        <s v="Rafet Şorabatur"/>
        <s v="İpek Çubuk"/>
        <s v="Serhat İsmail Çölük"/>
        <s v="Müftah Çubuk"/>
        <s v="Osman Varli"/>
        <s v="HÜLYA YEŞİLGİL"/>
        <s v="SÜLEYMAN TOPALOĞLU"/>
        <s v="Dürdane Aldemir"/>
        <s v="Yusuf Doğan"/>
        <s v="FATİH ARSLAN"/>
        <s v="Veysel Kenan Araz"/>
        <s v="Sercan Kale"/>
        <s v="Özlem Çevik"/>
        <s v="Nurettin Tuna"/>
        <s v="Hakim Murat"/>
        <s v="AZİME AY"/>
        <s v="Baturhan Şentürk"/>
        <s v="Hasan Atinar"/>
        <s v="Birgül Gümüş"/>
        <s v="Ulaş Gümüş"/>
        <s v="Hadiye Şentürk"/>
        <s v="Nedim Abacı"/>
        <s v="ÖZGÜR GÜVEN"/>
        <s v="Celal Çakır"/>
        <s v="Murat Günçal"/>
        <s v="Hasan Hüseyin Balcı"/>
        <s v="MEHMET ALTINTAŞ"/>
        <s v="Osman Can Yılmaz"/>
        <s v="Hüseyin Ejderha"/>
        <s v="Arda Tarazan"/>
        <s v="İbrahim Halil Taşdemir"/>
        <s v="Abdulkerim Ölki"/>
        <s v="Cengiz Kumcu"/>
        <s v="GÖLKEM ÖZKAN"/>
        <s v="HAMİT MAMAN"/>
        <s v="ÖKKEŞ BULDUM"/>
        <s v="Murat Erken"/>
        <s v="Burak Ketenci"/>
        <s v="Bayram Ali Aydın"/>
        <s v="Ramazan Çetin"/>
        <s v="Kayahan Kaya"/>
        <s v="HÜLYA DEMİR"/>
        <s v="HİLMİ ŞAHİN"/>
        <s v="GÜNSELİ TAŞDELEN"/>
        <s v="ŞENER KARACA"/>
        <s v="AYHAN TETİK"/>
        <s v="Haldun Bayrak"/>
        <s v="SERVET KESKİN"/>
        <s v="Utku Harman"/>
        <s v="SATIA AKSOY"/>
        <s v="Zafer Uğuz"/>
        <s v="Hakan Taşçı"/>
        <s v="Erdoğan Bozkurt"/>
        <s v="Selçuk Yeni"/>
        <s v="AKIN KORAY HAN"/>
        <s v="Gulhan Celiker"/>
        <s v="Gülhan Çeliker"/>
        <s v="Hasan Yücebaş"/>
        <s v="Mahmut Yücebaş"/>
        <s v="Ümit Kesik"/>
        <s v="HASAN ALİ AYBAR"/>
        <s v="Murathan Kuş"/>
        <s v="ŞERİFE BURCU ÖZEGE"/>
        <s v="AHMET MUSAB TÜRKYILMAZ"/>
        <s v="ENGİN MEHMET AKIN"/>
        <s v="Ahmet Atay"/>
        <s v="Cafer Er"/>
        <s v="MEHMET YALPI"/>
        <s v="Cuma Dandan"/>
        <s v="Hüseyin Kelek"/>
        <s v="MEHMET DANDAN"/>
        <s v="Mustafa Güçlü"/>
        <s v="YAKUP TUNÇKAYA"/>
        <s v="EYÜP ÖZİŞ"/>
        <s v="Mehmet Çakmak"/>
        <s v="Hacı Hasanoğlu"/>
        <s v="HÜSEYİN ÇİÇEK"/>
        <s v="Şaban Dertliçoban"/>
        <s v="Mustafa Haleplioğlu"/>
        <s v="AHMET TOPRAK"/>
        <s v="ALPER BALCI"/>
        <s v="Erdem Altok"/>
        <s v="Sarpkan Kaşkal"/>
        <s v="Hakan Caferler"/>
        <s v="Barış Çalık"/>
        <s v="SENA GÜR"/>
        <s v="MESUT YILMAZ"/>
        <s v="Mustafa İçel"/>
        <s v="Doğukan Kabakcı"/>
        <s v="Hanım Altın"/>
        <s v="KORAY İSMAİL AKYÜZ"/>
        <s v="AHMET ERİM"/>
        <s v="MUSTAFA KEREM SÖNMEZ"/>
        <s v="Ahmet Eraslan"/>
        <s v="Aynur Bozkaya"/>
        <s v="Tuğba Yılmaz"/>
        <s v="Hakan Uçmazkol"/>
        <s v="TOLGAY GÖKKILIÇ"/>
        <s v="HASAN KARAKAŞ"/>
        <s v="KADRİYE ÇELİKOĞLU"/>
        <s v="Cihan Bozacılar"/>
        <s v="EMRE EŞENBUĞA"/>
        <s v="Başar Doğu AYHAN"/>
        <s v="Başar Doğu Ayhan- Burak Banaz Adi Ortaklık"/>
        <s v="ZELAL ZENGİN"/>
        <s v="MURAT HASIRCI"/>
        <s v="Batuhan Bagdu"/>
        <s v="İDRİS NEBİ GÜVENDİ"/>
        <s v="Hüseyin Baydur"/>
        <s v="Ahmet Demir"/>
        <s v="Gökhan Güleç"/>
        <s v="Aytaç Tetik"/>
        <s v="Murat Demir"/>
        <s v="ÇETİN ÖZER"/>
        <s v="Nebahat Topçu"/>
        <s v="Önder Erkul"/>
        <s v="İSMAİL GÖLÜKÇÜ"/>
        <s v="Mehmet Maşuk Cengiz"/>
        <s v="Sinan Güler"/>
        <s v="İmdat Özılgın"/>
        <s v="Muhammed Yusuf Erol"/>
        <s v="SUAT KARADAĞ"/>
        <s v="Nazan Ulupınar"/>
        <s v="Zeynep Sırmagül"/>
        <s v="NAİM UYSAL"/>
        <s v="Çiğdem Çakıroğlu"/>
        <s v="Hacer Arı"/>
        <s v="YAĞMUR ŞATIR"/>
        <s v="ISMAHAN TUZYURDU"/>
        <s v="Canel Çerçi"/>
        <s v="Göksel Sarı"/>
        <s v="İBRAHİM ÖZ"/>
        <s v="SERKAN ALTAY"/>
        <s v="HASAN ÖZEL"/>
        <s v="AHMET KARAÇOR"/>
        <s v="İLYAS BOZKURT"/>
        <s v="Zeynep Karahan"/>
        <s v="Serhan Ürersoy"/>
        <s v="Simay Karabıçak"/>
        <s v="Murat Korkmaz"/>
        <s v="Ahmet Kelek"/>
        <s v="Halit Arpacı"/>
        <s v="Tugay Ateş"/>
        <s v="MEHMET KIZILPINAR"/>
        <s v="Burcu Baran"/>
        <s v="TUĞÇE SOLMAZ"/>
        <s v="KERİM BEBİK"/>
        <s v="Mehmet Cavat Keskin"/>
        <s v="Halil Yılmaz"/>
        <s v="Kadir Koç"/>
        <s v="Yavuz Şentürk"/>
        <s v="Mehmet Kurşun"/>
        <s v="AYFER ALPHAN"/>
        <s v="EMRAH EKER"/>
        <s v="Kemal Bulut"/>
        <s v="Semanur Erbay"/>
        <s v="Cihan Eyüp Sert"/>
        <s v="Süleyman Tekin"/>
        <s v="Mustafa Gezgin"/>
        <s v="Bülent Arıkan"/>
        <s v="İsmail Korkmaz"/>
        <s v="AYŞE KELEBEK"/>
        <s v="Ali Nurullah Aydemir"/>
        <s v="MURAT YAŞAR ERAT"/>
        <s v="Murat Balkan"/>
        <s v="Erol Kök"/>
        <s v="Semih Yüreklier"/>
        <s v="ALİ KOCADAĞ"/>
        <s v="Dilan Kaplan"/>
        <s v="Mert Mihalıç"/>
        <s v="Mehmet Çetinbaş"/>
        <s v="SAFİYE BULUŞ"/>
        <s v="AHMET EKİN ÜNAL"/>
        <s v="Çınar Keskin"/>
        <s v="HAKAN AYSEKİN"/>
        <s v="Ferda Küçükoğlu"/>
        <s v="MESUT GENÇYILMAZ"/>
        <s v="BURCU MALKOÇ"/>
        <s v="Mustafa Canbolat"/>
        <s v="Esra Esin Toraman"/>
        <s v="Nurdane Kurnaz"/>
        <s v="SERHAN KUM"/>
        <s v="Safiye Ermiş"/>
        <s v="Mehmet Çoban"/>
        <s v="TUĞFAN ALPEREN YILDIZ"/>
        <s v="ALİ CEBECİ"/>
        <s v="Ceylan Akçınar"/>
        <s v="EMRE TEMİZ"/>
        <s v="MURAT ALTAY"/>
        <s v="MERYEM EROĞLU"/>
        <s v="LEVENT GÜLTEKİN"/>
        <s v="SERCAN GÜNAY"/>
        <s v="Muhammed Zübeyir Taşyürek"/>
        <s v="Ercüment açar"/>
        <s v="Abdullah Yeşildağ"/>
        <s v="Oğuzhan Kucur"/>
        <s v="Ayşe Çetinkaya"/>
        <s v="Rıdvan Soydaş"/>
        <s v="Nurgül Mercan"/>
        <s v="ADEM KESKİN"/>
        <s v="BURAK HAZIM"/>
        <s v="YASEV ÇETİNKAYA"/>
        <s v="Mert Uzman"/>
        <s v="İbrahim Uzun"/>
        <s v="Fatma Ataç"/>
        <s v="HİDAYET IŞIK"/>
        <s v="SEBAHATTİN DENİZ"/>
        <s v="ÇAĞRI KUZGUN"/>
        <s v="Sedanur Demirel"/>
        <s v="Yusuf Tomurer"/>
        <s v="Emine Silmez"/>
        <s v="Hasan Şimşek"/>
        <s v="Perihan Yeter"/>
        <s v="AYŞEGÜL BAYIN"/>
        <s v="SAMET DEMLİ"/>
        <s v="ERAY YANIK"/>
        <s v="Dilek Budak"/>
        <s v="İbadettin Aslan"/>
        <s v="Tuğrul Ergit"/>
        <s v="RAMAZAN KESKİN"/>
        <s v="Mehmet Kılıç"/>
        <s v="Ayşenur Ertürk"/>
        <s v="MURAT DALBAK"/>
        <s v="ASUMAN ÖZÇELİK"/>
        <s v="Mustafa Yılmaz"/>
        <s v="Mehmet Yıldırım"/>
        <s v="SERPİL ÇAKAR"/>
        <s v="YEMLİHAN KARABULUT"/>
        <s v="Mustafa Erdem"/>
        <s v="Şengül Erken"/>
        <s v="REMZİ HAKBİLEN"/>
        <s v="Necmettin Uğurlu"/>
        <s v="Handan Türk"/>
        <s v="Meryem Üstün Genç"/>
        <s v="MERT GÜNAY"/>
        <s v="SERDAR AYDEMİR"/>
        <s v="Fatih Çolak"/>
        <s v="Özcan Peker"/>
        <s v="GÖNÜL SEZEN"/>
        <s v="Ahmet Altıntaş"/>
        <s v="Mehmet Muharrem Ermiş"/>
        <s v="Hamide Eliç"/>
        <s v="MUSTAFA ÜMİT KALELİ"/>
        <s v="AHMET ÜSTÜN"/>
        <s v="Sinan Kıraç"/>
        <s v="Ekin Tuna"/>
        <s v="Onur Baran"/>
        <s v="Özge Sezer Özdemir"/>
        <s v="Hamdi Tunahan Barışkan"/>
        <s v="Mustafa Akça"/>
        <s v="Ramazan Kelek"/>
        <s v="Yunus Gökgöz"/>
        <s v="Mahmut Duran"/>
        <s v="Abdullah Yücebaş"/>
        <s v="TUBA YILDIRIM"/>
        <s v="MEHMET AYDIN"/>
        <s v="Canan Yıldırım"/>
        <s v="Hikmet Karatepe"/>
        <s v="Oytun Akmeşe"/>
        <s v="ERHAN UZUN"/>
        <s v="İlknur Kalabak"/>
        <s v="İSMAİL. ÇİFTÇİ"/>
        <s v="Nafize Şengür"/>
        <s v="KADİR BOLU"/>
        <s v="Recep Yılmaz"/>
        <s v="Tuba Yıldırım"/>
        <s v="İSMAİL ERDEM"/>
        <s v="TANER KESİKBAŞ"/>
        <s v="VOLKAN CETAL"/>
        <s v="Mojtaba Golmohammadı"/>
        <s v="HALİL İBRAHİM YILDIZ"/>
        <s v="Mehmet Emin Engiz"/>
        <s v="Furkan Baki Turunç"/>
        <s v="Alihan Çelik"/>
        <s v="Ayberk Yıldız"/>
        <s v="VOLKAN ERGİN"/>
        <s v="MUHAMMED SAFA"/>
        <s v="Osman Safa"/>
        <s v="REMZİ İDEM"/>
        <s v="Ebru Atak"/>
        <s v="Yaşar Kocabıyık"/>
        <s v="ONUR ÖZTÜRK"/>
        <s v="Kasım Katırcı"/>
        <s v="Engin Gedik"/>
        <s v="İsmail Ayan"/>
        <s v="GÖKHAN KANTAR"/>
        <s v="Berkay Barutçu"/>
        <s v="Seyit Ünal Şakar"/>
        <s v="BEKİR YAVUZ"/>
        <s v="Hacer Yavuz"/>
        <s v="BAYRAM ERUS"/>
        <s v="OSMAN KOYUNCU"/>
        <s v="Furkan Durukan"/>
        <s v="İlhan Özer"/>
        <s v="Yunus Uzun"/>
        <s v="Özgür Marankoz"/>
        <s v="Yasemin Ayyıldız"/>
        <s v="ALİ ÇUBUK"/>
        <s v="MURAT SHAFİİ"/>
        <s v="Emine Çelik"/>
        <s v="BİLAL OKAN"/>
        <s v="Melike Akkuzu"/>
        <s v="ÖMER BULUT"/>
        <s v="Muharrem Çubuk"/>
        <s v="Ayşe Dikmen"/>
        <s v="Sabri Gürsoy"/>
        <s v="Aslı Gür Yıldız"/>
        <s v="MEHMET AZAD ZENGİN"/>
        <s v="DENİZ BARUT"/>
        <s v="Yılmaz Zengin"/>
        <s v="Adnan Ertuğrul"/>
        <s v="Mehmet Aydın"/>
        <s v="SAADET BAHAR ŞİRİNER"/>
        <s v="Gül Önal"/>
        <s v="Aynur Şener"/>
        <s v="İmran Adaylar"/>
        <s v="SİNAN ATİNAR"/>
        <s v="Levent Kanber"/>
        <s v="Serap Usal"/>
        <s v="İLKER AHMET TATLIDİL"/>
        <s v="Abdulkadir Bilgiç"/>
        <s v="Muammer Kalay"/>
        <s v="Muhammed Tozlu"/>
        <s v="SELİM EROĞLU"/>
        <s v="Yasin Ahmet Torun"/>
        <s v="Mert Can Dinççetin"/>
        <s v="Elif Başer"/>
        <s v="Sevgi Alemdaroğlu"/>
        <s v="FATİH İLYAS ÖZCAN"/>
        <s v="Hürrem Yavuz"/>
        <s v="Alev Torun"/>
        <s v="NURGÜL GÖKTÜRK"/>
        <s v="ÖZLEM ŞİDE"/>
        <s v="Sayedmohammad Mırtaleb Esfarjanı"/>
        <s v="Umut Göğce"/>
        <s v="TALİB KATILMIŞ"/>
        <s v="NESRİN ÇİÇEK"/>
        <s v="Meliha Aksu"/>
        <s v="EMRAH İLHAN"/>
        <s v="Battal Emre Değer"/>
        <s v="Nevzatcan Dinçer"/>
        <s v="Emre Yücel"/>
        <s v="Tuğçe İlayda Gökalp"/>
        <s v="Recep Ziya Toros"/>
        <s v="İsmet Tekin"/>
        <s v="Harun Tekin"/>
        <s v="Begüm Taşkır"/>
        <s v="HALİL DEMİRKALA"/>
        <s v="SALİH BULUT"/>
        <s v="İbrahim Kaya"/>
        <s v="Hüseyin Atay"/>
        <s v="Beklan Gençer"/>
        <s v="Ayşe Eker"/>
        <s v="Sibel Güvenç"/>
        <s v="Yücel Karapınar"/>
        <s v="Adnan Tüylü"/>
        <s v="Burak Baydur"/>
        <s v="VELİ TURAN"/>
        <s v="Eyyüp Kaya"/>
        <s v="Müftah Terkan"/>
        <s v="Cihangir Akman"/>
        <s v="Resul Kürkçü"/>
        <s v="CİHAN DURMUŞ"/>
        <s v="KADİR ADA"/>
        <s v="Necip Örkün"/>
        <s v="ERGÜN SARIKAVAK"/>
        <s v="Yasin Turnal"/>
        <s v="ÖMER YETİK"/>
        <s v="Serhat Ekici"/>
        <s v="Zeynel Keskin"/>
        <s v="Ramazan Güler"/>
        <s v="Hasan Soner"/>
        <s v="Mehmet Topçu"/>
        <s v="Alime Karanfil"/>
        <s v="GÜL KEDİKLİ"/>
        <s v="Hüseyin Karaağaç"/>
        <s v="MERAL ÖZKAYKI"/>
        <s v="Yıldız Şenen"/>
        <s v="Büşra Anılmış"/>
        <s v="Serkan Tunç"/>
        <s v="KEVSER SİPAHİOĞLU"/>
        <s v="SÜREYYA PERİSANİ TUNÇ"/>
        <s v="Merih Seçil"/>
        <s v="ABDURRAHMAN KARAÇOR"/>
      </sharedItems>
    </cacheField>
    <cacheField name="Telefon" numFmtId="0">
      <sharedItems containsSemiMixedTypes="0" containsString="0" containsNumber="1" containsInteger="1">
        <n v="2.2223201E9"/>
        <n v="5.523763838E9"/>
        <n v="5.441602676E9"/>
        <n v="8.508404512E9"/>
        <n v="5.44262614E9"/>
        <n v="5.380933426E9"/>
        <n v="5.377449269E9"/>
        <n v="2.222342312E9"/>
        <n v="5.35911202E9"/>
        <n v="5.458789294E9"/>
        <n v="5.461962025E9"/>
        <n v="5.355003005E9"/>
        <n v="5.541918811E9"/>
        <n v="2.222213326E9"/>
        <n v="2.22322777E9"/>
        <n v="5.444632015E9"/>
        <n v="5.416921792E9"/>
        <n v="5.453569103E9"/>
        <n v="2.222309249E9"/>
        <n v="5.437640523E9"/>
        <n v="2.223852679E9"/>
        <n v="5.461232521E9"/>
        <n v="5.4491433E9"/>
        <n v="5.524240424E9"/>
        <n v="2.222215047E9"/>
        <n v="5.324867178E9"/>
        <n v="2.222212601E9"/>
        <n v="5.525007171E9"/>
        <n v="5.358778441E9"/>
        <n v="5.337761568E9"/>
        <n v="5.456606594E9"/>
        <n v="5.432761694E9"/>
        <n v="5.412208287E9"/>
        <n v="5.438920626E9"/>
        <n v="5.379480226E9"/>
        <n v="5.346520726E9"/>
        <n v="5.330373024E9"/>
        <n v="5.447844222E9"/>
        <n v="2.222258515E9"/>
        <n v="5.424645278E9"/>
        <n v="5.011234567E9"/>
        <n v="5.305530718E9"/>
        <n v="5.436938512E9"/>
        <n v="5.39724835E9"/>
        <n v="2.222211416E9"/>
        <n v="5.4514526E9"/>
        <n v="5.323210226E9"/>
        <n v="5.323806601E9"/>
        <n v="5.462345628E9"/>
        <n v="5.415472545E9"/>
        <n v="5.369880074E9"/>
        <n v="5.538221767E9"/>
        <n v="2.223229977E9"/>
        <n v="5.553296805E9"/>
        <n v="2.222372186E9"/>
        <n v="5.372274523E9"/>
        <n v="5.333752639E9"/>
        <n v="5.333074901E9"/>
        <n v="2.2232395E9"/>
        <n v="2.226148181E9"/>
        <n v="5.324147942E9"/>
        <n v="5.526323288E9"/>
        <n v="5.435061051E9"/>
        <n v="5.382600431E9"/>
        <n v="5.458720149E9"/>
        <n v="2.22323609E9"/>
        <n v="2.222255303E9"/>
        <n v="5.528775383E9"/>
        <n v="2.22322006E9"/>
        <n v="2.222100005E9"/>
        <n v="5.456190898E9"/>
        <n v="5.444477754E9"/>
        <n v="5.428999053E9"/>
        <n v="2.222241957E9"/>
        <n v="5.359291428E9"/>
        <n v="5.3492553E9"/>
        <n v="5.423602152E9"/>
        <n v="5.337134612E9"/>
        <n v="5.302000027E9"/>
        <n v="2.223100273E9"/>
        <n v="2.222266309E9"/>
        <n v="5.37744926E9"/>
        <n v="2.223235633E9"/>
        <n v="5.432242388E9"/>
        <n v="5.398856201E9"/>
        <n v="2.222050315E9"/>
        <n v="5.345962747E9"/>
        <n v="2.222397267E9"/>
        <n v="5.335822307E9"/>
        <n v="5.43423872E9"/>
        <n v="2.222399522E9"/>
        <n v="2.223215419E9"/>
        <n v="5.46240223E9"/>
        <n v="2.222392537E9"/>
        <n v="5.43334896E9"/>
        <n v="5.356512602E9"/>
        <n v="5.493306699E9"/>
        <n v="2.222343999E9"/>
        <n v="5.52609623E9"/>
        <n v="5.37471696E9"/>
        <n v="5.356001853E9"/>
        <n v="5.467670892E9"/>
        <n v="5.454914579E9"/>
        <n v="2.229991844E9"/>
        <n v="5.374473225E9"/>
        <n v="5.3874726E9"/>
        <n v="5.067396896E9"/>
        <n v="5.516925599E9"/>
        <n v="5.455017595E9"/>
        <n v="5.524809173E9"/>
        <n v="2.223400111E9"/>
        <n v="2.22220203E9"/>
        <n v="5.435322506E9"/>
        <n v="5.542631337E9"/>
        <n v="5.451010626E9"/>
        <n v="5.079653821E9"/>
        <n v="2.22290186E8"/>
        <n v="5.078206665E9"/>
        <n v="5.378872014E9"/>
        <n v="5.321636998E9"/>
        <n v="2.22321253E9"/>
        <n v="5.461032626E9"/>
        <n v="5.333715309E9"/>
        <n v="5.462265526E9"/>
        <n v="2.222267007E9"/>
        <n v="5.323824718E9"/>
        <n v="2.2223989E9"/>
        <n v="5.4566996E9"/>
        <n v="5.448908139E9"/>
        <n v="5.547101747E9"/>
        <n v="2.223403505E9"/>
        <n v="2.223224005E9"/>
        <n v="2.222333896E9"/>
        <n v="2.222502101E9"/>
        <n v="5.069633604E9"/>
        <n v="5.064031944E9"/>
        <n v="2.223321011E9"/>
        <n v="5.54572298E9"/>
        <n v="2.225028686E9"/>
        <n v="5.529434015E9"/>
        <n v="2.22239607E9"/>
        <n v="5.303677526E9"/>
        <n v="5.464886074E9"/>
        <n v="5.395072904E9"/>
        <n v="2.222393906E9"/>
        <n v="2.224056148E9"/>
        <n v="5.536962626E9"/>
        <n v="5.537697542E9"/>
        <n v="5.511074107E9"/>
        <n v="5.465505547E9"/>
        <n v="5.372058674E9"/>
        <n v="5.316909424E9"/>
        <n v="5.538437827E9"/>
        <n v="5.061435585E9"/>
        <n v="5.327875414E9"/>
        <n v="2.2299914E9"/>
        <n v="2.222278613E9"/>
        <n v="2.222203366E9"/>
        <n v="5.461000026E9"/>
        <n v="5.523106906E9"/>
        <n v="5.45941353E9"/>
        <n v="5.37216729E9"/>
        <n v="5.058790808E9"/>
        <n v="5.530448888E9"/>
        <n v="5.423738028E9"/>
        <n v="5.416106845E9"/>
        <n v="5.462211307E9"/>
        <n v="5.378257297E9"/>
        <n v="5.537780296E9"/>
        <n v="5.394822214E9"/>
        <n v="2.22220044E9"/>
        <n v="2.222202062E9"/>
        <n v="5.413470202E9"/>
        <n v="5.306012326E9"/>
        <n v="2.225020908E9"/>
        <n v="2.222209998E9"/>
        <n v="2.223222275E9"/>
        <n v="5.539876E9"/>
        <n v="5.013381616E9"/>
        <n v="5.352628977E9"/>
        <n v="5.388958809E9"/>
        <n v="5.461550049E9"/>
        <n v="2.222264721E9"/>
        <n v="2.224087893E9"/>
        <n v="5.527033431E9"/>
        <n v="5.302278282E9"/>
        <n v="5.52935781E9"/>
        <n v="5.528253826E9"/>
        <n v="5.4186026E9"/>
        <n v="5.36676439E9"/>
        <n v="5.30830258E9"/>
        <n v="2.222397156E9"/>
        <n v="5.528562026E9"/>
        <n v="5.4612701E9"/>
        <n v="5.071435857E9"/>
        <n v="5.337645044E9"/>
        <n v="5.309561965E9"/>
        <n v="5.078201051E9"/>
        <n v="2.222398483E9"/>
        <n v="5.303717105E9"/>
        <n v="2.222500421E9"/>
        <n v="5.300832848E9"/>
        <n v="5.336482379E9"/>
        <n v="5.366404019E9"/>
        <n v="2.222301544E9"/>
        <n v="2.222345258E9"/>
        <n v="5.545965628E9"/>
        <n v="2.222258256E9"/>
        <n v="2.223100201E9"/>
        <n v="2.225031111E9"/>
        <n v="5.325001412E9"/>
        <n v="5.537552671E9"/>
        <n v="2.223353333E9"/>
        <n v="2.222172717E9"/>
        <n v="5.446350026E9"/>
        <n v="2.227000066E9"/>
        <n v="2.222331311E9"/>
        <n v="2.222308322E9"/>
        <n v="2.222202877E9"/>
        <n v="2.222342929E9"/>
        <n v="5.451780026E9"/>
        <n v="5.356604615E9"/>
        <n v="2.223355035E9"/>
        <n v="2.224057071E9"/>
        <n v="2.223151111E9"/>
        <n v="2.223202938E9"/>
        <n v="2.225000066E9"/>
        <n v="5.497870594E9"/>
        <n v="5.337117866E9"/>
        <n v="2.222211414E9"/>
        <n v="2.2232245E9"/>
        <n v="5.352488282E9"/>
        <n v="2.224082589E9"/>
        <n v="2.222214525E9"/>
        <n v="5.467724504E9"/>
        <n v="5.312610028E9"/>
        <n v="5.462310037E9"/>
        <n v="5.342999496E9"/>
        <n v="5.538525057E9"/>
        <n v="2.222500305E9"/>
        <n v="2.222371296E9"/>
        <n v="2.224000006E9"/>
        <n v="5.520101461E9"/>
        <n v="5.523322646E9"/>
        <n v="5.367656805E9"/>
        <n v="5.07373555E9"/>
        <n v="2.222378005E9"/>
        <n v="5.013432634E9"/>
        <n v="5.423554445E9"/>
        <n v="2.22335352E9"/>
        <n v="2.222393902E9"/>
        <n v="2.223101212E9"/>
        <n v="2.222331616E9"/>
        <n v="5.528265326E9"/>
        <n v="5.32204591E9"/>
        <n v="5.320570294E9"/>
        <n v="5.452260237E9"/>
        <n v="2.2223399E9"/>
        <n v="5.327266945E9"/>
        <n v="2.22234495E9"/>
        <n v="5.013482626E9"/>
        <n v="5.525663126E9"/>
        <n v="2.223353344E9"/>
        <n v="2.222399696E9"/>
        <n v="5.367094081E9"/>
        <n v="2.22221001E9"/>
        <n v="2.223232321E9"/>
        <n v="5.376746287E9"/>
        <n v="5.44819611E9"/>
        <n v="2.222398828E9"/>
        <n v="5.530634999E9"/>
        <n v="5.46972266E9"/>
        <n v="2.223212788E9"/>
        <n v="2.222200221E9"/>
        <n v="2.222205282E9"/>
        <n v="5.544546644E9"/>
        <n v="5.457142627E9"/>
        <n v="5.353859212E9"/>
        <n v="5.307070937E9"/>
        <n v="2.223214046E9"/>
        <n v="2.222344831E9"/>
        <n v="5.46427959E8"/>
        <n v="5.367109309E9"/>
        <n v="5.348144324E9"/>
        <n v="2.223202737E9"/>
        <n v="5.07821847E9"/>
        <n v="5.382311093E9"/>
        <n v="5.465485545E9"/>
        <n v="2.222312722E9"/>
        <n v="5.531846576E9"/>
        <n v="5.525722695E9"/>
        <n v="2.222220026E9"/>
        <n v="2.223151551E9"/>
        <n v="5.357866678E9"/>
        <n v="2.222217999E9"/>
        <n v="2.22503304E9"/>
        <n v="5.350712764E9"/>
        <n v="5.510785383E9"/>
        <n v="5.616117277E9"/>
        <n v="5.531029147E9"/>
        <n v="5.448313732E9"/>
        <n v="2.223308939E9"/>
        <n v="2.223152315E9"/>
        <n v="5.323992666E9"/>
        <n v="5.333303746E9"/>
        <n v="5.304924953E9"/>
        <n v="2.22240561E9"/>
        <n v="2.222214943E9"/>
        <n v="5.558545614E9"/>
        <n v="5.445016618E9"/>
        <n v="5.416394979E9"/>
        <n v="5.333753243E9"/>
        <n v="2.22502707E9"/>
        <n v="5.013745406E9"/>
        <n v="5.318870585E9"/>
        <n v="5.434229627E9"/>
        <n v="5.322165577E9"/>
        <n v="2.222390158E9"/>
        <n v="5.301083583E9"/>
        <n v="2.222377575E9"/>
        <n v="2.222315121E9"/>
        <n v="2.222213915E9"/>
        <n v="5.544636989E9"/>
        <n v="2.223232851E9"/>
        <n v="5.326667723E9"/>
        <n v="5.51954929E9"/>
        <n v="2.22322505E9"/>
        <n v="5.524179417E9"/>
        <n v="5.369639063E9"/>
        <n v="5.444717658E9"/>
        <n v="2.223353516E9"/>
        <n v="5.46878194E9"/>
        <n v="5.433429699E9"/>
        <n v="5.013359526E9"/>
        <n v="2.222400088E9"/>
        <n v="5.557527221E9"/>
        <n v="5.316725626E9"/>
        <n v="5.382743426E9"/>
        <n v="5.427300626E9"/>
        <n v="5.32715619E9"/>
        <n v="5.332382867E9"/>
        <n v="2.222392646E9"/>
        <n v="5.4148926E9"/>
        <n v="5.314508303E9"/>
        <n v="5.526283031E9"/>
        <n v="2.222207123E9"/>
        <n v="5.352791245E9"/>
        <n v="5.516763032E9"/>
        <n v="2.222215645E9"/>
        <n v="5.42220051E9"/>
        <n v="5.459098866E9"/>
        <n v="5.354946989E9"/>
        <n v="5.393351823E9"/>
        <n v="2.222200085E9"/>
        <n v="5.425373131E9"/>
        <n v="2.222901549E9"/>
        <n v="5.321391222E9"/>
        <n v="2.222390393E9"/>
        <n v="5.068883962E9"/>
        <n v="2.222206867E9"/>
        <n v="5.528245164E9"/>
        <n v="2.222200992E9"/>
        <n v="5.4614426E9"/>
        <n v="5.434232985E9"/>
        <n v="5.41786107E8"/>
        <n v="5.07439698E9"/>
        <n v="5.348161599E9"/>
        <n v="2.223226252E9"/>
        <n v="5.306143842E9"/>
        <n v="2.222253661E9"/>
        <n v="5.413662656E9"/>
        <n v="2.2223125E9"/>
        <n v="5.455302526E9"/>
        <n v="2.222335101E9"/>
        <n v="2.222332952E9"/>
        <n v="2.223224243E9"/>
        <n v="2.223211171E9"/>
        <n v="5.323005757E9"/>
        <n v="2.222211221E9"/>
        <n v="2.222330708E9"/>
        <n v="2.222213454E9"/>
        <n v="5.388383778E9"/>
        <n v="2.225027626E9"/>
        <n v="5.53429868E9"/>
        <n v="5.510835078E9"/>
        <n v="5.073695868E9"/>
        <n v="2.22221705E9"/>
        <n v="5.523293319E9"/>
        <n v="2.22226451E9"/>
        <n v="5.322845992E9"/>
        <n v="2.223208202E9"/>
        <n v="5.452552615E9"/>
        <n v="5.300188135E9"/>
        <n v="5.3331056E9"/>
        <n v="5.389415379E9"/>
        <n v="5.469251906E9"/>
        <n v="5.079519127E9"/>
        <n v="5.539075064E9"/>
        <n v="5.436221965E9"/>
        <n v="2.223228483E9"/>
        <n v="5.342260334E9"/>
        <n v="5.548010704E9"/>
        <n v="5.304942107E9"/>
        <n v="5.495890222E9"/>
        <n v="5.457269126E9"/>
        <n v="5.493150045E9"/>
        <n v="5.532057602E9"/>
        <n v="5.538902626E9"/>
        <n v="2.222209657E9"/>
        <n v="2.22220054E9"/>
        <n v="2.222313508E9"/>
        <n v="2.223227744E9"/>
        <n v="5.320664262E9"/>
        <n v="5.334975761E9"/>
        <n v="2.222262666E9"/>
        <n v="5.347809303E9"/>
        <n v="5.432419097E9"/>
        <n v="5.07660051E9"/>
        <n v="5.432920605E9"/>
        <n v="5.454174166E9"/>
        <n v="5.510574466E9"/>
        <n v="5.365772644E9"/>
        <n v="5.454225657E9"/>
        <n v="5.525865451E9"/>
        <n v="5.392577096E9"/>
        <n v="5.528863026E9"/>
        <n v="5.441234026E9"/>
        <n v="2.222343401E9"/>
        <n v="2.223404663E9"/>
        <n v="2.223230026E9"/>
        <n v="5.465462627E9"/>
        <n v="5.396190272E9"/>
        <n v="2.222505022E9"/>
        <n v="5.526527226E9"/>
        <n v="5.394330126E9"/>
        <n v="5.337630379E9"/>
        <n v="2.2223442E9"/>
        <n v="5.459468643E9"/>
        <n v="2.222334672E9"/>
        <n v="5.013281226E9"/>
        <n v="2.22226203E8"/>
        <n v="2.222051132E9"/>
        <n v="5.325588556E9"/>
        <n v="5.076087642E9"/>
        <n v="2.222292E9"/>
        <n v="5.538900694E9"/>
        <n v="2.223202038E9"/>
        <n v="2.22500007E9"/>
        <n v="2.223101021E9"/>
        <n v="2.223202021E9"/>
        <n v="5.332312879E9"/>
        <n v="5.059588884E9"/>
        <n v="5.365809299E9"/>
        <n v="2.222371777E9"/>
        <n v="5.063144739E9"/>
        <n v="5.364576969E9"/>
        <n v="5.456858527E9"/>
        <n v="5.522610026E9"/>
        <n v="2.222271646E9"/>
        <n v="5.432602661E9"/>
        <n v="5.452602661E9"/>
        <n v="5.433611476E9"/>
        <n v="5.423102168E9"/>
        <n v="2.222308234E9"/>
        <n v="2.222390101E9"/>
        <n v="2.222342565E9"/>
        <n v="5.068879452E9"/>
        <n v="2.222332126E9"/>
        <n v="5.449348018E9"/>
        <n v="5.538932618E9"/>
        <n v="2.225025655E9"/>
        <n v="2.222172645E9"/>
        <n v="2.222331033E9"/>
        <n v="2.223201818E9"/>
        <n v="5.32360146E9"/>
        <n v="5.372088183E9"/>
        <n v="5.372136686E9"/>
        <n v="5.39289163E9"/>
        <n v="5.327238459E9"/>
        <n v="5.34408087E9"/>
        <n v="2.222262036E9"/>
        <n v="5.320566815E9"/>
        <n v="5.309419538E9"/>
        <n v="2.223305522E9"/>
        <n v="2.223220045E9"/>
        <n v="5.377679777E9"/>
        <n v="2.223303353E9"/>
        <n v="2.222261326E9"/>
        <n v="2.222306356E9"/>
        <n v="5.38615034E9"/>
        <n v="2.222314433E9"/>
        <n v="5.432602226E9"/>
        <n v="5.417832414E9"/>
        <n v="2.222330112E9"/>
        <n v="5.050390158E9"/>
        <n v="5.059018671E9"/>
        <n v="5.44768978E9"/>
        <n v="5.539140042E9"/>
        <n v="2.224442605E9"/>
        <n v="2.222301199E9"/>
        <n v="2.223223E9"/>
        <n v="2.222316262E9"/>
        <n v="2.222203501E9"/>
        <n v="2.222201268E9"/>
        <n v="5.537674001E9"/>
        <n v="5.337268826E9"/>
        <n v="5.523158026E9"/>
        <n v="2.222335152E9"/>
        <n v="2.223358888E9"/>
        <n v="5.528584226E9"/>
        <n v="5.351050035E9"/>
        <n v="2.222335353E9"/>
        <n v="5.337265234E9"/>
        <n v="2.223221232E9"/>
        <n v="5.386778626E9"/>
        <n v="2.222399988E9"/>
        <n v="5.550980026E9"/>
        <n v="5.050895007E9"/>
        <n v="5.453532606E9"/>
        <n v="5.314722726E9"/>
        <n v="2.22333066E9"/>
        <n v="5.516008418E9"/>
        <n v="2.22321114E9"/>
        <n v="5.013682633E9"/>
        <n v="2.222501265E9"/>
        <n v="1.23456789E8"/>
        <n v="5.38503325E9"/>
        <n v="5.526483098E9"/>
        <n v="2.222490403E9"/>
        <n v="5.071782278E9"/>
        <n v="5.525515026E9"/>
        <n v="2.222218176E9"/>
        <n v="5.335241674E9"/>
        <n v="2.223209988E9"/>
        <n v="2.22234662E9"/>
        <n v="2.222215042E9"/>
        <n v="5.389565418E9"/>
        <n v="2.223303525E9"/>
        <n v="2.22239058E9"/>
        <n v="2.222399449E9"/>
        <n v="5.461380101E9"/>
        <n v="5.324408584E9"/>
        <n v="2.222303726E9"/>
        <n v="5.068207704E9"/>
        <n v="5.432626772E9"/>
        <n v="2.222347524E9"/>
        <n v="5.446316829E9"/>
        <n v="2.223357036E9"/>
        <n v="2.223330177E9"/>
        <n v="5.071366718E9"/>
        <n v="5.366780926E9"/>
        <n v="5.38612909E9"/>
        <n v="2.223226642E9"/>
        <n v="5.331592131E9"/>
        <n v="5.382769447E9"/>
        <n v="5.435080326E9"/>
        <n v="5.074336691E9"/>
        <n v="5.448342627E9"/>
        <n v="5.33262644E9"/>
        <n v="5.53739025E9"/>
        <n v="5.51194916E9"/>
        <n v="5.465422296E9"/>
        <n v="2.222337023E9"/>
        <n v="2.222300303E9"/>
        <n v="5.324086122E9"/>
        <n v="2.223220021E9"/>
        <n v="2.222291836E9"/>
        <n v="2.226060909E9"/>
        <n v="5.076588086E9"/>
        <n v="2.223228678E9"/>
        <n v="5.360604093E9"/>
        <n v="2.223230565E9"/>
        <n v="2.223200885E9"/>
        <n v="5.467302626E9"/>
        <n v="5.070066166E9"/>
        <n v="2.222335171E9"/>
        <n v="2.22502505E9"/>
        <n v="2.222252002E9"/>
        <n v="2.222269994E9"/>
        <n v="5.412057525E9"/>
        <n v="2.222902525E9"/>
        <n v="2.22320223E9"/>
        <n v="5.398540105E9"/>
        <n v="5.445965628E9"/>
        <n v="2.222240407E9"/>
        <n v="5.444861164E9"/>
        <n v="2.222257979E9"/>
        <n v="5.346474039E9"/>
        <n v="5.321332484E9"/>
        <n v="5.308955526E9"/>
        <n v="5.547551178E9"/>
        <n v="2.223220232E9"/>
        <n v="5.39575991E9"/>
        <n v="2.222393911E9"/>
        <n v="2.22340011E9"/>
        <n v="2.222338062E9"/>
        <n v="2.222371414E9"/>
        <n v="5.39216558E9"/>
        <n v="2.22250506E9"/>
        <n v="5.342653842E9"/>
        <n v="2.223355045E9"/>
        <n v="2.222501436E9"/>
        <n v="5.511463657E9"/>
        <n v="5.548529011E9"/>
        <n v="5.077920092E9"/>
        <n v="5.320616628E9"/>
        <n v="2.222200045E9"/>
        <n v="2.222341155E9"/>
        <n v="2.22229005E9"/>
        <n v="5.545042525E9"/>
        <n v="5.388881717E9"/>
        <n v="5.52234555E9"/>
        <n v="2.223303031E9"/>
        <n v="5.451269208E9"/>
        <n v="5.335261881E9"/>
        <n v="5.526238262E9"/>
      </sharedItems>
    </cacheField>
    <cacheField name="İLÇE" numFmtId="0">
      <sharedItems>
        <s v="Odunpazarı"/>
        <s v="Tepebaşı"/>
      </sharedItems>
    </cacheField>
    <cacheField name="MAHALLE" numFmtId="0">
      <sharedItems>
        <s v="Kurtuluş"/>
        <s v="Hoşnudiye"/>
        <s v="Yenidoğan"/>
        <s v="Eskibağlar"/>
        <s v="Batıkent"/>
        <s v="İstiklal"/>
        <s v="Emek"/>
        <s v="Osmangazi"/>
        <s v="Kırmızıtoprak"/>
        <s v="Cumhuriye"/>
        <s v="Arifiye"/>
        <s v="Yenibağlar"/>
        <s v="Büyükdere"/>
        <s v="Şirintepe"/>
        <s v="Cumhuriyet"/>
        <s v="Ömerağa"/>
        <s v="71 Evler 1. Bölge"/>
        <s v="Ihlamurkent"/>
        <s v="Yeşiltepe"/>
        <s v="Vişnelik"/>
        <s v="Bahçelievler"/>
        <s v="Sütlüce"/>
        <s v="Tunalı"/>
        <s v="Alanönü"/>
        <s v="Güllük"/>
        <s v="Kumlubel"/>
        <s v="Zafer"/>
        <s v="Mustafa Kemal Paşa"/>
        <s v="Gökmeydan"/>
        <s v="Paşa"/>
        <s v="Akarbaşı"/>
        <s v="Çamlıca"/>
        <s v="Vadişehir"/>
        <s v="Ertuğrulgazi"/>
        <s v="Uluönder"/>
        <s v="Fatih"/>
        <s v="Çankaya"/>
        <s v="Anadolu Üniversitesi Acikögretim Fakültesi"/>
        <s v="Deliklitaş"/>
        <s v="Yenikent"/>
        <s v="Yıldıztepe"/>
        <s v="71 Evler 2. Bölge"/>
        <s v="Şarhöyük"/>
        <s v="71 Evler Boş"/>
        <s v="Gültepe"/>
        <s v="Sümer"/>
        <s v="Esentepe"/>
        <s v="Huzur"/>
        <s v="Mamure"/>
        <s v="Şeker"/>
        <s v="Aşağı Söğütönü"/>
      </sharedItems>
    </cacheField>
    <cacheField name="ADRES" numFmtId="0">
      <sharedItems>
        <s v="KURTULUŞ MAH/SEMT ZİYA PAŞA CAD. NO: 77 B ODUNPAZARI/ ESKİŞEHİR"/>
        <s v="HOŞNUDİYE MAH. BAYRAK SK. NO: 8 C- İÇ KAPI NO: - TEPEBAŞI/ ESKİŞEHİR"/>
        <s v="Erenköy Mahallesi, Sevinç Caddesi 12/A Odunpazarı/Eskişehir"/>
        <s v="Hoşnudiye mah.770.sok.no:4 c103 Cassaba, Modern AVM, 26030 Tepebaşı"/>
        <s v="Eskibağlar mah. Kumlubel sk. No:8 Tepebaşı/Eskişehir"/>
        <s v="Batıkent Mah. Dizili Sok. No:11 Tepebaşı/ Eskişehir"/>
        <s v="Kırmızıtoprak Mahallesi, Mustafa Kemal Atatürk Caddesi no: 95 / A"/>
        <s v="Cumhuriyet Mah., Tepebaşı, Eskişehir, Türkiye,"/>
        <s v="İstiklal, Mustafa Kemal Atatürk Cd No:68, 26000 Odunpazarı/Eskişehir"/>
        <s v="Emek Mah. Dilek Caddesi No:17/A Odunpazarı Eskişehir"/>
        <s v="Osmangazi Mah. Basın Şehitleri Cad. No:275 C Odunpazarı Eskişehir"/>
        <s v="Kırmızıtoprak mah. Mustafa Kemal Atatürk Cad. No: 95 / c Odunpazarı / Eskişehir"/>
        <s v="Cumhuriye Mah. Tersel Sk. No: 6 D Tepebaşı/Eskişehir"/>
        <s v="Arifiye, Tayfun Sk. No:3-D, 26000 Odunpazarı/Eskişehir"/>
        <s v="Yenibağlar, No:, Martı Sk. No:17, 26170 Tepebaşı/Eskişehir"/>
        <s v="Eskibağlar, Oğuz Sk. No:6/B, 26020 Eskişehir Merkez/Eskişehir"/>
        <s v="Yenibağlar Mah., Martı Sok., No:17/B, Tepebaşı, Eskişehir, Türkiye,"/>
        <s v="Büyükdere Mah. Millet Cad. No: 66 A Odunpazarı / Eskişehir"/>
        <s v="Hoşnudiye Mh. Sahilyolu Sk. Adalar No:20"/>
        <s v="İstiklal Mah. Şirin Sok. No:45 A Odunpazarı Eskişehir"/>
        <s v="İstiklal Mah. Akınlar Sok. No:29 A Odunpazarı/ Eskişehir"/>
        <s v="İstiklal Mah. Başarılı Sok. No:17 E Odunpazarı Eskişehir"/>
        <s v="Şirintepe Mah. Yaylapınar Cad. NO: 96/ A TEPEBAŞI/ ESKİŞEHİR"/>
        <s v="Hoşnudiye, İstasyon Cd. No:41, 26130 Tepebaşı/Eskişehir"/>
        <s v="Hoşnudiye, 36, Vural Sk., 26130 Tepebaşı/Eskişehir"/>
        <s v="Cumhuriye Mah. Cengiz Topel Cad. No:80 B Tepebaşı Eskişehir"/>
        <s v="Cumhuriye mah. Zübeyde Hanım Cad. No: 4/A Tepebaşı/Eskişehir"/>
        <s v="Hoşnudiye, Ay Lounge Altı, Şahin Cd. No:76/C, 26130 Tepebaşı/Eskişehir"/>
        <s v="Cumhuriye Mah. Yaprak Sk. No:6A Tepebaşı/Eskişehir"/>
        <s v="Cumhuriye mah. Zübeyde Hanım Cad. No: 26/A Tepebaşı/Eskişehir"/>
        <s v="71 Evler Mahallesi Kafkas Caddesi 69/D Odunpazarı Eskişehir"/>
        <s v="71 Evler Mahallesi Tarih Bulvarı No:43/B Odunpazarı Eskişehir"/>
        <s v="Ihlamurkent Mah. Nevruz cad. No:42/EB Odunpazarı/Eskişehir"/>
        <s v="Emek, Ertaş Blv. No:111, 26080 Odunpazarı/Eskişehir"/>
        <s v="Batıkent Mah. Liman Cad. No:32 A Tepebaşı/ Eskişehir"/>
        <s v="BÜYÜKDERE MAH. KAPLANLI CAD. NO: 77 A ODUNPAZARI/ ESKİŞEHİR"/>
        <s v="Büyükdere, Fakülte Sok. 5/C, Odunpazarı/Eskişehir"/>
        <s v="Yaylapınar caddesi no 7 c Tepebaşı Eskişehir"/>
        <s v="Yeşiltepe Mah. Bilgeç Cad. No:36C Tepebaşı/Eskişehir"/>
        <s v="Akarbaşı Mah. Emeksiz Sok . No :2 Odunpazarı / Eskişehir"/>
        <s v="Batıkent Mahallesi Kardak sokak No:13/B Tepebaşı Eskişehir"/>
        <s v="Bahçelievler Mah. Prof. Dr. Orhan Oğuz Cad. No:31 C Tepebaşı/ Eskişehir"/>
        <s v="Sütlüce Mah. Eğitimciler Cad. No : 61b Tepebaşı/Eskişehir"/>
        <s v="Tunalı Mah. Sakarya 2 cad. no:60/b Tepebaşı/Eskişehir"/>
        <s v="Vişnelik, Öğretmenler Blv no:97/A, 26020 Odunpazarı/Eskişehir"/>
        <s v="Cumhuriyet Mah. Kırım Cad. No:6 C Tepebaşı/ Eskişehir"/>
        <s v="Yeni bağlar mah, Yılmaz Büyükerşen Blv No:B, 26000 Tepebaşı/Eskişehir"/>
        <s v="VİŞNELİK MAH . ÖĞRETMENLER CAD . NO :5/B . odunlukpazarı/eskişehir"/>
        <s v="Yenibağlar Mah. Sevingil Sok. No:3 A Tepebaşı / Eskişehir"/>
        <s v="Cumhuriye Mah. Başkan Sok. No: 41 A Tepebaşı / Eskişehir"/>
        <s v="Arifiye Mah. Süleyman Çakır Cad. No:5 D Odunpazarı / Eskişehir"/>
        <s v="yenibağlar mah, Seylap Cd. no 9 D:b, 26160 Tepebaşı/Eskişehir"/>
        <s v="Kurtuluş Mah. Şıngır Sok. No:27 B Odunpazarı / Eskişehir"/>
        <s v="Yenibağlar Mah. Kadı Sok. A No:24 İç Kapı No:3 Tepebaşı/ Eskişehir"/>
        <s v="Eskibağlar Mah.Prof. Dr. Yılmaz Büyükerşen Blv. No: 36 A Tepebaşı / Eskişehir"/>
        <s v="Eskibağlar mah. Sakman Sok. No:12/E Tepebaşı/Eskişehir"/>
        <s v="Yenidoğan Mah. Ali Rıza Efendi Cad. No:22 A İç kapı no: 17 Odunpazarı/ Eskişehir"/>
        <s v="Yenidoğan mah. Ali Rıza Efendi Cad. No:26/A Odunpazarı/Eskişehir"/>
        <s v="İstiklal, Başarılı Sk. NO:4A/1, 26010 Odunpazarı/Eskişehir"/>
        <s v="Alanönü Mah. Hicri Sezen Cad. No:10 Oduzpazarı/Eskişehir"/>
        <s v="Güllük Mah. Çamlıca sok.No:21/A Tepebaşı/Eskişehir"/>
        <s v="Eskibağlar Mah. Talatpaşa Sok. No:59 A Tepebaşı Eskişehir"/>
        <s v="Güllük Mah. Çamlıca sok.No:21/B Tepebaşı/Eskişehir"/>
        <s v="Güllük, Çamlıca Sk. No:21 D:b, 26170 Tepebaşı/Eskişehir"/>
        <s v="Büyükdere Mah. Nisan Sok. No:29 D Odunpazarı /Eskişehir"/>
        <s v="Arifiye Mah. Özger Sok. No:12 F Odunpazarı Eskişehir"/>
        <s v="Yenibağlar Mah. Balkan Cad. No:107 /1 Tepebaşı/ Eskişehir"/>
        <s v="BATIKENT MAH. KISMETTEPE SK. NO: 10 A TEPEBASI/ ESKISEHIR"/>
        <s v="Güllük Mah. Alaç Sok. No:12/C Tepebaşı/Eskişehir"/>
        <s v="Vişnelik, Öğretmenler Blv No:8, 26020 Odunpazarı/Eskişehir"/>
        <s v="Kumlubel Mah. Ashap Sok. No:24 A Tepebaşı/Eskişehir"/>
        <s v="Zafer Mah. Gaffar Okkan Cad. No:96 A Tepebaşı/ Eskişehir"/>
        <s v="Hoşnudiye Mah. Cengiz Topel Cad. No:59 Tepebaşı Eskişehir"/>
        <s v="Tunalı Mah. Pehlivanlar Sok. No:5 A Tepebaşı Eskişehir"/>
        <s v="Emek Mah. 2. Arabacılar Cad. No:207 A Odunpazarı Eskişehir"/>
        <s v="Batıkent mahallesi. Dizili sokak . No:25 Tepebaşı / Eskişehir"/>
        <s v="Vişnelik Mah. Atatürk Blv. No:108/C Odunpazarı/Eskişehir"/>
        <s v="İhsaniye Mah Sivrihisar 1 Cad. No:21 A Tepebaşı/Eskişehir"/>
        <s v="Eskibağlar Mah. Nazif Yörükçü Sk No:49 A Tepebaşı/Eskişehir"/>
        <s v="Güllük Mah. Gedik Çıkmazı Sok. No:7/A Tepebaşı/Eskişehir"/>
        <s v="Şirintepe Mah. İsmet İnönü 2 Cad. No: 88 Tepebaşı/ Eskişehir"/>
        <s v="Gökmeydan Mah. Ondokuz Mayıs Cad. No:104/A Odunpazarı/ Eskişehir"/>
        <s v="Şirintepe Mah Örme sok. no:138/ B Tepebaşı/Eskişehir"/>
        <s v="Vişnelik, Erdinçler Sk. No:4, 26020 Odunpazarı/Eskişehir"/>
        <s v="Kırmızıtoprak mah. Mustafa Kemal Atatürk Cad. No: 95 /A Odunpazarı / Eskişehir"/>
        <s v="Ömerağa Mah. Övünme Sok. No:6 A Tepebaşı / Eskişehir"/>
        <s v="Eskibağlar Mah. Genez Sk. No:38 I Tepebaşı/Eskişehir"/>
        <s v="Yeşiltepe Mah. Bilgeç Cad. No:41/C Tepebaşı/Eskişehir"/>
        <s v="Yenibağlar, Sapanca Sk., 26170 Tepebaşı/Eskişehir"/>
        <s v="GÜLLÜK MAH. BAYSAL SK. NO: 68 A TEPEBAŞI/ ESKİŞEHİR"/>
        <s v="Büyükdere Mah. Millet Cad. No:2 Odunpazarı/Eskişehir"/>
        <s v="HOŞNUDİYE MAH. İSKENDER SK. NO: 8 /1A TEPEBAŞI/ ESKİŞEHİR"/>
        <s v="Paşa Mah. Beyler Sok. No:3 Odunpazarı/Eskişehir"/>
        <s v="Eskibağlar Mah. Yenilik Sok. No:26 A Tepebaşı / Eskişehir"/>
        <s v="Bahçelievler Mah. Dumanlı Sok. No:2 Tepebaşı /Eskişehir"/>
        <s v="Büyükdere mah. Kaplanlı cad. 49/B Odunpazarı/Eskişehir"/>
        <s v="Akarbaşı Mah. t.güngör cad. No: 27/A Tepebaşı/Eskişehir"/>
        <s v="Bahçelievler mahallesi İstanbul sokak no:27/A Tepebaşı /Eskişehir"/>
        <s v="Güllük Mah. Çamlıca Sok. No:21/B Tepebaşı/Eskişehir"/>
        <s v="Tunalı Mah. Sakarya 2 Cad. No:60 C Tepebaşı / Eskişehir"/>
        <s v="İSTİKLAL MAH. BAŞARILI SK. NO: 7 B ODUNPAZARI/ESKİŞEHİR"/>
        <s v="BÜYÜKDERE MAH. PROF. DR. NABİ AVCI BLV. TURUNÇ KONUT Y. KP. NO: 39 B ODUNPAZARI/ ESKİŞEHİR"/>
        <s v="Eskibağlar Mah. Balkan Cad. No: 71/ B Tepebaşı/Eskişehir"/>
        <s v="GÜLLÜK MAH. TALAT PAŞA SK. NO: 80 A TEPEBAŞI/ ESKİŞEHİR"/>
        <s v="Hoşnudiye Mah. Kadife Çiçeği Sok. No:2/A Tepebaşı Eskişehir"/>
        <s v="Sütlüce, İstiklal Cd. No:62, 26210, 26210 Tepebaşı/Eskişehir"/>
        <s v="Eskibağlar, Genez Sk. no 34, 26100 Tepebaşı/Eskişehir"/>
        <s v="Güllük mah. Hatboyu 1 cad. no:31/D TEPEBAŞI/ESKİŞEHİR"/>
        <s v="Emek Mah. Dilek Cad. No:2 A Odunpazarı Eskişehir"/>
        <s v="Güllük Mah. Sakarya 2 Cad. No:45 A Tepebaşı / Eskişehir"/>
        <s v="Hoşnudiye, Kızılcıklı M. Pehlivan Cd. No:37 D:E, 26100 Tepebaşı/Eskişehir"/>
        <s v="Emek Mah. Ertaş Cad. Özcanlar Apt No:220 A Odunpazarı Eskişehir"/>
        <s v="Eskibağlar Mah. Hatboyu 1 Cad. No:2 Tepebaşı / Eskişehir"/>
        <s v="Arifiye Mah. Hamamyolu Cad. No:74/11 B Blok Odunpazarı Eskişehir"/>
        <s v="ÇAMLICA MAH. ULUSAL EGEMENLİK BLV. NO: 68 A TEPEBAŞI/ ESKİŞEHİR"/>
        <s v="Hoşnudiye, Tacin Sk. No:18, 26130 Tepebaşı/Eskişehir"/>
        <s v="Yenibağlar Mah. Beraberlik Sok. No:19 A Tepebaşı Eskişehir"/>
        <s v="Çankaya Mah. Özlem Cad. No:9/A Odunpazarı/Eskişehir"/>
        <s v="Batıkent Mah. Çamören Sok. B Blok 5/C TEPEBAŞI/ESKİŞEHİR"/>
        <s v="Vadişehir Mahallesi.Nilüfer Caddesi. 75/ M Blok. No: 9 Odunpazarı / Eskişehir"/>
        <s v="Orhangazi Mah. Kütahya Yolu Meydanı A Blok No:87/A Odunpazarı / Eskişehir"/>
        <s v="Bahçelievler Mah. Prof. Dr. Orhan Oğuz Cad. No:95 B Tepebaşı Eskişehir"/>
        <s v="Emek MH. Öztürkler Sk. No.1/E Odunpazarı/ESKİŞEHİR"/>
        <s v="Vişnelik Mah. Erdinçler Sok. No:1 A Odunpazarı Eskişehir"/>
        <s v="Güllük, Sakarya-2 Cd. No:65 D:E, 26170 Tepebaşı/Eskişehir"/>
        <s v="BAHÇELİEVLER MAH. PROF.DR. ORHAN OĞUZ CAD. NO: 15 A TEPEBAŞI/ ESKİŞEHİR"/>
        <s v="Büyükdere, Kaplanlı Cd No 10 A, 26040 Odunpazarı/Eskişehir"/>
        <s v="Batıkent Mah. Prof. Dr. Nusret Fişek Sok. No:2 Tepebaşı Eskişehir"/>
        <s v="Büyükdere Mah. Sarımeşe Sok. No:4 A Odunpazarı Eskişehir"/>
        <s v="İstiklal Mahallesi Başarılı Sokak No:1 D Odunpazarı / Eskişehir"/>
        <s v="Vişnelik Mah. Öğretmenler Cad. No:47 B Odunpazarı/Eskişehir"/>
        <s v="Büyükdere, Millet Cd. No:15 Odunpazarı/Eskişehir"/>
        <s v="Büyükdere, Millet Cd. No:15, 26040 Odunpazarı/Eskişehir"/>
        <s v="Şirintepe Mah. İsmet İnönü-2 Cad. No:60 B Tepebaşı/ Eskişehir"/>
        <s v="Çamlıca Mah. Birlik Cad. No:91 B Tepebaşı/ Eskişehir"/>
        <s v="Bahçelievler, Prof. Dr. Orhan Oğuz Cd. No:113, 26120 Tepebaşı/Eskişehir"/>
        <s v="Hoşnudiye, Cengiz Topel-1 Cd. No:5 D:C, 26130 Tepebaşı/Eskişehir"/>
        <s v="Emek Mahallesi Dilek Caddesi Numara 6/A 26080 Odunpazarı/Eskişehir Türkiye"/>
        <s v="Hoşnudiye Mh. Tacin Sk. No:5/B"/>
        <s v="Güllük, Bacı Sk. No:10, 26190 Tepebaşı/Eskişehir"/>
        <s v="Hoşnudiye mh. Cengiz Topel Cd. No:61A Tepebaşı Eskişehir"/>
        <s v="Hoşnudiye mahallesi istasyon cad no :37 / c Eskişehir / Tepebaşı"/>
        <s v="Yenibağlar mah. Balkan Cad. No:123/A Tepebaşı /Eskişehir"/>
        <s v="Uluönder Mah. Sultan Sok. No:9/A Tepebaşı / Eskişehir"/>
        <s v="Büyükdere, MERKEZ CARSI N:4, Osmangazi Ünv., 26040 Odunpazarı/Eskişehir"/>
        <s v="Bahçelievler Mah. Prof.Dr.OrhanOğuz Cd. No:17 A Tepebaşı/Eskişehir"/>
        <s v="Büyükdere Mah. Papatyalar Sok. No:30 B Odunpazarı Eskişehir"/>
        <s v="Şirintepe Mah. Yaylapınar Sok. No:96 B Tepebaşı Eskişehir"/>
        <s v="Büyükdere Mah. Millet Cad. No:104 Odunpazarı/Eskişehir"/>
        <s v="Arifiye Mahallsi, Tayfun Sokak, No:25/A Odunpazarı, Eskişehir"/>
        <s v="İstiklal mah. ertuğrulbey sok. no:15/a eskişehir odunpazarı"/>
        <s v="Hoşnudiye Mah. Vural Sok. No:52 Tepebaşı Eskişehir"/>
        <s v="Cumhuriye mah. Dinçel Sok. No: 10/A Tepebaşı/Eskişehir"/>
        <s v="İstiklal Mah. Porsuk Bulvarı No:69/A Odunpazarı/Eskişehir"/>
        <s v="Emek mah. Ziya Gökalp Cad. B blok No: 66/A Eskişehir/Odunpazarı"/>
        <s v="Uluönder mahallesi Selva sokak B1 blok No 8A Tepebaşı Eskişehir"/>
        <s v="Hoşnudiye Mah. İsmetinönü-1 Cad. No:67 A İç Kapı No:8 Tepebaşı / Eskişehir"/>
        <s v="Eskibağlar Mah. Kumlubel Sok. No:8 B Tepebaşı Eskişehir"/>
        <s v="Eskibağlar Mah. Sakman Sok. No:29 B Tepebaşı/Eskişehir"/>
        <s v="Fatih Mah. Prof. Dr. Orhan Oğuz Cad. No: 50A Tepebaşı/Eskişehir"/>
        <s v="Gökmeydan Mah. Şükürtepe Sok. No:20 Odunpazarı / Eskişehir"/>
        <s v="Hoşnudiye Mah. Porsuk Blv. Sahil yolu no:10 Tepebaşı /Eskişehir"/>
        <s v="Hoşnudiye, İsmet İnönü-1 Blv No:57, 26130 Tepebaşı/Eskişehir KANATLI AVM"/>
        <s v="Eskibağlar Mah. Sakman Sok. No:11/1 Tepebaşı / Eskişehir"/>
        <s v="Eskibağlar mah. Genez sk. no:95 Eskişehir/Tepebaşı"/>
        <s v="Yenibağlar Mh. Sevingil Sk. No:1/A Tepebaşı, Eskişehir, Türkiye,"/>
        <s v="ESKİBAĞLAR MAH. GENEZ SK. NO: 38 D TEPEBAŞI/ ESKİŞEHİR"/>
        <s v="Arifiye Mah. İki Eylül Cad. No:15 A Odunpazarı / Eskişehir"/>
        <s v="İstiklal, Başarılı Sk. No:10, 26010 Odunpazarı"/>
        <s v="Gökmeydan Mh. Cumhuriyet Blv. No:197 Odunpazarı/Eskişehir"/>
        <s v="nilufer caddesi no 5/b 26210 Eskişehir"/>
        <s v="Ziya Paşa Caddesi, 18 Kurtuluş, Odunpazarı, Eskişehir"/>
        <s v="Büyükdere Mah. Fakülte Sok. No:48 B Odunpazarı / Eskişehir"/>
        <s v="Güllük Mh. Balkan cad. no:13 /a Tepebaşı/Eskişehir"/>
        <s v="VİŞNELİK MAHALLESİ ATATÜRK BULVARI NO:112/B ODUNPAZARI ESKİŞEHİR"/>
        <s v="Cumhuriye Mahallesi, Zübeyde Hanım Cd. No:4/A"/>
        <s v="Yenibağlar Mah. Prof. Dr. Yılmaz Büyükerşen Blv. No:158 A Tepebaşı Eskişehir"/>
        <s v="Deliklitaş Mah. Deliklitaş Cad. No:74 A Odunpazarı/ Eskişehir"/>
        <s v="Yenibağlar Mah. Eti Cad. No:39 D Tepebaşı / Eskişehir"/>
        <s v="Deliklitaş, Yunus Emre Cd. No:93 D:B Odunpazarı/Eskişehir"/>
        <s v="Yenibağlar Mh, Yılmaz Büyükerşen Blv No:146 Tepebaşı/Eskişehir"/>
        <s v="Arifiye Mah. Adliyeciler Sok. No:14 A Odunpazarı Eskişehir"/>
        <s v="Çamlıca mahallesi Gündüz ökçün bulvarı No : 163 B Tepebaşı Eskişehir"/>
        <s v="Güllük mahallesi Baysal sokak no: 69 A Tepebaşı Eskişehir"/>
        <s v="Büyükdere mah. Vezirköprü sk. 19/A Odunpazarı/Eskişehir"/>
        <s v="Arifiye Mah. Tayfun Sok. No:37 A Odunpazarı Eskişehir"/>
        <s v="Eski bağlar mahallesi prof doktor Yılmaz Büyükerşen bulvarı no 16/A tepebaşı Eskişehir"/>
        <s v="Kırmızıtoprak Mah. Ercan Sok. No:5/A Odunpazarı/Eskişehir"/>
        <s v="Arifiye, Korkmaz Sk. No:7, 26010 Odunpazarı/Eskişehir"/>
        <s v="cumhuriye mah başkan sok 41A"/>
        <s v="İstiklal Mah. Yalaman Sok. No:25 A Odunpazarı Eskişehir"/>
        <s v="Büyükdere, Millet Cd. No:12, 26040 Odunpazarı/Eskişehir"/>
        <s v="Büyükdere Mahallesi, Dinçay Sk. No: 2/A"/>
        <s v="İstiklal Mah. Demirciler sok. No:50/b"/>
        <s v="Vişnelik Mh, Atatürk Blv. No: 112/B, 26020 Odunpazarı/Eskişehir"/>
        <s v="Zafer Mah. Derman Cad. No:120 A Tepebaşı Eskişehir"/>
        <s v="Yenibağlar mah.Sapanca sok. no16/b"/>
        <s v="Büyükdere Mah. Millet Cad. No:66 A Odunpazarı/ Eskişehir"/>
        <s v="Şirintepe Mah. Paşasoylu Sok. No:4 A Tepebaşı/ Eskişehir"/>
        <s v="Yenibağlar Mah. Özbek Sok. No:8 A Tepebaşı Eskişehir"/>
        <s v="Fatih Mah. Prof. Dr. Orhan Oğuz Cad. No: 52 C Tepebaşı/Eskişehir"/>
        <s v="Gültepe Mah. Şehit YZB. T. Güngör Cad. No:206/B Odunpazarı / Eskişehir"/>
        <s v="Yıldıztepe Mah. Dumlupınar Cad. D Blok No:27/A Odunpazarı/ Eskişehir"/>
        <s v="ARİFİYE MAH. KORKMAZ SK. NO: 14 A ODUNPAZARI/ ESKİŞEHİR"/>
        <s v="Büyükdere, Millet Cd. No:12 D:F, 26040 Eskişehir Merkez/Eskişehir"/>
        <s v="Cumhuriye Mah. Soydaşağa sok .No:6/A Tepebaşı/Eskişehir"/>
        <s v="Emek Mah. Ertaş Cad. No:138 B Odunpazarı/Eskişehir"/>
        <s v="İstiklal, Türkiye, Mustafa Kemal Atatürk Cd No:68, 26010 Odunpazarı/Eskişehir"/>
        <s v="Büyükdere, Millet Cd. No:66 A, 26040 Eskişehir Merkez/Eskişehir"/>
        <s v="Hoşnudiye Mah. Sahil Yolu Sok. No:32 Tepebaşı Eskişehir"/>
        <s v="Batıkent Mah. Hayrettin Karaca sok. No:7 D:1 Tepebaşı/Eskişehir"/>
        <s v="Çamlıca mahallesi Ertuğrulgazi caddesi no18 B Tepebaşı Eskişehir"/>
        <s v="Hoşnudiye Mah. Hacet Sok. No:4 D:3 Tepebaşı/Eskişehir"/>
        <s v="Deliklitaş Mah. İbrahim Karaoğlanoğlu Cad. No:29 C Odunpazarı/ Eskişehir"/>
        <s v="Eskibağlar mah, yenilik sokak no:22/A tepebaşı -Eskişehir"/>
        <s v="Osmangazi Mah. Kemer Sok. No:56/E Odunpazarı/Eskişehir"/>
        <s v="Ertuğrulgazi Mah., Çilem Cad., No:61, Tepebaşı, Eskişehir, Türkiye,"/>
        <s v="Ihlamurkent Mah. Nilüfer Cad. No: 14 B Odunpazarı Eskişehir"/>
        <s v="ARİFİYE MAH. Okullar SK. NO: 3 B ODUNPAZARI/ ESKİŞEHİR"/>
        <s v="Kumlubel Mah. Esenli sk. B Blok No:83/B Tepebaşı/Eskişehir"/>
        <s v="Yenibağlar, Yılmaz Büyükerşen Blv No:156, 26170 Tepebaşı/Eskişehir"/>
        <s v="Eskişehir Odunpazarı huzur mahallesi Ali Rıza efendi caddesi 103/c"/>
        <s v="71 Evler Mah. Balsu Blv. No:32 A Odunpazarı Eskişehir"/>
        <s v="Şirintepe mah. Paşasoylu sok.No:1/B"/>
        <s v="Arifiye Mah. Hamamyolu Cad. No:74 D Odunpazarı Eskişehir"/>
        <s v="Eskibağlar Mah. Üniversite Cad. No:58 A Tepebaşı Eskişehir"/>
        <s v="İstiklal Mah. Şair Fuzuli Cad. No:8/1 Odunpazarı Eskişehir"/>
        <s v="Arifiye Mh. Hamamyolu Cd. 78/C"/>
        <s v="Sütlüce Mah. Uluzafer Cad. No:8 B Tepebaşı Eskişehir"/>
        <s v="Hacı Ali Bey, Sivrihisar-1 Cd. No:9, 26120 Tepebaşı/Eskişehir"/>
        <s v="Şirintepe mahallesi Karaca Sokak No 4 Tepebaşı/ Eskişehir"/>
        <s v="Arifiye Mahallesi Mustafa Kemal Atatürk Caddesi No: 38 B Odunpazarı / Eskişehir"/>
        <s v="Batıkent Mah. Bülent Ecevit Bulvarı no:29 A Tepebaşı Eskişehir"/>
        <s v="Şirintepe Mah. Asilzade Sok. No:8 C Tepebaşı Eskişehir"/>
        <s v="Büyükdere, Çayırlar Sk. No:3, 26040 Odunpazarı/Eskişehir"/>
        <s v="Emek Mah. Ertaş Cad. No:152 C Odunpazarı Eskişehir"/>
        <s v="Vişnelik Mah. Atatürk Blv. No:86 C Odunpazarı Eskişehir"/>
        <s v="Hoşnudiye Mah. Siloönü Sok No:5 Tepebaşı / Eskişehir"/>
        <s v="Yenibağlar, Yılmaz Büyükerşen Blv No:84/D, 26170 Tepebaşı/Eskişehir"/>
        <s v="YENİBAĞLAR MAH.PROF.DR.YILMAZ YILMAZ BÜYÜKERŞEN BULVARI NO:84/A"/>
        <s v="Akarbaşı Mah. Atatürk Blv. No:125 Odunpazarı / Eskişehir"/>
        <s v="Hoşnudiye Mah. Vurak Sk. No:32 A Tepebaşı/Eskişehir"/>
        <s v="Arifiye mah 2 Eylül CAD Taşbaşı iş merkezi no 49 3 Odunpazarı Eskişehir"/>
        <s v="Yeşiltepe Mah. Şehit Halit İlbay Cad. No:40 B Tepebaşı / Eskişehir"/>
        <s v="Hoşnudiye mah. istasyon cad. no :11/a Tepebaşı /Eskişehir"/>
        <s v="Hoşnudiye Mah. Kızılcıklı Mahmut Pehlivan Cad. No: 7 C Tepebaşı/ Eskişehir"/>
        <s v="Şarhöyük Mah. Yücel Sok. No:15 A Tepebaşı Eskişehir"/>
        <s v="Emek Mah. Dilek Cad. No:15A Odunpazarı/Eskişehir"/>
        <s v="Gökmeydan Mah. Faruk Şükrü Cad. No:22 E Odunpazarı / Eskişehir"/>
        <s v="ÖMERAĞA MAH. HATBOYU-1 CAD. NO: 97 /1B TEPEBAŞI/ ESKİŞEHİR"/>
        <s v="Yeşiltepe Mah. Bilgeç Cad. No:4/B Tepebaşı/Eskişehir"/>
        <s v="Çamlıca Mah. Doğanşehir Sok. No:16 A Tepebaşı Eskişehir"/>
        <s v="Cumhuriyet Mah. Tersel Sok. No:6/C D:2 Tepebaşı/ Eskişehir"/>
        <s v="Vadişehir Mah. Nilüfer Cad. R Blok No:75 GA Odunpazarı / Eskişehir"/>
        <s v="Cumhuriye, Kırım Cd. 19/a, 26130 Tepebaşı/Eskişehir"/>
        <s v="71 Evler Mah. Tuğba Sok. No:25 D Odunpazarı/ Eskişehir"/>
        <s v="71 Evler Mah. Tuğba Sok. No:25 D Odunpazarı Eskişehir"/>
        <s v="Cumhuriye Mah. Sakarya-1 Cad. No:89 C Tepebaşı Eskişehir"/>
        <s v="Hoşnudiye Mah., Bayrak Sok., No:10A, Tepebaşı, Eskişehir, Türkiye,"/>
        <s v="Şirintepe, Örme Sk. no:170/B, 26000 Tepebaşı/Eskişehir"/>
        <s v="Büyükdere, Millet Cd. No: 30, 26040 Odunpazarı/Eskişehir"/>
        <s v="Çamlıca Mah. Neoplus Avm No:172 Tepebaşı/ Eskişehir"/>
        <s v="Akarbaşı, Atatürk Blv. No:97, 26020 Odunpazarı/Eskişehir"/>
        <s v="Hoşnudiye Mah. Mustafa Kemal Atatürk Cad. No:188 C Tepebaşı / Eskişehir"/>
        <s v="Eskibağlar Mah.Hatboyu Caddesi No:13 Tepebaşı/ Eskişehir"/>
        <s v="Yenibağlar, İsmet İnönü-1 Blv No:130Tepebaşı/Eskişehir"/>
        <s v="Arifiye Mah. Tayfun Sok. No:9/B Odunpazarı/ Eskişehir"/>
        <s v="Büyükdere, Kaplanlı Cd, 26040 Odunpazarı/Eskişehir"/>
        <s v="Büyükdere Mah. Kaplanlı Cad. No:15 / 1 A Odunpazarı Eskişehir"/>
        <s v="İstiklal Mah. Porsuk Blv. No:35/B Odunpazarı/Eskişehir"/>
        <s v="Eskibağlar Mah. Yılmaz Büyükerşen Blv. No:76/A Tepebaşı Eskişehir"/>
        <s v="Eskibağlar Mahallesi, Gençlik Merkezi Sk. No: 2/11"/>
        <s v="Osman Gazi Üni. Kampüs"/>
        <s v="Eskibağlar mah Hatboyu-1 cad No 7A Tepebaşı / ESKİŞEHİR"/>
        <s v="Istiklal mah. Basarili sok. No.47 A (Adalar) Odunpazari/ ESKISEHIR"/>
        <s v="Ömerağa Mah. Hatboyu-1 Cad. No:115 A Tepebaşı Eskişehir"/>
        <s v="Tunalı Mah. Sakarya 2 Cad. No:98 E Tepebaşı/Eskişehir"/>
        <s v="Hoşnudiye, Vural Sk. No:19, 26130 Tepebaşı/Eskişehir"/>
        <s v="Büyükdere Mah. Prof. Dr. Nabi Avcı Blv. Esogü Çarşı B Blok No:4/53 Odunpazarı Eskişehir"/>
        <s v="Güllük, Bacı Sk. No:48/A, 26000 Tepebaşı/Eskişehir"/>
        <s v="Yenibağlar Mah. Akıcı sok. no : 45 /A Tepebaşı/Eskişehir"/>
        <s v="Hoşnudiye Mah. İstasyon Cad. No:15/C Tepebaşı / Eskişehir"/>
        <s v="Hoşnudiye, Mustafa Kemal Atatürk Cd 170/A, 26170 Tepebaşı/Eskişehir"/>
        <s v="Akarbaşı, Yörüksoy Sk. No:1 D:c, 26020 Odunpazarı/Eskişehir"/>
        <s v="Çamlıca Mah. Doğanşehir Sok. No:13 D Tepebaşı / Eskişehir"/>
        <s v="Emek Mah. Dilek Cad. No:58 C Odunpazarı Eskişehir"/>
        <s v="Zafer Mahallesi Esenyurt Sokak C Blok No:1/A, Tepebaşı/Eskişehir"/>
        <s v="Fatih Mh. Türkmen Dağı sk. No:15/B Tepebaşı/ Eskişehir"/>
        <s v="Alanönü Mah., Maide Bolel Huzur Evi Cd. No:7 B, Odunpazarı/Eskişehir"/>
        <s v="Büyükdere, Atatürk Blv., 26040 Odunpazarı/Eskişehir"/>
        <s v="Bahçelievler Mah. Seylap Cad. No:67 A Tepebaşı/ Eskişehir"/>
        <s v="Ihlamurkent mah. Nilüfer cad. 14/A Odunpazarı /Eskişehir"/>
        <s v="Uluönder Mahallesi Sultan Sokak No: 12 A Tepebaşı Eskişehir"/>
        <s v="Osmangazi Mah. Kemer Sokak No:73 A Odunpazarı / Eskişehir"/>
        <s v="Zafer Mah. Derman Cad. No:116 Tepebaşı / Eskişehir"/>
        <s v="VİŞNELİK MAHALLESİ ATATÜRK BULVARI NO:106/C ODUNPAZARI ESKİŞEHİR"/>
        <s v="Arifiye Mah. Öztopçu sk. No: 10/B Odunpazarı/Eskişehir"/>
        <s v="Cumhuriye Mah. Paşa Sok. No:26 B Tepebaşı Eskişehir"/>
        <s v="İstiklal Mah. Duru Sok. No:5 A Odunpazarı Eskişehir"/>
        <s v="Arifiye Mahallesi Porsuk Bulvarı İletişim Sokak No:13 B Odunpazarı / Eskişehir"/>
        <s v="Güllük, Talat Paşa Sk. No:80/A, 26000 Tepebaşı/Eskişehir"/>
        <s v="Bahçelievler Mah. Prof. Dr. Orhan Oğuz Cad. No:17/A Tepebaşı/Eskişehir"/>
        <s v="Batıkent mah. Geven Sk. 4/H Tepebaşı/Eskişehir"/>
        <s v="Bahçelievler mah. prof.dr.Orhan Oğuz cad.No:21/c Tepebaşı/Eskişehir"/>
        <s v="Cumhuriye mah.Cengiz Topel Cad. No :42/B Tepebaşı /Eskişehir"/>
        <s v="güllük mah sakarya 2 cad no 53 a Tepebaşı/Eskişehir"/>
        <s v="Çamlıca Mahallesi Tombakzade Caddesi No 80/C Tepebaşı Eskişehir"/>
        <s v="İstiklal Mah. Metinbey Sok. No:60 F Odunpazarı Eskişehir"/>
        <s v="Uluönder, Salih Bozok Cd. No:7, 26190 Tepebaşı/Eskişehir"/>
        <s v="Büyükdere Mahallesi, Altınçağ Sk. No:20/A Odunpazarı Eskişehir"/>
        <s v="OSMANGAZİ MAH. BASIN ŞEHİTLERİ CAD. NO: 165 A ODUNPAZARI/ ESKİŞEHİR"/>
        <s v="Şirintepe Mah. Gözüpek Sok. No:7 A Tepebaşı / Eskişehir"/>
        <s v="Batıkent Mah. Geven Sok. B Blok No:9/A Tepebaşı/Eskişehir"/>
        <s v="VİŞNELİK MAHALLESİ KAYIHAN SOKAK NO:18/1A ODUNPAZARI/ESKİŞEHİR"/>
        <s v="Akarbaşı Mahallesi Atatürk Bulvarı No:58/B Odunpazarı Eskişehir"/>
        <s v="Bahçelievler mah.Seylap cad. no:35 /B Tepebaşı/Eskişehir"/>
        <s v="Kurtuluş Mah. Vatan Cad. No:60 ODUNPAZARI/ESKİŞEHİR"/>
        <s v="CUMHURİYE MAHALLESİ İŞ BULMA SOKAK NO:33/B. 26130 TEPEBAŞI/Eskişehir"/>
        <s v="Hoşnudiye Mah. İsmet İnönü Cad. Gürdal Apt. 16/A Tepebaşı/ Eskişehir"/>
        <s v="YENİBAĞLAR MAH. PROF. DR. YILMAZ BÜYÜKERŞEN BLV. NO: 47 C TEPEBAŞI/ ESKİŞEHİR"/>
        <s v="Batıkent Mah. Prof. Dr. Nusret Fişek Sok. No:2 C D:3 Tepebaşı Eskişehir"/>
        <s v="Vişnelik Mah. Atatürk Blv. No:84 İç Kapı No:A Odunpazarı/Eskişehir"/>
        <s v="Güllük Mah. Bacı Sok. No:4/A Tepebaşı / Eskişehir"/>
        <s v="YENİBAĞLAR MAH. CADDE/SOKAK PROF. DR. YILMAZ BÜYÜKERŞEN BLV. KAPI NO 47 A"/>
        <s v="Hoşnudiye mah. ismet inönü 1 cad. no:1/c. Tepebaşı/Eskişehir"/>
        <s v="Vişnelik Mah. Kayıhan Sok. Kanatçı Lokantası No:22 Odunpazarı Eskişehir"/>
        <s v="Vişnelik mah. Ali Fuat Güven cad. No:52 Odunpazarı/Eskişehir"/>
        <s v="Çamlıca, Ulusal Egemenlik Blv. no 174/A, 26180 Tepebaşı/Eskişehir"/>
        <s v="Büyükdere mah.Gençlik bulvarı No:39 Odunpazarı/Eskişehir"/>
        <s v="Eskibağlar, Yılmaz Büyükerşen Blv No:21 Espark AVM 1. Kat no 135. Tepebaşı/Eskişehir"/>
        <s v="Vişnelik Mah. Karatay Sk. No:2 Odunpazarı Eskişehir"/>
        <s v="Cumhuriye Mah. Cengiz Topel Cad. No:80 A Tepebaşı Eskişehir"/>
        <s v="Deliklitaş Mah. Yunusemre Cad. No:93/A Odunpazarı, Eskişehir"/>
        <s v="Akarbaşı Mah. Arısoy Sok. No: 11/A Tepebaşı/Eskişehir"/>
        <s v="Bahçelievler Mah. Sakarya 2 Cad. 85/a Eskişehir » Tepebaşı"/>
        <s v="Hoşnudiye Mah. 770. Sok. No:4 CC Tepebaşı Eskişehir"/>
        <s v="Büyükdere, No:97, Millet Cd., 26040 Odunpazarı/Eskişehir"/>
        <s v="Yenibağlar, Yılmaz Büyükerşen Blv No:126/c, 26170 Tepebaşı/Eskişehir"/>
        <s v="Şirintepe Mah. Bursa Cad. No:45/A Tepebaşı/Eskişehir"/>
        <s v="İstiklal Mah. Porsuk Blv. No:1 C Odunpazarı Eskişehir"/>
        <s v="Emek Mah. Ertaş Cad. No:119 / A ODUNPAZARI/ESKİŞEHİR"/>
        <s v="Şirintepe Mah, İsmet İnönü-2 Blv No:60, 26000 Tepebaşı/Eskişehir"/>
        <s v="Bahçelievler Mah. Orhan Oğuz Cad. No: 103 B Tepebaşı / Eskişehir"/>
        <s v="Eskibağlar, Zübeyde Hanım Blv 3/b, 26000 Tepebaşı/Eskişehir"/>
        <s v="Çamlıca Mah. Gündüz Ökçün-1 Blv. No:139 B Tepebaşı Eskişehir"/>
        <s v="Kurtuluş Mah. Sarper Cad. No:15 A Odunpazarı Eskişehir"/>
        <s v="Cumhuriye Mah. Yaprak Sok. No:6 A Tepebaşı Eskişehir"/>
        <s v="Çamlıca Mah. Ulusal Egemenlik Blv. No:134 A Tepebaşı Eskişehir"/>
        <s v="Büyükdere, Uğurbey Sk. No.29 A, 26040 Odunpazarı/Eskişehir"/>
        <s v="Yenibağlar mah . Sapanca sok no:16/B Tepebaşı/Eskişehir"/>
        <s v="Tunalı Mah. Pehlivanlar Sok. No:5 A Tepebaşı / Eskişehir"/>
        <s v="Büyükdere Mah. Prof. Dr. Nabi Avcı Blv. B Blok No:4 / 53 Odunpazarı Eskişehir"/>
        <s v="Büyükdere Mah. Akasma Sok. No:10 C Odunpazarı Eskişehir"/>
        <s v="VİŞNELİK MAHALLESİ KAYAĞAN SOKAK NO:22 Odunpazarı/Eskişehir"/>
        <s v="Eskibağlar, Sakman Sk., 26170 Tepebaşı/Eskişehir"/>
        <s v="Büyükdere, Kezbandere Sk. No:11/A, 26250 Odunpazarı/Eskişehir"/>
        <s v="İstiklal, Mustafa Kemal Atatürk Cd 148/B, 26010 Odunpazarı/Eskişehir"/>
        <s v="Osmangazi, Basın Şehitleri Cd. No:173, 26140 Odunpazarı/Eskişehir"/>
        <s v="Gökmeydan Mah. Borsa Cad. No:54 A Odunpazarı Eskişehir"/>
        <s v="Musatafa Kemal Paşa Mah. Değirmen Sok. No:5 E Tepebaşı/Eskişehir"/>
        <s v="Büyükdere Mah. Özel Sok. 2/A ODUNPAZARI / ESKİŞEHİR"/>
        <s v="Çamlıca Mah. Birlik Cad. No:15 A Tepebaşı Eskişehir"/>
        <s v="Şirintepe Mah. Yaylapınar sk. No: 96 /A Tepebaşı / ESKİŞEHİR"/>
        <s v="Kırmızıtoprak Mah. Basın Şehitleri Cad. No:84/A Odunpazarı/Eskişehir"/>
        <s v="Arifiye Mah. Özger Sok. No:13 D Odunpazarı / Eskişehir"/>
        <s v="Saraç İsmail, Güllük mahallesi Hatboyu-1 caddesi, Bey Apt No:37/B, 26170 Tepebaşı/Eskişehir"/>
        <s v="Büyükdere, Canlar Sk. No:41 Odunpazarı/Eskişehir"/>
        <s v="Vişnelik, 110/A, Eskişehir Merkez, Atatürk Blv., 26020 Odunpazarı"/>
        <s v="Yenikent, Şehit Yüzbaşı Tuncer Güngör Cd No:210/A Odunpazarı/Eskişehir"/>
        <s v="GÖKMEYDAN MAH. DEDE EFENDİ CAD. NO: 51 A ODUNPAZARI/ ESKİŞEHİR"/>
        <s v="İstiklal Mah. Başarılı Sok. No:11 C Odunpazarı / Eskişehir"/>
        <s v="İstiklal Mah. Konuk Sk. No:36 Odunpazarı/Eskişehir"/>
        <s v="Hoşnudiye Mah. İstasyon Cad. 35 A Tepebaşı / Eskişehir"/>
        <s v="Çamlıca Mah. Dayıbey Sokak No:101 Tepebaşı / Eskişehir"/>
        <s v="Deliklitaş Mah. Değirmen Sok. No:6 A Odunpazarı / Eskişehir"/>
        <s v="Osmangazi Mah.Basın Şehitleri Cad. No:297/A Odunpazarı/Eskişehir"/>
        <s v="Eskişehir Odunpazarı Kurtuluş mahallesi Kurtuluş cami sokak no 38/A"/>
        <s v="Gültepe Mah. Halk Cad. No:131 C Odunpazarı / Eskişehir"/>
        <s v="Bahçelievler Mah. Seylap Caddesi No:63 A D:16 Tepebaşı/Eskişehir"/>
        <s v="Sütlüce Mah. İstiklal Cd. No:34/A Tepebaşı/Eskişehir"/>
        <s v="Vişnelik Mah. Atatürk Blv. No:173/A Odunpazarı/Eskişehir"/>
        <s v="Şirintepe Mah. Ilgın Sok. No:5 A Tepebaşı Eskişehir"/>
        <s v="Alanönü Mah. Cumhuriyet Blv. No:48 B Odunpazarı Eskişehir"/>
        <s v="Emek, Ertaş Blv. No:197, 26080 Odunpazarı/Eskişehir"/>
        <s v="Hoşnudiye Mah., İstasyon Cad., No:45A, Tepebaşı, Eskişehir"/>
        <s v="Hoşnudiye Mah. Bayramyeri Sk No:3 A Tepebaşı/ Eskişehir"/>
        <s v="Kumlubel, Lise Sk. No:3, 26220 Tepebaşı/Eskişehir"/>
        <s v="Güllük Mah. Hatboyu 1 Cad. No:43 C Tepebaşı/ Eskişehir"/>
        <s v="Hoşnudiye, İstasyon Cd. No: 25,Tepebaşı/Eskişehir"/>
        <s v="Arifiye Mah. Tuğlan Sok. No:8 Odunpazarı/ Eskişehir"/>
        <s v="Sütlüce, İstiklal Cd. 38/A, 26010 Odunpazarı/Eskişehir"/>
        <s v="Kurtuluş Mah. Şentürk Sok. No:12 B Odunpazarı / Eskişehir"/>
        <s v="Sütlüce mah. İstiklal CD. NO:38/A TEPEBAŞI /ESKİŞEHİR"/>
        <s v="Yenibağlar, Sapanca Sk. no:16/a, 26170 Tepebaşı/Eskişehir"/>
        <s v="Bahçelievler Mah. Sakarya-2 Cad. No:83 C Tepebaşı / Eskişehir"/>
        <s v="Şirintepe Mah. Neyzen Tevfik Sok. No:4 A Tepebaşı Eskişehir"/>
        <s v="Eskibağlar mah. Talat Paşa sok. No:49 A D:9 Tepebaşı / Eskişehir"/>
        <s v="Büyükdere, Millet Cd. No:104/B, 26000 Odunpazarı/Eskişehir"/>
        <s v="Hoşnudiye mah. Tacin sk.No.9/1 Tepebaşı/Eskişehir"/>
        <s v="Büyükdere, Osmangazi Ünv. No:38, Odunpazarı/Eskişehir"/>
        <s v="Büyükdere Mahallesi, Altınçağ Sk. No:20/A"/>
        <s v="VİŞNELİK MAHALLESİ KAYAĞAN SOKAK NO:22 ODUNPAZARI/ESKİŞEHİR"/>
        <s v="Yenibağlar Mah. Aşçı Sok. No:9 A Tepebaşı / Eskişehir"/>
        <s v="Batıkent mah . Liman cad. no:14 /d tepebaşı/eskişehir"/>
        <s v="Çamlıca mah. Gündüz sok. Ökçün Cad. No:27/A Tepebaşı/Eskişehir"/>
        <s v="Batıkent mh ulusal egemenlik bulvarı no 13a Tepebaşı Eskişehir"/>
        <s v="Hoşnudiye Mah. Başak Sok. No:9 B Tepebaşı / Eskişehir"/>
        <s v="Gökmeydan Mah. Kağıthane Sok. No:3 A Odunpazarı Eskişehir"/>
        <s v="Eskibağlar mah. Genez sk. no:38 /f Eskişehir/Tepebaşı"/>
        <s v="Bahçelievler mah. Bilnur Sok. No : 38/1 Tepebaşı/Eskişehir"/>
        <s v="Vadisehir mah. Nilüfer caddesi no:75/HA Odunpazarı/ Eskişehir"/>
        <s v="Büyükdere mah. Vezirköprü sok. No:19/A Odunpazarı / Eskişehir"/>
        <s v="Eskibağlar mah. Yenilik Sok. No:38 İç Kapı No: 1 Tepebaşı/Eskişehir"/>
        <s v="Arifiye Mah. Süleyman Çakır cad. No:8/B Odunpazarı / Eskişehir"/>
        <s v="Hoşnudiye mah. ismet inönü 1 cad. no :61 /A Tepebaşı /Eskişehir"/>
        <s v="ÖMERAĞA MAH. HATBOYU-1 CAD. NO: 55 A TEPEBAŞI/ ESKİŞEHİR"/>
        <s v="Hoşnudiye, Kızılcıklı Mahmut Pehlivan Caddesi 7AB, Tepebaşı/Eskişehir"/>
        <s v="Büyükdere mah. Elçi Sok .No:1/A Odunpazarı/Eskişehir"/>
        <s v="Hoşnudiye mah. Şahin cd..No.78/D Tepebaşı/Eskişehir"/>
        <s v="Yeşiltepe Mah., Bilgeç Cad., No:41D, Tepebaşı"/>
        <s v="Hoşnudiye Mah., Otopark Sok., No:43, Tepebaşı, Eskişehir, Türkiye,"/>
        <s v="Çamlıca mah. Gülperi sok. iç kapı no:1 Tepebaşı/Eskişehir"/>
        <s v="Deliklitaş mah. Deliklitaş caddesi no81/A Odunpazarı/Eskişehir"/>
        <s v="İstiklal, Porsuk Bulvari Tema Vakfı Sk no:35/B, 26010 Odunpazarı/Eskişehir"/>
        <s v="Şirintepe Mah. İsmet İnönü-2 Cad. No:88 A Tepebaşı Eskişehir"/>
        <s v="Bahçelievler Mah. Fulya Sok. No:22 A Tepebaşı Eskişehir"/>
        <s v="Kurtuluş Mah. Ziya Paşa Cad. No:26 A Odunpazarı / Eskişehir"/>
        <s v="Sümer Mah. Çuha Sok. No: 19 Odunpazarı Eskişehir"/>
        <s v="Prof. Dr. Orhan Oğuz Cad., No:17A, Tepebaşı, Eskişehir, Türkiye,"/>
        <s v="Esentepe Mah. Eğitimciler Cad. No:174 D Tepebaşı Eskişehir"/>
        <s v="Büyükdere, Fakülte Cd No:46, 26040 Odunpazarı/Eskişehir"/>
        <s v="Cumhuriye, Cengiz Topel-1 Cd. No:53/C, 26130 Tepebaşı/Eskişehir"/>
        <s v="Kırmızıtoprak, 26010 Odunpazarı/Eskişehir"/>
        <s v="Yenibağlar Mah. Sapanca Sok. No:16 A Tepebaşı Eskişehir"/>
        <s v="Cumhuriye Mahallesi İsmet İnönü 1 Caddesi No:1A Tepebaşı/ESKİŞEHİR"/>
        <s v="Bahçelievler mah. Sakarya2 Cad. No:99/B Tepebaşı/Eskişehir"/>
        <s v="Batıkent mah. Kardak sok. No: 30/d Tepebaşı/Eskişehir"/>
        <s v="Gökmeydan mah. Cumhuriyet bulvarı cad. no:197/B Eskişehir/Odunpazarı"/>
        <s v="Huzur Mah. Ali Rıza Efendi Cad. No:49 B Odunpazarı Eskişehir"/>
        <s v="Çamlıca Mah. Gündüz Ökçün Blv. No:67 A Tepebaşı Eskişehir"/>
        <s v="İstiklal Mah. M.K. Atatürk Cad. No:156 D Odunpazarı/ Eskişehir"/>
        <s v="Çamlıca Mah. Birlik Cad. No:20/D Tepebaşı/Eskişehir"/>
        <s v="Yenibağlar Mah. Prof. Dr. Yılmaz Büyükerşen Blv. No:142 C Tepebaşı/ Eskişehir"/>
        <s v="Büyükdere mah. fakülte sok. 5/c Odunpazarı/Eskişehir"/>
        <s v="Emek Mah. Ertaş Cad. No:138 A Odunpazarı / Eskişehir"/>
        <s v="Büyükdere Mah. Kaplanlı Cad. No:73 A Odunpazarı / Eskişehir"/>
        <s v="Eskibağlar Mah. Nazif Yörükçü Sok. No:66 D:1 Tepebaşı / Eskişehir"/>
        <s v="Vişnelik Mah. Atatürk Blv. No:165 A Odunpazarı Eskişehir"/>
        <s v="Akçağlan Mah. Cumhuriyet Blv. No:34 B Odunpazarı Eskişehir"/>
        <s v="BÜYÜKDERE MAH. FAKÜLTE SK. NO: 17 B ODUNPAZARI/ ESKİŞEHİR"/>
        <s v="BÜYÜKDERE MAH. MİLLET CAD. NO: 28 B- İÇ KAPI NO: - ODUNPAZARI/ ESKİŞEHİR"/>
        <s v="Kırmızıtoprak Mah. Taşköprü Cad. No:62 A Odunpazarı/Eskişehir"/>
        <s v="Vişnelik Mah. Şehit. Zeynel Toköz Sok. No:26A"/>
        <s v="İstiklal Mah. Adalar Sok. No:12/A Otunpazarı/Eskişehir"/>
        <s v="Akarbaşı Mah. Atatürk Blv. No:139 B Odunpazarı/ Eskişehir"/>
        <s v="İstiklal, Demirciler Sk. no 50 B, 26004 Odunpazarı/Eskişehir"/>
        <s v="Büyükdere Mah. Kaplanlı Cad. No:111 B Odunpazarı / Eskişehir"/>
        <s v="BAHÇELİEVLER MAH. SEYLAP CAD. NO: 65 A TEPEBAŞI/ ESKİŞEHİR"/>
        <s v="Uluönder mah. Fahrettin Altay Cad. No: 5 / F Tepebaşı/Eskişehir"/>
        <s v="Büyükdere mah.Gençlik bulvarı No:43/B Odunpazarı/Eskişehir"/>
        <s v="Çamlıca Mah."/>
        <s v="ESKİBAĞLAR MAH/SEMT ÜNİVERSİTE CAD. NO: 13 A TEPEBAŞI/ ESKİŞEHİR"/>
        <s v="Hoşnudiye Mah. 770. Sok. No:4 BC Tepebaşı/Eskişehir"/>
        <s v="Hoşnudiye Mahallesi 732. Sokak No: 20/1 Tepebaşı Eskişehir"/>
        <s v="Vişnelik, Vali Ali Fuat Güven Blv No:54, 26020 Odunpazarı/Eskişehir"/>
        <s v="Deliklitaş Mah. 2 Eylül Cad. No:93 B Odunpazarı Eskişehir"/>
        <s v="Huzur Mah. Ali Rıza Efendi Cad. No:7/1 A Odunpazarı Eskişehir"/>
        <s v="Akarbaşı Mah. Şehir Güngören Bostan Sok. No:1/A Odunpazarı/Eskişehir"/>
        <s v="Kırmızıtoprak mah . M.K. Atatürk Caddesi No:83/ B Odunpazarı / Eskişehir"/>
        <s v="Yıldıztepe Mah. Dumlupınar Cad. No:33/A Odunpazarı/Eskişehir"/>
        <s v="Fatih Mah. Düzenlik Sok. No:26 Tepebaşı Eskişehir"/>
        <s v="ESENTEPE MH.EĞİTİMCİLER CD.NO:172/A No: TEPEBAŞI/ Eskişehir"/>
        <s v="Hoşnudiye Mah., Şahin Cad., No:82, Tepebaşı, Eskişehir, Türkiye,"/>
        <s v="Emek Mah., Ertaş Cad., No:176/1A, Odunpazarı, Eskişehir,"/>
        <s v="Batıkent, Ertürkoğlu Sk. No:20, 26180 Tepebaşı/Eskişehir"/>
        <s v="Çamlıca Mah. Ulusal Egemenlik Blv. No:130 Tepebaşı/Eskişehir"/>
        <s v="Mamure Mah. Hasan Polatkan Cad. No:42 B Tepebaşı / Eskişehir"/>
        <s v="Vişnelik Mah. Stad Sok. No:2 C Odunpazarı Eskişehir"/>
        <s v="Hoşnudiye Mahallesi Sağın Sokak, Kanatlı AVM No:4"/>
        <s v="Büyükdere Mah. Mehmet Osman Cad. Sarıkonak Sok, D:NO:6A, 26040 Odunpazarı"/>
        <s v="Uluönder Mahallesi Sultan Sokak Tepebaşı Eskişehir"/>
        <s v="Hoşnudiye Mah. Sağın Sok. No:65 A Tepebaşı Eskişehir"/>
        <s v="Cumhuriye, Cengiz Topel-1 Cd. 49/a, 26130 Tepebaşı/Eskişehir"/>
        <s v="Yenibağlar Mah. Eti Cad. No:41 Tepebaşı/Eskişehir"/>
        <s v="Cumhuriye Mah. Sakarya 1 Cad. No:67/A"/>
        <s v="Yenibağlar Mahallesi Üniversite Cad. No: 94/D Tepebaşı/Eskişehir"/>
        <s v="71 Evler Mah. Kafkas Cad. No:67 C Odunpazarı/Eskişehir"/>
        <s v="İstiklal Mah., Şair Fuzuli Cad., No:28/A, Odunpazarı, Eskişehir, Türkiye"/>
        <s v="Batıkent, Gerekli Sk. No:29, 26180 Tepebaşı/Eskişehir"/>
        <s v="Yıldıztepe Mah. Dumlupınar Cad. No:7/1A Odunpazarı / Eskişehir"/>
        <s v="Eskibağlar mah. Talat Paşa sok. No:59 A Tepebaşı / Eskişehir"/>
        <s v="EMEK MAH. ERTAŞ CAD. ÖZCANLAR APT NO: 220 B ODUNPAZARI/ ESKİŞEHİR"/>
        <s v="Kurtuluş Mah. Cumhuriyet Bulvarı No: 80/A Odunpazarı/Eskişehir"/>
        <s v="Büyükdere Mah. Millet Cad. A Blok No:80 A Odunpazarı Eskişehir"/>
        <s v="Yenibağlar mah . Bolay sok no: 21/A Tepebaşı/Eskişehir"/>
        <s v="Vişnelik, Şht. Zeynel Toköz Sk. no:26, 26020 Odunpazarı/Eskişehir"/>
        <s v="Yenibağlar mah. Üniversite cad. No:57/B Tepebaşı /Eskişehir"/>
        <s v="Hoşnudiye, Sağın Sk. no:65/A, 26100 Tepebaşı/Eskişehir"/>
        <s v="Eskibağlar, Haller, Gençlik Mrk. Sk. No:2/29, 26170 Tepebaşı/Eskişehir"/>
        <s v="Eskibağlar, Sakman Sk. No:12 D:E, 26170 Tepebaşı/Eskişehir"/>
        <s v="yenibağlar mh. balkan cad. no : 90 /b"/>
        <s v="Eskibağlar Mah. Aşçı Sok. No:10 B Tepebaşı/ Eskişehir"/>
        <s v="Hoşnudiye Mh. İsmet inönü 1 cd. A Blok No: 153/E"/>
        <s v="İstiklal Mah. İki Eylül Cad. No:32 B Odunpazarı/Eskişehir"/>
        <s v="Arifiye mah. Yandaş sok. No:7 Odunpazarı/Eskişehir"/>
        <s v="Yenibağlar Mah. Sapanca Sok. No:16 D Tepebaşı Eskişehir"/>
        <s v="ARİFİYE MAH. İKİ EYLÜL CAD. NO: 76 A ODUNPAZARI/ ESKİŞEHİR"/>
        <s v="Emek Mah. Öztürkler Sok. No:8 A Odunpazarı / Eskişehir"/>
        <s v="Hoşnudiye Mah. Porsuk Bulvarı Sahilyolu Sokak No:20 A Tepebaşı/Eskişehir"/>
        <s v="Uluönder Mah. Salih Bozok Cad. No:3 B Tepebaşı/ Eskişehir"/>
        <s v="Hoşnudiye Mah. İsmet İnönü 1 Cad. No:62 D Tepebaşı / Eskişehir"/>
        <s v="Şirintepe, İsmet İnönü-2 Blv No:58, 26200, 26190 Tepebaşı/Eskişehir"/>
        <s v="İstiklal Mah. Başarılı Sk. No:11/B Odunpazarı/Eskişehir"/>
        <s v="Odunpazarı 71 evler mh Tuğba sokak 25A."/>
        <s v="Yetmişbir Evler Mah. Tuğba Sok. No:25 A Odunpazarı / Eskişehir"/>
        <s v="Cumhuriye, Zübeyde Hanım Blv No: 22 A, 26010 Tepebaşı/Eskişehir"/>
        <s v="İstiklal Mah. Başarılı Sk. No:35 Odunpazarı/Eskişehir"/>
        <s v="Yenibağlar, Yılmaz Büyükerşen Blv No:132 Tepebaşı/Eskişehir"/>
        <s v="Büyükdere, Bayraktepe Sk. No:4, 26040, 26040 Odunpazarı/Eskişehir"/>
        <s v="Şirintepe Mah. Yaylapınar Sok. No: 21 A Tepebaşı / Eskişehir"/>
        <s v="Hacıseyit mahallesi. Zübeyde hanım caddesi . 82-B Tepebaşı ESKİŞEHİR"/>
        <s v="Şirintepe, Örme Sk. no:119/A Tepebaşı/Eskişehir"/>
        <s v="Büyükdere Mah. Dr. Sadık Ahmet Cad. No:26 Odunpazarı Eskişehir"/>
        <s v="Deliklitaş Mah. Hamamyolu Cad. No:49 A Odunpazarı/Eskişehir"/>
        <s v="Hoşnudiye Mah. İstasyon Cad. No: 37 / A Tepebaşı / Eskişehir"/>
        <s v="Ertuğrulgazi Mahallesi Aliya İzzetbegoviç Cad. (Şahin Cad.) No: 41/A, 26150 Tepebaşı/Eskişehir"/>
        <s v="Arifiye Mahallesi Tekiz Sokak 16/A Odunpazarı Eskişehir"/>
        <s v="Hoşnudiye Mah. K. Mahmut Pehlivan Cad. No:13 Tepebaşı/ Eskişehir"/>
        <s v="Eskibağlar Mah. Prof. Dr. Yılmaz Büyükerşen Blv. No: 21/224 Tepebaşı Eskişehir"/>
        <s v="Eskibağlar mahallesi Yılmaz büyük erşan bulvarı No :12 / 204"/>
        <s v="Yenibağlar Mahallesi Prof. Dr. Yılmaz Büyükerşen Bulvarı NO: 130 Tepebaşı ESKİŞEHİR"/>
        <s v="Arifiye Mah. İki Eylül Cad. No:90/B Odunpazarı / Eskişehir"/>
        <s v="Büyükdere mah. Gençlik blv. cad. 4/48 Odunpazarı/Eskişehir"/>
        <s v="Çankaya mah. Kartopu cad. 65/b Odunpazarı /Eskişehir"/>
        <s v="Büyükdere mah. Gençlik BLV. 83/A Odunpazarı/Eskişehir"/>
        <s v="İstiklal Mah. Demirciler Sok. No:50 Odunpazarı / Eskişehir"/>
        <s v="Ihlamurkent Mah. Nevruz cad. No:36/EB Odunpazarı/Eskişehir"/>
        <s v="Eskibağlar Mh. Üniversite Cd. Haller Gençlik Merkezi, No:2/13"/>
        <s v="Hoşnudiye Mah. Cengiz Topel Cad. No:23 Tepebaşı / Eskişehir"/>
        <s v="Yenibağlar, Seylap Cd. No:5, 26170 Tepebaşı/Eskişehir"/>
        <s v="Ömerağa mahallesi saray sokak no:1/a Eskişehir/Tepebaşı"/>
        <s v="Emek Mahallesi 2. Arabacılar Cad: No: 187 Odunpazarı/ Eskişehir"/>
        <s v="Tunalı, Sakarya-2 Cd. no:64/A, 26220 Tepebaşı/Eskişehir"/>
        <s v="SÜTLÜCE MAH. İSTİKLAL CAD. NO: 62 TEPEBAŞI/ ESKİŞEHİR"/>
        <s v="şirintepe mahallesi paşasoylu sokak no:68/a Tepebaşı Eskişehir"/>
        <s v="Vişnelik, Öğretmenler Blv, 26020 Odunpazarı/Eskişehir"/>
        <s v="Tunalı Mah. Gaffar Okkan Cad. No:9 C Tepebaşı Eskişehir"/>
        <s v="TUNALI MAH. PROF DR ORHAN OĞUZ CAD NO 8 / D TEPEBAŞI ESKİŞEHİR"/>
        <s v="Mustafa Kemal Paşa Mah. Sivrihisar Cad. No:35 Tepebaşı Eskişehir"/>
        <s v="Kurtuluş Mah. Cumhuriyet Blv. No:69 A Odunpazarı Eskişehir"/>
        <s v="Yenibağlar, Yılmaz Büyükerşen Blv No:45 / F, 26000 Tepebaşı/Eskişehir"/>
        <s v="Hoşnudiye Mh. İsmet inönü 1 cd. A Blok No: 59/A"/>
        <s v="Arifiye mah .Sivrihisar Cad. No: 10 Odunpazarı/Eskişehir"/>
        <s v="Vişnelik Mah. Karatay Sok. No:2 Odunpazarı Eskişehir"/>
        <s v="Vişnelik mah. Karatay sok. No:2 Odunpazarı/Eskişehir"/>
        <s v="Şirintepe Mah. Bursa Cad. No:37 A Tepebaşı Eskişehir"/>
        <s v="Büyükdere Mh. Gençlik bulvarı no:4 54 /B Odunpazarı//Eskişehir"/>
        <s v="Büyükdere Mh. Millet Caddesi No: 118/A Odunpazarı/Eskişehir"/>
        <s v="Hoşnudiye Mah. İsmet İnönü-1 Cad. No:53 A Tepebaşı / Eskişehir"/>
        <s v="ARİFİYE MAH/SEMT BELEDİYE SK. TAŞBAŞI ÇARŞISI NO: 2 İÇ KAPI NO: 65 ODUNPAZARI/ ESKİŞEHİR"/>
        <s v="Arifiye, Belediye Sok. No:3 D:51, 26010 Odunpazarı/Eskişehir"/>
        <s v="Kurtuluş Mah. Ziya Paşa Cad. No:4 A Odunpazarı Eskişehir"/>
        <s v="Arifiye Mah. Kıbrıs Şehitler Cad. No:2 A Odunpazarı / Eskişehir"/>
        <s v="arifiye mahallesi yandaş sokak no 19 eskişehir"/>
        <s v="Arifiye Mah. Süleyman Çakır Cad. No:10 Odunpazarı Eskişehir"/>
        <s v="Hoşnudiye Mah. İsmet İnönü-1 Cad. No: 62 D Tepebaşı/Eskişehir"/>
        <s v="Şirintepe Mahallesi Gözüpek Sokak No: 5/B Tepebaşı Eskişehir"/>
        <s v="AKARBAŞI MAH. ATATÜRK BULVARI 56/6 Eskişehir"/>
        <s v="Eskibağlar Mah. Yenilik Sok. No:22 B Tepebaşı/Eskişehir"/>
        <s v="Çamlıca Mah. Tombakzade Cad. No:116 A Tepebaşı / Eskişehir"/>
        <s v="Yenibağlar Mah. Eti Cad. No:29 A Tepebaşı Eskişehir"/>
        <s v="Bahçelievler mah, Balkan Cd. No: 34/A, 26000 Tepebaşı/Eskişehir"/>
        <s v="Eskibağlar, Genez Sk. 38/B, 26170 Tepebaşı/Eskişehir"/>
        <s v="Eskibağlar Mah. Akmescit Sok. No:4 A Tepebaşı / Eskişehir"/>
        <s v="Yenibağlar Mah. Prof. Dr. Yılmaz Büyükerşen Blv. No :36 Tepebaşı / Eskişehir"/>
        <s v="HOŞNUDİYE MAH. MUSTAFA KEMAL ATATÜRK CAD. NO: 190 D TEPEBAŞI/ ESKİŞEHİR"/>
        <s v="Uluönder Mah. Salih Bozok Cad. No:3 C Tepebaşı / Eskişehir"/>
        <s v="KURTULUŞ MAH. ZİYA PAŞA CAD. NO: 25 C ODUNPAZARI/ ESKİŞEHİR"/>
        <s v="Güllük, Bacı Sk. No:8, 26170 Tepebaşı/Eskişehir"/>
        <s v="Vişnelik, Atatürk Blv. No:112, 26020 Odunpazarı/Eskişehir"/>
        <s v="Ömerağa Mah. Acar Sok. No:26 Tepebaşı Eskişehir"/>
        <s v="Şirintepe Mah. Asılzade Sok. No:8 A Tepebaşı/Eskişehir"/>
        <s v="Hoşnudiye, Hacet Sk. No:2C, 26130 Tepebaşı/Eskişehir"/>
        <s v="istiklal mh, Adalar Sk. No:8-A, 26000 Odunpazarı/Eskişehir"/>
        <s v="Hoşnudiye, Kadife Çiçeği Sk. No:1A, 26100 Tepebaşı/Eskişehir"/>
        <s v="Yenibağlar mah. üniversite cad. no:90 /A Tepebaşı/Eskişehir"/>
        <s v="Büyükdere Mah. Millet Cad. No:73 A Odunpazarı/ Eskişehir"/>
        <s v="Eskibağlar Mah. Aşçı Sok. No:8 B Tepebaşı / Eskişehir"/>
        <s v="İstiklal Mah. Yalaman Sk. No:1 A Odunpazarı/Eskişehir"/>
        <s v="Eskibağlar, Yenilik Sk. No:41, 26170, 26170 Tepebaşı/Eskişehir"/>
        <s v="Bahçelievler Mah. Dumanlı Sok. No:2 Tepebaşı Eskişehir"/>
        <s v="Kurtuluş, Sarper Blv, 26090 Odunpazarı/Eskişehir"/>
        <s v="Eskibağlar, Yılmaz Büyükerşen Blv No:58 D:B, 26170 Tepebaşı/Eskişehir"/>
        <s v="Şirintepe Mah. Karaca Sok. No:7 B Tepebaşı/ Eskişehir"/>
        <s v="Yenibağlar Mah. Sapanca Sok. No:16 B Tepebaşı/ Eskişehir"/>
        <s v="Eskibağlar Mah. Genez Sok. No:53 A Tepebaşı / Eskişehir"/>
        <s v="Deliklitaş Mh, Yunus Emre Cd. No:99/A, 26090 Odunpazarı/Eskişehir"/>
        <s v="Eskibağlar Mah. Hatboyu Cad. No: 3 A Tepebaşı Eskişehir"/>
        <s v="Kırmızıtoprak Mah. Vali Ali Fuat Güven Cad. No:24 C Odunpazarı/ Eskişehir"/>
        <s v="Sümer Mah. Atatürk Blv. No: 130/A Odunpazarı/Eskişehir"/>
        <s v="Arifiye Mah. Hamamyolu Cad. No: 76 B Odunpazarı/ Eskişehir"/>
        <s v="Şirintepe Mah. Yaylapınar Sok. No:7 A Tepebaşı Eskişehir"/>
        <s v="hoşnudiye mah . başak sok. no1 tepebaşı /eskişehir"/>
        <s v="Ihlamurkent Mah. Nilüfer Cad. No:22 A Odunpazarı Eskişehir"/>
        <s v="Uluönder Mah Salih Bozok Cad No:4/C Tepebaşı- Eskişehir"/>
        <s v="Kurtuluş Mah. Vatan Cad. ODUNPAZARI/ESKİŞEHİR"/>
        <s v="Deliklitaş mah. Prof.Dr.İlhan Cemalciler sok. No:2/A Odunpazarı/Eskişehir"/>
        <s v="Vişnelik Mah. Atatürk Blv. No:84 A Odunpazarı Eskişehir"/>
        <s v="Eskibağlar mah. Tüt Sok. B blok No: 9 Tepebaşı /Eskişehir"/>
        <s v="Çankaya Mah. Kartopu Cad. No:65 B Odunpazarı Eskişehir"/>
        <s v="Hoşnudiye Mah. Vural Sok. No:70/B Odunpazarı/Eskişehir"/>
        <s v="Sümer Mah. Maral Sok. No:12 A Odunpazarı / Eskişehir"/>
        <s v="Ihlamurkent Mah. Nevruz Cad. No:51 C Odunpazarı / Eskişehir"/>
        <s v="Arifiye Mah. Bilir Sok. No:15 A Odunpazarı/Eskişehir"/>
        <s v="Gültepe Mah. Halk Cad. No:95 A Odunpazarı Eskişehir"/>
        <s v="Vişnelik Mahalledi Atatürk Bulvarı 177/B Odunpazarı-Eskişehir"/>
        <s v="Eskibağlar Mah. Hatboyu-1 Cad. No:9/D Tepebaşı/Eskişehir"/>
        <s v="Batıkent Mahallesi Liman Caddesi 24/A Tepebaşı Eskişehir"/>
        <s v="Hoşnudiye Mahallesi, Siloönü Sokak No:16/A, 26130 Tepebaşı/Eskişehir"/>
        <s v="Büyükdere, Millet Cd., 26040 Odunpazarı/Eskişehir"/>
        <s v="Çamlıca Mahallesi Birlik Cad. No:80 A Tepebaşı Eskişehir"/>
        <s v="Akçağlan Mah. Cumhuriyet Bulvarı cad. No:18 Odunpazarı, Eskişehir"/>
        <s v="Yenidoğan Mah. Sevinç Cad. No:28/A Odunpazarı / Eskişehir"/>
        <s v="Deliklitaş, Hamamyolu Cd. No:81/A,Odunpazarı/Eskişehir"/>
        <s v="Emek Mah. Ertaş Cad. No: 176 / 1-A Odunpazarı / Eskişehir"/>
        <s v="Kırmızıtoprak Mah. M.K. Atatürk Cad. No:95 A Odunpazarı Eskişehir"/>
        <s v="Uluönder Mah. Selva Sok. No:2 B Tepebaşı/ Eskişehir"/>
        <s v="Emek Mah. 2. Arabacılar Cad. No:211 A Odunpazarı/Eskişehir"/>
        <s v="Emek Mah., Yanartaş Sok., No:60, Odunpazarı, Eskişehir, Türkiye,"/>
        <s v="Arife mahallesi tayfun sokak 37 b Odunpazarı Eskişehir"/>
        <s v="ESKİBAĞLAR MAH/SEMT GENÇLİK MERKEZİ SK. NO: 2 İÇ KAPI NO: 19 TEPEBAŞI/ ESKİŞEHİR"/>
        <s v="Büyükdere Mah. Millet Cad. No:15 A Odunpazarı Eskişehir"/>
        <s v="İstiklal Mah. Reşadiye Cad. No:8 İç kapı no:42 Odunpazarı/Eskişehir"/>
        <s v="Arifiye Mahallesi İki Eylül Caddesi No:5 Odunpazarı/Eskişehir"/>
        <s v="Millet Cad., No:59 Büyükdere Mah., Odunpazarı, Eskişehir, Türkiye"/>
        <s v="Mamure Mah. Hasan Polatkan Cad. No:56/A Daire:5 Tepebaşı/Eskişehir"/>
        <s v="YENİDOĞAN MAH. 1.DÖKÜMCÜLER SOK NO:26 ODUNPAZARI ESKİŞEHİR"/>
        <s v="Eskibağlar mah. Gençlik merkezi sok. no :2 iç kapı no:21Tepebaşı /Eskişehir"/>
        <s v="AŞAĞI SÖĞÜTÖNÜ MAH. 1500 BLV. NO: 15 D TEPEBAŞI/ ESKİŞEHİR"/>
        <s v="Batıkent Mah. Şehit Nedim Sarı Sok. No:38/A D:2"/>
        <s v="Sütlüce mah. Eğitimciler Cad. NO:17/a Tepebaşı/Eskişehir"/>
      </sharedItems>
    </cacheField>
    <cacheField name="Geleneksel&#10;Zincir" numFmtId="0">
      <sharedItems>
        <s v="Geleneksel"/>
        <s v="Key"/>
      </sharedItems>
    </cacheField>
    <cacheField name="FOTOĞRAF&#10;SEGMENT" numFmtId="0">
      <sharedItems containsBlank="1">
        <s v="0-15"/>
        <m/>
        <s v="16-25"/>
        <s v="35+"/>
        <s v="26-35"/>
      </sharedItems>
    </cacheField>
    <cacheField name="Aradık Mı?" numFmtId="0">
      <sharedItems containsBlank="1">
        <b v="1"/>
        <b v="0"/>
        <m/>
      </sharedItems>
    </cacheField>
    <cacheField name="Kendi Fotosu&#10;Var" numFmtId="0">
      <sharedItems containsBlank="1">
        <b v="0"/>
        <b v="1"/>
        <m/>
      </sharedItems>
    </cacheField>
    <cacheField name="Randevu Durum" numFmtId="0">
      <sharedItems containsBlank="1">
        <s v="Randevu Alındı"/>
        <s v="Randevu İptal"/>
        <m/>
        <s v="Dönüş Yapacak"/>
        <s v="Çekim İstemiyor"/>
        <s v="Devir"/>
        <s v="Başka Şubeden Çekilecek"/>
        <s v="Ulaşılamadı"/>
        <s v="İleride Randevu Alınacak"/>
        <s v="Restoran Silindi"/>
        <s v="BlackList"/>
        <s v="Tadilat Var"/>
        <s v="Franchise"/>
        <s v="Personel Eksik"/>
        <s v="Sistemden Çıkmak İstiyor"/>
        <s v="Ramazandan Sonra Randevu Istiyor"/>
        <s v="Menü Güncellemesi Yapılacak"/>
      </sharedItems>
    </cacheField>
    <cacheField name="Randevu&#10;Alan" numFmtId="0">
      <sharedItems containsBlank="1">
        <m/>
        <s v="Betül Demir"/>
        <s v="Yurdagül Kulaksız"/>
        <s v="Hatem Soyaslan"/>
        <s v="Emre Dalgıç"/>
        <s v="Güneş"/>
        <s v="Kübra Toprak"/>
        <s v="Zeliha Özer"/>
        <s v="Selcan Topçu"/>
        <s v="Gül Değirmenci"/>
        <s v="Sude Alkan"/>
        <s v="Damla Kılcı"/>
        <s v="Nazmiye Yuka"/>
        <s v="Ayfer Altın"/>
        <s v="Ayşegül Kır"/>
        <s v="Enes Günal"/>
        <s v="Serap Apaydın"/>
        <s v="Nurhayat Kabataş"/>
        <s v="Tuğba Buyur"/>
        <s v="Ecem Ünal"/>
        <s v="Ferhat Köksal"/>
      </sharedItems>
    </cacheField>
    <cacheField name="Fotoğrafçı" numFmtId="0">
      <sharedItems containsBlank="1">
        <s v="Altuğ"/>
        <s v="Muammer Çakır"/>
        <m/>
        <s v="Emir"/>
        <s v="Melika"/>
        <s v="muammer"/>
        <s v="Gülşah Kanallı"/>
        <s v=" muammer"/>
        <s v=" "/>
        <s v="yok saolun teşekkür ederim dedi"/>
        <s v="faik likoglu"/>
        <s v="Sofya &amp; Sonya"/>
        <s v="muammer  "/>
        <s v="RESİMLERİM YETERLİ DEVAM ÇEKİMİ İSTEMİYORUM DEDİ."/>
      </sharedItems>
    </cacheField>
    <cacheField name="Not">
      <sharedItems containsBlank="1" containsMixedTypes="1" containsNumber="1" containsInteger="1">
        <s v="TEYİT İÇİN ARANDI ÇEKİM GERÇEKLEŞTİMİ BİLMİYORUM DEDİLER GERİ DÖNÜŞ YAPACAKLAR ÇEKİM YAPILMAMIŞSA"/>
        <m/>
        <s v="dç istemez/ tam/ fotoğraflar için arandı gerek yok diğerleri ile zaten benzer gibi diğerlerinden alıp koyabilirsiniz dedi."/>
        <s v="gökhan bey/ 5534959158"/>
        <s v="3 hafta sonra randevu için arayacak // kendisidönecek / yeni dükana taşınmış bir hafta 10 güne oluşturmak istedi / henüz kendisini düzene sokamamış çok fazla türkçe konuşamıyor kendisi bana dönüş yapacak sık sık aranmak istemez"/>
        <s v="fotoğraflar için arandı yetkili yok."/>
        <s v="TEYİT İÇİN ARANDI ÇEKİM GERÇEKLEŞMİŞ"/>
        <s v="ürünleri hepsini çıkaramam çekim istemiyorum demektedir.//açmadılar/ikna edilmek üzere arandı açmıyor/ ne dediysem yok ben istemiyorum dedi istemiyor kesinlikle aranmasın."/>
        <s v="Önceki çekim randevusunu gidilmemiş yeni tarih verildi./çekim gerçekleşmiş iki ay oldu dediler / yetkili yoktu ileteceek "/>
        <s v="DEVİR EDEBİLİR // yetkili yokmuş"/>
        <s v="Bahçelievler mah. Fulya sokak no:22/A Bahçelievler / Eskişehir/TEYİT İÇİN ARANDI ÇEKİM GERÇEKLEŞMİŞ"/>
        <s v="MEŞGULE ATIYOR"/>
        <s v="damak tantuni ile aynı ürünler varmış ordan alıp koyabilirsiniz der / damak tantunidekilerin koyulmasını istedi hala koyulmamış (Damak Tantuni, Odunpazarı (Büyükdere Mah.)"/>
        <s v="Eksik ürünlerin fotoğrafların çekimi yapılacak %65 oranında eksik.//TEYİT İÇİN ARANDI ÇEKİM GERÇEKLEŞMİŞ/yt yok"/>
        <s v="gönülsüz gibi 1 ay sonra bi bakalım dedi"/>
        <s v="ulaşılamadı  "/>
        <s v="aradığınız kişiye ulaşılmıyor/ terbiysiz surartıma kapatarak tekrar aradığımda da buyrun buyrun diye konuştu gelin dedi gelmeyin dedi randeuvu oluşturulmadı"/>
        <s v="numara kullanılmıyor/  0532 786 00 08 gülseren hanımdan randevu alındı."/>
        <s v="çekilmiş"/>
        <s v="açmadı"/>
        <s v="yt yok / yetkili yok "/>
        <s v="karantinadaymış/açmadı"/>
        <s v="1 saat sonra"/>
        <n v="5.554896073E9"/>
        <s v="dalgıc sokak"/>
        <s v="başka aramada"/>
        <s v="aradığınız kişiye şuanda ulaşılamıyor"/>
        <s v="5063890126devam çekimi alınmıştı iptal edildi tekrar aranıp alınacak"/>
        <s v="TEYİT İÇİN ARANDI AÇMADILAR"/>
        <s v="açmadı  "/>
        <s v="şahsi işletme/TEYİT İÇİN  ARANDI ULAŞILAMADI/ Teyit için arandı çekim gerçekleştimi diye açmadı.açmadı."/>
        <s v="0546 145 26 00"/>
        <s v="15 gün sonra istiyor/ yetkili yok./5520746065/hatta müşterim bekliyor daha sonra tekrar görüşelim dediler/1 hafta sonra aranacak menü güncellemesi sağlanıyormuş / mail atmış "/>
        <s v="paneli açınca dönecek çekim için"/>
        <s v="FOTOĞRAFLAR VERİLMEYECEKSE BOŞUNA GELMEYİN DEDİ."/>
        <s v="ihtiyacım yok şuan dedi/eleman eksiği varmış kendileri arayacaklar"/>
        <s v="adres değişti takvime eklendi./TEYİT İÇİN ARANDI MÜSAİT DEĞİLİM SONRA ARAYIN DEDİLER"/>
        <s v="TEYİT İÇİN ARANDI YETKİLİ YOKMUŞ/çekim gerçekleşmemiş randevu için arayacaklar/çkım istemıyorlar"/>
        <s v="sezon kapanmış sezon açıldığında tekrar aranıp randevu alınacak / fotoğraflar mevcut gönderirim dedi mail adresi verildi."/>
        <s v="yoğun oldukları için istemiyorlar / gerek yok istemiyorum dedi kapattı / mail verildi"/>
        <s v="Randevuya gidilmemiş Tekrar gün verildi.05055064204yetkili no açmadı./şimdilik kalsın işlerimiz çok düşük"/>
        <s v="Mail atacak/1 yıldır yapamadıgınız ısı sımdımı yapıyorsunuz hanım efendı kapatın telefonu canınızı sıkmayım dedı"/>
        <n v="2.222010008E9"/>
        <s v="Eksik ürünlerinin çekimleri sağlanacak "/>
        <s v="Crazy Chicken'dan alınacak görseller"/>
        <s v="istemıyor"/>
        <s v="4 5 gibi gelir yetkili "/>
        <s v="takvimde fotoğrafçı  fatih likoğlu/doğalgaz projesı oldugu bu hafta ıstemedı"/>
        <n v="5.309420337E9"/>
        <s v="telefonu kapalı"/>
        <s v="TEYİT İÇİN ARANDI ULAŞILAMADI"/>
        <s v="dükkan kapalı"/>
        <s v="dönecek  "/>
        <s v="takvimde fotoğrafçı  fatih likoğlu/ cumartesi saat 5' e devam çekimi alındı."/>
        <s v="ÇEKİM DEVAMI SERVET 5466380079/TEYİT İÇİN ARANDI ÇEKİM GERÇEKLEŞMİŞ"/>
        <s v="Şuan deği ama yazın yapabiliriz dedi.salı günleri indirim yaopıyo gıcık oluyorum iyice yogunum istemiyorum dedi"/>
        <s v="Numara kullanılmıyor/birden fazla şubesi var aranmasın kendisi dönecek"/>
        <s v="Ömer Bey /5383033737/işletme watsap no:5394501999"/>
        <s v="franchise"/>
        <s v="şimdilik kulanmıyormuş/açtı konuşmadı"/>
        <s v="53368262381/TEYİT İÇİN ARANDI ÇEKİM GERÇEKLEŞMİŞ"/>
        <s v="çalışma saatleri değişiyormuş kendisini ayarlayıp bize dönüş sağlayacak"/>
        <s v="numara verildi bizlere geri dönüş yapılacak/ toplu siparişim var ben size dönüş sağlasam olur mu der"/>
        <s v="agla tantunu olarak degıstırılmıs"/>
        <n v="5.453192936E9"/>
        <s v="panelleri ile alakalı ciddi problemleri var iletildi çözülmeden aramayalım."/>
        <s v="1 saate ara/ personelim yok tek çalışıyorum 2 ay sonra arayın"/>
        <s v="bölge sorumlusu ile görüşün dedi "/>
        <s v="arandı ulasılmadı"/>
        <s v="ışletme kucuk oldugu ıcın cekım saglanılmamıs yt tekrardan ıstemıyor "/>
        <s v="Eşi dilek hanım devam çekimi istiyor."/>
        <s v="Fotoğraflarını kendisi çektircek/ İSTEMEDİ "/>
        <s v="daha önce çekim sağlanmış "/>
        <s v="Gözdem Çiğ Köfte Evi, Tepebaşı (Güllük Mah.)"/>
        <s v="ramazandan sonra aranacak hastası varmış//27 sinde arancak dükkanın işleri vamış"/>
        <s v="çekilmiş fotoğraf ama yüklenmemiş/ fotoğraflar için arandı açmadı."/>
        <s v="5468089844/TEYİT İÇİN ARANDI ÇEKİM GERÇEKLEŞMİŞ"/>
        <s v="açıp açıp kapatıyor  "/>
        <s v="numara kullanılmıyor"/>
        <s v="mail verildi "/>
        <s v="eksık urunler ıcın yarın arancak/ istemiyorum ürünüm çok dedi bende devam çekimi yaparız tekrardan dedim fotoğraflara girmeyelim yok dedi."/>
        <s v="Adres de No:11 olacak. /TEYİT İÇİN ARANDI ÇEKİM GERÇEKLEŞMİŞ/şimdilik kalsın eksık urunler"/>
        <s v="haftaya alınabilir"/>
        <s v="ÇEKİLMİŞ./yarın aranacak devam çekimi için/ileri tarihlerde devam çekimi için aranacak düğünleri varmış"/>
        <s v="5068926851/müdürle görüşüp yollicakmış/ 05320664262 fotoğraflar için arandı yetkili yok yetkili no açmadı./ pizzalaeın çekimi yapılmamış çok ilerde devam çekim randevusu alınacak"/>
        <s v="telefon açılmadı/açmadı"/>
        <s v="541 290 18 63 / Çekim gerçekleşmiş devam çekimi olarak aranabilir."/>
        <s v="hülya hanım/5526527926 / ustası eksikmiş ve yoğunlukları varmış şu an da ertelemek istediler."/>
        <s v="sipariş alamıyorum masraf yapamam kalsın "/>
        <s v="Önceki randevuya hiç gidilmemiş./Menüsüyle ilgili ciddi sıkıntıları var "/>
        <s v="5345246749/saat 5 gbı aranılcak/yarım saat sonra aranılck/işletme saat 6 da acılıormus bu yuzden tam gun calıstıgı zmn alınacak randevusu"/>
        <s v="çekimi yapılmış"/>
        <s v="yt yok no verdim"/>
        <s v="Gerek yok dediakşama dogru ararsanız daha iyi olur dedi ikna edilenbilir gibi geldi bana/ ŞUAN DÜŞÜNMÜYORMUŞ /yetkili hastaymış o yüzden sonra aranacak yetkili pazaresi gelir"/>
        <s v="menüde değişiklik yapacağını belirtti/yetkili hastaymış o yüzden sonra aranacak/yt yok 5 ten sonra/aksam uzerı aranılck/yt yok no verdim"/>
        <s v="2 hafta sonra ara/teşekkür ederim sağolun dedi / teşekkür ederim şuan istemiyorum dedi "/>
        <s v="Hüseyin Bey 5432809180 / çok masraf yapıcam dedi"/>
        <s v="Sinan bey/5325657919 DEVAM İSTİYOR AMA HAFTAYA İSTİYOR."/>
        <s v="fotografları bölge sorumlusuna iletmiş yüklemesini saglayacagını söylemiş"/>
        <s v="şuan bir yoğunluğumuz var o bitsin ben sizi araım dedi "/>
        <s v="tayfun bey / 5058473289 "/>
        <s v="ben kendim hallediyorum dedi"/>
        <s v="mail verildi/ FOTOĞRAFI VAR / fotoğraflar için arandı yetkili yok."/>
        <s v="tek çalışıyorum yoğunum gerek yok,düşünürsem ararım"/>
        <s v="5058564410 ahmet bey /1 ay sonra görüşmek ister / yılbasından sonra aranacak / okulun için /beni bir hafta sonra arayın dedi "/>
        <s v="yetkili yok /menu guncellenecek daha sonra aranılck/guncellenmemıs daha / 1 saat sonra / henüz menü güncellemesi bitmemiş / haftaya pazartesi aranacak 7 menü talebi hala olmamış / 5536962626 ümitcan beyin numarası "/>
        <s v="biz kendi çekimlerimizi yaptırdık ama kabul edilmedi o yüzden istemiyorum teşekkürler der suratıma kapattı"/>
        <s v="ULASILMADI/çekım gerceklessmıs yuklenılmıs ama begenılmedıgı ıcın tekrardan kaldırılmıs"/>
        <s v="5325907343hiç bi şekilde ikna olmuyo 12 dakika falan konuştu çok dertli"/>
        <s v="TEYİT İÇİN ARANDI YETKİLİ YOKMUŞ "/>
        <s v="subat ayından snra aranılck"/>
        <s v="15 dkka sonra aranacak /fotoğraflarımız mevcut bu şube içinde kullanıcaz dediler/ fotoğraflar için arandı ulaşılamadı."/>
        <s v="kimse gelip beni ziyaret etmiyor fiyat güncellemesi de olmuyor getir getirsin istiyoru moda yok herkes not alıyor güya ama kimse ilgilenmiyor getir kendini bozdu der / şuanda istemiyorum dedi "/>
        <s v="müsait değilmiş."/>
        <s v="12 1 gibi aranacak/5469419701/açmadıÇEKİM GERÇEKLEŞMEMİŞ İPTAL EDİLMİŞ İLERİ TARİHLERDE RANDEVU İÇİN ARANACAK- - ürün hazırlayacak vakti yok dedi "/>
        <s v="dönecek/yasaklar tamamen kalksın dedi/bu ay ben restoranda olmuycam önümüzdeki aya ypalım dediler - 15 dk ya aranacak yetkili yok ÖNÜMÜZDEKİ AY ARA/ 1 ay sonra tekrar ara der"/>
        <s v="kendi fotoğraflarını atıcak./gerekirse ben çektiririm dedi/ fotoğrafları gönderdim uygun olmadığına dair dönüş yaptınız oyüzden fotoğraflar mevcur değil dedi çekimi biz yapalım dediğimde sürekli arıyorsunuz öyle talebim yok olursa dnüş yaparım dedi."/>
        <s v="hayır istemiyoru deyip kapattı "/>
        <s v="dönecek /5071234444 burak bey mesgul/Çekim gerçekleşmiş./d.ç önümüzdeki hafta olue"/>
        <s v="kayıtlı numara yok/kayıtlı numara yok"/>
        <s v="mail verildi"/>
        <s v="Yeni açıldığı sonra istiyo,/TEYİT İÇİN ARANDI AÇMADILAR"/>
        <s v="tek seferde o kadar ürün çıkartamam dedi/çok fazla ürün çıkartamamd dedi1 saat sonra arancakeşine sorcak"/>
        <s v="mail verildi.çekim istemiyor."/>
        <s v="yt yok döncekler/işletme tasınacakmıs"/>
        <s v="cüneyt bey 5067917147-5363187968/devam çekimi alındı/ çekim gerçekleşmiş."/>
        <s v="MAİL VERILDI / açıp konuşmuyor "/>
        <s v="mail verildi / fotoğraflar için arandı açmadı."/>
        <s v="Devam çekimi için aradım müsait olamıyoruz müsait olunca biz çekip atalım der"/>
        <s v="gerek yok kendimiz çekicez diyor."/>
        <s v="Turgay Bey 5434627180"/>
        <s v="Turgay Bey işletme müdürü;5434627180 /elinde fotoğraflar varmış onların durumuna bi bakayım tekrar görüşelim dedi"/>
        <s v="Diğer dükkanda çekilenlerle bu dükkandaki menü uyuşmuyor // başka dükkanına yapıldı   Magic Meal Cafe &amp; Restaurant, Odunpazarı (Büyükdere Mah.)  /kendı arıycak"/>
        <s v="SUAN ICIN  CEKIM ISTEMEDI GETİR TARAFINDAN DAHA SONRA GRUSMEK ISTEDI/cekım taraftarı degılım dedı"/>
        <s v="fotoğraf 2 ay önce çekilmiş/ 05533088345 furkan beyden devam çekimi alındı."/>
        <s v="ellerinde yüksek kalite fotoğraflar varmış "/>
        <s v="Tekrar arandı teli açan yok/açmıyorlar/açmıyor/ 5419782717 sipariş numarası yetkili yokmuş --5323137276 beklan bey hastanedetymiş daha sonra aranacak/ 1 ay sonra aranacak / yoğunuz der haftaya ara "/>
        <s v="no kullanılmıyor  "/>
        <s v="saha temsilciniz Gökhan beyle bi görüşeyim der / şuan hasta yatıyormuş hafataya tekrar aranacak / mail atacak "/>
        <s v="devam çekimi istemiyor"/>
        <s v="Ahmet Bey/Saliha Hanım/ çekim gerçekleşmiş./ devam çekimi istemiyor"/>
        <s v="yt yok döncekler/5455774657/işletme tasınacakmıs"/>
        <s v="saedece çiğ köfte için fotoğrafa ihtiyaç duymuyoruz der."/>
        <s v="yetkili yok  "/>
        <s v="Salih bey/ pzt tekrar aranacak çünkü şehir dısındaymıs/pzrtesı aranılck daha sonra randvusu olusturulck / aamayın dedi "/>
        <s v="kendi fotoları varmış düşünüp arayacak"/>
        <s v="5444752772/yt yok 5 dkka sonra ara/eksık urunu yok ccekılmıs hepsı/ çekim gerçekleşmiş."/>
        <s v="hepsi standart ekmekte ve hepsi farklı içerikli çok detaylı bir çekim olması gerekiyor içerisini görebilmek için ben de bu kadar detaylı bir çekim istemiyorum der"/>
        <s v="takvimde fotoğrafçı fatih likoğlu çekim gerçekleşmemiş yeniden randevu oluşturuldu"/>
        <s v="saat:11:00"/>
        <s v="olanlar yeterli dedi "/>
        <s v="SALI GÜNÜ EKRARDAN ARANCAK. KARAR VERİCEK.//açmadı/açmadı/ açmadı./ sami bey şuan olmaz hastam var ve tadilatımda  var ddi 20 gün sonrası için olabilir dedi."/>
        <s v="devam cekımı/ diğer şubesine de ekleme yapılacak ama bizim şubemizde diğer şubesi ekli değil "/>
        <s v="TEYİT İÇİN ARANDI ÇEKİM GERÇEKLEŞMEMİŞ YENİ RANDEVU İSTEMEDİLER / dükkan mahkemelikmiş bu yüzden küçülmeye gidiceklermiş istemiyor"/>
        <s v="salı veya cuma için çekim devamına randevu alıncak. // devam çekimi alındı/ saat 5ten sonrası için randevu ıstedı sadece"/>
        <s v="mail verildi.yemek sepetinden alın dedi fotoğrafları kullanamıyoruz dediğimde ozaman çekim istemiyorum kalsın dedi."/>
        <s v="5535059687-dönecek"/>
        <s v="İlgi alaka yok muhatab bulamıyoruz demektedir."/>
        <s v="dç için panelde kontrol edip dönecek/dç ıstemez yeterlıymıs bu kadar urun fotografı"/>
        <s v="kulanılmamakta/kullanılmıyor"/>
        <s v="iki üç gün sonra arayın dediler/ıstemıyor eger olursa bn sıze donus sglrım dedı"/>
        <s v="kendileri çekim yaptırmak istedi "/>
        <s v="açmadı./yt 11.30 gelecek/ çekim istemiyor"/>
        <s v="mail atacak bıze 5312510697"/>
        <s v="şuan işleri drgunmuş"/>
        <s v="Tüm yemekleri bir anda çıkartamam çekim istemiyorum der/yarım saate  gelirmiş4:30 "/>
        <s v="5382208062 Figen Hanım"/>
        <s v="2 şubesi var 2sine de alındı"/>
        <s v="5497870594-ulaş bey yarın aranacak/ DÜŞÜNMÜYORLARMIŞ"/>
        <s v="mail adresi verildi "/>
        <s v="2 ay önce gönderniş yüklenmesini istiyor "/>
        <s v="mail atacak/ fotoğraflar için arandı mail adresi iletildi. yaşar bey 05323651908"/>
        <s v="franchise olduğu için merkezi arayın der/ytk yokmuş 6-7 gibi"/>
        <s v="yetkili yok// açmadı//açmadılaaçmıyor"/>
        <s v="0542 448 38 40 çekim gerçekleşmiş."/>
        <s v="açılış saati 11:45"/>
        <s v="ualaşılmıyor  "/>
        <s v="Fotoğrafçı Fatih"/>
        <s v="sadece pzt gününe istiyorlar"/>
        <s v="takvimde fotoğrafçı fatih likoğlu"/>
        <s v="yetkili yok 5 dakika sonra arancak  /Saat 4-6 arasında aranacak  öğlen yoğun oluyormuş "/>
        <s v="getirden şikayetçi"/>
        <s v="dç istemez/olan fotograflar yeterlı dedı"/>
        <s v="haftaya görüşülecek/ ürünlerin hepsi çekimden sonra çöpe gideecek yazıktır günahtır hiç gerek yok der"/>
        <s v="5335445400   - /TEYİT İÇİN ARANDI ÇEKİM GERÇEKLEŞMİŞ DEVAM ÇEKİMİ İÇİN ARANACAK/yt yok yarın ara/şener bey 12:30 gibi olur dedi.şener bey pazartesi yada salı yapabiliriz şuan için okul kapalı kalabalık olduğu için yetiştiremem çok yoğun oluyorum dedi./dha"/>
        <s v="gülsüm hanım"/>
        <s v="5320570294 kadir /servet 5324124954 mail verildi / fotoğraflar için arandı yetkili yok."/>
        <s v="5 DK SONRA ARANCAK. / açılış saati 12:00/ fotoğraflar için arandı yetkili yok."/>
        <s v="devam çekimi /ertelemek istedi müsait durumuna göre kendiisi dönecek /5366017171 utku harman menu guncellenecek daha sonra aranılck//donus saglıycak kendılerı bız aramıycaz"/>
        <s v="Tekrar arandı masraf yapamayacağı söyledi/gerek yok saolun dyıp kapttı"/>
        <s v="2222393926 dükkan "/>
        <s v="bır hafta sonra aranack müsait bir saate alınacak /gun ıcı musaıt olamıyoruz cok ılerıde grusulebılır dedı- hakan bey numarası : 05376357599 ulasılamadı"/>
        <s v=" ÇEKİMİ YAPILMIŞ 5348782800"/>
        <s v="devam çekimi istiyor"/>
        <s v="Gökhan Bey / Çekim istiyor ama öğleden sonraya / birkaç önceden haber verilmesini istiyor "/>
        <s v="Mahmut beyden randevu alındı."/>
        <s v="Ters konuşan terbiyesiz bir işletmeci/drek ıstemıyorum dedı"/>
        <n v="5.456093291E9"/>
        <s v="gökhan bey d.ç istemez / kalan ürünlkeri çekip gönderecek "/>
        <s v="5321633159 engin bey /mail adresi verildi fotoğrafları gönderimini sağlayacak."/>
        <s v="2222301544devır ıhtımalı var 2 hafta sonra arancak"/>
        <s v="resim istemiyorkurbandan sonra arancak daha sakin olurum ürünlerde boşa gitmez yiyecek adam çok dedi - müsait değilim dedi ayıracak vaktim yok dedi "/>
        <s v="devam çekimi randevu alındı"/>
        <s v="61bb6ca962e0e6750a74d552 Gaziantep Şirinler Tatlı, Odunpazarı (Büyükdere Mah.)"/>
        <n v="5.073281525E9"/>
        <s v="0546 427 95 95 cevapsız/usta eksıklıgı var 10 gun sonra aranılck/0546 427 95 95 cevapsız"/>
        <s v="haftaya size döneceğim der // bayramdan sonra/daha önce çekimi yapılmış  devam çekimmi yapılcakmış yarın öğlen arancak tekrar /takvimde yerini bulamadım/HASTANEDEYİM DAHA SNRA GÖRÜŞELİM DEDİLER."/>
        <s v="dönüş sağlayacak // Gerek duymuyorum istemiyorum der/istemiyoruz sağolun dedi"/>
        <s v="erdal bey "/>
        <s v="getiryemek diyince yüzüme kapattı"/>
        <s v="fotoğrafları varmış ve mail atmış "/>
        <s v="5556889718 hakan bey /TEYİT İÇİN ARANDI ÇEKİM GERÇEKLEŞMİŞ RESİMLER YÜKLENMEMİŞ"/>
        <s v="bize maliyetli olacak istemiyoruz dedi"/>
        <s v="arayıp durmayın dedi teli kapattı"/>
        <s v="devam çekimi"/>
        <s v="TABELA DEĞİŞİKLİĞİ YAPACAKLAR"/>
        <s v="10 dkkada bır cagrı merkezını arıyor ve arayıp bagırarak knsyor"/>
        <s v="istemiyor "/>
        <s v="aksam saatlerine randevu istiyor aksam randevu olusturulamayacksa bence aramayın kadın çok saygısız"/>
        <s v="araç kullanıyorum sonra arayın der/Her aradağımda müsait değilim diyor pek inandırıcı gelmiyor ama yine de tekrar aranıp bilgi verilmeli"/>
        <s v="Menüsü değişecek, kendi fotolar çektirip bize yollayacak/ARAYA PANDEMİ GİRDİ YAPAMADIK DEVİRDE OLABİLİR İŞLETME DEDİ BELLİ DEGİL.."/>
        <s v="siparişlerim hızlı olmadığı için şuan fotoğraf çekimi yaptıramam çıkarttığım ürünleri geri satmam gerek demekte ancak yaz başı gibi olur diyor"/>
        <s v="KENDİ FOT. VAR"/>
        <s v="betül hanım"/>
        <s v="randevu iptali gerçekleşti teyit için arandı açmadı.- 1 buçuk hafta aranacak tadilat var "/>
        <s v="Eksik ürünlerin çekimi yapılacak"/>
        <s v="KENDİMİZ ÇEKİM YAPTIK GÖNDERDİK YÜKLERLER DEDİ.fotoğraflar için arandı meşgul."/>
        <s v="öğleden sonra gelecekmiş  "/>
        <s v="randevuyu yalnızca akşam 6 dan sonra açtıkları için geç saatlere istiyor fotoğrafçı arkadaşla görüşme sağlayıp oluşturulacak. Gökhan Bey yetkili. Güllük mahallesi Gedik çıkmazı sokak 7/A Tepebaşı eskişehir"/>
        <s v="Müsait olmadığı için iptal vermiş/çarşamba günü randevu istiyorlar - misafirim var dedi haftaya çarsamba istiyor /15 dkka sonra aranılck/kndılerı donus saglıycklr"/>
        <s v="5385936830 hüseyin bey-biz maliyeti karşılayamayız kendmiz çekip atalım"/>
        <s v="Alper bey"/>
        <s v="5055829399 adnan "/>
        <s v="çekim gerçekleşmemiş / devam çekimi istemiyor"/>
        <s v="yetkili ilker bey çekimi ileri ki zamanlarda istiyor ben çekimin son zamanları dedim bi daha aranırsa ona göre konuşulsun"/>
        <s v="5324992699 burdan dönüşl yapılacak sistemdeki no aranmasın o işletmeyle ilgilenmiyormuş/ 5326667723 Önder bey çalışma arkadaşlarına sorup dönecek bana / çekilmiş fotoğrafı varmış mail atacak "/>
        <s v="Gerek olmadığını söylüyor./ GEREK YOK DEDİ"/>
        <s v="Çekimi daha önce getir tarafından yapılmış ama ben %0 olduğunu fotoğraf randevusu olmadığını belirttim ısrarla çekildiğini beyan ediyor, farklı bir şubesi olup olmadığını belirttim &quot;hayır yok başka şubem buraya gelip çektiler&quot; dedi tekrardan. Yılbaşından "/>
        <s v="aysu hanım 5461362426"/>
        <s v="çekimler yapılmış bizim tarafımızdan Lezita But’s Döner, Tepebaşı( Bahçelievler Mah.) paneli için randevu alınmş o gün çekilmiş."/>
        <s v="5 6 gibi / yetkili sadece akşamlatı oluyormuş no paylaşmıyorlar/çekim gerçekleşmiş."/>
        <s v="personel sıkıntım var ve ürün maliyeti çok olacak o yüzden gerek duymuyorum der "/>
        <s v="yt aksam 7 bucukta geleckmıs/1 saat sonra aranacak / Kadir Bey 5055617236 Bugün müsait değilim yarın ara dedi"/>
        <s v="Eksik ürünlerin çekimleri yapılacak"/>
        <s v="dger işletmesındekı fotografları yuklemek ıstedı eksık kalanlar ıcınde cekım gerceklesebılır dedı"/>
        <s v="osmangazi kampüs içi merkez çarşı"/>
        <s v="tel kapalı  / istemiyorum dedi "/>
        <s v="5 6 GİBİ ARANCAK./TEYİT İÇİN ARANDI YETKİLİ YOK"/>
        <s v="gun ıcı aranılabılır yt yok haftaya cumaya alınabilir"/>
        <s v="d.ç alındı / Muhammed Bey 5079509184 / Yeni şube açacakmış orda yapalım der"/>
        <s v="Randevu tarihi için aranmış ama Takvime yazılmamış yeni tarih verildi"/>
        <s v="5063559113 serhan bey // mail  atmış"/>
        <s v="dükkanı kaqpatacakmış  "/>
        <s v="Yoğunluk biraz azalsın dediler ileride aranacak İSTEMİYORMUS"/>
        <s v="yetkili  12 de gelirmiş  /5465946373/ deger ısletmesındekı fotografları kullanılcak"/>
        <s v="Gaziantepli Kebapçım, Odunpazarı (Büyükdere Mah.)"/>
        <s v="devam çekimi için arandı yetkili yok / devam çekimi alınabilir "/>
        <s v="DONUS SAGLIYCK/kndılerı donus saglıycklr"/>
        <s v="devam çekimi istemiyor/ devam çekimi için durum iyi değil oyüzden istemiyoruz dedi. / devam çekimi alınabilir "/>
        <s v="eşi aygül hanım ile görüştüm akşam servisindeydi tekrar aranacak /açmadı./ açmadı./ açmadı"/>
        <s v="2 ürün fotoğrafı çekilmiş"/>
        <s v="TEYİT İÇİN ARANDI NUMARA HATALI"/>
        <s v="GETİR ILE ILGILI SORUNLARI VAR FIYATLAR KONUSUNDA "/>
        <s v="Tekrar tekrar arandı teli açan yok// kendileri dönecek/20 dk sonra//5357316198 acmadı/ 4 5 gibi dönecek/ AHMET BEYLE GÖRÜŞME SAĞLADIM PAZARTESİ ARAYIN DEDİ / Yrtkili müsait değilmiş "/>
        <s v="5374836323// açmadı"/>
        <s v="tadilata gireceklermiş geri dönüş sağlayacaklar "/>
        <s v="Fotoğraf çekimi yapıldımı diye arandı açmadı."/>
        <s v="5522265367 geç saate istiyo"/>
        <s v="ürünlerinin olup olmadığına bakıp dönecek"/>
        <s v="tel kapalı"/>
        <s v="5058564410 prof dr nabi avcı bulvarı 4/53 I o bölgeye gidildiği zaman tekrar arancak erteleme talep ediyor/1 ay sonra görüşelim der /sreklı sreklı aramayın dedı kndımız sızlerle ıletısıme gecerı dedı ARANMASIN."/>
        <s v="çekim yapılmış"/>
        <s v="getirle sorunları varmış dinlemeden kapattı "/>
        <s v="yanlış numara"/>
        <s v="cok fazla sorunu var merkeze ıletıldı aranmasın/*10 dkkada bır cagrı merkezını arıyor ve arayıp bagırarak knsyor"/>
        <s v="5331386383 mail verildi"/>
        <s v="watsaptan mesaj gönderdim / no çalmıyor. Ulaşılamıyor"/>
        <s v="kendi fotoğraflarının çekimini gerçekleştirecekmiş"/>
        <s v="Swarthy Fast Food, Tepebaşı (Bahçelievler Mah.) için randevu alındı.yeni bir işletme açacakmış hepsi bir olsun ben sizi arayım dedi irtibat verildi."/>
        <s v="erteleme istedi gününü kendisi dönüş yapacak bildirecek"/>
        <s v="Swarthy Fast Food, Tepebaşı (Bahçelievler Mah.) için randevu alındı/yeni bir işletme açacakmış hepsi bir olsun ben sizi arayım dedi irtibat verildi."/>
        <s v="5330433119 merve hanım "/>
        <s v="Eksik ürün çekimi olmuş tamamlanmasını istiyor./d.ç için müsait değil 5426713812 filiz hanım / öğrenciler gelince yapalım dedi"/>
        <s v="makarnalar çekim için uygun olmuyor gerek yok der"/>
        <s v="ulaşılmıyor."/>
        <s v="5071149897 İŞLETME 4 TE ACILIYOR DHA SONRA ARNILCK"/>
        <s v="TEYİT İÇİN ARANDI MEŞGUL / devam çekimi alındı "/>
        <s v="çekim sağlanmış ama hepsi yüklenmemiş şikayetçi / İşletmeyi kapatmışlar"/>
        <s v="5398856201 Cenazesi var "/>
        <s v="Diğer şubeden alınacak/5435297980 muhammed musait deığiliz."/>
        <s v="maile atacak eksikleri"/>
        <s v="gerek duymuyorum der"/>
        <s v="Cihangir Bey / pizzaları çekilmemiş çok ileri bir tarihte tekrardan devam çekimi alınabilir"/>
        <s v="devam çekimi alındı / Devam çekimi iptal / 10 kere çekildi diyerek azarladı arkadaşlarınız size iletmediyse bu benim problemim değil dedi"/>
        <s v="eksik ürünleri varmış ama bunun için tekrar aranacak yarına çıkmayacakmış ürünleri, ya da kendisi arayacak."/>
        <s v="getir kuryesiyle çalışmak istediği için kimseyle iletişime geçememiş o yüzden de sistemi açıkmış sistemi çıldığı takdirde iletişime geçilebilir"/>
        <s v="Nurgül hnm 5417642626 akşam üzeri tekrar ara"/>
        <s v="ürünler elimde patlar istemiyorum dedi "/>
        <s v="Poyraz bey 5510761483 maliyetler çok olduğu için daha sonra istiyor"/>
        <s v="başka birine ait aranmasın"/>
        <s v="5535059687// açmadı   / ÇEKİM SAĞLAMIŞ "/>
        <s v="5535059687 / ÇEKİM YAPILMIŞ "/>
        <s v="uygun bi günde kendileri dönecek"/>
        <s v="ıkı kere yuzume kapattı/ musa bey yetkiliyle görüşecek duruma göre hareket edecekler / gelip çektiniz eminim diyor "/>
        <s v="çekimi istemiyor"/>
        <s v="daha sonra aranacak"/>
        <s v="şehir dışında olacakmış başka zaman aranabilr/haftaya dönüş yapacak"/>
        <s v="ayşenur hanım eşine işletmeyi açmasını söylemiş ama eşine daha sonra ulaşamamış. kendi fotolarını göndercek"/>
        <s v="eksik numara"/>
        <s v="yoğun oldukları için istemiyorlar mail verildi "/>
        <s v="Emre / Geri dönüş yapacak/TEYİT İÇİN ARANDI ÇEKİM GERÇEKLEŞMİŞ/ çekim gerçekleşmiş./ devam çekimi istemiyor"/>
        <s v="5452778943/ çekim gerçekleştimi diye teyit amacıyla aradım açmadı."/>
        <s v="Serpil Hanım; 5525441104 sistemdeki no aranmasın bu no aransın."/>
        <s v="5464522526/TEYİT İÇİN ARANDI ÇEKİM GERÇEKLEŞMİŞ"/>
        <s v="5386330654 gözde arandı ama mesşguldü / kendisi dönüş yapacak/ VAGA ŞUBESİNDEN İKİ GÜN ÖNCE ÇEKİM SAĞLANMIŞ"/>
        <s v="5386330654 gözde hanım / 60a21d96c4c262bdbf7e6ef1        Mydonos Tantuni, Tepebaşı (Eskibağlar Mah.)"/>
        <s v="5386330654 gözde hanım / kanlıca mahallesi günseri sokak no 1 avm 2.kat "/>
        <s v="PANELDE FOTOĞRAFLARI MEVCUT "/>
        <s v="istemiyoruz dedı"/>
        <s v="devam çekimi alındı"/>
        <s v="aslan bey saat 4 ten sonra arancak/mail paylasılck kndı urunlerının fotogrfları vr"/>
        <s v="Çekim yapılmış/yt yok 1 saat sonra/ çekim gerçekleşmiş."/>
        <s v="mustafa siparişim var dedi yüzüme kapattı"/>
        <s v="Paket servis çalışıyorlar Ürün hazırlamaa vakitleri bulunmuyormuş/ meşgule attı.istemiyorum ürün çıkaramam dedi yoğunluğunuza göre randevu oluşturalım dedim onu bilemeyiz bazen sipariş oluyor bazen olmuyor dedi."/>
        <s v="yapınca ben o urunlerı ne yapıcam demekte"/>
        <s v="bu aralar ıstemıyorlae"/>
        <s v="açılış saati 11:45 / mail adresi iletildi ( izzet bey yetkili ) "/>
        <s v="5357375347 ahmet"/>
        <s v="aranmak istemiyor-açmadı "/>
        <s v="5495492126 / akşam 8 cıvarlarına ıstedı olmayacagını soyledım kendı donecek/yt yok 8 den sonra ara"/>
        <s v="iptalin sebebi için arandı yetkili müsait değilmiş yoldayım dedi."/>
        <s v="yoğun oluyormuş istemedi"/>
        <s v="TEYİT İÇİN  ARANDI ÇEKİM GERÇEKLEŞMİŞ/devam çekimi istemiyor"/>
        <s v="işlemesini akşam 22:00 de açıp sabah 08:00 kapatıyor "/>
        <s v="eskibağlar mah bacı sok 3/D / devam çekimi iptal oldu 2 hafta sonra aranacak tekrar / GEREK YOK DEDİ "/>
        <s v="fotoğrafta görünenin aynısını isteyecek müşteri, o yüzden istemiyorum der"/>
        <s v="ben size dönüş yaparım dedi "/>
        <s v="mail atacak "/>
        <s v="haftaya kızı olunca olabilir "/>
        <s v="ÇEKİM YAPILMIŞ"/>
        <s v="Sizin tarafınızdan çekimler sağlandı bu panel için gerek yok dedi. "/>
        <s v="ŞUAN ÇEKİM İSTEMİYOR "/>
        <s v="haftaya iletişime gteçelim dedi/taner bey hastanede yatıyormus dedı calısanı / nilüfer hanım yetkili ile görüşüp haber verecek / ruhan nhanım ile iletişime geçildi 5413072626 "/>
        <s v="wetransfer uzerınden paylasılcak"/>
        <s v="mustafa bey dönecek"/>
        <s v="daha sonra alınabilir dedi "/>
        <s v="devam cekımı"/>
        <s v="musaıt degılım ıstemıyorum / şu zamnada hiç uygun değiliz dedi "/>
        <s v="kimse gelip beni ziyaret etmiyor fiyat güncellemesi de olmuyor getir getirsin istiyoru moda yok herkes not alıyor güya ama kimse ilgilenmiyor getir kendini bozdu der"/>
        <s v="Çok yoğunuz yoğunluktan dolayı iptal oldu müsait zamanda ben size dönüşyapayım der./  mail atacak"/>
        <s v="maıl atmıs yuklenmemıs poanelı de aktıf olarak kullanmıyorlar zaten"/>
        <s v="devam çekimi "/>
        <s v="Eksik ürün ve yeni menü ürünlerinin çekimleri yapılacak / devam çekimi talebinde bulundular alındı randevu"/>
        <s v="devam çekimi /çekim gerçekleşmiş."/>
        <s v="istemiyorum dedi biz 11 diycez onlar geç gelcek yetişemiycez dedi"/>
        <s v="o kadar ürünü çıkaramam demektedir.eleman eksigim var onu halledersem olabilir ben dönüş saglarım dedi"/>
        <s v="444 2 605/5468063614"/>
        <s v="fotoları prof ama yüklenmemiş tekrar atacak"/>
        <s v="Cepten geri dönüş yapacak / defalarca mail atmış artık yüklenmesini istiyor "/>
        <s v="gülten hanım mail verildi"/>
        <s v="5432626383 getirle problemleri var sistemden çıkmayı bile düşünüyorum "/>
        <s v="mail atmış"/>
        <s v="getirle sorunları nvar/getiri kullanmıyoruz dediler/0555 585 48 72/ULASILMADI"/>
        <s v="dç istemez/ çekim gerçekleştimi diye teyit amacıyla aradım açmadı."/>
        <s v="yt yok yarım saat sonra  / devam çekimi alındı "/>
        <s v="çekim için fotoğrafcıları aramış / açılış saati 13:45"/>
        <s v="Fotoğrafları maile yolladıktan sonra karar verilcek"/>
        <s v="Çekim gerçekleşmiş."/>
        <s v="osman bey 2 saat sonra gelirmiş/osman bey 1 saate gelrmıs"/>
        <s v="kendisi geri dönüş yapacak 05323902026/mail atacaklar"/>
        <s v="15 GÜN KAPALI1 saat sonra arancakyetkili yokmuş/çekim gerçekleşmiş."/>
        <s v="2.şubesi var Park kumpirden fotoğrafları yükleyin diyor./ gerek yok/ gerek yok der"/>
        <s v="belki ilerleyen haftalarda ama şuan değil dedi "/>
        <s v="meşgul  / çekim gerçekleşmiş."/>
        <s v="AÇMIYOR."/>
        <s v="Tekrar çekim için Alper bey kendisi arayacak istiyor ama ayarlama yapacakmış /İLK ÇEKİM YAPILMIŞ DEVAM ALINACAK ONUN İÇİNDE CUMA CUMARTESİ PAZAR HARİCİ HER GÜN OLUR DEDİ.  TEKRAR ARANSIN"/>
        <s v="YARIM SAAT SONRA ARANCAK"/>
        <s v="Davut Bey / 5552587964"/>
        <s v="Eskik çekimeri mevcut tamamlanmasını istedi"/>
        <s v="2222902655 // geçen ay da söyledim istemiyorum der"/>
        <s v="GEREK DUYMUYORUZ DEDI"/>
        <s v="ramazan beyin problemleri var aranmasın /10 dkkada bır cagrı merkezını arıyor ve arayıp bagırarak knsyor"/>
        <s v="aktif kullandıgımız bır yer degıl gerek yok"/>
        <s v="4 5 gibi gelir yetkili"/>
        <s v="61866cab3a95d9741d2b7bb5 buradaki çekimler bu işletmede de kullanılacak menü içerikleri aynı"/>
        <s v="mail verildi atıcak incelenicek/fotoları varmış oglu atcakmış"/>
        <s v="musaıt degılım daha sonra/musaıt degıllermıs ıstemıyorlar bu aralar/ şu an da elektriklerde kesik dahah sonra tekrar görüşelm der"/>
        <n v="5.444686631E9"/>
        <s v="cekım ıstemıyorlar / her gün farklı ürün çıkarttığı için istemiyor"/>
        <n v="5.337264966E9"/>
        <s v="devam çekimi-ustaları rahatsız oldugu için çekim sağlanamadı. daha sonra görüşülcek"/>
        <s v="kırmızı tpoprak şubesinden alınacak"/>
        <s v="5418703525/devam çekimi alındı"/>
        <s v="TEYİT İÇİN ARANDI ÇEKİM GERÇEKLEŞMİŞ/cekım saglanılmıs dç ıcın gerek yok getırı brakmayı dusunuyorum "/>
        <n v="5.453929525E9"/>
        <s v="açılış saati 12:00 saat 15:00 de ara/YT YOK"/>
        <s v="fotoğrafları varmış mail atacak "/>
        <s v="problemlerim var benim bilgim olmadan indirim yapıyorlar dedi  "/>
        <s v="eksik ürünleri de varmış hepsini çıkarınca dönüş sağlayacak / levent bey toplantıdaymış "/>
        <s v="bütün ürünler çekilmiş ama yüklenmemiş  / çekim gerçekleşmiş haydarbey eksik ürünleri için istiyor ama ben size dönüş yaparım dedi ona göre tatlıları hazırlayınca çekim yapılsın dedi aramazsa aranabilir."/>
        <s v="yt yok akşam üzeri 17:00 gibi burada olurlar tekrar arayın derler."/>
        <s v="saolun ıstmıyoruz dedı/ yetkili şehir dışında "/>
        <s v="merkezle iletişime geçilecek"/>
        <s v="Mail atacak"/>
        <n v="5.370289479E9"/>
        <s v="dç istemez / açmadı"/>
        <s v="İŞLETME YETKİLİSİ KIVANÇ BEYMİŞ. HÜSEYİN BEY DEVİR ETMİŞ. SUAN DÜŞÜNMÜYORUM İSTERSEM ARAYIM SİZİ DEDİ İRTİBAT NO VERİLDİ.yetkili yok."/>
        <s v="yetkili kişişu anda yok ben not alıyorum dçnüş yapsınlar der."/>
        <s v="serkan bey yetkili"/>
        <s v="39/B - fatih bey"/>
        <s v="daha öncede görüştük istemiyorum dedi "/>
        <s v="iş yeri sahibi atıcak"/>
        <s v="13:00den sonra aranacak/5315145798/şirket halledıyor dedı"/>
        <s v="10 dk ya aranacak - elinde fotografları varmıs maili adresi verildi/mail atıldı "/>
        <s v="iş yeri sahibi atıcak/yt yok döncekler"/>
        <s v="ÇEKİMİ YAPILMIŞ DİĞER KALAN ÜRÜN İÇİN RAMAZANDAN SONRA DÜŞÜNELİM DEDİ./Devam çekimi ileride randevu için aranacak"/>
        <s v="ÇEKİM GERÇEKLEŞMİŞ. / devam çekimi alındı "/>
        <s v="(ÇEKİM DEVAMI)5061435585"/>
        <s v="mail verildi/ 5323823865"/>
        <n v="5.307761698E9"/>
        <s v="renstorantımızın adı değişti bölge sorumlusu Gökhan bey uygulamadaki paneli kapatmak yerine devir yapmış diğer panel de fotoğraflar var ordan alınıp yüklecek ama ilgilenen yok Gökhan beyin bizi taktığı yok diyerek serzenişte bulundu"/>
        <s v="mücahit bey 5415713662 /ÖZLEM  MAİL ATILDI"/>
        <s v="YANLIŞ NUMARA"/>
        <s v="mail verildi /mail atmayı unutmuş 1 2  gün içerisinde atacaklar "/>
        <s v="ses vermiyo"/>
        <s v="TEYİT İÇİN ARANDI ÇEKİM GERÇEKLEŞMİŞ / Kadir Bey 5055617236 Bugün müsait değilim yarın ara dedi"/>
        <s v="uygun değilmiş"/>
        <s v="5308919026/TEYİT İÇİN ARANDI ÇEKİM GERÇEKLEŞMİŞ / Devam çekimi alındı / devam çekimi iptal İptal sebebi saat 2 ye randevu istiyor ileri zamanda yapalım ama saat 2 de olsun diyor"/>
        <s v="yarım saate ara / tadilata girmiş "/>
        <s v="hiç istekli değildi istemedi3"/>
        <s v="açmadı / 5323137276 beklan bey hastanedetymiş daha sonra aranacak/ 1 ay sonra aranacak "/>
        <s v="hatice hanım mail verildi"/>
        <s v="geçersiz numara/ulasılmadı"/>
        <s v="0554 596 56 28 / getir ile problemleri varmış bu yüzden istemiyorum dedi "/>
        <n v="5.442784229E9"/>
        <s v="5492211982 devam çekimi alındı. / devam çekimi iptal olmuş"/>
        <s v="elim dolu müsait degilim dedi 30 dk ya aranacak / 4390 sakın aramayın bu numarayı şikayetçi "/>
        <s v="5062860106 / 2 saat sonra ara der/kndılerı donus saglıycaklr"/>
        <s v="tadilatları halen devam ediyormuş daha sonra tekrar görüşülecek/ açmadı"/>
        <s v="no101/A 5301103326/2 saat sonra aranılck/dıger subesındekı footograflar kullanılck"/>
        <s v="dç istemez şikayetleri de var"/>
        <s v="Necip Bey 5383161602 / Şimdi değil olacağı zaman ben size dönerim dedi"/>
        <s v="yt yok 10 dk sonra DEVAM İSTEMİYOR MAİL VERİLDİ"/>
        <s v="ileride devam çekimi için aranacak"/>
        <s v="takvimde fotoğrafçı fatih likoğlu devam çekimi olarak alındı//mekanı bahçel olduğu için yağmurdan dolayı iptal edildi ilerleyen günlerde yeni randevu istiyor- yazın randevu istiyor dedi / yaz firmasılarmış tam kapasitemiz yazın oluyor dedi o zaman yapalım"/>
        <s v="Şehir dışında yetkili/yetkili öğleden sonra gelirmiş/yarın aranılck tekrardan yt yok/ Ali bey ile görüşüldü 5538970526"/>
        <s v="devam çekimi istemiyor  "/>
        <s v="diğer şubede çekilmiş "/>
        <s v="TEYİT İÇİN ARANDI ÇEKİM GERÇEKLEŞMİŞ/devam çekimi "/>
        <s v="Ürün çekimleri eksik tamamlanacak % 57 oranında/devam çekimi randevusu oluşturuldu/devam çekimi istemiyoruz çekilenler yeterli dediler / devm çekimi iptal olmuş "/>
        <s v="sistemi yeni açtığım için menü de değişiklik gerçekleşmesi gerek onlar gerçekleşsin ondan sonra ben sizi ararım der"/>
        <s v="Uğur beyden randevu alındı."/>
        <s v="Eksik ürünlerin çekimleri yapılacak%89 oranında eksiklik var./ onur bey : 05427103284"/>
        <s v="Dönecek/ açmadı./ açmadı.açmadı."/>
        <s v="Bölge sorumlusu iletişime geçecek// istemiyorum uygun görürsem ben dönerim der"/>
      </sharedItems>
    </cacheField>
    <cacheField name="Randevu Alma &#10;Tarihi" numFmtId="167">
      <sharedItems containsDate="1" containsString="0" containsBlank="1">
        <d v="2021-02-05T00:00:00Z"/>
        <d v="2022-03-21T00:00:00Z"/>
        <m/>
        <d v="2022-01-05T00:00:00Z"/>
        <d v="2022-01-11T00:00:00Z"/>
        <d v="2022-03-01T00:00:00Z"/>
        <d v="2021-02-23T00:00:00Z"/>
        <d v="2021-11-02T00:00:00Z"/>
        <d v="2021-03-12T00:00:00Z"/>
        <d v="2021-03-06T00:00:00Z"/>
        <d v="2021-12-24T00:00:00Z"/>
        <d v="2021-11-30T00:00:00Z"/>
        <d v="2021-02-04T00:00:00Z"/>
        <d v="2022-01-17T00:00:00Z"/>
        <d v="2022-01-04T00:00:00Z"/>
        <d v="2021-12-31T00:00:00Z"/>
        <d v="2021-11-22T00:00:00Z"/>
        <d v="2021-10-21T00:00:00Z"/>
        <d v="2021-02-11T00:00:00Z"/>
        <d v="2022-01-07T00:00:00Z"/>
        <d v="2021-05-20T00:00:00Z"/>
        <d v="2021-05-18T00:00:00Z"/>
        <d v="2022-01-24T00:00:00Z"/>
        <d v="2021-03-16T00:00:00Z"/>
        <d v="2021-12-02T00:00:00Z"/>
        <d v="2021-11-29T00:00:00Z"/>
        <d v="2021-12-17T00:00:00Z"/>
        <d v="2022-01-12T00:00:00Z"/>
        <d v="2021-03-15T00:00:00Z"/>
        <d v="2021-07-01T00:00:00Z"/>
        <d v="2021-11-26T00:00:00Z"/>
        <d v="2021-02-27T00:00:00Z"/>
        <d v="2021-11-25T00:00:00Z"/>
        <d v="2021-04-22T00:00:00Z"/>
        <d v="2021-03-05T00:00:00Z"/>
        <d v="2021-11-04T00:00:00Z"/>
        <d v="2021-12-18T00:00:00Z"/>
        <d v="2021-02-24T00:00:00Z"/>
        <d v="2021-12-13T00:00:00Z"/>
        <d v="2021-03-08T00:00:00Z"/>
        <d v="2021-11-11T00:00:00Z"/>
        <d v="2021-10-13T00:00:00Z"/>
        <d v="2021-11-09T00:00:00Z"/>
        <d v="2021-02-19T00:00:00Z"/>
        <d v="2022-01-18T00:00:00Z"/>
        <d v="2021-10-28T00:00:00Z"/>
        <d v="2021-11-16T00:00:00Z"/>
        <d v="2021-04-19T00:00:00Z"/>
        <d v="2022-02-09T00:00:00Z"/>
        <d v="2021-02-10T00:00:00Z"/>
        <d v="2022-01-10T00:00:00Z"/>
        <d v="2021-03-11T00:00:00Z"/>
        <d v="2021-10-19T00:00:00Z"/>
        <d v="2021-07-02T00:00:00Z"/>
        <d v="2021-10-30T00:00:00Z"/>
        <d v="2021-03-10T00:00:00Z"/>
        <d v="2021-11-01T00:00:00Z"/>
        <d v="2021-10-22T00:00:00Z"/>
        <d v="2021-10-27T00:00:00Z"/>
        <d v="2021-02-17T00:00:00Z"/>
        <d v="2021-12-01T00:00:00Z"/>
        <d v="2021-12-06T00:00:00Z"/>
        <d v="2021-03-03T00:00:00Z"/>
        <d v="2021-12-16T00:00:00Z"/>
        <d v="2021-02-18T00:00:00Z"/>
        <d v="2021-02-03T00:00:00Z"/>
        <d v="2021-10-12T00:00:00Z"/>
        <d v="2021-07-07T00:00:00Z"/>
        <d v="2021-11-15T00:00:00Z"/>
        <d v="2021-04-28T00:00:00Z"/>
        <d v="2021-03-01T00:00:00Z"/>
        <d v="2021-12-21T00:00:00Z"/>
        <d v="2021-06-30T00:00:00Z"/>
        <d v="2022-01-03T00:00:00Z"/>
        <d v="2022-02-28T00:00:00Z"/>
        <d v="2022-03-05T00:00:00Z"/>
        <d v="2021-10-15T00:00:00Z"/>
        <d v="2021-06-29T00:00:00Z"/>
        <d v="2022-04-04T00:00:00Z"/>
        <d v="2022-03-02T00:00:00Z"/>
        <d v="2021-11-17T00:00:00Z"/>
        <d v="2021-12-22T00:00:00Z"/>
        <d v="2022-03-07T00:00:00Z"/>
        <d v="2021-12-10T00:00:00Z"/>
        <d v="2022-02-07T00:00:00Z"/>
        <d v="2021-11-24T00:00:00Z"/>
        <d v="2021-05-17T00:00:00Z"/>
        <d v="2021-11-08T00:00:00Z"/>
        <d v="2021-12-07T00:00:00Z"/>
        <d v="2021-11-10T00:00:00Z"/>
        <d v="2021-12-28T00:00:00Z"/>
        <d v="2022-03-22T00:00:00Z"/>
        <d v="2021-04-20T00:00:00Z"/>
        <d v="2021-12-15T00:00:00Z"/>
        <d v="2021-10-16T00:00:00Z"/>
        <d v="2022-03-08T00:00:00Z"/>
        <d v="2021-12-11T00:00:00Z"/>
        <d v="2021-12-03T00:00:00Z"/>
        <d v="2021-05-21T00:00:00Z"/>
        <d v="2021-11-03T00:00:00Z"/>
        <d v="2021-10-20T00:00:00Z"/>
        <d v="2021-02-12T00:00:00Z"/>
        <d v="2022-02-04T00:00:00Z"/>
        <d v="2021-03-07T00:00:00Z"/>
        <d v="2021-10-26T00:00:00Z"/>
        <d v="2022-01-19T00:00:00Z"/>
        <d v="2021-02-26T00:00:00Z"/>
        <d v="2022-03-29T00:00:00Z"/>
        <d v="2022-02-10T00:00:00Z"/>
        <d v="2021-12-08T00:00:00Z"/>
        <d v="2022-01-21T00:00:00Z"/>
        <d v="2021-12-27T00:00:00Z"/>
        <d v="2021-10-14T00:00:00Z"/>
        <d v="2021-11-18T00:00:00Z"/>
        <d v="2021-10-09T00:00:00Z"/>
        <d v="2021-11-23T00:00:00Z"/>
        <d v="2021-10-18T00:00:00Z"/>
        <d v="2021-12-20T00:00:00Z"/>
        <d v="2021-12-09T00:00:00Z"/>
        <d v="2021-04-21T00:00:00Z"/>
        <d v="2022-01-20T00:00:00Z"/>
      </sharedItems>
    </cacheField>
    <cacheField name="Randevu &#10;Tarihi" numFmtId="167">
      <sharedItems containsDate="1" containsString="0" containsBlank="1">
        <d v="2021-02-09T00:00:00Z"/>
        <d v="2022-03-23T00:00:00Z"/>
        <m/>
        <d v="2022-01-07T00:00:00Z"/>
        <d v="2021-02-19T00:00:00Z"/>
        <d v="2022-01-20T00:00:00Z"/>
        <d v="2022-03-02T00:00:00Z"/>
        <d v="2021-03-03T00:00:00Z"/>
        <d v="2021-11-04T00:00:00Z"/>
        <d v="2021-03-16T00:00:00Z"/>
        <d v="2021-03-15T00:00:00Z"/>
        <d v="2021-03-09T00:00:00Z"/>
        <d v="2021-12-27T00:00:00Z"/>
        <d v="2021-12-01T00:00:00Z"/>
        <d v="2021-02-10T00:00:00Z"/>
        <d v="2021-02-08T00:00:00Z"/>
        <d v="2022-01-19T00:00:00Z"/>
        <d v="2022-01-05T00:00:00Z"/>
        <d v="2022-01-04T00:00:00Z"/>
        <d v="2021-11-24T00:00:00Z"/>
        <d v="2021-10-22T00:00:00Z"/>
        <d v="2021-02-22T00:00:00Z"/>
        <d v="2022-01-10T00:00:00Z"/>
        <d v="2021-05-22T00:00:00Z"/>
        <d v="2021-05-24T00:00:00Z"/>
        <d v="2022-01-27T00:00:00Z"/>
        <d v="2021-11-03T00:00:00Z"/>
        <d v="2021-05-30T00:00:00Z"/>
        <d v="2021-03-17T00:00:00Z"/>
        <d v="2021-12-07T00:00:00Z"/>
        <d v="2021-11-30T00:00:00Z"/>
        <d v="2021-12-20T00:00:00Z"/>
        <d v="2022-01-12T00:00:00Z"/>
        <d v="2021-03-19T00:00:00Z"/>
        <d v="2021-07-09T00:00:00Z"/>
        <d v="2021-02-11T00:00:00Z"/>
        <d v="2021-03-02T00:00:00Z"/>
        <d v="2021-12-11T00:00:00Z"/>
        <d v="2021-04-26T00:00:00Z"/>
        <d v="2021-12-21T00:00:00Z"/>
        <d v="2021-04-29T00:00:00Z"/>
        <d v="2022-03-22T00:00:00Z"/>
        <d v="2021-02-26T00:00:00Z"/>
        <d v="2021-12-15T00:00:00Z"/>
        <d v="2021-03-10T00:00:00Z"/>
        <d v="2021-11-15T00:00:00Z"/>
        <d v="2021-10-14T00:00:00Z"/>
        <d v="2021-11-11T00:00:00Z"/>
        <d v="2021-03-01T00:00:00Z"/>
        <d v="2021-04-30T00:00:00Z"/>
        <d v="2021-04-28T00:00:00Z"/>
        <d v="2021-04-27T00:00:00Z"/>
        <d v="2021-03-08T00:00:00Z"/>
        <d v="2022-01-11T00:00:00Z"/>
        <d v="2021-10-29T00:00:00Z"/>
        <d v="2021-11-17T00:00:00Z"/>
        <d v="2021-02-16T00:00:00Z"/>
        <d v="2021-03-18T00:00:00Z"/>
        <d v="2021-04-20T00:00:00Z"/>
        <d v="2022-02-10T00:00:00Z"/>
        <d v="2021-02-15T00:00:00Z"/>
        <d v="2022-01-13T00:00:00Z"/>
        <d v="2021-03-12T00:00:00Z"/>
        <d v="2021-10-26T00:00:00Z"/>
        <d v="2021-07-07T00:00:00Z"/>
        <d v="2021-05-23T00:00:00Z"/>
        <d v="2021-10-02T00:00:00Z"/>
        <d v="2021-03-11T00:00:00Z"/>
        <d v="2021-11-10T00:00:00Z"/>
        <d v="2021-10-28T00:00:00Z"/>
        <d v="2021-02-23T00:00:00Z"/>
        <d v="2021-12-02T00:00:00Z"/>
        <d v="2021-12-08T00:00:00Z"/>
        <d v="2021-03-04T00:00:00Z"/>
        <d v="2021-12-29T00:00:00Z"/>
        <d v="2021-02-17T00:00:00Z"/>
        <d v="2021-10-15T00:00:00Z"/>
        <d v="2021-02-24T00:00:00Z"/>
        <d v="2021-10-13T00:00:00Z"/>
        <d v="2022-01-18T00:00:00Z"/>
        <d v="2021-11-16T00:00:00Z"/>
        <d v="2021-07-01T00:00:00Z"/>
        <d v="2022-03-01T00:00:00Z"/>
        <d v="2022-03-07T00:00:00Z"/>
        <d v="2022-04-05T00:00:00Z"/>
        <d v="2022-11-12T00:00:00Z"/>
        <d v="2021-07-05T00:00:00Z"/>
        <d v="2022-03-03T00:00:00Z"/>
        <d v="2021-02-25T00:00:00Z"/>
        <d v="2021-11-18T00:00:00Z"/>
        <d v="2021-07-08T00:00:00Z"/>
        <d v="2022-03-04T00:00:00Z"/>
        <d v="2022-03-08T00:00:00Z"/>
        <d v="2022-02-08T00:00:00Z"/>
        <d v="2021-11-26T00:00:00Z"/>
        <d v="2021-05-18T00:00:00Z"/>
        <d v="2021-11-08T00:00:00Z"/>
        <d v="2022-01-06T00:00:00Z"/>
        <d v="2021-11-12T00:00:00Z"/>
        <d v="2021-12-30T00:00:00Z"/>
        <d v="2021-11-22T00:00:00Z"/>
        <d v="2021-07-06T00:00:00Z"/>
        <d v="2022-03-24T00:00:00Z"/>
        <d v="2021-04-22T00:00:00Z"/>
        <d v="2021-12-22T00:00:00Z"/>
        <d v="2021-12-06T00:00:00Z"/>
        <d v="2021-10-16T00:00:00Z"/>
        <d v="2022-03-09T00:00:00Z"/>
        <d v="2021-02-12T00:00:00Z"/>
        <d v="2021-11-02T00:00:00Z"/>
        <d v="2021-12-14T00:00:00Z"/>
        <d v="2021-05-28T00:00:00Z"/>
        <d v="2021-12-17T00:00:00Z"/>
        <d v="2021-12-13T00:00:00Z"/>
        <d v="2021-11-23T00:00:00Z"/>
        <d v="2021-12-03T00:00:00Z"/>
        <d v="2021-10-21T00:00:00Z"/>
        <d v="2021-12-23T00:00:00Z"/>
        <d v="2022-02-07T00:00:00Z"/>
        <d v="2021-11-05T00:00:00Z"/>
        <d v="2021-10-27T00:00:00Z"/>
        <d v="2022-01-21T00:00:00Z"/>
        <d v="2021-10-20T00:00:00Z"/>
        <d v="2022-04-06T00:00:00Z"/>
        <d v="2021-02-18T00:00:00Z"/>
        <d v="2022-02-11T00:00:00Z"/>
        <d v="2022-02-01T00:00:00Z"/>
        <d v="2021-03-05T00:00:00Z"/>
        <d v="2021-06-30T00:00:00Z"/>
        <d v="2021-10-19T00:00:00Z"/>
        <d v="2022-03-31T00:00:00Z"/>
        <d v="2021-10-12T00:00:00Z"/>
        <d v="2022-01-24T00:00:00Z"/>
        <d v="2021-04-23T00:00:00Z"/>
        <d v="2021-04-21T00:00:00Z"/>
        <d v="2021-07-02T00:00:00Z"/>
      </sharedItems>
    </cacheField>
    <cacheField name="Anket&#10;Durum" numFmtId="0">
      <sharedItems containsBlank="1">
        <m/>
        <s v="Hemen Randevu İstiyorum"/>
        <s v="Fotoğraflarım Var"/>
      </sharedItems>
    </cacheField>
    <cacheField name="1. Arama" numFmtId="0">
      <sharedItems containsBlank="1">
        <m/>
        <s v="Görüşüldü"/>
        <s v="Yetkili Yok"/>
        <s v="Ulaşılamadı"/>
        <s v="Tekrar Aranacak"/>
        <s v="Dönüş Yapaca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özet" cacheId="0" dataCaption="" compact="0" compactData="0">
  <location ref="U1:AA139" firstHeaderRow="0" firstDataRow="1" firstDataCol="1"/>
  <pivotFields>
    <pivotField name="Restauran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name="Satışa&#10;Açık Mı?" compact="0" outline="0" multipleItemSelectionAllowed="1" showAll="0">
      <items>
        <item x="0"/>
        <item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SON 2 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RESİMLİ&#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RESİMSİZ&#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OPLAM&#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Ratio"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t="default"/>
      </items>
    </pivotField>
    <pivotField name="İLÇE" compact="0" outline="0" multipleItemSelectionAllowed="1" showAll="0">
      <items>
        <item x="0"/>
        <item x="1"/>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name="Geleneksel&#10;Zincir" compact="0" outline="0" multipleItemSelectionAllowed="1" showAll="0">
      <items>
        <item x="0"/>
        <item x="1"/>
        <item t="default"/>
      </items>
    </pivotField>
    <pivotField name="FOTOĞRAF&#10;SEGMENT" axis="axisCol" compact="0" outline="0" multipleItemSelectionAllowed="1" showAll="0" sortType="ascending">
      <items>
        <item x="1"/>
        <item x="0"/>
        <item x="2"/>
        <item x="4"/>
        <item x="3"/>
        <item t="default"/>
      </items>
    </pivotField>
    <pivotField name="Aradık Mı?" compact="0" outline="0" multipleItemSelectionAllowed="1" showAll="0">
      <items>
        <item x="0"/>
        <item x="1"/>
        <item x="2"/>
        <item t="default"/>
      </items>
    </pivotField>
    <pivotField name="Kendi Fotosu&#10;Var" compact="0" outline="0" multipleItemSelectionAllowed="1" showAll="0">
      <items>
        <item x="0"/>
        <item x="1"/>
        <item x="2"/>
        <item t="default"/>
      </items>
    </pivotField>
    <pivotField name="Randevu Durum" compact="0" outline="0" multipleItemSelectionAllowed="1" showAll="0">
      <items>
        <item x="0"/>
        <item x="1"/>
        <item x="2"/>
        <item x="3"/>
        <item x="4"/>
        <item x="5"/>
        <item x="6"/>
        <item x="7"/>
        <item x="8"/>
        <item x="9"/>
        <item x="10"/>
        <item x="11"/>
        <item x="12"/>
        <item x="13"/>
        <item x="14"/>
        <item x="15"/>
        <item x="16"/>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Fotoğrafçı" compact="0" outline="0" multipleItemSelectionAllowed="1" showAll="0">
      <items>
        <item x="0"/>
        <item x="1"/>
        <item x="2"/>
        <item x="3"/>
        <item x="4"/>
        <item x="5"/>
        <item x="6"/>
        <item x="7"/>
        <item x="8"/>
        <item x="9"/>
        <item x="10"/>
        <item x="11"/>
        <item x="12"/>
        <item x="13"/>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t="default"/>
      </items>
    </pivotField>
    <pivotField name="Randevu Alma &#10;Tarihi"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Randevu &#10;Tarihi" axis="axisRow" compact="0" numFmtId="167" outline="0" multipleItemSelectionAllowed="1" showAll="0" sortType="ascending">
      <items>
        <item x="2"/>
        <item x="15"/>
        <item x="0"/>
        <item x="14"/>
        <item x="35"/>
        <item x="108"/>
        <item x="60"/>
        <item x="56"/>
        <item x="75"/>
        <item x="124"/>
        <item x="4"/>
        <item x="21"/>
        <item x="70"/>
        <item x="77"/>
        <item x="88"/>
        <item x="42"/>
        <item x="48"/>
        <item x="36"/>
        <item x="7"/>
        <item x="73"/>
        <item x="127"/>
        <item x="52"/>
        <item x="11"/>
        <item x="44"/>
        <item x="67"/>
        <item x="62"/>
        <item x="10"/>
        <item x="9"/>
        <item x="28"/>
        <item x="57"/>
        <item x="33"/>
        <item x="58"/>
        <item x="134"/>
        <item x="103"/>
        <item x="133"/>
        <item x="38"/>
        <item x="51"/>
        <item x="50"/>
        <item x="40"/>
        <item x="49"/>
        <item x="95"/>
        <item x="23"/>
        <item x="65"/>
        <item x="24"/>
        <item x="111"/>
        <item x="27"/>
        <item x="128"/>
        <item x="81"/>
        <item x="135"/>
        <item x="86"/>
        <item x="101"/>
        <item x="64"/>
        <item x="90"/>
        <item x="34"/>
        <item x="66"/>
        <item x="131"/>
        <item x="78"/>
        <item x="46"/>
        <item x="76"/>
        <item x="106"/>
        <item x="129"/>
        <item x="122"/>
        <item x="116"/>
        <item x="20"/>
        <item x="63"/>
        <item x="120"/>
        <item x="69"/>
        <item x="54"/>
        <item x="109"/>
        <item x="26"/>
        <item x="8"/>
        <item x="119"/>
        <item x="96"/>
        <item x="68"/>
        <item x="47"/>
        <item x="98"/>
        <item x="45"/>
        <item x="80"/>
        <item x="55"/>
        <item x="89"/>
        <item x="100"/>
        <item x="114"/>
        <item x="19"/>
        <item x="94"/>
        <item x="30"/>
        <item x="13"/>
        <item x="71"/>
        <item x="115"/>
        <item x="105"/>
        <item x="29"/>
        <item x="72"/>
        <item x="37"/>
        <item x="113"/>
        <item x="110"/>
        <item x="43"/>
        <item x="112"/>
        <item x="31"/>
        <item x="39"/>
        <item x="104"/>
        <item x="117"/>
        <item x="12"/>
        <item x="74"/>
        <item x="99"/>
        <item x="18"/>
        <item x="17"/>
        <item x="97"/>
        <item x="3"/>
        <item x="22"/>
        <item x="53"/>
        <item x="32"/>
        <item x="61"/>
        <item x="79"/>
        <item x="16"/>
        <item x="5"/>
        <item x="121"/>
        <item x="132"/>
        <item x="25"/>
        <item x="126"/>
        <item x="118"/>
        <item x="93"/>
        <item x="59"/>
        <item x="125"/>
        <item x="82"/>
        <item x="6"/>
        <item x="87"/>
        <item x="91"/>
        <item x="83"/>
        <item x="92"/>
        <item x="107"/>
        <item x="41"/>
        <item x="1"/>
        <item x="102"/>
        <item x="130"/>
        <item x="84"/>
        <item x="123"/>
        <item x="85"/>
        <item t="default"/>
      </items>
    </pivotField>
    <pivotField name="Anket&#10;Durum" compact="0" outline="0" multipleItemSelectionAllowed="1" showAll="0">
      <items>
        <item x="0"/>
        <item x="1"/>
        <item x="2"/>
        <item t="default"/>
      </items>
    </pivotField>
    <pivotField name="1. Arama" compact="0" outline="0" multipleItemSelectionAllowed="1" showAll="0">
      <items>
        <item x="0"/>
        <item x="1"/>
        <item x="2"/>
        <item x="3"/>
        <item x="4"/>
        <item x="5"/>
        <item t="default"/>
      </items>
    </pivotField>
  </pivotFields>
  <rowFields>
    <field x="24"/>
  </rowFields>
  <colFields>
    <field x="16"/>
  </colFields>
  <dataFields>
    <dataField name="COUNTA of Restaurant ID" fld="0" subtotal="count" baseField="0"/>
  </dataFields>
</pivotTableDefinition>
</file>

<file path=xl/pivotTables/pivotTable2.xml><?xml version="1.0" encoding="utf-8"?>
<pivotTableDefinition xmlns="http://schemas.openxmlformats.org/spreadsheetml/2006/main" name="özet 2" cacheId="0" dataCaption="" compact="0" compactData="0">
  <location ref="B31:C32" firstHeaderRow="0" firstDataRow="1" firstDataCol="0" rowPageCount="1" colPageCount="1"/>
  <pivotFields>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 name="Satışa&#10;Açık Mı?" axis="axisPage" compact="0" outline="0" multipleItemSelectionAllowed="1" showAll="0">
      <items>
        <item h="1" x="0"/>
        <item h="1"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t="default"/>
      </items>
    </pivotField>
    <pivotField name="SON 2 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t="default"/>
      </items>
    </pivotField>
    <pivotField name="RESİMLİ&#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RESİMSİZ&#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OPLAM&#10;ÜRÜ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Ratio"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t="default"/>
      </items>
    </pivotField>
    <pivotField name="İLÇE" axis="axisRow" dataField="1" compact="0" outline="0" multipleItemSelectionAllowed="1" showAll="0" sortType="ascending">
      <items>
        <item x="0"/>
        <item x="1"/>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t="default"/>
      </items>
    </pivotField>
    <pivotField name="Geleneksel&#10;Zincir" compact="0" outline="0" multipleItemSelectionAllowed="1" showAll="0">
      <items>
        <item x="0"/>
        <item x="1"/>
        <item t="default"/>
      </items>
    </pivotField>
    <pivotField name="FOTOĞRAF&#10;SEGMENT" compact="0" outline="0" multipleItemSelectionAllowed="1" showAll="0">
      <items>
        <item x="0"/>
        <item x="1"/>
        <item x="2"/>
        <item x="3"/>
        <item x="4"/>
        <item t="default"/>
      </items>
    </pivotField>
    <pivotField name="Aradık Mı?" compact="0" outline="0" multipleItemSelectionAllowed="1" showAll="0">
      <items>
        <item x="0"/>
        <item x="1"/>
        <item x="2"/>
        <item t="default"/>
      </items>
    </pivotField>
    <pivotField name="Kendi Fotosu&#10;Var" compact="0" outline="0" multipleItemSelectionAllowed="1" showAll="0">
      <items>
        <item x="0"/>
        <item x="1"/>
        <item x="2"/>
        <item t="default"/>
      </items>
    </pivotField>
    <pivotField name="Randevu Durum" compact="0" outline="0" multipleItemSelectionAllowed="1" showAll="0">
      <items>
        <item x="0"/>
        <item x="1"/>
        <item x="2"/>
        <item x="3"/>
        <item x="4"/>
        <item x="5"/>
        <item x="6"/>
        <item x="7"/>
        <item x="8"/>
        <item x="9"/>
        <item x="10"/>
        <item x="11"/>
        <item x="12"/>
        <item x="13"/>
        <item x="14"/>
        <item x="15"/>
        <item x="16"/>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Fotoğrafçı" compact="0" outline="0" multipleItemSelectionAllowed="1" showAll="0">
      <items>
        <item x="0"/>
        <item x="1"/>
        <item x="2"/>
        <item x="3"/>
        <item x="4"/>
        <item x="5"/>
        <item x="6"/>
        <item x="7"/>
        <item x="8"/>
        <item x="9"/>
        <item x="10"/>
        <item x="11"/>
        <item x="12"/>
        <item x="13"/>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t="default"/>
      </items>
    </pivotField>
    <pivotField name="Randevu Alma &#10;Tarihi"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Randevu &#10;Tarihi"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Anket&#10;Durum" compact="0" outline="0" multipleItemSelectionAllowed="1" showAll="0">
      <items>
        <item x="0"/>
        <item x="1"/>
        <item x="2"/>
        <item t="default"/>
      </items>
    </pivotField>
    <pivotField name="1. Arama" compact="0" outline="0" multipleItemSelectionAllowed="1" showAll="0">
      <items>
        <item x="0"/>
        <item x="1"/>
        <item x="2"/>
        <item x="3"/>
        <item x="4"/>
        <item x="5"/>
        <item t="default"/>
      </items>
    </pivotField>
  </pivotFields>
  <rowFields>
    <field x="12"/>
  </rowFields>
  <pageFields>
    <pageField fld="2"/>
  </pageFields>
  <dataFields>
    <dataField name="COUNTA of İLÇE"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k.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search?q=Belk%C4%B1s+Day%C4%B1o%C4%9Flu+Pide+Kebab%2C+Odunpazar%C4%B1+(Orhangazi+Mah.)+ileti%C5%9F&amp;rlz=1C1CHBD_trTR944TR944&amp;oq=Belk%C4%B1s+Day%C4%B1o%C4%9Flu+Pide+Kebab%2C+Odunpazar%C4%B1+(Orhangazi+Mah.)+ileti%C5%9F+&amp;aqs=chrome..69i57j35i39i362l8...8.1148j0j7&amp;sourceid=chrome&amp;ie=UTF-8" TargetMode="External"/><Relationship Id="rId2" Type="http://schemas.openxmlformats.org/officeDocument/2006/relationships/hyperlink" Target="https://www.google.com/search?q=Ege+D%C3%B6ner+Ekrem+Usta%2C+Odunpazar%C4%B1+%28Arifiye+Mah.%29+getir&amp;rlz=1C1RLNS_trTR932TR932&amp;sxsrf=AOaemvLTj0VPfxbtlbEX2kpgNheoed7NWA%3A1634288880912&amp;ei=8ERpYbT3NtaG9u8P2Ke3mAM&amp;ved=0ahUKEwi0r9PBiMzzAhVWg_0HHdjTDTMQ4dUDCA4&amp;uact=5&amp;oq=Ege+D%C3%B6ner+Ekrem+Usta%2C+Odunpazar%C4%B1+%28Arifiye+Mah.%29+getir&amp;gs_lcp=Cgdnd3Mtd2l6EAM6CAgAEIAEELEDOgcIABCxAxBDOgQIABBDOgUIABCABDoGCAAQBxAeSgQIQRgAUMsOWOwRYNkWaABwAHgAgAGsAYgBwgKSAQMwLjKYAQCgAQGgAQLAAQE&amp;sclient=gws-wiz" TargetMode="External"/><Relationship Id="rId3" Type="http://schemas.openxmlformats.org/officeDocument/2006/relationships/hyperlink" Target="https://www.google.com/search?q=Sa%C4%9Fl%C4%B1k+Lahmacun%2C+Tepeba%C5%9F%C4%B1+%28Cumhuriye+Mah.%29&amp;sxsrf=AOaemvLyYnMZ21BvS7SjoD0_G6fc4o6uDQ%3A1637236868278&amp;ei=hECWYcTvD5GFlQfSlaaYCw&amp;ved=0ahUKEwjEwcjP7qH0AhWRQuUKHdKKCbMQ4dUDCA4&amp;oq=Sa%C4%9Fl%C4%B1k+Lahmacun%2C+Tepeba%C5%9F%C4%B1+%28Cumhuriye+Mah.%29&amp;gs_lcp=Cgdnd3Mtd2l6EAw6BwgjEOoCECdKBAhBGABQrAtYrAtgpQ5oAXACeACAAeABiAHgAZIBAzItMZgBAKABAaABArABCsABAQ&amp;sclient=gws-wiz" TargetMode="External"/><Relationship Id="rId4" Type="http://schemas.openxmlformats.org/officeDocument/2006/relationships/hyperlink" Target="https://www.google.com/search?q=Vegan+Eski%C5%9Fehir%2C+Odunpazar%C4%B1+(Deliklita%C5%9F+Mah.)&amp;oq=Vegan+Eski%C5%9Fehir%2C+Odunpazar%C4%B1+(Deliklita%C5%9F+Mah.)&amp;aqs=chrome..69i57.226j0j4&amp;sourceid=chrome&amp;ie=UTF-8"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
    <col customWidth="1" min="2" max="2" width="8.5"/>
    <col customWidth="1" min="3" max="3" width="13.5"/>
    <col customWidth="1" min="4" max="4" width="9.5"/>
    <col customWidth="1" min="5" max="5" width="11.5"/>
    <col customWidth="1" min="6" max="6" width="29.0"/>
    <col customWidth="1" min="7" max="7" width="6.88"/>
    <col customWidth="1" min="8" max="8" width="14.75"/>
    <col customWidth="1" min="9" max="9" width="29.75"/>
    <col customWidth="1" min="10" max="10" width="43.5"/>
  </cols>
  <sheetData>
    <row r="1" ht="24.75" customHeight="1">
      <c r="A1" s="1"/>
      <c r="B1" s="2"/>
      <c r="C1" s="2" t="s">
        <v>0</v>
      </c>
      <c r="D1" s="1" t="s">
        <v>1</v>
      </c>
      <c r="E1" s="3" t="s">
        <v>2</v>
      </c>
      <c r="F1" s="3" t="s">
        <v>3</v>
      </c>
      <c r="G1" s="4" t="s">
        <v>4</v>
      </c>
      <c r="H1" s="3" t="s">
        <v>5</v>
      </c>
      <c r="I1" s="3" t="s">
        <v>6</v>
      </c>
      <c r="J1" s="3" t="s">
        <v>7</v>
      </c>
      <c r="K1" s="5" t="s">
        <v>8</v>
      </c>
      <c r="L1" s="3" t="s">
        <v>9</v>
      </c>
      <c r="M1" s="3" t="s">
        <v>10</v>
      </c>
      <c r="N1" s="3" t="s">
        <v>11</v>
      </c>
      <c r="O1" s="3" t="s">
        <v>12</v>
      </c>
      <c r="P1" s="6"/>
      <c r="Q1" s="6"/>
      <c r="R1" s="6"/>
      <c r="S1" s="6"/>
      <c r="T1" s="6"/>
      <c r="U1" s="6"/>
      <c r="V1" s="6"/>
      <c r="W1" s="6"/>
      <c r="X1" s="6"/>
      <c r="Y1" s="6"/>
      <c r="Z1" s="6"/>
      <c r="AA1" s="6"/>
      <c r="AB1" s="6"/>
    </row>
    <row r="2" hidden="1">
      <c r="A2" s="7"/>
      <c r="B2" s="7"/>
      <c r="C2" s="7">
        <v>44235.0</v>
      </c>
      <c r="D2" s="8"/>
      <c r="E2" s="9"/>
      <c r="F2" s="10"/>
      <c r="G2" s="10"/>
      <c r="H2" s="10"/>
      <c r="I2" s="10"/>
      <c r="J2" s="10"/>
      <c r="K2" s="10"/>
      <c r="L2" s="11"/>
      <c r="M2" s="12"/>
      <c r="N2" s="6"/>
      <c r="O2" s="6"/>
      <c r="P2" s="6"/>
      <c r="Q2" s="6"/>
      <c r="R2" s="6"/>
      <c r="S2" s="6"/>
      <c r="T2" s="6"/>
      <c r="U2" s="6"/>
      <c r="V2" s="6"/>
      <c r="W2" s="6"/>
      <c r="X2" s="6"/>
      <c r="Y2" s="6"/>
      <c r="Z2" s="6"/>
      <c r="AA2" s="6"/>
      <c r="AB2" s="6"/>
    </row>
    <row r="3" hidden="1">
      <c r="A3" s="13" t="str">
        <f t="shared" ref="A3:A605" si="1">E3</f>
        <v>5f723b068cdcec6cea6fb0f8</v>
      </c>
      <c r="B3" s="13"/>
      <c r="C3" s="13" t="s">
        <v>13</v>
      </c>
      <c r="D3" s="14"/>
      <c r="E3" s="15" t="s">
        <v>14</v>
      </c>
      <c r="F3" s="15" t="s">
        <v>15</v>
      </c>
      <c r="G3" s="16" t="s">
        <v>16</v>
      </c>
      <c r="H3" s="17" t="s">
        <v>17</v>
      </c>
      <c r="I3" s="18" t="s">
        <v>18</v>
      </c>
      <c r="J3" s="15" t="s">
        <v>19</v>
      </c>
      <c r="K3" s="19"/>
      <c r="L3" s="18">
        <v>4.0</v>
      </c>
      <c r="M3" s="20">
        <f>VLOOKUP(E3,'Hedef Liste'!A:I,8,false)</f>
        <v>5</v>
      </c>
      <c r="N3" s="21" t="b">
        <v>0</v>
      </c>
      <c r="O3" s="21" t="b">
        <v>0</v>
      </c>
      <c r="P3" s="6"/>
      <c r="Q3" s="6"/>
      <c r="R3" s="6"/>
      <c r="S3" s="6"/>
      <c r="T3" s="6"/>
      <c r="U3" s="6"/>
      <c r="V3" s="6"/>
      <c r="W3" s="6"/>
      <c r="X3" s="6"/>
      <c r="Y3" s="6"/>
      <c r="Z3" s="6"/>
      <c r="AA3" s="6"/>
      <c r="AB3" s="6"/>
    </row>
    <row r="4" hidden="1">
      <c r="A4" s="13" t="str">
        <f t="shared" si="1"/>
        <v>5f33c6e6572e4c8d5bc3e1df</v>
      </c>
      <c r="B4" s="13"/>
      <c r="C4" s="13" t="s">
        <v>13</v>
      </c>
      <c r="D4" s="14"/>
      <c r="E4" s="15" t="s">
        <v>20</v>
      </c>
      <c r="F4" s="15" t="s">
        <v>21</v>
      </c>
      <c r="G4" s="22">
        <v>0.5416666666666666</v>
      </c>
      <c r="H4" s="17" t="s">
        <v>17</v>
      </c>
      <c r="I4" s="18" t="s">
        <v>22</v>
      </c>
      <c r="J4" s="15" t="s">
        <v>23</v>
      </c>
      <c r="K4" s="23"/>
      <c r="L4" s="18">
        <v>13.0</v>
      </c>
      <c r="M4" s="24" t="str">
        <f>VLOOKUP(E4,'Hedef Liste'!A:I,8,false)</f>
        <v>#N/A</v>
      </c>
      <c r="N4" s="21" t="b">
        <v>0</v>
      </c>
      <c r="O4" s="21" t="b">
        <v>0</v>
      </c>
      <c r="P4" s="6"/>
      <c r="Q4" s="6"/>
      <c r="R4" s="6"/>
      <c r="S4" s="6"/>
      <c r="T4" s="6"/>
      <c r="U4" s="6"/>
      <c r="V4" s="6"/>
      <c r="W4" s="6"/>
      <c r="X4" s="6"/>
      <c r="Y4" s="6"/>
      <c r="Z4" s="6"/>
      <c r="AA4" s="6"/>
      <c r="AB4" s="6"/>
    </row>
    <row r="5" hidden="1">
      <c r="A5" s="13" t="str">
        <f t="shared" si="1"/>
        <v>5fd3e01912cbf37cc3e51a9a</v>
      </c>
      <c r="B5" s="13"/>
      <c r="C5" s="13" t="s">
        <v>13</v>
      </c>
      <c r="D5" s="14"/>
      <c r="E5" s="15" t="s">
        <v>24</v>
      </c>
      <c r="F5" s="15" t="s">
        <v>25</v>
      </c>
      <c r="G5" s="22">
        <v>0.6875</v>
      </c>
      <c r="H5" s="17" t="s">
        <v>17</v>
      </c>
      <c r="I5" s="25" t="s">
        <v>26</v>
      </c>
      <c r="J5" s="15" t="s">
        <v>27</v>
      </c>
      <c r="K5" s="19"/>
      <c r="L5" s="18">
        <v>11.0</v>
      </c>
      <c r="M5" s="24" t="str">
        <f>VLOOKUP(E5,'Hedef Liste'!A:I,8,false)</f>
        <v>#N/A</v>
      </c>
      <c r="N5" s="21" t="b">
        <v>0</v>
      </c>
      <c r="O5" s="21" t="b">
        <v>0</v>
      </c>
      <c r="P5" s="6"/>
      <c r="Q5" s="6"/>
      <c r="R5" s="6"/>
      <c r="S5" s="6"/>
      <c r="T5" s="6"/>
      <c r="U5" s="6"/>
      <c r="V5" s="6"/>
      <c r="W5" s="6"/>
      <c r="X5" s="6"/>
      <c r="Y5" s="6"/>
      <c r="Z5" s="6"/>
      <c r="AA5" s="6"/>
      <c r="AB5" s="6"/>
    </row>
    <row r="6" hidden="1">
      <c r="A6" s="13" t="str">
        <f t="shared" si="1"/>
        <v>600632a626a65ac94432c35f</v>
      </c>
      <c r="B6" s="13"/>
      <c r="C6" s="13" t="s">
        <v>13</v>
      </c>
      <c r="D6" s="14"/>
      <c r="E6" s="15" t="s">
        <v>28</v>
      </c>
      <c r="F6" s="15" t="s">
        <v>29</v>
      </c>
      <c r="G6" s="16" t="s">
        <v>30</v>
      </c>
      <c r="H6" s="17" t="s">
        <v>17</v>
      </c>
      <c r="I6" s="25" t="s">
        <v>26</v>
      </c>
      <c r="J6" s="15" t="s">
        <v>27</v>
      </c>
      <c r="K6" s="23"/>
      <c r="L6" s="18">
        <v>6.0</v>
      </c>
      <c r="M6" s="24" t="str">
        <f>VLOOKUP(E6,'Hedef Liste'!A:I,8,false)</f>
        <v>#N/A</v>
      </c>
      <c r="N6" s="21" t="b">
        <v>0</v>
      </c>
      <c r="O6" s="21" t="b">
        <v>0</v>
      </c>
      <c r="P6" s="6"/>
      <c r="Q6" s="6"/>
      <c r="R6" s="6"/>
      <c r="S6" s="6"/>
      <c r="T6" s="6"/>
      <c r="U6" s="6"/>
      <c r="V6" s="6"/>
      <c r="W6" s="6"/>
      <c r="X6" s="6"/>
      <c r="Y6" s="6"/>
      <c r="Z6" s="6"/>
      <c r="AA6" s="6"/>
      <c r="AB6" s="6"/>
    </row>
    <row r="7" hidden="1">
      <c r="A7" s="13" t="str">
        <f t="shared" si="1"/>
        <v/>
      </c>
      <c r="B7" s="13"/>
      <c r="C7" s="13" t="s">
        <v>13</v>
      </c>
      <c r="D7" s="6"/>
      <c r="E7" s="6"/>
      <c r="F7" s="6"/>
      <c r="G7" s="26"/>
      <c r="H7" s="6"/>
      <c r="I7" s="6"/>
      <c r="J7" s="6"/>
      <c r="K7" s="6"/>
      <c r="L7" s="6"/>
      <c r="M7" s="12"/>
      <c r="N7" s="6" t="b">
        <v>0</v>
      </c>
      <c r="O7" s="6" t="b">
        <v>0</v>
      </c>
      <c r="P7" s="6"/>
      <c r="Q7" s="6"/>
      <c r="R7" s="6"/>
      <c r="S7" s="6"/>
      <c r="T7" s="6"/>
      <c r="U7" s="6"/>
      <c r="V7" s="6"/>
      <c r="W7" s="6"/>
      <c r="X7" s="6"/>
      <c r="Y7" s="6"/>
      <c r="Z7" s="6"/>
      <c r="AA7" s="6"/>
      <c r="AB7" s="6"/>
    </row>
    <row r="8" hidden="1">
      <c r="A8" s="13" t="str">
        <f t="shared" si="1"/>
        <v/>
      </c>
      <c r="B8" s="13"/>
      <c r="C8" s="13" t="s">
        <v>13</v>
      </c>
      <c r="D8" s="6"/>
      <c r="E8" s="6"/>
      <c r="F8" s="6"/>
      <c r="G8" s="26"/>
      <c r="H8" s="6"/>
      <c r="I8" s="6"/>
      <c r="J8" s="6"/>
      <c r="K8" s="6"/>
      <c r="L8" s="6"/>
      <c r="M8" s="12"/>
      <c r="N8" s="6" t="b">
        <v>0</v>
      </c>
      <c r="O8" s="6" t="b">
        <v>0</v>
      </c>
      <c r="P8" s="6"/>
      <c r="Q8" s="6"/>
      <c r="R8" s="6"/>
      <c r="S8" s="6"/>
      <c r="T8" s="6"/>
      <c r="U8" s="6"/>
      <c r="V8" s="6"/>
      <c r="W8" s="6"/>
      <c r="X8" s="6"/>
      <c r="Y8" s="6"/>
      <c r="Z8" s="6"/>
      <c r="AA8" s="6"/>
      <c r="AB8" s="6"/>
    </row>
    <row r="9" hidden="1">
      <c r="A9" s="13" t="str">
        <f t="shared" si="1"/>
        <v>5f75a57096c8ed304936c0a2</v>
      </c>
      <c r="B9" s="13"/>
      <c r="C9" s="13" t="s">
        <v>31</v>
      </c>
      <c r="D9" s="14"/>
      <c r="E9" s="15" t="s">
        <v>32</v>
      </c>
      <c r="F9" s="15" t="s">
        <v>33</v>
      </c>
      <c r="G9" s="16" t="s">
        <v>34</v>
      </c>
      <c r="H9" s="18" t="s">
        <v>35</v>
      </c>
      <c r="I9" s="18" t="s">
        <v>36</v>
      </c>
      <c r="J9" s="15" t="s">
        <v>37</v>
      </c>
      <c r="K9" s="19"/>
      <c r="L9" s="18">
        <v>18.0</v>
      </c>
      <c r="M9" s="24" t="str">
        <f>VLOOKUP(E9,'Hedef Liste'!A:I,8,false)</f>
        <v>#N/A</v>
      </c>
      <c r="N9" s="21" t="b">
        <v>0</v>
      </c>
      <c r="O9" s="21" t="b">
        <v>0</v>
      </c>
      <c r="P9" s="6"/>
      <c r="Q9" s="6"/>
      <c r="R9" s="6"/>
      <c r="S9" s="6"/>
      <c r="T9" s="6"/>
      <c r="U9" s="6"/>
      <c r="V9" s="6"/>
      <c r="W9" s="6"/>
      <c r="X9" s="6"/>
      <c r="Y9" s="6"/>
      <c r="Z9" s="6"/>
      <c r="AA9" s="6"/>
      <c r="AB9" s="6"/>
    </row>
    <row r="10" hidden="1">
      <c r="A10" s="13" t="str">
        <f t="shared" si="1"/>
        <v>5ffb7551e348f63a5fa2656b</v>
      </c>
      <c r="B10" s="13"/>
      <c r="C10" s="13" t="s">
        <v>31</v>
      </c>
      <c r="D10" s="14"/>
      <c r="E10" s="15" t="s">
        <v>38</v>
      </c>
      <c r="F10" s="15" t="s">
        <v>39</v>
      </c>
      <c r="G10" s="16" t="s">
        <v>16</v>
      </c>
      <c r="H10" s="17" t="s">
        <v>17</v>
      </c>
      <c r="I10" s="25" t="s">
        <v>40</v>
      </c>
      <c r="J10" s="18" t="s">
        <v>41</v>
      </c>
      <c r="K10" s="19"/>
      <c r="L10" s="18">
        <v>25.0</v>
      </c>
      <c r="M10" s="24" t="str">
        <f>VLOOKUP(E10,'Hedef Liste'!A:I,8,false)</f>
        <v>#N/A</v>
      </c>
      <c r="N10" s="21" t="b">
        <v>0</v>
      </c>
      <c r="O10" s="21" t="b">
        <v>0</v>
      </c>
      <c r="P10" s="6"/>
      <c r="Q10" s="6"/>
      <c r="R10" s="6"/>
      <c r="S10" s="6"/>
      <c r="T10" s="6"/>
      <c r="U10" s="6"/>
      <c r="V10" s="6"/>
      <c r="W10" s="6"/>
      <c r="X10" s="6"/>
      <c r="Y10" s="6"/>
      <c r="Z10" s="6"/>
      <c r="AA10" s="6"/>
      <c r="AB10" s="6"/>
    </row>
    <row r="11" hidden="1">
      <c r="A11" s="13" t="str">
        <f t="shared" si="1"/>
        <v>5f33be106b1e0fee8df39e5f</v>
      </c>
      <c r="B11" s="13"/>
      <c r="C11" s="13" t="s">
        <v>31</v>
      </c>
      <c r="D11" s="14"/>
      <c r="E11" s="15" t="s">
        <v>42</v>
      </c>
      <c r="F11" s="15" t="s">
        <v>43</v>
      </c>
      <c r="G11" s="22">
        <v>0.6666666666666666</v>
      </c>
      <c r="H11" s="18" t="s">
        <v>35</v>
      </c>
      <c r="I11" s="18" t="s">
        <v>44</v>
      </c>
      <c r="J11" s="15" t="s">
        <v>45</v>
      </c>
      <c r="K11" s="19"/>
      <c r="L11" s="18">
        <v>18.0</v>
      </c>
      <c r="M11" s="24" t="str">
        <f>VLOOKUP(E11,'Hedef Liste'!A:I,8,false)</f>
        <v>#N/A</v>
      </c>
      <c r="N11" s="27" t="b">
        <v>1</v>
      </c>
      <c r="O11" s="21" t="b">
        <v>0</v>
      </c>
      <c r="P11" s="6"/>
      <c r="Q11" s="6"/>
      <c r="R11" s="6"/>
      <c r="S11" s="6"/>
      <c r="T11" s="6"/>
      <c r="U11" s="6"/>
      <c r="V11" s="6"/>
      <c r="W11" s="6"/>
      <c r="X11" s="6"/>
      <c r="Y11" s="6"/>
      <c r="Z11" s="6"/>
      <c r="AA11" s="6"/>
      <c r="AB11" s="6"/>
    </row>
    <row r="12" hidden="1">
      <c r="A12" s="13" t="str">
        <f t="shared" si="1"/>
        <v/>
      </c>
      <c r="B12" s="13"/>
      <c r="C12" s="13" t="s">
        <v>31</v>
      </c>
      <c r="D12" s="6"/>
      <c r="E12" s="6"/>
      <c r="F12" s="6"/>
      <c r="G12" s="26"/>
      <c r="H12" s="6"/>
      <c r="I12" s="6"/>
      <c r="J12" s="6"/>
      <c r="K12" s="6"/>
      <c r="L12" s="6"/>
      <c r="M12" s="12"/>
      <c r="N12" s="6"/>
      <c r="O12" s="6"/>
      <c r="P12" s="6"/>
      <c r="Q12" s="6"/>
      <c r="R12" s="6"/>
      <c r="S12" s="6"/>
      <c r="T12" s="6"/>
      <c r="U12" s="6"/>
      <c r="V12" s="6"/>
      <c r="W12" s="6"/>
      <c r="X12" s="6"/>
      <c r="Y12" s="6"/>
      <c r="Z12" s="6"/>
      <c r="AA12" s="6"/>
      <c r="AB12" s="6"/>
    </row>
    <row r="13" hidden="1">
      <c r="A13" s="13" t="str">
        <f t="shared" si="1"/>
        <v/>
      </c>
      <c r="B13" s="13"/>
      <c r="C13" s="13" t="s">
        <v>31</v>
      </c>
      <c r="D13" s="6"/>
      <c r="E13" s="6"/>
      <c r="F13" s="6"/>
      <c r="G13" s="26"/>
      <c r="H13" s="6"/>
      <c r="I13" s="6"/>
      <c r="J13" s="6"/>
      <c r="K13" s="6"/>
      <c r="L13" s="8"/>
      <c r="M13" s="28"/>
      <c r="N13" s="6" t="b">
        <v>0</v>
      </c>
      <c r="O13" s="6" t="b">
        <v>0</v>
      </c>
      <c r="P13" s="6"/>
      <c r="Q13" s="6"/>
      <c r="R13" s="6"/>
      <c r="S13" s="6"/>
      <c r="T13" s="6"/>
      <c r="U13" s="6"/>
      <c r="V13" s="6"/>
      <c r="W13" s="6"/>
      <c r="X13" s="6"/>
      <c r="Y13" s="6"/>
      <c r="Z13" s="6"/>
      <c r="AA13" s="6"/>
      <c r="AB13" s="6"/>
    </row>
    <row r="14" hidden="1">
      <c r="A14" s="13" t="str">
        <f t="shared" si="1"/>
        <v/>
      </c>
      <c r="B14" s="13"/>
      <c r="C14" s="13" t="s">
        <v>31</v>
      </c>
      <c r="D14" s="8"/>
      <c r="E14" s="8"/>
      <c r="F14" s="8"/>
      <c r="G14" s="29"/>
      <c r="H14" s="8"/>
      <c r="I14" s="8"/>
      <c r="J14" s="8"/>
      <c r="K14" s="8"/>
      <c r="L14" s="30"/>
      <c r="M14" s="31"/>
      <c r="N14" s="6" t="b">
        <v>0</v>
      </c>
      <c r="O14" s="6" t="b">
        <v>0</v>
      </c>
      <c r="P14" s="6"/>
      <c r="Q14" s="6"/>
      <c r="R14" s="6"/>
      <c r="S14" s="6"/>
      <c r="T14" s="6"/>
      <c r="U14" s="6"/>
      <c r="V14" s="6"/>
      <c r="W14" s="6"/>
      <c r="X14" s="6"/>
      <c r="Y14" s="6"/>
      <c r="Z14" s="6"/>
      <c r="AA14" s="6"/>
      <c r="AB14" s="6"/>
    </row>
    <row r="15" hidden="1">
      <c r="A15" s="13" t="str">
        <f t="shared" si="1"/>
        <v/>
      </c>
      <c r="B15" s="13"/>
      <c r="C15" s="13" t="s">
        <v>46</v>
      </c>
      <c r="D15" s="6"/>
      <c r="E15" s="6"/>
      <c r="F15" s="6"/>
      <c r="G15" s="26"/>
      <c r="H15" s="6"/>
      <c r="I15" s="6"/>
      <c r="J15" s="6"/>
      <c r="K15" s="6"/>
      <c r="L15" s="6"/>
      <c r="M15" s="12"/>
      <c r="N15" s="6"/>
      <c r="O15" s="6"/>
      <c r="P15" s="6"/>
      <c r="Q15" s="6"/>
      <c r="R15" s="6"/>
      <c r="S15" s="6"/>
      <c r="T15" s="6"/>
      <c r="U15" s="6"/>
      <c r="V15" s="6"/>
      <c r="W15" s="6"/>
      <c r="X15" s="6"/>
      <c r="Y15" s="6"/>
      <c r="Z15" s="6"/>
      <c r="AA15" s="6"/>
      <c r="AB15" s="6"/>
    </row>
    <row r="16" hidden="1">
      <c r="A16" s="13" t="str">
        <f t="shared" si="1"/>
        <v>5f6e9c2e32054a515c428e57</v>
      </c>
      <c r="B16" s="13"/>
      <c r="C16" s="13" t="s">
        <v>46</v>
      </c>
      <c r="D16" s="14"/>
      <c r="E16" s="15" t="s">
        <v>47</v>
      </c>
      <c r="F16" s="15" t="s">
        <v>48</v>
      </c>
      <c r="G16" s="32">
        <v>0.4583333333333333</v>
      </c>
      <c r="H16" s="17" t="s">
        <v>17</v>
      </c>
      <c r="I16" s="17" t="s">
        <v>49</v>
      </c>
      <c r="J16" s="15" t="s">
        <v>50</v>
      </c>
      <c r="K16" s="23"/>
      <c r="L16" s="18">
        <v>10.0</v>
      </c>
      <c r="M16" s="20">
        <f>VLOOKUP(E16,'Hedef Liste'!A:I,8,false)</f>
        <v>8</v>
      </c>
      <c r="N16" s="21" t="b">
        <v>0</v>
      </c>
      <c r="O16" s="21" t="b">
        <v>0</v>
      </c>
      <c r="P16" s="6"/>
      <c r="Q16" s="6"/>
      <c r="R16" s="6"/>
      <c r="S16" s="6"/>
      <c r="T16" s="6"/>
      <c r="U16" s="6"/>
      <c r="V16" s="6"/>
      <c r="W16" s="6"/>
      <c r="X16" s="6"/>
      <c r="Y16" s="6"/>
      <c r="Z16" s="6"/>
      <c r="AA16" s="6"/>
      <c r="AB16" s="6"/>
    </row>
    <row r="17" hidden="1">
      <c r="A17" s="13" t="str">
        <f t="shared" si="1"/>
        <v>5fcb1b98a28082395ebedef2</v>
      </c>
      <c r="B17" s="13"/>
      <c r="C17" s="13" t="s">
        <v>46</v>
      </c>
      <c r="D17" s="14"/>
      <c r="E17" s="15" t="s">
        <v>51</v>
      </c>
      <c r="F17" s="15" t="s">
        <v>52</v>
      </c>
      <c r="G17" s="22">
        <v>0.5416666666666666</v>
      </c>
      <c r="H17" s="17" t="s">
        <v>53</v>
      </c>
      <c r="I17" s="18" t="s">
        <v>54</v>
      </c>
      <c r="J17" s="15" t="s">
        <v>55</v>
      </c>
      <c r="K17" s="23"/>
      <c r="L17" s="18">
        <v>10.0</v>
      </c>
      <c r="M17" s="20">
        <f>VLOOKUP(E17,'Hedef Liste'!A:I,8,false)</f>
        <v>1</v>
      </c>
      <c r="N17" s="21" t="b">
        <v>0</v>
      </c>
      <c r="O17" s="21" t="b">
        <v>0</v>
      </c>
      <c r="P17" s="6"/>
      <c r="Q17" s="6"/>
      <c r="R17" s="6"/>
      <c r="S17" s="6"/>
      <c r="T17" s="6"/>
      <c r="U17" s="6"/>
      <c r="V17" s="6"/>
      <c r="W17" s="6"/>
      <c r="X17" s="6"/>
      <c r="Y17" s="6"/>
      <c r="Z17" s="6"/>
      <c r="AA17" s="6"/>
      <c r="AB17" s="6"/>
    </row>
    <row r="18" hidden="1">
      <c r="A18" s="13" t="str">
        <f t="shared" si="1"/>
        <v>5f7b1a02ec14c4d9cd0273f8</v>
      </c>
      <c r="B18" s="13"/>
      <c r="C18" s="13" t="s">
        <v>46</v>
      </c>
      <c r="D18" s="14"/>
      <c r="E18" s="15" t="s">
        <v>56</v>
      </c>
      <c r="F18" s="15" t="s">
        <v>57</v>
      </c>
      <c r="G18" s="22">
        <v>0.625</v>
      </c>
      <c r="H18" s="17" t="s">
        <v>17</v>
      </c>
      <c r="I18" s="18" t="s">
        <v>58</v>
      </c>
      <c r="J18" s="15" t="s">
        <v>59</v>
      </c>
      <c r="K18" s="19"/>
      <c r="L18" s="18">
        <v>12.0</v>
      </c>
      <c r="M18" s="20">
        <f>VLOOKUP(E18,'Hedef Liste'!A:I,8,false)</f>
        <v>21</v>
      </c>
      <c r="N18" s="21" t="b">
        <v>0</v>
      </c>
      <c r="O18" s="21" t="b">
        <v>0</v>
      </c>
      <c r="P18" s="6"/>
      <c r="Q18" s="6"/>
      <c r="R18" s="6"/>
      <c r="S18" s="6"/>
      <c r="T18" s="6"/>
      <c r="U18" s="6"/>
      <c r="V18" s="6"/>
      <c r="W18" s="6"/>
      <c r="X18" s="6"/>
      <c r="Y18" s="6"/>
      <c r="Z18" s="6"/>
      <c r="AA18" s="6"/>
      <c r="AB18" s="6"/>
    </row>
    <row r="19" hidden="1">
      <c r="A19" s="13" t="str">
        <f t="shared" si="1"/>
        <v/>
      </c>
      <c r="B19" s="13"/>
      <c r="C19" s="13" t="s">
        <v>46</v>
      </c>
      <c r="D19" s="8"/>
      <c r="E19" s="8"/>
      <c r="F19" s="8"/>
      <c r="G19" s="33"/>
      <c r="H19" s="8"/>
      <c r="I19" s="8"/>
      <c r="J19" s="8"/>
      <c r="K19" s="34"/>
      <c r="L19" s="8"/>
      <c r="M19" s="28"/>
      <c r="N19" s="6" t="b">
        <v>0</v>
      </c>
      <c r="O19" s="6" t="b">
        <v>0</v>
      </c>
      <c r="P19" s="6"/>
      <c r="Q19" s="6"/>
      <c r="R19" s="6"/>
      <c r="S19" s="6"/>
      <c r="T19" s="6"/>
      <c r="U19" s="6"/>
      <c r="V19" s="6"/>
      <c r="W19" s="6"/>
      <c r="X19" s="6"/>
      <c r="Y19" s="6"/>
      <c r="Z19" s="6"/>
      <c r="AA19" s="6"/>
      <c r="AB19" s="6"/>
    </row>
    <row r="20" hidden="1">
      <c r="A20" s="13" t="str">
        <f t="shared" si="1"/>
        <v/>
      </c>
      <c r="B20" s="13"/>
      <c r="C20" s="13" t="s">
        <v>60</v>
      </c>
      <c r="D20" s="8"/>
      <c r="E20" s="8"/>
      <c r="F20" s="8"/>
      <c r="G20" s="33"/>
      <c r="H20" s="8"/>
      <c r="I20" s="8"/>
      <c r="J20" s="8"/>
      <c r="K20" s="34"/>
      <c r="L20" s="8"/>
      <c r="M20" s="28"/>
      <c r="N20" s="6" t="b">
        <v>0</v>
      </c>
      <c r="O20" s="6" t="b">
        <v>0</v>
      </c>
      <c r="P20" s="6"/>
      <c r="Q20" s="6"/>
      <c r="R20" s="6"/>
      <c r="S20" s="6"/>
      <c r="T20" s="6"/>
      <c r="U20" s="6"/>
      <c r="V20" s="6"/>
      <c r="W20" s="6"/>
      <c r="X20" s="6"/>
      <c r="Y20" s="6"/>
      <c r="Z20" s="6"/>
      <c r="AA20" s="6"/>
      <c r="AB20" s="6"/>
    </row>
    <row r="21" hidden="1">
      <c r="A21" s="13" t="str">
        <f t="shared" si="1"/>
        <v/>
      </c>
      <c r="B21" s="13"/>
      <c r="C21" s="13" t="s">
        <v>60</v>
      </c>
      <c r="D21" s="8"/>
      <c r="E21" s="8"/>
      <c r="F21" s="8"/>
      <c r="G21" s="33"/>
      <c r="H21" s="8"/>
      <c r="I21" s="8"/>
      <c r="J21" s="8"/>
      <c r="K21" s="34"/>
      <c r="L21" s="8"/>
      <c r="M21" s="28"/>
      <c r="N21" s="6" t="b">
        <v>0</v>
      </c>
      <c r="O21" s="6" t="b">
        <v>0</v>
      </c>
      <c r="P21" s="6"/>
      <c r="Q21" s="6"/>
      <c r="R21" s="6"/>
      <c r="S21" s="6"/>
      <c r="T21" s="6"/>
      <c r="U21" s="6"/>
      <c r="V21" s="6"/>
      <c r="W21" s="6"/>
      <c r="X21" s="6"/>
      <c r="Y21" s="6"/>
      <c r="Z21" s="6"/>
      <c r="AA21" s="6"/>
      <c r="AB21" s="6"/>
    </row>
    <row r="22" hidden="1">
      <c r="A22" s="13" t="str">
        <f t="shared" si="1"/>
        <v/>
      </c>
      <c r="B22" s="13"/>
      <c r="C22" s="13" t="s">
        <v>60</v>
      </c>
      <c r="D22" s="8"/>
      <c r="E22" s="8"/>
      <c r="F22" s="8"/>
      <c r="G22" s="33"/>
      <c r="H22" s="8"/>
      <c r="I22" s="8"/>
      <c r="J22" s="8"/>
      <c r="K22" s="34"/>
      <c r="L22" s="8"/>
      <c r="M22" s="28"/>
      <c r="N22" s="6" t="b">
        <v>0</v>
      </c>
      <c r="O22" s="6" t="b">
        <v>0</v>
      </c>
      <c r="P22" s="6"/>
      <c r="Q22" s="6"/>
      <c r="R22" s="6"/>
      <c r="S22" s="6"/>
      <c r="T22" s="6"/>
      <c r="U22" s="6"/>
      <c r="V22" s="6"/>
      <c r="W22" s="6"/>
      <c r="X22" s="6"/>
      <c r="Y22" s="6"/>
      <c r="Z22" s="6"/>
      <c r="AA22" s="6"/>
      <c r="AB22" s="6"/>
    </row>
    <row r="23" hidden="1">
      <c r="A23" s="13" t="str">
        <f t="shared" si="1"/>
        <v/>
      </c>
      <c r="B23" s="13"/>
      <c r="C23" s="13" t="s">
        <v>60</v>
      </c>
      <c r="D23" s="8"/>
      <c r="E23" s="8"/>
      <c r="F23" s="8"/>
      <c r="G23" s="35"/>
      <c r="H23" s="8"/>
      <c r="I23" s="8"/>
      <c r="J23" s="8"/>
      <c r="K23" s="8"/>
      <c r="L23" s="8"/>
      <c r="M23" s="28"/>
      <c r="N23" s="6" t="b">
        <v>0</v>
      </c>
      <c r="O23" s="6" t="b">
        <v>0</v>
      </c>
      <c r="P23" s="6"/>
      <c r="Q23" s="6"/>
      <c r="R23" s="6"/>
      <c r="S23" s="6"/>
      <c r="T23" s="6"/>
      <c r="U23" s="6"/>
      <c r="V23" s="6"/>
      <c r="W23" s="6"/>
      <c r="X23" s="6"/>
      <c r="Y23" s="6"/>
      <c r="Z23" s="6"/>
      <c r="AA23" s="6"/>
      <c r="AB23" s="6"/>
    </row>
    <row r="24" hidden="1">
      <c r="A24" s="13" t="str">
        <f t="shared" si="1"/>
        <v/>
      </c>
      <c r="B24" s="13"/>
      <c r="C24" s="13" t="s">
        <v>60</v>
      </c>
      <c r="D24" s="8"/>
      <c r="E24" s="8"/>
      <c r="F24" s="8"/>
      <c r="G24" s="35"/>
      <c r="H24" s="8"/>
      <c r="I24" s="8"/>
      <c r="J24" s="8"/>
      <c r="K24" s="34"/>
      <c r="L24" s="8"/>
      <c r="M24" s="28"/>
      <c r="N24" s="6" t="b">
        <v>0</v>
      </c>
      <c r="O24" s="6" t="b">
        <v>0</v>
      </c>
      <c r="P24" s="6"/>
      <c r="Q24" s="6"/>
      <c r="R24" s="6"/>
      <c r="S24" s="6"/>
      <c r="T24" s="6"/>
      <c r="U24" s="6"/>
      <c r="V24" s="6"/>
      <c r="W24" s="6"/>
      <c r="X24" s="6"/>
      <c r="Y24" s="6"/>
      <c r="Z24" s="6"/>
      <c r="AA24" s="6"/>
      <c r="AB24" s="6"/>
    </row>
    <row r="25" hidden="1">
      <c r="A25" s="13" t="str">
        <f t="shared" si="1"/>
        <v/>
      </c>
      <c r="B25" s="13"/>
      <c r="C25" s="13" t="s">
        <v>60</v>
      </c>
      <c r="D25" s="8"/>
      <c r="E25" s="8"/>
      <c r="F25" s="8"/>
      <c r="G25" s="33"/>
      <c r="H25" s="8"/>
      <c r="I25" s="8"/>
      <c r="J25" s="8"/>
      <c r="K25" s="8"/>
      <c r="L25" s="8"/>
      <c r="M25" s="28"/>
      <c r="N25" s="6" t="b">
        <v>0</v>
      </c>
      <c r="O25" s="6" t="b">
        <v>0</v>
      </c>
      <c r="P25" s="6"/>
      <c r="Q25" s="6"/>
      <c r="R25" s="6"/>
      <c r="S25" s="6"/>
      <c r="T25" s="6"/>
      <c r="U25" s="6"/>
      <c r="V25" s="6"/>
      <c r="W25" s="6"/>
      <c r="X25" s="6"/>
      <c r="Y25" s="6"/>
      <c r="Z25" s="6"/>
      <c r="AA25" s="6"/>
      <c r="AB25" s="6"/>
    </row>
    <row r="26" hidden="1">
      <c r="A26" s="13" t="str">
        <f t="shared" si="1"/>
        <v/>
      </c>
      <c r="B26" s="7"/>
      <c r="C26" s="7">
        <v>44236.0</v>
      </c>
      <c r="D26" s="8"/>
      <c r="E26" s="9"/>
      <c r="F26" s="10"/>
      <c r="G26" s="10"/>
      <c r="H26" s="10"/>
      <c r="I26" s="10"/>
      <c r="J26" s="10"/>
      <c r="K26" s="10"/>
      <c r="L26" s="11"/>
      <c r="M26" s="12"/>
      <c r="N26" s="6"/>
      <c r="O26" s="6"/>
      <c r="P26" s="6"/>
      <c r="Q26" s="6"/>
      <c r="R26" s="6"/>
      <c r="S26" s="6"/>
      <c r="T26" s="6"/>
      <c r="U26" s="6"/>
      <c r="V26" s="6"/>
      <c r="W26" s="6"/>
      <c r="X26" s="6"/>
      <c r="Y26" s="6"/>
      <c r="Z26" s="6"/>
      <c r="AA26" s="6"/>
      <c r="AB26" s="6"/>
    </row>
    <row r="27" hidden="1">
      <c r="A27" s="13" t="str">
        <f t="shared" si="1"/>
        <v>5ff45aae87a63b19b533eb59</v>
      </c>
      <c r="B27" s="13"/>
      <c r="C27" s="13" t="s">
        <v>13</v>
      </c>
      <c r="D27" s="14"/>
      <c r="E27" s="15" t="s">
        <v>61</v>
      </c>
      <c r="F27" s="15" t="s">
        <v>62</v>
      </c>
      <c r="G27" s="16" t="s">
        <v>16</v>
      </c>
      <c r="H27" s="18" t="s">
        <v>35</v>
      </c>
      <c r="I27" s="36" t="s">
        <v>63</v>
      </c>
      <c r="J27" s="15" t="s">
        <v>64</v>
      </c>
      <c r="K27" s="19"/>
      <c r="L27" s="18">
        <v>6.0</v>
      </c>
      <c r="M27" s="20">
        <f>VLOOKUP(E27,'Hedef Liste'!A:I,8,false)</f>
        <v>3</v>
      </c>
      <c r="N27" s="6" t="b">
        <v>0</v>
      </c>
      <c r="O27" s="6" t="b">
        <v>0</v>
      </c>
      <c r="P27" s="6"/>
      <c r="Q27" s="6"/>
      <c r="R27" s="6"/>
      <c r="S27" s="6"/>
      <c r="T27" s="6"/>
      <c r="U27" s="6"/>
      <c r="V27" s="6"/>
      <c r="W27" s="6"/>
      <c r="X27" s="6"/>
      <c r="Y27" s="6"/>
      <c r="Z27" s="6"/>
      <c r="AA27" s="6"/>
      <c r="AB27" s="6"/>
    </row>
    <row r="28" hidden="1">
      <c r="A28" s="13" t="str">
        <f t="shared" si="1"/>
        <v/>
      </c>
      <c r="B28" s="13"/>
      <c r="C28" s="13" t="s">
        <v>13</v>
      </c>
      <c r="D28" s="14"/>
      <c r="E28" s="14"/>
      <c r="F28" s="14"/>
      <c r="G28" s="37"/>
      <c r="H28" s="38"/>
      <c r="I28" s="39"/>
      <c r="J28" s="14"/>
      <c r="K28" s="34"/>
      <c r="L28" s="6"/>
      <c r="M28" s="12"/>
      <c r="N28" s="6" t="b">
        <v>0</v>
      </c>
      <c r="O28" s="6" t="b">
        <v>0</v>
      </c>
      <c r="P28" s="6"/>
      <c r="Q28" s="6"/>
      <c r="R28" s="6"/>
      <c r="S28" s="6"/>
      <c r="T28" s="6"/>
      <c r="U28" s="6"/>
      <c r="V28" s="6"/>
      <c r="W28" s="6"/>
      <c r="X28" s="6"/>
      <c r="Y28" s="6"/>
      <c r="Z28" s="6"/>
      <c r="AA28" s="6"/>
      <c r="AB28" s="6"/>
    </row>
    <row r="29" hidden="1">
      <c r="A29" s="13" t="str">
        <f t="shared" si="1"/>
        <v>5ff7c4d93c3b6e5099616461</v>
      </c>
      <c r="B29" s="13"/>
      <c r="C29" s="13" t="s">
        <v>13</v>
      </c>
      <c r="D29" s="14"/>
      <c r="E29" s="15" t="s">
        <v>65</v>
      </c>
      <c r="F29" s="15" t="s">
        <v>66</v>
      </c>
      <c r="G29" s="40">
        <v>0.5833333333333334</v>
      </c>
      <c r="H29" s="27" t="s">
        <v>67</v>
      </c>
      <c r="I29" s="27" t="s">
        <v>68</v>
      </c>
      <c r="J29" s="15" t="s">
        <v>69</v>
      </c>
      <c r="K29" s="21"/>
      <c r="L29" s="27">
        <v>2.0</v>
      </c>
      <c r="M29" s="41">
        <f>VLOOKUP(E29,'Hedef Liste'!A:I,8,false)</f>
        <v>5</v>
      </c>
      <c r="N29" s="6" t="b">
        <v>0</v>
      </c>
      <c r="O29" s="6" t="b">
        <v>0</v>
      </c>
      <c r="P29" s="6"/>
      <c r="Q29" s="6"/>
      <c r="R29" s="6"/>
      <c r="S29" s="6"/>
      <c r="T29" s="6"/>
      <c r="U29" s="6"/>
      <c r="V29" s="6"/>
      <c r="W29" s="6"/>
      <c r="X29" s="6"/>
      <c r="Y29" s="6"/>
      <c r="Z29" s="6"/>
      <c r="AA29" s="6"/>
      <c r="AB29" s="6"/>
    </row>
    <row r="30" hidden="1">
      <c r="A30" s="13" t="str">
        <f t="shared" si="1"/>
        <v>5f315566b9e5e1dd64db6114</v>
      </c>
      <c r="B30" s="13"/>
      <c r="C30" s="13" t="s">
        <v>13</v>
      </c>
      <c r="D30" s="14"/>
      <c r="E30" s="42" t="s">
        <v>70</v>
      </c>
      <c r="F30" s="42" t="s">
        <v>71</v>
      </c>
      <c r="G30" s="43">
        <v>0.625</v>
      </c>
      <c r="H30" s="44" t="s">
        <v>72</v>
      </c>
      <c r="I30" s="44" t="s">
        <v>73</v>
      </c>
      <c r="J30" s="42" t="s">
        <v>74</v>
      </c>
      <c r="K30" s="44" t="s">
        <v>75</v>
      </c>
      <c r="L30" s="45"/>
      <c r="M30" s="46"/>
      <c r="N30" s="47" t="b">
        <v>0</v>
      </c>
      <c r="O30" s="48" t="b">
        <v>1</v>
      </c>
      <c r="P30" s="6"/>
      <c r="Q30" s="6"/>
      <c r="R30" s="6"/>
      <c r="S30" s="6"/>
      <c r="T30" s="6"/>
      <c r="U30" s="6"/>
      <c r="V30" s="6"/>
      <c r="W30" s="6"/>
      <c r="X30" s="6"/>
      <c r="Y30" s="6"/>
      <c r="Z30" s="6"/>
      <c r="AA30" s="6"/>
      <c r="AB30" s="6"/>
    </row>
    <row r="31" hidden="1">
      <c r="A31" s="13" t="str">
        <f t="shared" si="1"/>
        <v/>
      </c>
      <c r="B31" s="13"/>
      <c r="C31" s="13" t="s">
        <v>13</v>
      </c>
      <c r="D31" s="14"/>
      <c r="E31" s="14"/>
      <c r="F31" s="14"/>
      <c r="G31" s="49"/>
      <c r="H31" s="39"/>
      <c r="I31" s="38"/>
      <c r="J31" s="14"/>
      <c r="K31" s="8"/>
      <c r="L31" s="8"/>
      <c r="M31" s="28"/>
      <c r="N31" s="6" t="b">
        <v>0</v>
      </c>
      <c r="O31" s="6" t="b">
        <v>0</v>
      </c>
      <c r="P31" s="6"/>
      <c r="Q31" s="6"/>
      <c r="R31" s="6"/>
      <c r="S31" s="6"/>
      <c r="T31" s="6"/>
      <c r="U31" s="6"/>
      <c r="V31" s="6"/>
      <c r="W31" s="6"/>
      <c r="X31" s="6"/>
      <c r="Y31" s="6"/>
      <c r="Z31" s="6"/>
      <c r="AA31" s="6"/>
      <c r="AB31" s="6"/>
    </row>
    <row r="32" hidden="1">
      <c r="A32" s="13" t="str">
        <f t="shared" si="1"/>
        <v/>
      </c>
      <c r="B32" s="13"/>
      <c r="C32" s="13" t="s">
        <v>13</v>
      </c>
      <c r="D32" s="8"/>
      <c r="E32" s="8"/>
      <c r="F32" s="8"/>
      <c r="G32" s="29"/>
      <c r="H32" s="8"/>
      <c r="I32" s="8"/>
      <c r="J32" s="8"/>
      <c r="K32" s="8"/>
      <c r="L32" s="30"/>
      <c r="M32" s="31"/>
      <c r="N32" s="6" t="b">
        <v>0</v>
      </c>
      <c r="O32" s="6" t="b">
        <v>0</v>
      </c>
      <c r="P32" s="6"/>
      <c r="Q32" s="6"/>
      <c r="R32" s="6"/>
      <c r="S32" s="6"/>
      <c r="T32" s="6"/>
      <c r="U32" s="6"/>
      <c r="V32" s="6"/>
      <c r="W32" s="6"/>
      <c r="X32" s="6"/>
      <c r="Y32" s="6"/>
      <c r="Z32" s="6"/>
      <c r="AA32" s="6"/>
      <c r="AB32" s="6"/>
    </row>
    <row r="33" hidden="1">
      <c r="A33" s="13" t="str">
        <f t="shared" si="1"/>
        <v>5f3322c003a8187cc9924036</v>
      </c>
      <c r="B33" s="13"/>
      <c r="C33" s="13" t="s">
        <v>31</v>
      </c>
      <c r="D33" s="14"/>
      <c r="E33" s="15" t="s">
        <v>76</v>
      </c>
      <c r="F33" s="15" t="s">
        <v>77</v>
      </c>
      <c r="G33" s="16" t="s">
        <v>34</v>
      </c>
      <c r="H33" s="36" t="s">
        <v>78</v>
      </c>
      <c r="I33" s="18" t="s">
        <v>79</v>
      </c>
      <c r="J33" s="15" t="s">
        <v>80</v>
      </c>
      <c r="K33" s="19"/>
      <c r="L33" s="18">
        <v>14.0</v>
      </c>
      <c r="M33" s="20">
        <f>VLOOKUP(E33,'Hedef Liste'!A:I,8,false)</f>
        <v>3</v>
      </c>
      <c r="N33" s="6" t="b">
        <v>0</v>
      </c>
      <c r="O33" s="6" t="b">
        <v>0</v>
      </c>
      <c r="P33" s="6"/>
      <c r="Q33" s="6"/>
      <c r="R33" s="6"/>
      <c r="S33" s="6"/>
      <c r="T33" s="6"/>
      <c r="U33" s="6"/>
      <c r="V33" s="6"/>
      <c r="W33" s="6"/>
      <c r="X33" s="6"/>
      <c r="Y33" s="6"/>
      <c r="Z33" s="6"/>
      <c r="AA33" s="6"/>
      <c r="AB33" s="6"/>
    </row>
    <row r="34" hidden="1">
      <c r="A34" s="13" t="str">
        <f t="shared" si="1"/>
        <v/>
      </c>
      <c r="B34" s="13"/>
      <c r="C34" s="13" t="s">
        <v>31</v>
      </c>
      <c r="D34" s="14"/>
      <c r="E34" s="14"/>
      <c r="F34" s="14"/>
      <c r="G34" s="37"/>
      <c r="H34" s="39"/>
      <c r="I34" s="39"/>
      <c r="J34" s="14"/>
      <c r="K34" s="34"/>
      <c r="L34" s="8"/>
      <c r="M34" s="28"/>
      <c r="N34" s="6" t="b">
        <v>0</v>
      </c>
      <c r="O34" s="6" t="b">
        <v>0</v>
      </c>
      <c r="P34" s="6"/>
      <c r="Q34" s="6"/>
      <c r="R34" s="6"/>
      <c r="S34" s="6"/>
      <c r="T34" s="6"/>
      <c r="U34" s="6"/>
      <c r="V34" s="6"/>
      <c r="W34" s="6"/>
      <c r="X34" s="6"/>
      <c r="Y34" s="6"/>
      <c r="Z34" s="6"/>
      <c r="AA34" s="6"/>
      <c r="AB34" s="6"/>
    </row>
    <row r="35" hidden="1">
      <c r="A35" s="13" t="str">
        <f t="shared" si="1"/>
        <v>5f33c747c1598600399196f3</v>
      </c>
      <c r="B35" s="13"/>
      <c r="C35" s="13" t="s">
        <v>31</v>
      </c>
      <c r="D35" s="14"/>
      <c r="E35" s="15" t="s">
        <v>81</v>
      </c>
      <c r="F35" s="15" t="s">
        <v>82</v>
      </c>
      <c r="G35" s="22">
        <v>0.5416666666666666</v>
      </c>
      <c r="H35" s="18" t="s">
        <v>35</v>
      </c>
      <c r="I35" s="18" t="s">
        <v>83</v>
      </c>
      <c r="J35" s="15" t="s">
        <v>84</v>
      </c>
      <c r="K35" s="23"/>
      <c r="L35" s="18">
        <v>11.0</v>
      </c>
      <c r="M35" s="24" t="str">
        <f>VLOOKUP(E35,'Hedef Liste'!A:I,8,false)</f>
        <v>#N/A</v>
      </c>
      <c r="N35" s="6" t="b">
        <v>0</v>
      </c>
      <c r="O35" s="6" t="b">
        <v>0</v>
      </c>
      <c r="P35" s="6"/>
      <c r="Q35" s="6"/>
      <c r="R35" s="6"/>
      <c r="S35" s="6"/>
      <c r="T35" s="6"/>
      <c r="U35" s="6"/>
      <c r="V35" s="6"/>
      <c r="W35" s="6"/>
      <c r="X35" s="6"/>
      <c r="Y35" s="6"/>
      <c r="Z35" s="6"/>
      <c r="AA35" s="6"/>
      <c r="AB35" s="6"/>
    </row>
    <row r="36" hidden="1">
      <c r="A36" s="13" t="str">
        <f t="shared" si="1"/>
        <v>5f3335c503a8180e1d92403b</v>
      </c>
      <c r="B36" s="13"/>
      <c r="C36" s="13" t="s">
        <v>31</v>
      </c>
      <c r="D36" s="14"/>
      <c r="E36" s="15" t="s">
        <v>85</v>
      </c>
      <c r="F36" s="15" t="s">
        <v>86</v>
      </c>
      <c r="G36" s="22">
        <v>0.6041666666666666</v>
      </c>
      <c r="H36" s="18" t="s">
        <v>87</v>
      </c>
      <c r="I36" s="18" t="s">
        <v>88</v>
      </c>
      <c r="J36" s="15" t="s">
        <v>89</v>
      </c>
      <c r="K36" s="19"/>
      <c r="L36" s="18">
        <v>5.0</v>
      </c>
      <c r="M36" s="20">
        <f>VLOOKUP(E36,'Hedef Liste'!A:I,8,false)</f>
        <v>1</v>
      </c>
      <c r="N36" s="6" t="b">
        <v>0</v>
      </c>
      <c r="O36" s="6" t="b">
        <v>0</v>
      </c>
      <c r="P36" s="6"/>
      <c r="Q36" s="6"/>
      <c r="R36" s="6"/>
      <c r="S36" s="6"/>
      <c r="T36" s="6"/>
      <c r="U36" s="6"/>
      <c r="V36" s="6"/>
      <c r="W36" s="6"/>
      <c r="X36" s="6"/>
      <c r="Y36" s="6"/>
      <c r="Z36" s="6"/>
      <c r="AA36" s="6"/>
      <c r="AB36" s="6"/>
    </row>
    <row r="37" hidden="1">
      <c r="A37" s="13" t="str">
        <f t="shared" si="1"/>
        <v>5f67f7192702e9083fb20a37</v>
      </c>
      <c r="B37" s="13"/>
      <c r="C37" s="13" t="s">
        <v>31</v>
      </c>
      <c r="D37" s="14"/>
      <c r="E37" s="15" t="s">
        <v>90</v>
      </c>
      <c r="F37" s="15" t="s">
        <v>91</v>
      </c>
      <c r="G37" s="40">
        <v>0.6458333333333334</v>
      </c>
      <c r="H37" s="18" t="s">
        <v>92</v>
      </c>
      <c r="I37" s="27" t="s">
        <v>93</v>
      </c>
      <c r="J37" s="15" t="s">
        <v>94</v>
      </c>
      <c r="K37" s="21"/>
      <c r="L37" s="27">
        <v>7.0</v>
      </c>
      <c r="M37" s="41">
        <f>VLOOKUP(E37,'Hedef Liste'!A:I,8,false)</f>
        <v>12</v>
      </c>
      <c r="N37" s="6" t="b">
        <v>0</v>
      </c>
      <c r="O37" s="6" t="b">
        <v>0</v>
      </c>
      <c r="P37" s="6"/>
      <c r="Q37" s="6"/>
      <c r="R37" s="6"/>
      <c r="S37" s="6"/>
      <c r="T37" s="6"/>
      <c r="U37" s="6"/>
      <c r="V37" s="6"/>
      <c r="W37" s="6"/>
      <c r="X37" s="6"/>
      <c r="Y37" s="6"/>
      <c r="Z37" s="6"/>
      <c r="AA37" s="6"/>
      <c r="AB37" s="6"/>
    </row>
    <row r="38" hidden="1">
      <c r="A38" s="13" t="str">
        <f t="shared" si="1"/>
        <v>5fa5f00566a584ab34fdd59a</v>
      </c>
      <c r="B38" s="13"/>
      <c r="C38" s="13" t="s">
        <v>31</v>
      </c>
      <c r="D38" s="14"/>
      <c r="E38" s="15" t="s">
        <v>95</v>
      </c>
      <c r="F38" s="15" t="s">
        <v>96</v>
      </c>
      <c r="G38" s="16" t="s">
        <v>97</v>
      </c>
      <c r="H38" s="18" t="s">
        <v>98</v>
      </c>
      <c r="I38" s="18" t="s">
        <v>99</v>
      </c>
      <c r="J38" s="15" t="s">
        <v>100</v>
      </c>
      <c r="K38" s="23"/>
      <c r="L38" s="18">
        <v>4.0</v>
      </c>
      <c r="M38" s="20">
        <f>VLOOKUP(E38,'Hedef Liste'!A:I,8,false)</f>
        <v>13</v>
      </c>
      <c r="N38" s="6" t="b">
        <v>0</v>
      </c>
      <c r="O38" s="6" t="b">
        <v>0</v>
      </c>
      <c r="P38" s="6"/>
      <c r="Q38" s="6"/>
      <c r="R38" s="6"/>
      <c r="S38" s="6"/>
      <c r="T38" s="6"/>
      <c r="U38" s="6"/>
      <c r="V38" s="6"/>
      <c r="W38" s="6"/>
      <c r="X38" s="6"/>
      <c r="Y38" s="6"/>
      <c r="Z38" s="6"/>
      <c r="AA38" s="6"/>
      <c r="AB38" s="6"/>
    </row>
    <row r="39" hidden="1">
      <c r="A39" s="13" t="str">
        <f t="shared" si="1"/>
        <v/>
      </c>
      <c r="B39" s="13"/>
      <c r="C39" s="13" t="s">
        <v>46</v>
      </c>
      <c r="D39" s="14"/>
      <c r="E39" s="14"/>
      <c r="F39" s="14"/>
      <c r="G39" s="37"/>
      <c r="H39" s="38"/>
      <c r="I39" s="39"/>
      <c r="J39" s="14"/>
      <c r="K39" s="39"/>
      <c r="L39" s="8"/>
      <c r="M39" s="28"/>
      <c r="N39" s="6" t="b">
        <v>0</v>
      </c>
      <c r="O39" s="6" t="b">
        <v>0</v>
      </c>
      <c r="P39" s="6"/>
      <c r="Q39" s="6"/>
      <c r="R39" s="6"/>
      <c r="S39" s="6"/>
      <c r="T39" s="6"/>
      <c r="U39" s="6"/>
      <c r="V39" s="6"/>
      <c r="W39" s="6"/>
      <c r="X39" s="6"/>
      <c r="Y39" s="6"/>
      <c r="Z39" s="6"/>
      <c r="AA39" s="6"/>
      <c r="AB39" s="6"/>
    </row>
    <row r="40" hidden="1">
      <c r="A40" s="13" t="str">
        <f t="shared" si="1"/>
        <v>5f35ada4d64681eb3bfeb406</v>
      </c>
      <c r="B40" s="13"/>
      <c r="C40" s="13" t="s">
        <v>46</v>
      </c>
      <c r="D40" s="14"/>
      <c r="E40" s="15" t="s">
        <v>101</v>
      </c>
      <c r="F40" s="15" t="s">
        <v>102</v>
      </c>
      <c r="G40" s="16" t="s">
        <v>103</v>
      </c>
      <c r="H40" s="18" t="s">
        <v>104</v>
      </c>
      <c r="I40" s="18" t="s">
        <v>105</v>
      </c>
      <c r="J40" s="15" t="s">
        <v>106</v>
      </c>
      <c r="K40" s="23"/>
      <c r="L40" s="18">
        <v>8.0</v>
      </c>
      <c r="M40" s="20">
        <f>VLOOKUP(E40,'Hedef Liste'!A:I,8,false)</f>
        <v>10</v>
      </c>
      <c r="N40" s="6" t="b">
        <v>0</v>
      </c>
      <c r="O40" s="6" t="b">
        <v>0</v>
      </c>
      <c r="P40" s="6"/>
      <c r="Q40" s="6"/>
      <c r="R40" s="6"/>
      <c r="S40" s="6"/>
      <c r="T40" s="6"/>
      <c r="U40" s="6"/>
      <c r="V40" s="6"/>
      <c r="W40" s="6"/>
      <c r="X40" s="6"/>
      <c r="Y40" s="6"/>
      <c r="Z40" s="6"/>
      <c r="AA40" s="6"/>
      <c r="AB40" s="6"/>
    </row>
    <row r="41" hidden="1">
      <c r="A41" s="13" t="str">
        <f t="shared" si="1"/>
        <v>5fa48b1c857e1a6acc2ad71a</v>
      </c>
      <c r="B41" s="13"/>
      <c r="C41" s="13" t="s">
        <v>46</v>
      </c>
      <c r="D41" s="14"/>
      <c r="E41" s="15" t="s">
        <v>107</v>
      </c>
      <c r="F41" s="15" t="s">
        <v>108</v>
      </c>
      <c r="G41" s="16" t="s">
        <v>109</v>
      </c>
      <c r="H41" s="18" t="s">
        <v>35</v>
      </c>
      <c r="I41" s="18" t="s">
        <v>110</v>
      </c>
      <c r="J41" s="15" t="s">
        <v>111</v>
      </c>
      <c r="K41" s="19"/>
      <c r="L41" s="18">
        <v>12.0</v>
      </c>
      <c r="M41" s="20">
        <f>VLOOKUP(E41,'Hedef Liste'!A:I,8,false)</f>
        <v>11</v>
      </c>
      <c r="N41" s="6" t="b">
        <v>0</v>
      </c>
      <c r="O41" s="6" t="b">
        <v>0</v>
      </c>
      <c r="P41" s="6"/>
      <c r="Q41" s="6"/>
      <c r="R41" s="6"/>
      <c r="S41" s="6"/>
      <c r="T41" s="6"/>
      <c r="U41" s="6"/>
      <c r="V41" s="6"/>
      <c r="W41" s="6"/>
      <c r="X41" s="6"/>
      <c r="Y41" s="6"/>
      <c r="Z41" s="6"/>
      <c r="AA41" s="6"/>
      <c r="AB41" s="6"/>
    </row>
    <row r="42" hidden="1">
      <c r="A42" s="13" t="str">
        <f t="shared" si="1"/>
        <v>5f2c37946dc562e66bda26c4</v>
      </c>
      <c r="B42" s="13"/>
      <c r="C42" s="13" t="s">
        <v>46</v>
      </c>
      <c r="D42" s="14"/>
      <c r="E42" s="15" t="s">
        <v>112</v>
      </c>
      <c r="F42" s="15" t="s">
        <v>113</v>
      </c>
      <c r="G42" s="22">
        <v>0.6875</v>
      </c>
      <c r="H42" s="36" t="s">
        <v>78</v>
      </c>
      <c r="I42" s="18" t="s">
        <v>114</v>
      </c>
      <c r="J42" s="15" t="s">
        <v>115</v>
      </c>
      <c r="K42" s="23"/>
      <c r="L42" s="18">
        <v>23.0</v>
      </c>
      <c r="M42" s="20">
        <f>VLOOKUP(E42,'Hedef Liste'!A:I,8,false)</f>
        <v>19</v>
      </c>
      <c r="N42" s="6" t="b">
        <v>0</v>
      </c>
      <c r="O42" s="6" t="b">
        <v>0</v>
      </c>
      <c r="P42" s="6"/>
      <c r="Q42" s="6"/>
      <c r="R42" s="6"/>
      <c r="S42" s="6"/>
      <c r="T42" s="6"/>
      <c r="U42" s="6"/>
      <c r="V42" s="6"/>
      <c r="W42" s="6"/>
      <c r="X42" s="6"/>
      <c r="Y42" s="6"/>
      <c r="Z42" s="6"/>
      <c r="AA42" s="6"/>
      <c r="AB42" s="6"/>
    </row>
    <row r="43" hidden="1">
      <c r="A43" s="13" t="str">
        <f t="shared" si="1"/>
        <v/>
      </c>
      <c r="B43" s="13"/>
      <c r="C43" s="13" t="s">
        <v>46</v>
      </c>
      <c r="D43" s="8"/>
      <c r="E43" s="8"/>
      <c r="F43" s="8"/>
      <c r="G43" s="29"/>
      <c r="H43" s="8"/>
      <c r="I43" s="8"/>
      <c r="J43" s="8"/>
      <c r="K43" s="8"/>
      <c r="L43" s="30"/>
      <c r="M43" s="31"/>
      <c r="N43" s="6" t="b">
        <v>0</v>
      </c>
      <c r="O43" s="6" t="b">
        <v>0</v>
      </c>
      <c r="P43" s="6"/>
      <c r="Q43" s="6"/>
      <c r="R43" s="6"/>
      <c r="S43" s="6"/>
      <c r="T43" s="6"/>
      <c r="U43" s="6"/>
      <c r="V43" s="6"/>
      <c r="W43" s="6"/>
      <c r="X43" s="6"/>
      <c r="Y43" s="6"/>
      <c r="Z43" s="6"/>
      <c r="AA43" s="6"/>
      <c r="AB43" s="6"/>
    </row>
    <row r="44" hidden="1">
      <c r="A44" s="13" t="str">
        <f t="shared" si="1"/>
        <v/>
      </c>
      <c r="B44" s="13"/>
      <c r="C44" s="13" t="s">
        <v>46</v>
      </c>
      <c r="D44" s="8"/>
      <c r="E44" s="8"/>
      <c r="F44" s="8"/>
      <c r="G44" s="29"/>
      <c r="H44" s="8"/>
      <c r="I44" s="8"/>
      <c r="J44" s="8"/>
      <c r="K44" s="8"/>
      <c r="L44" s="30"/>
      <c r="M44" s="31"/>
      <c r="N44" s="6" t="b">
        <v>0</v>
      </c>
      <c r="O44" s="6" t="b">
        <v>0</v>
      </c>
      <c r="P44" s="6"/>
      <c r="Q44" s="6"/>
      <c r="R44" s="6"/>
      <c r="S44" s="6"/>
      <c r="T44" s="6"/>
      <c r="U44" s="6"/>
      <c r="V44" s="6"/>
      <c r="W44" s="6"/>
      <c r="X44" s="6"/>
      <c r="Y44" s="6"/>
      <c r="Z44" s="6"/>
      <c r="AA44" s="6"/>
      <c r="AB44" s="6"/>
    </row>
    <row r="45" hidden="1">
      <c r="A45" s="13" t="str">
        <f t="shared" si="1"/>
        <v/>
      </c>
      <c r="B45" s="13"/>
      <c r="C45" s="13" t="s">
        <v>60</v>
      </c>
      <c r="D45" s="8"/>
      <c r="E45" s="50"/>
      <c r="F45" s="51"/>
      <c r="G45" s="51"/>
      <c r="H45" s="51"/>
      <c r="I45" s="51"/>
      <c r="J45" s="51"/>
      <c r="K45" s="51"/>
      <c r="L45" s="52"/>
      <c r="M45" s="12"/>
      <c r="N45" s="6" t="b">
        <v>0</v>
      </c>
      <c r="O45" s="6" t="b">
        <v>0</v>
      </c>
      <c r="P45" s="6"/>
      <c r="Q45" s="6"/>
      <c r="R45" s="6"/>
      <c r="S45" s="6"/>
      <c r="T45" s="6"/>
      <c r="U45" s="6"/>
      <c r="V45" s="6"/>
      <c r="W45" s="6"/>
      <c r="X45" s="6"/>
      <c r="Y45" s="6"/>
      <c r="Z45" s="6"/>
      <c r="AA45" s="6"/>
      <c r="AB45" s="6"/>
    </row>
    <row r="46" hidden="1">
      <c r="A46" s="13" t="str">
        <f t="shared" si="1"/>
        <v/>
      </c>
      <c r="B46" s="13"/>
      <c r="C46" s="13" t="s">
        <v>60</v>
      </c>
      <c r="D46" s="8"/>
      <c r="E46" s="53"/>
      <c r="L46" s="54"/>
      <c r="M46" s="12"/>
      <c r="N46" s="6" t="b">
        <v>0</v>
      </c>
      <c r="O46" s="6" t="b">
        <v>0</v>
      </c>
      <c r="P46" s="6"/>
      <c r="Q46" s="6"/>
      <c r="R46" s="6"/>
      <c r="S46" s="6"/>
      <c r="T46" s="6"/>
      <c r="U46" s="6"/>
      <c r="V46" s="6"/>
      <c r="W46" s="6"/>
      <c r="X46" s="6"/>
      <c r="Y46" s="6"/>
      <c r="Z46" s="6"/>
      <c r="AA46" s="6"/>
      <c r="AB46" s="6"/>
    </row>
    <row r="47" hidden="1">
      <c r="A47" s="13" t="str">
        <f t="shared" si="1"/>
        <v/>
      </c>
      <c r="B47" s="13"/>
      <c r="C47" s="13" t="s">
        <v>60</v>
      </c>
      <c r="D47" s="8"/>
      <c r="E47" s="53"/>
      <c r="L47" s="54"/>
      <c r="M47" s="12"/>
      <c r="N47" s="6" t="b">
        <v>0</v>
      </c>
      <c r="O47" s="6" t="b">
        <v>0</v>
      </c>
      <c r="P47" s="6"/>
      <c r="Q47" s="6"/>
      <c r="R47" s="6"/>
      <c r="S47" s="6"/>
      <c r="T47" s="6"/>
      <c r="U47" s="6"/>
      <c r="V47" s="6"/>
      <c r="W47" s="6"/>
      <c r="X47" s="6"/>
      <c r="Y47" s="6"/>
      <c r="Z47" s="6"/>
      <c r="AA47" s="6"/>
      <c r="AB47" s="6"/>
    </row>
    <row r="48" hidden="1">
      <c r="A48" s="13" t="str">
        <f t="shared" si="1"/>
        <v/>
      </c>
      <c r="B48" s="13"/>
      <c r="C48" s="13" t="s">
        <v>60</v>
      </c>
      <c r="D48" s="8"/>
      <c r="E48" s="53"/>
      <c r="L48" s="54"/>
      <c r="M48" s="12"/>
      <c r="N48" s="6" t="b">
        <v>0</v>
      </c>
      <c r="O48" s="6" t="b">
        <v>0</v>
      </c>
      <c r="P48" s="6"/>
      <c r="Q48" s="6"/>
      <c r="R48" s="6"/>
      <c r="S48" s="6"/>
      <c r="T48" s="6"/>
      <c r="U48" s="6"/>
      <c r="V48" s="6"/>
      <c r="W48" s="6"/>
      <c r="X48" s="6"/>
      <c r="Y48" s="6"/>
      <c r="Z48" s="6"/>
      <c r="AA48" s="6"/>
      <c r="AB48" s="6"/>
    </row>
    <row r="49" hidden="1">
      <c r="A49" s="13" t="str">
        <f t="shared" si="1"/>
        <v/>
      </c>
      <c r="B49" s="13"/>
      <c r="C49" s="13" t="s">
        <v>60</v>
      </c>
      <c r="D49" s="8"/>
      <c r="E49" s="53"/>
      <c r="L49" s="54"/>
      <c r="M49" s="12"/>
      <c r="N49" s="6" t="b">
        <v>0</v>
      </c>
      <c r="O49" s="6" t="b">
        <v>0</v>
      </c>
      <c r="P49" s="6"/>
      <c r="Q49" s="6"/>
      <c r="R49" s="6"/>
      <c r="S49" s="6"/>
      <c r="T49" s="6"/>
      <c r="U49" s="6"/>
      <c r="V49" s="6"/>
      <c r="W49" s="6"/>
      <c r="X49" s="6"/>
      <c r="Y49" s="6"/>
      <c r="Z49" s="6"/>
      <c r="AA49" s="6"/>
      <c r="AB49" s="6"/>
    </row>
    <row r="50" hidden="1">
      <c r="A50" s="13" t="str">
        <f t="shared" si="1"/>
        <v/>
      </c>
      <c r="B50" s="13"/>
      <c r="C50" s="13" t="s">
        <v>60</v>
      </c>
      <c r="D50" s="8"/>
      <c r="E50" s="55"/>
      <c r="F50" s="56"/>
      <c r="G50" s="56"/>
      <c r="H50" s="56"/>
      <c r="I50" s="56"/>
      <c r="J50" s="56"/>
      <c r="K50" s="56"/>
      <c r="L50" s="57"/>
      <c r="M50" s="12"/>
      <c r="N50" s="6" t="b">
        <v>0</v>
      </c>
      <c r="O50" s="6" t="b">
        <v>0</v>
      </c>
      <c r="P50" s="6"/>
      <c r="Q50" s="6"/>
      <c r="R50" s="6"/>
      <c r="S50" s="6"/>
      <c r="T50" s="6"/>
      <c r="U50" s="6"/>
      <c r="V50" s="6"/>
      <c r="W50" s="6"/>
      <c r="X50" s="6"/>
      <c r="Y50" s="6"/>
      <c r="Z50" s="6"/>
      <c r="AA50" s="6"/>
      <c r="AB50" s="6"/>
    </row>
    <row r="51" hidden="1">
      <c r="A51" s="13" t="str">
        <f t="shared" si="1"/>
        <v/>
      </c>
      <c r="B51" s="7"/>
      <c r="C51" s="7">
        <v>44237.0</v>
      </c>
      <c r="D51" s="8"/>
      <c r="E51" s="9"/>
      <c r="F51" s="10"/>
      <c r="G51" s="10"/>
      <c r="H51" s="10"/>
      <c r="I51" s="10"/>
      <c r="J51" s="10"/>
      <c r="K51" s="10"/>
      <c r="L51" s="11"/>
      <c r="M51" s="12"/>
      <c r="N51" s="6"/>
      <c r="O51" s="6"/>
      <c r="P51" s="6"/>
      <c r="Q51" s="6"/>
      <c r="R51" s="6"/>
      <c r="S51" s="6"/>
      <c r="T51" s="6"/>
      <c r="U51" s="6"/>
      <c r="V51" s="6"/>
      <c r="W51" s="6"/>
      <c r="X51" s="6"/>
      <c r="Y51" s="6"/>
      <c r="Z51" s="6"/>
      <c r="AA51" s="6"/>
      <c r="AB51" s="6"/>
    </row>
    <row r="52" hidden="1">
      <c r="A52" s="13" t="str">
        <f t="shared" si="1"/>
        <v>5f843da6a09b8c73a6a1b1df</v>
      </c>
      <c r="B52" s="13"/>
      <c r="C52" s="13" t="s">
        <v>13</v>
      </c>
      <c r="D52" s="14"/>
      <c r="E52" s="15" t="s">
        <v>116</v>
      </c>
      <c r="F52" s="15" t="s">
        <v>117</v>
      </c>
      <c r="G52" s="40">
        <v>0.4166666666666667</v>
      </c>
      <c r="H52" s="27" t="s">
        <v>118</v>
      </c>
      <c r="I52" s="27" t="s">
        <v>119</v>
      </c>
      <c r="J52" s="15" t="s">
        <v>120</v>
      </c>
      <c r="K52" s="21"/>
      <c r="L52" s="18">
        <v>8.0</v>
      </c>
      <c r="M52" s="24" t="str">
        <f>VLOOKUP(E52,'Hedef Liste'!A:I,8,false)</f>
        <v>#N/A</v>
      </c>
      <c r="N52" s="6" t="b">
        <v>0</v>
      </c>
      <c r="O52" s="6" t="b">
        <v>0</v>
      </c>
      <c r="P52" s="6"/>
      <c r="Q52" s="6"/>
      <c r="R52" s="6"/>
      <c r="S52" s="6"/>
      <c r="T52" s="6"/>
      <c r="U52" s="6"/>
      <c r="V52" s="6"/>
      <c r="W52" s="6"/>
      <c r="X52" s="6"/>
      <c r="Y52" s="6"/>
      <c r="Z52" s="6"/>
      <c r="AA52" s="6"/>
      <c r="AB52" s="6"/>
    </row>
    <row r="53" hidden="1">
      <c r="A53" s="13" t="str">
        <f t="shared" si="1"/>
        <v>5fbd42e09f34a7c2965d49a8</v>
      </c>
      <c r="B53" s="13"/>
      <c r="C53" s="13" t="s">
        <v>13</v>
      </c>
      <c r="D53" s="14"/>
      <c r="E53" s="42" t="s">
        <v>121</v>
      </c>
      <c r="F53" s="42" t="s">
        <v>122</v>
      </c>
      <c r="G53" s="58" t="s">
        <v>123</v>
      </c>
      <c r="H53" s="59" t="s">
        <v>78</v>
      </c>
      <c r="I53" s="59" t="s">
        <v>124</v>
      </c>
      <c r="J53" s="42" t="s">
        <v>80</v>
      </c>
      <c r="K53" s="44" t="s">
        <v>125</v>
      </c>
      <c r="L53" s="47"/>
      <c r="M53" s="60"/>
      <c r="N53" s="47" t="b">
        <v>0</v>
      </c>
      <c r="O53" s="48" t="b">
        <v>1</v>
      </c>
      <c r="P53" s="6"/>
      <c r="Q53" s="6"/>
      <c r="R53" s="6"/>
      <c r="S53" s="6"/>
      <c r="T53" s="6"/>
      <c r="U53" s="6"/>
      <c r="V53" s="6"/>
      <c r="W53" s="6"/>
      <c r="X53" s="6"/>
      <c r="Y53" s="6"/>
      <c r="Z53" s="6"/>
      <c r="AA53" s="6"/>
      <c r="AB53" s="6"/>
    </row>
    <row r="54" hidden="1">
      <c r="A54" s="13" t="str">
        <f t="shared" si="1"/>
        <v>5f7f1fdeace10e2902a593cc</v>
      </c>
      <c r="B54" s="13"/>
      <c r="C54" s="13" t="s">
        <v>13</v>
      </c>
      <c r="D54" s="14"/>
      <c r="E54" s="42" t="s">
        <v>126</v>
      </c>
      <c r="F54" s="42" t="s">
        <v>127</v>
      </c>
      <c r="G54" s="58" t="s">
        <v>109</v>
      </c>
      <c r="H54" s="44" t="s">
        <v>87</v>
      </c>
      <c r="I54" s="44" t="s">
        <v>128</v>
      </c>
      <c r="J54" s="42" t="s">
        <v>129</v>
      </c>
      <c r="K54" s="44" t="s">
        <v>130</v>
      </c>
      <c r="L54" s="45"/>
      <c r="M54" s="46"/>
      <c r="N54" s="47" t="b">
        <v>0</v>
      </c>
      <c r="O54" s="48" t="b">
        <v>1</v>
      </c>
      <c r="P54" s="6"/>
      <c r="Q54" s="6"/>
      <c r="R54" s="6"/>
      <c r="S54" s="6"/>
      <c r="T54" s="6"/>
      <c r="U54" s="6"/>
      <c r="V54" s="6"/>
      <c r="W54" s="6"/>
      <c r="X54" s="6"/>
      <c r="Y54" s="6"/>
      <c r="Z54" s="6"/>
      <c r="AA54" s="6"/>
      <c r="AB54" s="6"/>
    </row>
    <row r="55" hidden="1">
      <c r="A55" s="13" t="str">
        <f t="shared" si="1"/>
        <v>5fc41798a0a4b1c513dab54f</v>
      </c>
      <c r="B55" s="13"/>
      <c r="C55" s="13" t="s">
        <v>13</v>
      </c>
      <c r="D55" s="14"/>
      <c r="E55" s="15" t="s">
        <v>131</v>
      </c>
      <c r="F55" s="15" t="s">
        <v>132</v>
      </c>
      <c r="G55" s="22">
        <v>0.625</v>
      </c>
      <c r="H55" s="18" t="s">
        <v>35</v>
      </c>
      <c r="I55" s="27" t="s">
        <v>133</v>
      </c>
      <c r="J55" s="15" t="s">
        <v>134</v>
      </c>
      <c r="K55" s="23"/>
      <c r="L55" s="18">
        <v>17.0</v>
      </c>
      <c r="M55" s="20">
        <f>VLOOKUP(E55,'Hedef Liste'!A:I,8,false)</f>
        <v>7</v>
      </c>
      <c r="N55" s="6" t="b">
        <v>0</v>
      </c>
      <c r="O55" s="6" t="b">
        <v>0</v>
      </c>
      <c r="P55" s="6"/>
      <c r="Q55" s="6"/>
      <c r="R55" s="6"/>
      <c r="S55" s="6"/>
      <c r="T55" s="6"/>
      <c r="U55" s="6"/>
      <c r="V55" s="6"/>
      <c r="W55" s="6"/>
      <c r="X55" s="6"/>
      <c r="Y55" s="6"/>
      <c r="Z55" s="6"/>
      <c r="AA55" s="6"/>
      <c r="AB55" s="6"/>
    </row>
    <row r="56" hidden="1">
      <c r="A56" s="13" t="str">
        <f t="shared" si="1"/>
        <v>5fda1747fa50118ee74ae8d8</v>
      </c>
      <c r="B56" s="13"/>
      <c r="C56" s="13" t="s">
        <v>13</v>
      </c>
      <c r="D56" s="14"/>
      <c r="E56" s="15" t="s">
        <v>135</v>
      </c>
      <c r="F56" s="15" t="s">
        <v>136</v>
      </c>
      <c r="G56" s="22">
        <v>0.6666666666666666</v>
      </c>
      <c r="H56" s="18" t="s">
        <v>137</v>
      </c>
      <c r="I56" s="18" t="s">
        <v>138</v>
      </c>
      <c r="J56" s="15" t="s">
        <v>139</v>
      </c>
      <c r="K56" s="23"/>
      <c r="L56" s="18">
        <v>4.0</v>
      </c>
      <c r="M56" s="20">
        <f>VLOOKUP(E56,'Hedef Liste'!A:I,8,false)</f>
        <v>1</v>
      </c>
      <c r="N56" s="6" t="b">
        <v>0</v>
      </c>
      <c r="O56" s="6" t="b">
        <v>0</v>
      </c>
      <c r="P56" s="6"/>
      <c r="Q56" s="6"/>
      <c r="R56" s="6"/>
      <c r="S56" s="6"/>
      <c r="T56" s="6"/>
      <c r="U56" s="6"/>
      <c r="V56" s="6"/>
      <c r="W56" s="6"/>
      <c r="X56" s="6"/>
      <c r="Y56" s="6"/>
      <c r="Z56" s="6"/>
      <c r="AA56" s="6"/>
      <c r="AB56" s="6"/>
    </row>
    <row r="57" hidden="1">
      <c r="A57" s="13" t="str">
        <f t="shared" si="1"/>
        <v>5f7d78b1ace10e7fbba5759b</v>
      </c>
      <c r="B57" s="13"/>
      <c r="C57" s="13" t="s">
        <v>13</v>
      </c>
      <c r="D57" s="14"/>
      <c r="E57" s="42" t="s">
        <v>140</v>
      </c>
      <c r="F57" s="42" t="s">
        <v>141</v>
      </c>
      <c r="G57" s="43">
        <v>0.7083333333333334</v>
      </c>
      <c r="H57" s="44" t="s">
        <v>142</v>
      </c>
      <c r="I57" s="44" t="s">
        <v>143</v>
      </c>
      <c r="J57" s="42" t="s">
        <v>144</v>
      </c>
      <c r="K57" s="44" t="s">
        <v>125</v>
      </c>
      <c r="L57" s="45"/>
      <c r="M57" s="46"/>
      <c r="N57" s="47" t="b">
        <v>0</v>
      </c>
      <c r="O57" s="48" t="b">
        <v>1</v>
      </c>
      <c r="P57" s="6"/>
      <c r="Q57" s="6"/>
      <c r="R57" s="6"/>
      <c r="S57" s="6"/>
      <c r="T57" s="6"/>
      <c r="U57" s="6"/>
      <c r="V57" s="6"/>
      <c r="W57" s="6"/>
      <c r="X57" s="6"/>
      <c r="Y57" s="6"/>
      <c r="Z57" s="6"/>
      <c r="AA57" s="6"/>
      <c r="AB57" s="6"/>
    </row>
    <row r="58" hidden="1">
      <c r="A58" s="13" t="str">
        <f t="shared" si="1"/>
        <v>6000b321e2d9e0f79e046416</v>
      </c>
      <c r="B58" s="13"/>
      <c r="C58" s="13" t="s">
        <v>31</v>
      </c>
      <c r="D58" s="61"/>
      <c r="E58" s="62" t="s">
        <v>145</v>
      </c>
      <c r="F58" s="62" t="s">
        <v>146</v>
      </c>
      <c r="G58" s="16" t="s">
        <v>147</v>
      </c>
      <c r="H58" s="18" t="s">
        <v>148</v>
      </c>
      <c r="I58" s="18" t="s">
        <v>149</v>
      </c>
      <c r="J58" s="62" t="s">
        <v>150</v>
      </c>
      <c r="K58" s="19"/>
      <c r="L58" s="18">
        <v>8.0</v>
      </c>
      <c r="M58" s="24" t="str">
        <f>VLOOKUP(E58,'Hedef Liste'!A:I,8,false)</f>
        <v>#N/A</v>
      </c>
      <c r="N58" s="6" t="b">
        <v>0</v>
      </c>
      <c r="O58" s="6" t="b">
        <v>0</v>
      </c>
      <c r="P58" s="6"/>
      <c r="Q58" s="6"/>
      <c r="R58" s="6"/>
      <c r="S58" s="6"/>
      <c r="T58" s="6"/>
      <c r="U58" s="6"/>
      <c r="V58" s="6"/>
      <c r="W58" s="6"/>
      <c r="X58" s="6"/>
      <c r="Y58" s="6"/>
      <c r="Z58" s="6"/>
      <c r="AA58" s="6"/>
      <c r="AB58" s="6"/>
    </row>
    <row r="59" hidden="1">
      <c r="A59" s="13" t="str">
        <f t="shared" si="1"/>
        <v>5fda8c79fa5011bcf74af1d5</v>
      </c>
      <c r="B59" s="13"/>
      <c r="C59" s="13" t="s">
        <v>31</v>
      </c>
      <c r="D59" s="14"/>
      <c r="E59" s="42" t="s">
        <v>151</v>
      </c>
      <c r="F59" s="42" t="s">
        <v>152</v>
      </c>
      <c r="G59" s="58" t="s">
        <v>153</v>
      </c>
      <c r="H59" s="44" t="s">
        <v>87</v>
      </c>
      <c r="I59" s="44" t="s">
        <v>154</v>
      </c>
      <c r="J59" s="42" t="s">
        <v>155</v>
      </c>
      <c r="K59" s="63"/>
      <c r="L59" s="45"/>
      <c r="M59" s="46"/>
      <c r="N59" s="47" t="b">
        <v>0</v>
      </c>
      <c r="O59" s="48" t="b">
        <v>1</v>
      </c>
      <c r="P59" s="6"/>
      <c r="Q59" s="6"/>
      <c r="R59" s="6"/>
      <c r="S59" s="6"/>
      <c r="T59" s="6"/>
      <c r="U59" s="6"/>
      <c r="V59" s="6"/>
      <c r="W59" s="6"/>
      <c r="X59" s="6"/>
      <c r="Y59" s="6"/>
      <c r="Z59" s="6"/>
      <c r="AA59" s="6"/>
      <c r="AB59" s="6"/>
    </row>
    <row r="60" hidden="1">
      <c r="A60" s="13" t="str">
        <f t="shared" si="1"/>
        <v>5f7f1b83449e31366ff0704b</v>
      </c>
      <c r="B60" s="13"/>
      <c r="C60" s="13" t="s">
        <v>31</v>
      </c>
      <c r="D60" s="14"/>
      <c r="E60" s="15" t="s">
        <v>156</v>
      </c>
      <c r="F60" s="15" t="s">
        <v>157</v>
      </c>
      <c r="G60" s="16" t="s">
        <v>109</v>
      </c>
      <c r="H60" s="18" t="s">
        <v>87</v>
      </c>
      <c r="I60" s="36" t="s">
        <v>158</v>
      </c>
      <c r="J60" s="15" t="s">
        <v>159</v>
      </c>
      <c r="K60" s="19"/>
      <c r="L60" s="18">
        <v>7.0</v>
      </c>
      <c r="M60" s="20">
        <f>VLOOKUP(E60,'Hedef Liste'!A:I,8,false)</f>
        <v>7</v>
      </c>
      <c r="N60" s="6" t="b">
        <v>0</v>
      </c>
      <c r="O60" s="6" t="b">
        <v>0</v>
      </c>
      <c r="P60" s="6"/>
      <c r="Q60" s="6"/>
      <c r="R60" s="6"/>
      <c r="S60" s="6"/>
      <c r="T60" s="6"/>
      <c r="U60" s="6"/>
      <c r="V60" s="6"/>
      <c r="W60" s="6"/>
      <c r="X60" s="6"/>
      <c r="Y60" s="6"/>
      <c r="Z60" s="6"/>
      <c r="AA60" s="6"/>
      <c r="AB60" s="6"/>
    </row>
    <row r="61" hidden="1">
      <c r="A61" s="13" t="str">
        <f t="shared" si="1"/>
        <v>5fa339d062bd7c92d88b14ca</v>
      </c>
      <c r="B61" s="13"/>
      <c r="C61" s="13" t="s">
        <v>31</v>
      </c>
      <c r="D61" s="14"/>
      <c r="E61" s="15" t="s">
        <v>160</v>
      </c>
      <c r="F61" s="15" t="s">
        <v>161</v>
      </c>
      <c r="G61" s="22">
        <v>0.5833333333333334</v>
      </c>
      <c r="H61" s="18" t="s">
        <v>162</v>
      </c>
      <c r="I61" s="18" t="s">
        <v>163</v>
      </c>
      <c r="J61" s="15" t="s">
        <v>164</v>
      </c>
      <c r="K61" s="23"/>
      <c r="L61" s="18">
        <v>5.0</v>
      </c>
      <c r="M61" s="20">
        <f>VLOOKUP(E61,'Hedef Liste'!A:I,8,false)</f>
        <v>12</v>
      </c>
      <c r="N61" s="6" t="b">
        <v>0</v>
      </c>
      <c r="O61" s="6" t="b">
        <v>0</v>
      </c>
      <c r="P61" s="6"/>
      <c r="Q61" s="6"/>
      <c r="R61" s="6"/>
      <c r="S61" s="6"/>
      <c r="T61" s="6"/>
      <c r="U61" s="6"/>
      <c r="V61" s="6"/>
      <c r="W61" s="6"/>
      <c r="X61" s="6"/>
      <c r="Y61" s="6"/>
      <c r="Z61" s="6"/>
      <c r="AA61" s="6"/>
      <c r="AB61" s="6"/>
    </row>
    <row r="62" hidden="1">
      <c r="A62" s="13" t="str">
        <f t="shared" si="1"/>
        <v>5f9163c46d45726d4a85fe33</v>
      </c>
      <c r="B62" s="13"/>
      <c r="C62" s="13" t="s">
        <v>31</v>
      </c>
      <c r="D62" s="14"/>
      <c r="E62" s="15" t="s">
        <v>165</v>
      </c>
      <c r="F62" s="15" t="s">
        <v>166</v>
      </c>
      <c r="G62" s="22">
        <v>0.625</v>
      </c>
      <c r="H62" s="18" t="s">
        <v>167</v>
      </c>
      <c r="I62" s="18" t="s">
        <v>168</v>
      </c>
      <c r="J62" s="15" t="s">
        <v>169</v>
      </c>
      <c r="K62" s="19"/>
      <c r="L62" s="18">
        <v>6.0</v>
      </c>
      <c r="M62" s="20">
        <f>VLOOKUP(E62,'Hedef Liste'!A:I,8,false)</f>
        <v>19</v>
      </c>
      <c r="N62" s="6" t="b">
        <v>0</v>
      </c>
      <c r="O62" s="6" t="b">
        <v>0</v>
      </c>
      <c r="P62" s="6"/>
      <c r="Q62" s="6"/>
      <c r="R62" s="6"/>
      <c r="S62" s="6"/>
      <c r="T62" s="6"/>
      <c r="U62" s="6"/>
      <c r="V62" s="6"/>
      <c r="W62" s="6"/>
      <c r="X62" s="6"/>
      <c r="Y62" s="6"/>
      <c r="Z62" s="6"/>
      <c r="AA62" s="6"/>
      <c r="AB62" s="6"/>
    </row>
    <row r="63" hidden="1">
      <c r="A63" s="13" t="str">
        <f t="shared" si="1"/>
        <v>5fa1249c59fb3f445202116e</v>
      </c>
      <c r="B63" s="13"/>
      <c r="C63" s="13" t="s">
        <v>31</v>
      </c>
      <c r="D63" s="14"/>
      <c r="E63" s="15" t="s">
        <v>170</v>
      </c>
      <c r="F63" s="15" t="s">
        <v>171</v>
      </c>
      <c r="G63" s="16" t="s">
        <v>97</v>
      </c>
      <c r="H63" s="18" t="s">
        <v>172</v>
      </c>
      <c r="I63" s="18" t="s">
        <v>173</v>
      </c>
      <c r="J63" s="15" t="s">
        <v>174</v>
      </c>
      <c r="K63" s="23"/>
      <c r="L63" s="18">
        <v>9.0</v>
      </c>
      <c r="M63" s="20">
        <f>VLOOKUP(E63,'Hedef Liste'!A:I,8,false)</f>
        <v>14</v>
      </c>
      <c r="N63" s="6" t="b">
        <v>0</v>
      </c>
      <c r="O63" s="6" t="b">
        <v>0</v>
      </c>
      <c r="P63" s="6"/>
      <c r="Q63" s="6"/>
      <c r="R63" s="6"/>
      <c r="S63" s="6"/>
      <c r="T63" s="6"/>
      <c r="U63" s="6"/>
      <c r="V63" s="6"/>
      <c r="W63" s="6"/>
      <c r="X63" s="6"/>
      <c r="Y63" s="6"/>
      <c r="Z63" s="6"/>
      <c r="AA63" s="6"/>
      <c r="AB63" s="6"/>
    </row>
    <row r="64" hidden="1">
      <c r="A64" s="13" t="str">
        <f t="shared" si="1"/>
        <v>5fe0f74e20df6e2cafc1ab0b</v>
      </c>
      <c r="B64" s="13"/>
      <c r="C64" s="13" t="s">
        <v>46</v>
      </c>
      <c r="D64" s="14"/>
      <c r="E64" s="15" t="s">
        <v>175</v>
      </c>
      <c r="F64" s="15" t="s">
        <v>176</v>
      </c>
      <c r="G64" s="16" t="s">
        <v>153</v>
      </c>
      <c r="H64" s="18" t="s">
        <v>87</v>
      </c>
      <c r="I64" s="18" t="s">
        <v>177</v>
      </c>
      <c r="J64" s="15" t="s">
        <v>178</v>
      </c>
      <c r="K64" s="19"/>
      <c r="L64" s="18">
        <v>2.0</v>
      </c>
      <c r="M64" s="20">
        <f>VLOOKUP(E64,'Hedef Liste'!A:I,8,false)</f>
        <v>6</v>
      </c>
      <c r="N64" s="6" t="b">
        <v>0</v>
      </c>
      <c r="O64" s="6" t="b">
        <v>0</v>
      </c>
      <c r="P64" s="6"/>
      <c r="Q64" s="6"/>
      <c r="R64" s="6"/>
      <c r="S64" s="6"/>
      <c r="T64" s="6"/>
      <c r="U64" s="6"/>
      <c r="V64" s="6"/>
      <c r="W64" s="6"/>
      <c r="X64" s="6"/>
      <c r="Y64" s="6"/>
      <c r="Z64" s="6"/>
      <c r="AA64" s="6"/>
      <c r="AB64" s="6"/>
    </row>
    <row r="65" hidden="1">
      <c r="A65" s="13" t="str">
        <f t="shared" si="1"/>
        <v>5fa8973f16241d27ea9aaf48</v>
      </c>
      <c r="B65" s="13"/>
      <c r="C65" s="13" t="s">
        <v>46</v>
      </c>
      <c r="D65" s="14"/>
      <c r="E65" s="15" t="s">
        <v>179</v>
      </c>
      <c r="F65" s="15" t="s">
        <v>180</v>
      </c>
      <c r="G65" s="16" t="s">
        <v>123</v>
      </c>
      <c r="H65" s="18" t="s">
        <v>35</v>
      </c>
      <c r="I65" s="18" t="s">
        <v>181</v>
      </c>
      <c r="J65" s="15" t="s">
        <v>37</v>
      </c>
      <c r="K65" s="19"/>
      <c r="L65" s="18">
        <v>7.0</v>
      </c>
      <c r="M65" s="24" t="str">
        <f>VLOOKUP(E65,'Hedef Liste'!A:I,8,false)</f>
        <v>#N/A</v>
      </c>
      <c r="N65" s="6" t="b">
        <v>0</v>
      </c>
      <c r="O65" s="6" t="b">
        <v>0</v>
      </c>
      <c r="P65" s="6"/>
      <c r="Q65" s="6"/>
      <c r="R65" s="6"/>
      <c r="S65" s="6"/>
      <c r="T65" s="6"/>
      <c r="U65" s="6"/>
      <c r="V65" s="6"/>
      <c r="W65" s="6"/>
      <c r="X65" s="6"/>
      <c r="Y65" s="6"/>
      <c r="Z65" s="6"/>
      <c r="AA65" s="6"/>
      <c r="AB65" s="6"/>
    </row>
    <row r="66" hidden="1">
      <c r="A66" s="13" t="str">
        <f t="shared" si="1"/>
        <v>5f3517c5f86cbfd09410dec6</v>
      </c>
      <c r="B66" s="13"/>
      <c r="C66" s="13" t="s">
        <v>46</v>
      </c>
      <c r="D66" s="14"/>
      <c r="E66" s="15" t="s">
        <v>182</v>
      </c>
      <c r="F66" s="15" t="s">
        <v>183</v>
      </c>
      <c r="G66" s="22">
        <v>0.5416666666666666</v>
      </c>
      <c r="H66" s="18" t="s">
        <v>87</v>
      </c>
      <c r="I66" s="18" t="s">
        <v>184</v>
      </c>
      <c r="J66" s="15" t="s">
        <v>185</v>
      </c>
      <c r="K66" s="23"/>
      <c r="L66" s="18">
        <v>13.0</v>
      </c>
      <c r="M66" s="20">
        <f>VLOOKUP(E66,'Hedef Liste'!A:I,8,false)</f>
        <v>5</v>
      </c>
      <c r="N66" s="6" t="b">
        <v>0</v>
      </c>
      <c r="O66" s="6" t="b">
        <v>0</v>
      </c>
      <c r="P66" s="6"/>
      <c r="Q66" s="6"/>
      <c r="R66" s="6"/>
      <c r="S66" s="6"/>
      <c r="T66" s="6"/>
      <c r="U66" s="6"/>
      <c r="V66" s="6"/>
      <c r="W66" s="6"/>
      <c r="X66" s="6"/>
      <c r="Y66" s="6"/>
      <c r="Z66" s="6"/>
      <c r="AA66" s="6"/>
      <c r="AB66" s="6"/>
    </row>
    <row r="67" hidden="1">
      <c r="A67" s="13" t="str">
        <f t="shared" si="1"/>
        <v>5f67d9567dbb7e1efbe50682</v>
      </c>
      <c r="B67" s="13"/>
      <c r="C67" s="13" t="s">
        <v>46</v>
      </c>
      <c r="D67" s="14"/>
      <c r="E67" s="15" t="s">
        <v>186</v>
      </c>
      <c r="F67" s="15" t="s">
        <v>187</v>
      </c>
      <c r="G67" s="22">
        <v>0.6041666666666666</v>
      </c>
      <c r="H67" s="18" t="s">
        <v>87</v>
      </c>
      <c r="I67" s="18" t="s">
        <v>188</v>
      </c>
      <c r="J67" s="15" t="s">
        <v>189</v>
      </c>
      <c r="K67" s="19"/>
      <c r="L67" s="18">
        <v>4.0</v>
      </c>
      <c r="M67" s="20">
        <f>VLOOKUP(E67,'Hedef Liste'!A:I,8,false)</f>
        <v>0</v>
      </c>
      <c r="N67" s="6" t="b">
        <v>0</v>
      </c>
      <c r="O67" s="6" t="b">
        <v>0</v>
      </c>
      <c r="P67" s="6"/>
      <c r="Q67" s="6"/>
      <c r="R67" s="6"/>
      <c r="S67" s="6"/>
      <c r="T67" s="6"/>
      <c r="U67" s="6"/>
      <c r="V67" s="6"/>
      <c r="W67" s="6"/>
      <c r="X67" s="6"/>
      <c r="Y67" s="6"/>
      <c r="Z67" s="6"/>
      <c r="AA67" s="6"/>
      <c r="AB67" s="6"/>
    </row>
    <row r="68" hidden="1">
      <c r="A68" s="13" t="str">
        <f t="shared" si="1"/>
        <v>6000b0aedef388c843e0d2c3</v>
      </c>
      <c r="B68" s="13"/>
      <c r="C68" s="13" t="s">
        <v>46</v>
      </c>
      <c r="D68" s="14"/>
      <c r="E68" s="15" t="s">
        <v>190</v>
      </c>
      <c r="F68" s="15" t="s">
        <v>191</v>
      </c>
      <c r="G68" s="16" t="s">
        <v>147</v>
      </c>
      <c r="H68" s="18" t="s">
        <v>148</v>
      </c>
      <c r="I68" s="18" t="s">
        <v>149</v>
      </c>
      <c r="J68" s="15" t="s">
        <v>192</v>
      </c>
      <c r="K68" s="23"/>
      <c r="L68" s="18">
        <v>18.0</v>
      </c>
      <c r="M68" s="20">
        <f>VLOOKUP(E68,'Hedef Liste'!A:I,8,false)</f>
        <v>1</v>
      </c>
      <c r="N68" s="6" t="b">
        <v>0</v>
      </c>
      <c r="O68" s="6" t="b">
        <v>0</v>
      </c>
      <c r="P68" s="6"/>
      <c r="Q68" s="6"/>
      <c r="R68" s="6"/>
      <c r="S68" s="6"/>
      <c r="T68" s="6"/>
      <c r="U68" s="6"/>
      <c r="V68" s="6"/>
      <c r="W68" s="6"/>
      <c r="X68" s="6"/>
      <c r="Y68" s="6"/>
      <c r="Z68" s="6"/>
      <c r="AA68" s="6"/>
      <c r="AB68" s="6"/>
    </row>
    <row r="69" hidden="1">
      <c r="A69" s="13" t="str">
        <f t="shared" si="1"/>
        <v>5ff4eeb2345867223347bf70</v>
      </c>
      <c r="B69" s="13"/>
      <c r="C69" s="13" t="s">
        <v>46</v>
      </c>
      <c r="D69" s="14"/>
      <c r="E69" s="15" t="s">
        <v>193</v>
      </c>
      <c r="F69" s="15" t="s">
        <v>194</v>
      </c>
      <c r="G69" s="40">
        <v>0.6875</v>
      </c>
      <c r="H69" s="27" t="s">
        <v>195</v>
      </c>
      <c r="I69" s="27" t="s">
        <v>196</v>
      </c>
      <c r="J69" s="15" t="s">
        <v>197</v>
      </c>
      <c r="K69" s="21"/>
      <c r="L69" s="27">
        <v>9.0</v>
      </c>
      <c r="M69" s="64" t="str">
        <f>VLOOKUP(E69,'Hedef Liste'!A:I,8,false)</f>
        <v>#N/A</v>
      </c>
      <c r="N69" s="6" t="b">
        <v>0</v>
      </c>
      <c r="O69" s="6" t="b">
        <v>0</v>
      </c>
      <c r="P69" s="6"/>
      <c r="Q69" s="6"/>
      <c r="R69" s="6"/>
      <c r="S69" s="6"/>
      <c r="T69" s="6"/>
      <c r="U69" s="6"/>
      <c r="V69" s="6"/>
      <c r="W69" s="6"/>
      <c r="X69" s="6"/>
      <c r="Y69" s="6"/>
      <c r="Z69" s="6"/>
      <c r="AA69" s="6"/>
      <c r="AB69" s="6"/>
    </row>
    <row r="70" hidden="1">
      <c r="A70" s="13" t="str">
        <f t="shared" si="1"/>
        <v/>
      </c>
      <c r="B70" s="13"/>
      <c r="C70" s="65" t="s">
        <v>60</v>
      </c>
      <c r="D70" s="8"/>
      <c r="E70" s="50"/>
      <c r="F70" s="51"/>
      <c r="G70" s="51"/>
      <c r="H70" s="51"/>
      <c r="I70" s="51"/>
      <c r="J70" s="51"/>
      <c r="K70" s="51"/>
      <c r="L70" s="52"/>
      <c r="M70" s="12"/>
      <c r="N70" s="6" t="b">
        <v>0</v>
      </c>
      <c r="O70" s="6" t="b">
        <v>0</v>
      </c>
      <c r="P70" s="6"/>
      <c r="Q70" s="6"/>
      <c r="R70" s="6"/>
      <c r="S70" s="6"/>
      <c r="T70" s="6"/>
      <c r="U70" s="6"/>
      <c r="V70" s="6"/>
      <c r="W70" s="6"/>
      <c r="X70" s="6"/>
      <c r="Y70" s="6"/>
      <c r="Z70" s="6"/>
      <c r="AA70" s="6"/>
      <c r="AB70" s="6"/>
    </row>
    <row r="71" hidden="1">
      <c r="A71" s="13" t="str">
        <f t="shared" si="1"/>
        <v/>
      </c>
      <c r="B71" s="13"/>
      <c r="C71" s="66"/>
      <c r="D71" s="8"/>
      <c r="E71" s="53"/>
      <c r="L71" s="54"/>
      <c r="M71" s="12"/>
      <c r="N71" s="6" t="b">
        <v>0</v>
      </c>
      <c r="O71" s="6" t="b">
        <v>0</v>
      </c>
      <c r="P71" s="6"/>
      <c r="Q71" s="6"/>
      <c r="R71" s="6"/>
      <c r="S71" s="6"/>
      <c r="T71" s="6"/>
      <c r="U71" s="6"/>
      <c r="V71" s="6"/>
      <c r="W71" s="6"/>
      <c r="X71" s="6"/>
      <c r="Y71" s="6"/>
      <c r="Z71" s="6"/>
      <c r="AA71" s="6"/>
      <c r="AB71" s="6"/>
    </row>
    <row r="72" hidden="1">
      <c r="A72" s="13" t="str">
        <f t="shared" si="1"/>
        <v/>
      </c>
      <c r="B72" s="13"/>
      <c r="C72" s="66"/>
      <c r="D72" s="8"/>
      <c r="E72" s="53"/>
      <c r="L72" s="54"/>
      <c r="M72" s="12"/>
      <c r="N72" s="6" t="b">
        <v>0</v>
      </c>
      <c r="O72" s="6" t="b">
        <v>0</v>
      </c>
      <c r="P72" s="6"/>
      <c r="Q72" s="6"/>
      <c r="R72" s="6"/>
      <c r="S72" s="6"/>
      <c r="T72" s="6"/>
      <c r="U72" s="6"/>
      <c r="V72" s="6"/>
      <c r="W72" s="6"/>
      <c r="X72" s="6"/>
      <c r="Y72" s="6"/>
      <c r="Z72" s="6"/>
      <c r="AA72" s="6"/>
      <c r="AB72" s="6"/>
    </row>
    <row r="73" hidden="1">
      <c r="A73" s="13" t="str">
        <f t="shared" si="1"/>
        <v/>
      </c>
      <c r="B73" s="13"/>
      <c r="C73" s="66"/>
      <c r="D73" s="8"/>
      <c r="E73" s="53"/>
      <c r="L73" s="54"/>
      <c r="M73" s="12"/>
      <c r="N73" s="6" t="b">
        <v>0</v>
      </c>
      <c r="O73" s="6" t="b">
        <v>0</v>
      </c>
      <c r="P73" s="6"/>
      <c r="Q73" s="6"/>
      <c r="R73" s="6"/>
      <c r="S73" s="6"/>
      <c r="T73" s="6"/>
      <c r="U73" s="6"/>
      <c r="V73" s="6"/>
      <c r="W73" s="6"/>
      <c r="X73" s="6"/>
      <c r="Y73" s="6"/>
      <c r="Z73" s="6"/>
      <c r="AA73" s="6"/>
      <c r="AB73" s="6"/>
    </row>
    <row r="74" hidden="1">
      <c r="A74" s="13" t="str">
        <f t="shared" si="1"/>
        <v/>
      </c>
      <c r="B74" s="13"/>
      <c r="C74" s="66"/>
      <c r="D74" s="8"/>
      <c r="E74" s="53"/>
      <c r="L74" s="54"/>
      <c r="M74" s="12"/>
      <c r="N74" s="6" t="b">
        <v>0</v>
      </c>
      <c r="O74" s="6" t="b">
        <v>0</v>
      </c>
      <c r="P74" s="6"/>
      <c r="Q74" s="6"/>
      <c r="R74" s="6"/>
      <c r="S74" s="6"/>
      <c r="T74" s="6"/>
      <c r="U74" s="6"/>
      <c r="V74" s="6"/>
      <c r="W74" s="6"/>
      <c r="X74" s="6"/>
      <c r="Y74" s="6"/>
      <c r="Z74" s="6"/>
      <c r="AA74" s="6"/>
      <c r="AB74" s="6"/>
    </row>
    <row r="75" hidden="1">
      <c r="A75" s="13" t="str">
        <f t="shared" si="1"/>
        <v/>
      </c>
      <c r="B75" s="13"/>
      <c r="C75" s="67"/>
      <c r="D75" s="8"/>
      <c r="E75" s="55"/>
      <c r="F75" s="56"/>
      <c r="G75" s="56"/>
      <c r="H75" s="56"/>
      <c r="I75" s="56"/>
      <c r="J75" s="56"/>
      <c r="K75" s="56"/>
      <c r="L75" s="57"/>
      <c r="M75" s="12"/>
      <c r="N75" s="6" t="b">
        <v>0</v>
      </c>
      <c r="O75" s="6" t="b">
        <v>0</v>
      </c>
      <c r="P75" s="6"/>
      <c r="Q75" s="6"/>
      <c r="R75" s="6"/>
      <c r="S75" s="6"/>
      <c r="T75" s="6"/>
      <c r="U75" s="6"/>
      <c r="V75" s="6"/>
      <c r="W75" s="6"/>
      <c r="X75" s="6"/>
      <c r="Y75" s="6"/>
      <c r="Z75" s="6"/>
      <c r="AA75" s="6"/>
      <c r="AB75" s="6"/>
    </row>
    <row r="76" hidden="1">
      <c r="A76" s="13" t="str">
        <f t="shared" si="1"/>
        <v/>
      </c>
      <c r="B76" s="7"/>
      <c r="C76" s="7">
        <v>44238.0</v>
      </c>
      <c r="D76" s="8"/>
      <c r="E76" s="9"/>
      <c r="F76" s="10"/>
      <c r="G76" s="10"/>
      <c r="H76" s="10"/>
      <c r="I76" s="10"/>
      <c r="J76" s="10"/>
      <c r="K76" s="10"/>
      <c r="L76" s="11"/>
      <c r="M76" s="12"/>
      <c r="N76" s="6"/>
      <c r="O76" s="6"/>
      <c r="P76" s="6"/>
      <c r="Q76" s="6"/>
      <c r="R76" s="6"/>
      <c r="S76" s="6"/>
      <c r="T76" s="6"/>
      <c r="U76" s="6"/>
      <c r="V76" s="6"/>
      <c r="W76" s="6"/>
      <c r="X76" s="6"/>
      <c r="Y76" s="6"/>
      <c r="Z76" s="6"/>
      <c r="AA76" s="6"/>
      <c r="AB76" s="6"/>
    </row>
    <row r="77" hidden="1">
      <c r="A77" s="13" t="str">
        <f t="shared" si="1"/>
        <v>6000a52b3cc99f6941cdc20a</v>
      </c>
      <c r="B77" s="13"/>
      <c r="C77" s="13" t="s">
        <v>13</v>
      </c>
      <c r="D77" s="14"/>
      <c r="E77" s="15" t="s">
        <v>198</v>
      </c>
      <c r="F77" s="15" t="s">
        <v>199</v>
      </c>
      <c r="G77" s="16" t="s">
        <v>153</v>
      </c>
      <c r="H77" s="18" t="s">
        <v>87</v>
      </c>
      <c r="I77" s="18" t="s">
        <v>200</v>
      </c>
      <c r="J77" s="15" t="s">
        <v>201</v>
      </c>
      <c r="K77" s="19"/>
      <c r="L77" s="18">
        <v>9.0</v>
      </c>
      <c r="M77" s="20">
        <f>VLOOKUP(E77,'Hedef Liste'!A:I,8,false)</f>
        <v>19</v>
      </c>
      <c r="N77" s="6" t="b">
        <v>0</v>
      </c>
      <c r="O77" s="6" t="b">
        <v>0</v>
      </c>
      <c r="P77" s="6"/>
      <c r="Q77" s="6"/>
      <c r="R77" s="6"/>
      <c r="S77" s="6"/>
      <c r="T77" s="6"/>
      <c r="U77" s="6"/>
      <c r="V77" s="6"/>
      <c r="W77" s="6"/>
      <c r="X77" s="6"/>
      <c r="Y77" s="6"/>
      <c r="Z77" s="6"/>
      <c r="AA77" s="6"/>
      <c r="AB77" s="6"/>
    </row>
    <row r="78" hidden="1">
      <c r="A78" s="13" t="str">
        <f t="shared" si="1"/>
        <v>5f8da567f3a26130e817135f</v>
      </c>
      <c r="B78" s="13"/>
      <c r="C78" s="13" t="s">
        <v>13</v>
      </c>
      <c r="D78" s="61"/>
      <c r="E78" s="62" t="s">
        <v>202</v>
      </c>
      <c r="F78" s="62" t="s">
        <v>203</v>
      </c>
      <c r="G78" s="40">
        <v>0.5</v>
      </c>
      <c r="H78" s="18" t="s">
        <v>204</v>
      </c>
      <c r="I78" s="27" t="s">
        <v>205</v>
      </c>
      <c r="J78" s="62" t="s">
        <v>206</v>
      </c>
      <c r="K78" s="19"/>
      <c r="L78" s="18">
        <v>25.0</v>
      </c>
      <c r="M78" s="20">
        <f>VLOOKUP(E78,'Hedef Liste'!A:I,8,false)</f>
        <v>11</v>
      </c>
      <c r="N78" s="6" t="b">
        <v>0</v>
      </c>
      <c r="O78" s="6" t="b">
        <v>0</v>
      </c>
      <c r="P78" s="6"/>
      <c r="Q78" s="6"/>
      <c r="R78" s="6"/>
      <c r="S78" s="6"/>
      <c r="T78" s="6"/>
      <c r="U78" s="6"/>
      <c r="V78" s="6"/>
      <c r="W78" s="6"/>
      <c r="X78" s="6"/>
      <c r="Y78" s="6"/>
      <c r="Z78" s="6"/>
      <c r="AA78" s="6"/>
      <c r="AB78" s="6"/>
    </row>
    <row r="79" hidden="1">
      <c r="A79" s="13" t="str">
        <f t="shared" si="1"/>
        <v>5fdbbb335e70c3db4a8a3baa</v>
      </c>
      <c r="B79" s="13"/>
      <c r="C79" s="13" t="s">
        <v>13</v>
      </c>
      <c r="D79" s="14"/>
      <c r="E79" s="15" t="s">
        <v>207</v>
      </c>
      <c r="F79" s="15" t="s">
        <v>208</v>
      </c>
      <c r="G79" s="16" t="s">
        <v>209</v>
      </c>
      <c r="H79" s="18" t="s">
        <v>87</v>
      </c>
      <c r="I79" s="18" t="s">
        <v>210</v>
      </c>
      <c r="J79" s="15" t="s">
        <v>211</v>
      </c>
      <c r="K79" s="19"/>
      <c r="L79" s="18">
        <v>6.0</v>
      </c>
      <c r="M79" s="20">
        <f>VLOOKUP(E79,'Hedef Liste'!A:I,8,false)</f>
        <v>14</v>
      </c>
      <c r="N79" s="6" t="b">
        <v>0</v>
      </c>
      <c r="O79" s="6" t="b">
        <v>0</v>
      </c>
      <c r="P79" s="6"/>
      <c r="Q79" s="6"/>
      <c r="R79" s="6"/>
      <c r="S79" s="6"/>
      <c r="T79" s="6"/>
      <c r="U79" s="6"/>
      <c r="V79" s="6"/>
      <c r="W79" s="6"/>
      <c r="X79" s="6"/>
      <c r="Y79" s="6"/>
      <c r="Z79" s="6"/>
      <c r="AA79" s="6"/>
      <c r="AB79" s="6"/>
    </row>
    <row r="80" hidden="1">
      <c r="A80" s="13" t="str">
        <f t="shared" si="1"/>
        <v>5f33855073c35d702ce6f2f7</v>
      </c>
      <c r="B80" s="13"/>
      <c r="C80" s="13" t="s">
        <v>13</v>
      </c>
      <c r="D80" s="14"/>
      <c r="E80" s="15" t="s">
        <v>212</v>
      </c>
      <c r="F80" s="15" t="s">
        <v>213</v>
      </c>
      <c r="G80" s="22">
        <v>0.625</v>
      </c>
      <c r="H80" s="18" t="s">
        <v>214</v>
      </c>
      <c r="I80" s="18" t="s">
        <v>215</v>
      </c>
      <c r="J80" s="15" t="s">
        <v>216</v>
      </c>
      <c r="K80" s="23"/>
      <c r="L80" s="18">
        <v>26.0</v>
      </c>
      <c r="M80" s="20">
        <f>VLOOKUP(E80,'Hedef Liste'!A:I,8,false)</f>
        <v>6</v>
      </c>
      <c r="N80" s="6" t="b">
        <v>0</v>
      </c>
      <c r="O80" s="6" t="b">
        <v>0</v>
      </c>
      <c r="P80" s="6"/>
      <c r="Q80" s="6"/>
      <c r="R80" s="6"/>
      <c r="S80" s="6"/>
      <c r="T80" s="6"/>
      <c r="U80" s="6"/>
      <c r="V80" s="6"/>
      <c r="W80" s="6"/>
      <c r="X80" s="6"/>
      <c r="Y80" s="6"/>
      <c r="Z80" s="6"/>
      <c r="AA80" s="6"/>
      <c r="AB80" s="6"/>
    </row>
    <row r="81" hidden="1">
      <c r="A81" s="13" t="str">
        <f t="shared" si="1"/>
        <v>5fd540c09d557c8210648ece</v>
      </c>
      <c r="B81" s="13"/>
      <c r="C81" s="13" t="s">
        <v>13</v>
      </c>
      <c r="D81" s="14"/>
      <c r="E81" s="15" t="s">
        <v>217</v>
      </c>
      <c r="F81" s="15" t="s">
        <v>218</v>
      </c>
      <c r="G81" s="22">
        <v>0.6666666666666666</v>
      </c>
      <c r="H81" s="18" t="s">
        <v>72</v>
      </c>
      <c r="I81" s="18" t="s">
        <v>219</v>
      </c>
      <c r="J81" s="15" t="s">
        <v>220</v>
      </c>
      <c r="K81" s="19"/>
      <c r="L81" s="18">
        <v>11.0</v>
      </c>
      <c r="M81" s="20">
        <f>VLOOKUP(E81,'Hedef Liste'!A:I,8,false)</f>
        <v>3</v>
      </c>
      <c r="N81" s="6" t="b">
        <v>0</v>
      </c>
      <c r="O81" s="6" t="b">
        <v>0</v>
      </c>
      <c r="P81" s="6"/>
      <c r="Q81" s="6"/>
      <c r="R81" s="6"/>
      <c r="S81" s="6"/>
      <c r="T81" s="6"/>
      <c r="U81" s="6"/>
      <c r="V81" s="6"/>
      <c r="W81" s="6"/>
      <c r="X81" s="6"/>
      <c r="Y81" s="6"/>
      <c r="Z81" s="6"/>
      <c r="AA81" s="6"/>
      <c r="AB81" s="6"/>
    </row>
    <row r="82" hidden="1">
      <c r="A82" s="13" t="str">
        <f t="shared" si="1"/>
        <v>5f974bdf73a8e63ed775ae54</v>
      </c>
      <c r="B82" s="13"/>
      <c r="C82" s="13" t="s">
        <v>13</v>
      </c>
      <c r="D82" s="14"/>
      <c r="E82" s="15" t="s">
        <v>221</v>
      </c>
      <c r="F82" s="15" t="s">
        <v>222</v>
      </c>
      <c r="G82" s="16" t="s">
        <v>223</v>
      </c>
      <c r="H82" s="18" t="s">
        <v>224</v>
      </c>
      <c r="I82" s="18" t="s">
        <v>225</v>
      </c>
      <c r="J82" s="15" t="s">
        <v>226</v>
      </c>
      <c r="K82" s="23"/>
      <c r="L82" s="18">
        <v>21.0</v>
      </c>
      <c r="M82" s="20">
        <f>VLOOKUP(E82,'Hedef Liste'!A:I,8,false)</f>
        <v>22</v>
      </c>
      <c r="N82" s="6" t="b">
        <v>0</v>
      </c>
      <c r="O82" s="6" t="b">
        <v>0</v>
      </c>
      <c r="P82" s="6"/>
      <c r="Q82" s="6"/>
      <c r="R82" s="6"/>
      <c r="S82" s="6"/>
      <c r="T82" s="6"/>
      <c r="U82" s="6"/>
      <c r="V82" s="6"/>
      <c r="W82" s="6"/>
      <c r="X82" s="6"/>
      <c r="Y82" s="6"/>
      <c r="Z82" s="6"/>
      <c r="AA82" s="6"/>
      <c r="AB82" s="6"/>
    </row>
    <row r="83" hidden="1">
      <c r="A83" s="13" t="str">
        <f t="shared" si="1"/>
        <v>5f971faf5995760d22149039</v>
      </c>
      <c r="B83" s="13"/>
      <c r="C83" s="13" t="s">
        <v>31</v>
      </c>
      <c r="D83" s="14"/>
      <c r="E83" s="42" t="s">
        <v>227</v>
      </c>
      <c r="F83" s="42" t="s">
        <v>228</v>
      </c>
      <c r="G83" s="58" t="s">
        <v>153</v>
      </c>
      <c r="H83" s="44" t="s">
        <v>229</v>
      </c>
      <c r="I83" s="44" t="s">
        <v>230</v>
      </c>
      <c r="J83" s="42" t="s">
        <v>231</v>
      </c>
      <c r="K83" s="44" t="s">
        <v>232</v>
      </c>
      <c r="L83" s="45"/>
      <c r="M83" s="46"/>
      <c r="N83" s="47" t="b">
        <v>0</v>
      </c>
      <c r="O83" s="48" t="b">
        <v>1</v>
      </c>
      <c r="P83" s="6"/>
      <c r="Q83" s="6"/>
      <c r="R83" s="6"/>
      <c r="S83" s="6"/>
      <c r="T83" s="6"/>
      <c r="U83" s="6"/>
      <c r="V83" s="6"/>
      <c r="W83" s="6"/>
      <c r="X83" s="6"/>
      <c r="Y83" s="6"/>
      <c r="Z83" s="6"/>
      <c r="AA83" s="6"/>
      <c r="AB83" s="6"/>
    </row>
    <row r="84" hidden="1">
      <c r="A84" s="13" t="str">
        <f t="shared" si="1"/>
        <v>5f906be46d457214fc85eb15</v>
      </c>
      <c r="B84" s="13"/>
      <c r="C84" s="13" t="s">
        <v>31</v>
      </c>
      <c r="D84" s="14"/>
      <c r="E84" s="15" t="s">
        <v>233</v>
      </c>
      <c r="F84" s="15" t="s">
        <v>234</v>
      </c>
      <c r="G84" s="16" t="s">
        <v>123</v>
      </c>
      <c r="H84" s="18" t="s">
        <v>204</v>
      </c>
      <c r="I84" s="18" t="s">
        <v>235</v>
      </c>
      <c r="J84" s="15" t="s">
        <v>236</v>
      </c>
      <c r="K84" s="19"/>
      <c r="L84" s="18">
        <v>9.0</v>
      </c>
      <c r="M84" s="24" t="str">
        <f>VLOOKUP(E84,'Hedef Liste'!A:I,8,false)</f>
        <v>#N/A</v>
      </c>
      <c r="N84" s="6" t="b">
        <v>0</v>
      </c>
      <c r="O84" s="6" t="b">
        <v>0</v>
      </c>
      <c r="P84" s="6"/>
      <c r="Q84" s="6"/>
      <c r="R84" s="6"/>
      <c r="S84" s="6"/>
      <c r="T84" s="6"/>
      <c r="U84" s="6"/>
      <c r="V84" s="6"/>
      <c r="W84" s="6"/>
      <c r="X84" s="6"/>
      <c r="Y84" s="6"/>
      <c r="Z84" s="6"/>
      <c r="AA84" s="6"/>
      <c r="AB84" s="6"/>
    </row>
    <row r="85" hidden="1">
      <c r="A85" s="13" t="str">
        <f t="shared" si="1"/>
        <v>5fa133d83a9b1332b52ed168</v>
      </c>
      <c r="B85" s="13"/>
      <c r="C85" s="13" t="s">
        <v>31</v>
      </c>
      <c r="D85" s="14"/>
      <c r="E85" s="15" t="s">
        <v>237</v>
      </c>
      <c r="F85" s="15" t="s">
        <v>238</v>
      </c>
      <c r="G85" s="16" t="s">
        <v>103</v>
      </c>
      <c r="H85" s="18" t="s">
        <v>172</v>
      </c>
      <c r="I85" s="18" t="s">
        <v>239</v>
      </c>
      <c r="J85" s="15" t="s">
        <v>240</v>
      </c>
      <c r="K85" s="19"/>
      <c r="L85" s="18">
        <v>10.0</v>
      </c>
      <c r="M85" s="24" t="str">
        <f>VLOOKUP(E85,'Hedef Liste'!A:I,8,false)</f>
        <v>#N/A</v>
      </c>
      <c r="N85" s="6" t="b">
        <v>0</v>
      </c>
      <c r="O85" s="6" t="b">
        <v>0</v>
      </c>
      <c r="P85" s="6"/>
      <c r="Q85" s="6"/>
      <c r="R85" s="6"/>
      <c r="S85" s="6"/>
      <c r="T85" s="6"/>
      <c r="U85" s="6"/>
      <c r="V85" s="6"/>
      <c r="W85" s="6"/>
      <c r="X85" s="6"/>
      <c r="Y85" s="6"/>
      <c r="Z85" s="6"/>
      <c r="AA85" s="6"/>
      <c r="AB85" s="6"/>
    </row>
    <row r="86" hidden="1">
      <c r="A86" s="13" t="str">
        <f t="shared" si="1"/>
        <v>5fc00d54a9c836ce5dadc411</v>
      </c>
      <c r="B86" s="13"/>
      <c r="C86" s="13" t="s">
        <v>31</v>
      </c>
      <c r="D86" s="14"/>
      <c r="E86" s="15" t="s">
        <v>241</v>
      </c>
      <c r="F86" s="15" t="s">
        <v>242</v>
      </c>
      <c r="G86" s="22">
        <v>0.5833333333333334</v>
      </c>
      <c r="H86" s="18" t="s">
        <v>243</v>
      </c>
      <c r="I86" s="18" t="s">
        <v>244</v>
      </c>
      <c r="J86" s="15" t="s">
        <v>245</v>
      </c>
      <c r="K86" s="23"/>
      <c r="L86" s="18">
        <v>20.0</v>
      </c>
      <c r="M86" s="20">
        <f>VLOOKUP(E86,'Hedef Liste'!A:I,8,false)</f>
        <v>18</v>
      </c>
      <c r="N86" s="6" t="b">
        <v>0</v>
      </c>
      <c r="O86" s="6" t="b">
        <v>0</v>
      </c>
      <c r="P86" s="6"/>
      <c r="Q86" s="6"/>
      <c r="R86" s="6"/>
      <c r="S86" s="6"/>
      <c r="T86" s="6"/>
      <c r="U86" s="6"/>
      <c r="V86" s="6"/>
      <c r="W86" s="6"/>
      <c r="X86" s="6"/>
      <c r="Y86" s="6"/>
      <c r="Z86" s="6"/>
      <c r="AA86" s="6"/>
      <c r="AB86" s="6"/>
    </row>
    <row r="87" hidden="1">
      <c r="A87" s="13" t="str">
        <f t="shared" si="1"/>
        <v>5ff473e80e63fe849bcca6b1</v>
      </c>
      <c r="B87" s="13"/>
      <c r="C87" s="13" t="s">
        <v>31</v>
      </c>
      <c r="D87" s="14"/>
      <c r="E87" s="15" t="s">
        <v>246</v>
      </c>
      <c r="F87" s="15" t="s">
        <v>247</v>
      </c>
      <c r="G87" s="22">
        <v>0.625</v>
      </c>
      <c r="H87" s="18" t="s">
        <v>248</v>
      </c>
      <c r="I87" s="18" t="s">
        <v>249</v>
      </c>
      <c r="J87" s="15" t="s">
        <v>250</v>
      </c>
      <c r="K87" s="19"/>
      <c r="L87" s="18">
        <v>4.0</v>
      </c>
      <c r="M87" s="24" t="str">
        <f>VLOOKUP(E87,'Hedef Liste'!A:I,8,false)</f>
        <v>#N/A</v>
      </c>
      <c r="N87" s="6" t="b">
        <v>0</v>
      </c>
      <c r="O87" s="6" t="b">
        <v>0</v>
      </c>
      <c r="P87" s="6"/>
      <c r="Q87" s="6"/>
      <c r="R87" s="6"/>
      <c r="S87" s="6"/>
      <c r="T87" s="6"/>
      <c r="U87" s="6"/>
      <c r="V87" s="6"/>
      <c r="W87" s="6"/>
      <c r="X87" s="6"/>
      <c r="Y87" s="6"/>
      <c r="Z87" s="6"/>
      <c r="AA87" s="6"/>
      <c r="AB87" s="6"/>
    </row>
    <row r="88" hidden="1">
      <c r="A88" s="13" t="str">
        <f t="shared" si="1"/>
        <v>5f88a696c6107ebfa52e561a</v>
      </c>
      <c r="B88" s="13"/>
      <c r="C88" s="13" t="s">
        <v>31</v>
      </c>
      <c r="D88" s="14"/>
      <c r="E88" s="42" t="s">
        <v>251</v>
      </c>
      <c r="F88" s="42" t="s">
        <v>252</v>
      </c>
      <c r="G88" s="58" t="s">
        <v>97</v>
      </c>
      <c r="H88" s="44" t="s">
        <v>253</v>
      </c>
      <c r="I88" s="44" t="s">
        <v>254</v>
      </c>
      <c r="J88" s="42" t="s">
        <v>255</v>
      </c>
      <c r="K88" s="44" t="s">
        <v>256</v>
      </c>
      <c r="L88" s="45"/>
      <c r="M88" s="46"/>
      <c r="N88" s="47" t="b">
        <v>0</v>
      </c>
      <c r="O88" s="48" t="b">
        <v>1</v>
      </c>
      <c r="P88" s="6"/>
      <c r="Q88" s="6"/>
      <c r="R88" s="6"/>
      <c r="S88" s="6"/>
      <c r="T88" s="6"/>
      <c r="U88" s="6"/>
      <c r="V88" s="6"/>
      <c r="W88" s="6"/>
      <c r="X88" s="6"/>
      <c r="Y88" s="6"/>
      <c r="Z88" s="6"/>
      <c r="AA88" s="6"/>
      <c r="AB88" s="6"/>
    </row>
    <row r="89" hidden="1">
      <c r="A89" s="13" t="str">
        <f t="shared" si="1"/>
        <v/>
      </c>
      <c r="B89" s="13"/>
      <c r="C89" s="13" t="s">
        <v>46</v>
      </c>
      <c r="D89" s="8"/>
      <c r="E89" s="8"/>
      <c r="F89" s="8"/>
      <c r="G89" s="29"/>
      <c r="H89" s="8"/>
      <c r="I89" s="8"/>
      <c r="J89" s="8"/>
      <c r="K89" s="34"/>
      <c r="L89" s="8"/>
      <c r="M89" s="28"/>
      <c r="N89" s="6" t="b">
        <v>0</v>
      </c>
      <c r="O89" s="6" t="b">
        <v>0</v>
      </c>
      <c r="P89" s="6"/>
      <c r="Q89" s="6"/>
      <c r="R89" s="6"/>
      <c r="S89" s="6"/>
      <c r="T89" s="6"/>
      <c r="U89" s="6"/>
      <c r="V89" s="6"/>
      <c r="W89" s="6"/>
      <c r="X89" s="6"/>
      <c r="Y89" s="6"/>
      <c r="Z89" s="6"/>
      <c r="AA89" s="6"/>
      <c r="AB89" s="6"/>
    </row>
    <row r="90" hidden="1">
      <c r="A90" s="13" t="str">
        <f t="shared" si="1"/>
        <v>5fbe936b8e54b86828978f18</v>
      </c>
      <c r="B90" s="13"/>
      <c r="C90" s="13" t="s">
        <v>46</v>
      </c>
      <c r="D90" s="14"/>
      <c r="E90" s="42" t="s">
        <v>257</v>
      </c>
      <c r="F90" s="42" t="s">
        <v>258</v>
      </c>
      <c r="G90" s="58" t="s">
        <v>16</v>
      </c>
      <c r="H90" s="44" t="s">
        <v>87</v>
      </c>
      <c r="I90" s="44" t="s">
        <v>259</v>
      </c>
      <c r="J90" s="42" t="s">
        <v>260</v>
      </c>
      <c r="K90" s="44" t="s">
        <v>261</v>
      </c>
      <c r="L90" s="45"/>
      <c r="M90" s="46"/>
      <c r="N90" s="47" t="b">
        <v>0</v>
      </c>
      <c r="O90" s="48" t="b">
        <v>1</v>
      </c>
      <c r="P90" s="6"/>
      <c r="Q90" s="6"/>
      <c r="R90" s="6"/>
      <c r="S90" s="6"/>
      <c r="T90" s="6"/>
      <c r="U90" s="6"/>
      <c r="V90" s="6"/>
      <c r="W90" s="6"/>
      <c r="X90" s="6"/>
      <c r="Y90" s="6"/>
      <c r="Z90" s="6"/>
      <c r="AA90" s="6"/>
      <c r="AB90" s="6"/>
    </row>
    <row r="91" hidden="1">
      <c r="A91" s="13" t="str">
        <f t="shared" si="1"/>
        <v>5ffeb1f0937d1b3899bdcb36</v>
      </c>
      <c r="B91" s="13"/>
      <c r="C91" s="13" t="s">
        <v>46</v>
      </c>
      <c r="D91" s="14"/>
      <c r="E91" s="15" t="s">
        <v>262</v>
      </c>
      <c r="F91" s="15" t="s">
        <v>263</v>
      </c>
      <c r="G91" s="16" t="s">
        <v>103</v>
      </c>
      <c r="H91" s="18" t="s">
        <v>264</v>
      </c>
      <c r="I91" s="18" t="s">
        <v>265</v>
      </c>
      <c r="J91" s="15" t="s">
        <v>266</v>
      </c>
      <c r="K91" s="19"/>
      <c r="L91" s="18">
        <v>16.0</v>
      </c>
      <c r="M91" s="24" t="str">
        <f>VLOOKUP(E91,'Hedef Liste'!A:I,8,false)</f>
        <v>#N/A</v>
      </c>
      <c r="N91" s="6" t="b">
        <v>0</v>
      </c>
      <c r="O91" s="6" t="b">
        <v>0</v>
      </c>
      <c r="P91" s="6"/>
      <c r="Q91" s="6"/>
      <c r="R91" s="6"/>
      <c r="S91" s="6"/>
      <c r="T91" s="6"/>
      <c r="U91" s="6"/>
      <c r="V91" s="6"/>
      <c r="W91" s="6"/>
      <c r="X91" s="6"/>
      <c r="Y91" s="6"/>
      <c r="Z91" s="6"/>
      <c r="AA91" s="6"/>
      <c r="AB91" s="6"/>
    </row>
    <row r="92" hidden="1">
      <c r="A92" s="13" t="str">
        <f t="shared" si="1"/>
        <v>5ff10569630a768a56ffece3</v>
      </c>
      <c r="B92" s="13"/>
      <c r="C92" s="13" t="s">
        <v>46</v>
      </c>
      <c r="D92" s="14"/>
      <c r="E92" s="15" t="s">
        <v>267</v>
      </c>
      <c r="F92" s="15" t="s">
        <v>268</v>
      </c>
      <c r="G92" s="22">
        <v>0.5833333333333334</v>
      </c>
      <c r="H92" s="18" t="s">
        <v>269</v>
      </c>
      <c r="I92" s="18" t="s">
        <v>270</v>
      </c>
      <c r="J92" s="15" t="s">
        <v>271</v>
      </c>
      <c r="K92" s="23"/>
      <c r="L92" s="18">
        <v>16.0</v>
      </c>
      <c r="M92" s="24" t="str">
        <f>VLOOKUP(E92,'Hedef Liste'!A:I,8,false)</f>
        <v>#N/A</v>
      </c>
      <c r="N92" s="6" t="b">
        <v>0</v>
      </c>
      <c r="O92" s="6" t="b">
        <v>0</v>
      </c>
      <c r="P92" s="6"/>
      <c r="Q92" s="6"/>
      <c r="R92" s="6"/>
      <c r="S92" s="6"/>
      <c r="T92" s="6"/>
      <c r="U92" s="6"/>
      <c r="V92" s="6"/>
      <c r="W92" s="6"/>
      <c r="X92" s="6"/>
      <c r="Y92" s="6"/>
      <c r="Z92" s="6"/>
      <c r="AA92" s="6"/>
      <c r="AB92" s="6"/>
    </row>
    <row r="93" hidden="1">
      <c r="A93" s="13" t="str">
        <f t="shared" si="1"/>
        <v>5fc02132a9c8366162adc6b3</v>
      </c>
      <c r="B93" s="13"/>
      <c r="C93" s="13" t="s">
        <v>46</v>
      </c>
      <c r="D93" s="14"/>
      <c r="E93" s="42" t="s">
        <v>272</v>
      </c>
      <c r="F93" s="42" t="s">
        <v>273</v>
      </c>
      <c r="G93" s="43">
        <v>0.625</v>
      </c>
      <c r="H93" s="44" t="s">
        <v>248</v>
      </c>
      <c r="I93" s="44" t="s">
        <v>274</v>
      </c>
      <c r="J93" s="42" t="s">
        <v>275</v>
      </c>
      <c r="K93" s="44" t="s">
        <v>276</v>
      </c>
      <c r="L93" s="45"/>
      <c r="M93" s="46"/>
      <c r="N93" s="47" t="b">
        <v>0</v>
      </c>
      <c r="O93" s="48" t="b">
        <v>1</v>
      </c>
      <c r="P93" s="6"/>
      <c r="Q93" s="6"/>
      <c r="R93" s="6"/>
      <c r="S93" s="6"/>
      <c r="T93" s="6"/>
      <c r="U93" s="6"/>
      <c r="V93" s="6"/>
      <c r="W93" s="6"/>
      <c r="X93" s="6"/>
      <c r="Y93" s="6"/>
      <c r="Z93" s="6"/>
      <c r="AA93" s="6"/>
      <c r="AB93" s="6"/>
    </row>
    <row r="94" hidden="1">
      <c r="A94" s="13" t="str">
        <f t="shared" si="1"/>
        <v>5f345eea6dfa178d81978e1c</v>
      </c>
      <c r="B94" s="13"/>
      <c r="C94" s="13" t="s">
        <v>46</v>
      </c>
      <c r="D94" s="14"/>
      <c r="E94" s="15" t="s">
        <v>277</v>
      </c>
      <c r="F94" s="15" t="s">
        <v>278</v>
      </c>
      <c r="G94" s="16" t="s">
        <v>97</v>
      </c>
      <c r="H94" s="18" t="s">
        <v>248</v>
      </c>
      <c r="I94" s="18" t="s">
        <v>279</v>
      </c>
      <c r="J94" s="15" t="s">
        <v>280</v>
      </c>
      <c r="K94" s="23"/>
      <c r="L94" s="18">
        <v>11.0</v>
      </c>
      <c r="M94" s="20">
        <f>VLOOKUP(E94,'Hedef Liste'!A:I,8,false)</f>
        <v>11</v>
      </c>
      <c r="N94" s="6" t="b">
        <v>0</v>
      </c>
      <c r="O94" s="6" t="b">
        <v>0</v>
      </c>
      <c r="P94" s="6"/>
      <c r="Q94" s="6"/>
      <c r="R94" s="6"/>
      <c r="S94" s="6"/>
      <c r="T94" s="6"/>
      <c r="U94" s="6"/>
      <c r="V94" s="6"/>
      <c r="W94" s="6"/>
      <c r="X94" s="6"/>
      <c r="Y94" s="6"/>
      <c r="Z94" s="6"/>
      <c r="AA94" s="6"/>
      <c r="AB94" s="6"/>
    </row>
    <row r="95" hidden="1">
      <c r="A95" s="13" t="str">
        <f t="shared" si="1"/>
        <v/>
      </c>
      <c r="B95" s="13"/>
      <c r="C95" s="13" t="s">
        <v>60</v>
      </c>
      <c r="D95" s="8"/>
      <c r="E95" s="50"/>
      <c r="F95" s="51"/>
      <c r="G95" s="51"/>
      <c r="H95" s="51"/>
      <c r="I95" s="51"/>
      <c r="J95" s="51"/>
      <c r="K95" s="51"/>
      <c r="L95" s="52"/>
      <c r="M95" s="12"/>
      <c r="N95" s="6" t="b">
        <v>0</v>
      </c>
      <c r="O95" s="6" t="b">
        <v>0</v>
      </c>
      <c r="P95" s="6"/>
      <c r="Q95" s="6"/>
      <c r="R95" s="6"/>
      <c r="S95" s="6"/>
      <c r="T95" s="6"/>
      <c r="U95" s="6"/>
      <c r="V95" s="6"/>
      <c r="W95" s="6"/>
      <c r="X95" s="6"/>
      <c r="Y95" s="6"/>
      <c r="Z95" s="6"/>
      <c r="AA95" s="6"/>
      <c r="AB95" s="6"/>
    </row>
    <row r="96" hidden="1">
      <c r="A96" s="13" t="str">
        <f t="shared" si="1"/>
        <v/>
      </c>
      <c r="B96" s="13"/>
      <c r="C96" s="13" t="s">
        <v>60</v>
      </c>
      <c r="D96" s="8"/>
      <c r="E96" s="53"/>
      <c r="L96" s="54"/>
      <c r="M96" s="12"/>
      <c r="N96" s="6" t="b">
        <v>0</v>
      </c>
      <c r="O96" s="6" t="b">
        <v>0</v>
      </c>
      <c r="P96" s="6"/>
      <c r="Q96" s="6"/>
      <c r="R96" s="6"/>
      <c r="S96" s="6"/>
      <c r="T96" s="6"/>
      <c r="U96" s="6"/>
      <c r="V96" s="6"/>
      <c r="W96" s="6"/>
      <c r="X96" s="6"/>
      <c r="Y96" s="6"/>
      <c r="Z96" s="6"/>
      <c r="AA96" s="6"/>
      <c r="AB96" s="6"/>
    </row>
    <row r="97" hidden="1">
      <c r="A97" s="13" t="str">
        <f t="shared" si="1"/>
        <v/>
      </c>
      <c r="B97" s="13"/>
      <c r="C97" s="13" t="s">
        <v>60</v>
      </c>
      <c r="D97" s="8"/>
      <c r="E97" s="53"/>
      <c r="L97" s="54"/>
      <c r="M97" s="12"/>
      <c r="N97" s="6" t="b">
        <v>0</v>
      </c>
      <c r="O97" s="6" t="b">
        <v>0</v>
      </c>
      <c r="P97" s="6"/>
      <c r="Q97" s="6"/>
      <c r="R97" s="6"/>
      <c r="S97" s="6"/>
      <c r="T97" s="6"/>
      <c r="U97" s="6"/>
      <c r="V97" s="6"/>
      <c r="W97" s="6"/>
      <c r="X97" s="6"/>
      <c r="Y97" s="6"/>
      <c r="Z97" s="6"/>
      <c r="AA97" s="6"/>
      <c r="AB97" s="6"/>
    </row>
    <row r="98" hidden="1">
      <c r="A98" s="13" t="str">
        <f t="shared" si="1"/>
        <v/>
      </c>
      <c r="B98" s="13"/>
      <c r="C98" s="13" t="s">
        <v>60</v>
      </c>
      <c r="D98" s="8"/>
      <c r="E98" s="53"/>
      <c r="L98" s="54"/>
      <c r="M98" s="12"/>
      <c r="N98" s="6" t="b">
        <v>0</v>
      </c>
      <c r="O98" s="6" t="b">
        <v>0</v>
      </c>
      <c r="P98" s="6"/>
      <c r="Q98" s="6"/>
      <c r="R98" s="6"/>
      <c r="S98" s="6"/>
      <c r="T98" s="6"/>
      <c r="U98" s="6"/>
      <c r="V98" s="6"/>
      <c r="W98" s="6"/>
      <c r="X98" s="6"/>
      <c r="Y98" s="6"/>
      <c r="Z98" s="6"/>
      <c r="AA98" s="6"/>
      <c r="AB98" s="6"/>
    </row>
    <row r="99" hidden="1">
      <c r="A99" s="13" t="str">
        <f t="shared" si="1"/>
        <v/>
      </c>
      <c r="B99" s="13"/>
      <c r="C99" s="13" t="s">
        <v>60</v>
      </c>
      <c r="D99" s="8"/>
      <c r="E99" s="53"/>
      <c r="L99" s="54"/>
      <c r="M99" s="12"/>
      <c r="N99" s="6" t="b">
        <v>0</v>
      </c>
      <c r="O99" s="6" t="b">
        <v>0</v>
      </c>
      <c r="P99" s="6"/>
      <c r="Q99" s="6"/>
      <c r="R99" s="6"/>
      <c r="S99" s="6"/>
      <c r="T99" s="6"/>
      <c r="U99" s="6"/>
      <c r="V99" s="6"/>
      <c r="W99" s="6"/>
      <c r="X99" s="6"/>
      <c r="Y99" s="6"/>
      <c r="Z99" s="6"/>
      <c r="AA99" s="6"/>
      <c r="AB99" s="6"/>
    </row>
    <row r="100" hidden="1">
      <c r="A100" s="13" t="str">
        <f t="shared" si="1"/>
        <v/>
      </c>
      <c r="B100" s="13"/>
      <c r="C100" s="13" t="s">
        <v>60</v>
      </c>
      <c r="D100" s="8"/>
      <c r="E100" s="55"/>
      <c r="F100" s="56"/>
      <c r="G100" s="56"/>
      <c r="H100" s="56"/>
      <c r="I100" s="56"/>
      <c r="J100" s="56"/>
      <c r="K100" s="56"/>
      <c r="L100" s="57"/>
      <c r="M100" s="12"/>
      <c r="N100" s="6" t="b">
        <v>0</v>
      </c>
      <c r="O100" s="6" t="b">
        <v>0</v>
      </c>
      <c r="P100" s="6"/>
      <c r="Q100" s="6"/>
      <c r="R100" s="6"/>
      <c r="S100" s="6"/>
      <c r="T100" s="6"/>
      <c r="U100" s="6"/>
      <c r="V100" s="6"/>
      <c r="W100" s="6"/>
      <c r="X100" s="6"/>
      <c r="Y100" s="6"/>
      <c r="Z100" s="6"/>
      <c r="AA100" s="6"/>
      <c r="AB100" s="6"/>
    </row>
    <row r="101" hidden="1">
      <c r="A101" s="13" t="str">
        <f t="shared" si="1"/>
        <v/>
      </c>
      <c r="B101" s="7"/>
      <c r="C101" s="7">
        <v>44239.0</v>
      </c>
      <c r="D101" s="8"/>
      <c r="E101" s="9"/>
      <c r="F101" s="10"/>
      <c r="G101" s="10"/>
      <c r="H101" s="10"/>
      <c r="I101" s="10"/>
      <c r="J101" s="10"/>
      <c r="K101" s="10"/>
      <c r="L101" s="11"/>
      <c r="M101" s="12"/>
      <c r="N101" s="6"/>
      <c r="O101" s="6"/>
      <c r="P101" s="6"/>
      <c r="Q101" s="6"/>
      <c r="R101" s="6"/>
      <c r="S101" s="6"/>
      <c r="T101" s="6"/>
      <c r="U101" s="6"/>
      <c r="V101" s="6"/>
      <c r="W101" s="6"/>
      <c r="X101" s="6"/>
      <c r="Y101" s="6"/>
      <c r="Z101" s="6"/>
      <c r="AA101" s="6"/>
      <c r="AB101" s="6"/>
    </row>
    <row r="102" hidden="1">
      <c r="A102" s="13" t="str">
        <f t="shared" si="1"/>
        <v/>
      </c>
      <c r="B102" s="13"/>
      <c r="C102" s="13" t="s">
        <v>13</v>
      </c>
      <c r="D102" s="8"/>
      <c r="E102" s="8"/>
      <c r="F102" s="8"/>
      <c r="G102" s="29"/>
      <c r="H102" s="8"/>
      <c r="I102" s="8"/>
      <c r="J102" s="8"/>
      <c r="K102" s="34"/>
      <c r="L102" s="8"/>
      <c r="M102" s="28"/>
      <c r="N102" s="6" t="b">
        <v>0</v>
      </c>
      <c r="O102" s="6" t="b">
        <v>0</v>
      </c>
      <c r="P102" s="6"/>
      <c r="Q102" s="6"/>
      <c r="R102" s="6"/>
      <c r="S102" s="6"/>
      <c r="T102" s="6"/>
      <c r="U102" s="6"/>
      <c r="V102" s="6"/>
      <c r="W102" s="6"/>
      <c r="X102" s="6"/>
      <c r="Y102" s="6"/>
      <c r="Z102" s="6"/>
      <c r="AA102" s="6"/>
      <c r="AB102" s="6"/>
    </row>
    <row r="103" hidden="1">
      <c r="A103" s="13" t="str">
        <f t="shared" si="1"/>
        <v>5fc006f353168062ce64ec53</v>
      </c>
      <c r="B103" s="13"/>
      <c r="C103" s="13" t="s">
        <v>13</v>
      </c>
      <c r="D103" s="14"/>
      <c r="E103" s="15" t="s">
        <v>281</v>
      </c>
      <c r="F103" s="15" t="s">
        <v>282</v>
      </c>
      <c r="G103" s="16" t="s">
        <v>16</v>
      </c>
      <c r="H103" s="18" t="s">
        <v>248</v>
      </c>
      <c r="I103" s="18" t="s">
        <v>283</v>
      </c>
      <c r="J103" s="15" t="s">
        <v>284</v>
      </c>
      <c r="K103" s="19"/>
      <c r="L103" s="18">
        <v>11.0</v>
      </c>
      <c r="M103" s="24" t="str">
        <f>VLOOKUP(E103,'Hedef Liste'!A:I,8,false)</f>
        <v>#N/A</v>
      </c>
      <c r="N103" s="6" t="b">
        <v>0</v>
      </c>
      <c r="O103" s="6" t="b">
        <v>0</v>
      </c>
      <c r="P103" s="6"/>
      <c r="Q103" s="6"/>
      <c r="R103" s="6"/>
      <c r="S103" s="6"/>
      <c r="T103" s="6"/>
      <c r="U103" s="6"/>
      <c r="V103" s="6"/>
      <c r="W103" s="6"/>
      <c r="X103" s="6"/>
      <c r="Y103" s="6"/>
      <c r="Z103" s="6"/>
      <c r="AA103" s="6"/>
      <c r="AB103" s="6"/>
    </row>
    <row r="104" hidden="1">
      <c r="A104" s="13" t="str">
        <f t="shared" si="1"/>
        <v>5f6e99e6d85f2500c6270484</v>
      </c>
      <c r="B104" s="13"/>
      <c r="C104" s="13" t="s">
        <v>13</v>
      </c>
      <c r="D104" s="14"/>
      <c r="E104" s="42" t="s">
        <v>285</v>
      </c>
      <c r="F104" s="42" t="s">
        <v>286</v>
      </c>
      <c r="G104" s="58" t="s">
        <v>109</v>
      </c>
      <c r="H104" s="44" t="s">
        <v>35</v>
      </c>
      <c r="I104" s="44" t="s">
        <v>287</v>
      </c>
      <c r="J104" s="42" t="s">
        <v>288</v>
      </c>
      <c r="K104" s="44" t="s">
        <v>289</v>
      </c>
      <c r="L104" s="45"/>
      <c r="M104" s="46"/>
      <c r="N104" s="47" t="b">
        <v>0</v>
      </c>
      <c r="O104" s="47" t="b">
        <v>0</v>
      </c>
      <c r="P104" s="6"/>
      <c r="Q104" s="6"/>
      <c r="R104" s="6"/>
      <c r="S104" s="6"/>
      <c r="T104" s="6"/>
      <c r="U104" s="6"/>
      <c r="V104" s="6"/>
      <c r="W104" s="6"/>
      <c r="X104" s="6"/>
      <c r="Y104" s="6"/>
      <c r="Z104" s="6"/>
      <c r="AA104" s="6"/>
      <c r="AB104" s="6"/>
    </row>
    <row r="105" hidden="1">
      <c r="A105" s="13" t="str">
        <f t="shared" si="1"/>
        <v>5f90760cdea0636ee6ef8936</v>
      </c>
      <c r="B105" s="13"/>
      <c r="C105" s="13" t="s">
        <v>13</v>
      </c>
      <c r="D105" s="14"/>
      <c r="E105" s="15" t="s">
        <v>290</v>
      </c>
      <c r="F105" s="15" t="s">
        <v>291</v>
      </c>
      <c r="G105" s="16" t="s">
        <v>292</v>
      </c>
      <c r="H105" s="18" t="s">
        <v>293</v>
      </c>
      <c r="I105" s="18" t="s">
        <v>294</v>
      </c>
      <c r="J105" s="15" t="s">
        <v>295</v>
      </c>
      <c r="K105" s="23"/>
      <c r="L105" s="18">
        <v>30.0</v>
      </c>
      <c r="M105" s="24" t="str">
        <f>VLOOKUP(E105,'Hedef Liste'!A:I,8,false)</f>
        <v>#N/A</v>
      </c>
      <c r="N105" s="6" t="b">
        <v>0</v>
      </c>
      <c r="O105" s="6" t="b">
        <v>0</v>
      </c>
      <c r="P105" s="6"/>
      <c r="Q105" s="6"/>
      <c r="R105" s="6"/>
      <c r="S105" s="6"/>
      <c r="T105" s="6"/>
      <c r="U105" s="6"/>
      <c r="V105" s="6"/>
      <c r="W105" s="6"/>
      <c r="X105" s="6"/>
      <c r="Y105" s="6"/>
      <c r="Z105" s="6"/>
      <c r="AA105" s="6"/>
      <c r="AB105" s="6"/>
    </row>
    <row r="106" hidden="1">
      <c r="A106" s="13" t="str">
        <f t="shared" si="1"/>
        <v>5f3517363322a8a481d8bc6b</v>
      </c>
      <c r="B106" s="13"/>
      <c r="C106" s="13" t="s">
        <v>13</v>
      </c>
      <c r="D106" s="68"/>
      <c r="E106" s="69" t="s">
        <v>296</v>
      </c>
      <c r="F106" s="69" t="s">
        <v>297</v>
      </c>
      <c r="G106" s="70" t="s">
        <v>298</v>
      </c>
      <c r="H106" s="44" t="s">
        <v>299</v>
      </c>
      <c r="I106" s="44" t="s">
        <v>300</v>
      </c>
      <c r="J106" s="44" t="s">
        <v>301</v>
      </c>
      <c r="K106" s="44" t="s">
        <v>232</v>
      </c>
      <c r="L106" s="45"/>
      <c r="M106" s="46"/>
      <c r="N106" s="47" t="b">
        <v>0</v>
      </c>
      <c r="O106" s="47" t="b">
        <v>0</v>
      </c>
      <c r="P106" s="6"/>
      <c r="Q106" s="6"/>
      <c r="R106" s="6"/>
      <c r="S106" s="6"/>
      <c r="T106" s="6"/>
      <c r="U106" s="6"/>
      <c r="V106" s="6"/>
      <c r="W106" s="6"/>
      <c r="X106" s="6"/>
      <c r="Y106" s="6"/>
      <c r="Z106" s="6"/>
      <c r="AA106" s="6"/>
      <c r="AB106" s="6"/>
    </row>
    <row r="107" hidden="1">
      <c r="A107" s="13" t="str">
        <f t="shared" si="1"/>
        <v/>
      </c>
      <c r="B107" s="13"/>
      <c r="C107" s="13" t="s">
        <v>13</v>
      </c>
      <c r="D107" s="68"/>
      <c r="E107" s="71"/>
      <c r="F107" s="71"/>
      <c r="G107" s="72"/>
      <c r="H107" s="38"/>
      <c r="I107" s="38"/>
      <c r="J107" s="38"/>
      <c r="K107" s="8"/>
      <c r="L107" s="30"/>
      <c r="M107" s="31"/>
      <c r="N107" s="6" t="b">
        <v>0</v>
      </c>
      <c r="O107" s="6" t="b">
        <v>0</v>
      </c>
      <c r="P107" s="6"/>
      <c r="Q107" s="6"/>
      <c r="R107" s="6"/>
      <c r="S107" s="6"/>
      <c r="T107" s="6"/>
      <c r="U107" s="6"/>
      <c r="V107" s="6"/>
      <c r="W107" s="6"/>
      <c r="X107" s="6"/>
      <c r="Y107" s="6"/>
      <c r="Z107" s="6"/>
      <c r="AA107" s="6"/>
      <c r="AB107" s="6"/>
    </row>
    <row r="108" hidden="1">
      <c r="A108" s="13" t="str">
        <f t="shared" si="1"/>
        <v/>
      </c>
      <c r="B108" s="13"/>
      <c r="C108" s="13" t="s">
        <v>31</v>
      </c>
      <c r="D108" s="8"/>
      <c r="E108" s="8"/>
      <c r="F108" s="8"/>
      <c r="G108" s="29"/>
      <c r="H108" s="8"/>
      <c r="I108" s="8"/>
      <c r="J108" s="8"/>
      <c r="K108" s="34"/>
      <c r="L108" s="8"/>
      <c r="M108" s="28"/>
      <c r="N108" s="6" t="b">
        <v>0</v>
      </c>
      <c r="O108" s="6" t="b">
        <v>0</v>
      </c>
      <c r="P108" s="6"/>
      <c r="Q108" s="6"/>
      <c r="R108" s="6"/>
      <c r="S108" s="6"/>
      <c r="T108" s="6"/>
      <c r="U108" s="6"/>
      <c r="V108" s="6"/>
      <c r="W108" s="6"/>
      <c r="X108" s="6"/>
      <c r="Y108" s="6"/>
      <c r="Z108" s="6"/>
      <c r="AA108" s="6"/>
      <c r="AB108" s="6"/>
    </row>
    <row r="109" hidden="1">
      <c r="A109" s="13" t="str">
        <f t="shared" si="1"/>
        <v>5ff0ecb4f351dc2884680cb5</v>
      </c>
      <c r="B109" s="13"/>
      <c r="C109" s="13" t="s">
        <v>31</v>
      </c>
      <c r="D109" s="61"/>
      <c r="E109" s="62" t="s">
        <v>302</v>
      </c>
      <c r="F109" s="62" t="s">
        <v>303</v>
      </c>
      <c r="G109" s="16" t="s">
        <v>16</v>
      </c>
      <c r="H109" s="18" t="s">
        <v>87</v>
      </c>
      <c r="I109" s="18" t="s">
        <v>304</v>
      </c>
      <c r="J109" s="62" t="s">
        <v>305</v>
      </c>
      <c r="K109" s="19"/>
      <c r="L109" s="18">
        <v>9.0</v>
      </c>
      <c r="M109" s="20">
        <f>VLOOKUP(E109,'Hedef Liste'!A:I,8,false)</f>
        <v>40</v>
      </c>
      <c r="N109" s="6" t="b">
        <v>0</v>
      </c>
      <c r="O109" s="6" t="b">
        <v>0</v>
      </c>
      <c r="P109" s="6"/>
      <c r="Q109" s="6"/>
      <c r="R109" s="6"/>
      <c r="S109" s="6"/>
      <c r="T109" s="6"/>
      <c r="U109" s="6"/>
      <c r="V109" s="6"/>
      <c r="W109" s="6"/>
      <c r="X109" s="6"/>
      <c r="Y109" s="6"/>
      <c r="Z109" s="6"/>
      <c r="AA109" s="6"/>
      <c r="AB109" s="6"/>
    </row>
    <row r="110" hidden="1">
      <c r="A110" s="13" t="str">
        <f t="shared" si="1"/>
        <v>5f2c1b55c485d64ed1f077cc</v>
      </c>
      <c r="B110" s="13"/>
      <c r="C110" s="13" t="s">
        <v>31</v>
      </c>
      <c r="D110" s="61"/>
      <c r="E110" s="73" t="s">
        <v>306</v>
      </c>
      <c r="F110" s="73" t="s">
        <v>307</v>
      </c>
      <c r="G110" s="74">
        <v>0.5416666666666666</v>
      </c>
      <c r="H110" s="44" t="s">
        <v>87</v>
      </c>
      <c r="I110" s="73" t="s">
        <v>308</v>
      </c>
      <c r="J110" s="73" t="s">
        <v>309</v>
      </c>
      <c r="K110" s="44" t="s">
        <v>310</v>
      </c>
      <c r="L110" s="45"/>
      <c r="M110" s="46"/>
      <c r="N110" s="47" t="b">
        <v>0</v>
      </c>
      <c r="O110" s="47" t="b">
        <v>0</v>
      </c>
      <c r="P110" s="6"/>
      <c r="Q110" s="6"/>
      <c r="R110" s="6"/>
      <c r="S110" s="6"/>
      <c r="T110" s="6"/>
      <c r="U110" s="6"/>
      <c r="V110" s="6"/>
      <c r="W110" s="6"/>
      <c r="X110" s="6"/>
      <c r="Y110" s="6"/>
      <c r="Z110" s="6"/>
      <c r="AA110" s="6"/>
      <c r="AB110" s="6"/>
    </row>
    <row r="111" hidden="1">
      <c r="A111" s="13" t="str">
        <f t="shared" si="1"/>
        <v>5fc166a39654d91a2c424884</v>
      </c>
      <c r="B111" s="13"/>
      <c r="C111" s="13" t="s">
        <v>31</v>
      </c>
      <c r="D111" s="14"/>
      <c r="E111" s="42" t="s">
        <v>311</v>
      </c>
      <c r="F111" s="42" t="s">
        <v>312</v>
      </c>
      <c r="G111" s="58" t="s">
        <v>313</v>
      </c>
      <c r="H111" s="44" t="s">
        <v>314</v>
      </c>
      <c r="I111" s="44" t="s">
        <v>315</v>
      </c>
      <c r="J111" s="42" t="s">
        <v>316</v>
      </c>
      <c r="K111" s="44" t="s">
        <v>317</v>
      </c>
      <c r="L111" s="45"/>
      <c r="M111" s="46"/>
      <c r="N111" s="47" t="b">
        <v>0</v>
      </c>
      <c r="O111" s="48" t="b">
        <v>0</v>
      </c>
      <c r="P111" s="6"/>
      <c r="Q111" s="6"/>
      <c r="R111" s="6"/>
      <c r="S111" s="6"/>
      <c r="T111" s="6"/>
      <c r="U111" s="6"/>
      <c r="V111" s="6"/>
      <c r="W111" s="6"/>
      <c r="X111" s="6"/>
      <c r="Y111" s="6"/>
      <c r="Z111" s="6"/>
      <c r="AA111" s="6"/>
      <c r="AB111" s="6"/>
    </row>
    <row r="112" hidden="1">
      <c r="A112" s="13" t="str">
        <f t="shared" si="1"/>
        <v>5ff226cdf351dc5180682379</v>
      </c>
      <c r="B112" s="13"/>
      <c r="C112" s="13" t="s">
        <v>31</v>
      </c>
      <c r="D112" s="14"/>
      <c r="E112" s="15" t="s">
        <v>318</v>
      </c>
      <c r="F112" s="15" t="s">
        <v>319</v>
      </c>
      <c r="G112" s="22">
        <v>0.6666666666666666</v>
      </c>
      <c r="H112" s="17" t="s">
        <v>17</v>
      </c>
      <c r="I112" s="18" t="s">
        <v>320</v>
      </c>
      <c r="J112" s="15" t="s">
        <v>321</v>
      </c>
      <c r="K112" s="19"/>
      <c r="L112" s="18">
        <v>13.0</v>
      </c>
      <c r="M112" s="20">
        <f>VLOOKUP(E112,'Hedef Liste'!A:I,8,false)</f>
        <v>12</v>
      </c>
      <c r="N112" s="6" t="b">
        <v>0</v>
      </c>
      <c r="O112" s="6" t="b">
        <v>0</v>
      </c>
      <c r="P112" s="6"/>
      <c r="Q112" s="6"/>
      <c r="R112" s="6"/>
      <c r="S112" s="6"/>
      <c r="T112" s="6"/>
      <c r="U112" s="6"/>
      <c r="V112" s="6"/>
      <c r="W112" s="6"/>
      <c r="X112" s="6"/>
      <c r="Y112" s="6"/>
      <c r="Z112" s="6"/>
      <c r="AA112" s="6"/>
      <c r="AB112" s="6"/>
    </row>
    <row r="113" hidden="1">
      <c r="A113" s="13" t="str">
        <f t="shared" si="1"/>
        <v/>
      </c>
      <c r="B113" s="13"/>
      <c r="C113" s="13" t="s">
        <v>31</v>
      </c>
      <c r="D113" s="8"/>
      <c r="E113" s="8"/>
      <c r="F113" s="8"/>
      <c r="G113" s="29"/>
      <c r="H113" s="8"/>
      <c r="I113" s="8"/>
      <c r="J113" s="8"/>
      <c r="K113" s="8"/>
      <c r="L113" s="30"/>
      <c r="M113" s="31"/>
      <c r="N113" s="6" t="b">
        <v>0</v>
      </c>
      <c r="O113" s="6" t="b">
        <v>0</v>
      </c>
      <c r="P113" s="6"/>
      <c r="Q113" s="6"/>
      <c r="R113" s="6"/>
      <c r="S113" s="6"/>
      <c r="T113" s="6"/>
      <c r="U113" s="6"/>
      <c r="V113" s="6"/>
      <c r="W113" s="6"/>
      <c r="X113" s="6"/>
      <c r="Y113" s="6"/>
      <c r="Z113" s="6"/>
      <c r="AA113" s="6"/>
      <c r="AB113" s="6"/>
    </row>
    <row r="114" hidden="1">
      <c r="A114" s="13" t="str">
        <f t="shared" si="1"/>
        <v/>
      </c>
      <c r="B114" s="13"/>
      <c r="C114" s="13" t="s">
        <v>46</v>
      </c>
      <c r="D114" s="8"/>
      <c r="E114" s="8"/>
      <c r="F114" s="8"/>
      <c r="G114" s="29"/>
      <c r="H114" s="8"/>
      <c r="I114" s="8"/>
      <c r="J114" s="8"/>
      <c r="K114" s="34"/>
      <c r="L114" s="8"/>
      <c r="M114" s="28"/>
      <c r="N114" s="6" t="b">
        <v>0</v>
      </c>
      <c r="O114" s="6" t="b">
        <v>0</v>
      </c>
      <c r="P114" s="6"/>
      <c r="Q114" s="6"/>
      <c r="R114" s="6"/>
      <c r="S114" s="6"/>
      <c r="T114" s="6"/>
      <c r="U114" s="6"/>
      <c r="V114" s="6"/>
      <c r="W114" s="6"/>
      <c r="X114" s="6"/>
      <c r="Y114" s="6"/>
      <c r="Z114" s="6"/>
      <c r="AA114" s="6"/>
      <c r="AB114" s="6"/>
    </row>
    <row r="115" hidden="1">
      <c r="A115" s="13" t="str">
        <f t="shared" si="1"/>
        <v>5fe900258d4d712cb6ae6a1e</v>
      </c>
      <c r="B115" s="13"/>
      <c r="C115" s="13" t="s">
        <v>46</v>
      </c>
      <c r="D115" s="14"/>
      <c r="E115" s="15" t="s">
        <v>322</v>
      </c>
      <c r="F115" s="15" t="s">
        <v>323</v>
      </c>
      <c r="G115" s="16" t="s">
        <v>16</v>
      </c>
      <c r="H115" s="18" t="s">
        <v>293</v>
      </c>
      <c r="I115" s="18" t="s">
        <v>324</v>
      </c>
      <c r="J115" s="15" t="s">
        <v>325</v>
      </c>
      <c r="K115" s="19"/>
      <c r="L115" s="18">
        <v>26.0</v>
      </c>
      <c r="M115" s="24" t="str">
        <f>VLOOKUP(E115,'Hedef Liste'!A:I,8,false)</f>
        <v>#N/A</v>
      </c>
      <c r="N115" s="6" t="b">
        <v>0</v>
      </c>
      <c r="O115" s="6" t="b">
        <v>0</v>
      </c>
      <c r="P115" s="6"/>
      <c r="Q115" s="6"/>
      <c r="R115" s="6"/>
      <c r="S115" s="6"/>
      <c r="T115" s="6"/>
      <c r="U115" s="6"/>
      <c r="V115" s="6"/>
      <c r="W115" s="6"/>
      <c r="X115" s="6"/>
      <c r="Y115" s="6"/>
      <c r="Z115" s="6"/>
      <c r="AA115" s="6"/>
      <c r="AB115" s="6"/>
    </row>
    <row r="116" hidden="1">
      <c r="A116" s="13" t="str">
        <f t="shared" si="1"/>
        <v>5fa3faa7b82e0e4e9bc6586d</v>
      </c>
      <c r="B116" s="13"/>
      <c r="C116" s="13" t="s">
        <v>46</v>
      </c>
      <c r="D116" s="14"/>
      <c r="E116" s="15" t="s">
        <v>326</v>
      </c>
      <c r="F116" s="15" t="s">
        <v>327</v>
      </c>
      <c r="G116" s="16" t="s">
        <v>292</v>
      </c>
      <c r="H116" s="18" t="s">
        <v>87</v>
      </c>
      <c r="I116" s="18" t="s">
        <v>328</v>
      </c>
      <c r="J116" s="15" t="s">
        <v>329</v>
      </c>
      <c r="K116" s="19"/>
      <c r="L116" s="18">
        <v>19.0</v>
      </c>
      <c r="M116" s="20">
        <f>VLOOKUP(E116,'Hedef Liste'!A:I,8,false)</f>
        <v>3</v>
      </c>
      <c r="N116" s="6" t="b">
        <v>0</v>
      </c>
      <c r="O116" s="6" t="b">
        <v>0</v>
      </c>
      <c r="P116" s="6"/>
      <c r="Q116" s="6"/>
      <c r="R116" s="6"/>
      <c r="S116" s="6"/>
      <c r="T116" s="6"/>
      <c r="U116" s="6"/>
      <c r="V116" s="6"/>
      <c r="W116" s="6"/>
      <c r="X116" s="6"/>
      <c r="Y116" s="6"/>
      <c r="Z116" s="6"/>
      <c r="AA116" s="6"/>
      <c r="AB116" s="6"/>
    </row>
    <row r="117" hidden="1">
      <c r="A117" s="13" t="str">
        <f t="shared" si="1"/>
        <v>5f98b7dc6d45722c0b86556b</v>
      </c>
      <c r="B117" s="13"/>
      <c r="C117" s="13" t="s">
        <v>46</v>
      </c>
      <c r="D117" s="14"/>
      <c r="E117" s="42" t="s">
        <v>330</v>
      </c>
      <c r="F117" s="42" t="s">
        <v>331</v>
      </c>
      <c r="G117" s="43">
        <v>0.6666666666666666</v>
      </c>
      <c r="H117" s="44" t="s">
        <v>248</v>
      </c>
      <c r="I117" s="44" t="s">
        <v>332</v>
      </c>
      <c r="J117" s="42" t="s">
        <v>333</v>
      </c>
      <c r="K117" s="44" t="s">
        <v>334</v>
      </c>
      <c r="L117" s="45"/>
      <c r="M117" s="46"/>
      <c r="N117" s="47" t="b">
        <v>0</v>
      </c>
      <c r="O117" s="48" t="b">
        <v>1</v>
      </c>
      <c r="P117" s="6"/>
      <c r="Q117" s="6"/>
      <c r="R117" s="6"/>
      <c r="S117" s="6"/>
      <c r="T117" s="6"/>
      <c r="U117" s="6"/>
      <c r="V117" s="6"/>
      <c r="W117" s="6"/>
      <c r="X117" s="6"/>
      <c r="Y117" s="6"/>
      <c r="Z117" s="6"/>
      <c r="AA117" s="6"/>
      <c r="AB117" s="6"/>
    </row>
    <row r="118" hidden="1">
      <c r="A118" s="13" t="str">
        <f t="shared" si="1"/>
        <v>5f86fd8e1cfa98c81f2d6d9f</v>
      </c>
      <c r="B118" s="13"/>
      <c r="C118" s="13" t="s">
        <v>46</v>
      </c>
      <c r="D118" s="68"/>
      <c r="E118" s="75" t="s">
        <v>335</v>
      </c>
      <c r="F118" s="75" t="s">
        <v>336</v>
      </c>
      <c r="G118" s="76" t="s">
        <v>337</v>
      </c>
      <c r="H118" s="18" t="s">
        <v>338</v>
      </c>
      <c r="I118" s="18">
        <v>5.079519127E9</v>
      </c>
      <c r="J118" s="18" t="s">
        <v>339</v>
      </c>
      <c r="K118" s="19"/>
      <c r="L118" s="18">
        <v>8.0</v>
      </c>
      <c r="M118" s="20">
        <f>VLOOKUP(E118,'Hedef Liste'!A:I,8,false)</f>
        <v>48</v>
      </c>
      <c r="N118" s="6" t="b">
        <v>0</v>
      </c>
      <c r="O118" s="6" t="b">
        <v>0</v>
      </c>
      <c r="P118" s="6"/>
      <c r="Q118" s="6"/>
      <c r="R118" s="6"/>
      <c r="S118" s="6"/>
      <c r="T118" s="6"/>
      <c r="U118" s="6"/>
      <c r="V118" s="6"/>
      <c r="W118" s="6"/>
      <c r="X118" s="6"/>
      <c r="Y118" s="6"/>
      <c r="Z118" s="6"/>
      <c r="AA118" s="6"/>
      <c r="AB118" s="6"/>
    </row>
    <row r="119" hidden="1">
      <c r="A119" s="13" t="str">
        <f t="shared" si="1"/>
        <v/>
      </c>
      <c r="B119" s="13"/>
      <c r="C119" s="13" t="s">
        <v>46</v>
      </c>
      <c r="D119" s="8"/>
      <c r="E119" s="8"/>
      <c r="F119" s="8"/>
      <c r="G119" s="29"/>
      <c r="H119" s="8"/>
      <c r="I119" s="8"/>
      <c r="J119" s="8"/>
      <c r="K119" s="8"/>
      <c r="L119" s="30"/>
      <c r="M119" s="31"/>
      <c r="N119" s="6" t="b">
        <v>0</v>
      </c>
      <c r="O119" s="6" t="b">
        <v>0</v>
      </c>
      <c r="P119" s="6"/>
      <c r="Q119" s="6"/>
      <c r="R119" s="6"/>
      <c r="S119" s="6"/>
      <c r="T119" s="6"/>
      <c r="U119" s="6"/>
      <c r="V119" s="6"/>
      <c r="W119" s="6"/>
      <c r="X119" s="6"/>
      <c r="Y119" s="6"/>
      <c r="Z119" s="6"/>
      <c r="AA119" s="6"/>
      <c r="AB119" s="6"/>
    </row>
    <row r="120" hidden="1">
      <c r="A120" s="13" t="str">
        <f t="shared" si="1"/>
        <v/>
      </c>
      <c r="B120" s="13"/>
      <c r="C120" s="13" t="s">
        <v>60</v>
      </c>
      <c r="D120" s="8"/>
      <c r="E120" s="50"/>
      <c r="F120" s="51"/>
      <c r="G120" s="51"/>
      <c r="H120" s="51"/>
      <c r="I120" s="51"/>
      <c r="J120" s="51"/>
      <c r="K120" s="51"/>
      <c r="L120" s="52"/>
      <c r="M120" s="12"/>
      <c r="N120" s="6" t="b">
        <v>0</v>
      </c>
      <c r="O120" s="6" t="b">
        <v>0</v>
      </c>
      <c r="P120" s="6"/>
      <c r="Q120" s="6"/>
      <c r="R120" s="6"/>
      <c r="S120" s="6"/>
      <c r="T120" s="6"/>
      <c r="U120" s="6"/>
      <c r="V120" s="6"/>
      <c r="W120" s="6"/>
      <c r="X120" s="6"/>
      <c r="Y120" s="6"/>
      <c r="Z120" s="6"/>
      <c r="AA120" s="6"/>
      <c r="AB120" s="6"/>
    </row>
    <row r="121" hidden="1">
      <c r="A121" s="13" t="str">
        <f t="shared" si="1"/>
        <v/>
      </c>
      <c r="B121" s="13"/>
      <c r="C121" s="13" t="s">
        <v>60</v>
      </c>
      <c r="D121" s="8"/>
      <c r="E121" s="53"/>
      <c r="L121" s="54"/>
      <c r="M121" s="12"/>
      <c r="N121" s="6" t="b">
        <v>0</v>
      </c>
      <c r="O121" s="6" t="b">
        <v>0</v>
      </c>
      <c r="P121" s="6"/>
      <c r="Q121" s="6"/>
      <c r="R121" s="6"/>
      <c r="S121" s="6"/>
      <c r="T121" s="6"/>
      <c r="U121" s="6"/>
      <c r="V121" s="6"/>
      <c r="W121" s="6"/>
      <c r="X121" s="6"/>
      <c r="Y121" s="6"/>
      <c r="Z121" s="6"/>
      <c r="AA121" s="6"/>
      <c r="AB121" s="6"/>
    </row>
    <row r="122" hidden="1">
      <c r="A122" s="13" t="str">
        <f t="shared" si="1"/>
        <v/>
      </c>
      <c r="B122" s="13"/>
      <c r="C122" s="13" t="s">
        <v>60</v>
      </c>
      <c r="D122" s="8"/>
      <c r="E122" s="53"/>
      <c r="L122" s="54"/>
      <c r="M122" s="12"/>
      <c r="N122" s="6" t="b">
        <v>0</v>
      </c>
      <c r="O122" s="6" t="b">
        <v>0</v>
      </c>
      <c r="P122" s="6"/>
      <c r="Q122" s="6"/>
      <c r="R122" s="6"/>
      <c r="S122" s="6"/>
      <c r="T122" s="6"/>
      <c r="U122" s="6"/>
      <c r="V122" s="6"/>
      <c r="W122" s="6"/>
      <c r="X122" s="6"/>
      <c r="Y122" s="6"/>
      <c r="Z122" s="6"/>
      <c r="AA122" s="6"/>
      <c r="AB122" s="6"/>
    </row>
    <row r="123" hidden="1">
      <c r="A123" s="13" t="str">
        <f t="shared" si="1"/>
        <v/>
      </c>
      <c r="B123" s="13"/>
      <c r="C123" s="13" t="s">
        <v>60</v>
      </c>
      <c r="D123" s="8"/>
      <c r="E123" s="53"/>
      <c r="L123" s="54"/>
      <c r="M123" s="12"/>
      <c r="N123" s="6" t="b">
        <v>0</v>
      </c>
      <c r="O123" s="6" t="b">
        <v>0</v>
      </c>
      <c r="P123" s="6"/>
      <c r="Q123" s="6"/>
      <c r="R123" s="6"/>
      <c r="S123" s="6"/>
      <c r="T123" s="6"/>
      <c r="U123" s="6"/>
      <c r="V123" s="6"/>
      <c r="W123" s="6"/>
      <c r="X123" s="6"/>
      <c r="Y123" s="6"/>
      <c r="Z123" s="6"/>
      <c r="AA123" s="6"/>
      <c r="AB123" s="6"/>
    </row>
    <row r="124" hidden="1">
      <c r="A124" s="13" t="str">
        <f t="shared" si="1"/>
        <v/>
      </c>
      <c r="B124" s="13"/>
      <c r="C124" s="13" t="s">
        <v>60</v>
      </c>
      <c r="D124" s="8"/>
      <c r="E124" s="53"/>
      <c r="L124" s="54"/>
      <c r="M124" s="12"/>
      <c r="N124" s="6" t="b">
        <v>0</v>
      </c>
      <c r="O124" s="6" t="b">
        <v>0</v>
      </c>
      <c r="P124" s="6"/>
      <c r="Q124" s="6"/>
      <c r="R124" s="6"/>
      <c r="S124" s="6"/>
      <c r="T124" s="6"/>
      <c r="U124" s="6"/>
      <c r="V124" s="6"/>
      <c r="W124" s="6"/>
      <c r="X124" s="6"/>
      <c r="Y124" s="6"/>
      <c r="Z124" s="6"/>
      <c r="AA124" s="6"/>
      <c r="AB124" s="6"/>
    </row>
    <row r="125" hidden="1">
      <c r="A125" s="13" t="str">
        <f t="shared" si="1"/>
        <v/>
      </c>
      <c r="B125" s="13"/>
      <c r="C125" s="13" t="s">
        <v>60</v>
      </c>
      <c r="D125" s="8"/>
      <c r="E125" s="55"/>
      <c r="F125" s="56"/>
      <c r="G125" s="56"/>
      <c r="H125" s="56"/>
      <c r="I125" s="56"/>
      <c r="J125" s="56"/>
      <c r="K125" s="56"/>
      <c r="L125" s="57"/>
      <c r="M125" s="12"/>
      <c r="N125" s="6" t="b">
        <v>0</v>
      </c>
      <c r="O125" s="6" t="b">
        <v>0</v>
      </c>
      <c r="P125" s="6"/>
      <c r="Q125" s="6"/>
      <c r="R125" s="6"/>
      <c r="S125" s="6"/>
      <c r="T125" s="6"/>
      <c r="U125" s="6"/>
      <c r="V125" s="6"/>
      <c r="W125" s="6"/>
      <c r="X125" s="6"/>
      <c r="Y125" s="6"/>
      <c r="Z125" s="6"/>
      <c r="AA125" s="6"/>
      <c r="AB125" s="6"/>
    </row>
    <row r="126" hidden="1">
      <c r="A126" s="13" t="str">
        <f t="shared" si="1"/>
        <v/>
      </c>
      <c r="B126" s="7"/>
      <c r="C126" s="7">
        <v>44242.0</v>
      </c>
      <c r="D126" s="8"/>
      <c r="E126" s="9"/>
      <c r="F126" s="10"/>
      <c r="G126" s="10"/>
      <c r="H126" s="10"/>
      <c r="I126" s="10"/>
      <c r="J126" s="10"/>
      <c r="K126" s="10"/>
      <c r="L126" s="11"/>
      <c r="M126" s="12"/>
      <c r="N126" s="6"/>
      <c r="O126" s="6"/>
      <c r="P126" s="6"/>
      <c r="Q126" s="6"/>
      <c r="R126" s="6"/>
      <c r="S126" s="6"/>
      <c r="T126" s="6"/>
      <c r="U126" s="6"/>
      <c r="V126" s="6"/>
      <c r="W126" s="6"/>
      <c r="X126" s="6"/>
      <c r="Y126" s="6"/>
      <c r="Z126" s="6"/>
      <c r="AA126" s="6"/>
      <c r="AB126" s="6"/>
    </row>
    <row r="127" hidden="1">
      <c r="A127" s="13" t="str">
        <f t="shared" si="1"/>
        <v/>
      </c>
      <c r="B127" s="13"/>
      <c r="C127" s="13" t="s">
        <v>13</v>
      </c>
      <c r="D127" s="6"/>
      <c r="E127" s="6"/>
      <c r="F127" s="6"/>
      <c r="G127" s="26"/>
      <c r="H127" s="6"/>
      <c r="I127" s="6"/>
      <c r="J127" s="6"/>
      <c r="K127" s="34"/>
      <c r="L127" s="8"/>
      <c r="M127" s="28"/>
      <c r="N127" s="6" t="b">
        <v>0</v>
      </c>
      <c r="O127" s="6" t="b">
        <v>0</v>
      </c>
      <c r="P127" s="6"/>
      <c r="Q127" s="6"/>
      <c r="R127" s="6"/>
      <c r="S127" s="6"/>
      <c r="T127" s="6"/>
      <c r="U127" s="6"/>
      <c r="V127" s="6"/>
      <c r="W127" s="6"/>
      <c r="X127" s="6"/>
      <c r="Y127" s="6"/>
      <c r="Z127" s="6"/>
      <c r="AA127" s="6"/>
      <c r="AB127" s="6"/>
    </row>
    <row r="128" hidden="1">
      <c r="A128" s="13" t="str">
        <f t="shared" si="1"/>
        <v/>
      </c>
      <c r="B128" s="13"/>
      <c r="C128" s="13" t="s">
        <v>13</v>
      </c>
      <c r="D128" s="6"/>
      <c r="E128" s="6"/>
      <c r="F128" s="6"/>
      <c r="G128" s="26"/>
      <c r="H128" s="6"/>
      <c r="I128" s="6"/>
      <c r="J128" s="6"/>
      <c r="K128" s="34"/>
      <c r="L128" s="8"/>
      <c r="M128" s="28"/>
      <c r="N128" s="6" t="b">
        <v>0</v>
      </c>
      <c r="O128" s="6" t="b">
        <v>0</v>
      </c>
      <c r="P128" s="6"/>
      <c r="Q128" s="6"/>
      <c r="R128" s="6"/>
      <c r="S128" s="6"/>
      <c r="T128" s="6"/>
      <c r="U128" s="6"/>
      <c r="V128" s="6"/>
      <c r="W128" s="6"/>
      <c r="X128" s="6"/>
      <c r="Y128" s="6"/>
      <c r="Z128" s="6"/>
      <c r="AA128" s="6"/>
      <c r="AB128" s="6"/>
    </row>
    <row r="129" hidden="1">
      <c r="A129" s="13" t="str">
        <f t="shared" si="1"/>
        <v>Hava Muhalefeti Nedeniyle Ertelendi</v>
      </c>
      <c r="B129" s="13"/>
      <c r="C129" s="13" t="s">
        <v>13</v>
      </c>
      <c r="D129" s="77"/>
      <c r="E129" s="78" t="s">
        <v>340</v>
      </c>
      <c r="F129" s="47"/>
      <c r="G129" s="79"/>
      <c r="H129" s="47"/>
      <c r="I129" s="47"/>
      <c r="J129" s="6"/>
      <c r="K129" s="34"/>
      <c r="L129" s="8"/>
      <c r="M129" s="28"/>
      <c r="N129" s="6" t="b">
        <v>0</v>
      </c>
      <c r="O129" s="6" t="b">
        <v>0</v>
      </c>
      <c r="P129" s="6"/>
      <c r="Q129" s="6"/>
      <c r="R129" s="6"/>
      <c r="S129" s="6"/>
      <c r="T129" s="6"/>
      <c r="U129" s="6"/>
      <c r="V129" s="6"/>
      <c r="W129" s="6"/>
      <c r="X129" s="6"/>
      <c r="Y129" s="6"/>
      <c r="Z129" s="6"/>
      <c r="AA129" s="6"/>
      <c r="AB129" s="6"/>
    </row>
    <row r="130" hidden="1">
      <c r="A130" s="13" t="str">
        <f t="shared" si="1"/>
        <v/>
      </c>
      <c r="B130" s="13"/>
      <c r="C130" s="13" t="s">
        <v>13</v>
      </c>
      <c r="D130" s="6"/>
      <c r="E130" s="6"/>
      <c r="F130" s="6"/>
      <c r="G130" s="26"/>
      <c r="H130" s="6"/>
      <c r="I130" s="6"/>
      <c r="J130" s="6"/>
      <c r="K130" s="8"/>
      <c r="L130" s="8"/>
      <c r="M130" s="28"/>
      <c r="N130" s="6" t="b">
        <v>0</v>
      </c>
      <c r="O130" s="6" t="b">
        <v>0</v>
      </c>
      <c r="P130" s="6"/>
      <c r="Q130" s="6"/>
      <c r="R130" s="6"/>
      <c r="S130" s="6"/>
      <c r="T130" s="6"/>
      <c r="U130" s="6"/>
      <c r="V130" s="6"/>
      <c r="W130" s="6"/>
      <c r="X130" s="6"/>
      <c r="Y130" s="6"/>
      <c r="Z130" s="6"/>
      <c r="AA130" s="6"/>
      <c r="AB130" s="6"/>
    </row>
    <row r="131" hidden="1">
      <c r="A131" s="13" t="str">
        <f t="shared" si="1"/>
        <v/>
      </c>
      <c r="B131" s="13"/>
      <c r="C131" s="13" t="s">
        <v>13</v>
      </c>
      <c r="D131" s="6"/>
      <c r="E131" s="6"/>
      <c r="F131" s="6"/>
      <c r="G131" s="26"/>
      <c r="H131" s="6"/>
      <c r="I131" s="6"/>
      <c r="J131" s="6"/>
      <c r="K131" s="38"/>
      <c r="L131" s="8"/>
      <c r="M131" s="28"/>
      <c r="N131" s="6" t="b">
        <v>0</v>
      </c>
      <c r="O131" s="6" t="b">
        <v>0</v>
      </c>
      <c r="P131" s="6"/>
      <c r="Q131" s="6"/>
      <c r="R131" s="6"/>
      <c r="S131" s="6"/>
      <c r="T131" s="6"/>
      <c r="U131" s="6"/>
      <c r="V131" s="6"/>
      <c r="W131" s="6"/>
      <c r="X131" s="6"/>
      <c r="Y131" s="6"/>
      <c r="Z131" s="6"/>
      <c r="AA131" s="6"/>
      <c r="AB131" s="6"/>
    </row>
    <row r="132" hidden="1">
      <c r="A132" s="13" t="str">
        <f t="shared" si="1"/>
        <v/>
      </c>
      <c r="B132" s="13"/>
      <c r="C132" s="13" t="s">
        <v>13</v>
      </c>
      <c r="D132" s="8"/>
      <c r="E132" s="8"/>
      <c r="F132" s="8"/>
      <c r="G132" s="29"/>
      <c r="H132" s="8"/>
      <c r="I132" s="8"/>
      <c r="J132" s="8"/>
      <c r="K132" s="8"/>
      <c r="L132" s="30"/>
      <c r="M132" s="31"/>
      <c r="N132" s="6" t="b">
        <v>0</v>
      </c>
      <c r="O132" s="6" t="b">
        <v>0</v>
      </c>
      <c r="P132" s="6"/>
      <c r="Q132" s="6"/>
      <c r="R132" s="6"/>
      <c r="S132" s="6"/>
      <c r="T132" s="6"/>
      <c r="U132" s="6"/>
      <c r="V132" s="6"/>
      <c r="W132" s="6"/>
      <c r="X132" s="6"/>
      <c r="Y132" s="6"/>
      <c r="Z132" s="6"/>
      <c r="AA132" s="6"/>
      <c r="AB132" s="6"/>
    </row>
    <row r="133" hidden="1">
      <c r="A133" s="13" t="str">
        <f t="shared" si="1"/>
        <v/>
      </c>
      <c r="B133" s="13"/>
      <c r="C133" s="13" t="s">
        <v>31</v>
      </c>
      <c r="D133" s="8"/>
      <c r="E133" s="8"/>
      <c r="F133" s="8"/>
      <c r="G133" s="29"/>
      <c r="H133" s="8"/>
      <c r="I133" s="8"/>
      <c r="J133" s="8"/>
      <c r="K133" s="34"/>
      <c r="L133" s="8"/>
      <c r="M133" s="28"/>
      <c r="N133" s="6" t="b">
        <v>0</v>
      </c>
      <c r="O133" s="6" t="b">
        <v>0</v>
      </c>
      <c r="P133" s="6"/>
      <c r="Q133" s="6"/>
      <c r="R133" s="6"/>
      <c r="S133" s="6"/>
      <c r="T133" s="6"/>
      <c r="U133" s="6"/>
      <c r="V133" s="6"/>
      <c r="W133" s="6"/>
      <c r="X133" s="6"/>
      <c r="Y133" s="6"/>
      <c r="Z133" s="6"/>
      <c r="AA133" s="6"/>
      <c r="AB133" s="6"/>
    </row>
    <row r="134" hidden="1">
      <c r="A134" s="13" t="str">
        <f t="shared" si="1"/>
        <v/>
      </c>
      <c r="B134" s="13"/>
      <c r="C134" s="13" t="s">
        <v>31</v>
      </c>
      <c r="D134" s="8"/>
      <c r="E134" s="8"/>
      <c r="F134" s="8"/>
      <c r="G134" s="29"/>
      <c r="H134" s="8"/>
      <c r="I134" s="8"/>
      <c r="J134" s="8"/>
      <c r="K134" s="34"/>
      <c r="L134" s="8"/>
      <c r="M134" s="28"/>
      <c r="N134" s="6" t="b">
        <v>0</v>
      </c>
      <c r="O134" s="6" t="b">
        <v>0</v>
      </c>
      <c r="P134" s="6"/>
      <c r="Q134" s="6"/>
      <c r="R134" s="6"/>
      <c r="S134" s="6"/>
      <c r="T134" s="6"/>
      <c r="U134" s="6"/>
      <c r="V134" s="6"/>
      <c r="W134" s="6"/>
      <c r="X134" s="6"/>
      <c r="Y134" s="6"/>
      <c r="Z134" s="6"/>
      <c r="AA134" s="6"/>
      <c r="AB134" s="6"/>
    </row>
    <row r="135" hidden="1">
      <c r="A135" s="13" t="str">
        <f t="shared" si="1"/>
        <v>Hava Muhalefeti Nedeniyle Ertelendi</v>
      </c>
      <c r="B135" s="13"/>
      <c r="C135" s="13" t="s">
        <v>31</v>
      </c>
      <c r="D135" s="77"/>
      <c r="E135" s="78" t="s">
        <v>340</v>
      </c>
      <c r="F135" s="45"/>
      <c r="G135" s="80"/>
      <c r="H135" s="45"/>
      <c r="I135" s="45"/>
      <c r="J135" s="8"/>
      <c r="K135" s="34"/>
      <c r="L135" s="8"/>
      <c r="M135" s="28"/>
      <c r="N135" s="6" t="b">
        <v>0</v>
      </c>
      <c r="O135" s="6" t="b">
        <v>0</v>
      </c>
      <c r="P135" s="6"/>
      <c r="Q135" s="6"/>
      <c r="R135" s="6"/>
      <c r="S135" s="6"/>
      <c r="T135" s="6"/>
      <c r="U135" s="6"/>
      <c r="V135" s="6"/>
      <c r="W135" s="6"/>
      <c r="X135" s="6"/>
      <c r="Y135" s="6"/>
      <c r="Z135" s="6"/>
      <c r="AA135" s="6"/>
      <c r="AB135" s="6"/>
    </row>
    <row r="136" hidden="1">
      <c r="A136" s="13" t="str">
        <f t="shared" si="1"/>
        <v/>
      </c>
      <c r="B136" s="13"/>
      <c r="C136" s="13" t="s">
        <v>31</v>
      </c>
      <c r="D136" s="8"/>
      <c r="E136" s="8"/>
      <c r="F136" s="8"/>
      <c r="G136" s="29"/>
      <c r="H136" s="8"/>
      <c r="I136" s="8"/>
      <c r="J136" s="8"/>
      <c r="K136" s="8"/>
      <c r="L136" s="8"/>
      <c r="M136" s="28"/>
      <c r="N136" s="6" t="b">
        <v>0</v>
      </c>
      <c r="O136" s="6" t="b">
        <v>0</v>
      </c>
      <c r="P136" s="6"/>
      <c r="Q136" s="6"/>
      <c r="R136" s="6"/>
      <c r="S136" s="6"/>
      <c r="T136" s="6"/>
      <c r="U136" s="6"/>
      <c r="V136" s="6"/>
      <c r="W136" s="6"/>
      <c r="X136" s="6"/>
      <c r="Y136" s="6"/>
      <c r="Z136" s="6"/>
      <c r="AA136" s="6"/>
      <c r="AB136" s="6"/>
    </row>
    <row r="137" hidden="1">
      <c r="A137" s="13" t="str">
        <f t="shared" si="1"/>
        <v/>
      </c>
      <c r="B137" s="13"/>
      <c r="C137" s="13" t="s">
        <v>31</v>
      </c>
      <c r="D137" s="8"/>
      <c r="E137" s="8"/>
      <c r="F137" s="8"/>
      <c r="G137" s="29"/>
      <c r="H137" s="8"/>
      <c r="I137" s="8"/>
      <c r="J137" s="8"/>
      <c r="K137" s="81"/>
      <c r="L137" s="8"/>
      <c r="M137" s="28"/>
      <c r="N137" s="6" t="b">
        <v>0</v>
      </c>
      <c r="O137" s="6" t="b">
        <v>0</v>
      </c>
      <c r="P137" s="6"/>
      <c r="Q137" s="6"/>
      <c r="R137" s="6"/>
      <c r="S137" s="6"/>
      <c r="T137" s="6"/>
      <c r="U137" s="6"/>
      <c r="V137" s="6"/>
      <c r="W137" s="6"/>
      <c r="X137" s="6"/>
      <c r="Y137" s="6"/>
      <c r="Z137" s="6"/>
      <c r="AA137" s="6"/>
      <c r="AB137" s="6"/>
    </row>
    <row r="138" hidden="1">
      <c r="A138" s="13" t="str">
        <f t="shared" si="1"/>
        <v/>
      </c>
      <c r="B138" s="13"/>
      <c r="C138" s="13" t="s">
        <v>31</v>
      </c>
      <c r="D138" s="8"/>
      <c r="E138" s="8"/>
      <c r="F138" s="8"/>
      <c r="G138" s="29"/>
      <c r="H138" s="8"/>
      <c r="I138" s="8"/>
      <c r="J138" s="8"/>
      <c r="K138" s="8"/>
      <c r="L138" s="30"/>
      <c r="M138" s="31"/>
      <c r="N138" s="6" t="b">
        <v>0</v>
      </c>
      <c r="O138" s="6" t="b">
        <v>0</v>
      </c>
      <c r="P138" s="6"/>
      <c r="Q138" s="6"/>
      <c r="R138" s="6"/>
      <c r="S138" s="6"/>
      <c r="T138" s="6"/>
      <c r="U138" s="6"/>
      <c r="V138" s="6"/>
      <c r="W138" s="6"/>
      <c r="X138" s="6"/>
      <c r="Y138" s="6"/>
      <c r="Z138" s="6"/>
      <c r="AA138" s="6"/>
      <c r="AB138" s="6"/>
    </row>
    <row r="139" hidden="1">
      <c r="A139" s="13" t="str">
        <f t="shared" si="1"/>
        <v/>
      </c>
      <c r="B139" s="13"/>
      <c r="C139" s="13" t="s">
        <v>46</v>
      </c>
      <c r="D139" s="8"/>
      <c r="E139" s="8"/>
      <c r="F139" s="8"/>
      <c r="G139" s="29"/>
      <c r="H139" s="8"/>
      <c r="I139" s="8"/>
      <c r="J139" s="8"/>
      <c r="K139" s="34"/>
      <c r="L139" s="8"/>
      <c r="M139" s="28"/>
      <c r="N139" s="6" t="b">
        <v>0</v>
      </c>
      <c r="O139" s="6" t="b">
        <v>0</v>
      </c>
      <c r="P139" s="6"/>
      <c r="Q139" s="6"/>
      <c r="R139" s="6"/>
      <c r="S139" s="6"/>
      <c r="T139" s="6"/>
      <c r="U139" s="6"/>
      <c r="V139" s="6"/>
      <c r="W139" s="6"/>
      <c r="X139" s="6"/>
      <c r="Y139" s="6"/>
      <c r="Z139" s="6"/>
      <c r="AA139" s="6"/>
      <c r="AB139" s="6"/>
    </row>
    <row r="140" hidden="1">
      <c r="A140" s="13" t="str">
        <f t="shared" si="1"/>
        <v/>
      </c>
      <c r="B140" s="13"/>
      <c r="C140" s="13" t="s">
        <v>46</v>
      </c>
      <c r="D140" s="6"/>
      <c r="E140" s="6"/>
      <c r="F140" s="6"/>
      <c r="G140" s="26"/>
      <c r="H140" s="6"/>
      <c r="I140" s="6"/>
      <c r="J140" s="6"/>
      <c r="K140" s="34"/>
      <c r="L140" s="8"/>
      <c r="M140" s="28"/>
      <c r="N140" s="6" t="b">
        <v>0</v>
      </c>
      <c r="O140" s="6" t="b">
        <v>0</v>
      </c>
      <c r="P140" s="6"/>
      <c r="Q140" s="6"/>
      <c r="R140" s="6"/>
      <c r="S140" s="6"/>
      <c r="T140" s="6"/>
      <c r="U140" s="6"/>
      <c r="V140" s="6"/>
      <c r="W140" s="6"/>
      <c r="X140" s="6"/>
      <c r="Y140" s="6"/>
      <c r="Z140" s="6"/>
      <c r="AA140" s="6"/>
      <c r="AB140" s="6"/>
    </row>
    <row r="141" hidden="1">
      <c r="A141" s="13" t="str">
        <f t="shared" si="1"/>
        <v>Hava Muhalefeti Nedeniyle Ertelendi</v>
      </c>
      <c r="B141" s="13"/>
      <c r="C141" s="13" t="s">
        <v>46</v>
      </c>
      <c r="D141" s="77"/>
      <c r="E141" s="78" t="s">
        <v>340</v>
      </c>
      <c r="F141" s="47"/>
      <c r="G141" s="79"/>
      <c r="H141" s="47"/>
      <c r="I141" s="47"/>
      <c r="J141" s="6"/>
      <c r="K141" s="34"/>
      <c r="L141" s="8"/>
      <c r="M141" s="28"/>
      <c r="N141" s="6" t="b">
        <v>0</v>
      </c>
      <c r="O141" s="6" t="b">
        <v>0</v>
      </c>
      <c r="P141" s="6"/>
      <c r="Q141" s="6"/>
      <c r="R141" s="6"/>
      <c r="S141" s="6"/>
      <c r="T141" s="6"/>
      <c r="U141" s="6"/>
      <c r="V141" s="6"/>
      <c r="W141" s="6"/>
      <c r="X141" s="6"/>
      <c r="Y141" s="6"/>
      <c r="Z141" s="6"/>
      <c r="AA141" s="6"/>
      <c r="AB141" s="6"/>
    </row>
    <row r="142" hidden="1">
      <c r="A142" s="13" t="str">
        <f t="shared" si="1"/>
        <v/>
      </c>
      <c r="B142" s="13"/>
      <c r="C142" s="13" t="s">
        <v>46</v>
      </c>
      <c r="D142" s="68"/>
      <c r="E142" s="71"/>
      <c r="F142" s="71"/>
      <c r="G142" s="72"/>
      <c r="H142" s="39"/>
      <c r="I142" s="38"/>
      <c r="J142" s="71"/>
      <c r="K142" s="39"/>
      <c r="L142" s="8"/>
      <c r="M142" s="28"/>
      <c r="N142" s="6" t="b">
        <v>0</v>
      </c>
      <c r="O142" s="6" t="b">
        <v>0</v>
      </c>
      <c r="P142" s="6"/>
      <c r="Q142" s="6"/>
      <c r="R142" s="6"/>
      <c r="S142" s="6"/>
      <c r="T142" s="6"/>
      <c r="U142" s="6"/>
      <c r="V142" s="6"/>
      <c r="W142" s="6"/>
      <c r="X142" s="6"/>
      <c r="Y142" s="6"/>
      <c r="Z142" s="6"/>
      <c r="AA142" s="6"/>
      <c r="AB142" s="6"/>
    </row>
    <row r="143" hidden="1">
      <c r="A143" s="13" t="str">
        <f t="shared" si="1"/>
        <v/>
      </c>
      <c r="B143" s="13"/>
      <c r="C143" s="13" t="s">
        <v>46</v>
      </c>
      <c r="D143" s="6"/>
      <c r="E143" s="6"/>
      <c r="F143" s="6"/>
      <c r="G143" s="26"/>
      <c r="H143" s="6"/>
      <c r="I143" s="6"/>
      <c r="J143" s="6"/>
      <c r="K143" s="38"/>
      <c r="L143" s="8"/>
      <c r="M143" s="28"/>
      <c r="N143" s="6" t="b">
        <v>0</v>
      </c>
      <c r="O143" s="6" t="b">
        <v>0</v>
      </c>
      <c r="P143" s="6"/>
      <c r="Q143" s="6"/>
      <c r="R143" s="6"/>
      <c r="S143" s="6"/>
      <c r="T143" s="6"/>
      <c r="U143" s="6"/>
      <c r="V143" s="6"/>
      <c r="W143" s="6"/>
      <c r="X143" s="6"/>
      <c r="Y143" s="6"/>
      <c r="Z143" s="6"/>
      <c r="AA143" s="6"/>
      <c r="AB143" s="6"/>
    </row>
    <row r="144" hidden="1">
      <c r="A144" s="13" t="str">
        <f t="shared" si="1"/>
        <v/>
      </c>
      <c r="B144" s="13"/>
      <c r="C144" s="13" t="s">
        <v>46</v>
      </c>
      <c r="D144" s="8"/>
      <c r="E144" s="8"/>
      <c r="F144" s="8"/>
      <c r="G144" s="29"/>
      <c r="H144" s="8"/>
      <c r="I144" s="8"/>
      <c r="J144" s="8"/>
      <c r="K144" s="8"/>
      <c r="L144" s="30"/>
      <c r="M144" s="31"/>
      <c r="N144" s="6" t="b">
        <v>0</v>
      </c>
      <c r="O144" s="6" t="b">
        <v>0</v>
      </c>
      <c r="P144" s="6"/>
      <c r="Q144" s="6"/>
      <c r="R144" s="6"/>
      <c r="S144" s="6"/>
      <c r="T144" s="6"/>
      <c r="U144" s="6"/>
      <c r="V144" s="6"/>
      <c r="W144" s="6"/>
      <c r="X144" s="6"/>
      <c r="Y144" s="6"/>
      <c r="Z144" s="6"/>
      <c r="AA144" s="6"/>
      <c r="AB144" s="6"/>
    </row>
    <row r="145" hidden="1">
      <c r="A145" s="13" t="str">
        <f t="shared" si="1"/>
        <v/>
      </c>
      <c r="B145" s="13"/>
      <c r="C145" s="13" t="s">
        <v>60</v>
      </c>
      <c r="D145" s="8"/>
      <c r="E145" s="8"/>
      <c r="F145" s="8"/>
      <c r="G145" s="26"/>
      <c r="H145" s="8"/>
      <c r="I145" s="6"/>
      <c r="J145" s="8"/>
      <c r="K145" s="34"/>
      <c r="L145" s="8"/>
      <c r="M145" s="28"/>
      <c r="N145" s="6" t="b">
        <v>0</v>
      </c>
      <c r="O145" s="6" t="b">
        <v>0</v>
      </c>
      <c r="P145" s="6"/>
      <c r="Q145" s="6"/>
      <c r="R145" s="6"/>
      <c r="S145" s="6"/>
      <c r="T145" s="6"/>
      <c r="U145" s="6"/>
      <c r="V145" s="6"/>
      <c r="W145" s="6"/>
      <c r="X145" s="6"/>
      <c r="Y145" s="6"/>
      <c r="Z145" s="6"/>
      <c r="AA145" s="6"/>
      <c r="AB145" s="6"/>
    </row>
    <row r="146" hidden="1">
      <c r="A146" s="13" t="str">
        <f t="shared" si="1"/>
        <v/>
      </c>
      <c r="B146" s="13"/>
      <c r="C146" s="13" t="s">
        <v>60</v>
      </c>
      <c r="D146" s="6"/>
      <c r="E146" s="6"/>
      <c r="F146" s="6"/>
      <c r="G146" s="26"/>
      <c r="H146" s="6"/>
      <c r="I146" s="6"/>
      <c r="J146" s="6"/>
      <c r="K146" s="38"/>
      <c r="L146" s="8"/>
      <c r="M146" s="28"/>
      <c r="N146" s="6" t="b">
        <v>0</v>
      </c>
      <c r="O146" s="6" t="b">
        <v>0</v>
      </c>
      <c r="P146" s="6"/>
      <c r="Q146" s="6"/>
      <c r="R146" s="6"/>
      <c r="S146" s="6"/>
      <c r="T146" s="6"/>
      <c r="U146" s="6"/>
      <c r="V146" s="6"/>
      <c r="W146" s="6"/>
      <c r="X146" s="6"/>
      <c r="Y146" s="6"/>
      <c r="Z146" s="6"/>
      <c r="AA146" s="6"/>
      <c r="AB146" s="6"/>
    </row>
    <row r="147" hidden="1">
      <c r="A147" s="13" t="str">
        <f t="shared" si="1"/>
        <v>Hava Muhalefeti Nedeniyle Ertelendi</v>
      </c>
      <c r="B147" s="13"/>
      <c r="C147" s="13" t="s">
        <v>60</v>
      </c>
      <c r="D147" s="77"/>
      <c r="E147" s="78" t="s">
        <v>340</v>
      </c>
      <c r="F147" s="73"/>
      <c r="G147" s="74"/>
      <c r="H147" s="44"/>
      <c r="I147" s="47"/>
      <c r="J147" s="6"/>
      <c r="K147" s="39"/>
      <c r="L147" s="8"/>
      <c r="M147" s="28"/>
      <c r="N147" s="6" t="b">
        <v>0</v>
      </c>
      <c r="O147" s="6" t="b">
        <v>0</v>
      </c>
      <c r="P147" s="6"/>
      <c r="Q147" s="6"/>
      <c r="R147" s="6"/>
      <c r="S147" s="6"/>
      <c r="T147" s="6"/>
      <c r="U147" s="6"/>
      <c r="V147" s="6"/>
      <c r="W147" s="6"/>
      <c r="X147" s="6"/>
      <c r="Y147" s="6"/>
      <c r="Z147" s="6"/>
      <c r="AA147" s="6"/>
      <c r="AB147" s="6"/>
    </row>
    <row r="148" hidden="1">
      <c r="A148" s="13" t="str">
        <f t="shared" si="1"/>
        <v/>
      </c>
      <c r="B148" s="13"/>
      <c r="C148" s="13" t="s">
        <v>60</v>
      </c>
      <c r="D148" s="6"/>
      <c r="E148" s="6"/>
      <c r="F148" s="6"/>
      <c r="G148" s="26"/>
      <c r="H148" s="6"/>
      <c r="I148" s="6"/>
      <c r="J148" s="61"/>
      <c r="K148" s="8"/>
      <c r="L148" s="8"/>
      <c r="M148" s="28"/>
      <c r="N148" s="6" t="b">
        <v>0</v>
      </c>
      <c r="O148" s="6" t="b">
        <v>0</v>
      </c>
      <c r="P148" s="6"/>
      <c r="Q148" s="6"/>
      <c r="R148" s="6"/>
      <c r="S148" s="6"/>
      <c r="T148" s="6"/>
      <c r="U148" s="6"/>
      <c r="V148" s="6"/>
      <c r="W148" s="6"/>
      <c r="X148" s="6"/>
      <c r="Y148" s="6"/>
      <c r="Z148" s="6"/>
      <c r="AA148" s="6"/>
      <c r="AB148" s="6"/>
    </row>
    <row r="149" hidden="1">
      <c r="A149" s="13" t="str">
        <f t="shared" si="1"/>
        <v/>
      </c>
      <c r="B149" s="13"/>
      <c r="C149" s="13" t="s">
        <v>60</v>
      </c>
      <c r="D149" s="6"/>
      <c r="E149" s="6"/>
      <c r="F149" s="6"/>
      <c r="G149" s="26"/>
      <c r="H149" s="6"/>
      <c r="I149" s="6"/>
      <c r="J149" s="6"/>
      <c r="K149" s="81"/>
      <c r="L149" s="8"/>
      <c r="M149" s="28"/>
      <c r="N149" s="6" t="b">
        <v>0</v>
      </c>
      <c r="O149" s="6" t="b">
        <v>0</v>
      </c>
      <c r="P149" s="6"/>
      <c r="Q149" s="6"/>
      <c r="R149" s="6"/>
      <c r="S149" s="6"/>
      <c r="T149" s="6"/>
      <c r="U149" s="6"/>
      <c r="V149" s="6"/>
      <c r="W149" s="6"/>
      <c r="X149" s="6"/>
      <c r="Y149" s="6"/>
      <c r="Z149" s="6"/>
      <c r="AA149" s="6"/>
      <c r="AB149" s="6"/>
    </row>
    <row r="150" hidden="1">
      <c r="A150" s="13" t="str">
        <f t="shared" si="1"/>
        <v/>
      </c>
      <c r="B150" s="13"/>
      <c r="C150" s="13" t="s">
        <v>60</v>
      </c>
      <c r="D150" s="8"/>
      <c r="E150" s="8"/>
      <c r="F150" s="8"/>
      <c r="G150" s="29"/>
      <c r="H150" s="8"/>
      <c r="I150" s="8"/>
      <c r="J150" s="8"/>
      <c r="K150" s="8"/>
      <c r="L150" s="30"/>
      <c r="M150" s="31"/>
      <c r="N150" s="6" t="b">
        <v>0</v>
      </c>
      <c r="O150" s="6" t="b">
        <v>0</v>
      </c>
      <c r="P150" s="6"/>
      <c r="Q150" s="6"/>
      <c r="R150" s="6"/>
      <c r="S150" s="6"/>
      <c r="T150" s="6"/>
      <c r="U150" s="6"/>
      <c r="V150" s="6"/>
      <c r="W150" s="6"/>
      <c r="X150" s="6"/>
      <c r="Y150" s="6"/>
      <c r="Z150" s="6"/>
      <c r="AA150" s="6"/>
      <c r="AB150" s="6"/>
    </row>
    <row r="151" hidden="1">
      <c r="A151" s="13" t="str">
        <f t="shared" si="1"/>
        <v/>
      </c>
      <c r="B151" s="7"/>
      <c r="C151" s="7">
        <v>44243.0</v>
      </c>
      <c r="D151" s="8"/>
      <c r="E151" s="9"/>
      <c r="F151" s="10"/>
      <c r="G151" s="10"/>
      <c r="H151" s="10"/>
      <c r="I151" s="10"/>
      <c r="J151" s="10"/>
      <c r="K151" s="10"/>
      <c r="L151" s="11"/>
      <c r="M151" s="12"/>
      <c r="N151" s="6"/>
      <c r="O151" s="6"/>
      <c r="P151" s="6"/>
      <c r="Q151" s="6"/>
      <c r="R151" s="6"/>
      <c r="S151" s="6"/>
      <c r="T151" s="6"/>
      <c r="U151" s="6"/>
      <c r="V151" s="6"/>
      <c r="W151" s="6"/>
      <c r="X151" s="6"/>
      <c r="Y151" s="6"/>
      <c r="Z151" s="6"/>
      <c r="AA151" s="6"/>
      <c r="AB151" s="6"/>
    </row>
    <row r="152" hidden="1">
      <c r="A152" s="13" t="str">
        <f t="shared" si="1"/>
        <v/>
      </c>
      <c r="B152" s="13"/>
      <c r="C152" s="13" t="s">
        <v>13</v>
      </c>
      <c r="D152" s="6"/>
      <c r="E152" s="6"/>
      <c r="F152" s="6"/>
      <c r="G152" s="26"/>
      <c r="H152" s="6"/>
      <c r="I152" s="6"/>
      <c r="J152" s="6"/>
      <c r="K152" s="34"/>
      <c r="L152" s="8"/>
      <c r="M152" s="28"/>
      <c r="N152" s="6" t="b">
        <v>0</v>
      </c>
      <c r="O152" s="6" t="b">
        <v>0</v>
      </c>
      <c r="P152" s="6"/>
      <c r="Q152" s="6"/>
      <c r="R152" s="6"/>
      <c r="S152" s="6"/>
      <c r="T152" s="6"/>
      <c r="U152" s="6"/>
      <c r="V152" s="6"/>
      <c r="W152" s="6"/>
      <c r="X152" s="6"/>
      <c r="Y152" s="6"/>
      <c r="Z152" s="6"/>
      <c r="AA152" s="6"/>
      <c r="AB152" s="6"/>
    </row>
    <row r="153" hidden="1">
      <c r="A153" s="13" t="str">
        <f t="shared" si="1"/>
        <v>5ffbb1a137b18111e1072cae</v>
      </c>
      <c r="B153" s="13"/>
      <c r="C153" s="13" t="s">
        <v>13</v>
      </c>
      <c r="D153" s="68" t="s">
        <v>341</v>
      </c>
      <c r="E153" s="75" t="s">
        <v>342</v>
      </c>
      <c r="F153" s="75" t="s">
        <v>343</v>
      </c>
      <c r="G153" s="16" t="s">
        <v>344</v>
      </c>
      <c r="H153" s="18" t="s">
        <v>345</v>
      </c>
      <c r="I153" s="62" t="s">
        <v>346</v>
      </c>
      <c r="J153" s="82" t="s">
        <v>347</v>
      </c>
      <c r="K153" s="19"/>
      <c r="L153" s="18">
        <v>18.0</v>
      </c>
      <c r="M153" s="20">
        <f>VLOOKUP(E153,'Hedef Liste'!A:I,8,false)</f>
        <v>3</v>
      </c>
      <c r="N153" s="6" t="b">
        <v>0</v>
      </c>
      <c r="O153" s="6" t="b">
        <v>0</v>
      </c>
      <c r="P153" s="6"/>
      <c r="Q153" s="6"/>
      <c r="R153" s="6"/>
      <c r="S153" s="6"/>
      <c r="T153" s="6"/>
      <c r="U153" s="6"/>
      <c r="V153" s="6"/>
      <c r="W153" s="6"/>
      <c r="X153" s="6"/>
      <c r="Y153" s="6"/>
      <c r="Z153" s="6"/>
      <c r="AA153" s="6"/>
      <c r="AB153" s="6"/>
    </row>
    <row r="154" hidden="1">
      <c r="A154" s="13" t="str">
        <f t="shared" si="1"/>
        <v>5fcff054448da318ed7c656b</v>
      </c>
      <c r="B154" s="13"/>
      <c r="C154" s="13" t="s">
        <v>13</v>
      </c>
      <c r="D154" s="61"/>
      <c r="E154" s="62" t="s">
        <v>348</v>
      </c>
      <c r="F154" s="62" t="s">
        <v>349</v>
      </c>
      <c r="G154" s="16" t="s">
        <v>292</v>
      </c>
      <c r="H154" s="18" t="s">
        <v>17</v>
      </c>
      <c r="I154" s="18" t="s">
        <v>350</v>
      </c>
      <c r="J154" s="62" t="s">
        <v>351</v>
      </c>
      <c r="K154" s="19"/>
      <c r="L154" s="18">
        <v>13.0</v>
      </c>
      <c r="M154" s="24" t="str">
        <f>VLOOKUP(E154,'Hedef Liste'!A:I,8,false)</f>
        <v>#N/A</v>
      </c>
      <c r="N154" s="6" t="b">
        <v>0</v>
      </c>
      <c r="O154" s="6" t="b">
        <v>0</v>
      </c>
      <c r="P154" s="6"/>
      <c r="Q154" s="6"/>
      <c r="R154" s="6"/>
      <c r="S154" s="6"/>
      <c r="T154" s="6"/>
      <c r="U154" s="6"/>
      <c r="V154" s="6"/>
      <c r="W154" s="6"/>
      <c r="X154" s="6"/>
      <c r="Y154" s="6"/>
      <c r="Z154" s="6"/>
      <c r="AA154" s="6"/>
      <c r="AB154" s="6"/>
    </row>
    <row r="155" hidden="1">
      <c r="A155" s="13" t="str">
        <f t="shared" si="1"/>
        <v>5f367741e44c7979c6f00131</v>
      </c>
      <c r="B155" s="13"/>
      <c r="C155" s="13" t="s">
        <v>13</v>
      </c>
      <c r="D155" s="14"/>
      <c r="E155" s="15" t="s">
        <v>352</v>
      </c>
      <c r="F155" s="15" t="s">
        <v>353</v>
      </c>
      <c r="G155" s="40">
        <v>0.625</v>
      </c>
      <c r="H155" s="6"/>
      <c r="I155" s="18" t="s">
        <v>350</v>
      </c>
      <c r="J155" s="15" t="s">
        <v>354</v>
      </c>
      <c r="K155" s="23"/>
      <c r="L155" s="18">
        <v>13.0</v>
      </c>
      <c r="M155" s="24" t="str">
        <f>VLOOKUP(E155,'Hedef Liste'!A:I,8,false)</f>
        <v>#N/A</v>
      </c>
      <c r="N155" s="6" t="b">
        <v>0</v>
      </c>
      <c r="O155" s="6" t="b">
        <v>0</v>
      </c>
      <c r="P155" s="6"/>
      <c r="Q155" s="6"/>
      <c r="R155" s="6"/>
      <c r="S155" s="6"/>
      <c r="T155" s="6"/>
      <c r="U155" s="6"/>
      <c r="V155" s="6"/>
      <c r="W155" s="6"/>
      <c r="X155" s="6"/>
      <c r="Y155" s="6"/>
      <c r="Z155" s="6"/>
      <c r="AA155" s="6"/>
      <c r="AB155" s="6"/>
    </row>
    <row r="156" hidden="1">
      <c r="A156" s="13" t="str">
        <f t="shared" si="1"/>
        <v>5fda1224a908bd46ce7a3fd4</v>
      </c>
      <c r="B156" s="13"/>
      <c r="C156" s="13" t="s">
        <v>13</v>
      </c>
      <c r="D156" s="14"/>
      <c r="E156" s="42" t="s">
        <v>355</v>
      </c>
      <c r="F156" s="42" t="s">
        <v>356</v>
      </c>
      <c r="G156" s="43">
        <v>0.6666666666666666</v>
      </c>
      <c r="H156" s="44" t="s">
        <v>293</v>
      </c>
      <c r="I156" s="59" t="s">
        <v>357</v>
      </c>
      <c r="J156" s="42" t="s">
        <v>358</v>
      </c>
      <c r="K156" s="44" t="s">
        <v>359</v>
      </c>
      <c r="L156" s="45"/>
      <c r="M156" s="46"/>
      <c r="N156" s="47" t="b">
        <v>0</v>
      </c>
      <c r="O156" s="47" t="b">
        <v>0</v>
      </c>
      <c r="P156" s="6"/>
      <c r="Q156" s="6"/>
      <c r="R156" s="6"/>
      <c r="S156" s="6"/>
      <c r="T156" s="6"/>
      <c r="U156" s="6"/>
      <c r="V156" s="6"/>
      <c r="W156" s="6"/>
      <c r="X156" s="6"/>
      <c r="Y156" s="6"/>
      <c r="Z156" s="6"/>
      <c r="AA156" s="6"/>
      <c r="AB156" s="6"/>
    </row>
    <row r="157" hidden="1">
      <c r="A157" s="13" t="str">
        <f t="shared" si="1"/>
        <v/>
      </c>
      <c r="B157" s="13"/>
      <c r="C157" s="13" t="s">
        <v>13</v>
      </c>
      <c r="D157" s="8"/>
      <c r="E157" s="8"/>
      <c r="F157" s="8"/>
      <c r="G157" s="29"/>
      <c r="H157" s="8"/>
      <c r="I157" s="8"/>
      <c r="J157" s="8"/>
      <c r="K157" s="8"/>
      <c r="L157" s="30"/>
      <c r="M157" s="31"/>
      <c r="N157" s="6" t="b">
        <v>0</v>
      </c>
      <c r="O157" s="6" t="b">
        <v>0</v>
      </c>
      <c r="P157" s="6"/>
      <c r="Q157" s="6"/>
      <c r="R157" s="6"/>
      <c r="S157" s="6"/>
      <c r="T157" s="6"/>
      <c r="U157" s="6"/>
      <c r="V157" s="6"/>
      <c r="W157" s="6"/>
      <c r="X157" s="6"/>
      <c r="Y157" s="6"/>
      <c r="Z157" s="6"/>
      <c r="AA157" s="6"/>
      <c r="AB157" s="6"/>
    </row>
    <row r="158" hidden="1">
      <c r="A158" s="13" t="str">
        <f t="shared" si="1"/>
        <v/>
      </c>
      <c r="B158" s="13"/>
      <c r="C158" s="13" t="s">
        <v>31</v>
      </c>
      <c r="D158" s="6"/>
      <c r="E158" s="6"/>
      <c r="F158" s="6"/>
      <c r="G158" s="26"/>
      <c r="H158" s="6"/>
      <c r="I158" s="6"/>
      <c r="J158" s="6"/>
      <c r="K158" s="39"/>
      <c r="L158" s="8"/>
      <c r="M158" s="28"/>
      <c r="N158" s="6" t="b">
        <v>0</v>
      </c>
      <c r="O158" s="6" t="b">
        <v>0</v>
      </c>
      <c r="P158" s="6"/>
      <c r="Q158" s="6"/>
      <c r="R158" s="6"/>
      <c r="S158" s="6"/>
      <c r="T158" s="6"/>
      <c r="U158" s="6"/>
      <c r="V158" s="6"/>
      <c r="W158" s="6"/>
      <c r="X158" s="6"/>
      <c r="Y158" s="6"/>
      <c r="Z158" s="6"/>
      <c r="AA158" s="6"/>
      <c r="AB158" s="6"/>
    </row>
    <row r="159" hidden="1">
      <c r="A159" s="13" t="str">
        <f t="shared" si="1"/>
        <v>600c2627b7dd9332a7869877</v>
      </c>
      <c r="B159" s="13"/>
      <c r="C159" s="13" t="s">
        <v>31</v>
      </c>
      <c r="D159" s="61"/>
      <c r="E159" s="62" t="s">
        <v>360</v>
      </c>
      <c r="F159" s="62" t="s">
        <v>361</v>
      </c>
      <c r="G159" s="40">
        <v>0.4791666666666667</v>
      </c>
      <c r="H159" s="27" t="s">
        <v>362</v>
      </c>
      <c r="I159" s="62">
        <v>5.51045975E9</v>
      </c>
      <c r="J159" s="62" t="s">
        <v>363</v>
      </c>
      <c r="K159" s="19"/>
      <c r="L159" s="18">
        <v>15.0</v>
      </c>
      <c r="M159" s="24" t="str">
        <f>VLOOKUP(E159,'Hedef Liste'!A:I,8,false)</f>
        <v>#N/A</v>
      </c>
      <c r="N159" s="6" t="b">
        <v>0</v>
      </c>
      <c r="O159" s="6" t="b">
        <v>0</v>
      </c>
      <c r="P159" s="6"/>
      <c r="Q159" s="6"/>
      <c r="R159" s="6"/>
      <c r="S159" s="6"/>
      <c r="T159" s="6"/>
      <c r="U159" s="6"/>
      <c r="V159" s="6"/>
      <c r="W159" s="6"/>
      <c r="X159" s="6"/>
      <c r="Y159" s="6"/>
      <c r="Z159" s="6"/>
      <c r="AA159" s="6"/>
      <c r="AB159" s="6"/>
    </row>
    <row r="160" hidden="1">
      <c r="A160" s="13" t="str">
        <f t="shared" si="1"/>
        <v>5fac54c0813db13d41c59c37</v>
      </c>
      <c r="B160" s="13"/>
      <c r="C160" s="13" t="s">
        <v>31</v>
      </c>
      <c r="D160" s="68"/>
      <c r="E160" s="75" t="s">
        <v>364</v>
      </c>
      <c r="F160" s="75" t="s">
        <v>365</v>
      </c>
      <c r="G160" s="16" t="s">
        <v>366</v>
      </c>
      <c r="H160" s="18" t="s">
        <v>367</v>
      </c>
      <c r="I160" s="18" t="s">
        <v>368</v>
      </c>
      <c r="J160" s="75" t="s">
        <v>369</v>
      </c>
      <c r="K160" s="18" t="s">
        <v>370</v>
      </c>
      <c r="L160" s="18">
        <v>37.0</v>
      </c>
      <c r="M160" s="20">
        <f>VLOOKUP(E160,'Hedef Liste'!A:I,8,false)</f>
        <v>36</v>
      </c>
      <c r="N160" s="6" t="b">
        <v>0</v>
      </c>
      <c r="O160" s="6" t="b">
        <v>0</v>
      </c>
      <c r="P160" s="6"/>
      <c r="Q160" s="6"/>
      <c r="R160" s="6"/>
      <c r="S160" s="6"/>
      <c r="T160" s="6"/>
      <c r="U160" s="6"/>
      <c r="V160" s="6"/>
      <c r="W160" s="6"/>
      <c r="X160" s="6"/>
      <c r="Y160" s="6"/>
      <c r="Z160" s="6"/>
      <c r="AA160" s="6"/>
      <c r="AB160" s="6"/>
    </row>
    <row r="161" hidden="1">
      <c r="A161" s="13" t="str">
        <f t="shared" si="1"/>
        <v>5fc043aca9c83671c1adc70d</v>
      </c>
      <c r="B161" s="13"/>
      <c r="C161" s="13" t="s">
        <v>31</v>
      </c>
      <c r="D161" s="68"/>
      <c r="E161" s="69" t="s">
        <v>371</v>
      </c>
      <c r="F161" s="73" t="s">
        <v>372</v>
      </c>
      <c r="G161" s="43">
        <v>0.6041666666666666</v>
      </c>
      <c r="H161" s="44" t="s">
        <v>373</v>
      </c>
      <c r="I161" s="83">
        <v>5.454265865E9</v>
      </c>
      <c r="J161" s="84" t="s">
        <v>374</v>
      </c>
      <c r="K161" s="48" t="s">
        <v>375</v>
      </c>
      <c r="L161" s="45"/>
      <c r="M161" s="46"/>
      <c r="N161" s="47" t="b">
        <v>0</v>
      </c>
      <c r="O161" s="47" t="b">
        <v>0</v>
      </c>
      <c r="P161" s="6"/>
      <c r="Q161" s="6"/>
      <c r="R161" s="6"/>
      <c r="S161" s="6"/>
      <c r="T161" s="6"/>
      <c r="U161" s="6"/>
      <c r="V161" s="6"/>
      <c r="W161" s="6"/>
      <c r="X161" s="6"/>
      <c r="Y161" s="6"/>
      <c r="Z161" s="6"/>
      <c r="AA161" s="6"/>
      <c r="AB161" s="6"/>
    </row>
    <row r="162" hidden="1">
      <c r="A162" s="13" t="str">
        <f t="shared" si="1"/>
        <v>5f81d09efb4bf0730f322ab0</v>
      </c>
      <c r="B162" s="13"/>
      <c r="C162" s="13" t="s">
        <v>31</v>
      </c>
      <c r="D162" s="68"/>
      <c r="E162" s="75" t="s">
        <v>376</v>
      </c>
      <c r="F162" s="75" t="s">
        <v>377</v>
      </c>
      <c r="G162" s="76" t="s">
        <v>378</v>
      </c>
      <c r="H162" s="18" t="s">
        <v>379</v>
      </c>
      <c r="I162" s="18" t="s">
        <v>380</v>
      </c>
      <c r="J162" s="18" t="s">
        <v>381</v>
      </c>
      <c r="K162" s="19"/>
      <c r="L162" s="18">
        <v>19.0</v>
      </c>
      <c r="M162" s="20">
        <f>VLOOKUP(E162,'Hedef Liste'!A:I,8,false)</f>
        <v>51</v>
      </c>
      <c r="N162" s="6" t="b">
        <v>0</v>
      </c>
      <c r="O162" s="6" t="b">
        <v>0</v>
      </c>
      <c r="P162" s="6"/>
      <c r="Q162" s="6"/>
      <c r="R162" s="6"/>
      <c r="S162" s="6"/>
      <c r="T162" s="6"/>
      <c r="U162" s="6"/>
      <c r="V162" s="6"/>
      <c r="W162" s="6"/>
      <c r="X162" s="6"/>
      <c r="Y162" s="6"/>
      <c r="Z162" s="6"/>
      <c r="AA162" s="6"/>
      <c r="AB162" s="6"/>
    </row>
    <row r="163" hidden="1">
      <c r="A163" s="13" t="str">
        <f t="shared" si="1"/>
        <v/>
      </c>
      <c r="B163" s="13"/>
      <c r="C163" s="13" t="s">
        <v>31</v>
      </c>
      <c r="D163" s="8"/>
      <c r="E163" s="8"/>
      <c r="F163" s="8"/>
      <c r="G163" s="29"/>
      <c r="H163" s="8"/>
      <c r="I163" s="8"/>
      <c r="J163" s="8"/>
      <c r="K163" s="8"/>
      <c r="L163" s="30"/>
      <c r="M163" s="31"/>
      <c r="N163" s="6" t="b">
        <v>0</v>
      </c>
      <c r="O163" s="6" t="b">
        <v>0</v>
      </c>
      <c r="P163" s="6"/>
      <c r="Q163" s="6"/>
      <c r="R163" s="6"/>
      <c r="S163" s="6"/>
      <c r="T163" s="6"/>
      <c r="U163" s="6"/>
      <c r="V163" s="6"/>
      <c r="W163" s="6"/>
      <c r="X163" s="6"/>
      <c r="Y163" s="6"/>
      <c r="Z163" s="6"/>
      <c r="AA163" s="6"/>
      <c r="AB163" s="6"/>
    </row>
    <row r="164" hidden="1">
      <c r="A164" s="13" t="str">
        <f t="shared" si="1"/>
        <v/>
      </c>
      <c r="B164" s="13"/>
      <c r="C164" s="13" t="s">
        <v>46</v>
      </c>
      <c r="D164" s="8"/>
      <c r="E164" s="8"/>
      <c r="F164" s="8"/>
      <c r="G164" s="29"/>
      <c r="H164" s="8"/>
      <c r="I164" s="8"/>
      <c r="J164" s="8"/>
      <c r="K164" s="34"/>
      <c r="L164" s="8"/>
      <c r="M164" s="28"/>
      <c r="N164" s="6" t="b">
        <v>0</v>
      </c>
      <c r="O164" s="6" t="b">
        <v>0</v>
      </c>
      <c r="P164" s="6"/>
      <c r="Q164" s="6"/>
      <c r="R164" s="6"/>
      <c r="S164" s="6"/>
      <c r="T164" s="6"/>
      <c r="U164" s="6"/>
      <c r="V164" s="6"/>
      <c r="W164" s="6"/>
      <c r="X164" s="6"/>
      <c r="Y164" s="6"/>
      <c r="Z164" s="6"/>
      <c r="AA164" s="6"/>
      <c r="AB164" s="6"/>
    </row>
    <row r="165" hidden="1">
      <c r="A165" s="13" t="str">
        <f t="shared" si="1"/>
        <v>5ff4f07d0e63fed3acccbb51</v>
      </c>
      <c r="B165" s="13"/>
      <c r="C165" s="13" t="s">
        <v>46</v>
      </c>
      <c r="D165" s="61"/>
      <c r="E165" s="62" t="s">
        <v>382</v>
      </c>
      <c r="F165" s="62" t="s">
        <v>383</v>
      </c>
      <c r="G165" s="16" t="s">
        <v>16</v>
      </c>
      <c r="H165" s="18" t="s">
        <v>384</v>
      </c>
      <c r="I165" s="18" t="s">
        <v>385</v>
      </c>
      <c r="J165" s="62" t="s">
        <v>275</v>
      </c>
      <c r="K165" s="19"/>
      <c r="L165" s="18">
        <v>19.0</v>
      </c>
      <c r="M165" s="24" t="str">
        <f>VLOOKUP(E165,'Hedef Liste'!A:I,8,false)</f>
        <v>#N/A</v>
      </c>
      <c r="N165" s="6" t="b">
        <v>0</v>
      </c>
      <c r="O165" s="6" t="b">
        <v>0</v>
      </c>
      <c r="P165" s="6"/>
      <c r="Q165" s="6"/>
      <c r="R165" s="6"/>
      <c r="S165" s="6"/>
      <c r="T165" s="6"/>
      <c r="U165" s="6"/>
      <c r="V165" s="6"/>
      <c r="W165" s="6"/>
      <c r="X165" s="6"/>
      <c r="Y165" s="6"/>
      <c r="Z165" s="6"/>
      <c r="AA165" s="6"/>
      <c r="AB165" s="6"/>
    </row>
    <row r="166" hidden="1">
      <c r="A166" s="13" t="str">
        <f t="shared" si="1"/>
        <v>5fce36f9a01a687ec6d07ae2</v>
      </c>
      <c r="B166" s="13"/>
      <c r="C166" s="13" t="s">
        <v>46</v>
      </c>
      <c r="D166" s="68"/>
      <c r="E166" s="75" t="s">
        <v>386</v>
      </c>
      <c r="F166" s="18" t="s">
        <v>387</v>
      </c>
      <c r="G166" s="16" t="s">
        <v>366</v>
      </c>
      <c r="H166" s="18" t="s">
        <v>388</v>
      </c>
      <c r="I166" s="18" t="s">
        <v>389</v>
      </c>
      <c r="J166" s="18" t="s">
        <v>390</v>
      </c>
      <c r="K166" s="19"/>
      <c r="L166" s="18">
        <v>5.0</v>
      </c>
      <c r="M166" s="20">
        <f>VLOOKUP(E166,'Hedef Liste'!A:I,8,false)</f>
        <v>17</v>
      </c>
      <c r="N166" s="6" t="b">
        <v>0</v>
      </c>
      <c r="O166" s="6" t="b">
        <v>0</v>
      </c>
      <c r="P166" s="6"/>
      <c r="Q166" s="6"/>
      <c r="R166" s="6"/>
      <c r="S166" s="6"/>
      <c r="T166" s="6"/>
      <c r="U166" s="6"/>
      <c r="V166" s="6"/>
      <c r="W166" s="6"/>
      <c r="X166" s="6"/>
      <c r="Y166" s="6"/>
      <c r="Z166" s="6"/>
      <c r="AA166" s="6"/>
      <c r="AB166" s="6"/>
    </row>
    <row r="167" hidden="1">
      <c r="A167" s="13" t="str">
        <f t="shared" si="1"/>
        <v>601c92276ec32eda3c3dfb79</v>
      </c>
      <c r="B167" s="13"/>
      <c r="C167" s="13" t="s">
        <v>46</v>
      </c>
      <c r="D167" s="61"/>
      <c r="E167" s="62" t="s">
        <v>391</v>
      </c>
      <c r="F167" s="62" t="s">
        <v>392</v>
      </c>
      <c r="G167" s="22">
        <v>0.6041666666666666</v>
      </c>
      <c r="H167" s="18" t="s">
        <v>384</v>
      </c>
      <c r="I167" s="18" t="s">
        <v>393</v>
      </c>
      <c r="J167" s="62" t="s">
        <v>394</v>
      </c>
      <c r="K167" s="23"/>
      <c r="L167" s="18">
        <v>15.0</v>
      </c>
      <c r="M167" s="20">
        <f>VLOOKUP(E167,'Hedef Liste'!A:I,8,false)</f>
        <v>26</v>
      </c>
      <c r="N167" s="6" t="b">
        <v>0</v>
      </c>
      <c r="O167" s="6" t="b">
        <v>0</v>
      </c>
      <c r="P167" s="6"/>
      <c r="Q167" s="6"/>
      <c r="R167" s="6"/>
      <c r="S167" s="6"/>
      <c r="T167" s="6"/>
      <c r="U167" s="6"/>
      <c r="V167" s="6"/>
      <c r="W167" s="6"/>
      <c r="X167" s="6"/>
      <c r="Y167" s="6"/>
      <c r="Z167" s="6"/>
      <c r="AA167" s="6"/>
      <c r="AB167" s="6"/>
    </row>
    <row r="168" hidden="1">
      <c r="A168" s="13" t="str">
        <f t="shared" si="1"/>
        <v>5f681303edfda075cec9a81c</v>
      </c>
      <c r="B168" s="13"/>
      <c r="C168" s="13" t="s">
        <v>46</v>
      </c>
      <c r="D168" s="61"/>
      <c r="E168" s="62" t="s">
        <v>395</v>
      </c>
      <c r="F168" s="62" t="s">
        <v>396</v>
      </c>
      <c r="G168" s="22">
        <v>0.6666666666666666</v>
      </c>
      <c r="H168" s="18" t="s">
        <v>384</v>
      </c>
      <c r="I168" s="18" t="s">
        <v>397</v>
      </c>
      <c r="J168" s="62" t="s">
        <v>398</v>
      </c>
      <c r="K168" s="19"/>
      <c r="L168" s="18">
        <v>35.0</v>
      </c>
      <c r="M168" s="20">
        <f>VLOOKUP(E168,'Hedef Liste'!A:I,8,false)</f>
        <v>22</v>
      </c>
      <c r="N168" s="6" t="b">
        <v>0</v>
      </c>
      <c r="O168" s="6" t="b">
        <v>0</v>
      </c>
      <c r="P168" s="6"/>
      <c r="Q168" s="6"/>
      <c r="R168" s="6"/>
      <c r="S168" s="6"/>
      <c r="T168" s="6"/>
      <c r="U168" s="6"/>
      <c r="V168" s="6"/>
      <c r="W168" s="6"/>
      <c r="X168" s="6"/>
      <c r="Y168" s="6"/>
      <c r="Z168" s="6"/>
      <c r="AA168" s="6"/>
      <c r="AB168" s="6"/>
    </row>
    <row r="169" hidden="1">
      <c r="A169" s="13" t="str">
        <f t="shared" si="1"/>
        <v/>
      </c>
      <c r="B169" s="13"/>
      <c r="C169" s="13" t="s">
        <v>46</v>
      </c>
      <c r="D169" s="8"/>
      <c r="E169" s="8"/>
      <c r="F169" s="8"/>
      <c r="G169" s="29"/>
      <c r="H169" s="8"/>
      <c r="I169" s="8"/>
      <c r="J169" s="8"/>
      <c r="K169" s="8"/>
      <c r="L169" s="30"/>
      <c r="M169" s="31"/>
      <c r="N169" s="6" t="b">
        <v>0</v>
      </c>
      <c r="O169" s="6" t="b">
        <v>0</v>
      </c>
      <c r="P169" s="6"/>
      <c r="Q169" s="6"/>
      <c r="R169" s="6"/>
      <c r="S169" s="6"/>
      <c r="T169" s="6"/>
      <c r="U169" s="6"/>
      <c r="V169" s="6"/>
      <c r="W169" s="6"/>
      <c r="X169" s="6"/>
      <c r="Y169" s="6"/>
      <c r="Z169" s="6"/>
      <c r="AA169" s="6"/>
      <c r="AB169" s="6"/>
    </row>
    <row r="170" hidden="1">
      <c r="A170" s="13" t="str">
        <f t="shared" si="1"/>
        <v>5f5bfb833aba1b579c300b49</v>
      </c>
      <c r="B170" s="13"/>
      <c r="C170" s="13" t="s">
        <v>60</v>
      </c>
      <c r="D170" s="68"/>
      <c r="E170" s="75" t="s">
        <v>399</v>
      </c>
      <c r="F170" s="75" t="s">
        <v>400</v>
      </c>
      <c r="G170" s="76" t="s">
        <v>366</v>
      </c>
      <c r="H170" s="18" t="s">
        <v>401</v>
      </c>
      <c r="I170" s="75" t="s">
        <v>402</v>
      </c>
      <c r="J170" s="75" t="s">
        <v>403</v>
      </c>
      <c r="K170" s="19"/>
      <c r="L170" s="18">
        <v>7.0</v>
      </c>
      <c r="M170" s="20">
        <f>VLOOKUP(E170,'Hedef Liste'!A:I,8,false)</f>
        <v>50</v>
      </c>
      <c r="N170" s="6" t="b">
        <v>0</v>
      </c>
      <c r="O170" s="6" t="b">
        <v>0</v>
      </c>
      <c r="P170" s="6"/>
      <c r="Q170" s="6"/>
      <c r="R170" s="6"/>
      <c r="S170" s="6"/>
      <c r="T170" s="6"/>
      <c r="U170" s="6"/>
      <c r="V170" s="6"/>
      <c r="W170" s="6"/>
      <c r="X170" s="6"/>
      <c r="Y170" s="6"/>
      <c r="Z170" s="6"/>
      <c r="AA170" s="6"/>
      <c r="AB170" s="6"/>
    </row>
    <row r="171" hidden="1">
      <c r="A171" s="13" t="str">
        <f t="shared" si="1"/>
        <v>5f33c161d2bdd40d79692617</v>
      </c>
      <c r="B171" s="13"/>
      <c r="C171" s="13" t="s">
        <v>60</v>
      </c>
      <c r="D171" s="68"/>
      <c r="E171" s="75" t="s">
        <v>404</v>
      </c>
      <c r="F171" s="75" t="s">
        <v>405</v>
      </c>
      <c r="G171" s="16" t="s">
        <v>406</v>
      </c>
      <c r="H171" s="18" t="s">
        <v>401</v>
      </c>
      <c r="I171" s="75" t="s">
        <v>402</v>
      </c>
      <c r="J171" s="18" t="s">
        <v>407</v>
      </c>
      <c r="K171" s="19"/>
      <c r="L171" s="18">
        <v>5.0</v>
      </c>
      <c r="M171" s="20">
        <f>VLOOKUP(E171,'Hedef Liste'!A:I,8,false)</f>
        <v>24</v>
      </c>
      <c r="N171" s="6" t="b">
        <v>0</v>
      </c>
      <c r="O171" s="6" t="b">
        <v>0</v>
      </c>
      <c r="P171" s="6"/>
      <c r="Q171" s="6"/>
      <c r="R171" s="6"/>
      <c r="S171" s="6"/>
      <c r="T171" s="6"/>
      <c r="U171" s="6"/>
      <c r="V171" s="6"/>
      <c r="W171" s="6"/>
      <c r="X171" s="6"/>
      <c r="Y171" s="6"/>
      <c r="Z171" s="6"/>
      <c r="AA171" s="6"/>
      <c r="AB171" s="6"/>
    </row>
    <row r="172" hidden="1">
      <c r="A172" s="13" t="str">
        <f t="shared" si="1"/>
        <v>5ff4f57a630a764856009865</v>
      </c>
      <c r="B172" s="13"/>
      <c r="C172" s="13" t="s">
        <v>60</v>
      </c>
      <c r="D172" s="68"/>
      <c r="E172" s="75" t="s">
        <v>408</v>
      </c>
      <c r="F172" s="75" t="s">
        <v>409</v>
      </c>
      <c r="G172" s="16" t="s">
        <v>313</v>
      </c>
      <c r="H172" s="18" t="s">
        <v>401</v>
      </c>
      <c r="I172" s="75" t="s">
        <v>402</v>
      </c>
      <c r="J172" s="18" t="s">
        <v>407</v>
      </c>
      <c r="K172" s="19"/>
      <c r="L172" s="18">
        <v>3.0</v>
      </c>
      <c r="M172" s="20">
        <f>VLOOKUP(E172,'Hedef Liste'!A:I,8,false)</f>
        <v>16</v>
      </c>
      <c r="N172" s="6" t="b">
        <v>0</v>
      </c>
      <c r="O172" s="6" t="b">
        <v>0</v>
      </c>
      <c r="P172" s="6"/>
      <c r="Q172" s="6"/>
      <c r="R172" s="6"/>
      <c r="S172" s="6"/>
      <c r="T172" s="6"/>
      <c r="U172" s="6"/>
      <c r="V172" s="6"/>
      <c r="W172" s="6"/>
      <c r="X172" s="6"/>
      <c r="Y172" s="6"/>
      <c r="Z172" s="6"/>
      <c r="AA172" s="6"/>
      <c r="AB172" s="6"/>
    </row>
    <row r="173" hidden="1">
      <c r="A173" s="13" t="str">
        <f t="shared" si="1"/>
        <v>600035dd3c3b6e05a962ca88</v>
      </c>
      <c r="B173" s="13"/>
      <c r="C173" s="13" t="s">
        <v>60</v>
      </c>
      <c r="D173" s="39"/>
      <c r="E173" s="18" t="s">
        <v>410</v>
      </c>
      <c r="F173" s="18" t="s">
        <v>411</v>
      </c>
      <c r="G173" s="76" t="s">
        <v>412</v>
      </c>
      <c r="H173" s="18" t="s">
        <v>401</v>
      </c>
      <c r="I173" s="75" t="s">
        <v>402</v>
      </c>
      <c r="J173" s="75" t="s">
        <v>413</v>
      </c>
      <c r="K173" s="23"/>
      <c r="L173" s="18">
        <v>1.0</v>
      </c>
      <c r="M173" s="24" t="str">
        <f>VLOOKUP(E173,'Hedef Liste'!A:I,8,false)</f>
        <v>#N/A</v>
      </c>
      <c r="N173" s="6" t="b">
        <v>0</v>
      </c>
      <c r="O173" s="6" t="b">
        <v>0</v>
      </c>
      <c r="P173" s="6"/>
      <c r="Q173" s="6"/>
      <c r="R173" s="6"/>
      <c r="S173" s="6"/>
      <c r="T173" s="6"/>
      <c r="U173" s="6"/>
      <c r="V173" s="6"/>
      <c r="W173" s="6"/>
      <c r="X173" s="6"/>
      <c r="Y173" s="6"/>
      <c r="Z173" s="6"/>
      <c r="AA173" s="6"/>
      <c r="AB173" s="6"/>
    </row>
    <row r="174" hidden="1">
      <c r="A174" s="13" t="str">
        <f t="shared" si="1"/>
        <v>6000314dfd88ae1c376cf95e</v>
      </c>
      <c r="B174" s="13"/>
      <c r="C174" s="13" t="s">
        <v>60</v>
      </c>
      <c r="D174" s="14"/>
      <c r="E174" s="15" t="s">
        <v>414</v>
      </c>
      <c r="F174" s="75" t="s">
        <v>415</v>
      </c>
      <c r="G174" s="76" t="s">
        <v>378</v>
      </c>
      <c r="H174" s="18" t="s">
        <v>401</v>
      </c>
      <c r="I174" s="75" t="s">
        <v>402</v>
      </c>
      <c r="J174" s="75" t="s">
        <v>413</v>
      </c>
      <c r="K174" s="19"/>
      <c r="L174" s="18">
        <v>2.0</v>
      </c>
      <c r="M174" s="20">
        <f>VLOOKUP(E174,'Hedef Liste'!A:I,8,false)</f>
        <v>19</v>
      </c>
      <c r="N174" s="6" t="b">
        <v>0</v>
      </c>
      <c r="O174" s="6" t="b">
        <v>0</v>
      </c>
      <c r="P174" s="6"/>
      <c r="Q174" s="6"/>
      <c r="R174" s="6"/>
      <c r="S174" s="6"/>
      <c r="T174" s="6"/>
      <c r="U174" s="6"/>
      <c r="V174" s="6"/>
      <c r="W174" s="6"/>
      <c r="X174" s="6"/>
      <c r="Y174" s="6"/>
      <c r="Z174" s="6"/>
      <c r="AA174" s="6"/>
      <c r="AB174" s="6"/>
    </row>
    <row r="175" hidden="1">
      <c r="A175" s="13" t="str">
        <f t="shared" si="1"/>
        <v>5f366e47bee2870a30545535</v>
      </c>
      <c r="B175" s="13"/>
      <c r="C175" s="13" t="s">
        <v>60</v>
      </c>
      <c r="D175" s="68"/>
      <c r="E175" s="75" t="s">
        <v>416</v>
      </c>
      <c r="F175" s="75" t="s">
        <v>417</v>
      </c>
      <c r="G175" s="16" t="s">
        <v>418</v>
      </c>
      <c r="H175" s="18" t="s">
        <v>401</v>
      </c>
      <c r="I175" s="75" t="s">
        <v>402</v>
      </c>
      <c r="J175" s="75" t="s">
        <v>407</v>
      </c>
      <c r="K175" s="23"/>
      <c r="L175" s="18">
        <v>2.0</v>
      </c>
      <c r="M175" s="20">
        <f>VLOOKUP(E175,'Hedef Liste'!A:I,8,false)</f>
        <v>9</v>
      </c>
      <c r="N175" s="6" t="b">
        <v>0</v>
      </c>
      <c r="O175" s="6" t="b">
        <v>0</v>
      </c>
      <c r="P175" s="6"/>
      <c r="Q175" s="6"/>
      <c r="R175" s="6"/>
      <c r="S175" s="6"/>
      <c r="T175" s="6"/>
      <c r="U175" s="6"/>
      <c r="V175" s="6"/>
      <c r="W175" s="6"/>
      <c r="X175" s="6"/>
      <c r="Y175" s="6"/>
      <c r="Z175" s="6"/>
      <c r="AA175" s="6"/>
      <c r="AB175" s="6"/>
    </row>
    <row r="176" hidden="1">
      <c r="A176" s="13" t="str">
        <f t="shared" si="1"/>
        <v/>
      </c>
      <c r="B176" s="7"/>
      <c r="C176" s="7">
        <v>44244.0</v>
      </c>
      <c r="D176" s="8"/>
      <c r="E176" s="9"/>
      <c r="F176" s="10"/>
      <c r="G176" s="10"/>
      <c r="H176" s="10"/>
      <c r="I176" s="10"/>
      <c r="J176" s="10"/>
      <c r="K176" s="10"/>
      <c r="L176" s="11"/>
      <c r="M176" s="12"/>
      <c r="N176" s="6"/>
      <c r="O176" s="6"/>
      <c r="P176" s="6"/>
      <c r="Q176" s="6"/>
      <c r="R176" s="6"/>
      <c r="S176" s="6"/>
      <c r="T176" s="6"/>
      <c r="U176" s="6"/>
      <c r="V176" s="6"/>
      <c r="W176" s="6"/>
      <c r="X176" s="6"/>
      <c r="Y176" s="6"/>
      <c r="Z176" s="6"/>
      <c r="AA176" s="6"/>
      <c r="AB176" s="6"/>
    </row>
    <row r="177" hidden="1">
      <c r="A177" s="13" t="str">
        <f t="shared" si="1"/>
        <v/>
      </c>
      <c r="B177" s="13"/>
      <c r="C177" s="13" t="s">
        <v>13</v>
      </c>
      <c r="D177" s="8"/>
      <c r="E177" s="8"/>
      <c r="F177" s="71"/>
      <c r="G177" s="29"/>
      <c r="H177" s="8"/>
      <c r="I177" s="8"/>
      <c r="J177" s="8"/>
      <c r="K177" s="34"/>
      <c r="L177" s="8"/>
      <c r="M177" s="28"/>
      <c r="N177" s="6" t="b">
        <v>0</v>
      </c>
      <c r="O177" s="6" t="b">
        <v>0</v>
      </c>
      <c r="P177" s="6"/>
      <c r="Q177" s="6"/>
      <c r="R177" s="6"/>
      <c r="S177" s="6"/>
      <c r="T177" s="6"/>
      <c r="U177" s="6"/>
      <c r="V177" s="6"/>
      <c r="W177" s="6"/>
      <c r="X177" s="6"/>
      <c r="Y177" s="6"/>
      <c r="Z177" s="6"/>
      <c r="AA177" s="6"/>
      <c r="AB177" s="6"/>
    </row>
    <row r="178" hidden="1">
      <c r="A178" s="13" t="str">
        <f t="shared" si="1"/>
        <v>5fb9dcd9a3cd287a9e5284b6</v>
      </c>
      <c r="B178" s="13"/>
      <c r="C178" s="13" t="s">
        <v>13</v>
      </c>
      <c r="D178" s="14"/>
      <c r="E178" s="15" t="s">
        <v>419</v>
      </c>
      <c r="F178" s="15" t="s">
        <v>420</v>
      </c>
      <c r="G178" s="16" t="s">
        <v>34</v>
      </c>
      <c r="H178" s="18" t="s">
        <v>384</v>
      </c>
      <c r="I178" s="18" t="s">
        <v>421</v>
      </c>
      <c r="J178" s="15" t="s">
        <v>422</v>
      </c>
      <c r="K178" s="19"/>
      <c r="L178" s="18">
        <v>8.0</v>
      </c>
      <c r="M178" s="24" t="str">
        <f>VLOOKUP(E178,'Hedef Liste'!A:I,8,false)</f>
        <v>#N/A</v>
      </c>
      <c r="N178" s="6" t="b">
        <v>0</v>
      </c>
      <c r="O178" s="6" t="b">
        <v>0</v>
      </c>
      <c r="P178" s="6"/>
      <c r="Q178" s="6"/>
      <c r="R178" s="6"/>
      <c r="S178" s="6"/>
      <c r="T178" s="6"/>
      <c r="U178" s="6"/>
      <c r="V178" s="6"/>
      <c r="W178" s="6"/>
      <c r="X178" s="6"/>
      <c r="Y178" s="6"/>
      <c r="Z178" s="6"/>
      <c r="AA178" s="6"/>
      <c r="AB178" s="6"/>
    </row>
    <row r="179" hidden="1">
      <c r="A179" s="13" t="str">
        <f t="shared" si="1"/>
        <v>5f328bf1777d7352944147d4</v>
      </c>
      <c r="B179" s="13"/>
      <c r="C179" s="13" t="s">
        <v>13</v>
      </c>
      <c r="D179" s="39"/>
      <c r="E179" s="18" t="s">
        <v>423</v>
      </c>
      <c r="F179" s="18" t="s">
        <v>424</v>
      </c>
      <c r="G179" s="16" t="s">
        <v>406</v>
      </c>
      <c r="H179" s="18" t="s">
        <v>264</v>
      </c>
      <c r="I179" s="18" t="s">
        <v>425</v>
      </c>
      <c r="J179" s="82" t="s">
        <v>426</v>
      </c>
      <c r="K179" s="19"/>
      <c r="L179" s="18">
        <v>42.0</v>
      </c>
      <c r="M179" s="20">
        <f>VLOOKUP(E179,'Hedef Liste'!A:I,8,false)</f>
        <v>37</v>
      </c>
      <c r="N179" s="6" t="b">
        <v>0</v>
      </c>
      <c r="O179" s="6" t="b">
        <v>0</v>
      </c>
      <c r="P179" s="6"/>
      <c r="Q179" s="6"/>
      <c r="R179" s="6"/>
      <c r="S179" s="6"/>
      <c r="T179" s="6"/>
      <c r="U179" s="6"/>
      <c r="V179" s="6"/>
      <c r="W179" s="6"/>
      <c r="X179" s="6"/>
      <c r="Y179" s="6"/>
      <c r="Z179" s="6"/>
      <c r="AA179" s="6"/>
      <c r="AB179" s="6"/>
    </row>
    <row r="180" hidden="1">
      <c r="A180" s="13" t="str">
        <f t="shared" si="1"/>
        <v>5f6eb80e2946904744c861b4</v>
      </c>
      <c r="B180" s="13"/>
      <c r="C180" s="13" t="s">
        <v>13</v>
      </c>
      <c r="D180" s="61"/>
      <c r="E180" s="73" t="s">
        <v>427</v>
      </c>
      <c r="F180" s="73" t="s">
        <v>428</v>
      </c>
      <c r="G180" s="43">
        <v>0.5833333333333334</v>
      </c>
      <c r="H180" s="44" t="s">
        <v>78</v>
      </c>
      <c r="I180" s="44" t="s">
        <v>429</v>
      </c>
      <c r="J180" s="73" t="s">
        <v>430</v>
      </c>
      <c r="K180" s="44" t="s">
        <v>431</v>
      </c>
      <c r="L180" s="45"/>
      <c r="M180" s="46"/>
      <c r="N180" s="47" t="b">
        <v>0</v>
      </c>
      <c r="O180" s="48" t="b">
        <v>1</v>
      </c>
      <c r="P180" s="6"/>
      <c r="Q180" s="6"/>
      <c r="R180" s="6"/>
      <c r="S180" s="6"/>
      <c r="T180" s="6"/>
      <c r="U180" s="6"/>
      <c r="V180" s="6"/>
      <c r="W180" s="6"/>
      <c r="X180" s="6"/>
      <c r="Y180" s="6"/>
      <c r="Z180" s="6"/>
      <c r="AA180" s="6"/>
      <c r="AB180" s="6"/>
    </row>
    <row r="181" hidden="1">
      <c r="A181" s="13" t="str">
        <f t="shared" si="1"/>
        <v>5ff13609ce622f35acccdd55</v>
      </c>
      <c r="B181" s="13"/>
      <c r="C181" s="13" t="s">
        <v>13</v>
      </c>
      <c r="D181" s="61"/>
      <c r="E181" s="62" t="s">
        <v>432</v>
      </c>
      <c r="F181" s="62" t="s">
        <v>433</v>
      </c>
      <c r="G181" s="40">
        <v>0.6458333333333334</v>
      </c>
      <c r="H181" s="18" t="s">
        <v>434</v>
      </c>
      <c r="I181" s="62" t="s">
        <v>435</v>
      </c>
      <c r="J181" s="62" t="s">
        <v>436</v>
      </c>
      <c r="K181" s="19"/>
      <c r="L181" s="18">
        <v>11.0</v>
      </c>
      <c r="M181" s="24" t="str">
        <f>VLOOKUP(E181,'Hedef Liste'!A:I,8,false)</f>
        <v>#N/A</v>
      </c>
      <c r="N181" s="6" t="b">
        <v>0</v>
      </c>
      <c r="O181" s="6" t="b">
        <v>0</v>
      </c>
      <c r="P181" s="6"/>
      <c r="Q181" s="6"/>
      <c r="R181" s="6"/>
      <c r="S181" s="6"/>
      <c r="T181" s="6"/>
      <c r="U181" s="6"/>
      <c r="V181" s="6"/>
      <c r="W181" s="6"/>
      <c r="X181" s="6"/>
      <c r="Y181" s="6"/>
      <c r="Z181" s="6"/>
      <c r="AA181" s="6"/>
      <c r="AB181" s="6"/>
    </row>
    <row r="182" hidden="1">
      <c r="A182" s="13" t="str">
        <f t="shared" si="1"/>
        <v>5f91fe8f0a199769d259b4de</v>
      </c>
      <c r="B182" s="13"/>
      <c r="C182" s="13" t="s">
        <v>13</v>
      </c>
      <c r="D182" s="68"/>
      <c r="E182" s="75" t="s">
        <v>437</v>
      </c>
      <c r="F182" s="75" t="s">
        <v>438</v>
      </c>
      <c r="G182" s="76" t="s">
        <v>378</v>
      </c>
      <c r="H182" s="18" t="s">
        <v>434</v>
      </c>
      <c r="I182" s="62" t="s">
        <v>435</v>
      </c>
      <c r="J182" s="18" t="s">
        <v>439</v>
      </c>
      <c r="K182" s="23"/>
      <c r="L182" s="18">
        <v>11.0</v>
      </c>
      <c r="M182" s="20">
        <f>VLOOKUP(E182,'Hedef Liste'!A:I,8,false)</f>
        <v>1</v>
      </c>
      <c r="N182" s="6" t="b">
        <v>0</v>
      </c>
      <c r="O182" s="6" t="b">
        <v>0</v>
      </c>
      <c r="P182" s="6"/>
      <c r="Q182" s="6"/>
      <c r="R182" s="6"/>
      <c r="S182" s="6"/>
      <c r="T182" s="6"/>
      <c r="U182" s="6"/>
      <c r="V182" s="6"/>
      <c r="W182" s="6"/>
      <c r="X182" s="6"/>
      <c r="Y182" s="6"/>
      <c r="Z182" s="6"/>
      <c r="AA182" s="6"/>
      <c r="AB182" s="6"/>
    </row>
    <row r="183" hidden="1">
      <c r="A183" s="13" t="str">
        <f t="shared" si="1"/>
        <v/>
      </c>
      <c r="B183" s="13"/>
      <c r="C183" s="13" t="s">
        <v>31</v>
      </c>
      <c r="D183" s="8"/>
      <c r="E183" s="8"/>
      <c r="F183" s="8"/>
      <c r="G183" s="29"/>
      <c r="H183" s="8"/>
      <c r="I183" s="8"/>
      <c r="J183" s="8"/>
      <c r="K183" s="39" t="s">
        <v>440</v>
      </c>
      <c r="L183" s="8"/>
      <c r="M183" s="28"/>
      <c r="N183" s="6" t="b">
        <v>0</v>
      </c>
      <c r="O183" s="6" t="b">
        <v>0</v>
      </c>
      <c r="P183" s="6"/>
      <c r="Q183" s="6"/>
      <c r="R183" s="6"/>
      <c r="S183" s="6"/>
      <c r="T183" s="6"/>
      <c r="U183" s="6"/>
      <c r="V183" s="6"/>
      <c r="W183" s="6"/>
      <c r="X183" s="6"/>
      <c r="Y183" s="6"/>
      <c r="Z183" s="6"/>
      <c r="AA183" s="6"/>
      <c r="AB183" s="6"/>
    </row>
    <row r="184" hidden="1">
      <c r="A184" s="13" t="str">
        <f t="shared" si="1"/>
        <v>5f2c1f944d07c428ef7a64c7</v>
      </c>
      <c r="B184" s="13"/>
      <c r="C184" s="13" t="s">
        <v>31</v>
      </c>
      <c r="D184" s="68"/>
      <c r="E184" s="69" t="s">
        <v>441</v>
      </c>
      <c r="F184" s="69" t="s">
        <v>442</v>
      </c>
      <c r="G184" s="85" t="s">
        <v>412</v>
      </c>
      <c r="H184" s="48" t="s">
        <v>443</v>
      </c>
      <c r="I184" s="48" t="s">
        <v>444</v>
      </c>
      <c r="J184" s="84" t="s">
        <v>445</v>
      </c>
      <c r="K184" s="44" t="s">
        <v>446</v>
      </c>
      <c r="L184" s="45"/>
      <c r="M184" s="46"/>
      <c r="N184" s="47" t="b">
        <v>0</v>
      </c>
      <c r="O184" s="48" t="b">
        <v>1</v>
      </c>
      <c r="P184" s="6"/>
      <c r="Q184" s="6"/>
      <c r="R184" s="6"/>
      <c r="S184" s="6"/>
      <c r="T184" s="6"/>
      <c r="U184" s="6"/>
      <c r="V184" s="6"/>
      <c r="W184" s="6"/>
      <c r="X184" s="6"/>
      <c r="Y184" s="6"/>
      <c r="Z184" s="6"/>
      <c r="AA184" s="6"/>
      <c r="AB184" s="6"/>
    </row>
    <row r="185" hidden="1">
      <c r="A185" s="13" t="str">
        <f t="shared" si="1"/>
        <v>5f333224fb6dd9b7d8dd4030</v>
      </c>
      <c r="B185" s="13"/>
      <c r="C185" s="13" t="s">
        <v>31</v>
      </c>
      <c r="D185" s="14"/>
      <c r="E185" s="15" t="s">
        <v>447</v>
      </c>
      <c r="F185" s="15" t="s">
        <v>448</v>
      </c>
      <c r="G185" s="16" t="s">
        <v>449</v>
      </c>
      <c r="H185" s="18" t="s">
        <v>384</v>
      </c>
      <c r="I185" s="18" t="s">
        <v>450</v>
      </c>
      <c r="J185" s="15" t="s">
        <v>451</v>
      </c>
      <c r="K185" s="19"/>
      <c r="L185" s="18">
        <v>11.0</v>
      </c>
      <c r="M185" s="20">
        <f>VLOOKUP(E185,'Hedef Liste'!A:I,8,false)</f>
        <v>14</v>
      </c>
      <c r="N185" s="6" t="b">
        <v>0</v>
      </c>
      <c r="O185" s="6" t="b">
        <v>0</v>
      </c>
      <c r="P185" s="6"/>
      <c r="Q185" s="6"/>
      <c r="R185" s="6"/>
      <c r="S185" s="6"/>
      <c r="T185" s="6"/>
      <c r="U185" s="6"/>
      <c r="V185" s="6"/>
      <c r="W185" s="6"/>
      <c r="X185" s="6"/>
      <c r="Y185" s="6"/>
      <c r="Z185" s="6"/>
      <c r="AA185" s="6"/>
      <c r="AB185" s="6"/>
    </row>
    <row r="186" hidden="1">
      <c r="A186" s="13" t="str">
        <f t="shared" si="1"/>
        <v>5f9748afd0763257ee6ea16d</v>
      </c>
      <c r="B186" s="13"/>
      <c r="C186" s="13" t="s">
        <v>31</v>
      </c>
      <c r="D186" s="61"/>
      <c r="E186" s="62" t="s">
        <v>452</v>
      </c>
      <c r="F186" s="62" t="s">
        <v>453</v>
      </c>
      <c r="G186" s="22">
        <v>0.5833333333333334</v>
      </c>
      <c r="H186" s="18" t="s">
        <v>384</v>
      </c>
      <c r="I186" s="18" t="s">
        <v>454</v>
      </c>
      <c r="J186" s="62" t="s">
        <v>455</v>
      </c>
      <c r="K186" s="23"/>
      <c r="L186" s="18">
        <v>25.0</v>
      </c>
      <c r="M186" s="20">
        <f>VLOOKUP(E186,'Hedef Liste'!A:I,8,false)</f>
        <v>78</v>
      </c>
      <c r="N186" s="6" t="b">
        <v>0</v>
      </c>
      <c r="O186" s="6" t="b">
        <v>0</v>
      </c>
      <c r="P186" s="6"/>
      <c r="Q186" s="6"/>
      <c r="R186" s="6"/>
      <c r="S186" s="6"/>
      <c r="T186" s="6"/>
      <c r="U186" s="6"/>
      <c r="V186" s="6"/>
      <c r="W186" s="6"/>
      <c r="X186" s="6"/>
      <c r="Y186" s="6"/>
      <c r="Z186" s="6"/>
      <c r="AA186" s="6"/>
      <c r="AB186" s="6"/>
    </row>
    <row r="187" hidden="1">
      <c r="A187" s="13" t="str">
        <f t="shared" si="1"/>
        <v>5fc166a39654d91a2c424884</v>
      </c>
      <c r="B187" s="13"/>
      <c r="C187" s="13" t="s">
        <v>31</v>
      </c>
      <c r="D187" s="14"/>
      <c r="E187" s="15" t="s">
        <v>311</v>
      </c>
      <c r="F187" s="15" t="s">
        <v>312</v>
      </c>
      <c r="G187" s="16" t="s">
        <v>456</v>
      </c>
      <c r="H187" s="18" t="s">
        <v>314</v>
      </c>
      <c r="I187" s="18" t="s">
        <v>315</v>
      </c>
      <c r="J187" s="15" t="s">
        <v>316</v>
      </c>
      <c r="K187" s="18"/>
      <c r="L187" s="18">
        <v>20.0</v>
      </c>
      <c r="M187" s="20">
        <f>VLOOKUP(E187,'Hedef Liste'!A:I,8,false)</f>
        <v>10</v>
      </c>
      <c r="N187" s="6" t="b">
        <v>0</v>
      </c>
      <c r="O187" s="6" t="b">
        <v>0</v>
      </c>
      <c r="P187" s="6"/>
      <c r="Q187" s="6"/>
      <c r="R187" s="6"/>
      <c r="S187" s="6"/>
      <c r="T187" s="6"/>
      <c r="U187" s="6"/>
      <c r="V187" s="6"/>
      <c r="W187" s="6"/>
      <c r="X187" s="6"/>
      <c r="Y187" s="6"/>
      <c r="Z187" s="6"/>
      <c r="AA187" s="6"/>
      <c r="AB187" s="6"/>
    </row>
    <row r="188" hidden="1">
      <c r="A188" s="13" t="str">
        <f t="shared" si="1"/>
        <v>5f2c35f4276682de259234a3</v>
      </c>
      <c r="B188" s="13"/>
      <c r="C188" s="13" t="s">
        <v>31</v>
      </c>
      <c r="D188" s="61"/>
      <c r="E188" s="62" t="s">
        <v>457</v>
      </c>
      <c r="F188" s="62" t="s">
        <v>458</v>
      </c>
      <c r="G188" s="22">
        <v>0.6666666666666666</v>
      </c>
      <c r="H188" s="18" t="s">
        <v>384</v>
      </c>
      <c r="I188" s="18" t="s">
        <v>459</v>
      </c>
      <c r="J188" s="62" t="s">
        <v>460</v>
      </c>
      <c r="K188" s="19"/>
      <c r="L188" s="18">
        <v>46.0</v>
      </c>
      <c r="M188" s="20">
        <f>VLOOKUP(E188,'Hedef Liste'!A:I,8,false)</f>
        <v>22</v>
      </c>
      <c r="N188" s="6" t="b">
        <v>0</v>
      </c>
      <c r="O188" s="6" t="b">
        <v>0</v>
      </c>
      <c r="P188" s="6"/>
      <c r="Q188" s="6"/>
      <c r="R188" s="6"/>
      <c r="S188" s="6"/>
      <c r="T188" s="6"/>
      <c r="U188" s="6"/>
      <c r="V188" s="6"/>
      <c r="W188" s="6"/>
      <c r="X188" s="6"/>
      <c r="Y188" s="6"/>
      <c r="Z188" s="6"/>
      <c r="AA188" s="6"/>
      <c r="AB188" s="6"/>
    </row>
    <row r="189" hidden="1">
      <c r="A189" s="13" t="str">
        <f t="shared" si="1"/>
        <v/>
      </c>
      <c r="B189" s="13"/>
      <c r="C189" s="13" t="s">
        <v>46</v>
      </c>
      <c r="D189" s="6"/>
      <c r="E189" s="6"/>
      <c r="F189" s="6"/>
      <c r="G189" s="26"/>
      <c r="H189" s="6"/>
      <c r="I189" s="6"/>
      <c r="J189" s="6"/>
      <c r="K189" s="34"/>
      <c r="L189" s="8"/>
      <c r="M189" s="28"/>
      <c r="N189" s="6" t="b">
        <v>0</v>
      </c>
      <c r="O189" s="6" t="b">
        <v>0</v>
      </c>
      <c r="P189" s="6"/>
      <c r="Q189" s="6"/>
      <c r="R189" s="6"/>
      <c r="S189" s="6"/>
      <c r="T189" s="6"/>
      <c r="U189" s="6"/>
      <c r="V189" s="6"/>
      <c r="W189" s="6"/>
      <c r="X189" s="6"/>
      <c r="Y189" s="6"/>
      <c r="Z189" s="6"/>
      <c r="AA189" s="6"/>
      <c r="AB189" s="6"/>
    </row>
    <row r="190" hidden="1">
      <c r="A190" s="13" t="str">
        <f t="shared" si="1"/>
        <v>5f33ea8803a8183586924e8d</v>
      </c>
      <c r="B190" s="13"/>
      <c r="C190" s="13" t="s">
        <v>46</v>
      </c>
      <c r="D190" s="61"/>
      <c r="E190" s="62" t="s">
        <v>461</v>
      </c>
      <c r="F190" s="62" t="s">
        <v>462</v>
      </c>
      <c r="G190" s="86">
        <v>0.4166666666666667</v>
      </c>
      <c r="H190" s="18" t="s">
        <v>384</v>
      </c>
      <c r="I190" s="18" t="s">
        <v>463</v>
      </c>
      <c r="J190" s="62" t="s">
        <v>464</v>
      </c>
      <c r="K190" s="19"/>
      <c r="L190" s="18">
        <v>26.0</v>
      </c>
      <c r="M190" s="20">
        <f>VLOOKUP(E190,'Hedef Liste'!A:I,8,false)</f>
        <v>66</v>
      </c>
      <c r="N190" s="6" t="b">
        <v>0</v>
      </c>
      <c r="O190" s="6" t="b">
        <v>0</v>
      </c>
      <c r="P190" s="6"/>
      <c r="Q190" s="6"/>
      <c r="R190" s="6"/>
      <c r="S190" s="6"/>
      <c r="T190" s="6"/>
      <c r="U190" s="6"/>
      <c r="V190" s="6"/>
      <c r="W190" s="6"/>
      <c r="X190" s="6"/>
      <c r="Y190" s="6"/>
      <c r="Z190" s="6"/>
      <c r="AA190" s="6"/>
      <c r="AB190" s="6"/>
    </row>
    <row r="191" hidden="1">
      <c r="A191" s="13" t="str">
        <f t="shared" si="1"/>
        <v>5ff7dd38b8065e6743f96422</v>
      </c>
      <c r="B191" s="13"/>
      <c r="C191" s="13" t="s">
        <v>46</v>
      </c>
      <c r="D191" s="14"/>
      <c r="E191" s="15" t="s">
        <v>465</v>
      </c>
      <c r="F191" s="15" t="s">
        <v>466</v>
      </c>
      <c r="G191" s="16" t="s">
        <v>123</v>
      </c>
      <c r="H191" s="18" t="s">
        <v>384</v>
      </c>
      <c r="I191" s="18" t="s">
        <v>463</v>
      </c>
      <c r="J191" s="15" t="s">
        <v>464</v>
      </c>
      <c r="K191" s="19"/>
      <c r="L191" s="18">
        <v>7.0</v>
      </c>
      <c r="M191" s="20">
        <f>VLOOKUP(E191,'Hedef Liste'!A:I,8,false)</f>
        <v>3</v>
      </c>
      <c r="N191" s="6" t="b">
        <v>0</v>
      </c>
      <c r="O191" s="6" t="b">
        <v>0</v>
      </c>
      <c r="P191" s="6"/>
      <c r="Q191" s="6"/>
      <c r="R191" s="6"/>
      <c r="S191" s="6"/>
      <c r="T191" s="6"/>
      <c r="U191" s="6"/>
      <c r="V191" s="6"/>
      <c r="W191" s="6"/>
      <c r="X191" s="6"/>
      <c r="Y191" s="6"/>
      <c r="Z191" s="6"/>
      <c r="AA191" s="6"/>
      <c r="AB191" s="6"/>
    </row>
    <row r="192" hidden="1">
      <c r="A192" s="13" t="str">
        <f t="shared" si="1"/>
        <v>5f972c68d38ebb3f5c1f8e91</v>
      </c>
      <c r="B192" s="13"/>
      <c r="C192" s="13" t="s">
        <v>46</v>
      </c>
      <c r="D192" s="61"/>
      <c r="E192" s="62" t="s">
        <v>467</v>
      </c>
      <c r="F192" s="62" t="s">
        <v>468</v>
      </c>
      <c r="G192" s="22">
        <v>0.5416666666666666</v>
      </c>
      <c r="H192" s="18" t="s">
        <v>384</v>
      </c>
      <c r="I192" s="18" t="s">
        <v>463</v>
      </c>
      <c r="J192" s="62" t="s">
        <v>464</v>
      </c>
      <c r="K192" s="23"/>
      <c r="L192" s="18">
        <v>16.0</v>
      </c>
      <c r="M192" s="20">
        <f>VLOOKUP(E192,'Hedef Liste'!A:I,8,false)</f>
        <v>28</v>
      </c>
      <c r="N192" s="6" t="b">
        <v>0</v>
      </c>
      <c r="O192" s="6" t="b">
        <v>0</v>
      </c>
      <c r="P192" s="6"/>
      <c r="Q192" s="6"/>
      <c r="R192" s="6"/>
      <c r="S192" s="6"/>
      <c r="T192" s="6"/>
      <c r="U192" s="6"/>
      <c r="V192" s="6"/>
      <c r="W192" s="6"/>
      <c r="X192" s="6"/>
      <c r="Y192" s="6"/>
      <c r="Z192" s="6"/>
      <c r="AA192" s="6"/>
      <c r="AB192" s="6"/>
    </row>
    <row r="193" hidden="1">
      <c r="A193" s="13" t="str">
        <f t="shared" si="1"/>
        <v>5fbe8e98a9c8366923adb6a4</v>
      </c>
      <c r="B193" s="13"/>
      <c r="C193" s="13" t="s">
        <v>46</v>
      </c>
      <c r="D193" s="68"/>
      <c r="E193" s="69" t="s">
        <v>469</v>
      </c>
      <c r="F193" s="69" t="s">
        <v>470</v>
      </c>
      <c r="G193" s="58" t="s">
        <v>298</v>
      </c>
      <c r="H193" s="44" t="s">
        <v>35</v>
      </c>
      <c r="I193" s="44" t="s">
        <v>471</v>
      </c>
      <c r="J193" s="44" t="s">
        <v>472</v>
      </c>
      <c r="K193" s="44" t="s">
        <v>473</v>
      </c>
      <c r="L193" s="45"/>
      <c r="M193" s="46"/>
      <c r="N193" s="47" t="b">
        <v>0</v>
      </c>
      <c r="O193" s="48" t="b">
        <v>1</v>
      </c>
      <c r="P193" s="6"/>
      <c r="Q193" s="6"/>
      <c r="R193" s="6"/>
      <c r="S193" s="6"/>
      <c r="T193" s="6"/>
      <c r="U193" s="6"/>
      <c r="V193" s="6"/>
      <c r="W193" s="6"/>
      <c r="X193" s="6"/>
      <c r="Y193" s="6"/>
      <c r="Z193" s="6"/>
      <c r="AA193" s="6"/>
      <c r="AB193" s="6"/>
    </row>
    <row r="194" hidden="1">
      <c r="A194" s="13" t="str">
        <f t="shared" si="1"/>
        <v/>
      </c>
      <c r="B194" s="13"/>
      <c r="C194" s="13" t="s">
        <v>46</v>
      </c>
      <c r="D194" s="8"/>
      <c r="E194" s="8"/>
      <c r="F194" s="8"/>
      <c r="G194" s="29"/>
      <c r="H194" s="8"/>
      <c r="I194" s="8"/>
      <c r="J194" s="8"/>
      <c r="K194" s="8"/>
      <c r="L194" s="30"/>
      <c r="M194" s="31"/>
      <c r="N194" s="6" t="b">
        <v>0</v>
      </c>
      <c r="O194" s="6" t="b">
        <v>0</v>
      </c>
      <c r="P194" s="6"/>
      <c r="Q194" s="6"/>
      <c r="R194" s="6"/>
      <c r="S194" s="6"/>
      <c r="T194" s="6"/>
      <c r="U194" s="6"/>
      <c r="V194" s="6"/>
      <c r="W194" s="6"/>
      <c r="X194" s="6"/>
      <c r="Y194" s="6"/>
      <c r="Z194" s="6"/>
      <c r="AA194" s="6"/>
      <c r="AB194" s="6"/>
    </row>
    <row r="195" hidden="1">
      <c r="A195" s="13" t="str">
        <f t="shared" si="1"/>
        <v/>
      </c>
      <c r="B195" s="13"/>
      <c r="C195" s="13" t="s">
        <v>60</v>
      </c>
      <c r="D195" s="8"/>
      <c r="E195" s="8"/>
      <c r="F195" s="8"/>
      <c r="G195" s="29"/>
      <c r="H195" s="8"/>
      <c r="I195" s="8"/>
      <c r="J195" s="8"/>
      <c r="K195" s="34"/>
      <c r="L195" s="8"/>
      <c r="M195" s="28"/>
      <c r="N195" s="6" t="b">
        <v>0</v>
      </c>
      <c r="O195" s="6" t="b">
        <v>0</v>
      </c>
      <c r="P195" s="6"/>
      <c r="Q195" s="6"/>
      <c r="R195" s="6"/>
      <c r="S195" s="6"/>
      <c r="T195" s="6"/>
      <c r="U195" s="6"/>
      <c r="V195" s="6"/>
      <c r="W195" s="6"/>
      <c r="X195" s="6"/>
      <c r="Y195" s="6"/>
      <c r="Z195" s="6"/>
      <c r="AA195" s="6"/>
      <c r="AB195" s="6"/>
    </row>
    <row r="196" hidden="1">
      <c r="A196" s="13" t="str">
        <f t="shared" si="1"/>
        <v>5f3515617199f827028fcefe</v>
      </c>
      <c r="B196" s="13"/>
      <c r="C196" s="13" t="s">
        <v>60</v>
      </c>
      <c r="D196" s="61"/>
      <c r="E196" s="73" t="s">
        <v>474</v>
      </c>
      <c r="F196" s="73" t="s">
        <v>475</v>
      </c>
      <c r="G196" s="58" t="s">
        <v>153</v>
      </c>
      <c r="H196" s="44" t="s">
        <v>384</v>
      </c>
      <c r="I196" s="44" t="s">
        <v>476</v>
      </c>
      <c r="J196" s="73" t="s">
        <v>477</v>
      </c>
      <c r="K196" s="44" t="s">
        <v>478</v>
      </c>
      <c r="L196" s="45"/>
      <c r="M196" s="46"/>
      <c r="N196" s="47" t="b">
        <v>0</v>
      </c>
      <c r="O196" s="48" t="b">
        <v>1</v>
      </c>
      <c r="P196" s="6"/>
      <c r="Q196" s="6"/>
      <c r="R196" s="6"/>
      <c r="S196" s="6"/>
      <c r="T196" s="6"/>
      <c r="U196" s="6"/>
      <c r="V196" s="6"/>
      <c r="W196" s="6"/>
      <c r="X196" s="6"/>
      <c r="Y196" s="6"/>
      <c r="Z196" s="6"/>
      <c r="AA196" s="6"/>
      <c r="AB196" s="6"/>
    </row>
    <row r="197" hidden="1">
      <c r="A197" s="13" t="str">
        <f t="shared" si="1"/>
        <v>5f7c2e8fb238a15de0893510</v>
      </c>
      <c r="B197" s="13"/>
      <c r="C197" s="13" t="s">
        <v>60</v>
      </c>
      <c r="D197" s="87"/>
      <c r="E197" s="88" t="s">
        <v>479</v>
      </c>
      <c r="F197" s="88" t="s">
        <v>480</v>
      </c>
      <c r="G197" s="16" t="s">
        <v>449</v>
      </c>
      <c r="H197" s="18" t="s">
        <v>384</v>
      </c>
      <c r="I197" s="18" t="s">
        <v>481</v>
      </c>
      <c r="J197" s="62" t="s">
        <v>482</v>
      </c>
      <c r="K197" s="19"/>
      <c r="L197" s="18">
        <v>3.0</v>
      </c>
      <c r="M197" s="20">
        <f>VLOOKUP(E197,'Hedef Liste'!A:I,8,false)</f>
        <v>16</v>
      </c>
      <c r="N197" s="6" t="b">
        <v>0</v>
      </c>
      <c r="O197" s="6" t="b">
        <v>0</v>
      </c>
      <c r="P197" s="6"/>
      <c r="Q197" s="6"/>
      <c r="R197" s="6"/>
      <c r="S197" s="6"/>
      <c r="T197" s="6"/>
      <c r="U197" s="6"/>
      <c r="V197" s="6"/>
      <c r="W197" s="6"/>
      <c r="X197" s="6"/>
      <c r="Y197" s="6"/>
      <c r="Z197" s="6"/>
      <c r="AA197" s="6"/>
      <c r="AB197" s="6"/>
    </row>
    <row r="198" hidden="1">
      <c r="A198" s="13" t="str">
        <f t="shared" si="1"/>
        <v>5ffb8275bb1161563c763e2a</v>
      </c>
      <c r="B198" s="13"/>
      <c r="C198" s="13" t="s">
        <v>60</v>
      </c>
      <c r="D198" s="14"/>
      <c r="E198" s="15" t="s">
        <v>483</v>
      </c>
      <c r="F198" s="15" t="s">
        <v>484</v>
      </c>
      <c r="G198" s="22">
        <v>0.5833333333333334</v>
      </c>
      <c r="H198" s="18" t="s">
        <v>269</v>
      </c>
      <c r="I198" s="18" t="s">
        <v>485</v>
      </c>
      <c r="J198" s="15" t="s">
        <v>486</v>
      </c>
      <c r="K198" s="23"/>
      <c r="L198" s="89">
        <v>25.0</v>
      </c>
      <c r="M198" s="90">
        <f>VLOOKUP(E198,'Hedef Liste'!A:I,8,false)</f>
        <v>19</v>
      </c>
      <c r="N198" s="6" t="b">
        <v>0</v>
      </c>
      <c r="O198" s="6" t="b">
        <v>0</v>
      </c>
      <c r="P198" s="6"/>
      <c r="Q198" s="6"/>
      <c r="R198" s="6"/>
      <c r="S198" s="6"/>
      <c r="T198" s="6"/>
      <c r="U198" s="6"/>
      <c r="V198" s="6"/>
      <c r="W198" s="6"/>
      <c r="X198" s="6"/>
      <c r="Y198" s="6"/>
      <c r="Z198" s="6"/>
      <c r="AA198" s="6"/>
      <c r="AB198" s="6"/>
    </row>
    <row r="199" hidden="1">
      <c r="A199" s="13" t="str">
        <f t="shared" si="1"/>
        <v>5f33e13efb6dd93e39dd4ca4</v>
      </c>
      <c r="B199" s="13"/>
      <c r="C199" s="13" t="s">
        <v>60</v>
      </c>
      <c r="D199" s="61"/>
      <c r="E199" s="62" t="s">
        <v>487</v>
      </c>
      <c r="F199" s="62" t="s">
        <v>488</v>
      </c>
      <c r="G199" s="40">
        <v>0.5833333333333334</v>
      </c>
      <c r="H199" s="18" t="s">
        <v>269</v>
      </c>
      <c r="I199" s="18" t="s">
        <v>485</v>
      </c>
      <c r="J199" s="15" t="s">
        <v>486</v>
      </c>
      <c r="K199" s="21"/>
      <c r="L199" s="67"/>
      <c r="M199" s="67"/>
      <c r="N199" s="6"/>
      <c r="O199" s="6"/>
      <c r="P199" s="6"/>
      <c r="Q199" s="6"/>
      <c r="R199" s="6"/>
      <c r="S199" s="6"/>
      <c r="T199" s="6"/>
      <c r="U199" s="6"/>
      <c r="V199" s="6"/>
      <c r="W199" s="6"/>
      <c r="X199" s="6"/>
      <c r="Y199" s="6"/>
      <c r="Z199" s="6"/>
      <c r="AA199" s="6"/>
      <c r="AB199" s="6"/>
    </row>
    <row r="200" hidden="1">
      <c r="A200" s="13" t="str">
        <f t="shared" si="1"/>
        <v>5f34602c480eb9f51d2f2b1e</v>
      </c>
      <c r="B200" s="13"/>
      <c r="C200" s="13" t="s">
        <v>60</v>
      </c>
      <c r="D200" s="61"/>
      <c r="E200" s="73" t="s">
        <v>489</v>
      </c>
      <c r="F200" s="73" t="s">
        <v>490</v>
      </c>
      <c r="G200" s="43">
        <v>0.6666666666666666</v>
      </c>
      <c r="H200" s="44" t="s">
        <v>384</v>
      </c>
      <c r="I200" s="44" t="s">
        <v>491</v>
      </c>
      <c r="J200" s="73" t="s">
        <v>492</v>
      </c>
      <c r="K200" s="44" t="s">
        <v>493</v>
      </c>
      <c r="L200" s="45"/>
      <c r="M200" s="46"/>
      <c r="N200" s="47" t="b">
        <v>0</v>
      </c>
      <c r="O200" s="48" t="b">
        <v>1</v>
      </c>
      <c r="P200" s="6"/>
      <c r="Q200" s="6"/>
      <c r="R200" s="6"/>
      <c r="S200" s="6"/>
      <c r="T200" s="6"/>
      <c r="U200" s="6"/>
      <c r="V200" s="6"/>
      <c r="W200" s="6"/>
      <c r="X200" s="6"/>
      <c r="Y200" s="6"/>
      <c r="Z200" s="6"/>
      <c r="AA200" s="6"/>
      <c r="AB200" s="6"/>
    </row>
    <row r="201" hidden="1">
      <c r="A201" s="13" t="str">
        <f t="shared" si="1"/>
        <v/>
      </c>
      <c r="B201" s="7"/>
      <c r="C201" s="7">
        <v>44245.0</v>
      </c>
      <c r="D201" s="8"/>
      <c r="E201" s="9"/>
      <c r="F201" s="10"/>
      <c r="G201" s="10"/>
      <c r="H201" s="10"/>
      <c r="I201" s="10"/>
      <c r="J201" s="10"/>
      <c r="K201" s="10"/>
      <c r="L201" s="11"/>
      <c r="M201" s="12"/>
      <c r="N201" s="6"/>
      <c r="O201" s="6"/>
      <c r="P201" s="6"/>
      <c r="Q201" s="6"/>
      <c r="R201" s="6"/>
      <c r="S201" s="6"/>
      <c r="T201" s="6"/>
      <c r="U201" s="6"/>
      <c r="V201" s="6"/>
      <c r="W201" s="6"/>
      <c r="X201" s="6"/>
      <c r="Y201" s="6"/>
      <c r="Z201" s="6"/>
      <c r="AA201" s="6"/>
      <c r="AB201" s="6"/>
    </row>
    <row r="202" hidden="1">
      <c r="A202" s="13" t="str">
        <f t="shared" si="1"/>
        <v/>
      </c>
      <c r="B202" s="13"/>
      <c r="C202" s="13" t="s">
        <v>13</v>
      </c>
      <c r="D202" s="8"/>
      <c r="E202" s="8"/>
      <c r="F202" s="8"/>
      <c r="G202" s="29"/>
      <c r="H202" s="8"/>
      <c r="I202" s="8"/>
      <c r="J202" s="8"/>
      <c r="K202" s="34"/>
      <c r="L202" s="8"/>
      <c r="M202" s="28"/>
      <c r="N202" s="6" t="b">
        <v>0</v>
      </c>
      <c r="O202" s="6" t="b">
        <v>0</v>
      </c>
      <c r="P202" s="6"/>
      <c r="Q202" s="6"/>
      <c r="R202" s="6"/>
      <c r="S202" s="6"/>
      <c r="T202" s="6"/>
      <c r="U202" s="6"/>
      <c r="V202" s="6"/>
      <c r="W202" s="6"/>
      <c r="X202" s="6"/>
      <c r="Y202" s="6"/>
      <c r="Z202" s="6"/>
      <c r="AA202" s="6"/>
      <c r="AB202" s="6"/>
    </row>
    <row r="203" hidden="1">
      <c r="A203" s="13" t="str">
        <f t="shared" si="1"/>
        <v>5fa06de8c9dffe81880549b0</v>
      </c>
      <c r="B203" s="13"/>
      <c r="C203" s="13" t="s">
        <v>13</v>
      </c>
      <c r="D203" s="61"/>
      <c r="E203" s="62" t="s">
        <v>494</v>
      </c>
      <c r="F203" s="62" t="s">
        <v>495</v>
      </c>
      <c r="G203" s="16" t="s">
        <v>153</v>
      </c>
      <c r="H203" s="18" t="s">
        <v>496</v>
      </c>
      <c r="I203" s="18" t="s">
        <v>497</v>
      </c>
      <c r="J203" s="62" t="s">
        <v>498</v>
      </c>
      <c r="K203" s="19"/>
      <c r="L203" s="18">
        <v>61.0</v>
      </c>
      <c r="M203" s="20">
        <f>VLOOKUP(E203,'Hedef Liste'!A:I,8,false)</f>
        <v>30</v>
      </c>
      <c r="N203" s="6" t="b">
        <v>0</v>
      </c>
      <c r="O203" s="6" t="b">
        <v>0</v>
      </c>
      <c r="P203" s="6"/>
      <c r="Q203" s="6"/>
      <c r="R203" s="6"/>
      <c r="S203" s="6"/>
      <c r="T203" s="6"/>
      <c r="U203" s="6"/>
      <c r="V203" s="6"/>
      <c r="W203" s="6"/>
      <c r="X203" s="6"/>
      <c r="Y203" s="6"/>
      <c r="Z203" s="6"/>
      <c r="AA203" s="6"/>
      <c r="AB203" s="6"/>
    </row>
    <row r="204" hidden="1">
      <c r="A204" s="13" t="str">
        <f t="shared" si="1"/>
        <v>5f333b685dc316633b9ee2c5</v>
      </c>
      <c r="B204" s="13"/>
      <c r="C204" s="13" t="s">
        <v>13</v>
      </c>
      <c r="D204" s="14"/>
      <c r="E204" s="15" t="s">
        <v>499</v>
      </c>
      <c r="F204" s="15" t="s">
        <v>500</v>
      </c>
      <c r="G204" s="16" t="s">
        <v>109</v>
      </c>
      <c r="H204" s="18" t="s">
        <v>496</v>
      </c>
      <c r="I204" s="18" t="s">
        <v>501</v>
      </c>
      <c r="J204" s="15" t="s">
        <v>502</v>
      </c>
      <c r="K204" s="19"/>
      <c r="L204" s="18">
        <v>11.0</v>
      </c>
      <c r="M204" s="20">
        <f>VLOOKUP(E204,'Hedef Liste'!A:I,8,false)</f>
        <v>5</v>
      </c>
      <c r="N204" s="6" t="b">
        <v>0</v>
      </c>
      <c r="O204" s="6" t="b">
        <v>0</v>
      </c>
      <c r="P204" s="6"/>
      <c r="Q204" s="6"/>
      <c r="R204" s="6"/>
      <c r="S204" s="6"/>
      <c r="T204" s="6"/>
      <c r="U204" s="6"/>
      <c r="V204" s="6"/>
      <c r="W204" s="6"/>
      <c r="X204" s="6"/>
      <c r="Y204" s="6"/>
      <c r="Z204" s="6"/>
      <c r="AA204" s="6"/>
      <c r="AB204" s="6"/>
    </row>
    <row r="205" hidden="1">
      <c r="A205" s="13" t="str">
        <f t="shared" si="1"/>
        <v/>
      </c>
      <c r="B205" s="13"/>
      <c r="C205" s="13" t="s">
        <v>13</v>
      </c>
      <c r="D205" s="68"/>
      <c r="E205" s="71"/>
      <c r="F205" s="71"/>
      <c r="G205" s="72"/>
      <c r="H205" s="39"/>
      <c r="I205" s="38"/>
      <c r="J205" s="91"/>
      <c r="K205" s="8"/>
      <c r="L205" s="8"/>
      <c r="M205" s="28"/>
      <c r="N205" s="6" t="b">
        <v>0</v>
      </c>
      <c r="O205" s="6" t="b">
        <v>0</v>
      </c>
      <c r="P205" s="6"/>
      <c r="Q205" s="6"/>
      <c r="R205" s="6"/>
      <c r="S205" s="6"/>
      <c r="T205" s="6"/>
      <c r="U205" s="6"/>
      <c r="V205" s="6"/>
      <c r="W205" s="6"/>
      <c r="X205" s="6"/>
      <c r="Y205" s="6"/>
      <c r="Z205" s="6"/>
      <c r="AA205" s="6"/>
      <c r="AB205" s="6"/>
    </row>
    <row r="206" hidden="1">
      <c r="A206" s="13" t="str">
        <f t="shared" si="1"/>
        <v>5fa5f8fbfe8a2043fa8d1960</v>
      </c>
      <c r="B206" s="13"/>
      <c r="C206" s="13" t="s">
        <v>13</v>
      </c>
      <c r="D206" s="61"/>
      <c r="E206" s="62" t="s">
        <v>503</v>
      </c>
      <c r="F206" s="62" t="s">
        <v>504</v>
      </c>
      <c r="G206" s="22">
        <v>0.6875</v>
      </c>
      <c r="H206" s="18" t="s">
        <v>505</v>
      </c>
      <c r="I206" s="18" t="s">
        <v>506</v>
      </c>
      <c r="J206" s="62" t="s">
        <v>507</v>
      </c>
      <c r="K206" s="19"/>
      <c r="L206" s="18">
        <v>20.0</v>
      </c>
      <c r="M206" s="20">
        <f>VLOOKUP(E206,'Hedef Liste'!A:I,8,false)</f>
        <v>44</v>
      </c>
      <c r="N206" s="6" t="b">
        <v>0</v>
      </c>
      <c r="O206" s="6" t="b">
        <v>0</v>
      </c>
      <c r="P206" s="6"/>
      <c r="Q206" s="6"/>
      <c r="R206" s="6"/>
      <c r="S206" s="6"/>
      <c r="T206" s="6"/>
      <c r="U206" s="6"/>
      <c r="V206" s="6"/>
      <c r="W206" s="6"/>
      <c r="X206" s="6"/>
      <c r="Y206" s="6"/>
      <c r="Z206" s="6"/>
      <c r="AA206" s="6"/>
      <c r="AB206" s="6"/>
    </row>
    <row r="207" hidden="1">
      <c r="A207" s="13" t="str">
        <f t="shared" si="1"/>
        <v/>
      </c>
      <c r="B207" s="13"/>
      <c r="C207" s="13" t="s">
        <v>13</v>
      </c>
      <c r="D207" s="8"/>
      <c r="E207" s="8"/>
      <c r="F207" s="8"/>
      <c r="G207" s="29"/>
      <c r="H207" s="8"/>
      <c r="I207" s="8"/>
      <c r="J207" s="8"/>
      <c r="K207" s="8"/>
      <c r="L207" s="30"/>
      <c r="M207" s="31"/>
      <c r="N207" s="6" t="b">
        <v>0</v>
      </c>
      <c r="O207" s="6" t="b">
        <v>0</v>
      </c>
      <c r="P207" s="6"/>
      <c r="Q207" s="6"/>
      <c r="R207" s="6"/>
      <c r="S207" s="6"/>
      <c r="T207" s="6"/>
      <c r="U207" s="6"/>
      <c r="V207" s="6"/>
      <c r="W207" s="6"/>
      <c r="X207" s="6"/>
      <c r="Y207" s="6"/>
      <c r="Z207" s="6"/>
      <c r="AA207" s="6"/>
      <c r="AB207" s="6"/>
    </row>
    <row r="208" hidden="1">
      <c r="A208" s="13" t="str">
        <f t="shared" si="1"/>
        <v/>
      </c>
      <c r="B208" s="13"/>
      <c r="C208" s="13" t="s">
        <v>31</v>
      </c>
      <c r="D208" s="8"/>
      <c r="E208" s="8"/>
      <c r="F208" s="8"/>
      <c r="G208" s="29"/>
      <c r="H208" s="8"/>
      <c r="I208" s="8"/>
      <c r="J208" s="8"/>
      <c r="K208" s="34"/>
      <c r="L208" s="8"/>
      <c r="M208" s="28"/>
      <c r="N208" s="6" t="b">
        <v>0</v>
      </c>
      <c r="O208" s="6" t="b">
        <v>0</v>
      </c>
      <c r="P208" s="6"/>
      <c r="Q208" s="6"/>
      <c r="R208" s="6"/>
      <c r="S208" s="6"/>
      <c r="T208" s="6"/>
      <c r="U208" s="6"/>
      <c r="V208" s="6"/>
      <c r="W208" s="6"/>
      <c r="X208" s="6"/>
      <c r="Y208" s="6"/>
      <c r="Z208" s="6"/>
      <c r="AA208" s="6"/>
      <c r="AB208" s="6"/>
    </row>
    <row r="209" hidden="1">
      <c r="A209" s="13" t="str">
        <f t="shared" si="1"/>
        <v/>
      </c>
      <c r="B209" s="13"/>
      <c r="C209" s="13" t="s">
        <v>31</v>
      </c>
      <c r="D209" s="6"/>
      <c r="E209" s="6"/>
      <c r="F209" s="6"/>
      <c r="G209" s="26"/>
      <c r="H209" s="6"/>
      <c r="I209" s="6"/>
      <c r="J209" s="6"/>
      <c r="K209" s="34"/>
      <c r="L209" s="8"/>
      <c r="M209" s="28"/>
      <c r="N209" s="6" t="b">
        <v>0</v>
      </c>
      <c r="O209" s="6" t="b">
        <v>0</v>
      </c>
      <c r="P209" s="6"/>
      <c r="Q209" s="6"/>
      <c r="R209" s="6"/>
      <c r="S209" s="6"/>
      <c r="T209" s="6"/>
      <c r="U209" s="6"/>
      <c r="V209" s="6"/>
      <c r="W209" s="6"/>
      <c r="X209" s="6"/>
      <c r="Y209" s="6"/>
      <c r="Z209" s="6"/>
      <c r="AA209" s="6"/>
      <c r="AB209" s="6"/>
    </row>
    <row r="210" hidden="1">
      <c r="A210" s="13" t="str">
        <f t="shared" si="1"/>
        <v/>
      </c>
      <c r="B210" s="13"/>
      <c r="C210" s="13" t="s">
        <v>31</v>
      </c>
      <c r="D210" s="6"/>
      <c r="E210" s="6"/>
      <c r="F210" s="6"/>
      <c r="G210" s="26"/>
      <c r="H210" s="6"/>
      <c r="I210" s="6"/>
      <c r="J210" s="6"/>
      <c r="K210" s="34"/>
      <c r="L210" s="8"/>
      <c r="M210" s="28"/>
      <c r="N210" s="6" t="b">
        <v>0</v>
      </c>
      <c r="O210" s="6" t="b">
        <v>0</v>
      </c>
      <c r="P210" s="6"/>
      <c r="Q210" s="6"/>
      <c r="R210" s="6"/>
      <c r="S210" s="6"/>
      <c r="T210" s="6"/>
      <c r="U210" s="6"/>
      <c r="V210" s="6"/>
      <c r="W210" s="6"/>
      <c r="X210" s="6"/>
      <c r="Y210" s="6"/>
      <c r="Z210" s="6"/>
      <c r="AA210" s="6"/>
      <c r="AB210" s="6"/>
    </row>
    <row r="211" hidden="1">
      <c r="A211" s="13" t="str">
        <f t="shared" si="1"/>
        <v/>
      </c>
      <c r="B211" s="13"/>
      <c r="C211" s="13" t="s">
        <v>31</v>
      </c>
      <c r="D211" s="6"/>
      <c r="E211" s="6"/>
      <c r="F211" s="6"/>
      <c r="G211" s="26"/>
      <c r="H211" s="6"/>
      <c r="I211" s="6"/>
      <c r="J211" s="6"/>
      <c r="K211" s="39"/>
      <c r="L211" s="8"/>
      <c r="M211" s="28"/>
      <c r="N211" s="6" t="b">
        <v>0</v>
      </c>
      <c r="O211" s="6" t="b">
        <v>0</v>
      </c>
      <c r="P211" s="6"/>
      <c r="Q211" s="6"/>
      <c r="R211" s="6"/>
      <c r="S211" s="6"/>
      <c r="T211" s="6"/>
      <c r="U211" s="6"/>
      <c r="V211" s="6"/>
      <c r="W211" s="6"/>
      <c r="X211" s="6"/>
      <c r="Y211" s="6"/>
      <c r="Z211" s="6"/>
      <c r="AA211" s="6"/>
      <c r="AB211" s="6"/>
    </row>
    <row r="212" hidden="1">
      <c r="A212" s="13" t="str">
        <f t="shared" si="1"/>
        <v/>
      </c>
      <c r="B212" s="13"/>
      <c r="C212" s="13" t="s">
        <v>31</v>
      </c>
      <c r="D212" s="6"/>
      <c r="E212" s="6"/>
      <c r="F212" s="6"/>
      <c r="G212" s="26"/>
      <c r="H212" s="6"/>
      <c r="I212" s="6"/>
      <c r="J212" s="6"/>
      <c r="K212" s="8"/>
      <c r="L212" s="8"/>
      <c r="M212" s="28"/>
      <c r="N212" s="6" t="b">
        <v>0</v>
      </c>
      <c r="O212" s="6" t="b">
        <v>0</v>
      </c>
      <c r="P212" s="6"/>
      <c r="Q212" s="6"/>
      <c r="R212" s="6"/>
      <c r="S212" s="6"/>
      <c r="T212" s="6"/>
      <c r="U212" s="6"/>
      <c r="V212" s="6"/>
      <c r="W212" s="6"/>
      <c r="X212" s="6"/>
      <c r="Y212" s="6"/>
      <c r="Z212" s="6"/>
      <c r="AA212" s="6"/>
      <c r="AB212" s="6"/>
    </row>
    <row r="213" hidden="1">
      <c r="A213" s="13" t="str">
        <f t="shared" si="1"/>
        <v/>
      </c>
      <c r="B213" s="13"/>
      <c r="C213" s="13" t="s">
        <v>31</v>
      </c>
      <c r="D213" s="6"/>
      <c r="E213" s="6"/>
      <c r="F213" s="6"/>
      <c r="G213" s="26"/>
      <c r="H213" s="6"/>
      <c r="I213" s="6"/>
      <c r="J213" s="6"/>
      <c r="K213" s="8"/>
      <c r="L213" s="30"/>
      <c r="M213" s="31"/>
      <c r="N213" s="6" t="b">
        <v>0</v>
      </c>
      <c r="O213" s="6" t="b">
        <v>0</v>
      </c>
      <c r="P213" s="6"/>
      <c r="Q213" s="6"/>
      <c r="R213" s="6"/>
      <c r="S213" s="6"/>
      <c r="T213" s="6"/>
      <c r="U213" s="6"/>
      <c r="V213" s="6"/>
      <c r="W213" s="6"/>
      <c r="X213" s="6"/>
      <c r="Y213" s="6"/>
      <c r="Z213" s="6"/>
      <c r="AA213" s="6"/>
      <c r="AB213" s="6"/>
    </row>
    <row r="214" hidden="1">
      <c r="A214" s="13" t="str">
        <f t="shared" si="1"/>
        <v/>
      </c>
      <c r="B214" s="13"/>
      <c r="C214" s="13" t="s">
        <v>46</v>
      </c>
      <c r="D214" s="8"/>
      <c r="E214" s="8"/>
      <c r="F214" s="8"/>
      <c r="G214" s="29"/>
      <c r="H214" s="8"/>
      <c r="I214" s="8"/>
      <c r="J214" s="8"/>
      <c r="K214" s="34"/>
      <c r="L214" s="8"/>
      <c r="M214" s="28"/>
      <c r="N214" s="6" t="b">
        <v>0</v>
      </c>
      <c r="O214" s="6" t="b">
        <v>0</v>
      </c>
      <c r="P214" s="6"/>
      <c r="Q214" s="6"/>
      <c r="R214" s="6"/>
      <c r="S214" s="6"/>
      <c r="T214" s="6"/>
      <c r="U214" s="6"/>
      <c r="V214" s="6"/>
      <c r="W214" s="6"/>
      <c r="X214" s="6"/>
      <c r="Y214" s="6"/>
      <c r="Z214" s="6"/>
      <c r="AA214" s="6"/>
      <c r="AB214" s="6"/>
    </row>
    <row r="215" hidden="1">
      <c r="A215" s="13" t="str">
        <f t="shared" si="1"/>
        <v>5fbd94869e0f6f33e6f27ec1</v>
      </c>
      <c r="B215" s="13"/>
      <c r="C215" s="13" t="s">
        <v>46</v>
      </c>
      <c r="D215" s="14"/>
      <c r="E215" s="15" t="s">
        <v>508</v>
      </c>
      <c r="F215" s="15" t="s">
        <v>509</v>
      </c>
      <c r="G215" s="16" t="s">
        <v>34</v>
      </c>
      <c r="H215" s="18" t="s">
        <v>496</v>
      </c>
      <c r="I215" s="18" t="s">
        <v>510</v>
      </c>
      <c r="J215" s="15" t="s">
        <v>511</v>
      </c>
      <c r="K215" s="19"/>
      <c r="L215" s="18">
        <v>17.0</v>
      </c>
      <c r="M215" s="20">
        <f>VLOOKUP(E215,'Hedef Liste'!A:I,8,false)</f>
        <v>1</v>
      </c>
      <c r="N215" s="6" t="b">
        <v>0</v>
      </c>
      <c r="O215" s="6" t="b">
        <v>0</v>
      </c>
      <c r="P215" s="6"/>
      <c r="Q215" s="6"/>
      <c r="R215" s="6"/>
      <c r="S215" s="6"/>
      <c r="T215" s="6"/>
      <c r="U215" s="6"/>
      <c r="V215" s="6"/>
      <c r="W215" s="6"/>
      <c r="X215" s="6"/>
      <c r="Y215" s="6"/>
      <c r="Z215" s="6"/>
      <c r="AA215" s="6"/>
      <c r="AB215" s="6"/>
    </row>
    <row r="216" hidden="1">
      <c r="A216" s="13" t="str">
        <f t="shared" si="1"/>
        <v>5f352bedda66dc55c6d6e977</v>
      </c>
      <c r="B216" s="13"/>
      <c r="C216" s="13" t="s">
        <v>46</v>
      </c>
      <c r="D216" s="61"/>
      <c r="E216" s="73" t="s">
        <v>512</v>
      </c>
      <c r="F216" s="73" t="s">
        <v>513</v>
      </c>
      <c r="G216" s="74">
        <v>0.5</v>
      </c>
      <c r="H216" s="44" t="s">
        <v>514</v>
      </c>
      <c r="I216" s="48" t="s">
        <v>515</v>
      </c>
      <c r="J216" s="73" t="s">
        <v>516</v>
      </c>
      <c r="K216" s="44" t="s">
        <v>261</v>
      </c>
      <c r="L216" s="45"/>
      <c r="M216" s="46"/>
      <c r="N216" s="47"/>
      <c r="O216" s="47"/>
      <c r="P216" s="6"/>
      <c r="Q216" s="6"/>
      <c r="R216" s="6"/>
      <c r="S216" s="6"/>
      <c r="T216" s="6"/>
      <c r="U216" s="6"/>
      <c r="V216" s="6"/>
      <c r="W216" s="6"/>
      <c r="X216" s="6"/>
      <c r="Y216" s="6"/>
      <c r="Z216" s="6"/>
      <c r="AA216" s="6"/>
      <c r="AB216" s="6"/>
    </row>
    <row r="217" hidden="1">
      <c r="A217" s="13" t="str">
        <f t="shared" si="1"/>
        <v/>
      </c>
      <c r="B217" s="13"/>
      <c r="C217" s="13" t="s">
        <v>46</v>
      </c>
      <c r="D217" s="61"/>
      <c r="E217" s="61"/>
      <c r="F217" s="61"/>
      <c r="G217" s="49"/>
      <c r="H217" s="39"/>
      <c r="I217" s="38"/>
      <c r="J217" s="61"/>
      <c r="K217" s="8"/>
      <c r="L217" s="8"/>
      <c r="M217" s="28"/>
      <c r="N217" s="6" t="b">
        <v>0</v>
      </c>
      <c r="O217" s="6" t="b">
        <v>0</v>
      </c>
      <c r="P217" s="6"/>
      <c r="Q217" s="6"/>
      <c r="R217" s="6"/>
      <c r="S217" s="6"/>
      <c r="T217" s="6"/>
      <c r="U217" s="6"/>
      <c r="V217" s="6"/>
      <c r="W217" s="6"/>
      <c r="X217" s="6"/>
      <c r="Y217" s="6"/>
      <c r="Z217" s="6"/>
      <c r="AA217" s="6"/>
      <c r="AB217" s="6"/>
    </row>
    <row r="218" hidden="1">
      <c r="A218" s="13" t="str">
        <f t="shared" si="1"/>
        <v>5fd5ecafe730ae27865e152c</v>
      </c>
      <c r="B218" s="13"/>
      <c r="C218" s="13" t="s">
        <v>46</v>
      </c>
      <c r="D218" s="68"/>
      <c r="E218" s="75" t="s">
        <v>517</v>
      </c>
      <c r="F218" s="75" t="s">
        <v>518</v>
      </c>
      <c r="G218" s="16" t="s">
        <v>378</v>
      </c>
      <c r="H218" s="18" t="s">
        <v>443</v>
      </c>
      <c r="I218" s="18">
        <v>5.351050035E9</v>
      </c>
      <c r="J218" s="82" t="s">
        <v>519</v>
      </c>
      <c r="K218" s="19"/>
      <c r="L218" s="18">
        <v>26.0</v>
      </c>
      <c r="M218" s="20">
        <f>VLOOKUP(E218,'Hedef Liste'!A:I,8,false)</f>
        <v>0</v>
      </c>
      <c r="N218" s="6" t="b">
        <v>0</v>
      </c>
      <c r="O218" s="6" t="b">
        <v>0</v>
      </c>
      <c r="P218" s="6"/>
      <c r="Q218" s="6"/>
      <c r="R218" s="6"/>
      <c r="S218" s="6"/>
      <c r="T218" s="6"/>
      <c r="U218" s="6"/>
      <c r="V218" s="6"/>
      <c r="W218" s="6"/>
      <c r="X218" s="6"/>
      <c r="Y218" s="6"/>
      <c r="Z218" s="6"/>
      <c r="AA218" s="6"/>
      <c r="AB218" s="6"/>
    </row>
    <row r="219" hidden="1">
      <c r="A219" s="13" t="str">
        <f t="shared" si="1"/>
        <v/>
      </c>
      <c r="B219" s="13"/>
      <c r="C219" s="13" t="s">
        <v>46</v>
      </c>
      <c r="D219" s="8"/>
      <c r="E219" s="8"/>
      <c r="F219" s="8"/>
      <c r="G219" s="29"/>
      <c r="H219" s="8"/>
      <c r="I219" s="8"/>
      <c r="J219" s="8"/>
      <c r="K219" s="8"/>
      <c r="L219" s="30"/>
      <c r="M219" s="31"/>
      <c r="N219" s="6" t="b">
        <v>0</v>
      </c>
      <c r="O219" s="6" t="b">
        <v>0</v>
      </c>
      <c r="P219" s="6"/>
      <c r="Q219" s="6"/>
      <c r="R219" s="6"/>
      <c r="S219" s="6"/>
      <c r="T219" s="6"/>
      <c r="U219" s="6"/>
      <c r="V219" s="6"/>
      <c r="W219" s="6"/>
      <c r="X219" s="6"/>
      <c r="Y219" s="6"/>
      <c r="Z219" s="6"/>
      <c r="AA219" s="6"/>
      <c r="AB219" s="6"/>
    </row>
    <row r="220" hidden="1">
      <c r="A220" s="13" t="str">
        <f t="shared" si="1"/>
        <v/>
      </c>
      <c r="B220" s="13"/>
      <c r="C220" s="13" t="s">
        <v>60</v>
      </c>
      <c r="D220" s="8"/>
      <c r="E220" s="8"/>
      <c r="F220" s="8"/>
      <c r="G220" s="29"/>
      <c r="H220" s="8"/>
      <c r="I220" s="8"/>
      <c r="J220" s="8"/>
      <c r="K220" s="34"/>
      <c r="L220" s="8"/>
      <c r="M220" s="28"/>
      <c r="N220" s="6" t="b">
        <v>0</v>
      </c>
      <c r="O220" s="6" t="b">
        <v>0</v>
      </c>
      <c r="P220" s="6"/>
      <c r="Q220" s="6"/>
      <c r="R220" s="6"/>
      <c r="S220" s="6"/>
      <c r="T220" s="6"/>
      <c r="U220" s="6"/>
      <c r="V220" s="6"/>
      <c r="W220" s="6"/>
      <c r="X220" s="6"/>
      <c r="Y220" s="6"/>
      <c r="Z220" s="6"/>
      <c r="AA220" s="6"/>
      <c r="AB220" s="6"/>
    </row>
    <row r="221" hidden="1">
      <c r="A221" s="13" t="str">
        <f t="shared" si="1"/>
        <v>5f330d69fb6dd98232dd3f23</v>
      </c>
      <c r="B221" s="13"/>
      <c r="C221" s="13" t="s">
        <v>60</v>
      </c>
      <c r="D221" s="61"/>
      <c r="E221" s="62" t="s">
        <v>520</v>
      </c>
      <c r="F221" s="62" t="s">
        <v>521</v>
      </c>
      <c r="G221" s="16" t="s">
        <v>34</v>
      </c>
      <c r="H221" s="18" t="s">
        <v>384</v>
      </c>
      <c r="I221" s="18" t="s">
        <v>522</v>
      </c>
      <c r="J221" s="62" t="s">
        <v>523</v>
      </c>
      <c r="K221" s="19"/>
      <c r="L221" s="18">
        <v>83.0</v>
      </c>
      <c r="M221" s="20">
        <f>VLOOKUP(E221,'Hedef Liste'!A:I,8,false)</f>
        <v>118</v>
      </c>
      <c r="N221" s="6" t="b">
        <v>0</v>
      </c>
      <c r="O221" s="6" t="b">
        <v>0</v>
      </c>
      <c r="P221" s="6"/>
      <c r="Q221" s="6"/>
      <c r="R221" s="6"/>
      <c r="S221" s="6"/>
      <c r="T221" s="6"/>
      <c r="U221" s="6"/>
      <c r="V221" s="6"/>
      <c r="W221" s="6"/>
      <c r="X221" s="6"/>
      <c r="Y221" s="6"/>
      <c r="Z221" s="6"/>
      <c r="AA221" s="6"/>
      <c r="AB221" s="6"/>
    </row>
    <row r="222" hidden="1">
      <c r="A222" s="13" t="str">
        <f t="shared" si="1"/>
        <v/>
      </c>
      <c r="B222" s="13"/>
      <c r="C222" s="13" t="s">
        <v>60</v>
      </c>
      <c r="D222" s="61"/>
      <c r="E222" s="61"/>
      <c r="F222" s="61"/>
      <c r="G222" s="37"/>
      <c r="H222" s="39"/>
      <c r="I222" s="39"/>
      <c r="J222" s="61"/>
      <c r="K222" s="34"/>
      <c r="L222" s="8"/>
      <c r="M222" s="28"/>
      <c r="N222" s="6" t="b">
        <v>0</v>
      </c>
      <c r="O222" s="6" t="b">
        <v>0</v>
      </c>
      <c r="P222" s="6"/>
      <c r="Q222" s="6"/>
      <c r="R222" s="6"/>
      <c r="S222" s="6"/>
      <c r="T222" s="6"/>
      <c r="U222" s="6"/>
      <c r="V222" s="6"/>
      <c r="W222" s="6"/>
      <c r="X222" s="6"/>
      <c r="Y222" s="6"/>
      <c r="Z222" s="6"/>
      <c r="AA222" s="6"/>
      <c r="AB222" s="6"/>
    </row>
    <row r="223" hidden="1">
      <c r="A223" s="13" t="str">
        <f t="shared" si="1"/>
        <v/>
      </c>
      <c r="B223" s="13"/>
      <c r="C223" s="13" t="s">
        <v>60</v>
      </c>
      <c r="D223" s="61"/>
      <c r="E223" s="61"/>
      <c r="F223" s="61"/>
      <c r="G223" s="49"/>
      <c r="H223" s="39"/>
      <c r="I223" s="39"/>
      <c r="J223" s="61"/>
      <c r="K223" s="8"/>
      <c r="L223" s="8"/>
      <c r="M223" s="28"/>
      <c r="N223" s="6" t="b">
        <v>0</v>
      </c>
      <c r="O223" s="6" t="b">
        <v>0</v>
      </c>
      <c r="P223" s="6"/>
      <c r="Q223" s="6"/>
      <c r="R223" s="6"/>
      <c r="S223" s="6"/>
      <c r="T223" s="6"/>
      <c r="U223" s="6"/>
      <c r="V223" s="6"/>
      <c r="W223" s="6"/>
      <c r="X223" s="6"/>
      <c r="Y223" s="6"/>
      <c r="Z223" s="6"/>
      <c r="AA223" s="6"/>
      <c r="AB223" s="6"/>
    </row>
    <row r="224" hidden="1">
      <c r="A224" s="13" t="str">
        <f t="shared" si="1"/>
        <v>5f984ebd8656c782db84092b</v>
      </c>
      <c r="B224" s="13"/>
      <c r="C224" s="13" t="s">
        <v>60</v>
      </c>
      <c r="D224" s="14"/>
      <c r="E224" s="15" t="s">
        <v>524</v>
      </c>
      <c r="F224" s="15" t="s">
        <v>525</v>
      </c>
      <c r="G224" s="22">
        <v>0.6666666666666666</v>
      </c>
      <c r="H224" s="18" t="s">
        <v>384</v>
      </c>
      <c r="I224" s="18" t="s">
        <v>526</v>
      </c>
      <c r="J224" s="15" t="s">
        <v>527</v>
      </c>
      <c r="K224" s="19"/>
      <c r="L224" s="18">
        <v>17.0</v>
      </c>
      <c r="M224" s="20">
        <f>VLOOKUP(E224,'Hedef Liste'!A:I,8,false)</f>
        <v>11</v>
      </c>
      <c r="N224" s="6" t="b">
        <v>0</v>
      </c>
      <c r="O224" s="6" t="b">
        <v>0</v>
      </c>
      <c r="P224" s="6"/>
      <c r="Q224" s="6"/>
      <c r="R224" s="6"/>
      <c r="S224" s="6"/>
      <c r="T224" s="6"/>
      <c r="U224" s="6"/>
      <c r="V224" s="6"/>
      <c r="W224" s="6"/>
      <c r="X224" s="6"/>
      <c r="Y224" s="6"/>
      <c r="Z224" s="6"/>
      <c r="AA224" s="6"/>
      <c r="AB224" s="6"/>
    </row>
    <row r="225" hidden="1">
      <c r="A225" s="13" t="str">
        <f t="shared" si="1"/>
        <v/>
      </c>
      <c r="B225" s="13"/>
      <c r="C225" s="13" t="s">
        <v>60</v>
      </c>
      <c r="D225" s="8"/>
      <c r="E225" s="8"/>
      <c r="F225" s="8"/>
      <c r="G225" s="29"/>
      <c r="H225" s="8"/>
      <c r="I225" s="8"/>
      <c r="J225" s="8"/>
      <c r="K225" s="8"/>
      <c r="L225" s="30"/>
      <c r="M225" s="31"/>
      <c r="N225" s="6" t="b">
        <v>0</v>
      </c>
      <c r="O225" s="6" t="b">
        <v>0</v>
      </c>
      <c r="P225" s="6"/>
      <c r="Q225" s="6"/>
      <c r="R225" s="6"/>
      <c r="S225" s="6"/>
      <c r="T225" s="6"/>
      <c r="U225" s="6"/>
      <c r="V225" s="6"/>
      <c r="W225" s="6"/>
      <c r="X225" s="6"/>
      <c r="Y225" s="6"/>
      <c r="Z225" s="6"/>
      <c r="AA225" s="6"/>
      <c r="AB225" s="6"/>
    </row>
    <row r="226" hidden="1">
      <c r="A226" s="13" t="str">
        <f t="shared" si="1"/>
        <v/>
      </c>
      <c r="B226" s="7"/>
      <c r="C226" s="7">
        <v>44246.0</v>
      </c>
      <c r="D226" s="8"/>
      <c r="E226" s="9"/>
      <c r="F226" s="10"/>
      <c r="G226" s="10"/>
      <c r="H226" s="10"/>
      <c r="I226" s="10"/>
      <c r="J226" s="10"/>
      <c r="K226" s="10"/>
      <c r="L226" s="11"/>
      <c r="M226" s="12"/>
      <c r="N226" s="6"/>
      <c r="O226" s="6"/>
      <c r="P226" s="6"/>
      <c r="Q226" s="6"/>
      <c r="R226" s="6"/>
      <c r="S226" s="6"/>
      <c r="T226" s="6"/>
      <c r="U226" s="6"/>
      <c r="V226" s="6"/>
      <c r="W226" s="6"/>
      <c r="X226" s="6"/>
      <c r="Y226" s="6"/>
      <c r="Z226" s="6"/>
      <c r="AA226" s="6"/>
      <c r="AB226" s="6"/>
    </row>
    <row r="227" hidden="1">
      <c r="A227" s="13" t="str">
        <f t="shared" si="1"/>
        <v>5f35b5c7da66dcbc5ad6f478</v>
      </c>
      <c r="B227" s="13"/>
      <c r="C227" s="13" t="s">
        <v>13</v>
      </c>
      <c r="D227" s="14"/>
      <c r="E227" s="15" t="s">
        <v>528</v>
      </c>
      <c r="F227" s="15" t="s">
        <v>529</v>
      </c>
      <c r="G227" s="16" t="s">
        <v>16</v>
      </c>
      <c r="H227" s="18" t="s">
        <v>496</v>
      </c>
      <c r="I227" s="18" t="s">
        <v>530</v>
      </c>
      <c r="J227" s="15" t="s">
        <v>531</v>
      </c>
      <c r="K227" s="19"/>
      <c r="L227" s="18">
        <v>20.0</v>
      </c>
      <c r="M227" s="20">
        <f>VLOOKUP(E227,'Hedef Liste'!A:I,8,false)</f>
        <v>1</v>
      </c>
      <c r="N227" s="6" t="b">
        <v>0</v>
      </c>
      <c r="O227" s="6" t="b">
        <v>0</v>
      </c>
      <c r="P227" s="6"/>
      <c r="Q227" s="6"/>
      <c r="R227" s="6"/>
      <c r="S227" s="6"/>
      <c r="T227" s="6"/>
      <c r="U227" s="6"/>
      <c r="V227" s="6"/>
      <c r="W227" s="6"/>
      <c r="X227" s="6"/>
      <c r="Y227" s="6"/>
      <c r="Z227" s="6"/>
      <c r="AA227" s="6"/>
      <c r="AB227" s="6"/>
    </row>
    <row r="228" hidden="1">
      <c r="A228" s="13" t="str">
        <f t="shared" si="1"/>
        <v>5f33aa845dc3163e6b9ee63e</v>
      </c>
      <c r="B228" s="13"/>
      <c r="C228" s="13" t="s">
        <v>13</v>
      </c>
      <c r="D228" s="14"/>
      <c r="E228" s="15" t="s">
        <v>532</v>
      </c>
      <c r="F228" s="92" t="s">
        <v>533</v>
      </c>
      <c r="G228" s="16" t="s">
        <v>103</v>
      </c>
      <c r="H228" s="18" t="s">
        <v>496</v>
      </c>
      <c r="I228" s="18" t="s">
        <v>530</v>
      </c>
      <c r="J228" s="15" t="s">
        <v>531</v>
      </c>
      <c r="K228" s="19"/>
      <c r="L228" s="18">
        <v>20.0</v>
      </c>
      <c r="M228" s="20">
        <f>VLOOKUP(E228,'Hedef Liste'!A:I,8,false)</f>
        <v>3</v>
      </c>
      <c r="N228" s="6" t="b">
        <v>0</v>
      </c>
      <c r="O228" s="6" t="b">
        <v>0</v>
      </c>
      <c r="P228" s="6"/>
      <c r="Q228" s="6"/>
      <c r="R228" s="6"/>
      <c r="S228" s="6"/>
      <c r="T228" s="6"/>
      <c r="U228" s="6"/>
      <c r="V228" s="6"/>
      <c r="W228" s="6"/>
      <c r="X228" s="6"/>
      <c r="Y228" s="6"/>
      <c r="Z228" s="6"/>
      <c r="AA228" s="6"/>
      <c r="AB228" s="6"/>
    </row>
    <row r="229" hidden="1">
      <c r="A229" s="13" t="str">
        <f t="shared" si="1"/>
        <v>5f35aeafa886cd1c2748ee98</v>
      </c>
      <c r="B229" s="13"/>
      <c r="C229" s="13" t="s">
        <v>13</v>
      </c>
      <c r="D229" s="14"/>
      <c r="E229" s="15" t="s">
        <v>534</v>
      </c>
      <c r="F229" s="15" t="s">
        <v>535</v>
      </c>
      <c r="G229" s="16" t="s">
        <v>292</v>
      </c>
      <c r="H229" s="18" t="s">
        <v>536</v>
      </c>
      <c r="I229" s="18" t="s">
        <v>537</v>
      </c>
      <c r="J229" s="15" t="s">
        <v>538</v>
      </c>
      <c r="K229" s="19"/>
      <c r="L229" s="18">
        <v>13.0</v>
      </c>
      <c r="M229" s="20">
        <f>VLOOKUP(E229,'Hedef Liste'!A:I,8,false)</f>
        <v>4</v>
      </c>
      <c r="N229" s="6" t="b">
        <v>0</v>
      </c>
      <c r="O229" s="6" t="b">
        <v>0</v>
      </c>
      <c r="P229" s="6"/>
      <c r="Q229" s="6"/>
      <c r="R229" s="6"/>
      <c r="S229" s="6"/>
      <c r="T229" s="6"/>
      <c r="U229" s="6"/>
      <c r="V229" s="6"/>
      <c r="W229" s="6"/>
      <c r="X229" s="6"/>
      <c r="Y229" s="6"/>
      <c r="Z229" s="6"/>
      <c r="AA229" s="6"/>
      <c r="AB229" s="6"/>
    </row>
    <row r="230" hidden="1">
      <c r="A230" s="13" t="str">
        <f t="shared" si="1"/>
        <v>5fac842bda004db92b534e4e</v>
      </c>
      <c r="B230" s="13"/>
      <c r="C230" s="13" t="s">
        <v>13</v>
      </c>
      <c r="D230" s="61"/>
      <c r="E230" s="62" t="s">
        <v>539</v>
      </c>
      <c r="F230" s="62" t="s">
        <v>540</v>
      </c>
      <c r="G230" s="22">
        <v>0.6458333333333334</v>
      </c>
      <c r="H230" s="18" t="s">
        <v>384</v>
      </c>
      <c r="I230" s="18" t="s">
        <v>541</v>
      </c>
      <c r="J230" s="62" t="s">
        <v>542</v>
      </c>
      <c r="K230" s="23"/>
      <c r="L230" s="18">
        <v>37.0</v>
      </c>
      <c r="M230" s="24" t="str">
        <f>VLOOKUP(E230,'Hedef Liste'!A:I,8,false)</f>
        <v>#N/A</v>
      </c>
      <c r="N230" s="6" t="b">
        <v>0</v>
      </c>
      <c r="O230" s="6" t="b">
        <v>0</v>
      </c>
      <c r="P230" s="6"/>
      <c r="Q230" s="6"/>
      <c r="R230" s="6"/>
      <c r="S230" s="6"/>
      <c r="T230" s="6"/>
      <c r="U230" s="6"/>
      <c r="V230" s="6"/>
      <c r="W230" s="6"/>
      <c r="X230" s="6"/>
      <c r="Y230" s="6"/>
      <c r="Z230" s="6"/>
      <c r="AA230" s="6"/>
      <c r="AB230" s="6"/>
    </row>
    <row r="231" hidden="1">
      <c r="A231" s="13" t="str">
        <f t="shared" si="1"/>
        <v/>
      </c>
      <c r="B231" s="13"/>
      <c r="C231" s="13" t="s">
        <v>13</v>
      </c>
      <c r="D231" s="8"/>
      <c r="E231" s="30"/>
      <c r="F231" s="8"/>
      <c r="G231" s="93"/>
      <c r="H231" s="30"/>
      <c r="I231" s="30"/>
      <c r="J231" s="30"/>
      <c r="K231" s="81"/>
      <c r="L231" s="8"/>
      <c r="M231" s="28"/>
      <c r="N231" s="6" t="b">
        <v>0</v>
      </c>
      <c r="O231" s="6" t="b">
        <v>0</v>
      </c>
      <c r="P231" s="6"/>
      <c r="Q231" s="6"/>
      <c r="R231" s="6"/>
      <c r="S231" s="6"/>
      <c r="T231" s="6"/>
      <c r="U231" s="6"/>
      <c r="V231" s="6"/>
      <c r="W231" s="6"/>
      <c r="X231" s="6"/>
      <c r="Y231" s="6"/>
      <c r="Z231" s="6"/>
      <c r="AA231" s="6"/>
      <c r="AB231" s="6"/>
    </row>
    <row r="232" hidden="1">
      <c r="A232" s="13" t="str">
        <f t="shared" si="1"/>
        <v/>
      </c>
      <c r="B232" s="13"/>
      <c r="C232" s="13" t="s">
        <v>13</v>
      </c>
      <c r="D232" s="8"/>
      <c r="E232" s="8"/>
      <c r="F232" s="8"/>
      <c r="G232" s="29"/>
      <c r="H232" s="8"/>
      <c r="I232" s="8"/>
      <c r="J232" s="8"/>
      <c r="K232" s="8"/>
      <c r="L232" s="30"/>
      <c r="M232" s="31"/>
      <c r="N232" s="6" t="b">
        <v>0</v>
      </c>
      <c r="O232" s="6" t="b">
        <v>0</v>
      </c>
      <c r="P232" s="6"/>
      <c r="Q232" s="6"/>
      <c r="R232" s="6"/>
      <c r="S232" s="6"/>
      <c r="T232" s="6"/>
      <c r="U232" s="6"/>
      <c r="V232" s="6"/>
      <c r="W232" s="6"/>
      <c r="X232" s="6"/>
      <c r="Y232" s="6"/>
      <c r="Z232" s="6"/>
      <c r="AA232" s="6"/>
      <c r="AB232" s="6"/>
    </row>
    <row r="233" hidden="1">
      <c r="A233" s="13" t="str">
        <f t="shared" si="1"/>
        <v/>
      </c>
      <c r="B233" s="13"/>
      <c r="C233" s="13" t="s">
        <v>31</v>
      </c>
      <c r="D233" s="8"/>
      <c r="E233" s="8"/>
      <c r="F233" s="8"/>
      <c r="G233" s="29"/>
      <c r="H233" s="8"/>
      <c r="I233" s="8"/>
      <c r="J233" s="8"/>
      <c r="K233" s="34"/>
      <c r="L233" s="8"/>
      <c r="M233" s="28"/>
      <c r="N233" s="6" t="b">
        <v>0</v>
      </c>
      <c r="O233" s="6" t="b">
        <v>0</v>
      </c>
      <c r="P233" s="6"/>
      <c r="Q233" s="6"/>
      <c r="R233" s="6"/>
      <c r="S233" s="6"/>
      <c r="T233" s="6"/>
      <c r="U233" s="6"/>
      <c r="V233" s="6"/>
      <c r="W233" s="6"/>
      <c r="X233" s="6"/>
      <c r="Y233" s="6"/>
      <c r="Z233" s="6"/>
      <c r="AA233" s="6"/>
      <c r="AB233" s="6"/>
    </row>
    <row r="234" hidden="1">
      <c r="A234" s="13" t="str">
        <f t="shared" si="1"/>
        <v>5f91904e7ddac148389657cf</v>
      </c>
      <c r="B234" s="13"/>
      <c r="C234" s="13" t="s">
        <v>31</v>
      </c>
      <c r="D234" s="61"/>
      <c r="E234" s="62" t="s">
        <v>543</v>
      </c>
      <c r="F234" s="62" t="s">
        <v>544</v>
      </c>
      <c r="G234" s="16" t="s">
        <v>123</v>
      </c>
      <c r="H234" s="62" t="s">
        <v>87</v>
      </c>
      <c r="I234" s="18" t="s">
        <v>545</v>
      </c>
      <c r="J234" s="62" t="s">
        <v>546</v>
      </c>
      <c r="K234" s="19"/>
      <c r="L234" s="18">
        <v>18.0</v>
      </c>
      <c r="M234" s="20">
        <f>VLOOKUP(E234,'Hedef Liste'!A:I,8,false)</f>
        <v>35</v>
      </c>
      <c r="N234" s="6" t="b">
        <v>0</v>
      </c>
      <c r="O234" s="6" t="b">
        <v>0</v>
      </c>
      <c r="P234" s="6"/>
      <c r="Q234" s="6"/>
      <c r="R234" s="6"/>
      <c r="S234" s="6"/>
      <c r="T234" s="6"/>
      <c r="U234" s="6"/>
      <c r="V234" s="6"/>
      <c r="W234" s="6"/>
      <c r="X234" s="6"/>
      <c r="Y234" s="6"/>
      <c r="Z234" s="6"/>
      <c r="AA234" s="6"/>
      <c r="AB234" s="6"/>
    </row>
    <row r="235" hidden="1">
      <c r="A235" s="13" t="str">
        <f t="shared" si="1"/>
        <v>5ff2171658f3acc433e6b4ab</v>
      </c>
      <c r="B235" s="13"/>
      <c r="C235" s="13" t="s">
        <v>31</v>
      </c>
      <c r="D235" s="61"/>
      <c r="E235" s="73" t="s">
        <v>547</v>
      </c>
      <c r="F235" s="73" t="s">
        <v>548</v>
      </c>
      <c r="G235" s="58" t="s">
        <v>109</v>
      </c>
      <c r="H235" s="44" t="s">
        <v>293</v>
      </c>
      <c r="I235" s="73" t="s">
        <v>549</v>
      </c>
      <c r="J235" s="73" t="s">
        <v>550</v>
      </c>
      <c r="K235" s="63"/>
      <c r="L235" s="45"/>
      <c r="M235" s="46"/>
      <c r="N235" s="47" t="b">
        <v>0</v>
      </c>
      <c r="O235" s="48" t="b">
        <v>1</v>
      </c>
      <c r="P235" s="6"/>
      <c r="Q235" s="6"/>
      <c r="R235" s="6"/>
      <c r="S235" s="6"/>
      <c r="T235" s="6"/>
      <c r="U235" s="6"/>
      <c r="V235" s="6"/>
      <c r="W235" s="6"/>
      <c r="X235" s="6"/>
      <c r="Y235" s="6"/>
      <c r="Z235" s="6"/>
      <c r="AA235" s="6"/>
      <c r="AB235" s="6"/>
    </row>
    <row r="236" hidden="1">
      <c r="A236" s="13" t="str">
        <f t="shared" si="1"/>
        <v>5f88815bc6107e26fb2e5478</v>
      </c>
      <c r="B236" s="13"/>
      <c r="C236" s="13" t="s">
        <v>31</v>
      </c>
      <c r="D236" s="61"/>
      <c r="E236" s="62" t="s">
        <v>551</v>
      </c>
      <c r="F236" s="62" t="s">
        <v>552</v>
      </c>
      <c r="G236" s="22">
        <v>0.6041666666666666</v>
      </c>
      <c r="H236" s="18" t="s">
        <v>553</v>
      </c>
      <c r="I236" s="18" t="s">
        <v>554</v>
      </c>
      <c r="J236" s="62" t="s">
        <v>555</v>
      </c>
      <c r="K236" s="23"/>
      <c r="L236" s="18">
        <v>38.0</v>
      </c>
      <c r="M236" s="20">
        <f>VLOOKUP(E236,'Hedef Liste'!A:I,8,false)</f>
        <v>28</v>
      </c>
      <c r="N236" s="6" t="b">
        <v>0</v>
      </c>
      <c r="O236" s="6" t="b">
        <v>0</v>
      </c>
      <c r="P236" s="6"/>
      <c r="Q236" s="6"/>
      <c r="R236" s="6"/>
      <c r="S236" s="6"/>
      <c r="T236" s="6"/>
      <c r="U236" s="6"/>
      <c r="V236" s="6"/>
      <c r="W236" s="6"/>
      <c r="X236" s="6"/>
      <c r="Y236" s="6"/>
      <c r="Z236" s="6"/>
      <c r="AA236" s="6"/>
      <c r="AB236" s="6"/>
    </row>
    <row r="237" hidden="1">
      <c r="A237" s="13" t="str">
        <f t="shared" si="1"/>
        <v>5f6e4440d2725f47c212d669</v>
      </c>
      <c r="B237" s="13"/>
      <c r="C237" s="13" t="s">
        <v>31</v>
      </c>
      <c r="D237" s="68"/>
      <c r="E237" s="69" t="s">
        <v>556</v>
      </c>
      <c r="F237" s="69" t="s">
        <v>557</v>
      </c>
      <c r="G237" s="70" t="s">
        <v>558</v>
      </c>
      <c r="H237" s="44" t="s">
        <v>559</v>
      </c>
      <c r="I237" s="44" t="s">
        <v>560</v>
      </c>
      <c r="J237" s="69" t="s">
        <v>561</v>
      </c>
      <c r="K237" s="63"/>
      <c r="L237" s="45"/>
      <c r="M237" s="46"/>
      <c r="N237" s="47" t="b">
        <v>0</v>
      </c>
      <c r="O237" s="48" t="b">
        <v>1</v>
      </c>
      <c r="P237" s="6"/>
      <c r="Q237" s="6"/>
      <c r="R237" s="6"/>
      <c r="S237" s="6"/>
      <c r="T237" s="6"/>
      <c r="U237" s="6"/>
      <c r="V237" s="6"/>
      <c r="W237" s="6"/>
      <c r="X237" s="6"/>
      <c r="Y237" s="6"/>
      <c r="Z237" s="6"/>
      <c r="AA237" s="6"/>
      <c r="AB237" s="6"/>
    </row>
    <row r="238" hidden="1">
      <c r="A238" s="13" t="str">
        <f t="shared" si="1"/>
        <v/>
      </c>
      <c r="B238" s="13"/>
      <c r="C238" s="13" t="s">
        <v>31</v>
      </c>
      <c r="D238" s="8"/>
      <c r="E238" s="8"/>
      <c r="F238" s="8"/>
      <c r="G238" s="29"/>
      <c r="H238" s="8"/>
      <c r="I238" s="8"/>
      <c r="J238" s="8"/>
      <c r="K238" s="8"/>
      <c r="L238" s="30"/>
      <c r="M238" s="31"/>
      <c r="N238" s="6" t="b">
        <v>0</v>
      </c>
      <c r="O238" s="6" t="b">
        <v>0</v>
      </c>
      <c r="P238" s="6"/>
      <c r="Q238" s="6"/>
      <c r="R238" s="6"/>
      <c r="S238" s="6"/>
      <c r="T238" s="6"/>
      <c r="U238" s="6"/>
      <c r="V238" s="6"/>
      <c r="W238" s="6"/>
      <c r="X238" s="6"/>
      <c r="Y238" s="6"/>
      <c r="Z238" s="6"/>
      <c r="AA238" s="6"/>
      <c r="AB238" s="6"/>
    </row>
    <row r="239" hidden="1">
      <c r="A239" s="13" t="str">
        <f t="shared" si="1"/>
        <v>5fe2eeff3e964b06a3e9ebb5</v>
      </c>
      <c r="B239" s="13"/>
      <c r="C239" s="13" t="s">
        <v>46</v>
      </c>
      <c r="D239" s="61"/>
      <c r="E239" s="73" t="s">
        <v>562</v>
      </c>
      <c r="F239" s="73" t="s">
        <v>563</v>
      </c>
      <c r="G239" s="58" t="s">
        <v>16</v>
      </c>
      <c r="H239" s="44" t="s">
        <v>564</v>
      </c>
      <c r="I239" s="44" t="s">
        <v>565</v>
      </c>
      <c r="J239" s="73" t="s">
        <v>566</v>
      </c>
      <c r="K239" s="44" t="s">
        <v>567</v>
      </c>
      <c r="L239" s="45"/>
      <c r="M239" s="46"/>
      <c r="N239" s="47" t="b">
        <v>0</v>
      </c>
      <c r="O239" s="48" t="b">
        <v>1</v>
      </c>
      <c r="P239" s="6"/>
      <c r="Q239" s="6"/>
      <c r="R239" s="6"/>
      <c r="S239" s="6"/>
      <c r="T239" s="6"/>
      <c r="U239" s="6"/>
      <c r="V239" s="6"/>
      <c r="W239" s="6"/>
      <c r="X239" s="6"/>
      <c r="Y239" s="6"/>
      <c r="Z239" s="6"/>
      <c r="AA239" s="6"/>
      <c r="AB239" s="6"/>
    </row>
    <row r="240" hidden="1">
      <c r="A240" s="13" t="str">
        <f t="shared" si="1"/>
        <v>5f6e2b6f9fe43a702e3a673b</v>
      </c>
      <c r="B240" s="13"/>
      <c r="C240" s="13" t="s">
        <v>46</v>
      </c>
      <c r="D240" s="61"/>
      <c r="E240" s="62" t="s">
        <v>568</v>
      </c>
      <c r="F240" s="62" t="s">
        <v>569</v>
      </c>
      <c r="G240" s="22">
        <v>0.5208333333333334</v>
      </c>
      <c r="H240" s="18" t="s">
        <v>570</v>
      </c>
      <c r="I240" s="18" t="s">
        <v>571</v>
      </c>
      <c r="J240" s="62" t="s">
        <v>572</v>
      </c>
      <c r="K240" s="19"/>
      <c r="L240" s="18">
        <v>14.0</v>
      </c>
      <c r="M240" s="24" t="str">
        <f>VLOOKUP(E240,'Hedef Liste'!A:I,8,false)</f>
        <v>#N/A</v>
      </c>
      <c r="N240" s="6" t="b">
        <v>0</v>
      </c>
      <c r="O240" s="6" t="b">
        <v>0</v>
      </c>
      <c r="P240" s="6"/>
      <c r="Q240" s="6"/>
      <c r="R240" s="6"/>
      <c r="S240" s="6"/>
      <c r="T240" s="6"/>
      <c r="U240" s="6"/>
      <c r="V240" s="6"/>
      <c r="W240" s="6"/>
      <c r="X240" s="6"/>
      <c r="Y240" s="6"/>
      <c r="Z240" s="6"/>
      <c r="AA240" s="6"/>
      <c r="AB240" s="6"/>
    </row>
    <row r="241" hidden="1">
      <c r="A241" s="13" t="str">
        <f t="shared" si="1"/>
        <v>5f3516ced7872d5c5832935a</v>
      </c>
      <c r="B241" s="13"/>
      <c r="C241" s="13" t="s">
        <v>46</v>
      </c>
      <c r="D241" s="68"/>
      <c r="E241" s="69" t="s">
        <v>573</v>
      </c>
      <c r="F241" s="69" t="s">
        <v>574</v>
      </c>
      <c r="G241" s="58" t="s">
        <v>575</v>
      </c>
      <c r="H241" s="44" t="s">
        <v>576</v>
      </c>
      <c r="I241" s="44" t="s">
        <v>577</v>
      </c>
      <c r="J241" s="69" t="s">
        <v>578</v>
      </c>
      <c r="K241" s="63"/>
      <c r="L241" s="45"/>
      <c r="M241" s="46"/>
      <c r="N241" s="47" t="b">
        <v>0</v>
      </c>
      <c r="O241" s="48" t="b">
        <v>1</v>
      </c>
      <c r="P241" s="6"/>
      <c r="Q241" s="6"/>
      <c r="R241" s="6"/>
      <c r="S241" s="6"/>
      <c r="T241" s="6"/>
      <c r="U241" s="6"/>
      <c r="V241" s="6"/>
      <c r="W241" s="6"/>
      <c r="X241" s="6"/>
      <c r="Y241" s="6"/>
      <c r="Z241" s="6"/>
      <c r="AA241" s="6"/>
      <c r="AB241" s="6"/>
    </row>
    <row r="242" hidden="1">
      <c r="A242" s="13" t="str">
        <f t="shared" si="1"/>
        <v>601bb0e2a722c340071836ca</v>
      </c>
      <c r="B242" s="13"/>
      <c r="C242" s="13" t="s">
        <v>46</v>
      </c>
      <c r="D242" s="14"/>
      <c r="E242" s="15" t="s">
        <v>579</v>
      </c>
      <c r="F242" s="15" t="s">
        <v>580</v>
      </c>
      <c r="G242" s="16" t="s">
        <v>97</v>
      </c>
      <c r="H242" s="18" t="s">
        <v>581</v>
      </c>
      <c r="I242" s="18" t="s">
        <v>582</v>
      </c>
      <c r="J242" s="62" t="s">
        <v>583</v>
      </c>
      <c r="K242" s="23"/>
      <c r="L242" s="18">
        <v>9.0</v>
      </c>
      <c r="M242" s="24" t="str">
        <f>VLOOKUP(E242,'Hedef Liste'!A:I,8,false)</f>
        <v>#N/A</v>
      </c>
      <c r="N242" s="6" t="b">
        <v>0</v>
      </c>
      <c r="O242" s="6" t="b">
        <v>0</v>
      </c>
      <c r="P242" s="6"/>
      <c r="Q242" s="6"/>
      <c r="R242" s="6"/>
      <c r="S242" s="6"/>
      <c r="T242" s="6"/>
      <c r="U242" s="6"/>
      <c r="V242" s="6"/>
      <c r="W242" s="6"/>
      <c r="X242" s="6"/>
      <c r="Y242" s="6"/>
      <c r="Z242" s="6"/>
      <c r="AA242" s="6"/>
      <c r="AB242" s="6"/>
    </row>
    <row r="243" hidden="1">
      <c r="A243" s="13" t="str">
        <f t="shared" si="1"/>
        <v/>
      </c>
      <c r="B243" s="13"/>
      <c r="C243" s="13" t="s">
        <v>46</v>
      </c>
      <c r="D243" s="8"/>
      <c r="E243" s="30"/>
      <c r="F243" s="8"/>
      <c r="G243" s="93"/>
      <c r="H243" s="30"/>
      <c r="I243" s="30"/>
      <c r="J243" s="30"/>
      <c r="K243" s="81"/>
      <c r="L243" s="8"/>
      <c r="M243" s="28"/>
      <c r="N243" s="6" t="b">
        <v>0</v>
      </c>
      <c r="O243" s="6" t="b">
        <v>0</v>
      </c>
      <c r="P243" s="6"/>
      <c r="Q243" s="6"/>
      <c r="R243" s="6"/>
      <c r="S243" s="6"/>
      <c r="T243" s="6"/>
      <c r="U243" s="6"/>
      <c r="V243" s="6"/>
      <c r="W243" s="6"/>
      <c r="X243" s="6"/>
      <c r="Y243" s="6"/>
      <c r="Z243" s="6"/>
      <c r="AA243" s="6"/>
      <c r="AB243" s="6"/>
    </row>
    <row r="244" hidden="1">
      <c r="A244" s="13" t="str">
        <f t="shared" si="1"/>
        <v/>
      </c>
      <c r="B244" s="13"/>
      <c r="C244" s="13" t="s">
        <v>46</v>
      </c>
      <c r="D244" s="8"/>
      <c r="E244" s="8"/>
      <c r="F244" s="8"/>
      <c r="G244" s="29"/>
      <c r="H244" s="8"/>
      <c r="I244" s="8"/>
      <c r="J244" s="8"/>
      <c r="K244" s="8"/>
      <c r="L244" s="30"/>
      <c r="M244" s="31"/>
      <c r="N244" s="6" t="b">
        <v>0</v>
      </c>
      <c r="O244" s="6" t="b">
        <v>0</v>
      </c>
      <c r="P244" s="6"/>
      <c r="Q244" s="6"/>
      <c r="R244" s="6"/>
      <c r="S244" s="6"/>
      <c r="T244" s="6"/>
      <c r="U244" s="6"/>
      <c r="V244" s="6"/>
      <c r="W244" s="6"/>
      <c r="X244" s="6"/>
      <c r="Y244" s="6"/>
      <c r="Z244" s="6"/>
      <c r="AA244" s="6"/>
      <c r="AB244" s="6"/>
    </row>
    <row r="245" hidden="1">
      <c r="A245" s="13" t="str">
        <f t="shared" si="1"/>
        <v/>
      </c>
      <c r="B245" s="13"/>
      <c r="C245" s="13" t="s">
        <v>60</v>
      </c>
      <c r="D245" s="8"/>
      <c r="E245" s="8"/>
      <c r="F245" s="8"/>
      <c r="G245" s="29"/>
      <c r="H245" s="8"/>
      <c r="I245" s="8"/>
      <c r="J245" s="8"/>
      <c r="K245" s="34"/>
      <c r="L245" s="8"/>
      <c r="M245" s="28"/>
      <c r="N245" s="6" t="b">
        <v>0</v>
      </c>
      <c r="O245" s="6" t="b">
        <v>0</v>
      </c>
      <c r="P245" s="6"/>
      <c r="Q245" s="6"/>
      <c r="R245" s="6"/>
      <c r="S245" s="6"/>
      <c r="T245" s="6"/>
      <c r="U245" s="6"/>
      <c r="V245" s="6"/>
      <c r="W245" s="6"/>
      <c r="X245" s="6"/>
      <c r="Y245" s="6"/>
      <c r="Z245" s="6"/>
      <c r="AA245" s="6"/>
      <c r="AB245" s="6"/>
    </row>
    <row r="246" hidden="1">
      <c r="A246" s="13" t="str">
        <f t="shared" si="1"/>
        <v>5fd5e3ed87425e07c57c1374</v>
      </c>
      <c r="B246" s="13"/>
      <c r="C246" s="13" t="s">
        <v>60</v>
      </c>
      <c r="D246" s="14"/>
      <c r="E246" s="15" t="s">
        <v>584</v>
      </c>
      <c r="F246" s="15" t="s">
        <v>585</v>
      </c>
      <c r="G246" s="22">
        <v>0.4166666666666667</v>
      </c>
      <c r="H246" s="18" t="s">
        <v>586</v>
      </c>
      <c r="I246" s="18" t="s">
        <v>587</v>
      </c>
      <c r="J246" s="15" t="s">
        <v>588</v>
      </c>
      <c r="K246" s="19"/>
      <c r="L246" s="18">
        <v>6.0</v>
      </c>
      <c r="M246" s="24" t="str">
        <f>VLOOKUP(E246,'Hedef Liste'!A:I,8,false)</f>
        <v>#N/A</v>
      </c>
      <c r="N246" s="6" t="b">
        <v>0</v>
      </c>
      <c r="O246" s="6" t="b">
        <v>0</v>
      </c>
      <c r="P246" s="6"/>
      <c r="Q246" s="6"/>
      <c r="R246" s="6"/>
      <c r="S246" s="6"/>
      <c r="T246" s="6"/>
      <c r="U246" s="6"/>
      <c r="V246" s="6"/>
      <c r="W246" s="6"/>
      <c r="X246" s="6"/>
      <c r="Y246" s="6"/>
      <c r="Z246" s="6"/>
      <c r="AA246" s="6"/>
      <c r="AB246" s="6"/>
    </row>
    <row r="247" hidden="1">
      <c r="A247" s="13" t="str">
        <f t="shared" si="1"/>
        <v>5f71b8669061b170ca2dfe65</v>
      </c>
      <c r="B247" s="13"/>
      <c r="C247" s="13" t="s">
        <v>60</v>
      </c>
      <c r="D247" s="61"/>
      <c r="E247" s="62" t="s">
        <v>589</v>
      </c>
      <c r="F247" s="62" t="s">
        <v>590</v>
      </c>
      <c r="G247" s="16" t="s">
        <v>449</v>
      </c>
      <c r="H247" s="18" t="s">
        <v>586</v>
      </c>
      <c r="I247" s="18" t="s">
        <v>591</v>
      </c>
      <c r="J247" s="62" t="s">
        <v>592</v>
      </c>
      <c r="K247" s="19"/>
      <c r="L247" s="18">
        <v>14.0</v>
      </c>
      <c r="M247" s="20">
        <f>VLOOKUP(E247,'Hedef Liste'!A:I,8,false)</f>
        <v>24</v>
      </c>
      <c r="N247" s="6" t="b">
        <v>0</v>
      </c>
      <c r="O247" s="6" t="b">
        <v>0</v>
      </c>
      <c r="P247" s="6"/>
      <c r="Q247" s="6"/>
      <c r="R247" s="6"/>
      <c r="S247" s="6"/>
      <c r="T247" s="6"/>
      <c r="U247" s="6"/>
      <c r="V247" s="6"/>
      <c r="W247" s="6"/>
      <c r="X247" s="6"/>
      <c r="Y247" s="6"/>
      <c r="Z247" s="6"/>
      <c r="AA247" s="6"/>
      <c r="AB247" s="6"/>
    </row>
    <row r="248" hidden="1">
      <c r="A248" s="13" t="str">
        <f t="shared" si="1"/>
        <v>5f3e1c7760b5483845d2a06f</v>
      </c>
      <c r="B248" s="13"/>
      <c r="C248" s="13" t="s">
        <v>60</v>
      </c>
      <c r="D248" s="14"/>
      <c r="E248" s="15" t="s">
        <v>593</v>
      </c>
      <c r="F248" s="15" t="s">
        <v>594</v>
      </c>
      <c r="G248" s="22">
        <v>0.6041666666666666</v>
      </c>
      <c r="H248" s="27" t="s">
        <v>595</v>
      </c>
      <c r="I248" s="27" t="s">
        <v>596</v>
      </c>
      <c r="J248" s="15" t="s">
        <v>597</v>
      </c>
      <c r="K248" s="23"/>
      <c r="L248" s="18">
        <v>8.0</v>
      </c>
      <c r="M248" s="20">
        <f>VLOOKUP(E248,'Hedef Liste'!A:I,8,false)</f>
        <v>5</v>
      </c>
      <c r="N248" s="6" t="b">
        <v>0</v>
      </c>
      <c r="O248" s="6" t="b">
        <v>0</v>
      </c>
      <c r="P248" s="6"/>
      <c r="Q248" s="6"/>
      <c r="R248" s="6"/>
      <c r="S248" s="6"/>
      <c r="T248" s="6"/>
      <c r="U248" s="6"/>
      <c r="V248" s="6"/>
      <c r="W248" s="6"/>
      <c r="X248" s="6"/>
      <c r="Y248" s="6"/>
      <c r="Z248" s="6"/>
      <c r="AA248" s="6"/>
      <c r="AB248" s="6"/>
    </row>
    <row r="249" hidden="1">
      <c r="A249" s="13" t="str">
        <f t="shared" si="1"/>
        <v>5f35b52dcd664a67516ad5c1</v>
      </c>
      <c r="B249" s="13"/>
      <c r="C249" s="13" t="s">
        <v>60</v>
      </c>
      <c r="D249" s="61"/>
      <c r="E249" s="73" t="s">
        <v>598</v>
      </c>
      <c r="F249" s="73" t="s">
        <v>599</v>
      </c>
      <c r="G249" s="43">
        <v>0.6666666666666666</v>
      </c>
      <c r="H249" s="44" t="s">
        <v>496</v>
      </c>
      <c r="I249" s="44" t="s">
        <v>600</v>
      </c>
      <c r="J249" s="73" t="s">
        <v>601</v>
      </c>
      <c r="K249" s="44" t="s">
        <v>602</v>
      </c>
      <c r="L249" s="45"/>
      <c r="M249" s="46"/>
      <c r="N249" s="47" t="b">
        <v>0</v>
      </c>
      <c r="O249" s="48" t="b">
        <v>1</v>
      </c>
      <c r="P249" s="6"/>
      <c r="Q249" s="6"/>
      <c r="R249" s="6"/>
      <c r="S249" s="6"/>
      <c r="T249" s="6"/>
      <c r="U249" s="6"/>
      <c r="V249" s="6"/>
      <c r="W249" s="6"/>
      <c r="X249" s="6"/>
      <c r="Y249" s="6"/>
      <c r="Z249" s="6"/>
      <c r="AA249" s="6"/>
      <c r="AB249" s="6"/>
    </row>
    <row r="250" hidden="1">
      <c r="A250" s="13" t="str">
        <f t="shared" si="1"/>
        <v/>
      </c>
      <c r="B250" s="13"/>
      <c r="C250" s="13" t="s">
        <v>60</v>
      </c>
      <c r="D250" s="8"/>
      <c r="E250" s="8"/>
      <c r="F250" s="8"/>
      <c r="G250" s="29"/>
      <c r="H250" s="8"/>
      <c r="I250" s="8"/>
      <c r="J250" s="8"/>
      <c r="K250" s="8"/>
      <c r="L250" s="30"/>
      <c r="M250" s="31"/>
      <c r="N250" s="6" t="b">
        <v>0</v>
      </c>
      <c r="O250" s="6" t="b">
        <v>0</v>
      </c>
      <c r="P250" s="6"/>
      <c r="Q250" s="6"/>
      <c r="R250" s="6"/>
      <c r="S250" s="6"/>
      <c r="T250" s="6"/>
      <c r="U250" s="6"/>
      <c r="V250" s="6"/>
      <c r="W250" s="6"/>
      <c r="X250" s="6"/>
      <c r="Y250" s="6"/>
      <c r="Z250" s="6"/>
      <c r="AA250" s="6"/>
      <c r="AB250" s="6"/>
    </row>
    <row r="251" hidden="1">
      <c r="A251" s="13" t="str">
        <f t="shared" si="1"/>
        <v/>
      </c>
      <c r="B251" s="94"/>
      <c r="C251" s="94">
        <v>44249.0</v>
      </c>
      <c r="D251" s="8"/>
      <c r="E251" s="9"/>
      <c r="F251" s="10"/>
      <c r="G251" s="10"/>
      <c r="H251" s="10"/>
      <c r="I251" s="10"/>
      <c r="J251" s="10"/>
      <c r="K251" s="10"/>
      <c r="L251" s="11"/>
      <c r="M251" s="12"/>
      <c r="N251" s="6"/>
      <c r="O251" s="6"/>
      <c r="P251" s="6"/>
      <c r="Q251" s="6"/>
      <c r="R251" s="6"/>
      <c r="S251" s="6"/>
      <c r="T251" s="6"/>
      <c r="U251" s="6"/>
      <c r="V251" s="6"/>
      <c r="W251" s="6"/>
      <c r="X251" s="6"/>
      <c r="Y251" s="6"/>
      <c r="Z251" s="6"/>
      <c r="AA251" s="6"/>
      <c r="AB251" s="6"/>
    </row>
    <row r="252" hidden="1">
      <c r="A252" s="13" t="str">
        <f t="shared" si="1"/>
        <v/>
      </c>
      <c r="B252" s="13"/>
      <c r="C252" s="13" t="s">
        <v>13</v>
      </c>
      <c r="D252" s="6"/>
      <c r="E252" s="6"/>
      <c r="F252" s="6"/>
      <c r="G252" s="26"/>
      <c r="H252" s="6"/>
      <c r="I252" s="6"/>
      <c r="J252" s="6"/>
      <c r="K252" s="34"/>
      <c r="L252" s="8"/>
      <c r="M252" s="28"/>
      <c r="N252" s="6" t="b">
        <v>0</v>
      </c>
      <c r="O252" s="6" t="b">
        <v>0</v>
      </c>
      <c r="P252" s="6"/>
      <c r="Q252" s="6"/>
      <c r="R252" s="6"/>
      <c r="S252" s="6"/>
      <c r="T252" s="6"/>
      <c r="U252" s="6"/>
      <c r="V252" s="6"/>
      <c r="W252" s="6"/>
      <c r="X252" s="6"/>
      <c r="Y252" s="6"/>
      <c r="Z252" s="6"/>
      <c r="AA252" s="6"/>
      <c r="AB252" s="6"/>
    </row>
    <row r="253" hidden="1">
      <c r="A253" s="13" t="str">
        <f t="shared" si="1"/>
        <v>5f81dfbcfda822a0d308e15b</v>
      </c>
      <c r="B253" s="13"/>
      <c r="C253" s="13" t="s">
        <v>13</v>
      </c>
      <c r="D253" s="14"/>
      <c r="E253" s="42" t="s">
        <v>603</v>
      </c>
      <c r="F253" s="42" t="s">
        <v>604</v>
      </c>
      <c r="G253" s="74">
        <v>0.4166666666666667</v>
      </c>
      <c r="H253" s="44" t="s">
        <v>269</v>
      </c>
      <c r="I253" s="48" t="s">
        <v>605</v>
      </c>
      <c r="J253" s="42" t="s">
        <v>606</v>
      </c>
      <c r="K253" s="44" t="s">
        <v>607</v>
      </c>
      <c r="L253" s="45"/>
      <c r="M253" s="46"/>
      <c r="N253" s="47" t="b">
        <v>0</v>
      </c>
      <c r="O253" s="47" t="b">
        <v>0</v>
      </c>
      <c r="P253" s="6"/>
      <c r="Q253" s="6"/>
      <c r="R253" s="6"/>
      <c r="S253" s="6"/>
      <c r="T253" s="6"/>
      <c r="U253" s="6"/>
      <c r="V253" s="6"/>
      <c r="W253" s="6"/>
      <c r="X253" s="6"/>
      <c r="Y253" s="6"/>
      <c r="Z253" s="6"/>
      <c r="AA253" s="6"/>
      <c r="AB253" s="6"/>
    </row>
    <row r="254" hidden="1">
      <c r="A254" s="13" t="str">
        <f t="shared" si="1"/>
        <v>5f84bf05a32e994404394e65</v>
      </c>
      <c r="B254" s="13"/>
      <c r="C254" s="13" t="s">
        <v>13</v>
      </c>
      <c r="D254" s="61"/>
      <c r="E254" s="62" t="s">
        <v>608</v>
      </c>
      <c r="F254" s="62" t="s">
        <v>609</v>
      </c>
      <c r="G254" s="95" t="s">
        <v>337</v>
      </c>
      <c r="H254" s="18" t="s">
        <v>610</v>
      </c>
      <c r="I254" s="18" t="s">
        <v>611</v>
      </c>
      <c r="J254" s="75" t="s">
        <v>612</v>
      </c>
      <c r="K254" s="19"/>
      <c r="L254" s="18">
        <v>30.0</v>
      </c>
      <c r="M254" s="24" t="str">
        <f>VLOOKUP(E254,'Hedef Liste'!A:I,8,false)</f>
        <v>#N/A</v>
      </c>
      <c r="N254" s="6" t="b">
        <v>0</v>
      </c>
      <c r="O254" s="6" t="b">
        <v>0</v>
      </c>
      <c r="P254" s="6"/>
      <c r="Q254" s="6"/>
      <c r="R254" s="6"/>
      <c r="S254" s="6"/>
      <c r="T254" s="6"/>
      <c r="U254" s="6"/>
      <c r="V254" s="6"/>
      <c r="W254" s="6"/>
      <c r="X254" s="6"/>
      <c r="Y254" s="6"/>
      <c r="Z254" s="6"/>
      <c r="AA254" s="6"/>
      <c r="AB254" s="6"/>
    </row>
    <row r="255" hidden="1">
      <c r="A255" s="13" t="str">
        <f t="shared" si="1"/>
        <v>5ffb7adb3cc99f628ecc8f56</v>
      </c>
      <c r="B255" s="13"/>
      <c r="C255" s="13" t="s">
        <v>13</v>
      </c>
      <c r="D255" s="61"/>
      <c r="E255" s="62" t="s">
        <v>613</v>
      </c>
      <c r="F255" s="75" t="s">
        <v>614</v>
      </c>
      <c r="G255" s="16" t="s">
        <v>292</v>
      </c>
      <c r="H255" s="18" t="s">
        <v>615</v>
      </c>
      <c r="I255" s="18" t="s">
        <v>616</v>
      </c>
      <c r="J255" s="75" t="s">
        <v>617</v>
      </c>
      <c r="K255" s="23"/>
      <c r="L255" s="18">
        <v>19.0</v>
      </c>
      <c r="M255" s="20">
        <f>VLOOKUP(E255,'Hedef Liste'!A:I,8,false)</f>
        <v>9</v>
      </c>
      <c r="N255" s="6" t="b">
        <v>0</v>
      </c>
      <c r="O255" s="6" t="b">
        <v>0</v>
      </c>
      <c r="P255" s="6"/>
      <c r="Q255" s="6"/>
      <c r="R255" s="6"/>
      <c r="S255" s="6"/>
      <c r="T255" s="6"/>
      <c r="U255" s="6"/>
      <c r="V255" s="6"/>
      <c r="W255" s="6"/>
      <c r="X255" s="6"/>
      <c r="Y255" s="6"/>
      <c r="Z255" s="6"/>
      <c r="AA255" s="6"/>
      <c r="AB255" s="6"/>
    </row>
    <row r="256" hidden="1">
      <c r="A256" s="13" t="str">
        <f t="shared" si="1"/>
        <v>5fb86a00493fa54a8c224e04</v>
      </c>
      <c r="B256" s="13"/>
      <c r="C256" s="13" t="s">
        <v>13</v>
      </c>
      <c r="D256" s="68"/>
      <c r="E256" s="75" t="s">
        <v>618</v>
      </c>
      <c r="F256" s="18" t="s">
        <v>619</v>
      </c>
      <c r="G256" s="16" t="s">
        <v>378</v>
      </c>
      <c r="H256" s="18" t="s">
        <v>610</v>
      </c>
      <c r="I256" s="18" t="s">
        <v>620</v>
      </c>
      <c r="J256" s="18" t="s">
        <v>621</v>
      </c>
      <c r="K256" s="19"/>
      <c r="L256" s="18">
        <v>18.0</v>
      </c>
      <c r="M256" s="24" t="str">
        <f>VLOOKUP(E256,'Hedef Liste'!A:I,8,false)</f>
        <v>#N/A</v>
      </c>
      <c r="N256" s="6" t="b">
        <v>0</v>
      </c>
      <c r="O256" s="6" t="b">
        <v>0</v>
      </c>
      <c r="P256" s="6"/>
      <c r="Q256" s="6"/>
      <c r="R256" s="6"/>
      <c r="S256" s="6"/>
      <c r="T256" s="6"/>
      <c r="U256" s="6"/>
      <c r="V256" s="6"/>
      <c r="W256" s="6"/>
      <c r="X256" s="6"/>
      <c r="Y256" s="6"/>
      <c r="Z256" s="6"/>
      <c r="AA256" s="6"/>
      <c r="AB256" s="6"/>
    </row>
    <row r="257" hidden="1">
      <c r="A257" s="13" t="str">
        <f t="shared" si="1"/>
        <v/>
      </c>
      <c r="B257" s="13"/>
      <c r="C257" s="13" t="s">
        <v>13</v>
      </c>
      <c r="D257" s="8"/>
      <c r="E257" s="8"/>
      <c r="F257" s="8"/>
      <c r="G257" s="29"/>
      <c r="H257" s="8"/>
      <c r="I257" s="8"/>
      <c r="J257" s="8"/>
      <c r="K257" s="8"/>
      <c r="L257" s="30"/>
      <c r="M257" s="31"/>
      <c r="N257" s="6" t="b">
        <v>0</v>
      </c>
      <c r="O257" s="6" t="b">
        <v>0</v>
      </c>
      <c r="P257" s="6"/>
      <c r="Q257" s="6"/>
      <c r="R257" s="6"/>
      <c r="S257" s="6"/>
      <c r="T257" s="6"/>
      <c r="U257" s="6"/>
      <c r="V257" s="6"/>
      <c r="W257" s="6"/>
      <c r="X257" s="6"/>
      <c r="Y257" s="6"/>
      <c r="Z257" s="6"/>
      <c r="AA257" s="6"/>
      <c r="AB257" s="6"/>
    </row>
    <row r="258" hidden="1">
      <c r="A258" s="13" t="str">
        <f t="shared" si="1"/>
        <v/>
      </c>
      <c r="B258" s="13"/>
      <c r="C258" s="13" t="s">
        <v>31</v>
      </c>
      <c r="D258" s="8"/>
      <c r="E258" s="8"/>
      <c r="F258" s="8"/>
      <c r="G258" s="29"/>
      <c r="H258" s="8"/>
      <c r="I258" s="8"/>
      <c r="J258" s="8"/>
      <c r="K258" s="34"/>
      <c r="L258" s="8"/>
      <c r="M258" s="28"/>
      <c r="N258" s="6" t="b">
        <v>0</v>
      </c>
      <c r="O258" s="6" t="b">
        <v>0</v>
      </c>
      <c r="P258" s="6"/>
      <c r="Q258" s="6"/>
      <c r="R258" s="6"/>
      <c r="S258" s="6"/>
      <c r="T258" s="6"/>
      <c r="U258" s="6"/>
      <c r="V258" s="6"/>
      <c r="W258" s="6"/>
      <c r="X258" s="6"/>
      <c r="Y258" s="6"/>
      <c r="Z258" s="6"/>
      <c r="AA258" s="6"/>
      <c r="AB258" s="6"/>
    </row>
    <row r="259" hidden="1">
      <c r="A259" s="13" t="str">
        <f t="shared" si="1"/>
        <v>5fac7e45001ef3cb071fc582</v>
      </c>
      <c r="B259" s="13"/>
      <c r="C259" s="13" t="s">
        <v>31</v>
      </c>
      <c r="D259" s="61"/>
      <c r="E259" s="62" t="s">
        <v>622</v>
      </c>
      <c r="F259" s="62" t="s">
        <v>623</v>
      </c>
      <c r="G259" s="40">
        <v>0.4583333333333333</v>
      </c>
      <c r="H259" s="18" t="s">
        <v>269</v>
      </c>
      <c r="I259" s="18" t="s">
        <v>624</v>
      </c>
      <c r="J259" s="62" t="s">
        <v>625</v>
      </c>
      <c r="K259" s="19"/>
      <c r="L259" s="18">
        <v>27.0</v>
      </c>
      <c r="M259" s="24" t="str">
        <f>VLOOKUP(E259,'Hedef Liste'!A:I,8,false)</f>
        <v>#N/A</v>
      </c>
      <c r="N259" s="6" t="b">
        <v>0</v>
      </c>
      <c r="O259" s="6" t="b">
        <v>0</v>
      </c>
      <c r="P259" s="6"/>
      <c r="Q259" s="6"/>
      <c r="R259" s="6"/>
      <c r="S259" s="6"/>
      <c r="T259" s="6"/>
      <c r="U259" s="6"/>
      <c r="V259" s="6"/>
      <c r="W259" s="6"/>
      <c r="X259" s="6"/>
      <c r="Y259" s="6"/>
      <c r="Z259" s="6"/>
      <c r="AA259" s="6"/>
      <c r="AB259" s="6"/>
    </row>
    <row r="260" hidden="1">
      <c r="A260" s="13" t="str">
        <f t="shared" si="1"/>
        <v>5ff1265e8365ab298a8fbe77</v>
      </c>
      <c r="B260" s="13"/>
      <c r="C260" s="13" t="s">
        <v>31</v>
      </c>
      <c r="D260" s="61"/>
      <c r="E260" s="62" t="s">
        <v>626</v>
      </c>
      <c r="F260" s="62" t="s">
        <v>627</v>
      </c>
      <c r="G260" s="16" t="s">
        <v>109</v>
      </c>
      <c r="H260" s="18" t="s">
        <v>536</v>
      </c>
      <c r="I260" s="18" t="s">
        <v>628</v>
      </c>
      <c r="J260" s="62" t="s">
        <v>629</v>
      </c>
      <c r="K260" s="19"/>
      <c r="L260" s="18">
        <v>13.0</v>
      </c>
      <c r="M260" s="20">
        <f>VLOOKUP(E260,'Hedef Liste'!A:I,8,false)</f>
        <v>17</v>
      </c>
      <c r="N260" s="6" t="b">
        <v>0</v>
      </c>
      <c r="O260" s="6" t="b">
        <v>0</v>
      </c>
      <c r="P260" s="6"/>
      <c r="Q260" s="6"/>
      <c r="R260" s="6"/>
      <c r="S260" s="6"/>
      <c r="T260" s="6"/>
      <c r="U260" s="6"/>
      <c r="V260" s="6"/>
      <c r="W260" s="6"/>
      <c r="X260" s="6"/>
      <c r="Y260" s="6"/>
      <c r="Z260" s="6"/>
      <c r="AA260" s="6"/>
      <c r="AB260" s="6"/>
    </row>
    <row r="261" hidden="1">
      <c r="A261" s="13" t="str">
        <f t="shared" si="1"/>
        <v>5fcad96637964802fd94d7a5</v>
      </c>
      <c r="B261" s="13"/>
      <c r="C261" s="13" t="s">
        <v>31</v>
      </c>
      <c r="D261" s="61"/>
      <c r="E261" s="62" t="s">
        <v>630</v>
      </c>
      <c r="F261" s="62" t="s">
        <v>631</v>
      </c>
      <c r="G261" s="22">
        <v>0.6041666666666666</v>
      </c>
      <c r="H261" s="18" t="s">
        <v>536</v>
      </c>
      <c r="I261" s="18" t="s">
        <v>632</v>
      </c>
      <c r="J261" s="62" t="s">
        <v>633</v>
      </c>
      <c r="K261" s="23"/>
      <c r="L261" s="18">
        <v>23.0</v>
      </c>
      <c r="M261" s="20">
        <f>VLOOKUP(E261,'Hedef Liste'!A:I,8,false)</f>
        <v>16</v>
      </c>
      <c r="N261" s="6" t="b">
        <v>0</v>
      </c>
      <c r="O261" s="6" t="b">
        <v>0</v>
      </c>
      <c r="P261" s="6"/>
      <c r="Q261" s="6"/>
      <c r="R261" s="6"/>
      <c r="S261" s="6"/>
      <c r="T261" s="6"/>
      <c r="U261" s="6"/>
      <c r="V261" s="6"/>
      <c r="W261" s="6"/>
      <c r="X261" s="6"/>
      <c r="Y261" s="6"/>
      <c r="Z261" s="6"/>
      <c r="AA261" s="6"/>
      <c r="AB261" s="6"/>
    </row>
    <row r="262" hidden="1">
      <c r="A262" s="13" t="str">
        <f t="shared" si="1"/>
        <v>5f730d9badafa077e1cbedf0</v>
      </c>
      <c r="B262" s="13"/>
      <c r="C262" s="13" t="s">
        <v>31</v>
      </c>
      <c r="D262" s="61"/>
      <c r="E262" s="62" t="s">
        <v>634</v>
      </c>
      <c r="F262" s="62" t="s">
        <v>635</v>
      </c>
      <c r="G262" s="16" t="s">
        <v>97</v>
      </c>
      <c r="H262" s="18" t="s">
        <v>536</v>
      </c>
      <c r="I262" s="18" t="s">
        <v>636</v>
      </c>
      <c r="J262" s="62" t="s">
        <v>637</v>
      </c>
      <c r="K262" s="19"/>
      <c r="L262" s="18">
        <v>16.0</v>
      </c>
      <c r="M262" s="20">
        <f>VLOOKUP(E262,'Hedef Liste'!A:I,8,false)</f>
        <v>18</v>
      </c>
      <c r="N262" s="6" t="b">
        <v>0</v>
      </c>
      <c r="O262" s="6" t="b">
        <v>0</v>
      </c>
      <c r="P262" s="6"/>
      <c r="Q262" s="6"/>
      <c r="R262" s="6"/>
      <c r="S262" s="6"/>
      <c r="T262" s="6"/>
      <c r="U262" s="6"/>
      <c r="V262" s="6"/>
      <c r="W262" s="6"/>
      <c r="X262" s="6"/>
      <c r="Y262" s="6"/>
      <c r="Z262" s="6"/>
      <c r="AA262" s="6"/>
      <c r="AB262" s="6"/>
    </row>
    <row r="263" hidden="1">
      <c r="A263" s="13" t="str">
        <f t="shared" si="1"/>
        <v/>
      </c>
      <c r="B263" s="13"/>
      <c r="C263" s="13" t="s">
        <v>31</v>
      </c>
      <c r="D263" s="8"/>
      <c r="E263" s="8"/>
      <c r="F263" s="8"/>
      <c r="G263" s="29"/>
      <c r="H263" s="8"/>
      <c r="I263" s="8"/>
      <c r="J263" s="8"/>
      <c r="K263" s="8"/>
      <c r="L263" s="30"/>
      <c r="M263" s="31"/>
      <c r="N263" s="6" t="b">
        <v>0</v>
      </c>
      <c r="O263" s="6" t="b">
        <v>0</v>
      </c>
      <c r="P263" s="6"/>
      <c r="Q263" s="6"/>
      <c r="R263" s="6"/>
      <c r="S263" s="6"/>
      <c r="T263" s="6"/>
      <c r="U263" s="6"/>
      <c r="V263" s="6"/>
      <c r="W263" s="6"/>
      <c r="X263" s="6"/>
      <c r="Y263" s="6"/>
      <c r="Z263" s="6"/>
      <c r="AA263" s="6"/>
      <c r="AB263" s="6"/>
    </row>
    <row r="264" hidden="1">
      <c r="A264" s="13" t="str">
        <f t="shared" si="1"/>
        <v/>
      </c>
      <c r="B264" s="13"/>
      <c r="C264" s="13" t="s">
        <v>46</v>
      </c>
      <c r="D264" s="8"/>
      <c r="E264" s="8"/>
      <c r="F264" s="8"/>
      <c r="G264" s="29"/>
      <c r="H264" s="8"/>
      <c r="I264" s="8"/>
      <c r="J264" s="8"/>
      <c r="K264" s="34"/>
      <c r="L264" s="8"/>
      <c r="M264" s="28"/>
      <c r="N264" s="6" t="b">
        <v>0</v>
      </c>
      <c r="O264" s="6" t="b">
        <v>0</v>
      </c>
      <c r="P264" s="6"/>
      <c r="Q264" s="6"/>
      <c r="R264" s="6"/>
      <c r="S264" s="6"/>
      <c r="T264" s="6"/>
      <c r="U264" s="6"/>
      <c r="V264" s="6"/>
      <c r="W264" s="6"/>
      <c r="X264" s="6"/>
      <c r="Y264" s="6"/>
      <c r="Z264" s="6"/>
      <c r="AA264" s="6"/>
      <c r="AB264" s="6"/>
    </row>
    <row r="265" hidden="1">
      <c r="A265" s="13" t="str">
        <f t="shared" si="1"/>
        <v/>
      </c>
      <c r="B265" s="13"/>
      <c r="C265" s="13" t="s">
        <v>46</v>
      </c>
      <c r="D265" s="6"/>
      <c r="E265" s="6"/>
      <c r="F265" s="6"/>
      <c r="G265" s="26"/>
      <c r="H265" s="6"/>
      <c r="I265" s="6"/>
      <c r="J265" s="6"/>
      <c r="K265" s="34"/>
      <c r="L265" s="8"/>
      <c r="M265" s="28"/>
      <c r="N265" s="6" t="b">
        <v>0</v>
      </c>
      <c r="O265" s="6" t="b">
        <v>0</v>
      </c>
      <c r="P265" s="6"/>
      <c r="Q265" s="6"/>
      <c r="R265" s="6"/>
      <c r="S265" s="6"/>
      <c r="T265" s="6"/>
      <c r="U265" s="6"/>
      <c r="V265" s="6"/>
      <c r="W265" s="6"/>
      <c r="X265" s="6"/>
      <c r="Y265" s="6"/>
      <c r="Z265" s="6"/>
      <c r="AA265" s="6"/>
      <c r="AB265" s="6"/>
    </row>
    <row r="266" hidden="1">
      <c r="A266" s="13" t="str">
        <f t="shared" si="1"/>
        <v/>
      </c>
      <c r="B266" s="13"/>
      <c r="C266" s="13" t="s">
        <v>46</v>
      </c>
      <c r="D266" s="6"/>
      <c r="E266" s="6"/>
      <c r="F266" s="6"/>
      <c r="G266" s="26"/>
      <c r="H266" s="6"/>
      <c r="I266" s="6"/>
      <c r="J266" s="6"/>
      <c r="K266" s="34"/>
      <c r="L266" s="8"/>
      <c r="M266" s="28"/>
      <c r="N266" s="6" t="b">
        <v>0</v>
      </c>
      <c r="O266" s="6" t="b">
        <v>0</v>
      </c>
      <c r="P266" s="6"/>
      <c r="Q266" s="6"/>
      <c r="R266" s="6"/>
      <c r="S266" s="6"/>
      <c r="T266" s="6"/>
      <c r="U266" s="6"/>
      <c r="V266" s="6"/>
      <c r="W266" s="6"/>
      <c r="X266" s="6"/>
      <c r="Y266" s="6"/>
      <c r="Z266" s="6"/>
      <c r="AA266" s="6"/>
      <c r="AB266" s="6"/>
    </row>
    <row r="267" hidden="1">
      <c r="A267" s="13" t="str">
        <f t="shared" si="1"/>
        <v/>
      </c>
      <c r="B267" s="13"/>
      <c r="C267" s="13" t="s">
        <v>46</v>
      </c>
      <c r="D267" s="6"/>
      <c r="E267" s="6"/>
      <c r="F267" s="6"/>
      <c r="G267" s="26"/>
      <c r="H267" s="6"/>
      <c r="I267" s="6"/>
      <c r="J267" s="6"/>
      <c r="K267" s="39"/>
      <c r="L267" s="8"/>
      <c r="M267" s="28"/>
      <c r="N267" s="6" t="b">
        <v>0</v>
      </c>
      <c r="O267" s="6" t="b">
        <v>0</v>
      </c>
      <c r="P267" s="6"/>
      <c r="Q267" s="6"/>
      <c r="R267" s="6"/>
      <c r="S267" s="6"/>
      <c r="T267" s="6"/>
      <c r="U267" s="6"/>
      <c r="V267" s="6"/>
      <c r="W267" s="6"/>
      <c r="X267" s="6"/>
      <c r="Y267" s="6"/>
      <c r="Z267" s="6"/>
      <c r="AA267" s="6"/>
      <c r="AB267" s="6"/>
    </row>
    <row r="268" hidden="1">
      <c r="A268" s="13" t="str">
        <f t="shared" si="1"/>
        <v/>
      </c>
      <c r="B268" s="13"/>
      <c r="C268" s="13" t="s">
        <v>46</v>
      </c>
      <c r="D268" s="6"/>
      <c r="E268" s="6"/>
      <c r="F268" s="6"/>
      <c r="G268" s="26"/>
      <c r="H268" s="6"/>
      <c r="I268" s="6"/>
      <c r="J268" s="6"/>
      <c r="K268" s="81"/>
      <c r="L268" s="8"/>
      <c r="M268" s="28"/>
      <c r="N268" s="6" t="b">
        <v>0</v>
      </c>
      <c r="O268" s="6" t="b">
        <v>0</v>
      </c>
      <c r="P268" s="6"/>
      <c r="Q268" s="6"/>
      <c r="R268" s="6"/>
      <c r="S268" s="6"/>
      <c r="T268" s="6"/>
      <c r="U268" s="6"/>
      <c r="V268" s="6"/>
      <c r="W268" s="6"/>
      <c r="X268" s="6"/>
      <c r="Y268" s="6"/>
      <c r="Z268" s="6"/>
      <c r="AA268" s="6"/>
      <c r="AB268" s="6"/>
    </row>
    <row r="269" hidden="1">
      <c r="A269" s="13" t="str">
        <f t="shared" si="1"/>
        <v/>
      </c>
      <c r="B269" s="13"/>
      <c r="C269" s="13" t="s">
        <v>46</v>
      </c>
      <c r="D269" s="8"/>
      <c r="E269" s="8"/>
      <c r="F269" s="8"/>
      <c r="G269" s="29"/>
      <c r="H269" s="8"/>
      <c r="I269" s="8"/>
      <c r="J269" s="8"/>
      <c r="K269" s="8"/>
      <c r="L269" s="30"/>
      <c r="M269" s="31"/>
      <c r="N269" s="6" t="b">
        <v>0</v>
      </c>
      <c r="O269" s="6" t="b">
        <v>0</v>
      </c>
      <c r="P269" s="6"/>
      <c r="Q269" s="6"/>
      <c r="R269" s="6"/>
      <c r="S269" s="6"/>
      <c r="T269" s="6"/>
      <c r="U269" s="6"/>
      <c r="V269" s="6"/>
      <c r="W269" s="6"/>
      <c r="X269" s="6"/>
      <c r="Y269" s="6"/>
      <c r="Z269" s="6"/>
      <c r="AA269" s="6"/>
      <c r="AB269" s="6"/>
    </row>
    <row r="270" hidden="1">
      <c r="A270" s="13" t="str">
        <f t="shared" si="1"/>
        <v/>
      </c>
      <c r="B270" s="94"/>
      <c r="C270" s="94">
        <v>44250.0</v>
      </c>
      <c r="D270" s="8"/>
      <c r="E270" s="9"/>
      <c r="F270" s="10"/>
      <c r="G270" s="10"/>
      <c r="H270" s="10"/>
      <c r="I270" s="10"/>
      <c r="J270" s="10"/>
      <c r="K270" s="10"/>
      <c r="L270" s="11"/>
      <c r="M270" s="12"/>
      <c r="N270" s="6"/>
      <c r="O270" s="6"/>
      <c r="P270" s="6"/>
      <c r="Q270" s="6"/>
      <c r="R270" s="6"/>
      <c r="S270" s="6"/>
      <c r="T270" s="6"/>
      <c r="U270" s="6"/>
      <c r="V270" s="6"/>
      <c r="W270" s="6"/>
      <c r="X270" s="6"/>
      <c r="Y270" s="6"/>
      <c r="Z270" s="6"/>
      <c r="AA270" s="6"/>
      <c r="AB270" s="6"/>
    </row>
    <row r="271" hidden="1">
      <c r="A271" s="13" t="str">
        <f t="shared" si="1"/>
        <v/>
      </c>
      <c r="B271" s="13"/>
      <c r="C271" s="13" t="s">
        <v>13</v>
      </c>
      <c r="D271" s="6"/>
      <c r="E271" s="6"/>
      <c r="F271" s="6"/>
      <c r="G271" s="26"/>
      <c r="H271" s="6"/>
      <c r="I271" s="6"/>
      <c r="J271" s="6"/>
      <c r="K271" s="34"/>
      <c r="L271" s="8"/>
      <c r="M271" s="28"/>
      <c r="N271" s="6" t="b">
        <v>0</v>
      </c>
      <c r="O271" s="6" t="b">
        <v>0</v>
      </c>
      <c r="P271" s="6"/>
      <c r="Q271" s="6"/>
      <c r="R271" s="6"/>
      <c r="S271" s="6"/>
      <c r="T271" s="6"/>
      <c r="U271" s="6"/>
      <c r="V271" s="6"/>
      <c r="W271" s="6"/>
      <c r="X271" s="6"/>
      <c r="Y271" s="6"/>
      <c r="Z271" s="6"/>
      <c r="AA271" s="6"/>
      <c r="AB271" s="6"/>
    </row>
    <row r="272" hidden="1">
      <c r="A272" s="13" t="str">
        <f t="shared" si="1"/>
        <v>5f9cb58f8f397d5b127ffa4a</v>
      </c>
      <c r="B272" s="13"/>
      <c r="C272" s="13" t="s">
        <v>13</v>
      </c>
      <c r="D272" s="14"/>
      <c r="E272" s="15" t="s">
        <v>638</v>
      </c>
      <c r="F272" s="15" t="s">
        <v>639</v>
      </c>
      <c r="G272" s="16" t="s">
        <v>16</v>
      </c>
      <c r="H272" s="18" t="s">
        <v>269</v>
      </c>
      <c r="I272" s="18" t="s">
        <v>640</v>
      </c>
      <c r="J272" s="15" t="s">
        <v>641</v>
      </c>
      <c r="K272" s="19"/>
      <c r="L272" s="18">
        <v>8.0</v>
      </c>
      <c r="M272" s="96">
        <f>VLOOKUP(E272,'Hedef Liste'!A:I,8,false)</f>
        <v>6</v>
      </c>
      <c r="N272" s="6" t="b">
        <v>0</v>
      </c>
      <c r="O272" s="6" t="b">
        <v>0</v>
      </c>
      <c r="P272" s="6"/>
      <c r="Q272" s="6"/>
      <c r="R272" s="6"/>
      <c r="S272" s="6"/>
      <c r="T272" s="6"/>
      <c r="U272" s="6"/>
      <c r="V272" s="6"/>
      <c r="W272" s="6"/>
      <c r="X272" s="6"/>
      <c r="Y272" s="6"/>
      <c r="Z272" s="6"/>
      <c r="AA272" s="6"/>
      <c r="AB272" s="6"/>
    </row>
    <row r="273" hidden="1">
      <c r="A273" s="13" t="str">
        <f t="shared" si="1"/>
        <v>5f33c87cfb453fd4e85c4aa9</v>
      </c>
      <c r="B273" s="13"/>
      <c r="C273" s="13" t="s">
        <v>13</v>
      </c>
      <c r="D273" s="14"/>
      <c r="E273" s="15" t="s">
        <v>642</v>
      </c>
      <c r="F273" s="15" t="s">
        <v>643</v>
      </c>
      <c r="G273" s="97">
        <v>0.5208333333333334</v>
      </c>
      <c r="H273" s="18" t="s">
        <v>505</v>
      </c>
      <c r="I273" s="18" t="s">
        <v>644</v>
      </c>
      <c r="J273" s="15" t="s">
        <v>645</v>
      </c>
      <c r="K273" s="19"/>
      <c r="L273" s="18">
        <v>7.0</v>
      </c>
      <c r="M273" s="96">
        <f>VLOOKUP(E273,'Hedef Liste'!A:I,8,false)</f>
        <v>14</v>
      </c>
      <c r="N273" s="6" t="b">
        <v>0</v>
      </c>
      <c r="O273" s="6" t="b">
        <v>0</v>
      </c>
      <c r="P273" s="6"/>
      <c r="Q273" s="6"/>
      <c r="R273" s="6"/>
      <c r="S273" s="6"/>
      <c r="T273" s="6"/>
      <c r="U273" s="6"/>
      <c r="V273" s="6"/>
      <c r="W273" s="6"/>
      <c r="X273" s="6"/>
      <c r="Y273" s="6"/>
      <c r="Z273" s="6"/>
      <c r="AA273" s="6"/>
      <c r="AB273" s="6"/>
    </row>
    <row r="274" hidden="1">
      <c r="A274" s="13" t="str">
        <f t="shared" si="1"/>
        <v>5fe31bdb85630279d055b4d2</v>
      </c>
      <c r="B274" s="13"/>
      <c r="C274" s="13" t="s">
        <v>13</v>
      </c>
      <c r="D274" s="14"/>
      <c r="E274" s="15" t="s">
        <v>646</v>
      </c>
      <c r="F274" s="15" t="s">
        <v>647</v>
      </c>
      <c r="G274" s="16" t="s">
        <v>292</v>
      </c>
      <c r="H274" s="18" t="s">
        <v>496</v>
      </c>
      <c r="I274" s="18" t="s">
        <v>648</v>
      </c>
      <c r="J274" s="15" t="s">
        <v>649</v>
      </c>
      <c r="K274" s="23"/>
      <c r="L274" s="18">
        <v>16.0</v>
      </c>
      <c r="M274" s="96">
        <f>VLOOKUP(E274,'Hedef Liste'!A:I,8,false)</f>
        <v>36</v>
      </c>
      <c r="N274" s="6" t="b">
        <v>0</v>
      </c>
      <c r="O274" s="6" t="b">
        <v>0</v>
      </c>
      <c r="P274" s="6"/>
      <c r="Q274" s="6"/>
      <c r="R274" s="6"/>
      <c r="S274" s="6"/>
      <c r="T274" s="6"/>
      <c r="U274" s="6"/>
      <c r="V274" s="6"/>
      <c r="W274" s="6"/>
      <c r="X274" s="6"/>
      <c r="Y274" s="6"/>
      <c r="Z274" s="6"/>
      <c r="AA274" s="6"/>
      <c r="AB274" s="6"/>
    </row>
    <row r="275" hidden="1">
      <c r="A275" s="13" t="str">
        <f t="shared" si="1"/>
        <v>5fe7279ece622f5905cb4ded</v>
      </c>
      <c r="B275" s="13"/>
      <c r="C275" s="13" t="s">
        <v>13</v>
      </c>
      <c r="D275" s="14"/>
      <c r="E275" s="15" t="s">
        <v>650</v>
      </c>
      <c r="F275" s="15" t="s">
        <v>651</v>
      </c>
      <c r="G275" s="16" t="s">
        <v>97</v>
      </c>
      <c r="H275" s="18" t="s">
        <v>514</v>
      </c>
      <c r="I275" s="18" t="s">
        <v>652</v>
      </c>
      <c r="J275" s="15" t="s">
        <v>653</v>
      </c>
      <c r="K275" s="19"/>
      <c r="L275" s="18">
        <v>14.0</v>
      </c>
      <c r="M275" s="98" t="str">
        <f>VLOOKUP(E275,'Hedef Liste'!A:I,8,false)</f>
        <v>#N/A</v>
      </c>
      <c r="N275" s="6" t="b">
        <v>0</v>
      </c>
      <c r="O275" s="6" t="b">
        <v>0</v>
      </c>
      <c r="P275" s="6"/>
      <c r="Q275" s="6"/>
      <c r="R275" s="6"/>
      <c r="S275" s="6"/>
      <c r="T275" s="6"/>
      <c r="U275" s="6"/>
      <c r="V275" s="6"/>
      <c r="W275" s="6"/>
      <c r="X275" s="6"/>
      <c r="Y275" s="6"/>
      <c r="Z275" s="6"/>
      <c r="AA275" s="6"/>
      <c r="AB275" s="6"/>
    </row>
    <row r="276" hidden="1">
      <c r="A276" s="13" t="str">
        <f t="shared" si="1"/>
        <v/>
      </c>
      <c r="B276" s="13"/>
      <c r="C276" s="13" t="s">
        <v>13</v>
      </c>
      <c r="D276" s="8"/>
      <c r="E276" s="8"/>
      <c r="F276" s="8"/>
      <c r="G276" s="29"/>
      <c r="H276" s="8"/>
      <c r="I276" s="8"/>
      <c r="J276" s="8"/>
      <c r="K276" s="8"/>
      <c r="L276" s="30"/>
      <c r="M276" s="31"/>
      <c r="N276" s="6" t="b">
        <v>0</v>
      </c>
      <c r="O276" s="6" t="b">
        <v>0</v>
      </c>
      <c r="P276" s="6"/>
      <c r="Q276" s="6"/>
      <c r="R276" s="6"/>
      <c r="S276" s="6"/>
      <c r="T276" s="6"/>
      <c r="U276" s="6"/>
      <c r="V276" s="6"/>
      <c r="W276" s="6"/>
      <c r="X276" s="6"/>
      <c r="Y276" s="6"/>
      <c r="Z276" s="6"/>
      <c r="AA276" s="6"/>
      <c r="AB276" s="6"/>
    </row>
    <row r="277" hidden="1">
      <c r="A277" s="13" t="str">
        <f t="shared" si="1"/>
        <v/>
      </c>
      <c r="B277" s="13"/>
      <c r="C277" s="13" t="s">
        <v>31</v>
      </c>
      <c r="D277" s="8"/>
      <c r="E277" s="8"/>
      <c r="F277" s="8"/>
      <c r="G277" s="29"/>
      <c r="H277" s="8"/>
      <c r="I277" s="8"/>
      <c r="J277" s="8"/>
      <c r="K277" s="34"/>
      <c r="L277" s="8"/>
      <c r="M277" s="28"/>
      <c r="N277" s="6" t="b">
        <v>0</v>
      </c>
      <c r="O277" s="6" t="b">
        <v>0</v>
      </c>
      <c r="P277" s="6"/>
      <c r="Q277" s="6"/>
      <c r="R277" s="6"/>
      <c r="S277" s="6"/>
      <c r="T277" s="6"/>
      <c r="U277" s="6"/>
      <c r="V277" s="6"/>
      <c r="W277" s="6"/>
      <c r="X277" s="6"/>
      <c r="Y277" s="6"/>
      <c r="Z277" s="6"/>
      <c r="AA277" s="6"/>
      <c r="AB277" s="6"/>
    </row>
    <row r="278" hidden="1">
      <c r="A278" s="13" t="str">
        <f t="shared" si="1"/>
        <v>5fc970a490b67d94a3631256</v>
      </c>
      <c r="B278" s="13"/>
      <c r="C278" s="13" t="s">
        <v>31</v>
      </c>
      <c r="D278" s="14"/>
      <c r="E278" s="15" t="s">
        <v>654</v>
      </c>
      <c r="F278" s="15" t="s">
        <v>655</v>
      </c>
      <c r="G278" s="16" t="s">
        <v>16</v>
      </c>
      <c r="H278" s="18" t="s">
        <v>87</v>
      </c>
      <c r="I278" s="18" t="s">
        <v>656</v>
      </c>
      <c r="J278" s="15" t="s">
        <v>657</v>
      </c>
      <c r="K278" s="19"/>
      <c r="L278" s="18">
        <v>38.0</v>
      </c>
      <c r="M278" s="96">
        <f>VLOOKUP(E278,'Hedef Liste'!A:I,8,false)</f>
        <v>8</v>
      </c>
      <c r="N278" s="6" t="b">
        <v>0</v>
      </c>
      <c r="O278" s="6" t="b">
        <v>0</v>
      </c>
      <c r="P278" s="6"/>
      <c r="Q278" s="6"/>
      <c r="R278" s="6"/>
      <c r="S278" s="6"/>
      <c r="T278" s="6"/>
      <c r="U278" s="6"/>
      <c r="V278" s="6"/>
      <c r="W278" s="6"/>
      <c r="X278" s="6"/>
      <c r="Y278" s="6"/>
      <c r="Z278" s="6"/>
      <c r="AA278" s="6"/>
      <c r="AB278" s="6"/>
    </row>
    <row r="279" hidden="1">
      <c r="A279" s="13" t="str">
        <f t="shared" si="1"/>
        <v>5f6804d8fbf4612ffd1b6e89</v>
      </c>
      <c r="B279" s="13"/>
      <c r="C279" s="13" t="s">
        <v>31</v>
      </c>
      <c r="D279" s="61"/>
      <c r="E279" s="62" t="s">
        <v>658</v>
      </c>
      <c r="F279" s="62" t="s">
        <v>659</v>
      </c>
      <c r="G279" s="95" t="s">
        <v>366</v>
      </c>
      <c r="H279" s="18" t="s">
        <v>264</v>
      </c>
      <c r="I279" s="62" t="s">
        <v>660</v>
      </c>
      <c r="J279" s="82" t="s">
        <v>661</v>
      </c>
      <c r="K279" s="19"/>
      <c r="L279" s="18">
        <v>13.0</v>
      </c>
      <c r="M279" s="96">
        <f>VLOOKUP(E279,'Hedef Liste'!A:I,8,false)</f>
        <v>47</v>
      </c>
      <c r="N279" s="6" t="b">
        <v>0</v>
      </c>
      <c r="O279" s="6" t="b">
        <v>0</v>
      </c>
      <c r="P279" s="6"/>
      <c r="Q279" s="6"/>
      <c r="R279" s="6"/>
      <c r="S279" s="6"/>
      <c r="T279" s="6"/>
      <c r="U279" s="6"/>
      <c r="V279" s="6"/>
      <c r="W279" s="6"/>
      <c r="X279" s="6"/>
      <c r="Y279" s="6"/>
      <c r="Z279" s="6"/>
      <c r="AA279" s="6"/>
      <c r="AB279" s="6"/>
    </row>
    <row r="280" hidden="1">
      <c r="A280" s="13" t="str">
        <f t="shared" si="1"/>
        <v>5f6e70d4cea8d5540940b615</v>
      </c>
      <c r="B280" s="13"/>
      <c r="C280" s="13" t="s">
        <v>31</v>
      </c>
      <c r="D280" s="68"/>
      <c r="E280" s="75" t="s">
        <v>662</v>
      </c>
      <c r="F280" s="75" t="s">
        <v>663</v>
      </c>
      <c r="G280" s="16" t="s">
        <v>298</v>
      </c>
      <c r="H280" s="18" t="s">
        <v>615</v>
      </c>
      <c r="I280" s="76">
        <v>2.223303031E9</v>
      </c>
      <c r="J280" s="62" t="s">
        <v>664</v>
      </c>
      <c r="K280" s="23"/>
      <c r="L280" s="18">
        <v>10.0</v>
      </c>
      <c r="M280" s="96">
        <f>VLOOKUP(E280,'Hedef Liste'!A:I,8,false)</f>
        <v>53</v>
      </c>
      <c r="N280" s="6" t="b">
        <v>0</v>
      </c>
      <c r="O280" s="6" t="b">
        <v>0</v>
      </c>
      <c r="P280" s="6"/>
      <c r="Q280" s="6"/>
      <c r="R280" s="6"/>
      <c r="S280" s="6"/>
      <c r="T280" s="6"/>
      <c r="U280" s="6"/>
      <c r="V280" s="6"/>
      <c r="W280" s="6"/>
      <c r="X280" s="6"/>
      <c r="Y280" s="6"/>
      <c r="Z280" s="6"/>
      <c r="AA280" s="6"/>
      <c r="AB280" s="6"/>
    </row>
    <row r="281" hidden="1">
      <c r="A281" s="13" t="str">
        <f t="shared" si="1"/>
        <v>5f9009d33fe49e2b4363208b</v>
      </c>
      <c r="B281" s="13"/>
      <c r="C281" s="13" t="s">
        <v>31</v>
      </c>
      <c r="D281" s="61"/>
      <c r="E281" s="62" t="s">
        <v>665</v>
      </c>
      <c r="F281" s="62" t="s">
        <v>666</v>
      </c>
      <c r="G281" s="16" t="s">
        <v>223</v>
      </c>
      <c r="H281" s="18" t="s">
        <v>17</v>
      </c>
      <c r="I281" s="18" t="s">
        <v>667</v>
      </c>
      <c r="J281" s="62" t="s">
        <v>668</v>
      </c>
      <c r="K281" s="19"/>
      <c r="L281" s="18">
        <v>10.0</v>
      </c>
      <c r="M281" s="96">
        <f>VLOOKUP(E281,'Hedef Liste'!A:I,8,false)</f>
        <v>36</v>
      </c>
      <c r="N281" s="6" t="b">
        <v>0</v>
      </c>
      <c r="O281" s="6" t="b">
        <v>0</v>
      </c>
      <c r="P281" s="6"/>
      <c r="Q281" s="6"/>
      <c r="R281" s="6"/>
      <c r="S281" s="6"/>
      <c r="T281" s="6"/>
      <c r="U281" s="6"/>
      <c r="V281" s="6"/>
      <c r="W281" s="6"/>
      <c r="X281" s="6"/>
      <c r="Y281" s="6"/>
      <c r="Z281" s="6"/>
      <c r="AA281" s="6"/>
      <c r="AB281" s="6"/>
    </row>
    <row r="282" hidden="1">
      <c r="A282" s="13" t="str">
        <f t="shared" si="1"/>
        <v/>
      </c>
      <c r="B282" s="13"/>
      <c r="C282" s="13" t="s">
        <v>31</v>
      </c>
      <c r="D282" s="8"/>
      <c r="E282" s="8"/>
      <c r="F282" s="8"/>
      <c r="G282" s="29"/>
      <c r="H282" s="8"/>
      <c r="I282" s="8"/>
      <c r="J282" s="8"/>
      <c r="K282" s="8"/>
      <c r="L282" s="30"/>
      <c r="M282" s="31"/>
      <c r="N282" s="6" t="b">
        <v>0</v>
      </c>
      <c r="O282" s="6" t="b">
        <v>0</v>
      </c>
      <c r="P282" s="6"/>
      <c r="Q282" s="6"/>
      <c r="R282" s="6"/>
      <c r="S282" s="6"/>
      <c r="T282" s="6"/>
      <c r="U282" s="6"/>
      <c r="V282" s="6"/>
      <c r="W282" s="6"/>
      <c r="X282" s="6"/>
      <c r="Y282" s="6"/>
      <c r="Z282" s="6"/>
      <c r="AA282" s="6"/>
      <c r="AB282" s="6"/>
    </row>
    <row r="283" hidden="1">
      <c r="A283" s="13" t="str">
        <f t="shared" si="1"/>
        <v/>
      </c>
      <c r="B283" s="13"/>
      <c r="C283" s="13" t="s">
        <v>46</v>
      </c>
      <c r="D283" s="8"/>
      <c r="E283" s="8"/>
      <c r="F283" s="8"/>
      <c r="G283" s="29"/>
      <c r="H283" s="8"/>
      <c r="I283" s="8"/>
      <c r="J283" s="8"/>
      <c r="K283" s="34"/>
      <c r="L283" s="8"/>
      <c r="M283" s="28"/>
      <c r="N283" s="6" t="b">
        <v>0</v>
      </c>
      <c r="O283" s="6" t="b">
        <v>0</v>
      </c>
      <c r="P283" s="6"/>
      <c r="Q283" s="6"/>
      <c r="R283" s="6"/>
      <c r="S283" s="6"/>
      <c r="T283" s="6"/>
      <c r="U283" s="6"/>
      <c r="V283" s="6"/>
      <c r="W283" s="6"/>
      <c r="X283" s="6"/>
      <c r="Y283" s="6"/>
      <c r="Z283" s="6"/>
      <c r="AA283" s="6"/>
      <c r="AB283" s="6"/>
    </row>
    <row r="284" hidden="1">
      <c r="A284" s="13" t="str">
        <f t="shared" si="1"/>
        <v/>
      </c>
      <c r="B284" s="13"/>
      <c r="C284" s="13" t="s">
        <v>46</v>
      </c>
      <c r="D284" s="14"/>
      <c r="E284" s="14"/>
      <c r="F284" s="14"/>
      <c r="G284" s="37"/>
      <c r="H284" s="39"/>
      <c r="I284" s="39"/>
      <c r="J284" s="14"/>
      <c r="K284" s="34"/>
      <c r="L284" s="8"/>
      <c r="M284" s="28"/>
      <c r="N284" s="6" t="b">
        <v>0</v>
      </c>
      <c r="O284" s="6" t="b">
        <v>0</v>
      </c>
      <c r="P284" s="6"/>
      <c r="Q284" s="6"/>
      <c r="R284" s="6"/>
      <c r="S284" s="6"/>
      <c r="T284" s="6"/>
      <c r="U284" s="6"/>
      <c r="V284" s="6"/>
      <c r="W284" s="6"/>
      <c r="X284" s="6"/>
      <c r="Y284" s="6"/>
      <c r="Z284" s="6"/>
      <c r="AA284" s="6"/>
      <c r="AB284" s="6"/>
    </row>
    <row r="285" hidden="1">
      <c r="A285" s="13" t="str">
        <f t="shared" si="1"/>
        <v>5ff46addad8a3875e226f6ed</v>
      </c>
      <c r="B285" s="13"/>
      <c r="C285" s="13" t="s">
        <v>46</v>
      </c>
      <c r="D285" s="14"/>
      <c r="E285" s="15" t="s">
        <v>669</v>
      </c>
      <c r="F285" s="15" t="s">
        <v>670</v>
      </c>
      <c r="G285" s="16" t="s">
        <v>16</v>
      </c>
      <c r="H285" s="18" t="s">
        <v>269</v>
      </c>
      <c r="I285" s="18" t="s">
        <v>671</v>
      </c>
      <c r="J285" s="15" t="s">
        <v>672</v>
      </c>
      <c r="K285" s="19"/>
      <c r="L285" s="18">
        <v>3.0</v>
      </c>
      <c r="M285" s="98" t="str">
        <f>VLOOKUP(E285,'Hedef Liste'!A:I,8,false)</f>
        <v>#N/A</v>
      </c>
      <c r="N285" s="6" t="b">
        <v>0</v>
      </c>
      <c r="O285" s="6" t="b">
        <v>0</v>
      </c>
      <c r="P285" s="6"/>
      <c r="Q285" s="6"/>
      <c r="R285" s="6"/>
      <c r="S285" s="6"/>
      <c r="T285" s="6"/>
      <c r="U285" s="6"/>
      <c r="V285" s="6"/>
      <c r="W285" s="6"/>
      <c r="X285" s="6"/>
      <c r="Y285" s="6"/>
      <c r="Z285" s="6"/>
      <c r="AA285" s="6"/>
      <c r="AB285" s="6"/>
    </row>
    <row r="286" hidden="1">
      <c r="A286" s="13" t="str">
        <f t="shared" si="1"/>
        <v>5fecb6024f55ab25f19d4f34</v>
      </c>
      <c r="B286" s="13"/>
      <c r="C286" s="13" t="s">
        <v>46</v>
      </c>
      <c r="D286" s="61"/>
      <c r="E286" s="62" t="s">
        <v>673</v>
      </c>
      <c r="F286" s="62" t="s">
        <v>674</v>
      </c>
      <c r="G286" s="40">
        <v>0.5416666666666666</v>
      </c>
      <c r="H286" s="18" t="s">
        <v>269</v>
      </c>
      <c r="I286" s="27" t="s">
        <v>675</v>
      </c>
      <c r="J286" s="62" t="s">
        <v>676</v>
      </c>
      <c r="K286" s="18"/>
      <c r="L286" s="18">
        <v>22.0</v>
      </c>
      <c r="M286" s="98" t="str">
        <f>VLOOKUP(E286,'Hedef Liste'!A:I,8,false)</f>
        <v>#N/A</v>
      </c>
      <c r="N286" s="6" t="b">
        <v>0</v>
      </c>
      <c r="O286" s="6" t="b">
        <v>0</v>
      </c>
      <c r="P286" s="6"/>
      <c r="Q286" s="6"/>
      <c r="R286" s="6"/>
      <c r="S286" s="6"/>
      <c r="T286" s="6"/>
      <c r="U286" s="6"/>
      <c r="V286" s="6"/>
      <c r="W286" s="6"/>
      <c r="X286" s="6"/>
      <c r="Y286" s="6"/>
      <c r="Z286" s="6"/>
      <c r="AA286" s="6"/>
      <c r="AB286" s="6"/>
    </row>
    <row r="287" hidden="1">
      <c r="A287" s="13" t="str">
        <f t="shared" si="1"/>
        <v>5fd5478212cbf3581fe52e49</v>
      </c>
      <c r="B287" s="13"/>
      <c r="C287" s="13" t="s">
        <v>46</v>
      </c>
      <c r="D287" s="61"/>
      <c r="E287" s="62" t="s">
        <v>677</v>
      </c>
      <c r="F287" s="62" t="s">
        <v>678</v>
      </c>
      <c r="G287" s="22">
        <v>0.625</v>
      </c>
      <c r="H287" s="18" t="s">
        <v>269</v>
      </c>
      <c r="I287" s="18" t="s">
        <v>679</v>
      </c>
      <c r="J287" s="62" t="s">
        <v>680</v>
      </c>
      <c r="K287" s="19"/>
      <c r="L287" s="18">
        <v>40.0</v>
      </c>
      <c r="M287" s="96">
        <f>VLOOKUP(E287,'Hedef Liste'!A:I,8,false)</f>
        <v>22</v>
      </c>
      <c r="N287" s="6" t="b">
        <v>0</v>
      </c>
      <c r="O287" s="6" t="b">
        <v>0</v>
      </c>
      <c r="P287" s="6"/>
      <c r="Q287" s="6"/>
      <c r="R287" s="6"/>
      <c r="S287" s="6"/>
      <c r="T287" s="6"/>
      <c r="U287" s="6"/>
      <c r="V287" s="6"/>
      <c r="W287" s="6"/>
      <c r="X287" s="6"/>
      <c r="Y287" s="6"/>
      <c r="Z287" s="6"/>
      <c r="AA287" s="6"/>
      <c r="AB287" s="6"/>
    </row>
    <row r="288" hidden="1">
      <c r="A288" s="13" t="str">
        <f t="shared" si="1"/>
        <v>5f329ce0fb6dd9c3badd3098</v>
      </c>
      <c r="B288" s="13"/>
      <c r="C288" s="13" t="s">
        <v>46</v>
      </c>
      <c r="D288" s="61"/>
      <c r="E288" s="73" t="s">
        <v>681</v>
      </c>
      <c r="F288" s="73" t="s">
        <v>682</v>
      </c>
      <c r="G288" s="58" t="s">
        <v>223</v>
      </c>
      <c r="H288" s="44" t="s">
        <v>269</v>
      </c>
      <c r="I288" s="44" t="s">
        <v>683</v>
      </c>
      <c r="J288" s="73" t="s">
        <v>684</v>
      </c>
      <c r="K288" s="45"/>
      <c r="L288" s="45"/>
      <c r="M288" s="99">
        <f>VLOOKUP(E288,'Hedef Liste'!A:I,8,false)</f>
        <v>28</v>
      </c>
      <c r="N288" s="47" t="b">
        <v>0</v>
      </c>
      <c r="O288" s="48" t="b">
        <v>1</v>
      </c>
      <c r="P288" s="6"/>
      <c r="Q288" s="6"/>
      <c r="R288" s="6"/>
      <c r="S288" s="6"/>
      <c r="T288" s="6"/>
      <c r="U288" s="6"/>
      <c r="V288" s="6"/>
      <c r="W288" s="6"/>
      <c r="X288" s="6"/>
      <c r="Y288" s="6"/>
      <c r="Z288" s="6"/>
      <c r="AA288" s="6"/>
      <c r="AB288" s="6"/>
    </row>
    <row r="289" hidden="1">
      <c r="A289" s="13" t="str">
        <f t="shared" si="1"/>
        <v/>
      </c>
      <c r="B289" s="94"/>
      <c r="C289" s="94">
        <v>44251.0</v>
      </c>
      <c r="D289" s="8"/>
      <c r="E289" s="9"/>
      <c r="F289" s="10"/>
      <c r="G289" s="10"/>
      <c r="H289" s="10"/>
      <c r="I289" s="10"/>
      <c r="J289" s="10"/>
      <c r="K289" s="10"/>
      <c r="L289" s="11"/>
      <c r="M289" s="12"/>
      <c r="N289" s="6"/>
      <c r="O289" s="6"/>
      <c r="P289" s="6"/>
      <c r="Q289" s="6"/>
      <c r="R289" s="6"/>
      <c r="S289" s="6"/>
      <c r="T289" s="6"/>
      <c r="U289" s="6"/>
      <c r="V289" s="6"/>
      <c r="W289" s="6"/>
      <c r="X289" s="6"/>
      <c r="Y289" s="6"/>
      <c r="Z289" s="6"/>
      <c r="AA289" s="6"/>
      <c r="AB289" s="6"/>
    </row>
    <row r="290" hidden="1">
      <c r="A290" s="13" t="str">
        <f t="shared" si="1"/>
        <v/>
      </c>
      <c r="B290" s="13"/>
      <c r="C290" s="13" t="s">
        <v>13</v>
      </c>
      <c r="D290" s="6"/>
      <c r="E290" s="6"/>
      <c r="F290" s="6"/>
      <c r="G290" s="26"/>
      <c r="H290" s="6"/>
      <c r="I290" s="6"/>
      <c r="J290" s="6"/>
      <c r="K290" s="34"/>
      <c r="L290" s="8"/>
      <c r="M290" s="28"/>
      <c r="N290" s="6" t="b">
        <v>0</v>
      </c>
      <c r="O290" s="6" t="b">
        <v>0</v>
      </c>
      <c r="P290" s="6"/>
      <c r="Q290" s="6"/>
      <c r="R290" s="6"/>
      <c r="S290" s="6"/>
      <c r="T290" s="6"/>
      <c r="U290" s="6"/>
      <c r="V290" s="6"/>
      <c r="W290" s="6"/>
      <c r="X290" s="6"/>
      <c r="Y290" s="6"/>
      <c r="Z290" s="6"/>
      <c r="AA290" s="6"/>
      <c r="AB290" s="6"/>
    </row>
    <row r="291" hidden="1">
      <c r="A291" s="13" t="str">
        <f t="shared" si="1"/>
        <v>5fdb140640a2d463b3d8e81b</v>
      </c>
      <c r="B291" s="13"/>
      <c r="C291" s="13" t="s">
        <v>13</v>
      </c>
      <c r="D291" s="61"/>
      <c r="E291" s="61" t="s">
        <v>685</v>
      </c>
      <c r="F291" s="61" t="s">
        <v>686</v>
      </c>
      <c r="G291" s="100">
        <v>0.4375</v>
      </c>
      <c r="H291" s="39" t="s">
        <v>496</v>
      </c>
      <c r="I291" s="101" t="s">
        <v>687</v>
      </c>
      <c r="J291" s="61" t="s">
        <v>688</v>
      </c>
      <c r="K291" s="34"/>
      <c r="L291" s="8"/>
      <c r="M291" s="28" t="str">
        <f>VLOOKUP(E291,'Hedef Liste'!A:I,8,false)</f>
        <v>#N/A</v>
      </c>
      <c r="N291" s="6" t="b">
        <v>0</v>
      </c>
      <c r="O291" s="6" t="b">
        <v>0</v>
      </c>
      <c r="P291" s="6"/>
      <c r="Q291" s="6"/>
      <c r="R291" s="6"/>
      <c r="S291" s="6"/>
      <c r="T291" s="6"/>
      <c r="U291" s="6"/>
      <c r="V291" s="6"/>
      <c r="W291" s="6"/>
      <c r="X291" s="6"/>
      <c r="Y291" s="6"/>
      <c r="Z291" s="6"/>
      <c r="AA291" s="6"/>
      <c r="AB291" s="6"/>
    </row>
    <row r="292" hidden="1">
      <c r="A292" s="13" t="str">
        <f t="shared" si="1"/>
        <v>5f32831907d0637f06519dda</v>
      </c>
      <c r="B292" s="13"/>
      <c r="C292" s="13" t="s">
        <v>13</v>
      </c>
      <c r="D292" s="14"/>
      <c r="E292" s="15" t="s">
        <v>689</v>
      </c>
      <c r="F292" s="15" t="s">
        <v>690</v>
      </c>
      <c r="G292" s="97">
        <v>0.5</v>
      </c>
      <c r="H292" s="18" t="s">
        <v>53</v>
      </c>
      <c r="I292" s="18" t="s">
        <v>691</v>
      </c>
      <c r="J292" s="15" t="s">
        <v>692</v>
      </c>
      <c r="K292" s="19"/>
      <c r="L292" s="18">
        <v>3.0</v>
      </c>
      <c r="M292" s="96">
        <f>VLOOKUP(E292,'Hedef Liste'!A:I,8,false)</f>
        <v>1</v>
      </c>
      <c r="N292" s="21" t="b">
        <v>0</v>
      </c>
      <c r="O292" s="21" t="b">
        <v>0</v>
      </c>
      <c r="P292" s="6"/>
      <c r="Q292" s="6"/>
      <c r="R292" s="6"/>
      <c r="S292" s="6"/>
      <c r="T292" s="6"/>
      <c r="U292" s="6"/>
      <c r="V292" s="6"/>
      <c r="W292" s="6"/>
      <c r="X292" s="6"/>
      <c r="Y292" s="6"/>
      <c r="Z292" s="6"/>
      <c r="AA292" s="6"/>
      <c r="AB292" s="6"/>
    </row>
    <row r="293" hidden="1">
      <c r="A293" s="13" t="str">
        <f t="shared" si="1"/>
        <v>5fbe429f3bde24f10ad0741c</v>
      </c>
      <c r="B293" s="13"/>
      <c r="C293" s="13" t="s">
        <v>13</v>
      </c>
      <c r="D293" s="61"/>
      <c r="E293" s="73" t="s">
        <v>693</v>
      </c>
      <c r="F293" s="73" t="s">
        <v>694</v>
      </c>
      <c r="G293" s="58" t="s">
        <v>292</v>
      </c>
      <c r="H293" s="44" t="s">
        <v>695</v>
      </c>
      <c r="I293" s="44" t="s">
        <v>696</v>
      </c>
      <c r="J293" s="73" t="s">
        <v>697</v>
      </c>
      <c r="K293" s="45"/>
      <c r="L293" s="45"/>
      <c r="M293" s="99">
        <f>VLOOKUP(E293,'Hedef Liste'!A:I,8,false)</f>
        <v>16</v>
      </c>
      <c r="N293" s="47" t="b">
        <v>0</v>
      </c>
      <c r="O293" s="48" t="b">
        <v>1</v>
      </c>
      <c r="P293" s="6"/>
      <c r="Q293" s="6"/>
      <c r="R293" s="6"/>
      <c r="S293" s="6"/>
      <c r="T293" s="6"/>
      <c r="U293" s="6"/>
      <c r="V293" s="6"/>
      <c r="W293" s="6"/>
      <c r="X293" s="6"/>
      <c r="Y293" s="6"/>
      <c r="Z293" s="6"/>
      <c r="AA293" s="6"/>
      <c r="AB293" s="6"/>
    </row>
    <row r="294" hidden="1">
      <c r="A294" s="13" t="str">
        <f t="shared" si="1"/>
        <v>5f345e46af840f183c3568fe</v>
      </c>
      <c r="B294" s="13"/>
      <c r="C294" s="13" t="s">
        <v>13</v>
      </c>
      <c r="D294" s="61"/>
      <c r="E294" s="62" t="s">
        <v>698</v>
      </c>
      <c r="F294" s="62" t="s">
        <v>699</v>
      </c>
      <c r="G294" s="16" t="s">
        <v>147</v>
      </c>
      <c r="H294" s="18" t="s">
        <v>384</v>
      </c>
      <c r="I294" s="18" t="s">
        <v>700</v>
      </c>
      <c r="J294" s="62" t="s">
        <v>701</v>
      </c>
      <c r="K294" s="19"/>
      <c r="L294" s="18">
        <v>24.0</v>
      </c>
      <c r="M294" s="98" t="str">
        <f>VLOOKUP(E294,'Hedef Liste'!A:I,8,false)</f>
        <v>#N/A</v>
      </c>
      <c r="N294" s="6" t="b">
        <v>0</v>
      </c>
      <c r="O294" s="6" t="b">
        <v>0</v>
      </c>
      <c r="P294" s="6"/>
      <c r="Q294" s="6"/>
      <c r="R294" s="6"/>
      <c r="S294" s="6"/>
      <c r="T294" s="6"/>
      <c r="U294" s="6"/>
      <c r="V294" s="6"/>
      <c r="W294" s="6"/>
      <c r="X294" s="6"/>
      <c r="Y294" s="6"/>
      <c r="Z294" s="6"/>
      <c r="AA294" s="6"/>
      <c r="AB294" s="6"/>
    </row>
    <row r="295" hidden="1">
      <c r="A295" s="13" t="str">
        <f t="shared" si="1"/>
        <v>,</v>
      </c>
      <c r="B295" s="13"/>
      <c r="C295" s="13" t="s">
        <v>13</v>
      </c>
      <c r="D295" s="39"/>
      <c r="E295" s="39" t="s">
        <v>702</v>
      </c>
      <c r="F295" s="8"/>
      <c r="G295" s="29"/>
      <c r="H295" s="8"/>
      <c r="I295" s="8"/>
      <c r="J295" s="8"/>
      <c r="K295" s="8"/>
      <c r="L295" s="30"/>
      <c r="M295" s="31"/>
      <c r="N295" s="6" t="b">
        <v>0</v>
      </c>
      <c r="O295" s="6" t="b">
        <v>0</v>
      </c>
      <c r="P295" s="6"/>
      <c r="Q295" s="6"/>
      <c r="R295" s="6"/>
      <c r="S295" s="6"/>
      <c r="T295" s="6"/>
      <c r="U295" s="6"/>
      <c r="V295" s="6"/>
      <c r="W295" s="6"/>
      <c r="X295" s="6"/>
      <c r="Y295" s="6"/>
      <c r="Z295" s="6"/>
      <c r="AA295" s="6"/>
      <c r="AB295" s="6"/>
    </row>
    <row r="296" hidden="1">
      <c r="A296" s="13" t="str">
        <f t="shared" si="1"/>
        <v/>
      </c>
      <c r="B296" s="13"/>
      <c r="C296" s="13" t="s">
        <v>31</v>
      </c>
      <c r="D296" s="8"/>
      <c r="E296" s="8"/>
      <c r="F296" s="8"/>
      <c r="G296" s="29"/>
      <c r="H296" s="8"/>
      <c r="I296" s="8"/>
      <c r="J296" s="8"/>
      <c r="K296" s="34"/>
      <c r="L296" s="8"/>
      <c r="M296" s="28"/>
      <c r="N296" s="6" t="b">
        <v>0</v>
      </c>
      <c r="O296" s="6" t="b">
        <v>0</v>
      </c>
      <c r="P296" s="6"/>
      <c r="Q296" s="6"/>
      <c r="R296" s="6"/>
      <c r="S296" s="6"/>
      <c r="T296" s="6"/>
      <c r="U296" s="6"/>
      <c r="V296" s="6"/>
      <c r="W296" s="6"/>
      <c r="X296" s="6"/>
      <c r="Y296" s="6"/>
      <c r="Z296" s="6"/>
      <c r="AA296" s="6"/>
      <c r="AB296" s="6"/>
    </row>
    <row r="297" hidden="1">
      <c r="A297" s="13" t="str">
        <f t="shared" si="1"/>
        <v>5fe103f7afaa3285b5ccba6f</v>
      </c>
      <c r="B297" s="13"/>
      <c r="C297" s="13" t="s">
        <v>31</v>
      </c>
      <c r="D297" s="14"/>
      <c r="E297" s="15" t="s">
        <v>703</v>
      </c>
      <c r="F297" s="15" t="s">
        <v>704</v>
      </c>
      <c r="G297" s="40">
        <v>0.4583333333333333</v>
      </c>
      <c r="H297" s="18" t="s">
        <v>705</v>
      </c>
      <c r="I297" s="18" t="s">
        <v>706</v>
      </c>
      <c r="J297" s="15" t="s">
        <v>707</v>
      </c>
      <c r="K297" s="19"/>
      <c r="L297" s="18">
        <v>18.0</v>
      </c>
      <c r="M297" s="96">
        <f>VLOOKUP(E297,'Hedef Liste'!A:I,8,false)</f>
        <v>22</v>
      </c>
      <c r="N297" s="6" t="b">
        <v>0</v>
      </c>
      <c r="O297" s="6" t="b">
        <v>0</v>
      </c>
      <c r="P297" s="6"/>
      <c r="Q297" s="6"/>
      <c r="R297" s="6"/>
      <c r="S297" s="6"/>
      <c r="T297" s="6"/>
      <c r="U297" s="6"/>
      <c r="V297" s="6"/>
      <c r="W297" s="6"/>
      <c r="X297" s="6"/>
      <c r="Y297" s="6"/>
      <c r="Z297" s="6"/>
      <c r="AA297" s="6"/>
      <c r="AB297" s="6"/>
    </row>
    <row r="298" hidden="1">
      <c r="A298" s="13" t="str">
        <f t="shared" si="1"/>
        <v>5ff7d0da292a616ffbb160dd</v>
      </c>
      <c r="B298" s="13"/>
      <c r="C298" s="13" t="s">
        <v>31</v>
      </c>
      <c r="D298" s="14"/>
      <c r="E298" s="15" t="s">
        <v>708</v>
      </c>
      <c r="F298" s="15" t="s">
        <v>709</v>
      </c>
      <c r="G298" s="16" t="s">
        <v>449</v>
      </c>
      <c r="H298" s="18" t="s">
        <v>229</v>
      </c>
      <c r="I298" s="18" t="s">
        <v>710</v>
      </c>
      <c r="J298" s="15" t="s">
        <v>711</v>
      </c>
      <c r="K298" s="19"/>
      <c r="L298" s="18">
        <v>4.0</v>
      </c>
      <c r="M298" s="98" t="str">
        <f>VLOOKUP(E298,'Hedef Liste'!A:I,8,false)</f>
        <v>#N/A</v>
      </c>
      <c r="N298" s="6" t="b">
        <v>0</v>
      </c>
      <c r="O298" s="6" t="b">
        <v>0</v>
      </c>
      <c r="P298" s="6"/>
      <c r="Q298" s="6"/>
      <c r="R298" s="6"/>
      <c r="S298" s="6"/>
      <c r="T298" s="6"/>
      <c r="U298" s="6"/>
      <c r="V298" s="6"/>
      <c r="W298" s="6"/>
      <c r="X298" s="6"/>
      <c r="Y298" s="6"/>
      <c r="Z298" s="6"/>
      <c r="AA298" s="6"/>
      <c r="AB298" s="6"/>
    </row>
    <row r="299" hidden="1">
      <c r="A299" s="13" t="str">
        <f t="shared" si="1"/>
        <v>5f678d79fe1dca0f4e3ecac1</v>
      </c>
      <c r="B299" s="13"/>
      <c r="C299" s="13" t="s">
        <v>31</v>
      </c>
      <c r="D299" s="14"/>
      <c r="E299" s="15" t="s">
        <v>712</v>
      </c>
      <c r="F299" s="15" t="s">
        <v>713</v>
      </c>
      <c r="G299" s="22">
        <v>0.5833333333333334</v>
      </c>
      <c r="H299" s="18" t="s">
        <v>162</v>
      </c>
      <c r="I299" s="18" t="s">
        <v>714</v>
      </c>
      <c r="J299" s="36" t="s">
        <v>715</v>
      </c>
      <c r="K299" s="23"/>
      <c r="L299" s="18">
        <v>13.0</v>
      </c>
      <c r="M299" s="98" t="str">
        <f>VLOOKUP(E299,'Hedef Liste'!A:I,8,false)</f>
        <v>#N/A</v>
      </c>
      <c r="N299" s="6" t="b">
        <v>0</v>
      </c>
      <c r="O299" s="6" t="b">
        <v>0</v>
      </c>
      <c r="P299" s="6"/>
      <c r="Q299" s="6"/>
      <c r="R299" s="6"/>
      <c r="S299" s="6"/>
      <c r="T299" s="6"/>
      <c r="U299" s="6"/>
      <c r="V299" s="6"/>
      <c r="W299" s="6"/>
      <c r="X299" s="6"/>
      <c r="Y299" s="6"/>
      <c r="Z299" s="6"/>
      <c r="AA299" s="6"/>
      <c r="AB299" s="6"/>
    </row>
    <row r="300" hidden="1">
      <c r="A300" s="13" t="str">
        <f t="shared" si="1"/>
        <v>5f353146da66dc55f2d6ea1e</v>
      </c>
      <c r="B300" s="13"/>
      <c r="C300" s="13" t="s">
        <v>31</v>
      </c>
      <c r="D300" s="14"/>
      <c r="E300" s="14" t="s">
        <v>716</v>
      </c>
      <c r="F300" s="14" t="s">
        <v>717</v>
      </c>
      <c r="G300" s="37" t="s">
        <v>97</v>
      </c>
      <c r="H300" s="39" t="s">
        <v>162</v>
      </c>
      <c r="I300" s="38" t="s">
        <v>718</v>
      </c>
      <c r="J300" s="14" t="s">
        <v>719</v>
      </c>
      <c r="K300" s="81"/>
      <c r="L300" s="8"/>
      <c r="M300" s="102">
        <f>VLOOKUP(E300,'Hedef Liste'!A:I,8,false)</f>
        <v>15</v>
      </c>
      <c r="N300" s="6" t="b">
        <v>0</v>
      </c>
      <c r="O300" s="6" t="b">
        <v>0</v>
      </c>
      <c r="P300" s="6"/>
      <c r="Q300" s="6"/>
      <c r="R300" s="6"/>
      <c r="S300" s="6"/>
      <c r="T300" s="6"/>
      <c r="U300" s="6"/>
      <c r="V300" s="6"/>
      <c r="W300" s="6"/>
      <c r="X300" s="6"/>
      <c r="Y300" s="6"/>
      <c r="Z300" s="6"/>
      <c r="AA300" s="6"/>
      <c r="AB300" s="6"/>
    </row>
    <row r="301" hidden="1">
      <c r="A301" s="13" t="str">
        <f t="shared" si="1"/>
        <v/>
      </c>
      <c r="B301" s="13"/>
      <c r="C301" s="13" t="s">
        <v>31</v>
      </c>
      <c r="D301" s="8"/>
      <c r="E301" s="8"/>
      <c r="F301" s="8"/>
      <c r="G301" s="29"/>
      <c r="H301" s="8"/>
      <c r="I301" s="8"/>
      <c r="J301" s="8"/>
      <c r="K301" s="8"/>
      <c r="L301" s="30"/>
      <c r="M301" s="31"/>
      <c r="N301" s="6" t="b">
        <v>0</v>
      </c>
      <c r="O301" s="6" t="b">
        <v>0</v>
      </c>
      <c r="P301" s="6"/>
      <c r="Q301" s="6"/>
      <c r="R301" s="6"/>
      <c r="S301" s="6"/>
      <c r="T301" s="6"/>
      <c r="U301" s="6"/>
      <c r="V301" s="6"/>
      <c r="W301" s="6"/>
      <c r="X301" s="6"/>
      <c r="Y301" s="6"/>
      <c r="Z301" s="6"/>
      <c r="AA301" s="6"/>
      <c r="AB301" s="6"/>
    </row>
    <row r="302" hidden="1">
      <c r="A302" s="13" t="str">
        <f t="shared" si="1"/>
        <v/>
      </c>
      <c r="B302" s="13"/>
      <c r="C302" s="13" t="s">
        <v>46</v>
      </c>
      <c r="D302" s="8"/>
      <c r="E302" s="8"/>
      <c r="F302" s="8"/>
      <c r="G302" s="29"/>
      <c r="H302" s="8"/>
      <c r="I302" s="8"/>
      <c r="J302" s="8"/>
      <c r="K302" s="34"/>
      <c r="L302" s="8"/>
      <c r="M302" s="28"/>
      <c r="N302" s="6" t="b">
        <v>0</v>
      </c>
      <c r="O302" s="6" t="b">
        <v>0</v>
      </c>
      <c r="P302" s="6"/>
      <c r="Q302" s="6"/>
      <c r="R302" s="6"/>
      <c r="S302" s="6"/>
      <c r="T302" s="6"/>
      <c r="U302" s="6"/>
      <c r="V302" s="6"/>
      <c r="W302" s="6"/>
      <c r="X302" s="6"/>
      <c r="Y302" s="6"/>
      <c r="Z302" s="6"/>
      <c r="AA302" s="6"/>
      <c r="AB302" s="6"/>
    </row>
    <row r="303" hidden="1">
      <c r="A303" s="13" t="str">
        <f t="shared" si="1"/>
        <v>5f81dfbcfda822a0d308e15b</v>
      </c>
      <c r="B303" s="13"/>
      <c r="C303" s="13" t="s">
        <v>46</v>
      </c>
      <c r="D303" s="14"/>
      <c r="E303" s="42" t="s">
        <v>603</v>
      </c>
      <c r="F303" s="42" t="s">
        <v>604</v>
      </c>
      <c r="G303" s="74">
        <v>0.4166666666666667</v>
      </c>
      <c r="H303" s="44" t="s">
        <v>269</v>
      </c>
      <c r="I303" s="48" t="s">
        <v>605</v>
      </c>
      <c r="J303" s="42" t="s">
        <v>606</v>
      </c>
      <c r="K303" s="44" t="s">
        <v>720</v>
      </c>
      <c r="L303" s="45"/>
      <c r="M303" s="99">
        <f>VLOOKUP(E303,'Hedef Liste'!A:I,8,false)</f>
        <v>20</v>
      </c>
      <c r="N303" s="47" t="b">
        <v>0</v>
      </c>
      <c r="O303" s="48" t="b">
        <v>1</v>
      </c>
      <c r="P303" s="6"/>
      <c r="Q303" s="6"/>
      <c r="R303" s="6"/>
      <c r="S303" s="6"/>
      <c r="T303" s="6"/>
      <c r="U303" s="6"/>
      <c r="V303" s="6"/>
      <c r="W303" s="6"/>
      <c r="X303" s="6"/>
      <c r="Y303" s="6"/>
      <c r="Z303" s="6"/>
      <c r="AA303" s="6"/>
      <c r="AB303" s="6"/>
    </row>
    <row r="304" hidden="1">
      <c r="A304" s="13" t="str">
        <f t="shared" si="1"/>
        <v>5f738af47992a78130f7093f</v>
      </c>
      <c r="B304" s="13"/>
      <c r="C304" s="13" t="s">
        <v>46</v>
      </c>
      <c r="D304" s="61"/>
      <c r="E304" s="73" t="s">
        <v>721</v>
      </c>
      <c r="F304" s="73" t="s">
        <v>722</v>
      </c>
      <c r="G304" s="58" t="s">
        <v>449</v>
      </c>
      <c r="H304" s="44" t="s">
        <v>162</v>
      </c>
      <c r="I304" s="44" t="s">
        <v>723</v>
      </c>
      <c r="J304" s="73" t="s">
        <v>724</v>
      </c>
      <c r="K304" s="44" t="s">
        <v>725</v>
      </c>
      <c r="L304" s="45"/>
      <c r="M304" s="99">
        <f>VLOOKUP(E304,'Hedef Liste'!A:I,8,false)</f>
        <v>12</v>
      </c>
      <c r="N304" s="47" t="b">
        <v>0</v>
      </c>
      <c r="O304" s="47" t="b">
        <v>0</v>
      </c>
      <c r="P304" s="6"/>
      <c r="Q304" s="6"/>
      <c r="R304" s="6"/>
      <c r="S304" s="6"/>
      <c r="T304" s="6"/>
      <c r="U304" s="6"/>
      <c r="V304" s="6"/>
      <c r="W304" s="6"/>
      <c r="X304" s="6"/>
      <c r="Y304" s="6"/>
      <c r="Z304" s="6"/>
      <c r="AA304" s="6"/>
      <c r="AB304" s="6"/>
    </row>
    <row r="305" hidden="1">
      <c r="A305" s="13" t="str">
        <f t="shared" si="1"/>
        <v>5f35aa9bf3dfd151042e3f1a</v>
      </c>
      <c r="B305" s="13"/>
      <c r="C305" s="13" t="s">
        <v>46</v>
      </c>
      <c r="D305" s="61"/>
      <c r="E305" s="62" t="s">
        <v>726</v>
      </c>
      <c r="F305" s="62" t="s">
        <v>727</v>
      </c>
      <c r="G305" s="22">
        <v>0.6041666666666666</v>
      </c>
      <c r="H305" s="18" t="s">
        <v>728</v>
      </c>
      <c r="I305" s="62" t="s">
        <v>729</v>
      </c>
      <c r="J305" s="62" t="s">
        <v>730</v>
      </c>
      <c r="K305" s="18"/>
      <c r="L305" s="18">
        <v>15.0</v>
      </c>
      <c r="M305" s="96">
        <f>VLOOKUP(E305,'Hedef Liste'!A:I,8,false)</f>
        <v>27</v>
      </c>
      <c r="N305" s="6" t="b">
        <v>0</v>
      </c>
      <c r="O305" s="6" t="b">
        <v>0</v>
      </c>
      <c r="P305" s="6"/>
      <c r="Q305" s="6"/>
      <c r="R305" s="6"/>
      <c r="S305" s="6"/>
      <c r="T305" s="6"/>
      <c r="U305" s="6"/>
      <c r="V305" s="6"/>
      <c r="W305" s="6"/>
      <c r="X305" s="6"/>
      <c r="Y305" s="6"/>
      <c r="Z305" s="6"/>
      <c r="AA305" s="6"/>
      <c r="AB305" s="6"/>
    </row>
    <row r="306" hidden="1">
      <c r="A306" s="13" t="str">
        <f t="shared" si="1"/>
        <v>5fa8aca51ca45d0443863c15</v>
      </c>
      <c r="B306" s="13"/>
      <c r="C306" s="13" t="s">
        <v>46</v>
      </c>
      <c r="D306" s="14"/>
      <c r="E306" s="15" t="s">
        <v>731</v>
      </c>
      <c r="F306" s="15" t="s">
        <v>732</v>
      </c>
      <c r="G306" s="22">
        <v>0.6666666666666666</v>
      </c>
      <c r="H306" s="18" t="s">
        <v>384</v>
      </c>
      <c r="I306" s="36" t="s">
        <v>733</v>
      </c>
      <c r="J306" s="15" t="s">
        <v>734</v>
      </c>
      <c r="K306" s="19"/>
      <c r="L306" s="18">
        <v>12.0</v>
      </c>
      <c r="M306" s="96">
        <f>VLOOKUP(E306,'Hedef Liste'!A:I,8,false)</f>
        <v>1</v>
      </c>
      <c r="N306" s="6" t="b">
        <v>0</v>
      </c>
      <c r="O306" s="6" t="b">
        <v>0</v>
      </c>
      <c r="P306" s="6"/>
      <c r="Q306" s="6"/>
      <c r="R306" s="6"/>
      <c r="S306" s="6"/>
      <c r="T306" s="6"/>
      <c r="U306" s="6"/>
      <c r="V306" s="6"/>
      <c r="W306" s="6"/>
      <c r="X306" s="6"/>
      <c r="Y306" s="6"/>
      <c r="Z306" s="6"/>
      <c r="AA306" s="6"/>
      <c r="AB306" s="6"/>
    </row>
    <row r="307" hidden="1">
      <c r="A307" s="13" t="str">
        <f t="shared" si="1"/>
        <v/>
      </c>
      <c r="B307" s="13"/>
      <c r="C307" s="13" t="s">
        <v>46</v>
      </c>
      <c r="D307" s="8"/>
      <c r="E307" s="8"/>
      <c r="F307" s="8"/>
      <c r="G307" s="29"/>
      <c r="H307" s="8"/>
      <c r="I307" s="8"/>
      <c r="J307" s="8"/>
      <c r="K307" s="8"/>
      <c r="L307" s="30"/>
      <c r="M307" s="31"/>
      <c r="N307" s="6" t="b">
        <v>0</v>
      </c>
      <c r="O307" s="6" t="b">
        <v>0</v>
      </c>
      <c r="P307" s="6"/>
      <c r="Q307" s="6"/>
      <c r="R307" s="6"/>
      <c r="S307" s="6"/>
      <c r="T307" s="6"/>
      <c r="U307" s="6"/>
      <c r="V307" s="6"/>
      <c r="W307" s="6"/>
      <c r="X307" s="6"/>
      <c r="Y307" s="6"/>
      <c r="Z307" s="6"/>
      <c r="AA307" s="6"/>
      <c r="AB307" s="6"/>
    </row>
    <row r="308" hidden="1">
      <c r="A308" s="13" t="str">
        <f t="shared" si="1"/>
        <v/>
      </c>
      <c r="B308" s="94"/>
      <c r="C308" s="94">
        <v>44252.0</v>
      </c>
      <c r="D308" s="8"/>
      <c r="E308" s="9"/>
      <c r="F308" s="10"/>
      <c r="G308" s="10"/>
      <c r="H308" s="10"/>
      <c r="I308" s="10"/>
      <c r="J308" s="10"/>
      <c r="K308" s="10"/>
      <c r="L308" s="11"/>
      <c r="M308" s="12"/>
      <c r="N308" s="6"/>
      <c r="O308" s="6"/>
      <c r="P308" s="6"/>
      <c r="Q308" s="6"/>
      <c r="R308" s="6"/>
      <c r="S308" s="6"/>
      <c r="T308" s="6"/>
      <c r="U308" s="6"/>
      <c r="V308" s="6"/>
      <c r="W308" s="6"/>
      <c r="X308" s="6"/>
      <c r="Y308" s="6"/>
      <c r="Z308" s="6"/>
      <c r="AA308" s="6"/>
      <c r="AB308" s="6"/>
    </row>
    <row r="309" hidden="1">
      <c r="A309" s="13" t="str">
        <f t="shared" si="1"/>
        <v/>
      </c>
      <c r="B309" s="13"/>
      <c r="C309" s="13" t="s">
        <v>13</v>
      </c>
      <c r="D309" s="6"/>
      <c r="E309" s="6"/>
      <c r="F309" s="6"/>
      <c r="G309" s="26"/>
      <c r="H309" s="6"/>
      <c r="I309" s="6"/>
      <c r="J309" s="6"/>
      <c r="K309" s="34"/>
      <c r="L309" s="8"/>
      <c r="M309" s="28"/>
      <c r="N309" s="6" t="b">
        <v>0</v>
      </c>
      <c r="O309" s="6" t="b">
        <v>0</v>
      </c>
      <c r="P309" s="6"/>
      <c r="Q309" s="6"/>
      <c r="R309" s="6"/>
      <c r="S309" s="6"/>
      <c r="T309" s="6"/>
      <c r="U309" s="6"/>
      <c r="V309" s="6"/>
      <c r="W309" s="6"/>
      <c r="X309" s="6"/>
      <c r="Y309" s="6"/>
      <c r="Z309" s="6"/>
      <c r="AA309" s="6"/>
      <c r="AB309" s="6"/>
    </row>
    <row r="310" hidden="1">
      <c r="A310" s="13" t="str">
        <f t="shared" si="1"/>
        <v>5f332810456a26f869cf7720</v>
      </c>
      <c r="B310" s="13"/>
      <c r="C310" s="13" t="s">
        <v>13</v>
      </c>
      <c r="D310" s="61"/>
      <c r="E310" s="62" t="s">
        <v>735</v>
      </c>
      <c r="F310" s="62" t="s">
        <v>736</v>
      </c>
      <c r="G310" s="40">
        <v>0.4375</v>
      </c>
      <c r="H310" s="18" t="s">
        <v>496</v>
      </c>
      <c r="I310" s="27" t="s">
        <v>737</v>
      </c>
      <c r="J310" s="62" t="s">
        <v>738</v>
      </c>
      <c r="K310" s="19"/>
      <c r="L310" s="18">
        <v>49.0</v>
      </c>
      <c r="M310" s="96">
        <f>VLOOKUP(E310,'Hedef Liste'!A:I,8,false)</f>
        <v>34</v>
      </c>
      <c r="N310" s="6" t="b">
        <v>0</v>
      </c>
      <c r="O310" s="6" t="b">
        <v>0</v>
      </c>
      <c r="P310" s="6"/>
      <c r="Q310" s="6"/>
      <c r="R310" s="6"/>
      <c r="S310" s="6"/>
      <c r="T310" s="6"/>
      <c r="U310" s="6"/>
      <c r="V310" s="6"/>
      <c r="W310" s="6"/>
      <c r="X310" s="6"/>
      <c r="Y310" s="6"/>
      <c r="Z310" s="6"/>
      <c r="AA310" s="6"/>
      <c r="AB310" s="6"/>
    </row>
    <row r="311" hidden="1">
      <c r="A311" s="13" t="str">
        <f t="shared" si="1"/>
        <v>5f6b9dd9849e1346ef653ff4</v>
      </c>
      <c r="B311" s="13"/>
      <c r="C311" s="13" t="s">
        <v>13</v>
      </c>
      <c r="D311" s="14"/>
      <c r="E311" s="15" t="s">
        <v>739</v>
      </c>
      <c r="F311" s="15" t="s">
        <v>740</v>
      </c>
      <c r="G311" s="97">
        <v>0.5208333333333334</v>
      </c>
      <c r="H311" s="18" t="s">
        <v>162</v>
      </c>
      <c r="I311" s="18" t="s">
        <v>741</v>
      </c>
      <c r="J311" s="15" t="s">
        <v>742</v>
      </c>
      <c r="K311" s="19"/>
      <c r="L311" s="18">
        <v>16.0</v>
      </c>
      <c r="M311" s="96">
        <f>VLOOKUP(E311,'Hedef Liste'!A:I,8,false)</f>
        <v>22</v>
      </c>
      <c r="N311" s="6" t="b">
        <v>0</v>
      </c>
      <c r="O311" s="6" t="b">
        <v>0</v>
      </c>
      <c r="P311" s="6"/>
      <c r="Q311" s="6"/>
      <c r="R311" s="6"/>
      <c r="S311" s="6"/>
      <c r="T311" s="6"/>
      <c r="U311" s="6"/>
      <c r="V311" s="6"/>
      <c r="W311" s="6"/>
      <c r="X311" s="6"/>
      <c r="Y311" s="6"/>
      <c r="Z311" s="6"/>
      <c r="AA311" s="6"/>
      <c r="AB311" s="6"/>
    </row>
    <row r="312" hidden="1">
      <c r="A312" s="13" t="str">
        <f t="shared" si="1"/>
        <v>5fd3d222e8f74d15fe6d4dec</v>
      </c>
      <c r="B312" s="13"/>
      <c r="C312" s="13" t="s">
        <v>13</v>
      </c>
      <c r="D312" s="68"/>
      <c r="E312" s="75" t="s">
        <v>743</v>
      </c>
      <c r="F312" s="75" t="s">
        <v>744</v>
      </c>
      <c r="G312" s="16" t="s">
        <v>745</v>
      </c>
      <c r="H312" s="103" t="s">
        <v>269</v>
      </c>
      <c r="I312" s="104">
        <v>2.222215042E9</v>
      </c>
      <c r="J312" s="15" t="s">
        <v>746</v>
      </c>
      <c r="K312" s="23"/>
      <c r="L312" s="18">
        <v>24.0</v>
      </c>
      <c r="M312" s="96">
        <f>VLOOKUP(E312,'Hedef Liste'!A:I,8,false)</f>
        <v>16</v>
      </c>
      <c r="N312" s="6" t="b">
        <v>0</v>
      </c>
      <c r="O312" s="6" t="b">
        <v>0</v>
      </c>
      <c r="P312" s="6"/>
      <c r="Q312" s="6"/>
      <c r="R312" s="6"/>
      <c r="S312" s="6"/>
      <c r="T312" s="6"/>
      <c r="U312" s="6"/>
      <c r="V312" s="6"/>
      <c r="W312" s="6"/>
      <c r="X312" s="6"/>
      <c r="Y312" s="6"/>
      <c r="Z312" s="6"/>
      <c r="AA312" s="6"/>
      <c r="AB312" s="6"/>
    </row>
    <row r="313" hidden="1">
      <c r="A313" s="13" t="str">
        <f t="shared" si="1"/>
        <v>5f33774d355b6a22fd38dbae</v>
      </c>
      <c r="B313" s="13"/>
      <c r="C313" s="13" t="s">
        <v>13</v>
      </c>
      <c r="D313" s="68"/>
      <c r="E313" s="75" t="s">
        <v>747</v>
      </c>
      <c r="F313" s="75" t="s">
        <v>748</v>
      </c>
      <c r="G313" s="16" t="s">
        <v>378</v>
      </c>
      <c r="H313" s="18" t="s">
        <v>443</v>
      </c>
      <c r="I313" s="18">
        <v>5.423554445E9</v>
      </c>
      <c r="J313" s="75" t="s">
        <v>749</v>
      </c>
      <c r="K313" s="19"/>
      <c r="L313" s="18">
        <v>27.0</v>
      </c>
      <c r="M313" s="96">
        <f>VLOOKUP(E313,'Hedef Liste'!A:I,8,false)</f>
        <v>58</v>
      </c>
      <c r="N313" s="6" t="b">
        <v>0</v>
      </c>
      <c r="O313" s="6" t="b">
        <v>0</v>
      </c>
      <c r="P313" s="6"/>
      <c r="Q313" s="6"/>
      <c r="R313" s="6"/>
      <c r="S313" s="6"/>
      <c r="T313" s="6"/>
      <c r="U313" s="6"/>
      <c r="V313" s="6"/>
      <c r="W313" s="6"/>
      <c r="X313" s="6"/>
      <c r="Y313" s="6"/>
      <c r="Z313" s="6"/>
      <c r="AA313" s="6"/>
      <c r="AB313" s="6"/>
    </row>
    <row r="314" hidden="1">
      <c r="A314" s="13" t="str">
        <f t="shared" si="1"/>
        <v/>
      </c>
      <c r="B314" s="13"/>
      <c r="C314" s="13" t="s">
        <v>13</v>
      </c>
      <c r="D314" s="8"/>
      <c r="E314" s="8"/>
      <c r="F314" s="8"/>
      <c r="G314" s="29"/>
      <c r="H314" s="8"/>
      <c r="I314" s="8"/>
      <c r="J314" s="8"/>
      <c r="K314" s="8"/>
      <c r="L314" s="30"/>
      <c r="M314" s="31"/>
      <c r="N314" s="6" t="b">
        <v>0</v>
      </c>
      <c r="O314" s="6" t="b">
        <v>0</v>
      </c>
      <c r="P314" s="6"/>
      <c r="Q314" s="6"/>
      <c r="R314" s="6"/>
      <c r="S314" s="6"/>
      <c r="T314" s="6"/>
      <c r="U314" s="6"/>
      <c r="V314" s="6"/>
      <c r="W314" s="6"/>
      <c r="X314" s="6"/>
      <c r="Y314" s="6"/>
      <c r="Z314" s="6"/>
      <c r="AA314" s="6"/>
      <c r="AB314" s="6"/>
    </row>
    <row r="315" hidden="1">
      <c r="A315" s="13" t="str">
        <f t="shared" si="1"/>
        <v/>
      </c>
      <c r="B315" s="13"/>
      <c r="C315" s="13" t="s">
        <v>31</v>
      </c>
      <c r="D315" s="14"/>
      <c r="E315" s="14"/>
      <c r="F315" s="14"/>
      <c r="G315" s="37"/>
      <c r="H315" s="39"/>
      <c r="I315" s="39"/>
      <c r="J315" s="14"/>
      <c r="K315" s="34"/>
      <c r="L315" s="8"/>
      <c r="M315" s="28" t="str">
        <f>VLOOKUP(E315,'Hedef Liste'!A:I,8,false)</f>
        <v>#N/A</v>
      </c>
      <c r="N315" s="6" t="b">
        <v>0</v>
      </c>
      <c r="O315" s="6" t="b">
        <v>0</v>
      </c>
      <c r="P315" s="6"/>
      <c r="Q315" s="6"/>
      <c r="R315" s="6"/>
      <c r="S315" s="6"/>
      <c r="T315" s="6"/>
      <c r="U315" s="6"/>
      <c r="V315" s="6"/>
      <c r="W315" s="6"/>
      <c r="X315" s="6"/>
      <c r="Y315" s="6"/>
      <c r="Z315" s="6"/>
      <c r="AA315" s="6"/>
      <c r="AB315" s="6"/>
    </row>
    <row r="316" hidden="1">
      <c r="A316" s="13" t="str">
        <f t="shared" si="1"/>
        <v/>
      </c>
      <c r="B316" s="13"/>
      <c r="C316" s="13" t="s">
        <v>31</v>
      </c>
      <c r="D316" s="61"/>
      <c r="E316" s="61"/>
      <c r="F316" s="61"/>
      <c r="G316" s="49"/>
      <c r="H316" s="39"/>
      <c r="I316" s="38"/>
      <c r="J316" s="61"/>
      <c r="K316" s="34"/>
      <c r="L316" s="8"/>
      <c r="M316" s="28" t="str">
        <f>VLOOKUP(E316,'Hedef Liste'!A:I,8,false)</f>
        <v>#N/A</v>
      </c>
      <c r="N316" s="6" t="b">
        <v>0</v>
      </c>
      <c r="O316" s="6" t="b">
        <v>0</v>
      </c>
      <c r="P316" s="6"/>
      <c r="Q316" s="6"/>
      <c r="R316" s="6"/>
      <c r="S316" s="6"/>
      <c r="T316" s="6"/>
      <c r="U316" s="6"/>
      <c r="V316" s="6"/>
      <c r="W316" s="6"/>
      <c r="X316" s="6"/>
      <c r="Y316" s="6"/>
      <c r="Z316" s="6"/>
      <c r="AA316" s="6"/>
      <c r="AB316" s="6"/>
    </row>
    <row r="317" hidden="1">
      <c r="A317" s="13" t="str">
        <f t="shared" si="1"/>
        <v/>
      </c>
      <c r="B317" s="13"/>
      <c r="C317" s="13" t="s">
        <v>31</v>
      </c>
      <c r="D317" s="61"/>
      <c r="E317" s="61"/>
      <c r="F317" s="61"/>
      <c r="G317" s="100"/>
      <c r="H317" s="39"/>
      <c r="I317" s="39"/>
      <c r="J317" s="61"/>
      <c r="K317" s="34"/>
      <c r="L317" s="8"/>
      <c r="M317" s="28" t="str">
        <f>VLOOKUP(E317,'Hedef Liste'!A:I,8,false)</f>
        <v>#N/A</v>
      </c>
      <c r="N317" s="6" t="b">
        <v>0</v>
      </c>
      <c r="O317" s="6" t="b">
        <v>0</v>
      </c>
      <c r="P317" s="6"/>
      <c r="Q317" s="6"/>
      <c r="R317" s="6"/>
      <c r="S317" s="6"/>
      <c r="T317" s="6"/>
      <c r="U317" s="6"/>
      <c r="V317" s="6"/>
      <c r="W317" s="6"/>
      <c r="X317" s="6"/>
      <c r="Y317" s="6"/>
      <c r="Z317" s="6"/>
      <c r="AA317" s="6"/>
      <c r="AB317" s="6"/>
    </row>
    <row r="318" hidden="1">
      <c r="A318" s="13" t="str">
        <f t="shared" si="1"/>
        <v/>
      </c>
      <c r="B318" s="13"/>
      <c r="C318" s="13" t="s">
        <v>31</v>
      </c>
      <c r="D318" s="68"/>
      <c r="E318" s="71"/>
      <c r="F318" s="71"/>
      <c r="G318" s="37"/>
      <c r="H318" s="39"/>
      <c r="I318" s="39"/>
      <c r="J318" s="91"/>
      <c r="K318" s="8"/>
      <c r="L318" s="8"/>
      <c r="M318" s="28" t="str">
        <f>VLOOKUP(E318,'Hedef Liste'!A:I,8,false)</f>
        <v>#N/A</v>
      </c>
      <c r="N318" s="6" t="b">
        <v>0</v>
      </c>
      <c r="O318" s="6" t="b">
        <v>0</v>
      </c>
      <c r="P318" s="6"/>
      <c r="Q318" s="6"/>
      <c r="R318" s="6"/>
      <c r="S318" s="6"/>
      <c r="T318" s="6"/>
      <c r="U318" s="6"/>
      <c r="V318" s="6"/>
      <c r="W318" s="6"/>
      <c r="X318" s="6"/>
      <c r="Y318" s="6"/>
      <c r="Z318" s="6"/>
      <c r="AA318" s="6"/>
      <c r="AB318" s="6"/>
    </row>
    <row r="319" hidden="1">
      <c r="A319" s="13" t="str">
        <f t="shared" si="1"/>
        <v/>
      </c>
      <c r="B319" s="13"/>
      <c r="C319" s="13" t="s">
        <v>31</v>
      </c>
      <c r="D319" s="6"/>
      <c r="E319" s="6"/>
      <c r="F319" s="6"/>
      <c r="G319" s="26"/>
      <c r="H319" s="6"/>
      <c r="I319" s="6"/>
      <c r="J319" s="6"/>
      <c r="K319" s="81"/>
      <c r="L319" s="8"/>
      <c r="M319" s="102">
        <f>VLOOKUP(E357,'Hedef Liste'!A:I,8,false)</f>
        <v>20</v>
      </c>
      <c r="N319" s="6" t="b">
        <v>0</v>
      </c>
      <c r="O319" s="6" t="b">
        <v>0</v>
      </c>
      <c r="P319" s="6"/>
      <c r="Q319" s="6"/>
      <c r="R319" s="6"/>
      <c r="S319" s="6"/>
      <c r="T319" s="6"/>
      <c r="U319" s="6"/>
      <c r="V319" s="6"/>
      <c r="W319" s="6"/>
      <c r="X319" s="6"/>
      <c r="Y319" s="6"/>
      <c r="Z319" s="6"/>
      <c r="AA319" s="6"/>
      <c r="AB319" s="6"/>
    </row>
    <row r="320" hidden="1">
      <c r="A320" s="13" t="str">
        <f t="shared" si="1"/>
        <v/>
      </c>
      <c r="B320" s="13"/>
      <c r="C320" s="13" t="s">
        <v>31</v>
      </c>
      <c r="D320" s="8"/>
      <c r="E320" s="8"/>
      <c r="F320" s="8"/>
      <c r="G320" s="29"/>
      <c r="H320" s="8"/>
      <c r="I320" s="8"/>
      <c r="J320" s="8"/>
      <c r="K320" s="8"/>
      <c r="L320" s="30"/>
      <c r="M320" s="31"/>
      <c r="N320" s="6" t="b">
        <v>0</v>
      </c>
      <c r="O320" s="6" t="b">
        <v>0</v>
      </c>
      <c r="P320" s="6"/>
      <c r="Q320" s="6"/>
      <c r="R320" s="6"/>
      <c r="S320" s="6"/>
      <c r="T320" s="6"/>
      <c r="U320" s="6"/>
      <c r="V320" s="6"/>
      <c r="W320" s="6"/>
      <c r="X320" s="6"/>
      <c r="Y320" s="6"/>
      <c r="Z320" s="6"/>
      <c r="AA320" s="6"/>
      <c r="AB320" s="6"/>
    </row>
    <row r="321" hidden="1">
      <c r="A321" s="13" t="str">
        <f t="shared" si="1"/>
        <v/>
      </c>
      <c r="B321" s="13"/>
      <c r="C321" s="13" t="s">
        <v>46</v>
      </c>
      <c r="D321" s="8"/>
      <c r="E321" s="8"/>
      <c r="F321" s="8"/>
      <c r="G321" s="29"/>
      <c r="H321" s="8"/>
      <c r="I321" s="8"/>
      <c r="J321" s="8"/>
      <c r="K321" s="34"/>
      <c r="L321" s="8"/>
      <c r="M321" s="28"/>
      <c r="N321" s="6" t="b">
        <v>0</v>
      </c>
      <c r="O321" s="6" t="b">
        <v>0</v>
      </c>
      <c r="P321" s="6"/>
      <c r="Q321" s="6"/>
      <c r="R321" s="6"/>
      <c r="S321" s="6"/>
      <c r="T321" s="6"/>
      <c r="U321" s="6"/>
      <c r="V321" s="6"/>
      <c r="W321" s="6"/>
      <c r="X321" s="6"/>
      <c r="Y321" s="6"/>
      <c r="Z321" s="6"/>
      <c r="AA321" s="6"/>
      <c r="AB321" s="6"/>
    </row>
    <row r="322" hidden="1">
      <c r="A322" s="13" t="str">
        <f t="shared" si="1"/>
        <v>5fce3ece690d975ac2b16ec2</v>
      </c>
      <c r="B322" s="13"/>
      <c r="C322" s="13" t="s">
        <v>46</v>
      </c>
      <c r="D322" s="14"/>
      <c r="E322" s="15" t="s">
        <v>750</v>
      </c>
      <c r="F322" s="15" t="s">
        <v>751</v>
      </c>
      <c r="G322" s="16" t="s">
        <v>34</v>
      </c>
      <c r="H322" s="18" t="s">
        <v>695</v>
      </c>
      <c r="I322" s="18" t="s">
        <v>752</v>
      </c>
      <c r="J322" s="15" t="s">
        <v>753</v>
      </c>
      <c r="K322" s="19"/>
      <c r="L322" s="18">
        <v>13.0</v>
      </c>
      <c r="M322" s="96">
        <f>VLOOKUP(E322,'Hedef Liste'!A:I,8,false)</f>
        <v>7</v>
      </c>
      <c r="N322" s="6" t="b">
        <v>0</v>
      </c>
      <c r="O322" s="6" t="b">
        <v>0</v>
      </c>
      <c r="P322" s="6"/>
      <c r="Q322" s="6"/>
      <c r="R322" s="6"/>
      <c r="S322" s="6"/>
      <c r="T322" s="6"/>
      <c r="U322" s="6"/>
      <c r="V322" s="6"/>
      <c r="W322" s="6"/>
      <c r="X322" s="6"/>
      <c r="Y322" s="6"/>
      <c r="Z322" s="6"/>
      <c r="AA322" s="6"/>
      <c r="AB322" s="6"/>
    </row>
    <row r="323" hidden="1">
      <c r="A323" s="13" t="str">
        <f t="shared" si="1"/>
        <v>5f35aa1de44c796ecbeff5b1</v>
      </c>
      <c r="B323" s="13"/>
      <c r="C323" s="13" t="s">
        <v>46</v>
      </c>
      <c r="D323" s="61"/>
      <c r="E323" s="62" t="s">
        <v>754</v>
      </c>
      <c r="F323" s="62" t="s">
        <v>755</v>
      </c>
      <c r="G323" s="16" t="s">
        <v>449</v>
      </c>
      <c r="H323" s="18" t="s">
        <v>505</v>
      </c>
      <c r="I323" s="18" t="s">
        <v>756</v>
      </c>
      <c r="J323" s="62" t="s">
        <v>757</v>
      </c>
      <c r="K323" s="19"/>
      <c r="L323" s="18">
        <v>43.0</v>
      </c>
      <c r="M323" s="98" t="str">
        <f>VLOOKUP(E323,'Hedef Liste'!A:I,8,false)</f>
        <v>#N/A</v>
      </c>
      <c r="N323" s="6" t="b">
        <v>0</v>
      </c>
      <c r="O323" s="6" t="b">
        <v>0</v>
      </c>
      <c r="P323" s="6"/>
      <c r="Q323" s="6"/>
      <c r="R323" s="6"/>
      <c r="S323" s="6"/>
      <c r="T323" s="6"/>
      <c r="U323" s="6"/>
      <c r="V323" s="6"/>
      <c r="W323" s="6"/>
      <c r="X323" s="6"/>
      <c r="Y323" s="6"/>
      <c r="Z323" s="6"/>
      <c r="AA323" s="6"/>
      <c r="AB323" s="6"/>
    </row>
    <row r="324" hidden="1">
      <c r="A324" s="13" t="str">
        <f t="shared" si="1"/>
        <v>5f8428fca32e997deb39435d</v>
      </c>
      <c r="B324" s="13"/>
      <c r="C324" s="13" t="s">
        <v>46</v>
      </c>
      <c r="D324" s="61"/>
      <c r="E324" s="62" t="s">
        <v>758</v>
      </c>
      <c r="F324" s="62" t="s">
        <v>759</v>
      </c>
      <c r="G324" s="22">
        <v>0.5833333333333334</v>
      </c>
      <c r="H324" s="18" t="s">
        <v>505</v>
      </c>
      <c r="I324" s="18" t="s">
        <v>756</v>
      </c>
      <c r="J324" s="62" t="s">
        <v>757</v>
      </c>
      <c r="K324" s="18"/>
      <c r="L324" s="18">
        <v>20.0</v>
      </c>
      <c r="M324" s="98" t="str">
        <f>VLOOKUP(E324,'Hedef Liste'!A:I,8,false)</f>
        <v>#N/A</v>
      </c>
      <c r="N324" s="6" t="b">
        <v>0</v>
      </c>
      <c r="O324" s="6" t="b">
        <v>0</v>
      </c>
      <c r="P324" s="6"/>
      <c r="Q324" s="6"/>
      <c r="R324" s="6"/>
      <c r="S324" s="6"/>
      <c r="T324" s="6"/>
      <c r="U324" s="6"/>
      <c r="V324" s="6"/>
      <c r="W324" s="6"/>
      <c r="X324" s="6"/>
      <c r="Y324" s="6"/>
      <c r="Z324" s="6"/>
      <c r="AA324" s="6"/>
      <c r="AB324" s="6"/>
    </row>
    <row r="325" hidden="1">
      <c r="A325" s="13" t="str">
        <f t="shared" si="1"/>
        <v>5ff47923ac60e844676f44a3</v>
      </c>
      <c r="B325" s="13"/>
      <c r="C325" s="13" t="s">
        <v>46</v>
      </c>
      <c r="D325" s="14"/>
      <c r="E325" s="15" t="s">
        <v>760</v>
      </c>
      <c r="F325" s="15" t="s">
        <v>761</v>
      </c>
      <c r="G325" s="22">
        <v>0.6666666666666666</v>
      </c>
      <c r="H325" s="18" t="s">
        <v>162</v>
      </c>
      <c r="I325" s="36" t="s">
        <v>762</v>
      </c>
      <c r="J325" s="15" t="s">
        <v>763</v>
      </c>
      <c r="K325" s="19"/>
      <c r="L325" s="18">
        <v>7.0</v>
      </c>
      <c r="M325" s="96">
        <f>VLOOKUP(E325,'Hedef Liste'!A:I,8,false)</f>
        <v>6</v>
      </c>
      <c r="N325" s="6" t="b">
        <v>0</v>
      </c>
      <c r="O325" s="6" t="b">
        <v>0</v>
      </c>
      <c r="P325" s="6"/>
      <c r="Q325" s="6"/>
      <c r="R325" s="6"/>
      <c r="S325" s="6"/>
      <c r="T325" s="6"/>
      <c r="U325" s="6"/>
      <c r="V325" s="6"/>
      <c r="W325" s="6"/>
      <c r="X325" s="6"/>
      <c r="Y325" s="6"/>
      <c r="Z325" s="6"/>
      <c r="AA325" s="6"/>
      <c r="AB325" s="6"/>
    </row>
    <row r="326" hidden="1">
      <c r="A326" s="13" t="str">
        <f t="shared" si="1"/>
        <v/>
      </c>
      <c r="B326" s="13"/>
      <c r="C326" s="13" t="s">
        <v>46</v>
      </c>
      <c r="D326" s="8"/>
      <c r="E326" s="8"/>
      <c r="F326" s="8"/>
      <c r="G326" s="29"/>
      <c r="H326" s="8"/>
      <c r="I326" s="8"/>
      <c r="J326" s="8"/>
      <c r="K326" s="8"/>
      <c r="L326" s="30"/>
      <c r="M326" s="31"/>
      <c r="N326" s="6" t="b">
        <v>0</v>
      </c>
      <c r="O326" s="6" t="b">
        <v>0</v>
      </c>
      <c r="P326" s="6"/>
      <c r="Q326" s="6"/>
      <c r="R326" s="6"/>
      <c r="S326" s="6"/>
      <c r="T326" s="6"/>
      <c r="U326" s="6"/>
      <c r="V326" s="6"/>
      <c r="W326" s="6"/>
      <c r="X326" s="6"/>
      <c r="Y326" s="6"/>
      <c r="Z326" s="6"/>
      <c r="AA326" s="6"/>
      <c r="AB326" s="6"/>
    </row>
    <row r="327" hidden="1">
      <c r="A327" s="13" t="str">
        <f t="shared" si="1"/>
        <v/>
      </c>
      <c r="B327" s="94"/>
      <c r="C327" s="94">
        <v>44253.0</v>
      </c>
      <c r="D327" s="8"/>
      <c r="E327" s="9"/>
      <c r="F327" s="10"/>
      <c r="G327" s="10"/>
      <c r="H327" s="10"/>
      <c r="I327" s="10"/>
      <c r="J327" s="10"/>
      <c r="K327" s="10"/>
      <c r="L327" s="11"/>
      <c r="M327" s="12"/>
      <c r="N327" s="6"/>
      <c r="O327" s="6"/>
      <c r="P327" s="6"/>
      <c r="Q327" s="6"/>
      <c r="R327" s="6"/>
      <c r="S327" s="6"/>
      <c r="T327" s="6"/>
      <c r="U327" s="6"/>
      <c r="V327" s="6"/>
      <c r="W327" s="6"/>
      <c r="X327" s="6"/>
      <c r="Y327" s="6"/>
      <c r="Z327" s="6"/>
      <c r="AA327" s="6"/>
      <c r="AB327" s="6"/>
    </row>
    <row r="328" hidden="1">
      <c r="A328" s="13" t="str">
        <f t="shared" si="1"/>
        <v/>
      </c>
      <c r="B328" s="13"/>
      <c r="C328" s="13" t="s">
        <v>13</v>
      </c>
      <c r="D328" s="14"/>
      <c r="E328" s="14"/>
      <c r="F328" s="14"/>
      <c r="G328" s="100"/>
      <c r="H328" s="39"/>
      <c r="I328" s="6"/>
      <c r="J328" s="14"/>
      <c r="K328" s="34"/>
      <c r="L328" s="8"/>
      <c r="M328" s="28"/>
      <c r="N328" s="6" t="b">
        <v>0</v>
      </c>
      <c r="O328" s="6" t="b">
        <v>0</v>
      </c>
      <c r="P328" s="6"/>
      <c r="Q328" s="6"/>
      <c r="R328" s="6"/>
      <c r="S328" s="6"/>
      <c r="T328" s="6"/>
      <c r="U328" s="6"/>
      <c r="V328" s="6"/>
      <c r="W328" s="6"/>
      <c r="X328" s="6"/>
      <c r="Y328" s="6"/>
      <c r="Z328" s="6"/>
      <c r="AA328" s="6"/>
      <c r="AB328" s="6"/>
    </row>
    <row r="329" hidden="1">
      <c r="A329" s="13" t="str">
        <f t="shared" si="1"/>
        <v>5f7d78b1ace10e7fbba5759b</v>
      </c>
      <c r="B329" s="13"/>
      <c r="C329" s="13" t="s">
        <v>13</v>
      </c>
      <c r="D329" s="15"/>
      <c r="E329" s="15" t="s">
        <v>140</v>
      </c>
      <c r="F329" s="15" t="s">
        <v>141</v>
      </c>
      <c r="G329" s="40">
        <v>0.4375</v>
      </c>
      <c r="H329" s="18" t="s">
        <v>586</v>
      </c>
      <c r="I329" s="27" t="s">
        <v>764</v>
      </c>
      <c r="J329" s="15" t="s">
        <v>144</v>
      </c>
      <c r="K329" s="19"/>
      <c r="L329" s="18">
        <v>17.0</v>
      </c>
      <c r="M329" s="96">
        <f>VLOOKUP(E329,'Hedef Liste'!A:I,8,false)</f>
        <v>6</v>
      </c>
      <c r="N329" s="6" t="b">
        <v>0</v>
      </c>
      <c r="O329" s="6" t="b">
        <v>0</v>
      </c>
      <c r="P329" s="6"/>
      <c r="Q329" s="6"/>
      <c r="R329" s="6"/>
      <c r="S329" s="6"/>
      <c r="T329" s="6"/>
      <c r="U329" s="6"/>
      <c r="V329" s="6"/>
      <c r="W329" s="6"/>
      <c r="X329" s="6"/>
      <c r="Y329" s="6"/>
      <c r="Z329" s="6"/>
      <c r="AA329" s="6"/>
      <c r="AB329" s="6"/>
    </row>
    <row r="330" hidden="1">
      <c r="A330" s="13" t="str">
        <f t="shared" si="1"/>
        <v>5f3e1ccbe4f2f87d4e91d636</v>
      </c>
      <c r="B330" s="13"/>
      <c r="C330" s="13" t="s">
        <v>13</v>
      </c>
      <c r="D330" s="62"/>
      <c r="E330" s="62" t="s">
        <v>765</v>
      </c>
      <c r="F330" s="62" t="s">
        <v>766</v>
      </c>
      <c r="G330" s="97">
        <v>0.5416666666666666</v>
      </c>
      <c r="H330" s="18" t="s">
        <v>229</v>
      </c>
      <c r="I330" s="18" t="s">
        <v>767</v>
      </c>
      <c r="J330" s="62" t="s">
        <v>768</v>
      </c>
      <c r="K330" s="19"/>
      <c r="L330" s="18">
        <v>23.0</v>
      </c>
      <c r="M330" s="98" t="str">
        <f>VLOOKUP(E330,'Hedef Liste'!A:I,8,false)</f>
        <v>#N/A</v>
      </c>
      <c r="N330" s="6" t="b">
        <v>0</v>
      </c>
      <c r="O330" s="6" t="b">
        <v>0</v>
      </c>
      <c r="P330" s="6"/>
      <c r="Q330" s="6"/>
      <c r="R330" s="6"/>
      <c r="S330" s="6"/>
      <c r="T330" s="6"/>
      <c r="U330" s="6"/>
      <c r="V330" s="6"/>
      <c r="W330" s="6"/>
      <c r="X330" s="6"/>
      <c r="Y330" s="6"/>
      <c r="Z330" s="6"/>
      <c r="AA330" s="6"/>
      <c r="AB330" s="6"/>
    </row>
    <row r="331" hidden="1">
      <c r="A331" s="13" t="str">
        <f t="shared" si="1"/>
        <v>5f2c34fd5b6dd080ba3cd27f</v>
      </c>
      <c r="B331" s="13"/>
      <c r="C331" s="13" t="s">
        <v>13</v>
      </c>
      <c r="D331" s="27"/>
      <c r="E331" s="27" t="s">
        <v>769</v>
      </c>
      <c r="F331" s="75" t="s">
        <v>770</v>
      </c>
      <c r="G331" s="105" t="s">
        <v>298</v>
      </c>
      <c r="H331" s="27" t="s">
        <v>771</v>
      </c>
      <c r="I331" s="105">
        <v>2.223353516E9</v>
      </c>
      <c r="J331" s="75" t="s">
        <v>772</v>
      </c>
      <c r="K331" s="23"/>
      <c r="L331" s="18">
        <v>6.0</v>
      </c>
      <c r="M331" s="96">
        <f>VLOOKUP(E331,'Hedef Liste'!A:I,8,false)</f>
        <v>1</v>
      </c>
      <c r="N331" s="6" t="b">
        <v>0</v>
      </c>
      <c r="O331" s="6" t="b">
        <v>0</v>
      </c>
      <c r="P331" s="6"/>
      <c r="Q331" s="6"/>
      <c r="R331" s="6"/>
      <c r="S331" s="6"/>
      <c r="T331" s="6"/>
      <c r="U331" s="6"/>
      <c r="V331" s="6"/>
      <c r="W331" s="6"/>
      <c r="X331" s="6"/>
      <c r="Y331" s="6"/>
      <c r="Z331" s="6"/>
      <c r="AA331" s="6"/>
      <c r="AB331" s="6"/>
    </row>
    <row r="332" hidden="1">
      <c r="A332" s="13" t="str">
        <f t="shared" si="1"/>
        <v>5f8dadac573041534c661e42</v>
      </c>
      <c r="B332" s="13"/>
      <c r="C332" s="13" t="s">
        <v>13</v>
      </c>
      <c r="D332" s="15"/>
      <c r="E332" s="15" t="s">
        <v>773</v>
      </c>
      <c r="F332" s="15" t="s">
        <v>774</v>
      </c>
      <c r="G332" s="22">
        <v>0.6875</v>
      </c>
      <c r="H332" s="18" t="s">
        <v>775</v>
      </c>
      <c r="I332" s="36" t="s">
        <v>776</v>
      </c>
      <c r="J332" s="15" t="s">
        <v>777</v>
      </c>
      <c r="K332" s="19"/>
      <c r="L332" s="18">
        <v>13.0</v>
      </c>
      <c r="M332" s="98" t="str">
        <f>VLOOKUP(E332,'Hedef Liste'!A:I,8,false)</f>
        <v>#N/A</v>
      </c>
      <c r="N332" s="6" t="b">
        <v>0</v>
      </c>
      <c r="O332" s="6" t="b">
        <v>0</v>
      </c>
      <c r="P332" s="6"/>
      <c r="Q332" s="6"/>
      <c r="R332" s="6"/>
      <c r="S332" s="6"/>
      <c r="T332" s="6"/>
      <c r="U332" s="6"/>
      <c r="V332" s="6"/>
      <c r="W332" s="6"/>
      <c r="X332" s="6"/>
      <c r="Y332" s="6"/>
      <c r="Z332" s="6"/>
      <c r="AA332" s="6"/>
      <c r="AB332" s="6"/>
    </row>
    <row r="333" hidden="1">
      <c r="A333" s="13" t="str">
        <f t="shared" si="1"/>
        <v/>
      </c>
      <c r="B333" s="13"/>
      <c r="C333" s="13" t="s">
        <v>13</v>
      </c>
      <c r="D333" s="8"/>
      <c r="E333" s="8"/>
      <c r="F333" s="8"/>
      <c r="G333" s="29"/>
      <c r="H333" s="8"/>
      <c r="I333" s="8"/>
      <c r="J333" s="8"/>
      <c r="K333" s="8"/>
      <c r="L333" s="30"/>
      <c r="M333" s="31"/>
      <c r="N333" s="6" t="b">
        <v>0</v>
      </c>
      <c r="O333" s="6" t="b">
        <v>0</v>
      </c>
      <c r="P333" s="6"/>
      <c r="Q333" s="6"/>
      <c r="R333" s="6"/>
      <c r="S333" s="6"/>
      <c r="T333" s="6"/>
      <c r="U333" s="6"/>
      <c r="V333" s="6"/>
      <c r="W333" s="6"/>
      <c r="X333" s="6"/>
      <c r="Y333" s="6"/>
      <c r="Z333" s="6"/>
      <c r="AA333" s="6"/>
      <c r="AB333" s="6"/>
    </row>
    <row r="334" hidden="1">
      <c r="A334" s="13" t="str">
        <f t="shared" si="1"/>
        <v/>
      </c>
      <c r="B334" s="13"/>
      <c r="C334" s="13" t="s">
        <v>31</v>
      </c>
      <c r="D334" s="8"/>
      <c r="E334" s="8"/>
      <c r="F334" s="8"/>
      <c r="G334" s="29"/>
      <c r="H334" s="8"/>
      <c r="I334" s="8"/>
      <c r="J334" s="8"/>
      <c r="K334" s="34"/>
      <c r="L334" s="8"/>
      <c r="M334" s="28"/>
      <c r="N334" s="6" t="b">
        <v>0</v>
      </c>
      <c r="O334" s="6" t="b">
        <v>0</v>
      </c>
      <c r="P334" s="6"/>
      <c r="Q334" s="6"/>
      <c r="R334" s="6"/>
      <c r="S334" s="6"/>
      <c r="T334" s="6"/>
      <c r="U334" s="6"/>
      <c r="V334" s="6"/>
      <c r="W334" s="6"/>
      <c r="X334" s="6"/>
      <c r="Y334" s="6"/>
      <c r="Z334" s="6"/>
      <c r="AA334" s="6"/>
      <c r="AB334" s="6"/>
    </row>
    <row r="335" hidden="1">
      <c r="A335" s="13" t="str">
        <f t="shared" si="1"/>
        <v>5fba65b2559c8fd44b0d053e</v>
      </c>
      <c r="B335" s="13"/>
      <c r="C335" s="13" t="s">
        <v>31</v>
      </c>
      <c r="D335" s="62"/>
      <c r="E335" s="62" t="s">
        <v>778</v>
      </c>
      <c r="F335" s="62" t="s">
        <v>779</v>
      </c>
      <c r="G335" s="40">
        <v>0.5416666666666666</v>
      </c>
      <c r="H335" s="18" t="s">
        <v>780</v>
      </c>
      <c r="I335" s="18" t="s">
        <v>781</v>
      </c>
      <c r="J335" s="62" t="s">
        <v>782</v>
      </c>
      <c r="K335" s="19"/>
      <c r="L335" s="18">
        <v>7.0</v>
      </c>
      <c r="M335" s="96">
        <f>VLOOKUP(E335,'Hedef Liste'!A:I,8,false)</f>
        <v>22</v>
      </c>
      <c r="N335" s="6" t="b">
        <v>0</v>
      </c>
      <c r="O335" s="6" t="b">
        <v>0</v>
      </c>
      <c r="P335" s="6"/>
      <c r="Q335" s="6"/>
      <c r="R335" s="6"/>
      <c r="S335" s="6"/>
      <c r="T335" s="6"/>
      <c r="U335" s="6"/>
      <c r="V335" s="6"/>
      <c r="W335" s="6"/>
      <c r="X335" s="6"/>
      <c r="Y335" s="6"/>
      <c r="Z335" s="6"/>
      <c r="AA335" s="6"/>
      <c r="AB335" s="6"/>
    </row>
    <row r="336" hidden="1">
      <c r="A336" s="13" t="str">
        <f t="shared" si="1"/>
        <v>5f3531e1c5459f75975cda02</v>
      </c>
      <c r="B336" s="13"/>
      <c r="C336" s="13" t="s">
        <v>31</v>
      </c>
      <c r="D336" s="73"/>
      <c r="E336" s="73" t="s">
        <v>783</v>
      </c>
      <c r="F336" s="73" t="s">
        <v>784</v>
      </c>
      <c r="G336" s="74">
        <v>0.5833333333333334</v>
      </c>
      <c r="H336" s="44" t="s">
        <v>785</v>
      </c>
      <c r="I336" s="48" t="s">
        <v>786</v>
      </c>
      <c r="J336" s="73" t="s">
        <v>787</v>
      </c>
      <c r="K336" s="63"/>
      <c r="L336" s="45"/>
      <c r="M336" s="46" t="str">
        <f>VLOOKUP(E336,'Hedef Liste'!A:I,8,false)</f>
        <v>#N/A</v>
      </c>
      <c r="N336" s="47" t="b">
        <v>0</v>
      </c>
      <c r="O336" s="48" t="b">
        <v>1</v>
      </c>
      <c r="P336" s="6"/>
      <c r="Q336" s="6"/>
      <c r="R336" s="6"/>
      <c r="S336" s="6"/>
      <c r="T336" s="6"/>
      <c r="U336" s="6"/>
      <c r="V336" s="6"/>
      <c r="W336" s="6"/>
      <c r="X336" s="6"/>
      <c r="Y336" s="6"/>
      <c r="Z336" s="6"/>
      <c r="AA336" s="6"/>
      <c r="AB336" s="6"/>
    </row>
    <row r="337" hidden="1">
      <c r="A337" s="13" t="str">
        <f t="shared" si="1"/>
        <v>5fa893f666a584e0f0fde8d2</v>
      </c>
      <c r="B337" s="13"/>
      <c r="C337" s="13" t="s">
        <v>31</v>
      </c>
      <c r="D337" s="42"/>
      <c r="E337" s="42" t="s">
        <v>788</v>
      </c>
      <c r="F337" s="42" t="s">
        <v>789</v>
      </c>
      <c r="G337" s="70" t="s">
        <v>337</v>
      </c>
      <c r="H337" s="59" t="s">
        <v>790</v>
      </c>
      <c r="I337" s="59" t="s">
        <v>791</v>
      </c>
      <c r="J337" s="73" t="s">
        <v>792</v>
      </c>
      <c r="K337" s="44" t="s">
        <v>793</v>
      </c>
      <c r="L337" s="45"/>
      <c r="M337" s="46" t="str">
        <f>VLOOKUP(E337,'Hedef Liste'!A:I,8,false)</f>
        <v>#N/A</v>
      </c>
      <c r="N337" s="47" t="b">
        <v>0</v>
      </c>
      <c r="O337" s="48" t="b">
        <v>1</v>
      </c>
      <c r="P337" s="6"/>
      <c r="Q337" s="6"/>
      <c r="R337" s="6"/>
      <c r="S337" s="6"/>
      <c r="T337" s="6"/>
      <c r="U337" s="6"/>
      <c r="V337" s="6"/>
      <c r="W337" s="6"/>
      <c r="X337" s="6"/>
      <c r="Y337" s="6"/>
      <c r="Z337" s="6"/>
      <c r="AA337" s="6"/>
      <c r="AB337" s="6"/>
    </row>
    <row r="338" hidden="1">
      <c r="A338" s="13" t="str">
        <f t="shared" si="1"/>
        <v>5ff45698630a769e590086d5</v>
      </c>
      <c r="B338" s="13"/>
      <c r="C338" s="13" t="s">
        <v>31</v>
      </c>
      <c r="D338" s="42"/>
      <c r="E338" s="42" t="s">
        <v>794</v>
      </c>
      <c r="F338" s="42" t="s">
        <v>795</v>
      </c>
      <c r="G338" s="58" t="s">
        <v>97</v>
      </c>
      <c r="H338" s="44" t="s">
        <v>162</v>
      </c>
      <c r="I338" s="44" t="s">
        <v>796</v>
      </c>
      <c r="J338" s="42" t="s">
        <v>74</v>
      </c>
      <c r="K338" s="63"/>
      <c r="L338" s="45"/>
      <c r="M338" s="46" t="str">
        <f>VLOOKUP(E338,'Hedef Liste'!A:I,8,false)</f>
        <v>#N/A</v>
      </c>
      <c r="N338" s="47" t="b">
        <v>0</v>
      </c>
      <c r="O338" s="48" t="b">
        <v>1</v>
      </c>
      <c r="P338" s="6"/>
      <c r="Q338" s="6"/>
      <c r="R338" s="6"/>
      <c r="S338" s="6"/>
      <c r="T338" s="6"/>
      <c r="U338" s="6"/>
      <c r="V338" s="6"/>
      <c r="W338" s="6"/>
      <c r="X338" s="6"/>
      <c r="Y338" s="6"/>
      <c r="Z338" s="6"/>
      <c r="AA338" s="6"/>
      <c r="AB338" s="6"/>
    </row>
    <row r="339" hidden="1">
      <c r="A339" s="13" t="str">
        <f t="shared" si="1"/>
        <v/>
      </c>
      <c r="B339" s="13"/>
      <c r="C339" s="13" t="s">
        <v>31</v>
      </c>
      <c r="D339" s="8"/>
      <c r="E339" s="8"/>
      <c r="F339" s="8"/>
      <c r="G339" s="29"/>
      <c r="H339" s="8"/>
      <c r="I339" s="8"/>
      <c r="J339" s="8"/>
      <c r="K339" s="8"/>
      <c r="L339" s="30"/>
      <c r="M339" s="31"/>
      <c r="N339" s="6" t="b">
        <v>0</v>
      </c>
      <c r="O339" s="6" t="b">
        <v>0</v>
      </c>
      <c r="P339" s="6"/>
      <c r="Q339" s="6"/>
      <c r="R339" s="6"/>
      <c r="S339" s="6"/>
      <c r="T339" s="6"/>
      <c r="U339" s="6"/>
      <c r="V339" s="6"/>
      <c r="W339" s="6"/>
      <c r="X339" s="6"/>
      <c r="Y339" s="6"/>
      <c r="Z339" s="6"/>
      <c r="AA339" s="6"/>
      <c r="AB339" s="6"/>
    </row>
    <row r="340" hidden="1">
      <c r="A340" s="13" t="str">
        <f t="shared" si="1"/>
        <v/>
      </c>
      <c r="B340" s="13"/>
      <c r="C340" s="13" t="s">
        <v>46</v>
      </c>
      <c r="D340" s="8"/>
      <c r="E340" s="8"/>
      <c r="F340" s="8"/>
      <c r="G340" s="29"/>
      <c r="H340" s="8"/>
      <c r="I340" s="8"/>
      <c r="J340" s="8"/>
      <c r="K340" s="34"/>
      <c r="L340" s="8"/>
      <c r="M340" s="28"/>
      <c r="N340" s="6" t="b">
        <v>0</v>
      </c>
      <c r="O340" s="6" t="b">
        <v>0</v>
      </c>
      <c r="P340" s="6"/>
      <c r="Q340" s="6"/>
      <c r="R340" s="6"/>
      <c r="S340" s="6"/>
      <c r="T340" s="6"/>
      <c r="U340" s="6"/>
      <c r="V340" s="6"/>
      <c r="W340" s="6"/>
      <c r="X340" s="6"/>
      <c r="Y340" s="6"/>
      <c r="Z340" s="6"/>
      <c r="AA340" s="6"/>
      <c r="AB340" s="6"/>
    </row>
    <row r="341" hidden="1">
      <c r="A341" s="13" t="str">
        <f t="shared" si="1"/>
        <v>5ff47c0f05d6ffcddbcfde20</v>
      </c>
      <c r="B341" s="13"/>
      <c r="C341" s="13" t="s">
        <v>46</v>
      </c>
      <c r="D341" s="15"/>
      <c r="E341" s="15" t="s">
        <v>797</v>
      </c>
      <c r="F341" s="15" t="s">
        <v>798</v>
      </c>
      <c r="G341" s="16" t="s">
        <v>34</v>
      </c>
      <c r="H341" s="18" t="s">
        <v>269</v>
      </c>
      <c r="I341" s="18" t="s">
        <v>799</v>
      </c>
      <c r="J341" s="18" t="s">
        <v>800</v>
      </c>
      <c r="K341" s="19"/>
      <c r="L341" s="18">
        <v>15.0</v>
      </c>
      <c r="M341" s="96">
        <f>VLOOKUP(E341,'Hedef Liste'!A:I,8,false)</f>
        <v>4</v>
      </c>
      <c r="N341" s="6" t="b">
        <v>0</v>
      </c>
      <c r="O341" s="6" t="b">
        <v>0</v>
      </c>
      <c r="P341" s="6"/>
      <c r="Q341" s="6"/>
      <c r="R341" s="6"/>
      <c r="S341" s="6"/>
      <c r="T341" s="6"/>
      <c r="U341" s="6"/>
      <c r="V341" s="6"/>
      <c r="W341" s="6"/>
      <c r="X341" s="6"/>
      <c r="Y341" s="6"/>
      <c r="Z341" s="6"/>
      <c r="AA341" s="6"/>
      <c r="AB341" s="6"/>
    </row>
    <row r="342" hidden="1">
      <c r="A342" s="13" t="str">
        <f t="shared" si="1"/>
        <v>5f71eeb24b2808c223e07574</v>
      </c>
      <c r="B342" s="13"/>
      <c r="C342" s="13" t="s">
        <v>46</v>
      </c>
      <c r="D342" s="75"/>
      <c r="E342" s="75" t="s">
        <v>801</v>
      </c>
      <c r="F342" s="75" t="s">
        <v>802</v>
      </c>
      <c r="G342" s="16" t="s">
        <v>337</v>
      </c>
      <c r="H342" s="18" t="s">
        <v>803</v>
      </c>
      <c r="I342" s="18" t="s">
        <v>804</v>
      </c>
      <c r="J342" s="75" t="s">
        <v>805</v>
      </c>
      <c r="K342" s="19"/>
      <c r="L342" s="18">
        <v>12.0</v>
      </c>
      <c r="M342" s="96">
        <f>VLOOKUP(E342,'Hedef Liste'!A:I,8,false)</f>
        <v>16</v>
      </c>
      <c r="N342" s="6" t="b">
        <v>0</v>
      </c>
      <c r="O342" s="6" t="b">
        <v>0</v>
      </c>
      <c r="P342" s="6"/>
      <c r="Q342" s="6"/>
      <c r="R342" s="6"/>
      <c r="S342" s="6"/>
      <c r="T342" s="6"/>
      <c r="U342" s="6"/>
      <c r="V342" s="6"/>
      <c r="W342" s="6"/>
      <c r="X342" s="6"/>
      <c r="Y342" s="6"/>
      <c r="Z342" s="6"/>
      <c r="AA342" s="6"/>
      <c r="AB342" s="6"/>
    </row>
    <row r="343" hidden="1">
      <c r="A343" s="13" t="str">
        <f t="shared" si="1"/>
        <v>5ff0cd1ceeb85d703dcec25c</v>
      </c>
      <c r="B343" s="13"/>
      <c r="C343" s="13" t="s">
        <v>46</v>
      </c>
      <c r="D343" s="42"/>
      <c r="E343" s="42" t="s">
        <v>806</v>
      </c>
      <c r="F343" s="42" t="s">
        <v>807</v>
      </c>
      <c r="G343" s="43">
        <v>0.5833333333333334</v>
      </c>
      <c r="H343" s="44" t="s">
        <v>87</v>
      </c>
      <c r="I343" s="59" t="s">
        <v>808</v>
      </c>
      <c r="J343" s="42" t="s">
        <v>809</v>
      </c>
      <c r="K343" s="44"/>
      <c r="L343" s="45"/>
      <c r="M343" s="99">
        <f>VLOOKUP(E343,'Hedef Liste'!A:I,8,false)</f>
        <v>9</v>
      </c>
      <c r="N343" s="47" t="b">
        <v>0</v>
      </c>
      <c r="O343" s="48" t="b">
        <v>1</v>
      </c>
      <c r="P343" s="6"/>
      <c r="Q343" s="6"/>
      <c r="R343" s="6"/>
      <c r="S343" s="6"/>
      <c r="T343" s="6"/>
      <c r="U343" s="6"/>
      <c r="V343" s="6"/>
      <c r="W343" s="6"/>
      <c r="X343" s="6"/>
      <c r="Y343" s="6"/>
      <c r="Z343" s="6"/>
      <c r="AA343" s="6"/>
      <c r="AB343" s="6"/>
    </row>
    <row r="344" hidden="1">
      <c r="A344" s="13" t="str">
        <f t="shared" si="1"/>
        <v>5f338058fb6dd9e37bdd412e</v>
      </c>
      <c r="B344" s="13"/>
      <c r="C344" s="13" t="s">
        <v>46</v>
      </c>
      <c r="D344" s="36"/>
      <c r="E344" s="36" t="s">
        <v>810</v>
      </c>
      <c r="F344" s="75" t="s">
        <v>811</v>
      </c>
      <c r="G344" s="76" t="s">
        <v>378</v>
      </c>
      <c r="H344" s="18" t="s">
        <v>379</v>
      </c>
      <c r="I344" s="36" t="s">
        <v>812</v>
      </c>
      <c r="J344" s="82" t="s">
        <v>813</v>
      </c>
      <c r="K344" s="19"/>
      <c r="L344" s="18">
        <v>8.0</v>
      </c>
      <c r="M344" s="96">
        <f>VLOOKUP(E344,'Hedef Liste'!A:I,8,false)</f>
        <v>6</v>
      </c>
      <c r="N344" s="6" t="b">
        <v>0</v>
      </c>
      <c r="O344" s="6" t="b">
        <v>0</v>
      </c>
      <c r="P344" s="6"/>
      <c r="Q344" s="6"/>
      <c r="R344" s="6"/>
      <c r="S344" s="6"/>
      <c r="T344" s="6"/>
      <c r="U344" s="6"/>
      <c r="V344" s="6"/>
      <c r="W344" s="6"/>
      <c r="X344" s="6"/>
      <c r="Y344" s="6"/>
      <c r="Z344" s="6"/>
      <c r="AA344" s="6"/>
      <c r="AB344" s="6"/>
    </row>
    <row r="345" hidden="1">
      <c r="A345" s="13" t="str">
        <f t="shared" si="1"/>
        <v/>
      </c>
      <c r="B345" s="13"/>
      <c r="C345" s="13" t="s">
        <v>46</v>
      </c>
      <c r="D345" s="8"/>
      <c r="E345" s="8"/>
      <c r="F345" s="8"/>
      <c r="G345" s="29"/>
      <c r="H345" s="8"/>
      <c r="I345" s="8"/>
      <c r="J345" s="8"/>
      <c r="K345" s="8"/>
      <c r="L345" s="30"/>
      <c r="M345" s="31"/>
      <c r="N345" s="6" t="b">
        <v>0</v>
      </c>
      <c r="O345" s="6" t="b">
        <v>0</v>
      </c>
      <c r="P345" s="6"/>
      <c r="Q345" s="6"/>
      <c r="R345" s="6"/>
      <c r="S345" s="6"/>
      <c r="T345" s="6"/>
      <c r="U345" s="6"/>
      <c r="V345" s="6"/>
      <c r="W345" s="6"/>
      <c r="X345" s="6"/>
      <c r="Y345" s="6"/>
      <c r="Z345" s="6"/>
      <c r="AA345" s="6"/>
      <c r="AB345" s="6"/>
    </row>
    <row r="346" hidden="1">
      <c r="A346" s="13" t="str">
        <f t="shared" si="1"/>
        <v/>
      </c>
      <c r="B346" s="94"/>
      <c r="C346" s="94">
        <v>44256.0</v>
      </c>
      <c r="D346" s="8"/>
      <c r="E346" s="9"/>
      <c r="F346" s="10"/>
      <c r="G346" s="10"/>
      <c r="H346" s="10"/>
      <c r="I346" s="10"/>
      <c r="J346" s="10"/>
      <c r="K346" s="10"/>
      <c r="L346" s="11"/>
      <c r="M346" s="12"/>
      <c r="N346" s="6"/>
      <c r="O346" s="6"/>
      <c r="P346" s="6"/>
      <c r="Q346" s="6"/>
      <c r="R346" s="6"/>
      <c r="S346" s="6"/>
      <c r="T346" s="6"/>
      <c r="U346" s="6"/>
      <c r="V346" s="6"/>
      <c r="W346" s="6"/>
      <c r="X346" s="6"/>
      <c r="Y346" s="6"/>
      <c r="Z346" s="6"/>
      <c r="AA346" s="6"/>
      <c r="AB346" s="6"/>
    </row>
    <row r="347" hidden="1">
      <c r="A347" s="13" t="str">
        <f t="shared" si="1"/>
        <v/>
      </c>
      <c r="B347" s="13"/>
      <c r="C347" s="13" t="s">
        <v>13</v>
      </c>
      <c r="D347" s="6"/>
      <c r="E347" s="6"/>
      <c r="F347" s="6"/>
      <c r="G347" s="26"/>
      <c r="H347" s="6"/>
      <c r="I347" s="6"/>
      <c r="J347" s="6"/>
      <c r="K347" s="34"/>
      <c r="L347" s="8"/>
      <c r="M347" s="28"/>
      <c r="N347" s="6" t="b">
        <v>0</v>
      </c>
      <c r="O347" s="6" t="b">
        <v>0</v>
      </c>
      <c r="P347" s="6"/>
      <c r="Q347" s="6"/>
      <c r="R347" s="6"/>
      <c r="S347" s="6"/>
      <c r="T347" s="6"/>
      <c r="U347" s="6"/>
      <c r="V347" s="6"/>
      <c r="W347" s="6"/>
      <c r="X347" s="6"/>
      <c r="Y347" s="6"/>
      <c r="Z347" s="6"/>
      <c r="AA347" s="6"/>
      <c r="AB347" s="6"/>
    </row>
    <row r="348" hidden="1">
      <c r="A348" s="13" t="str">
        <f t="shared" si="1"/>
        <v>5f32985b73c35dd55ae6e660</v>
      </c>
      <c r="B348" s="13"/>
      <c r="C348" s="13" t="s">
        <v>13</v>
      </c>
      <c r="D348" s="42"/>
      <c r="E348" s="42" t="s">
        <v>814</v>
      </c>
      <c r="F348" s="42" t="s">
        <v>815</v>
      </c>
      <c r="G348" s="58" t="s">
        <v>16</v>
      </c>
      <c r="H348" s="44" t="s">
        <v>496</v>
      </c>
      <c r="I348" s="44" t="s">
        <v>816</v>
      </c>
      <c r="J348" s="42" t="s">
        <v>817</v>
      </c>
      <c r="K348" s="44" t="s">
        <v>818</v>
      </c>
      <c r="L348" s="45"/>
      <c r="M348" s="106">
        <f>VLOOKUP(E348,'Hedef Liste'!A:I,8,false)</f>
        <v>4</v>
      </c>
      <c r="N348" s="47" t="b">
        <v>0</v>
      </c>
      <c r="O348" s="47" t="b">
        <v>0</v>
      </c>
      <c r="P348" s="6"/>
      <c r="Q348" s="6"/>
      <c r="R348" s="6"/>
      <c r="S348" s="6"/>
      <c r="T348" s="6"/>
      <c r="U348" s="6"/>
      <c r="V348" s="6"/>
      <c r="W348" s="6"/>
      <c r="X348" s="6"/>
      <c r="Y348" s="6"/>
      <c r="Z348" s="6"/>
      <c r="AA348" s="6"/>
      <c r="AB348" s="6"/>
    </row>
    <row r="349" ht="16.5" hidden="1" customHeight="1">
      <c r="A349" s="13" t="str">
        <f t="shared" si="1"/>
        <v>5f315647b9e5e1f92fdb6148</v>
      </c>
      <c r="B349" s="13"/>
      <c r="C349" s="13" t="s">
        <v>13</v>
      </c>
      <c r="D349" s="62" t="s">
        <v>819</v>
      </c>
      <c r="E349" s="62" t="s">
        <v>820</v>
      </c>
      <c r="F349" s="62" t="s">
        <v>821</v>
      </c>
      <c r="G349" s="97">
        <v>0.5208333333333334</v>
      </c>
      <c r="H349" s="18" t="s">
        <v>162</v>
      </c>
      <c r="I349" s="18" t="s">
        <v>822</v>
      </c>
      <c r="J349" s="62" t="s">
        <v>823</v>
      </c>
      <c r="K349" s="19"/>
      <c r="L349" s="18">
        <v>14.0</v>
      </c>
      <c r="M349" s="107">
        <f>VLOOKUP(E349,'Hedef Liste'!A:I,8,false)</f>
        <v>47</v>
      </c>
      <c r="N349" s="6" t="b">
        <v>0</v>
      </c>
      <c r="O349" s="6" t="b">
        <v>0</v>
      </c>
      <c r="P349" s="6"/>
      <c r="Q349" s="6"/>
      <c r="R349" s="6"/>
      <c r="S349" s="6"/>
      <c r="T349" s="6"/>
      <c r="U349" s="6"/>
      <c r="V349" s="6"/>
      <c r="W349" s="6"/>
      <c r="X349" s="6"/>
      <c r="Y349" s="6"/>
      <c r="Z349" s="6"/>
      <c r="AA349" s="6"/>
      <c r="AB349" s="6"/>
    </row>
    <row r="350" hidden="1">
      <c r="A350" s="13" t="str">
        <f t="shared" si="1"/>
        <v>601d847ab55d19e3fa52929a</v>
      </c>
      <c r="B350" s="13"/>
      <c r="C350" s="13" t="s">
        <v>13</v>
      </c>
      <c r="D350" s="73"/>
      <c r="E350" s="73" t="s">
        <v>824</v>
      </c>
      <c r="F350" s="73" t="s">
        <v>825</v>
      </c>
      <c r="G350" s="58" t="s">
        <v>292</v>
      </c>
      <c r="H350" s="44" t="s">
        <v>384</v>
      </c>
      <c r="I350" s="44" t="s">
        <v>826</v>
      </c>
      <c r="J350" s="73" t="s">
        <v>827</v>
      </c>
      <c r="K350" s="44" t="s">
        <v>818</v>
      </c>
      <c r="L350" s="45"/>
      <c r="M350" s="108" t="str">
        <f>VLOOKUP(E350,'Hedef Liste'!A:I,8,false)</f>
        <v>#N/A</v>
      </c>
      <c r="N350" s="47" t="b">
        <v>0</v>
      </c>
      <c r="O350" s="47" t="b">
        <v>0</v>
      </c>
      <c r="P350" s="6"/>
      <c r="Q350" s="6"/>
      <c r="R350" s="6"/>
      <c r="S350" s="6"/>
      <c r="T350" s="6"/>
      <c r="U350" s="6"/>
      <c r="V350" s="6"/>
      <c r="W350" s="6"/>
      <c r="X350" s="6"/>
      <c r="Y350" s="6"/>
      <c r="Z350" s="6"/>
      <c r="AA350" s="6"/>
      <c r="AB350" s="6"/>
    </row>
    <row r="351" hidden="1">
      <c r="A351" s="13" t="str">
        <f t="shared" si="1"/>
        <v/>
      </c>
      <c r="B351" s="13"/>
      <c r="C351" s="13" t="s">
        <v>13</v>
      </c>
      <c r="D351" s="61"/>
      <c r="E351" s="6"/>
      <c r="F351" s="6"/>
      <c r="G351" s="26"/>
      <c r="H351" s="6"/>
      <c r="I351" s="6"/>
      <c r="J351" s="6"/>
      <c r="K351" s="81"/>
      <c r="L351" s="8"/>
      <c r="M351" s="109">
        <f>VLOOKUP(E389,'Hedef Liste'!A:I,8,false)</f>
        <v>60</v>
      </c>
      <c r="N351" s="6" t="b">
        <v>0</v>
      </c>
      <c r="O351" s="6" t="b">
        <v>0</v>
      </c>
      <c r="P351" s="6"/>
      <c r="Q351" s="6"/>
      <c r="R351" s="6"/>
      <c r="S351" s="6"/>
      <c r="T351" s="6"/>
      <c r="U351" s="6"/>
      <c r="V351" s="6"/>
      <c r="W351" s="6"/>
      <c r="X351" s="6"/>
      <c r="Y351" s="6"/>
      <c r="Z351" s="6"/>
      <c r="AA351" s="6"/>
      <c r="AB351" s="6"/>
    </row>
    <row r="352" hidden="1">
      <c r="A352" s="13" t="str">
        <f t="shared" si="1"/>
        <v/>
      </c>
      <c r="B352" s="13"/>
      <c r="C352" s="13" t="s">
        <v>13</v>
      </c>
      <c r="D352" s="8"/>
      <c r="E352" s="8"/>
      <c r="F352" s="8"/>
      <c r="G352" s="29"/>
      <c r="H352" s="8"/>
      <c r="I352" s="8"/>
      <c r="J352" s="8"/>
      <c r="K352" s="8"/>
      <c r="L352" s="30"/>
      <c r="M352" s="31"/>
      <c r="N352" s="6" t="b">
        <v>0</v>
      </c>
      <c r="O352" s="6" t="b">
        <v>0</v>
      </c>
      <c r="P352" s="6"/>
      <c r="Q352" s="6"/>
      <c r="R352" s="6"/>
      <c r="S352" s="6"/>
      <c r="T352" s="6"/>
      <c r="U352" s="6"/>
      <c r="V352" s="6"/>
      <c r="W352" s="6"/>
      <c r="X352" s="6"/>
      <c r="Y352" s="6"/>
      <c r="Z352" s="6"/>
      <c r="AA352" s="6"/>
      <c r="AB352" s="6"/>
    </row>
    <row r="353" hidden="1">
      <c r="A353" s="13" t="str">
        <f t="shared" si="1"/>
        <v/>
      </c>
      <c r="B353" s="13"/>
      <c r="C353" s="13" t="s">
        <v>31</v>
      </c>
      <c r="D353" s="8"/>
      <c r="E353" s="8"/>
      <c r="F353" s="8"/>
      <c r="G353" s="29"/>
      <c r="H353" s="8"/>
      <c r="I353" s="8"/>
      <c r="J353" s="8"/>
      <c r="K353" s="34"/>
      <c r="L353" s="8"/>
      <c r="M353" s="28"/>
      <c r="N353" s="6" t="b">
        <v>0</v>
      </c>
      <c r="O353" s="6" t="b">
        <v>0</v>
      </c>
      <c r="P353" s="6"/>
      <c r="Q353" s="6"/>
      <c r="R353" s="6"/>
      <c r="S353" s="6"/>
      <c r="T353" s="6"/>
      <c r="U353" s="6"/>
      <c r="V353" s="6"/>
      <c r="W353" s="6"/>
      <c r="X353" s="6"/>
      <c r="Y353" s="6"/>
      <c r="Z353" s="6"/>
      <c r="AA353" s="6"/>
      <c r="AB353" s="6"/>
    </row>
    <row r="354" hidden="1">
      <c r="A354" s="13" t="str">
        <f t="shared" si="1"/>
        <v>5f33a853fd2b2803ccab3001</v>
      </c>
      <c r="B354" s="13"/>
      <c r="C354" s="13" t="s">
        <v>31</v>
      </c>
      <c r="D354" s="36" t="s">
        <v>819</v>
      </c>
      <c r="E354" s="15" t="s">
        <v>828</v>
      </c>
      <c r="F354" s="15" t="s">
        <v>829</v>
      </c>
      <c r="G354" s="16" t="s">
        <v>153</v>
      </c>
      <c r="H354" s="18" t="s">
        <v>830</v>
      </c>
      <c r="I354" s="18" t="s">
        <v>831</v>
      </c>
      <c r="J354" s="15" t="s">
        <v>832</v>
      </c>
      <c r="K354" s="19"/>
      <c r="L354" s="18">
        <v>4.0</v>
      </c>
      <c r="M354" s="107">
        <f>VLOOKUP(E354,'Hedef Liste'!A:I,8,false)</f>
        <v>40</v>
      </c>
      <c r="N354" s="6" t="b">
        <v>0</v>
      </c>
      <c r="O354" s="6" t="b">
        <v>0</v>
      </c>
      <c r="P354" s="6"/>
      <c r="Q354" s="6"/>
      <c r="R354" s="6"/>
      <c r="S354" s="6"/>
      <c r="T354" s="6"/>
      <c r="U354" s="6"/>
      <c r="V354" s="6"/>
      <c r="W354" s="6"/>
      <c r="X354" s="6"/>
      <c r="Y354" s="6"/>
      <c r="Z354" s="6"/>
      <c r="AA354" s="6"/>
      <c r="AB354" s="6"/>
    </row>
    <row r="355" hidden="1">
      <c r="A355" s="13" t="str">
        <f t="shared" si="1"/>
        <v>5fa893f666a584e0f0fde8d2</v>
      </c>
      <c r="B355" s="13"/>
      <c r="C355" s="13" t="s">
        <v>31</v>
      </c>
      <c r="D355" s="62"/>
      <c r="E355" s="15" t="s">
        <v>788</v>
      </c>
      <c r="F355" s="15" t="s">
        <v>789</v>
      </c>
      <c r="G355" s="22">
        <v>0.5208333333333334</v>
      </c>
      <c r="H355" s="36" t="s">
        <v>790</v>
      </c>
      <c r="I355" s="36" t="s">
        <v>791</v>
      </c>
      <c r="J355" s="62" t="s">
        <v>792</v>
      </c>
      <c r="K355" s="19"/>
      <c r="L355" s="18">
        <v>11.0</v>
      </c>
      <c r="M355" s="110" t="str">
        <f>VLOOKUP(E355,'Hedef Liste'!A:I,8,false)</f>
        <v>#N/A</v>
      </c>
      <c r="N355" s="6" t="b">
        <v>0</v>
      </c>
      <c r="O355" s="6" t="b">
        <v>0</v>
      </c>
      <c r="P355" s="6"/>
      <c r="Q355" s="6"/>
      <c r="R355" s="6"/>
      <c r="S355" s="6"/>
      <c r="T355" s="6"/>
      <c r="U355" s="6"/>
      <c r="V355" s="6"/>
      <c r="W355" s="6"/>
      <c r="X355" s="6"/>
      <c r="Y355" s="6"/>
      <c r="Z355" s="6"/>
      <c r="AA355" s="6"/>
      <c r="AB355" s="6"/>
    </row>
    <row r="356" hidden="1">
      <c r="A356" s="13" t="str">
        <f t="shared" si="1"/>
        <v>5f960363db6eddfb215455ac</v>
      </c>
      <c r="B356" s="13"/>
      <c r="C356" s="13" t="s">
        <v>31</v>
      </c>
      <c r="D356" s="62" t="s">
        <v>819</v>
      </c>
      <c r="E356" s="15" t="s">
        <v>833</v>
      </c>
      <c r="F356" s="15" t="s">
        <v>834</v>
      </c>
      <c r="G356" s="22">
        <v>0.6041666666666666</v>
      </c>
      <c r="H356" s="18" t="s">
        <v>229</v>
      </c>
      <c r="I356" s="18" t="s">
        <v>835</v>
      </c>
      <c r="J356" s="15" t="s">
        <v>836</v>
      </c>
      <c r="K356" s="23"/>
      <c r="L356" s="18">
        <v>13.0</v>
      </c>
      <c r="M356" s="107">
        <f>VLOOKUP(E356,'Hedef Liste'!A:I,8,false)</f>
        <v>13</v>
      </c>
      <c r="N356" s="6" t="b">
        <v>0</v>
      </c>
      <c r="O356" s="6" t="b">
        <v>0</v>
      </c>
      <c r="P356" s="6"/>
      <c r="Q356" s="6"/>
      <c r="R356" s="6"/>
      <c r="S356" s="6"/>
      <c r="T356" s="6"/>
      <c r="U356" s="6"/>
      <c r="V356" s="6"/>
      <c r="W356" s="6"/>
      <c r="X356" s="6"/>
      <c r="Y356" s="6"/>
      <c r="Z356" s="6"/>
      <c r="AA356" s="6"/>
      <c r="AB356" s="6"/>
    </row>
    <row r="357" hidden="1">
      <c r="A357" s="13" t="str">
        <f t="shared" si="1"/>
        <v>5fa8a382e20f32498ecaceda</v>
      </c>
      <c r="B357" s="13"/>
      <c r="C357" s="13" t="s">
        <v>31</v>
      </c>
      <c r="D357" s="75"/>
      <c r="E357" s="75" t="s">
        <v>837</v>
      </c>
      <c r="F357" s="75" t="s">
        <v>838</v>
      </c>
      <c r="G357" s="16" t="s">
        <v>558</v>
      </c>
      <c r="H357" s="18" t="s">
        <v>443</v>
      </c>
      <c r="I357" s="18" t="s">
        <v>839</v>
      </c>
      <c r="J357" s="82" t="s">
        <v>840</v>
      </c>
      <c r="K357" s="62"/>
      <c r="L357" s="18">
        <v>13.0</v>
      </c>
      <c r="M357" s="107">
        <f>VLOOKUP(E357,'Hedef Liste'!A:I,8,false)</f>
        <v>20</v>
      </c>
      <c r="N357" s="6" t="b">
        <v>0</v>
      </c>
      <c r="O357" s="6" t="b">
        <v>0</v>
      </c>
      <c r="P357" s="6"/>
      <c r="Q357" s="6"/>
      <c r="R357" s="6"/>
      <c r="S357" s="6"/>
      <c r="T357" s="6"/>
      <c r="U357" s="6"/>
      <c r="V357" s="6"/>
      <c r="W357" s="6"/>
      <c r="X357" s="6"/>
      <c r="Y357" s="6"/>
      <c r="Z357" s="6"/>
      <c r="AA357" s="6"/>
      <c r="AB357" s="6"/>
    </row>
    <row r="358" hidden="1">
      <c r="A358" s="13" t="str">
        <f t="shared" si="1"/>
        <v/>
      </c>
      <c r="B358" s="13"/>
      <c r="C358" s="13" t="s">
        <v>31</v>
      </c>
      <c r="D358" s="8"/>
      <c r="E358" s="8"/>
      <c r="F358" s="8"/>
      <c r="G358" s="29"/>
      <c r="H358" s="8"/>
      <c r="I358" s="8"/>
      <c r="J358" s="8"/>
      <c r="K358" s="8"/>
      <c r="L358" s="30"/>
      <c r="M358" s="31"/>
      <c r="N358" s="6" t="b">
        <v>0</v>
      </c>
      <c r="O358" s="6" t="b">
        <v>0</v>
      </c>
      <c r="P358" s="6"/>
      <c r="Q358" s="6"/>
      <c r="R358" s="6"/>
      <c r="S358" s="6"/>
      <c r="T358" s="6"/>
      <c r="U358" s="6"/>
      <c r="V358" s="6"/>
      <c r="W358" s="6"/>
      <c r="X358" s="6"/>
      <c r="Y358" s="6"/>
      <c r="Z358" s="6"/>
      <c r="AA358" s="6"/>
      <c r="AB358" s="6"/>
    </row>
    <row r="359" hidden="1">
      <c r="A359" s="13" t="str">
        <f t="shared" si="1"/>
        <v>60311138fbe5051f69aa386b</v>
      </c>
      <c r="B359" s="13"/>
      <c r="C359" s="13" t="s">
        <v>46</v>
      </c>
      <c r="D359" s="18" t="s">
        <v>841</v>
      </c>
      <c r="E359" s="62" t="s">
        <v>842</v>
      </c>
      <c r="F359" s="62" t="s">
        <v>843</v>
      </c>
      <c r="G359" s="16" t="s">
        <v>34</v>
      </c>
      <c r="H359" s="18" t="s">
        <v>844</v>
      </c>
      <c r="I359" s="18" t="s">
        <v>845</v>
      </c>
      <c r="J359" s="62" t="s">
        <v>846</v>
      </c>
      <c r="K359" s="19"/>
      <c r="L359" s="18">
        <v>36.0</v>
      </c>
      <c r="M359" s="107">
        <f>VLOOKUP(E359,'Hedef Liste'!A:I,8,false)</f>
        <v>3</v>
      </c>
      <c r="N359" s="6" t="b">
        <v>0</v>
      </c>
      <c r="O359" s="6" t="b">
        <v>0</v>
      </c>
      <c r="P359" s="6"/>
      <c r="Q359" s="6"/>
      <c r="R359" s="6"/>
      <c r="S359" s="6"/>
      <c r="T359" s="6"/>
      <c r="U359" s="6"/>
      <c r="V359" s="6"/>
      <c r="W359" s="6"/>
      <c r="X359" s="6"/>
      <c r="Y359" s="6"/>
      <c r="Z359" s="6"/>
      <c r="AA359" s="6"/>
      <c r="AB359" s="6"/>
    </row>
    <row r="360" hidden="1">
      <c r="A360" s="13" t="str">
        <f t="shared" si="1"/>
        <v>5f2c1ddeb76a838a4950b628</v>
      </c>
      <c r="B360" s="13"/>
      <c r="C360" s="13" t="s">
        <v>46</v>
      </c>
      <c r="D360" s="42"/>
      <c r="E360" s="111" t="s">
        <v>847</v>
      </c>
      <c r="F360" s="111" t="s">
        <v>848</v>
      </c>
      <c r="G360" s="80" t="s">
        <v>849</v>
      </c>
      <c r="H360" s="112" t="s">
        <v>850</v>
      </c>
      <c r="I360" s="112" t="s">
        <v>851</v>
      </c>
      <c r="J360" s="111" t="s">
        <v>852</v>
      </c>
      <c r="K360" s="44" t="s">
        <v>853</v>
      </c>
      <c r="L360" s="45"/>
      <c r="M360" s="106">
        <f>VLOOKUP(E360,'Hedef Liste'!A:I,8,false)</f>
        <v>15</v>
      </c>
      <c r="N360" s="47" t="b">
        <v>0</v>
      </c>
      <c r="O360" s="47" t="b">
        <v>0</v>
      </c>
      <c r="P360" s="6"/>
      <c r="Q360" s="6"/>
      <c r="R360" s="6"/>
      <c r="S360" s="6"/>
      <c r="T360" s="6"/>
      <c r="U360" s="6"/>
      <c r="V360" s="6"/>
      <c r="W360" s="6"/>
      <c r="X360" s="6"/>
      <c r="Y360" s="6"/>
      <c r="Z360" s="6"/>
      <c r="AA360" s="6"/>
      <c r="AB360" s="6"/>
    </row>
    <row r="361" hidden="1">
      <c r="A361" s="13" t="str">
        <f t="shared" si="1"/>
        <v>60278e4e21f1767f753a4d03</v>
      </c>
      <c r="B361" s="13"/>
      <c r="C361" s="13" t="s">
        <v>46</v>
      </c>
      <c r="D361" s="75" t="s">
        <v>341</v>
      </c>
      <c r="E361" s="62" t="s">
        <v>854</v>
      </c>
      <c r="F361" s="62" t="s">
        <v>855</v>
      </c>
      <c r="G361" s="16" t="s">
        <v>856</v>
      </c>
      <c r="H361" s="18" t="s">
        <v>345</v>
      </c>
      <c r="I361" s="18" t="s">
        <v>857</v>
      </c>
      <c r="J361" s="75" t="s">
        <v>858</v>
      </c>
      <c r="K361" s="19"/>
      <c r="L361" s="18">
        <v>8.0</v>
      </c>
      <c r="M361" s="107">
        <f>VLOOKUP(E361,'Hedef Liste'!A:I,8,false)</f>
        <v>1</v>
      </c>
      <c r="N361" s="6" t="b">
        <v>0</v>
      </c>
      <c r="O361" s="6" t="b">
        <v>0</v>
      </c>
      <c r="P361" s="6"/>
      <c r="Q361" s="6"/>
      <c r="R361" s="6"/>
      <c r="S361" s="6"/>
      <c r="T361" s="6"/>
      <c r="U361" s="6"/>
      <c r="V361" s="6"/>
      <c r="W361" s="6"/>
      <c r="X361" s="6"/>
      <c r="Y361" s="6"/>
      <c r="Z361" s="6"/>
      <c r="AA361" s="6"/>
      <c r="AB361" s="6"/>
    </row>
    <row r="362" hidden="1">
      <c r="A362" s="13" t="str">
        <f t="shared" si="1"/>
        <v>60358b632d2332e6e3a1c8c8</v>
      </c>
      <c r="B362" s="13"/>
      <c r="C362" s="13" t="s">
        <v>46</v>
      </c>
      <c r="D362" s="36" t="s">
        <v>841</v>
      </c>
      <c r="E362" s="15" t="s">
        <v>859</v>
      </c>
      <c r="F362" s="15" t="s">
        <v>860</v>
      </c>
      <c r="G362" s="22">
        <v>0.7083333333333334</v>
      </c>
      <c r="H362" s="18" t="s">
        <v>53</v>
      </c>
      <c r="I362" s="36" t="s">
        <v>861</v>
      </c>
      <c r="J362" s="113" t="s">
        <v>862</v>
      </c>
      <c r="K362" s="18"/>
      <c r="L362" s="18">
        <v>13.0</v>
      </c>
      <c r="M362" s="107">
        <f>VLOOKUP(E362,'Hedef Liste'!A:I,8,false)</f>
        <v>23</v>
      </c>
      <c r="N362" s="6" t="b">
        <v>0</v>
      </c>
      <c r="O362" s="6" t="b">
        <v>0</v>
      </c>
      <c r="P362" s="6"/>
      <c r="Q362" s="6"/>
      <c r="R362" s="6"/>
      <c r="S362" s="6"/>
      <c r="T362" s="6"/>
      <c r="U362" s="6"/>
      <c r="V362" s="6"/>
      <c r="W362" s="6"/>
      <c r="X362" s="6"/>
      <c r="Y362" s="6"/>
      <c r="Z362" s="6"/>
      <c r="AA362" s="6"/>
      <c r="AB362" s="6"/>
    </row>
    <row r="363" hidden="1">
      <c r="A363" s="13" t="str">
        <f t="shared" si="1"/>
        <v>5f7b59fdb3c83427eb1f11be</v>
      </c>
      <c r="B363" s="13"/>
      <c r="C363" s="13" t="s">
        <v>46</v>
      </c>
      <c r="D363" s="23"/>
      <c r="E363" s="15" t="s">
        <v>863</v>
      </c>
      <c r="F363" s="15" t="s">
        <v>864</v>
      </c>
      <c r="G363" s="22">
        <v>0.7083333333333334</v>
      </c>
      <c r="H363" s="18" t="s">
        <v>53</v>
      </c>
      <c r="I363" s="36" t="s">
        <v>861</v>
      </c>
      <c r="J363" s="113" t="s">
        <v>862</v>
      </c>
      <c r="K363" s="19"/>
      <c r="L363" s="18">
        <v>13.0</v>
      </c>
      <c r="M363" s="107">
        <f>VLOOKUP(E363,'Hedef Liste'!A:I,8,false)</f>
        <v>34</v>
      </c>
      <c r="N363" s="6" t="b">
        <v>0</v>
      </c>
      <c r="O363" s="6" t="b">
        <v>0</v>
      </c>
      <c r="P363" s="6"/>
      <c r="Q363" s="6"/>
      <c r="R363" s="6"/>
      <c r="S363" s="6"/>
      <c r="T363" s="6"/>
      <c r="U363" s="6"/>
      <c r="V363" s="6"/>
      <c r="W363" s="6"/>
      <c r="X363" s="6"/>
      <c r="Y363" s="6"/>
      <c r="Z363" s="6"/>
      <c r="AA363" s="6"/>
      <c r="AB363" s="6"/>
    </row>
    <row r="364" hidden="1">
      <c r="A364" s="13" t="str">
        <f t="shared" si="1"/>
        <v/>
      </c>
      <c r="B364" s="13"/>
      <c r="C364" s="13" t="s">
        <v>46</v>
      </c>
      <c r="D364" s="8"/>
      <c r="E364" s="6"/>
      <c r="F364" s="6"/>
      <c r="G364" s="26"/>
      <c r="H364" s="6"/>
      <c r="I364" s="6"/>
      <c r="J364" s="6"/>
      <c r="K364" s="8"/>
      <c r="L364" s="30"/>
      <c r="M364" s="31"/>
      <c r="N364" s="6" t="b">
        <v>0</v>
      </c>
      <c r="O364" s="6" t="b">
        <v>0</v>
      </c>
      <c r="P364" s="6"/>
      <c r="Q364" s="6"/>
      <c r="R364" s="6"/>
      <c r="S364" s="6"/>
      <c r="T364" s="6"/>
      <c r="U364" s="6"/>
      <c r="V364" s="6"/>
      <c r="W364" s="6"/>
      <c r="X364" s="6"/>
      <c r="Y364" s="6"/>
      <c r="Z364" s="6"/>
      <c r="AA364" s="6"/>
      <c r="AB364" s="6"/>
    </row>
    <row r="365" hidden="1">
      <c r="A365" s="13" t="str">
        <f t="shared" si="1"/>
        <v/>
      </c>
      <c r="B365" s="94"/>
      <c r="C365" s="94">
        <v>44257.0</v>
      </c>
      <c r="D365" s="8"/>
      <c r="E365" s="6"/>
      <c r="F365" s="6"/>
      <c r="G365" s="26"/>
      <c r="H365" s="6"/>
      <c r="I365" s="6"/>
      <c r="J365" s="6"/>
      <c r="K365" s="8"/>
      <c r="L365" s="8"/>
      <c r="M365" s="12"/>
      <c r="N365" s="6"/>
      <c r="O365" s="6"/>
      <c r="P365" s="6"/>
      <c r="Q365" s="6"/>
      <c r="R365" s="6"/>
      <c r="S365" s="6"/>
      <c r="T365" s="6"/>
      <c r="U365" s="6"/>
      <c r="V365" s="6"/>
      <c r="W365" s="6"/>
      <c r="X365" s="6"/>
      <c r="Y365" s="6"/>
      <c r="Z365" s="6"/>
      <c r="AA365" s="6"/>
      <c r="AB365" s="6"/>
    </row>
    <row r="366" hidden="1">
      <c r="A366" s="13" t="str">
        <f t="shared" si="1"/>
        <v/>
      </c>
      <c r="B366" s="13"/>
      <c r="C366" s="13" t="s">
        <v>13</v>
      </c>
      <c r="D366" s="6"/>
      <c r="E366" s="6"/>
      <c r="F366" s="6"/>
      <c r="G366" s="26"/>
      <c r="H366" s="6"/>
      <c r="I366" s="6"/>
      <c r="J366" s="6"/>
      <c r="K366" s="34"/>
      <c r="L366" s="8"/>
      <c r="M366" s="28"/>
      <c r="N366" s="6" t="b">
        <v>0</v>
      </c>
      <c r="O366" s="6" t="b">
        <v>0</v>
      </c>
      <c r="P366" s="6"/>
      <c r="Q366" s="6"/>
      <c r="R366" s="6"/>
      <c r="S366" s="6"/>
      <c r="T366" s="6"/>
      <c r="U366" s="6"/>
      <c r="V366" s="6"/>
      <c r="W366" s="6"/>
      <c r="X366" s="6"/>
      <c r="Y366" s="6"/>
      <c r="Z366" s="6"/>
      <c r="AA366" s="6"/>
      <c r="AB366" s="6"/>
    </row>
    <row r="367" hidden="1">
      <c r="A367" s="13" t="str">
        <f t="shared" si="1"/>
        <v>5f2c12864d07c485ad7a62de</v>
      </c>
      <c r="B367" s="13"/>
      <c r="C367" s="13" t="s">
        <v>13</v>
      </c>
      <c r="D367" s="36" t="s">
        <v>341</v>
      </c>
      <c r="E367" s="62" t="s">
        <v>865</v>
      </c>
      <c r="F367" s="62" t="s">
        <v>866</v>
      </c>
      <c r="G367" s="105" t="s">
        <v>867</v>
      </c>
      <c r="H367" s="27" t="s">
        <v>868</v>
      </c>
      <c r="I367" s="114" t="s">
        <v>869</v>
      </c>
      <c r="J367" s="62" t="s">
        <v>870</v>
      </c>
      <c r="K367" s="19"/>
      <c r="L367" s="18">
        <v>20.0</v>
      </c>
      <c r="M367" s="107">
        <f>VLOOKUP(E367,'Hedef Liste'!A:I,8,false)</f>
        <v>24</v>
      </c>
      <c r="N367" s="6" t="b">
        <v>0</v>
      </c>
      <c r="O367" s="6" t="b">
        <v>0</v>
      </c>
      <c r="P367" s="6"/>
      <c r="Q367" s="6"/>
      <c r="R367" s="6"/>
      <c r="S367" s="6"/>
      <c r="T367" s="6"/>
      <c r="U367" s="6"/>
      <c r="V367" s="6"/>
      <c r="W367" s="6"/>
      <c r="X367" s="6"/>
      <c r="Y367" s="6"/>
      <c r="Z367" s="6"/>
      <c r="AA367" s="6"/>
      <c r="AB367" s="6"/>
    </row>
    <row r="368" hidden="1">
      <c r="A368" s="13" t="str">
        <f t="shared" si="1"/>
        <v>5f352af1da66dc0a56d6e940</v>
      </c>
      <c r="B368" s="13"/>
      <c r="C368" s="13" t="s">
        <v>13</v>
      </c>
      <c r="D368" s="18" t="s">
        <v>841</v>
      </c>
      <c r="E368" s="62" t="s">
        <v>871</v>
      </c>
      <c r="F368" s="62" t="s">
        <v>872</v>
      </c>
      <c r="G368" s="16" t="s">
        <v>449</v>
      </c>
      <c r="H368" s="18" t="s">
        <v>514</v>
      </c>
      <c r="I368" s="18" t="s">
        <v>873</v>
      </c>
      <c r="J368" s="62" t="s">
        <v>874</v>
      </c>
      <c r="K368" s="19"/>
      <c r="L368" s="18">
        <v>43.0</v>
      </c>
      <c r="M368" s="107">
        <f>VLOOKUP(E368,'Hedef Liste'!A:I,8,false)</f>
        <v>10</v>
      </c>
      <c r="N368" s="6" t="b">
        <v>0</v>
      </c>
      <c r="O368" s="6" t="b">
        <v>0</v>
      </c>
      <c r="P368" s="6"/>
      <c r="Q368" s="6"/>
      <c r="R368" s="6"/>
      <c r="S368" s="6"/>
      <c r="T368" s="6"/>
      <c r="U368" s="6"/>
      <c r="V368" s="6"/>
      <c r="W368" s="6"/>
      <c r="X368" s="6"/>
      <c r="Y368" s="6"/>
      <c r="Z368" s="6"/>
      <c r="AA368" s="6"/>
      <c r="AB368" s="6"/>
    </row>
    <row r="369" hidden="1">
      <c r="A369" s="13" t="str">
        <f t="shared" si="1"/>
        <v>5f3291a698ff3841ac33a587</v>
      </c>
      <c r="B369" s="13"/>
      <c r="C369" s="13" t="s">
        <v>13</v>
      </c>
      <c r="D369" s="18" t="s">
        <v>841</v>
      </c>
      <c r="E369" s="75" t="s">
        <v>875</v>
      </c>
      <c r="F369" s="62" t="s">
        <v>876</v>
      </c>
      <c r="G369" s="95" t="s">
        <v>575</v>
      </c>
      <c r="H369" s="18" t="s">
        <v>434</v>
      </c>
      <c r="I369" s="76">
        <v>2.223220045E9</v>
      </c>
      <c r="J369" s="82" t="s">
        <v>877</v>
      </c>
      <c r="K369" s="23"/>
      <c r="L369" s="18">
        <v>20.0</v>
      </c>
      <c r="M369" s="107">
        <f>VLOOKUP(E369,'Hedef Liste'!A:I,8,false)</f>
        <v>28</v>
      </c>
      <c r="N369" s="6" t="b">
        <v>0</v>
      </c>
      <c r="O369" s="6" t="b">
        <v>0</v>
      </c>
      <c r="P369" s="6"/>
      <c r="Q369" s="6"/>
      <c r="R369" s="6"/>
      <c r="S369" s="6"/>
      <c r="T369" s="6"/>
      <c r="U369" s="6"/>
      <c r="V369" s="6"/>
      <c r="W369" s="6"/>
      <c r="X369" s="6"/>
      <c r="Y369" s="6"/>
      <c r="Z369" s="6"/>
      <c r="AA369" s="6"/>
      <c r="AB369" s="6"/>
    </row>
    <row r="370" hidden="1">
      <c r="A370" s="13" t="str">
        <f t="shared" si="1"/>
        <v>60227d3c176fccea08ffb93c</v>
      </c>
      <c r="B370" s="13"/>
      <c r="C370" s="13" t="s">
        <v>13</v>
      </c>
      <c r="D370" s="62" t="s">
        <v>341</v>
      </c>
      <c r="E370" s="62" t="s">
        <v>878</v>
      </c>
      <c r="F370" s="62" t="s">
        <v>879</v>
      </c>
      <c r="G370" s="16" t="s">
        <v>856</v>
      </c>
      <c r="H370" s="18" t="s">
        <v>880</v>
      </c>
      <c r="I370" s="18" t="s">
        <v>881</v>
      </c>
      <c r="J370" s="75" t="s">
        <v>882</v>
      </c>
      <c r="K370" s="19"/>
      <c r="L370" s="18">
        <v>5.0</v>
      </c>
      <c r="M370" s="107">
        <f>VLOOKUP(E370,'Hedef Liste'!A:I,8,false)</f>
        <v>13</v>
      </c>
      <c r="N370" s="6" t="b">
        <v>0</v>
      </c>
      <c r="O370" s="6" t="b">
        <v>0</v>
      </c>
      <c r="P370" s="6"/>
      <c r="Q370" s="6"/>
      <c r="R370" s="6"/>
      <c r="S370" s="6"/>
      <c r="T370" s="6"/>
      <c r="U370" s="6"/>
      <c r="V370" s="6"/>
      <c r="W370" s="6"/>
      <c r="X370" s="6"/>
      <c r="Y370" s="6"/>
      <c r="Z370" s="6"/>
      <c r="AA370" s="6"/>
      <c r="AB370" s="6"/>
    </row>
    <row r="371" hidden="1">
      <c r="A371" s="13" t="str">
        <f t="shared" si="1"/>
        <v/>
      </c>
      <c r="B371" s="13"/>
      <c r="C371" s="13" t="s">
        <v>13</v>
      </c>
      <c r="D371" s="8"/>
      <c r="E371" s="8"/>
      <c r="F371" s="8"/>
      <c r="G371" s="29"/>
      <c r="H371" s="39"/>
      <c r="I371" s="8"/>
      <c r="J371" s="8"/>
      <c r="K371" s="8"/>
      <c r="L371" s="30"/>
      <c r="M371" s="31"/>
      <c r="N371" s="6" t="b">
        <v>0</v>
      </c>
      <c r="O371" s="6" t="b">
        <v>0</v>
      </c>
      <c r="P371" s="6"/>
      <c r="Q371" s="6"/>
      <c r="R371" s="6"/>
      <c r="S371" s="6"/>
      <c r="T371" s="6"/>
      <c r="U371" s="6"/>
      <c r="V371" s="6"/>
      <c r="W371" s="6"/>
      <c r="X371" s="6"/>
      <c r="Y371" s="6"/>
      <c r="Z371" s="6"/>
      <c r="AA371" s="6"/>
      <c r="AB371" s="6"/>
    </row>
    <row r="372" hidden="1">
      <c r="A372" s="13" t="str">
        <f t="shared" si="1"/>
        <v/>
      </c>
      <c r="B372" s="13"/>
      <c r="C372" s="13" t="s">
        <v>31</v>
      </c>
      <c r="D372" s="8"/>
      <c r="E372" s="8"/>
      <c r="F372" s="8"/>
      <c r="G372" s="29"/>
      <c r="H372" s="8"/>
      <c r="I372" s="8"/>
      <c r="J372" s="8"/>
      <c r="K372" s="34"/>
      <c r="L372" s="8"/>
      <c r="M372" s="28"/>
      <c r="N372" s="6" t="b">
        <v>0</v>
      </c>
      <c r="O372" s="6" t="b">
        <v>0</v>
      </c>
      <c r="P372" s="6"/>
      <c r="Q372" s="6"/>
      <c r="R372" s="6"/>
      <c r="S372" s="6"/>
      <c r="T372" s="6"/>
      <c r="U372" s="6"/>
      <c r="V372" s="6"/>
      <c r="W372" s="6"/>
      <c r="X372" s="6"/>
      <c r="Y372" s="6"/>
      <c r="Z372" s="6"/>
      <c r="AA372" s="6"/>
      <c r="AB372" s="6"/>
    </row>
    <row r="373" hidden="1">
      <c r="A373" s="13" t="str">
        <f t="shared" si="1"/>
        <v>5ff11f0658f3acbff9e69e3a</v>
      </c>
      <c r="B373" s="13"/>
      <c r="C373" s="13" t="s">
        <v>31</v>
      </c>
      <c r="D373" s="62" t="s">
        <v>883</v>
      </c>
      <c r="E373" s="62" t="s">
        <v>884</v>
      </c>
      <c r="F373" s="62" t="s">
        <v>885</v>
      </c>
      <c r="G373" s="40">
        <v>0.4375</v>
      </c>
      <c r="H373" s="18" t="s">
        <v>886</v>
      </c>
      <c r="I373" s="18" t="s">
        <v>887</v>
      </c>
      <c r="J373" s="62" t="s">
        <v>888</v>
      </c>
      <c r="K373" s="19"/>
      <c r="L373" s="18">
        <v>10.0</v>
      </c>
      <c r="M373" s="110" t="str">
        <f>VLOOKUP(E373,'Hedef Liste'!A:I,8,false)</f>
        <v>#N/A</v>
      </c>
      <c r="N373" s="6" t="b">
        <v>0</v>
      </c>
      <c r="O373" s="6" t="b">
        <v>0</v>
      </c>
      <c r="P373" s="6"/>
      <c r="Q373" s="6"/>
      <c r="R373" s="6"/>
      <c r="S373" s="6"/>
      <c r="T373" s="6"/>
      <c r="U373" s="6"/>
      <c r="V373" s="6"/>
      <c r="W373" s="6"/>
      <c r="X373" s="6"/>
      <c r="Y373" s="6"/>
      <c r="Z373" s="6"/>
      <c r="AA373" s="6"/>
      <c r="AB373" s="6"/>
    </row>
    <row r="374" hidden="1">
      <c r="A374" s="13" t="str">
        <f t="shared" si="1"/>
        <v>5f35b348c5459f57395ce425</v>
      </c>
      <c r="B374" s="13"/>
      <c r="C374" s="13" t="s">
        <v>31</v>
      </c>
      <c r="D374" s="62" t="s">
        <v>841</v>
      </c>
      <c r="E374" s="62" t="s">
        <v>889</v>
      </c>
      <c r="F374" s="62" t="s">
        <v>890</v>
      </c>
      <c r="G374" s="22">
        <v>0.5416666666666666</v>
      </c>
      <c r="H374" s="18" t="s">
        <v>496</v>
      </c>
      <c r="I374" s="18" t="s">
        <v>891</v>
      </c>
      <c r="J374" s="62" t="s">
        <v>892</v>
      </c>
      <c r="K374" s="19"/>
      <c r="L374" s="18">
        <v>8.0</v>
      </c>
      <c r="M374" s="107">
        <f>VLOOKUP(E374,'Hedef Liste'!A:I,8,false)</f>
        <v>24</v>
      </c>
      <c r="N374" s="6" t="b">
        <v>0</v>
      </c>
      <c r="O374" s="6" t="b">
        <v>0</v>
      </c>
      <c r="P374" s="6"/>
      <c r="Q374" s="6"/>
      <c r="R374" s="6"/>
      <c r="S374" s="6"/>
      <c r="T374" s="6"/>
      <c r="U374" s="6"/>
      <c r="V374" s="6"/>
      <c r="W374" s="6"/>
      <c r="X374" s="6"/>
      <c r="Y374" s="6"/>
      <c r="Z374" s="6"/>
      <c r="AA374" s="6"/>
      <c r="AB374" s="6"/>
    </row>
    <row r="375" hidden="1">
      <c r="A375" s="13" t="str">
        <f t="shared" si="1"/>
        <v>5f67c95dfdc437741fc881e8</v>
      </c>
      <c r="B375" s="13"/>
      <c r="C375" s="13" t="s">
        <v>31</v>
      </c>
      <c r="D375" s="62" t="s">
        <v>841</v>
      </c>
      <c r="E375" s="62" t="s">
        <v>893</v>
      </c>
      <c r="F375" s="62" t="s">
        <v>894</v>
      </c>
      <c r="G375" s="40">
        <v>0.5833333333333334</v>
      </c>
      <c r="H375" s="18" t="s">
        <v>367</v>
      </c>
      <c r="I375" s="18" t="s">
        <v>895</v>
      </c>
      <c r="J375" s="62" t="s">
        <v>896</v>
      </c>
      <c r="K375" s="23"/>
      <c r="L375" s="18">
        <v>5.0</v>
      </c>
      <c r="M375" s="110" t="str">
        <f>VLOOKUP(E375,'Hedef Liste'!A:I,8,false)</f>
        <v>#N/A</v>
      </c>
      <c r="N375" s="6" t="b">
        <v>0</v>
      </c>
      <c r="O375" s="6" t="b">
        <v>0</v>
      </c>
      <c r="P375" s="6"/>
      <c r="Q375" s="6"/>
      <c r="R375" s="6"/>
      <c r="S375" s="6"/>
      <c r="T375" s="6"/>
      <c r="U375" s="6"/>
      <c r="V375" s="6"/>
      <c r="W375" s="6"/>
      <c r="X375" s="6"/>
      <c r="Y375" s="6"/>
      <c r="Z375" s="6"/>
      <c r="AA375" s="6"/>
      <c r="AB375" s="6"/>
    </row>
    <row r="376" hidden="1">
      <c r="A376" s="13" t="str">
        <f t="shared" si="1"/>
        <v>5ff11983dc26c77a97d150ad</v>
      </c>
      <c r="B376" s="13"/>
      <c r="C376" s="13" t="s">
        <v>31</v>
      </c>
      <c r="D376" s="75" t="s">
        <v>841</v>
      </c>
      <c r="E376" s="75" t="s">
        <v>897</v>
      </c>
      <c r="F376" s="75" t="s">
        <v>898</v>
      </c>
      <c r="G376" s="16" t="s">
        <v>298</v>
      </c>
      <c r="H376" s="18" t="s">
        <v>367</v>
      </c>
      <c r="I376" s="18" t="s">
        <v>895</v>
      </c>
      <c r="J376" s="82" t="s">
        <v>899</v>
      </c>
      <c r="K376" s="19"/>
      <c r="L376" s="18">
        <v>8.0</v>
      </c>
      <c r="M376" s="110" t="str">
        <f>VLOOKUP(E376,'Hedef Liste'!A:I,8,false)</f>
        <v>#N/A</v>
      </c>
      <c r="N376" s="6" t="b">
        <v>0</v>
      </c>
      <c r="O376" s="6" t="b">
        <v>0</v>
      </c>
      <c r="P376" s="6"/>
      <c r="Q376" s="6"/>
      <c r="R376" s="6"/>
      <c r="S376" s="6"/>
      <c r="T376" s="6"/>
      <c r="U376" s="6"/>
      <c r="V376" s="6"/>
      <c r="W376" s="6"/>
      <c r="X376" s="6"/>
      <c r="Y376" s="6"/>
      <c r="Z376" s="6"/>
      <c r="AA376" s="6"/>
      <c r="AB376" s="6"/>
    </row>
    <row r="377" hidden="1">
      <c r="A377" s="13" t="str">
        <f t="shared" si="1"/>
        <v/>
      </c>
      <c r="B377" s="13"/>
      <c r="C377" s="13" t="s">
        <v>31</v>
      </c>
      <c r="D377" s="8"/>
      <c r="E377" s="8"/>
      <c r="F377" s="8"/>
      <c r="G377" s="29"/>
      <c r="H377" s="8"/>
      <c r="I377" s="8"/>
      <c r="J377" s="8"/>
      <c r="K377" s="8"/>
      <c r="L377" s="30"/>
      <c r="M377" s="31"/>
      <c r="N377" s="6" t="b">
        <v>0</v>
      </c>
      <c r="O377" s="6" t="b">
        <v>0</v>
      </c>
      <c r="P377" s="6"/>
      <c r="Q377" s="6"/>
      <c r="R377" s="6"/>
      <c r="S377" s="6"/>
      <c r="T377" s="6"/>
      <c r="U377" s="6"/>
      <c r="V377" s="6"/>
      <c r="W377" s="6"/>
      <c r="X377" s="6"/>
      <c r="Y377" s="6"/>
      <c r="Z377" s="6"/>
      <c r="AA377" s="6"/>
      <c r="AB377" s="6"/>
    </row>
    <row r="378" hidden="1">
      <c r="A378" s="13" t="str">
        <f t="shared" si="1"/>
        <v/>
      </c>
      <c r="B378" s="13"/>
      <c r="C378" s="13" t="s">
        <v>46</v>
      </c>
      <c r="D378" s="8"/>
      <c r="E378" s="8"/>
      <c r="F378" s="8"/>
      <c r="G378" s="29"/>
      <c r="H378" s="8"/>
      <c r="I378" s="8"/>
      <c r="J378" s="8"/>
      <c r="K378" s="34"/>
      <c r="L378" s="8"/>
      <c r="M378" s="28"/>
      <c r="N378" s="6" t="b">
        <v>0</v>
      </c>
      <c r="O378" s="6" t="b">
        <v>0</v>
      </c>
      <c r="P378" s="6"/>
      <c r="Q378" s="6"/>
      <c r="R378" s="6"/>
      <c r="S378" s="6"/>
      <c r="T378" s="6"/>
      <c r="U378" s="6"/>
      <c r="V378" s="6"/>
      <c r="W378" s="6"/>
      <c r="X378" s="6"/>
      <c r="Y378" s="6"/>
      <c r="Z378" s="6"/>
      <c r="AA378" s="6"/>
      <c r="AB378" s="6"/>
    </row>
    <row r="379" hidden="1">
      <c r="A379" s="13" t="str">
        <f t="shared" si="1"/>
        <v>5f85990afb4bf0390c325c79</v>
      </c>
      <c r="B379" s="13"/>
      <c r="C379" s="13" t="s">
        <v>46</v>
      </c>
      <c r="D379" s="36" t="s">
        <v>341</v>
      </c>
      <c r="E379" s="62" t="s">
        <v>900</v>
      </c>
      <c r="F379" s="62" t="s">
        <v>901</v>
      </c>
      <c r="G379" s="16" t="s">
        <v>366</v>
      </c>
      <c r="H379" s="18" t="s">
        <v>902</v>
      </c>
      <c r="I379" s="18" t="s">
        <v>903</v>
      </c>
      <c r="J379" s="75" t="s">
        <v>904</v>
      </c>
      <c r="K379" s="19"/>
      <c r="L379" s="18">
        <v>28.0</v>
      </c>
      <c r="M379" s="107">
        <f>VLOOKUP(E379,'Hedef Liste'!A:I,8,false)</f>
        <v>58</v>
      </c>
      <c r="N379" s="6" t="b">
        <v>0</v>
      </c>
      <c r="O379" s="6" t="b">
        <v>0</v>
      </c>
      <c r="P379" s="6"/>
      <c r="Q379" s="6"/>
      <c r="R379" s="6"/>
      <c r="S379" s="6"/>
      <c r="T379" s="6"/>
      <c r="U379" s="6"/>
      <c r="V379" s="6"/>
      <c r="W379" s="6"/>
      <c r="X379" s="6"/>
      <c r="Y379" s="6"/>
      <c r="Z379" s="6"/>
      <c r="AA379" s="6"/>
      <c r="AB379" s="6"/>
    </row>
    <row r="380" hidden="1">
      <c r="A380" s="13" t="str">
        <f t="shared" si="1"/>
        <v>6027cdcf7cc399c8285555fe</v>
      </c>
      <c r="B380" s="13"/>
      <c r="C380" s="13" t="s">
        <v>46</v>
      </c>
      <c r="D380" s="69" t="s">
        <v>341</v>
      </c>
      <c r="E380" s="73" t="s">
        <v>905</v>
      </c>
      <c r="F380" s="73" t="s">
        <v>906</v>
      </c>
      <c r="G380" s="58" t="s">
        <v>745</v>
      </c>
      <c r="H380" s="44" t="s">
        <v>907</v>
      </c>
      <c r="I380" s="44" t="s">
        <v>908</v>
      </c>
      <c r="J380" s="73" t="s">
        <v>909</v>
      </c>
      <c r="K380" s="44" t="s">
        <v>910</v>
      </c>
      <c r="L380" s="45"/>
      <c r="M380" s="106">
        <f>VLOOKUP(E380,'Hedef Liste'!A:I,8,false)</f>
        <v>10</v>
      </c>
      <c r="N380" s="6" t="b">
        <v>0</v>
      </c>
      <c r="O380" s="6" t="b">
        <v>0</v>
      </c>
      <c r="P380" s="6"/>
      <c r="Q380" s="6"/>
      <c r="R380" s="6"/>
      <c r="S380" s="6"/>
      <c r="T380" s="6"/>
      <c r="U380" s="6"/>
      <c r="V380" s="6"/>
      <c r="W380" s="6"/>
      <c r="X380" s="6"/>
      <c r="Y380" s="6"/>
      <c r="Z380" s="6"/>
      <c r="AA380" s="6"/>
      <c r="AB380" s="6"/>
    </row>
    <row r="381" hidden="1">
      <c r="A381" s="13" t="str">
        <f t="shared" si="1"/>
        <v>602a2ffe55fa6184a8fd7cc9</v>
      </c>
      <c r="B381" s="13"/>
      <c r="C381" s="13" t="s">
        <v>46</v>
      </c>
      <c r="D381" s="69" t="s">
        <v>341</v>
      </c>
      <c r="E381" s="73" t="s">
        <v>911</v>
      </c>
      <c r="F381" s="73" t="s">
        <v>912</v>
      </c>
      <c r="G381" s="70" t="s">
        <v>856</v>
      </c>
      <c r="H381" s="44" t="s">
        <v>913</v>
      </c>
      <c r="I381" s="44" t="s">
        <v>914</v>
      </c>
      <c r="J381" s="69" t="s">
        <v>915</v>
      </c>
      <c r="K381" s="44" t="s">
        <v>916</v>
      </c>
      <c r="L381" s="45"/>
      <c r="M381" s="106">
        <f>VLOOKUP(E381,'Hedef Liste'!A:I,8,false)</f>
        <v>21</v>
      </c>
      <c r="N381" s="6" t="b">
        <v>0</v>
      </c>
      <c r="O381" s="6" t="b">
        <v>0</v>
      </c>
      <c r="P381" s="6"/>
      <c r="Q381" s="6"/>
      <c r="R381" s="6"/>
      <c r="S381" s="6"/>
      <c r="T381" s="6"/>
      <c r="U381" s="6"/>
      <c r="V381" s="6"/>
      <c r="W381" s="6"/>
      <c r="X381" s="6"/>
      <c r="Y381" s="6"/>
      <c r="Z381" s="6"/>
      <c r="AA381" s="6"/>
      <c r="AB381" s="6"/>
    </row>
    <row r="382" hidden="1">
      <c r="A382" s="13" t="str">
        <f t="shared" si="1"/>
        <v>5f3297199396285da8b681bf</v>
      </c>
      <c r="B382" s="13"/>
      <c r="C382" s="13" t="s">
        <v>46</v>
      </c>
      <c r="D382" s="36" t="s">
        <v>341</v>
      </c>
      <c r="E382" s="15" t="s">
        <v>917</v>
      </c>
      <c r="F382" s="15" t="s">
        <v>918</v>
      </c>
      <c r="G382" s="16" t="s">
        <v>418</v>
      </c>
      <c r="H382" s="18" t="s">
        <v>919</v>
      </c>
      <c r="I382" s="115">
        <v>2.222344831E9</v>
      </c>
      <c r="J382" s="15" t="s">
        <v>920</v>
      </c>
      <c r="K382" s="19"/>
      <c r="L382" s="18">
        <v>10.0</v>
      </c>
      <c r="M382" s="107">
        <f>VLOOKUP(E382,'Hedef Liste'!A:I,8,false)</f>
        <v>7</v>
      </c>
      <c r="N382" s="6" t="b">
        <v>0</v>
      </c>
      <c r="O382" s="6" t="b">
        <v>0</v>
      </c>
      <c r="P382" s="6"/>
      <c r="Q382" s="6"/>
      <c r="R382" s="6"/>
      <c r="S382" s="6"/>
      <c r="T382" s="6"/>
      <c r="U382" s="6"/>
      <c r="V382" s="6"/>
      <c r="W382" s="6"/>
      <c r="X382" s="6"/>
      <c r="Y382" s="6"/>
      <c r="Z382" s="6"/>
      <c r="AA382" s="6"/>
      <c r="AB382" s="6"/>
    </row>
    <row r="383" hidden="1">
      <c r="A383" s="13" t="str">
        <f t="shared" si="1"/>
        <v/>
      </c>
      <c r="B383" s="13"/>
      <c r="C383" s="13" t="s">
        <v>46</v>
      </c>
      <c r="D383" s="8"/>
      <c r="E383" s="8"/>
      <c r="F383" s="8"/>
      <c r="G383" s="29"/>
      <c r="H383" s="8"/>
      <c r="I383" s="8"/>
      <c r="J383" s="8"/>
      <c r="K383" s="8"/>
      <c r="L383" s="30"/>
      <c r="M383" s="31"/>
      <c r="N383" s="6" t="b">
        <v>0</v>
      </c>
      <c r="O383" s="6" t="b">
        <v>0</v>
      </c>
      <c r="P383" s="6"/>
      <c r="Q383" s="6"/>
      <c r="R383" s="6"/>
      <c r="S383" s="6"/>
      <c r="T383" s="6"/>
      <c r="U383" s="6"/>
      <c r="V383" s="6"/>
      <c r="W383" s="6"/>
      <c r="X383" s="6"/>
      <c r="Y383" s="6"/>
      <c r="Z383" s="6"/>
      <c r="AA383" s="6"/>
      <c r="AB383" s="6"/>
    </row>
    <row r="384" hidden="1">
      <c r="A384" s="13" t="str">
        <f t="shared" si="1"/>
        <v/>
      </c>
      <c r="B384" s="94"/>
      <c r="C384" s="94">
        <v>44258.0</v>
      </c>
      <c r="D384" s="8"/>
      <c r="E384" s="9"/>
      <c r="F384" s="10"/>
      <c r="G384" s="10"/>
      <c r="H384" s="10"/>
      <c r="I384" s="10"/>
      <c r="J384" s="10"/>
      <c r="K384" s="10"/>
      <c r="L384" s="11"/>
      <c r="M384" s="12"/>
      <c r="N384" s="6"/>
      <c r="O384" s="6"/>
      <c r="P384" s="6"/>
      <c r="Q384" s="6"/>
      <c r="R384" s="6"/>
      <c r="S384" s="6"/>
      <c r="T384" s="6"/>
      <c r="U384" s="6"/>
      <c r="V384" s="6"/>
      <c r="W384" s="6"/>
      <c r="X384" s="6"/>
      <c r="Y384" s="6"/>
      <c r="Z384" s="6"/>
      <c r="AA384" s="6"/>
      <c r="AB384" s="6"/>
    </row>
    <row r="385" hidden="1">
      <c r="A385" s="13" t="str">
        <f t="shared" si="1"/>
        <v/>
      </c>
      <c r="B385" s="13"/>
      <c r="C385" s="13" t="s">
        <v>13</v>
      </c>
      <c r="D385" s="6"/>
      <c r="E385" s="6"/>
      <c r="F385" s="6"/>
      <c r="G385" s="26"/>
      <c r="H385" s="6"/>
      <c r="I385" s="6"/>
      <c r="J385" s="6"/>
      <c r="K385" s="34"/>
      <c r="L385" s="8"/>
      <c r="M385" s="28"/>
      <c r="N385" s="6" t="b">
        <v>0</v>
      </c>
      <c r="O385" s="6" t="b">
        <v>0</v>
      </c>
      <c r="P385" s="6"/>
      <c r="Q385" s="6"/>
      <c r="R385" s="6"/>
      <c r="S385" s="6"/>
      <c r="T385" s="6"/>
      <c r="U385" s="6"/>
      <c r="V385" s="6"/>
      <c r="W385" s="6"/>
      <c r="X385" s="6"/>
      <c r="Y385" s="6"/>
      <c r="Z385" s="6"/>
      <c r="AA385" s="6"/>
      <c r="AB385" s="6"/>
    </row>
    <row r="386" hidden="1">
      <c r="A386" s="13" t="str">
        <f t="shared" si="1"/>
        <v/>
      </c>
      <c r="B386" s="13"/>
      <c r="C386" s="13" t="s">
        <v>13</v>
      </c>
      <c r="D386" s="14"/>
      <c r="E386" s="14"/>
      <c r="F386" s="14"/>
      <c r="G386" s="100">
        <v>0.4375</v>
      </c>
      <c r="H386" s="39"/>
      <c r="I386" s="6"/>
      <c r="J386" s="14"/>
      <c r="K386" s="34"/>
      <c r="L386" s="8"/>
      <c r="M386" s="28"/>
      <c r="N386" s="6" t="b">
        <v>0</v>
      </c>
      <c r="O386" s="6" t="b">
        <v>0</v>
      </c>
      <c r="P386" s="6"/>
      <c r="Q386" s="6"/>
      <c r="R386" s="6"/>
      <c r="S386" s="6"/>
      <c r="T386" s="6"/>
      <c r="U386" s="6"/>
      <c r="V386" s="6"/>
      <c r="W386" s="6"/>
      <c r="X386" s="6"/>
      <c r="Y386" s="6"/>
      <c r="Z386" s="6"/>
      <c r="AA386" s="6"/>
      <c r="AB386" s="6"/>
    </row>
    <row r="387" hidden="1">
      <c r="A387" s="13" t="str">
        <f t="shared" si="1"/>
        <v>5ff4faa912a8509aa9bdb72e</v>
      </c>
      <c r="B387" s="13"/>
      <c r="C387" s="13" t="s">
        <v>13</v>
      </c>
      <c r="D387" s="62" t="s">
        <v>921</v>
      </c>
      <c r="E387" s="62" t="s">
        <v>922</v>
      </c>
      <c r="F387" s="62" t="s">
        <v>923</v>
      </c>
      <c r="G387" s="95" t="s">
        <v>366</v>
      </c>
      <c r="H387" s="18" t="s">
        <v>924</v>
      </c>
      <c r="I387" s="18" t="s">
        <v>925</v>
      </c>
      <c r="J387" s="62" t="s">
        <v>926</v>
      </c>
      <c r="K387" s="19"/>
      <c r="L387" s="18">
        <v>40.0</v>
      </c>
      <c r="M387" s="110" t="str">
        <f>VLOOKUP(E387,'Hedef Liste'!A:I,8,false)</f>
        <v>#N/A</v>
      </c>
      <c r="N387" s="6" t="b">
        <v>0</v>
      </c>
      <c r="O387" s="6" t="b">
        <v>0</v>
      </c>
      <c r="P387" s="6"/>
      <c r="Q387" s="6"/>
      <c r="R387" s="6"/>
      <c r="S387" s="6"/>
      <c r="T387" s="6"/>
      <c r="U387" s="6"/>
      <c r="V387" s="6"/>
      <c r="W387" s="6"/>
      <c r="X387" s="6"/>
      <c r="Y387" s="6"/>
      <c r="Z387" s="6"/>
      <c r="AA387" s="6"/>
      <c r="AB387" s="6"/>
    </row>
    <row r="388" hidden="1">
      <c r="A388" s="13" t="str">
        <f t="shared" si="1"/>
        <v/>
      </c>
      <c r="B388" s="13"/>
      <c r="C388" s="13" t="s">
        <v>13</v>
      </c>
      <c r="D388" s="61"/>
      <c r="E388" s="61"/>
      <c r="F388" s="61"/>
      <c r="G388" s="37" t="s">
        <v>313</v>
      </c>
      <c r="H388" s="39"/>
      <c r="I388" s="39"/>
      <c r="J388" s="71"/>
      <c r="K388" s="8"/>
      <c r="L388" s="8"/>
      <c r="M388" s="28"/>
      <c r="N388" s="6" t="b">
        <v>0</v>
      </c>
      <c r="O388" s="6" t="b">
        <v>0</v>
      </c>
      <c r="P388" s="6"/>
      <c r="Q388" s="6"/>
      <c r="R388" s="6"/>
      <c r="S388" s="6"/>
      <c r="T388" s="6"/>
      <c r="U388" s="6"/>
      <c r="V388" s="6"/>
      <c r="W388" s="6"/>
      <c r="X388" s="6"/>
      <c r="Y388" s="6"/>
      <c r="Z388" s="6"/>
      <c r="AA388" s="6"/>
      <c r="AB388" s="6"/>
    </row>
    <row r="389" hidden="1">
      <c r="A389" s="13" t="str">
        <f t="shared" si="1"/>
        <v>5f681b00021726a862107d15</v>
      </c>
      <c r="B389" s="13"/>
      <c r="C389" s="13" t="s">
        <v>13</v>
      </c>
      <c r="D389" s="75"/>
      <c r="E389" s="62" t="s">
        <v>927</v>
      </c>
      <c r="F389" s="62" t="s">
        <v>928</v>
      </c>
      <c r="G389" s="16" t="s">
        <v>456</v>
      </c>
      <c r="H389" s="18" t="s">
        <v>595</v>
      </c>
      <c r="I389" s="18" t="s">
        <v>929</v>
      </c>
      <c r="J389" s="18" t="s">
        <v>930</v>
      </c>
      <c r="K389" s="19"/>
      <c r="L389" s="18">
        <v>24.0</v>
      </c>
      <c r="M389" s="107">
        <f>VLOOKUP(E389,'Hedef Liste'!A:I,8,false)</f>
        <v>60</v>
      </c>
      <c r="N389" s="6" t="b">
        <v>0</v>
      </c>
      <c r="O389" s="6" t="b">
        <v>0</v>
      </c>
      <c r="P389" s="6"/>
      <c r="Q389" s="6"/>
      <c r="R389" s="6"/>
      <c r="S389" s="6"/>
      <c r="T389" s="6"/>
      <c r="U389" s="6"/>
      <c r="V389" s="6"/>
      <c r="W389" s="6"/>
      <c r="X389" s="6"/>
      <c r="Y389" s="6"/>
      <c r="Z389" s="6"/>
      <c r="AA389" s="6"/>
      <c r="AB389" s="6"/>
    </row>
    <row r="390" hidden="1">
      <c r="A390" s="13" t="str">
        <f t="shared" si="1"/>
        <v/>
      </c>
      <c r="B390" s="13"/>
      <c r="C390" s="13" t="s">
        <v>13</v>
      </c>
      <c r="D390" s="8"/>
      <c r="E390" s="8"/>
      <c r="F390" s="8"/>
      <c r="G390" s="29"/>
      <c r="H390" s="8"/>
      <c r="I390" s="8"/>
      <c r="J390" s="8"/>
      <c r="K390" s="8"/>
      <c r="L390" s="30"/>
      <c r="M390" s="31"/>
      <c r="N390" s="6" t="b">
        <v>0</v>
      </c>
      <c r="O390" s="6" t="b">
        <v>0</v>
      </c>
      <c r="P390" s="6"/>
      <c r="Q390" s="6"/>
      <c r="R390" s="6"/>
      <c r="S390" s="6"/>
      <c r="T390" s="6"/>
      <c r="U390" s="6"/>
      <c r="V390" s="6"/>
      <c r="W390" s="6"/>
      <c r="X390" s="6"/>
      <c r="Y390" s="6"/>
      <c r="Z390" s="6"/>
      <c r="AA390" s="6"/>
      <c r="AB390" s="6"/>
    </row>
    <row r="391" hidden="1">
      <c r="A391" s="13" t="str">
        <f t="shared" si="1"/>
        <v/>
      </c>
      <c r="B391" s="13"/>
      <c r="C391" s="13" t="s">
        <v>31</v>
      </c>
      <c r="D391" s="8"/>
      <c r="E391" s="8"/>
      <c r="F391" s="8"/>
      <c r="G391" s="29"/>
      <c r="H391" s="8"/>
      <c r="I391" s="8"/>
      <c r="J391" s="8"/>
      <c r="K391" s="34"/>
      <c r="L391" s="8"/>
      <c r="M391" s="28"/>
      <c r="N391" s="6" t="b">
        <v>0</v>
      </c>
      <c r="O391" s="6" t="b">
        <v>0</v>
      </c>
      <c r="P391" s="6"/>
      <c r="Q391" s="6"/>
      <c r="R391" s="6"/>
      <c r="S391" s="6"/>
      <c r="T391" s="6"/>
      <c r="U391" s="6"/>
      <c r="V391" s="6"/>
      <c r="W391" s="6"/>
      <c r="X391" s="6"/>
      <c r="Y391" s="6"/>
      <c r="Z391" s="6"/>
      <c r="AA391" s="6"/>
      <c r="AB391" s="6"/>
    </row>
    <row r="392" hidden="1">
      <c r="A392" s="13" t="str">
        <f t="shared" si="1"/>
        <v/>
      </c>
      <c r="B392" s="13"/>
      <c r="C392" s="13" t="s">
        <v>31</v>
      </c>
      <c r="D392" s="61"/>
      <c r="E392" s="61"/>
      <c r="F392" s="61"/>
      <c r="G392" s="100">
        <v>0.4583333333333333</v>
      </c>
      <c r="H392" s="39"/>
      <c r="I392" s="39"/>
      <c r="J392" s="61"/>
      <c r="K392" s="34"/>
      <c r="L392" s="8"/>
      <c r="M392" s="28"/>
      <c r="N392" s="6" t="b">
        <v>0</v>
      </c>
      <c r="O392" s="6" t="b">
        <v>0</v>
      </c>
      <c r="P392" s="6"/>
      <c r="Q392" s="6"/>
      <c r="R392" s="6"/>
      <c r="S392" s="6"/>
      <c r="T392" s="6"/>
      <c r="U392" s="6"/>
      <c r="V392" s="6"/>
      <c r="W392" s="6"/>
      <c r="X392" s="6"/>
      <c r="Y392" s="6"/>
      <c r="Z392" s="6"/>
      <c r="AA392" s="6"/>
      <c r="AB392" s="6"/>
    </row>
    <row r="393" hidden="1">
      <c r="A393" s="13" t="str">
        <f t="shared" si="1"/>
        <v/>
      </c>
      <c r="B393" s="13"/>
      <c r="C393" s="13" t="s">
        <v>31</v>
      </c>
      <c r="D393" s="61"/>
      <c r="E393" s="61"/>
      <c r="F393" s="61"/>
      <c r="G393" s="37" t="s">
        <v>109</v>
      </c>
      <c r="H393" s="39"/>
      <c r="I393" s="39"/>
      <c r="J393" s="61"/>
      <c r="K393" s="34"/>
      <c r="L393" s="8"/>
      <c r="M393" s="28"/>
      <c r="N393" s="6" t="b">
        <v>0</v>
      </c>
      <c r="O393" s="6" t="b">
        <v>0</v>
      </c>
      <c r="P393" s="6"/>
      <c r="Q393" s="6"/>
      <c r="R393" s="6"/>
      <c r="S393" s="6"/>
      <c r="T393" s="6"/>
      <c r="U393" s="6"/>
      <c r="V393" s="6"/>
      <c r="W393" s="6"/>
      <c r="X393" s="6"/>
      <c r="Y393" s="6"/>
      <c r="Z393" s="6"/>
      <c r="AA393" s="6"/>
      <c r="AB393" s="6"/>
    </row>
    <row r="394" hidden="1">
      <c r="A394" s="13" t="str">
        <f t="shared" si="1"/>
        <v>60266e3d919b7aeb2d799b4a</v>
      </c>
      <c r="B394" s="13"/>
      <c r="C394" s="13" t="s">
        <v>31</v>
      </c>
      <c r="D394" s="73"/>
      <c r="E394" s="73" t="s">
        <v>931</v>
      </c>
      <c r="F394" s="73" t="s">
        <v>932</v>
      </c>
      <c r="G394" s="43">
        <v>0.5833333333333334</v>
      </c>
      <c r="H394" s="44" t="s">
        <v>933</v>
      </c>
      <c r="I394" s="44" t="s">
        <v>934</v>
      </c>
      <c r="J394" s="73" t="s">
        <v>935</v>
      </c>
      <c r="K394" s="44" t="s">
        <v>12</v>
      </c>
      <c r="L394" s="45"/>
      <c r="M394" s="46"/>
      <c r="N394" s="47" t="b">
        <v>0</v>
      </c>
      <c r="O394" s="48" t="b">
        <v>1</v>
      </c>
      <c r="P394" s="6"/>
      <c r="Q394" s="6"/>
      <c r="R394" s="6"/>
      <c r="S394" s="6"/>
      <c r="T394" s="6"/>
      <c r="U394" s="6"/>
      <c r="V394" s="6"/>
      <c r="W394" s="6"/>
      <c r="X394" s="6"/>
      <c r="Y394" s="6"/>
      <c r="Z394" s="6"/>
      <c r="AA394" s="6"/>
      <c r="AB394" s="6"/>
    </row>
    <row r="395" hidden="1">
      <c r="A395" s="13" t="str">
        <f t="shared" si="1"/>
        <v>5fda1224a908bd46ce7a3fd4</v>
      </c>
      <c r="B395" s="13"/>
      <c r="C395" s="13" t="s">
        <v>31</v>
      </c>
      <c r="D395" s="62"/>
      <c r="E395" s="15" t="s">
        <v>355</v>
      </c>
      <c r="F395" s="15" t="s">
        <v>356</v>
      </c>
      <c r="G395" s="16" t="s">
        <v>97</v>
      </c>
      <c r="H395" s="18" t="s">
        <v>293</v>
      </c>
      <c r="I395" s="18" t="s">
        <v>936</v>
      </c>
      <c r="J395" s="62" t="s">
        <v>358</v>
      </c>
      <c r="K395" s="19"/>
      <c r="L395" s="18">
        <v>6.0</v>
      </c>
      <c r="M395" s="107">
        <f>VLOOKUP(E395,'Hedef Liste'!A:I,8,false)</f>
        <v>21</v>
      </c>
      <c r="N395" s="6" t="b">
        <v>0</v>
      </c>
      <c r="O395" s="6" t="b">
        <v>0</v>
      </c>
      <c r="P395" s="6"/>
      <c r="Q395" s="6"/>
      <c r="R395" s="6"/>
      <c r="S395" s="6"/>
      <c r="T395" s="6"/>
      <c r="U395" s="6"/>
      <c r="V395" s="6"/>
      <c r="W395" s="6"/>
      <c r="X395" s="6"/>
      <c r="Y395" s="6"/>
      <c r="Z395" s="6"/>
      <c r="AA395" s="6"/>
      <c r="AB395" s="6"/>
    </row>
    <row r="396" hidden="1">
      <c r="A396" s="13" t="str">
        <f t="shared" si="1"/>
        <v/>
      </c>
      <c r="B396" s="13"/>
      <c r="C396" s="13" t="s">
        <v>31</v>
      </c>
      <c r="D396" s="8"/>
      <c r="E396" s="8"/>
      <c r="F396" s="8"/>
      <c r="G396" s="29"/>
      <c r="H396" s="8"/>
      <c r="I396" s="8"/>
      <c r="J396" s="8"/>
      <c r="K396" s="8"/>
      <c r="L396" s="30"/>
      <c r="M396" s="31"/>
      <c r="N396" s="6" t="b">
        <v>0</v>
      </c>
      <c r="O396" s="6" t="b">
        <v>0</v>
      </c>
      <c r="P396" s="6"/>
      <c r="Q396" s="6"/>
      <c r="R396" s="6"/>
      <c r="S396" s="6"/>
      <c r="T396" s="6"/>
      <c r="U396" s="6"/>
      <c r="V396" s="6"/>
      <c r="W396" s="6"/>
      <c r="X396" s="6"/>
      <c r="Y396" s="6"/>
      <c r="Z396" s="6"/>
      <c r="AA396" s="6"/>
      <c r="AB396" s="6"/>
    </row>
    <row r="397" hidden="1">
      <c r="A397" s="13" t="str">
        <f t="shared" si="1"/>
        <v/>
      </c>
      <c r="B397" s="13"/>
      <c r="C397" s="13" t="s">
        <v>46</v>
      </c>
      <c r="D397" s="8"/>
      <c r="E397" s="8"/>
      <c r="F397" s="8"/>
      <c r="G397" s="29"/>
      <c r="H397" s="8"/>
      <c r="I397" s="8"/>
      <c r="J397" s="8"/>
      <c r="K397" s="34"/>
      <c r="L397" s="8"/>
      <c r="M397" s="28"/>
      <c r="N397" s="6" t="b">
        <v>0</v>
      </c>
      <c r="O397" s="6" t="b">
        <v>0</v>
      </c>
      <c r="P397" s="6"/>
      <c r="Q397" s="6"/>
      <c r="R397" s="6"/>
      <c r="S397" s="6"/>
      <c r="T397" s="6"/>
      <c r="U397" s="6"/>
      <c r="V397" s="6"/>
      <c r="W397" s="6"/>
      <c r="X397" s="6"/>
      <c r="Y397" s="6"/>
      <c r="Z397" s="6"/>
      <c r="AA397" s="6"/>
      <c r="AB397" s="6"/>
    </row>
    <row r="398" hidden="1">
      <c r="A398" s="13" t="str">
        <f t="shared" si="1"/>
        <v/>
      </c>
      <c r="B398" s="13"/>
      <c r="C398" s="13" t="s">
        <v>46</v>
      </c>
      <c r="D398" s="14"/>
      <c r="E398" s="14"/>
      <c r="F398" s="14"/>
      <c r="G398" s="37" t="s">
        <v>34</v>
      </c>
      <c r="H398" s="39"/>
      <c r="I398" s="39"/>
      <c r="J398" s="14"/>
      <c r="K398" s="34"/>
      <c r="L398" s="8"/>
      <c r="M398" s="28"/>
      <c r="N398" s="6" t="b">
        <v>0</v>
      </c>
      <c r="O398" s="6" t="b">
        <v>0</v>
      </c>
      <c r="P398" s="6"/>
      <c r="Q398" s="6"/>
      <c r="R398" s="6"/>
      <c r="S398" s="6"/>
      <c r="T398" s="6"/>
      <c r="U398" s="6"/>
      <c r="V398" s="6"/>
      <c r="W398" s="6"/>
      <c r="X398" s="6"/>
      <c r="Y398" s="6"/>
      <c r="Z398" s="6"/>
      <c r="AA398" s="6"/>
      <c r="AB398" s="6"/>
    </row>
    <row r="399" hidden="1">
      <c r="A399" s="13" t="str">
        <f t="shared" si="1"/>
        <v/>
      </c>
      <c r="B399" s="13"/>
      <c r="C399" s="13" t="s">
        <v>46</v>
      </c>
      <c r="D399" s="68"/>
      <c r="E399" s="71"/>
      <c r="F399" s="71"/>
      <c r="G399" s="37" t="s">
        <v>16</v>
      </c>
      <c r="H399" s="39"/>
      <c r="I399" s="39"/>
      <c r="J399" s="71"/>
      <c r="K399" s="34"/>
      <c r="L399" s="8"/>
      <c r="M399" s="28"/>
      <c r="N399" s="6" t="b">
        <v>0</v>
      </c>
      <c r="O399" s="6" t="b">
        <v>0</v>
      </c>
      <c r="P399" s="6"/>
      <c r="Q399" s="6"/>
      <c r="R399" s="6"/>
      <c r="S399" s="6"/>
      <c r="T399" s="6"/>
      <c r="U399" s="6"/>
      <c r="V399" s="6"/>
      <c r="W399" s="6"/>
      <c r="X399" s="6"/>
      <c r="Y399" s="6"/>
      <c r="Z399" s="6"/>
      <c r="AA399" s="6"/>
      <c r="AB399" s="6"/>
    </row>
    <row r="400" hidden="1">
      <c r="A400" s="13" t="str">
        <f t="shared" si="1"/>
        <v/>
      </c>
      <c r="B400" s="13"/>
      <c r="C400" s="13" t="s">
        <v>46</v>
      </c>
      <c r="D400" s="68"/>
      <c r="E400" s="71"/>
      <c r="F400" s="71"/>
      <c r="G400" s="49">
        <v>0.5</v>
      </c>
      <c r="H400" s="39"/>
      <c r="I400" s="38"/>
      <c r="J400" s="71"/>
      <c r="K400" s="39"/>
      <c r="L400" s="8"/>
      <c r="M400" s="28"/>
      <c r="N400" s="6" t="b">
        <v>0</v>
      </c>
      <c r="O400" s="6" t="b">
        <v>0</v>
      </c>
      <c r="P400" s="6"/>
      <c r="Q400" s="6"/>
      <c r="R400" s="6"/>
      <c r="S400" s="6"/>
      <c r="T400" s="6"/>
      <c r="U400" s="6"/>
      <c r="V400" s="6"/>
      <c r="W400" s="6"/>
      <c r="X400" s="6"/>
      <c r="Y400" s="6"/>
      <c r="Z400" s="6"/>
      <c r="AA400" s="6"/>
      <c r="AB400" s="6"/>
    </row>
    <row r="401" hidden="1">
      <c r="A401" s="13" t="str">
        <f t="shared" si="1"/>
        <v/>
      </c>
      <c r="B401" s="13"/>
      <c r="C401" s="13" t="s">
        <v>46</v>
      </c>
      <c r="D401" s="116"/>
      <c r="E401" s="117"/>
      <c r="F401" s="71"/>
      <c r="G401" s="49">
        <v>0.5833333333333334</v>
      </c>
      <c r="H401" s="39"/>
      <c r="I401" s="117"/>
      <c r="J401" s="91"/>
      <c r="K401" s="81"/>
      <c r="L401" s="8"/>
      <c r="M401" s="28"/>
      <c r="N401" s="6" t="b">
        <v>0</v>
      </c>
      <c r="O401" s="6" t="b">
        <v>0</v>
      </c>
      <c r="P401" s="6"/>
      <c r="Q401" s="6"/>
      <c r="R401" s="6"/>
      <c r="S401" s="6"/>
      <c r="T401" s="6"/>
      <c r="U401" s="6"/>
      <c r="V401" s="6"/>
      <c r="W401" s="6"/>
      <c r="X401" s="6"/>
      <c r="Y401" s="6"/>
      <c r="Z401" s="6"/>
      <c r="AA401" s="6"/>
      <c r="AB401" s="6"/>
    </row>
    <row r="402" hidden="1">
      <c r="A402" s="13" t="str">
        <f t="shared" si="1"/>
        <v/>
      </c>
      <c r="B402" s="13"/>
      <c r="C402" s="13" t="s">
        <v>46</v>
      </c>
      <c r="D402" s="8"/>
      <c r="E402" s="8"/>
      <c r="F402" s="8"/>
      <c r="G402" s="29"/>
      <c r="H402" s="8"/>
      <c r="I402" s="8"/>
      <c r="J402" s="8"/>
      <c r="K402" s="8"/>
      <c r="L402" s="30"/>
      <c r="M402" s="31"/>
      <c r="N402" s="6" t="b">
        <v>0</v>
      </c>
      <c r="O402" s="6" t="b">
        <v>0</v>
      </c>
      <c r="P402" s="6"/>
      <c r="Q402" s="6"/>
      <c r="R402" s="6"/>
      <c r="S402" s="6"/>
      <c r="T402" s="6"/>
      <c r="U402" s="6"/>
      <c r="V402" s="6"/>
      <c r="W402" s="6"/>
      <c r="X402" s="6"/>
      <c r="Y402" s="6"/>
      <c r="Z402" s="6"/>
      <c r="AA402" s="6"/>
      <c r="AB402" s="6"/>
    </row>
    <row r="403" hidden="1">
      <c r="A403" s="13" t="str">
        <f t="shared" si="1"/>
        <v/>
      </c>
      <c r="B403" s="94"/>
      <c r="C403" s="94">
        <v>44263.0</v>
      </c>
      <c r="D403" s="8"/>
      <c r="E403" s="9"/>
      <c r="F403" s="10"/>
      <c r="G403" s="10"/>
      <c r="H403" s="10"/>
      <c r="I403" s="10"/>
      <c r="J403" s="10"/>
      <c r="K403" s="10"/>
      <c r="L403" s="11"/>
      <c r="M403" s="12"/>
      <c r="N403" s="6"/>
      <c r="O403" s="6"/>
      <c r="P403" s="6"/>
      <c r="Q403" s="6"/>
      <c r="R403" s="6"/>
      <c r="S403" s="6"/>
      <c r="T403" s="6"/>
      <c r="U403" s="6"/>
      <c r="V403" s="6"/>
      <c r="W403" s="6"/>
      <c r="X403" s="6"/>
      <c r="Y403" s="6"/>
      <c r="Z403" s="6"/>
      <c r="AA403" s="6"/>
      <c r="AB403" s="6"/>
    </row>
    <row r="404" hidden="1">
      <c r="A404" s="13" t="str">
        <f t="shared" si="1"/>
        <v/>
      </c>
      <c r="B404" s="13"/>
      <c r="C404" s="13" t="s">
        <v>13</v>
      </c>
      <c r="D404" s="6"/>
      <c r="E404" s="6"/>
      <c r="F404" s="6"/>
      <c r="G404" s="26"/>
      <c r="H404" s="6"/>
      <c r="I404" s="6"/>
      <c r="J404" s="6"/>
      <c r="K404" s="34"/>
      <c r="L404" s="8"/>
      <c r="M404" s="28"/>
      <c r="N404" s="6" t="b">
        <v>0</v>
      </c>
      <c r="O404" s="6" t="b">
        <v>0</v>
      </c>
      <c r="P404" s="6"/>
      <c r="Q404" s="6"/>
      <c r="R404" s="6"/>
      <c r="S404" s="6"/>
      <c r="T404" s="6"/>
      <c r="U404" s="6"/>
      <c r="V404" s="6"/>
      <c r="W404" s="6"/>
      <c r="X404" s="6"/>
      <c r="Y404" s="6"/>
      <c r="Z404" s="6"/>
      <c r="AA404" s="6"/>
      <c r="AB404" s="6"/>
    </row>
    <row r="405" hidden="1">
      <c r="A405" s="13" t="str">
        <f t="shared" si="1"/>
        <v>601bfc2fc989b54d91d760a4</v>
      </c>
      <c r="B405" s="13"/>
      <c r="C405" s="13" t="s">
        <v>13</v>
      </c>
      <c r="D405" s="36" t="s">
        <v>937</v>
      </c>
      <c r="E405" s="62" t="s">
        <v>938</v>
      </c>
      <c r="F405" s="62" t="s">
        <v>939</v>
      </c>
      <c r="G405" s="105" t="s">
        <v>412</v>
      </c>
      <c r="H405" s="18" t="s">
        <v>940</v>
      </c>
      <c r="I405" s="27" t="s">
        <v>941</v>
      </c>
      <c r="J405" s="62" t="s">
        <v>942</v>
      </c>
      <c r="K405" s="19"/>
      <c r="L405" s="18">
        <v>7.0</v>
      </c>
      <c r="M405" s="107">
        <f>VLOOKUP(E405,'Hedef Liste'!A:I,8,false)</f>
        <v>8</v>
      </c>
      <c r="N405" s="6" t="b">
        <v>0</v>
      </c>
      <c r="O405" s="6" t="b">
        <v>0</v>
      </c>
      <c r="P405" s="6"/>
      <c r="Q405" s="6"/>
      <c r="R405" s="6"/>
      <c r="S405" s="6"/>
      <c r="T405" s="6"/>
      <c r="U405" s="6"/>
      <c r="V405" s="6"/>
      <c r="W405" s="6"/>
      <c r="X405" s="6"/>
      <c r="Y405" s="6"/>
      <c r="Z405" s="6"/>
      <c r="AA405" s="6"/>
      <c r="AB405" s="6"/>
    </row>
    <row r="406" hidden="1">
      <c r="A406" s="13" t="str">
        <f t="shared" si="1"/>
        <v>5f7f1fdeace10e2902a593cc</v>
      </c>
      <c r="B406" s="13"/>
      <c r="C406" s="13" t="s">
        <v>13</v>
      </c>
      <c r="D406" s="62" t="s">
        <v>943</v>
      </c>
      <c r="E406" s="15" t="s">
        <v>126</v>
      </c>
      <c r="F406" s="15" t="s">
        <v>127</v>
      </c>
      <c r="G406" s="95" t="s">
        <v>337</v>
      </c>
      <c r="H406" s="36" t="s">
        <v>443</v>
      </c>
      <c r="I406" s="36" t="s">
        <v>944</v>
      </c>
      <c r="J406" s="118" t="s">
        <v>129</v>
      </c>
      <c r="K406" s="19"/>
      <c r="L406" s="18">
        <v>5.0</v>
      </c>
      <c r="M406" s="110" t="str">
        <f>VLOOKUP(E406,'Hedef Liste'!A:I,8,false)</f>
        <v>#N/A</v>
      </c>
      <c r="N406" s="6" t="b">
        <v>0</v>
      </c>
      <c r="O406" s="6" t="b">
        <v>0</v>
      </c>
      <c r="P406" s="6"/>
      <c r="Q406" s="6"/>
      <c r="R406" s="6"/>
      <c r="S406" s="6"/>
      <c r="T406" s="6"/>
      <c r="U406" s="6"/>
      <c r="V406" s="6"/>
      <c r="W406" s="6"/>
      <c r="X406" s="6"/>
      <c r="Y406" s="6"/>
      <c r="Z406" s="6"/>
      <c r="AA406" s="6"/>
      <c r="AB406" s="6"/>
    </row>
    <row r="407" hidden="1">
      <c r="A407" s="13" t="str">
        <f t="shared" si="1"/>
        <v>5f366fb73322a82244d8dbba</v>
      </c>
      <c r="B407" s="13"/>
      <c r="C407" s="13" t="s">
        <v>13</v>
      </c>
      <c r="D407" s="62" t="s">
        <v>945</v>
      </c>
      <c r="E407" s="62" t="s">
        <v>946</v>
      </c>
      <c r="F407" s="62" t="s">
        <v>947</v>
      </c>
      <c r="G407" s="16" t="s">
        <v>575</v>
      </c>
      <c r="H407" s="18" t="s">
        <v>443</v>
      </c>
      <c r="I407" s="18" t="s">
        <v>948</v>
      </c>
      <c r="J407" s="62" t="s">
        <v>949</v>
      </c>
      <c r="K407" s="23"/>
      <c r="L407" s="18">
        <v>19.0</v>
      </c>
      <c r="M407" s="107">
        <f>VLOOKUP(E407,'Hedef Liste'!A:I,8,false)</f>
        <v>36</v>
      </c>
      <c r="N407" s="6" t="b">
        <v>0</v>
      </c>
      <c r="O407" s="6" t="b">
        <v>0</v>
      </c>
      <c r="P407" s="6"/>
      <c r="Q407" s="6"/>
      <c r="R407" s="6"/>
      <c r="S407" s="6"/>
      <c r="T407" s="6"/>
      <c r="U407" s="6"/>
      <c r="V407" s="6"/>
      <c r="W407" s="6"/>
      <c r="X407" s="6"/>
      <c r="Y407" s="6"/>
      <c r="Z407" s="6"/>
      <c r="AA407" s="6"/>
      <c r="AB407" s="6"/>
    </row>
    <row r="408" hidden="1">
      <c r="A408" s="13" t="str">
        <f t="shared" si="1"/>
        <v>5f7af367535b296eeb574927</v>
      </c>
      <c r="B408" s="13"/>
      <c r="C408" s="13" t="s">
        <v>13</v>
      </c>
      <c r="D408" s="69" t="s">
        <v>937</v>
      </c>
      <c r="E408" s="73" t="s">
        <v>950</v>
      </c>
      <c r="F408" s="73" t="s">
        <v>951</v>
      </c>
      <c r="G408" s="58" t="s">
        <v>378</v>
      </c>
      <c r="H408" s="44" t="s">
        <v>443</v>
      </c>
      <c r="I408" s="44" t="s">
        <v>952</v>
      </c>
      <c r="J408" s="73" t="s">
        <v>953</v>
      </c>
      <c r="K408" s="44" t="s">
        <v>954</v>
      </c>
      <c r="L408" s="45"/>
      <c r="M408" s="46"/>
      <c r="N408" s="47" t="b">
        <v>0</v>
      </c>
      <c r="O408" s="48" t="b">
        <v>1</v>
      </c>
      <c r="P408" s="6"/>
      <c r="Q408" s="6"/>
      <c r="R408" s="6"/>
      <c r="S408" s="6"/>
      <c r="T408" s="6"/>
      <c r="U408" s="6"/>
      <c r="V408" s="6"/>
      <c r="W408" s="6"/>
      <c r="X408" s="6"/>
      <c r="Y408" s="6"/>
      <c r="Z408" s="6"/>
      <c r="AA408" s="6"/>
      <c r="AB408" s="6"/>
    </row>
    <row r="409" hidden="1">
      <c r="A409" s="13" t="str">
        <f t="shared" si="1"/>
        <v/>
      </c>
      <c r="B409" s="13"/>
      <c r="C409" s="13" t="s">
        <v>13</v>
      </c>
      <c r="D409" s="8"/>
      <c r="E409" s="8"/>
      <c r="F409" s="8"/>
      <c r="G409" s="29"/>
      <c r="H409" s="8"/>
      <c r="I409" s="8"/>
      <c r="J409" s="8"/>
      <c r="K409" s="8"/>
      <c r="L409" s="30"/>
      <c r="M409" s="31"/>
      <c r="N409" s="6" t="b">
        <v>0</v>
      </c>
      <c r="O409" s="6" t="b">
        <v>0</v>
      </c>
      <c r="P409" s="6"/>
      <c r="Q409" s="6"/>
      <c r="R409" s="6"/>
      <c r="S409" s="6"/>
      <c r="T409" s="6"/>
      <c r="U409" s="6"/>
      <c r="V409" s="6"/>
      <c r="W409" s="6"/>
      <c r="X409" s="6"/>
      <c r="Y409" s="6"/>
      <c r="Z409" s="6"/>
      <c r="AA409" s="6"/>
      <c r="AB409" s="6"/>
    </row>
    <row r="410" hidden="1">
      <c r="A410" s="13" t="str">
        <f t="shared" si="1"/>
        <v/>
      </c>
      <c r="B410" s="13"/>
      <c r="C410" s="13" t="s">
        <v>31</v>
      </c>
      <c r="D410" s="39"/>
      <c r="E410" s="14"/>
      <c r="F410" s="14"/>
      <c r="G410" s="100"/>
      <c r="H410" s="116"/>
      <c r="I410" s="116"/>
      <c r="J410" s="116"/>
      <c r="K410" s="34"/>
      <c r="L410" s="8"/>
      <c r="M410" s="28"/>
      <c r="N410" s="6" t="b">
        <v>0</v>
      </c>
      <c r="O410" s="6" t="b">
        <v>0</v>
      </c>
      <c r="P410" s="6"/>
      <c r="Q410" s="6"/>
      <c r="R410" s="6"/>
      <c r="S410" s="6"/>
      <c r="T410" s="6"/>
      <c r="U410" s="6"/>
      <c r="V410" s="6"/>
      <c r="W410" s="6"/>
      <c r="X410" s="6"/>
      <c r="Y410" s="6"/>
      <c r="Z410" s="6"/>
      <c r="AA410" s="6"/>
      <c r="AB410" s="6"/>
    </row>
    <row r="411" hidden="1">
      <c r="A411" s="13" t="str">
        <f t="shared" si="1"/>
        <v>5f6e99e6d85f2500c6270484</v>
      </c>
      <c r="B411" s="13"/>
      <c r="C411" s="13" t="s">
        <v>31</v>
      </c>
      <c r="D411" s="18" t="s">
        <v>943</v>
      </c>
      <c r="E411" s="15" t="s">
        <v>285</v>
      </c>
      <c r="F411" s="15" t="s">
        <v>286</v>
      </c>
      <c r="G411" s="40">
        <v>0.5416666666666666</v>
      </c>
      <c r="H411" s="36" t="s">
        <v>955</v>
      </c>
      <c r="I411" s="36" t="s">
        <v>956</v>
      </c>
      <c r="J411" s="36" t="s">
        <v>957</v>
      </c>
      <c r="K411" s="19"/>
      <c r="L411" s="18">
        <v>19.0</v>
      </c>
      <c r="M411" s="107">
        <f>VLOOKUP(E411,'Hedef Liste'!A:I,8,false)</f>
        <v>7</v>
      </c>
      <c r="N411" s="6" t="b">
        <v>0</v>
      </c>
      <c r="O411" s="6" t="b">
        <v>0</v>
      </c>
      <c r="P411" s="6"/>
      <c r="Q411" s="6"/>
      <c r="R411" s="6"/>
      <c r="S411" s="6"/>
      <c r="T411" s="6"/>
      <c r="U411" s="6"/>
      <c r="V411" s="6"/>
      <c r="W411" s="6"/>
      <c r="X411" s="6"/>
      <c r="Y411" s="6"/>
      <c r="Z411" s="6"/>
      <c r="AA411" s="6"/>
      <c r="AB411" s="6"/>
    </row>
    <row r="412" hidden="1">
      <c r="A412" s="13" t="str">
        <f t="shared" si="1"/>
        <v>5f98c708dea0634380f028cf</v>
      </c>
      <c r="B412" s="13"/>
      <c r="C412" s="13" t="s">
        <v>31</v>
      </c>
      <c r="D412" s="62" t="s">
        <v>958</v>
      </c>
      <c r="E412" s="15" t="s">
        <v>959</v>
      </c>
      <c r="F412" s="15" t="s">
        <v>960</v>
      </c>
      <c r="G412" s="16" t="s">
        <v>456</v>
      </c>
      <c r="H412" s="18" t="s">
        <v>790</v>
      </c>
      <c r="I412" s="18" t="s">
        <v>961</v>
      </c>
      <c r="J412" s="15" t="s">
        <v>962</v>
      </c>
      <c r="K412" s="19"/>
      <c r="L412" s="18">
        <v>12.0</v>
      </c>
      <c r="M412" s="107">
        <f>VLOOKUP(E412,'Hedef Liste'!A:I,8,false)</f>
        <v>9</v>
      </c>
      <c r="N412" s="6" t="b">
        <v>0</v>
      </c>
      <c r="O412" s="6" t="b">
        <v>0</v>
      </c>
      <c r="P412" s="6"/>
      <c r="Q412" s="6"/>
      <c r="R412" s="6"/>
      <c r="S412" s="6"/>
      <c r="T412" s="6"/>
      <c r="U412" s="6"/>
      <c r="V412" s="6"/>
      <c r="W412" s="6"/>
      <c r="X412" s="6"/>
      <c r="Y412" s="6"/>
      <c r="Z412" s="6"/>
      <c r="AA412" s="6"/>
      <c r="AB412" s="6"/>
    </row>
    <row r="413" hidden="1">
      <c r="A413" s="13" t="str">
        <f t="shared" si="1"/>
        <v>600c8797fb76e313ec2e4c28</v>
      </c>
      <c r="B413" s="13"/>
      <c r="C413" s="13" t="s">
        <v>31</v>
      </c>
      <c r="D413" s="73" t="s">
        <v>943</v>
      </c>
      <c r="E413" s="73" t="s">
        <v>963</v>
      </c>
      <c r="F413" s="73" t="s">
        <v>964</v>
      </c>
      <c r="G413" s="58" t="s">
        <v>558</v>
      </c>
      <c r="H413" s="44" t="s">
        <v>965</v>
      </c>
      <c r="I413" s="44" t="s">
        <v>966</v>
      </c>
      <c r="J413" s="73" t="s">
        <v>967</v>
      </c>
      <c r="K413" s="44" t="s">
        <v>968</v>
      </c>
      <c r="L413" s="45"/>
      <c r="M413" s="46"/>
      <c r="N413" s="47" t="b">
        <v>0</v>
      </c>
      <c r="O413" s="48" t="b">
        <v>1</v>
      </c>
      <c r="P413" s="6"/>
      <c r="Q413" s="6"/>
      <c r="R413" s="6"/>
      <c r="S413" s="6"/>
      <c r="T413" s="6"/>
      <c r="U413" s="6"/>
      <c r="V413" s="6"/>
      <c r="W413" s="6"/>
      <c r="X413" s="6"/>
      <c r="Y413" s="6"/>
      <c r="Z413" s="6"/>
      <c r="AA413" s="6"/>
      <c r="AB413" s="6"/>
    </row>
    <row r="414" hidden="1">
      <c r="A414" s="13" t="str">
        <f t="shared" si="1"/>
        <v/>
      </c>
      <c r="B414" s="13"/>
      <c r="C414" s="13" t="s">
        <v>31</v>
      </c>
      <c r="D414" s="61"/>
      <c r="E414" s="61"/>
      <c r="F414" s="61"/>
      <c r="G414" s="37"/>
      <c r="H414" s="39"/>
      <c r="I414" s="38"/>
      <c r="J414" s="61"/>
      <c r="K414" s="81"/>
      <c r="L414" s="8"/>
      <c r="M414" s="28"/>
      <c r="N414" s="6" t="b">
        <v>0</v>
      </c>
      <c r="O414" s="6" t="b">
        <v>0</v>
      </c>
      <c r="P414" s="6"/>
      <c r="Q414" s="6"/>
      <c r="R414" s="6"/>
      <c r="S414" s="6"/>
      <c r="T414" s="6"/>
      <c r="U414" s="6"/>
      <c r="V414" s="6"/>
      <c r="W414" s="6"/>
      <c r="X414" s="6"/>
      <c r="Y414" s="6"/>
      <c r="Z414" s="6"/>
      <c r="AA414" s="6"/>
      <c r="AB414" s="6"/>
    </row>
    <row r="415" hidden="1">
      <c r="A415" s="13" t="str">
        <f t="shared" si="1"/>
        <v/>
      </c>
      <c r="B415" s="13"/>
      <c r="C415" s="13" t="s">
        <v>31</v>
      </c>
      <c r="D415" s="8"/>
      <c r="E415" s="8"/>
      <c r="F415" s="8"/>
      <c r="G415" s="29"/>
      <c r="H415" s="8"/>
      <c r="I415" s="8"/>
      <c r="J415" s="8"/>
      <c r="K415" s="8"/>
      <c r="L415" s="30"/>
      <c r="M415" s="31"/>
      <c r="N415" s="6" t="b">
        <v>0</v>
      </c>
      <c r="O415" s="6" t="b">
        <v>0</v>
      </c>
      <c r="P415" s="6"/>
      <c r="Q415" s="6"/>
      <c r="R415" s="6"/>
      <c r="S415" s="6"/>
      <c r="T415" s="6"/>
      <c r="U415" s="6"/>
      <c r="V415" s="6"/>
      <c r="W415" s="6"/>
      <c r="X415" s="6"/>
      <c r="Y415" s="6"/>
      <c r="Z415" s="6"/>
      <c r="AA415" s="6"/>
      <c r="AB415" s="6"/>
    </row>
    <row r="416" hidden="1">
      <c r="A416" s="13" t="str">
        <f t="shared" si="1"/>
        <v>5f315566b9e5e1dd64db6114</v>
      </c>
      <c r="B416" s="13"/>
      <c r="C416" s="13" t="s">
        <v>46</v>
      </c>
      <c r="D416" s="44" t="s">
        <v>945</v>
      </c>
      <c r="E416" s="42" t="s">
        <v>70</v>
      </c>
      <c r="F416" s="42" t="s">
        <v>71</v>
      </c>
      <c r="G416" s="85" t="s">
        <v>412</v>
      </c>
      <c r="H416" s="44" t="s">
        <v>72</v>
      </c>
      <c r="I416" s="44" t="s">
        <v>969</v>
      </c>
      <c r="J416" s="42" t="s">
        <v>74</v>
      </c>
      <c r="K416" s="63"/>
      <c r="L416" s="45"/>
      <c r="M416" s="46"/>
      <c r="N416" s="47" t="b">
        <v>0</v>
      </c>
      <c r="O416" s="48" t="b">
        <v>1</v>
      </c>
      <c r="P416" s="6"/>
      <c r="Q416" s="6"/>
      <c r="R416" s="6"/>
      <c r="S416" s="6"/>
      <c r="T416" s="6"/>
      <c r="U416" s="6"/>
      <c r="V416" s="6"/>
      <c r="W416" s="6"/>
      <c r="X416" s="6"/>
      <c r="Y416" s="6"/>
      <c r="Z416" s="6"/>
      <c r="AA416" s="6"/>
      <c r="AB416" s="6"/>
    </row>
    <row r="417" hidden="1">
      <c r="A417" s="13" t="str">
        <f t="shared" si="1"/>
        <v>603562d8e12f9d259852ad78</v>
      </c>
      <c r="B417" s="13"/>
      <c r="C417" s="13" t="s">
        <v>46</v>
      </c>
      <c r="D417" s="36" t="s">
        <v>945</v>
      </c>
      <c r="E417" s="62" t="s">
        <v>970</v>
      </c>
      <c r="F417" s="62" t="s">
        <v>971</v>
      </c>
      <c r="G417" s="95" t="s">
        <v>337</v>
      </c>
      <c r="H417" s="18" t="s">
        <v>443</v>
      </c>
      <c r="I417" s="18" t="s">
        <v>972</v>
      </c>
      <c r="J417" s="62" t="s">
        <v>973</v>
      </c>
      <c r="K417" s="19"/>
      <c r="L417" s="18">
        <v>9.0</v>
      </c>
      <c r="M417" s="107">
        <f>VLOOKUP(E417,'Hedef Liste'!A:I,8,false)</f>
        <v>2</v>
      </c>
      <c r="N417" s="6" t="b">
        <v>0</v>
      </c>
      <c r="O417" s="6" t="b">
        <v>0</v>
      </c>
      <c r="P417" s="6"/>
      <c r="Q417" s="6"/>
      <c r="R417" s="6"/>
      <c r="S417" s="6"/>
      <c r="T417" s="6"/>
      <c r="U417" s="6"/>
      <c r="V417" s="6"/>
      <c r="W417" s="6"/>
      <c r="X417" s="6"/>
      <c r="Y417" s="6"/>
      <c r="Z417" s="6"/>
      <c r="AA417" s="6"/>
      <c r="AB417" s="6"/>
    </row>
    <row r="418" hidden="1">
      <c r="A418" s="13" t="str">
        <f t="shared" si="1"/>
        <v>602a7c0df3768306cb9d742f</v>
      </c>
      <c r="B418" s="13"/>
      <c r="C418" s="13" t="s">
        <v>46</v>
      </c>
      <c r="D418" s="69" t="s">
        <v>945</v>
      </c>
      <c r="E418" s="73" t="s">
        <v>974</v>
      </c>
      <c r="F418" s="69" t="s">
        <v>975</v>
      </c>
      <c r="G418" s="58" t="s">
        <v>575</v>
      </c>
      <c r="H418" s="44" t="s">
        <v>72</v>
      </c>
      <c r="I418" s="44" t="s">
        <v>976</v>
      </c>
      <c r="J418" s="69" t="s">
        <v>977</v>
      </c>
      <c r="K418" s="44" t="s">
        <v>334</v>
      </c>
      <c r="L418" s="45"/>
      <c r="M418" s="46"/>
      <c r="N418" s="47" t="b">
        <v>0</v>
      </c>
      <c r="O418" s="48" t="b">
        <v>1</v>
      </c>
      <c r="P418" s="6"/>
      <c r="Q418" s="6"/>
      <c r="R418" s="6"/>
      <c r="S418" s="6"/>
      <c r="T418" s="6"/>
      <c r="U418" s="6"/>
      <c r="V418" s="6"/>
      <c r="W418" s="6"/>
      <c r="X418" s="6"/>
      <c r="Y418" s="6"/>
      <c r="Z418" s="6"/>
      <c r="AA418" s="6"/>
      <c r="AB418" s="6"/>
    </row>
    <row r="419" hidden="1">
      <c r="A419" s="13" t="str">
        <f t="shared" si="1"/>
        <v>5f36751382cfcf59bf5266c6</v>
      </c>
      <c r="B419" s="13"/>
      <c r="C419" s="13" t="s">
        <v>46</v>
      </c>
      <c r="D419" s="75" t="s">
        <v>945</v>
      </c>
      <c r="E419" s="62" t="s">
        <v>978</v>
      </c>
      <c r="F419" s="62" t="s">
        <v>979</v>
      </c>
      <c r="G419" s="16" t="s">
        <v>378</v>
      </c>
      <c r="H419" s="18" t="s">
        <v>443</v>
      </c>
      <c r="I419" s="18" t="s">
        <v>980</v>
      </c>
      <c r="J419" s="62" t="s">
        <v>981</v>
      </c>
      <c r="K419" s="18"/>
      <c r="L419" s="18">
        <v>26.0</v>
      </c>
      <c r="M419" s="110" t="str">
        <f>VLOOKUP(E419,'Hedef Liste'!A:I,8,false)</f>
        <v>#N/A</v>
      </c>
      <c r="N419" s="6" t="b">
        <v>0</v>
      </c>
      <c r="O419" s="6" t="b">
        <v>0</v>
      </c>
      <c r="P419" s="6"/>
      <c r="Q419" s="6"/>
      <c r="R419" s="6"/>
      <c r="S419" s="6"/>
      <c r="T419" s="6"/>
      <c r="U419" s="6"/>
      <c r="V419" s="6"/>
      <c r="W419" s="6"/>
      <c r="X419" s="6"/>
      <c r="Y419" s="6"/>
      <c r="Z419" s="6"/>
      <c r="AA419" s="6"/>
      <c r="AB419" s="6"/>
    </row>
    <row r="420" hidden="1">
      <c r="A420" s="13" t="str">
        <f t="shared" si="1"/>
        <v/>
      </c>
      <c r="B420" s="13"/>
      <c r="C420" s="13" t="s">
        <v>46</v>
      </c>
      <c r="D420" s="116"/>
      <c r="E420" s="117"/>
      <c r="F420" s="71"/>
      <c r="G420" s="72"/>
      <c r="H420" s="39"/>
      <c r="I420" s="117"/>
      <c r="J420" s="91"/>
      <c r="K420" s="81"/>
      <c r="L420" s="8"/>
      <c r="M420" s="28"/>
      <c r="N420" s="6" t="b">
        <v>0</v>
      </c>
      <c r="O420" s="6" t="b">
        <v>0</v>
      </c>
      <c r="P420" s="6"/>
      <c r="Q420" s="6"/>
      <c r="R420" s="6"/>
      <c r="S420" s="6"/>
      <c r="T420" s="6"/>
      <c r="U420" s="6"/>
      <c r="V420" s="6"/>
      <c r="W420" s="6"/>
      <c r="X420" s="6"/>
      <c r="Y420" s="6"/>
      <c r="Z420" s="6"/>
      <c r="AA420" s="6"/>
      <c r="AB420" s="6"/>
    </row>
    <row r="421" hidden="1">
      <c r="A421" s="13" t="str">
        <f t="shared" si="1"/>
        <v/>
      </c>
      <c r="B421" s="13"/>
      <c r="C421" s="13" t="s">
        <v>46</v>
      </c>
      <c r="D421" s="8"/>
      <c r="E421" s="8"/>
      <c r="F421" s="8"/>
      <c r="G421" s="29"/>
      <c r="H421" s="8"/>
      <c r="I421" s="8"/>
      <c r="J421" s="8"/>
      <c r="K421" s="8"/>
      <c r="L421" s="30"/>
      <c r="M421" s="31"/>
      <c r="N421" s="6" t="b">
        <v>0</v>
      </c>
      <c r="O421" s="6" t="b">
        <v>0</v>
      </c>
      <c r="P421" s="6"/>
      <c r="Q421" s="6"/>
      <c r="R421" s="6"/>
      <c r="S421" s="6"/>
      <c r="T421" s="6"/>
      <c r="U421" s="6"/>
      <c r="V421" s="6"/>
      <c r="W421" s="6"/>
      <c r="X421" s="6"/>
      <c r="Y421" s="6"/>
      <c r="Z421" s="6"/>
      <c r="AA421" s="6"/>
      <c r="AB421" s="6"/>
    </row>
    <row r="422" hidden="1">
      <c r="A422" s="13" t="str">
        <f t="shared" si="1"/>
        <v>Eskibağlar mah. Yenilik Sok. No:36 İç Kapı No: 1 Tepebaşı/Eskişehir</v>
      </c>
      <c r="B422" s="94"/>
      <c r="C422" s="94">
        <v>44264.0</v>
      </c>
      <c r="D422" s="8"/>
      <c r="E422" s="119" t="s">
        <v>957</v>
      </c>
      <c r="F422" s="10"/>
      <c r="G422" s="10"/>
      <c r="H422" s="10"/>
      <c r="I422" s="10"/>
      <c r="J422" s="10"/>
      <c r="K422" s="10"/>
      <c r="L422" s="11"/>
      <c r="M422" s="12"/>
      <c r="N422" s="6"/>
      <c r="O422" s="6"/>
      <c r="P422" s="6"/>
      <c r="Q422" s="6"/>
      <c r="R422" s="6"/>
      <c r="S422" s="6"/>
      <c r="T422" s="6"/>
      <c r="U422" s="6"/>
      <c r="V422" s="6"/>
      <c r="W422" s="6"/>
      <c r="X422" s="6"/>
      <c r="Y422" s="6"/>
      <c r="Z422" s="6"/>
      <c r="AA422" s="6"/>
      <c r="AB422" s="6"/>
    </row>
    <row r="423" hidden="1">
      <c r="A423" s="13" t="str">
        <f t="shared" si="1"/>
        <v/>
      </c>
      <c r="B423" s="13"/>
      <c r="C423" s="13" t="s">
        <v>13</v>
      </c>
      <c r="D423" s="6"/>
      <c r="E423" s="6"/>
      <c r="F423" s="6"/>
      <c r="G423" s="26"/>
      <c r="H423" s="6"/>
      <c r="I423" s="6"/>
      <c r="J423" s="6"/>
      <c r="K423" s="34"/>
      <c r="L423" s="8"/>
      <c r="M423" s="28"/>
      <c r="N423" s="6" t="b">
        <v>0</v>
      </c>
      <c r="O423" s="6" t="b">
        <v>0</v>
      </c>
      <c r="P423" s="6"/>
      <c r="Q423" s="6"/>
      <c r="R423" s="6"/>
      <c r="S423" s="6"/>
      <c r="T423" s="6"/>
      <c r="U423" s="6"/>
      <c r="V423" s="6"/>
      <c r="W423" s="6"/>
      <c r="X423" s="6"/>
      <c r="Y423" s="6"/>
      <c r="Z423" s="6"/>
      <c r="AA423" s="6"/>
      <c r="AB423" s="6"/>
    </row>
    <row r="424" hidden="1">
      <c r="A424" s="13" t="str">
        <f t="shared" si="1"/>
        <v/>
      </c>
      <c r="B424" s="13"/>
      <c r="C424" s="13" t="s">
        <v>13</v>
      </c>
      <c r="D424" s="14"/>
      <c r="E424" s="14"/>
      <c r="F424" s="14"/>
      <c r="G424" s="120" t="s">
        <v>412</v>
      </c>
      <c r="H424" s="39"/>
      <c r="I424" s="6"/>
      <c r="J424" s="14"/>
      <c r="K424" s="34"/>
      <c r="L424" s="8"/>
      <c r="M424" s="28"/>
      <c r="N424" s="6" t="b">
        <v>0</v>
      </c>
      <c r="O424" s="6" t="b">
        <v>0</v>
      </c>
      <c r="P424" s="6"/>
      <c r="Q424" s="6"/>
      <c r="R424" s="6"/>
      <c r="S424" s="6"/>
      <c r="T424" s="6"/>
      <c r="U424" s="6"/>
      <c r="V424" s="6"/>
      <c r="W424" s="6"/>
      <c r="X424" s="6"/>
      <c r="Y424" s="6"/>
      <c r="Z424" s="6"/>
      <c r="AA424" s="6"/>
      <c r="AB424" s="6"/>
    </row>
    <row r="425" hidden="1">
      <c r="A425" s="13" t="str">
        <f t="shared" si="1"/>
        <v/>
      </c>
      <c r="B425" s="13"/>
      <c r="C425" s="13" t="s">
        <v>13</v>
      </c>
      <c r="D425" s="61"/>
      <c r="E425" s="61"/>
      <c r="F425" s="61"/>
      <c r="G425" s="121" t="s">
        <v>337</v>
      </c>
      <c r="H425" s="39"/>
      <c r="I425" s="39"/>
      <c r="J425" s="71"/>
      <c r="K425" s="34"/>
      <c r="L425" s="8"/>
      <c r="M425" s="28"/>
      <c r="N425" s="6" t="b">
        <v>0</v>
      </c>
      <c r="O425" s="6" t="b">
        <v>0</v>
      </c>
      <c r="P425" s="6"/>
      <c r="Q425" s="6"/>
      <c r="R425" s="6"/>
      <c r="S425" s="6"/>
      <c r="T425" s="6"/>
      <c r="U425" s="6"/>
      <c r="V425" s="6"/>
      <c r="W425" s="6"/>
      <c r="X425" s="6"/>
      <c r="Y425" s="6"/>
      <c r="Z425" s="6"/>
      <c r="AA425" s="6"/>
      <c r="AB425" s="6"/>
    </row>
    <row r="426" hidden="1">
      <c r="A426" s="13" t="str">
        <f t="shared" si="1"/>
        <v>5f3386b5abcd6ab797e1574c</v>
      </c>
      <c r="B426" s="13"/>
      <c r="C426" s="13" t="s">
        <v>13</v>
      </c>
      <c r="D426" s="62" t="s">
        <v>937</v>
      </c>
      <c r="E426" s="15" t="s">
        <v>982</v>
      </c>
      <c r="F426" s="15" t="s">
        <v>983</v>
      </c>
      <c r="G426" s="16" t="s">
        <v>575</v>
      </c>
      <c r="H426" s="18" t="s">
        <v>907</v>
      </c>
      <c r="I426" s="18" t="s">
        <v>984</v>
      </c>
      <c r="J426" s="36" t="s">
        <v>985</v>
      </c>
      <c r="K426" s="23"/>
      <c r="L426" s="18">
        <v>14.0</v>
      </c>
      <c r="M426" s="110" t="str">
        <f>VLOOKUP(E426,'Hedef Liste'!A:I,8,false)</f>
        <v>#N/A</v>
      </c>
      <c r="N426" s="6" t="b">
        <v>0</v>
      </c>
      <c r="O426" s="6" t="b">
        <v>0</v>
      </c>
      <c r="P426" s="6"/>
      <c r="Q426" s="6"/>
      <c r="R426" s="6"/>
      <c r="S426" s="6"/>
      <c r="T426" s="6"/>
      <c r="U426" s="6"/>
      <c r="V426" s="6"/>
      <c r="W426" s="6"/>
      <c r="X426" s="6"/>
      <c r="Y426" s="6"/>
      <c r="Z426" s="6"/>
      <c r="AA426" s="6"/>
      <c r="AB426" s="6"/>
    </row>
    <row r="427" hidden="1">
      <c r="A427" s="13" t="str">
        <f t="shared" si="1"/>
        <v>5f6e766db46f9486f461a281</v>
      </c>
      <c r="B427" s="13"/>
      <c r="C427" s="13" t="s">
        <v>13</v>
      </c>
      <c r="D427" s="75" t="s">
        <v>945</v>
      </c>
      <c r="E427" s="15" t="s">
        <v>986</v>
      </c>
      <c r="F427" s="15" t="s">
        <v>987</v>
      </c>
      <c r="G427" s="16" t="s">
        <v>378</v>
      </c>
      <c r="H427" s="18" t="s">
        <v>790</v>
      </c>
      <c r="I427" s="18" t="s">
        <v>988</v>
      </c>
      <c r="J427" s="15" t="s">
        <v>989</v>
      </c>
      <c r="K427" s="19"/>
      <c r="L427" s="18">
        <v>15.0</v>
      </c>
      <c r="M427" s="110" t="str">
        <f>VLOOKUP(E427,'Hedef Liste'!A:I,8,false)</f>
        <v>#N/A</v>
      </c>
      <c r="N427" s="6" t="b">
        <v>0</v>
      </c>
      <c r="O427" s="6" t="b">
        <v>0</v>
      </c>
      <c r="P427" s="6"/>
      <c r="Q427" s="6"/>
      <c r="R427" s="6"/>
      <c r="S427" s="6"/>
      <c r="T427" s="6"/>
      <c r="U427" s="6"/>
      <c r="V427" s="6"/>
      <c r="W427" s="6"/>
      <c r="X427" s="6"/>
      <c r="Y427" s="6"/>
      <c r="Z427" s="6"/>
      <c r="AA427" s="6"/>
      <c r="AB427" s="6"/>
    </row>
    <row r="428" hidden="1">
      <c r="A428" s="13" t="str">
        <f t="shared" si="1"/>
        <v/>
      </c>
      <c r="B428" s="13"/>
      <c r="C428" s="13" t="s">
        <v>13</v>
      </c>
      <c r="D428" s="8"/>
      <c r="E428" s="8"/>
      <c r="F428" s="8"/>
      <c r="G428" s="29"/>
      <c r="H428" s="8"/>
      <c r="I428" s="8"/>
      <c r="J428" s="8"/>
      <c r="K428" s="8"/>
      <c r="L428" s="30"/>
      <c r="M428" s="31"/>
      <c r="N428" s="6" t="b">
        <v>0</v>
      </c>
      <c r="O428" s="6" t="b">
        <v>0</v>
      </c>
      <c r="P428" s="6"/>
      <c r="Q428" s="6"/>
      <c r="R428" s="6"/>
      <c r="S428" s="6"/>
      <c r="T428" s="6"/>
      <c r="U428" s="6"/>
      <c r="V428" s="6"/>
      <c r="W428" s="6"/>
      <c r="X428" s="6"/>
      <c r="Y428" s="6"/>
      <c r="Z428" s="6"/>
      <c r="AA428" s="6"/>
      <c r="AB428" s="6"/>
    </row>
    <row r="429" hidden="1">
      <c r="A429" s="13" t="str">
        <f t="shared" si="1"/>
        <v/>
      </c>
      <c r="B429" s="13"/>
      <c r="C429" s="13" t="s">
        <v>31</v>
      </c>
      <c r="D429" s="8"/>
      <c r="E429" s="8"/>
      <c r="F429" s="8"/>
      <c r="G429" s="29"/>
      <c r="H429" s="8"/>
      <c r="I429" s="8"/>
      <c r="J429" s="8"/>
      <c r="K429" s="34"/>
      <c r="L429" s="8"/>
      <c r="M429" s="28"/>
      <c r="N429" s="6" t="b">
        <v>0</v>
      </c>
      <c r="O429" s="6" t="b">
        <v>0</v>
      </c>
      <c r="P429" s="6"/>
      <c r="Q429" s="6"/>
      <c r="R429" s="6"/>
      <c r="S429" s="6"/>
      <c r="T429" s="6"/>
      <c r="U429" s="6"/>
      <c r="V429" s="6"/>
      <c r="W429" s="6"/>
      <c r="X429" s="6"/>
      <c r="Y429" s="6"/>
      <c r="Z429" s="6"/>
      <c r="AA429" s="6"/>
      <c r="AB429" s="6"/>
    </row>
    <row r="430" hidden="1">
      <c r="A430" s="13" t="str">
        <f t="shared" si="1"/>
        <v/>
      </c>
      <c r="B430" s="13"/>
      <c r="C430" s="13" t="s">
        <v>31</v>
      </c>
      <c r="D430" s="61"/>
      <c r="E430" s="61"/>
      <c r="F430" s="61"/>
      <c r="G430" s="100"/>
      <c r="H430" s="39"/>
      <c r="I430" s="39"/>
      <c r="J430" s="61"/>
      <c r="K430" s="34"/>
      <c r="L430" s="8"/>
      <c r="M430" s="28"/>
      <c r="N430" s="6" t="b">
        <v>0</v>
      </c>
      <c r="O430" s="6" t="b">
        <v>0</v>
      </c>
      <c r="P430" s="6"/>
      <c r="Q430" s="6"/>
      <c r="R430" s="6"/>
      <c r="S430" s="6"/>
      <c r="T430" s="6"/>
      <c r="U430" s="6"/>
      <c r="V430" s="6"/>
      <c r="W430" s="6"/>
      <c r="X430" s="6"/>
      <c r="Y430" s="6"/>
      <c r="Z430" s="6"/>
      <c r="AA430" s="6"/>
      <c r="AB430" s="6"/>
    </row>
    <row r="431" hidden="1">
      <c r="A431" s="13" t="str">
        <f t="shared" si="1"/>
        <v/>
      </c>
      <c r="B431" s="13"/>
      <c r="C431" s="13" t="s">
        <v>31</v>
      </c>
      <c r="D431" s="61"/>
      <c r="E431" s="61"/>
      <c r="F431" s="61"/>
      <c r="G431" s="37"/>
      <c r="H431" s="39"/>
      <c r="I431" s="39"/>
      <c r="J431" s="61"/>
      <c r="K431" s="34"/>
      <c r="L431" s="8"/>
      <c r="M431" s="28"/>
      <c r="N431" s="6" t="b">
        <v>0</v>
      </c>
      <c r="O431" s="6" t="b">
        <v>0</v>
      </c>
      <c r="P431" s="6"/>
      <c r="Q431" s="6"/>
      <c r="R431" s="6"/>
      <c r="S431" s="6"/>
      <c r="T431" s="6"/>
      <c r="U431" s="6"/>
      <c r="V431" s="6"/>
      <c r="W431" s="6"/>
      <c r="X431" s="6"/>
      <c r="Y431" s="6"/>
      <c r="Z431" s="6"/>
      <c r="AA431" s="6"/>
      <c r="AB431" s="6"/>
    </row>
    <row r="432" hidden="1">
      <c r="A432" s="13" t="str">
        <f t="shared" si="1"/>
        <v>5fda79793edee4493d088e97</v>
      </c>
      <c r="B432" s="13"/>
      <c r="C432" s="13" t="s">
        <v>31</v>
      </c>
      <c r="D432" s="62" t="s">
        <v>958</v>
      </c>
      <c r="E432" s="62" t="s">
        <v>990</v>
      </c>
      <c r="F432" s="62" t="s">
        <v>991</v>
      </c>
      <c r="G432" s="22">
        <v>0.625</v>
      </c>
      <c r="H432" s="18" t="s">
        <v>992</v>
      </c>
      <c r="I432" s="18" t="s">
        <v>993</v>
      </c>
      <c r="J432" s="62" t="s">
        <v>994</v>
      </c>
      <c r="K432" s="23"/>
      <c r="L432" s="18">
        <v>12.0</v>
      </c>
      <c r="M432" s="107">
        <f>VLOOKUP(E432,'Hedef Liste'!A:I,8,false)</f>
        <v>38</v>
      </c>
      <c r="N432" s="6" t="b">
        <v>0</v>
      </c>
      <c r="O432" s="6" t="b">
        <v>0</v>
      </c>
      <c r="P432" s="6"/>
      <c r="Q432" s="6"/>
      <c r="R432" s="6"/>
      <c r="S432" s="6"/>
      <c r="T432" s="6"/>
      <c r="U432" s="6"/>
      <c r="V432" s="6"/>
      <c r="W432" s="6"/>
      <c r="X432" s="6"/>
      <c r="Y432" s="6"/>
      <c r="Z432" s="6"/>
      <c r="AA432" s="6"/>
      <c r="AB432" s="6"/>
    </row>
    <row r="433" hidden="1">
      <c r="A433" s="13" t="str">
        <f t="shared" si="1"/>
        <v>602e7c8defa02d783cc04bb3</v>
      </c>
      <c r="B433" s="13"/>
      <c r="C433" s="13" t="s">
        <v>31</v>
      </c>
      <c r="D433" s="75" t="s">
        <v>937</v>
      </c>
      <c r="E433" s="62" t="s">
        <v>995</v>
      </c>
      <c r="F433" s="62" t="s">
        <v>996</v>
      </c>
      <c r="G433" s="16" t="s">
        <v>378</v>
      </c>
      <c r="H433" s="18" t="s">
        <v>997</v>
      </c>
      <c r="I433" s="18" t="s">
        <v>998</v>
      </c>
      <c r="J433" s="62" t="s">
        <v>999</v>
      </c>
      <c r="K433" s="19"/>
      <c r="L433" s="18">
        <v>8.0</v>
      </c>
      <c r="M433" s="110" t="str">
        <f>VLOOKUP(E433,'Hedef Liste'!A:I,8,false)</f>
        <v>#N/A</v>
      </c>
      <c r="N433" s="6" t="b">
        <v>0</v>
      </c>
      <c r="O433" s="6" t="b">
        <v>0</v>
      </c>
      <c r="P433" s="6"/>
      <c r="Q433" s="6"/>
      <c r="R433" s="6"/>
      <c r="S433" s="6"/>
      <c r="T433" s="6"/>
      <c r="U433" s="6"/>
      <c r="V433" s="6"/>
      <c r="W433" s="6"/>
      <c r="X433" s="6"/>
      <c r="Y433" s="6"/>
      <c r="Z433" s="6"/>
      <c r="AA433" s="6"/>
      <c r="AB433" s="6"/>
    </row>
    <row r="434" hidden="1">
      <c r="A434" s="13" t="str">
        <f t="shared" si="1"/>
        <v/>
      </c>
      <c r="B434" s="13"/>
      <c r="C434" s="13" t="s">
        <v>31</v>
      </c>
      <c r="D434" s="8"/>
      <c r="E434" s="8"/>
      <c r="F434" s="8"/>
      <c r="G434" s="29"/>
      <c r="H434" s="8"/>
      <c r="I434" s="8"/>
      <c r="J434" s="8"/>
      <c r="K434" s="8"/>
      <c r="L434" s="30"/>
      <c r="M434" s="31"/>
      <c r="N434" s="6" t="b">
        <v>0</v>
      </c>
      <c r="O434" s="6" t="b">
        <v>0</v>
      </c>
      <c r="P434" s="6"/>
      <c r="Q434" s="6"/>
      <c r="R434" s="6"/>
      <c r="S434" s="6"/>
      <c r="T434" s="6"/>
      <c r="U434" s="6"/>
      <c r="V434" s="6"/>
      <c r="W434" s="6"/>
      <c r="X434" s="6"/>
      <c r="Y434" s="6"/>
      <c r="Z434" s="6"/>
      <c r="AA434" s="6"/>
      <c r="AB434" s="6"/>
    </row>
    <row r="435" hidden="1">
      <c r="A435" s="13" t="str">
        <f t="shared" si="1"/>
        <v/>
      </c>
      <c r="B435" s="13"/>
      <c r="C435" s="13" t="s">
        <v>46</v>
      </c>
      <c r="D435" s="8"/>
      <c r="E435" s="8"/>
      <c r="F435" s="8"/>
      <c r="G435" s="29"/>
      <c r="H435" s="8"/>
      <c r="I435" s="8"/>
      <c r="J435" s="8"/>
      <c r="K435" s="34"/>
      <c r="L435" s="8"/>
      <c r="M435" s="28"/>
      <c r="N435" s="6" t="b">
        <v>0</v>
      </c>
      <c r="O435" s="6" t="b">
        <v>0</v>
      </c>
      <c r="P435" s="6"/>
      <c r="Q435" s="6"/>
      <c r="R435" s="6"/>
      <c r="S435" s="6"/>
      <c r="T435" s="6"/>
      <c r="U435" s="6"/>
      <c r="V435" s="6"/>
      <c r="W435" s="6"/>
      <c r="X435" s="6"/>
      <c r="Y435" s="6"/>
      <c r="Z435" s="6"/>
      <c r="AA435" s="6"/>
      <c r="AB435" s="6"/>
    </row>
    <row r="436" hidden="1">
      <c r="A436" s="13" t="str">
        <f t="shared" si="1"/>
        <v/>
      </c>
      <c r="B436" s="13"/>
      <c r="C436" s="13" t="s">
        <v>46</v>
      </c>
      <c r="D436" s="14"/>
      <c r="E436" s="14"/>
      <c r="F436" s="14"/>
      <c r="G436" s="37"/>
      <c r="H436" s="39"/>
      <c r="I436" s="39"/>
      <c r="J436" s="14"/>
      <c r="K436" s="34"/>
      <c r="L436" s="8"/>
      <c r="M436" s="28"/>
      <c r="N436" s="6" t="b">
        <v>0</v>
      </c>
      <c r="O436" s="6" t="b">
        <v>0</v>
      </c>
      <c r="P436" s="6"/>
      <c r="Q436" s="6"/>
      <c r="R436" s="6"/>
      <c r="S436" s="6"/>
      <c r="T436" s="6"/>
      <c r="U436" s="6"/>
      <c r="V436" s="6"/>
      <c r="W436" s="6"/>
      <c r="X436" s="6"/>
      <c r="Y436" s="6"/>
      <c r="Z436" s="6"/>
      <c r="AA436" s="6"/>
      <c r="AB436" s="6"/>
    </row>
    <row r="437" hidden="1">
      <c r="A437" s="13" t="str">
        <f t="shared" si="1"/>
        <v/>
      </c>
      <c r="B437" s="13"/>
      <c r="C437" s="13" t="s">
        <v>46</v>
      </c>
      <c r="D437" s="68"/>
      <c r="E437" s="71"/>
      <c r="F437" s="71"/>
      <c r="G437" s="37"/>
      <c r="H437" s="39"/>
      <c r="I437" s="39"/>
      <c r="J437" s="71"/>
      <c r="K437" s="34"/>
      <c r="L437" s="8"/>
      <c r="M437" s="28"/>
      <c r="N437" s="6" t="b">
        <v>0</v>
      </c>
      <c r="O437" s="6" t="b">
        <v>0</v>
      </c>
      <c r="P437" s="6"/>
      <c r="Q437" s="6"/>
      <c r="R437" s="6"/>
      <c r="S437" s="6"/>
      <c r="T437" s="6"/>
      <c r="U437" s="6"/>
      <c r="V437" s="6"/>
      <c r="W437" s="6"/>
      <c r="X437" s="6"/>
      <c r="Y437" s="6"/>
      <c r="Z437" s="6"/>
      <c r="AA437" s="6"/>
      <c r="AB437" s="6"/>
    </row>
    <row r="438" hidden="1">
      <c r="A438" s="13" t="str">
        <f t="shared" si="1"/>
        <v>5f6e4440d2725f47c212d669</v>
      </c>
      <c r="B438" s="13"/>
      <c r="C438" s="13" t="s">
        <v>46</v>
      </c>
      <c r="D438" s="69" t="s">
        <v>1000</v>
      </c>
      <c r="E438" s="42" t="s">
        <v>556</v>
      </c>
      <c r="F438" s="69" t="s">
        <v>1001</v>
      </c>
      <c r="G438" s="70" t="s">
        <v>378</v>
      </c>
      <c r="H438" s="44" t="s">
        <v>264</v>
      </c>
      <c r="I438" s="44" t="s">
        <v>1002</v>
      </c>
      <c r="J438" s="69" t="s">
        <v>561</v>
      </c>
      <c r="K438" s="44" t="s">
        <v>1003</v>
      </c>
      <c r="L438" s="45"/>
      <c r="M438" s="46"/>
      <c r="N438" s="47" t="b">
        <v>0</v>
      </c>
      <c r="O438" s="47" t="b">
        <v>0</v>
      </c>
      <c r="P438" s="6"/>
      <c r="Q438" s="6"/>
      <c r="R438" s="6"/>
      <c r="S438" s="6"/>
      <c r="T438" s="6"/>
      <c r="U438" s="6"/>
      <c r="V438" s="6"/>
      <c r="W438" s="6"/>
      <c r="X438" s="6"/>
      <c r="Y438" s="6"/>
      <c r="Z438" s="6"/>
      <c r="AA438" s="6"/>
      <c r="AB438" s="6"/>
    </row>
    <row r="439" hidden="1">
      <c r="A439" s="13" t="str">
        <f t="shared" si="1"/>
        <v/>
      </c>
      <c r="B439" s="13"/>
      <c r="C439" s="13" t="s">
        <v>46</v>
      </c>
      <c r="D439" s="116"/>
      <c r="E439" s="117"/>
      <c r="F439" s="71"/>
      <c r="G439" s="72"/>
      <c r="H439" s="39"/>
      <c r="I439" s="117"/>
      <c r="J439" s="91"/>
      <c r="K439" s="81"/>
      <c r="L439" s="8"/>
      <c r="M439" s="28"/>
      <c r="N439" s="6" t="b">
        <v>0</v>
      </c>
      <c r="O439" s="6" t="b">
        <v>0</v>
      </c>
      <c r="P439" s="6"/>
      <c r="Q439" s="6"/>
      <c r="R439" s="6"/>
      <c r="S439" s="6"/>
      <c r="T439" s="6"/>
      <c r="U439" s="6"/>
      <c r="V439" s="6"/>
      <c r="W439" s="6"/>
      <c r="X439" s="6"/>
      <c r="Y439" s="6"/>
      <c r="Z439" s="6"/>
      <c r="AA439" s="6"/>
      <c r="AB439" s="6"/>
    </row>
    <row r="440" hidden="1">
      <c r="A440" s="13" t="str">
        <f t="shared" si="1"/>
        <v/>
      </c>
      <c r="B440" s="13"/>
      <c r="C440" s="13" t="s">
        <v>46</v>
      </c>
      <c r="D440" s="8"/>
      <c r="E440" s="8"/>
      <c r="F440" s="8"/>
      <c r="G440" s="29"/>
      <c r="H440" s="8"/>
      <c r="I440" s="8"/>
      <c r="J440" s="8"/>
      <c r="K440" s="8"/>
      <c r="L440" s="30"/>
      <c r="M440" s="31"/>
      <c r="N440" s="6" t="b">
        <v>0</v>
      </c>
      <c r="O440" s="6" t="b">
        <v>0</v>
      </c>
      <c r="P440" s="6"/>
      <c r="Q440" s="6"/>
      <c r="R440" s="6"/>
      <c r="S440" s="6"/>
      <c r="T440" s="6"/>
      <c r="U440" s="6"/>
      <c r="V440" s="6"/>
      <c r="W440" s="6"/>
      <c r="X440" s="6"/>
      <c r="Y440" s="6"/>
      <c r="Z440" s="6"/>
      <c r="AA440" s="6"/>
      <c r="AB440" s="6"/>
    </row>
    <row r="441" hidden="1">
      <c r="A441" s="13" t="str">
        <f t="shared" si="1"/>
        <v/>
      </c>
      <c r="B441" s="94"/>
      <c r="C441" s="94">
        <v>44265.0</v>
      </c>
      <c r="D441" s="8"/>
      <c r="E441" s="9"/>
      <c r="F441" s="10"/>
      <c r="G441" s="10"/>
      <c r="H441" s="10"/>
      <c r="I441" s="10"/>
      <c r="J441" s="10"/>
      <c r="K441" s="10"/>
      <c r="L441" s="11"/>
      <c r="M441" s="12"/>
      <c r="N441" s="6"/>
      <c r="O441" s="6"/>
      <c r="P441" s="6"/>
      <c r="Q441" s="6"/>
      <c r="R441" s="6"/>
      <c r="S441" s="6"/>
      <c r="T441" s="6"/>
      <c r="U441" s="6"/>
      <c r="V441" s="6"/>
      <c r="W441" s="6"/>
      <c r="X441" s="6"/>
      <c r="Y441" s="6"/>
      <c r="Z441" s="6"/>
      <c r="AA441" s="6"/>
      <c r="AB441" s="6"/>
    </row>
    <row r="442" hidden="1">
      <c r="A442" s="13" t="str">
        <f t="shared" si="1"/>
        <v>5f33bd366b1e0fe8d5f39deb     </v>
      </c>
      <c r="B442" s="13"/>
      <c r="C442" s="13" t="s">
        <v>13</v>
      </c>
      <c r="D442" s="27" t="s">
        <v>943</v>
      </c>
      <c r="E442" s="27" t="s">
        <v>1004</v>
      </c>
      <c r="F442" s="75" t="s">
        <v>1005</v>
      </c>
      <c r="G442" s="40">
        <v>0.4583333333333333</v>
      </c>
      <c r="H442" s="62" t="s">
        <v>615</v>
      </c>
      <c r="I442" s="62" t="s">
        <v>1006</v>
      </c>
      <c r="J442" s="62" t="s">
        <v>1007</v>
      </c>
      <c r="K442" s="19"/>
      <c r="L442" s="18">
        <v>10.0</v>
      </c>
      <c r="M442" s="98"/>
      <c r="N442" s="6" t="b">
        <v>0</v>
      </c>
      <c r="O442" s="6" t="b">
        <v>0</v>
      </c>
      <c r="P442" s="6"/>
      <c r="Q442" s="6"/>
      <c r="R442" s="6"/>
      <c r="S442" s="6"/>
      <c r="T442" s="6"/>
      <c r="U442" s="6"/>
      <c r="V442" s="6"/>
      <c r="W442" s="6"/>
      <c r="X442" s="6"/>
      <c r="Y442" s="6"/>
      <c r="Z442" s="6"/>
      <c r="AA442" s="6"/>
      <c r="AB442" s="6"/>
    </row>
    <row r="443" hidden="1">
      <c r="A443" s="13" t="str">
        <f t="shared" si="1"/>
        <v>5fac6b0bf53b97ccb5792979</v>
      </c>
      <c r="B443" s="13"/>
      <c r="C443" s="13" t="s">
        <v>13</v>
      </c>
      <c r="D443" s="59" t="s">
        <v>937</v>
      </c>
      <c r="E443" s="73" t="s">
        <v>1008</v>
      </c>
      <c r="F443" s="73" t="s">
        <v>1009</v>
      </c>
      <c r="G443" s="85" t="s">
        <v>366</v>
      </c>
      <c r="H443" s="73" t="s">
        <v>615</v>
      </c>
      <c r="I443" s="73" t="s">
        <v>1010</v>
      </c>
      <c r="J443" s="73" t="s">
        <v>1011</v>
      </c>
      <c r="K443" s="63"/>
      <c r="L443" s="45"/>
      <c r="M443" s="46"/>
      <c r="N443" s="6" t="b">
        <v>0</v>
      </c>
      <c r="O443" s="6" t="b">
        <v>0</v>
      </c>
      <c r="P443" s="6"/>
      <c r="Q443" s="6"/>
      <c r="R443" s="6"/>
      <c r="S443" s="6"/>
      <c r="T443" s="6"/>
      <c r="U443" s="6"/>
      <c r="V443" s="6"/>
      <c r="W443" s="6"/>
      <c r="X443" s="6"/>
      <c r="Y443" s="6"/>
      <c r="Z443" s="6"/>
      <c r="AA443" s="6"/>
      <c r="AB443" s="6"/>
    </row>
    <row r="444" hidden="1">
      <c r="A444" s="13" t="str">
        <f t="shared" si="1"/>
        <v>602d0d9fefa02def0ac00965</v>
      </c>
      <c r="B444" s="13"/>
      <c r="C444" s="13" t="s">
        <v>13</v>
      </c>
      <c r="D444" s="73" t="s">
        <v>945</v>
      </c>
      <c r="E444" s="73" t="s">
        <v>1012</v>
      </c>
      <c r="F444" s="73" t="s">
        <v>1013</v>
      </c>
      <c r="G444" s="85" t="s">
        <v>298</v>
      </c>
      <c r="H444" s="48" t="s">
        <v>195</v>
      </c>
      <c r="I444" s="48" t="s">
        <v>1014</v>
      </c>
      <c r="J444" s="73" t="s">
        <v>1015</v>
      </c>
      <c r="K444" s="63"/>
      <c r="L444" s="45"/>
      <c r="M444" s="46"/>
      <c r="N444" s="6" t="b">
        <v>0</v>
      </c>
      <c r="O444" s="6" t="b">
        <v>0</v>
      </c>
      <c r="P444" s="6"/>
      <c r="Q444" s="6"/>
      <c r="R444" s="6"/>
      <c r="S444" s="6"/>
      <c r="T444" s="6"/>
      <c r="U444" s="6"/>
      <c r="V444" s="6"/>
      <c r="W444" s="6"/>
      <c r="X444" s="6"/>
      <c r="Y444" s="6"/>
      <c r="Z444" s="6"/>
      <c r="AA444" s="6"/>
      <c r="AB444" s="6"/>
    </row>
    <row r="445" hidden="1">
      <c r="A445" s="13" t="str">
        <f t="shared" si="1"/>
        <v/>
      </c>
      <c r="B445" s="13"/>
      <c r="C445" s="13" t="s">
        <v>13</v>
      </c>
      <c r="D445" s="61"/>
      <c r="E445" s="61"/>
      <c r="F445" s="71"/>
      <c r="G445" s="37" t="s">
        <v>1016</v>
      </c>
      <c r="H445" s="39"/>
      <c r="I445" s="39"/>
      <c r="J445" s="71"/>
      <c r="K445" s="8"/>
      <c r="L445" s="8"/>
      <c r="M445" s="28"/>
      <c r="N445" s="6" t="b">
        <v>0</v>
      </c>
      <c r="O445" s="6" t="b">
        <v>0</v>
      </c>
      <c r="P445" s="6"/>
      <c r="Q445" s="6"/>
      <c r="R445" s="6"/>
      <c r="S445" s="6"/>
      <c r="T445" s="6"/>
      <c r="U445" s="6"/>
      <c r="V445" s="6"/>
      <c r="W445" s="6"/>
      <c r="X445" s="6"/>
      <c r="Y445" s="6"/>
      <c r="Z445" s="6"/>
      <c r="AA445" s="6"/>
      <c r="AB445" s="6"/>
    </row>
    <row r="446" hidden="1">
      <c r="A446" s="13" t="str">
        <f t="shared" si="1"/>
        <v/>
      </c>
      <c r="B446" s="13"/>
      <c r="C446" s="13" t="s">
        <v>13</v>
      </c>
      <c r="D446" s="68"/>
      <c r="E446" s="61"/>
      <c r="F446" s="61"/>
      <c r="G446" s="37"/>
      <c r="H446" s="39"/>
      <c r="I446" s="39"/>
      <c r="J446" s="61"/>
      <c r="K446" s="81"/>
      <c r="L446" s="8"/>
      <c r="M446" s="28"/>
      <c r="N446" s="6" t="b">
        <v>0</v>
      </c>
      <c r="O446" s="6" t="b">
        <v>0</v>
      </c>
      <c r="P446" s="6"/>
      <c r="Q446" s="6"/>
      <c r="R446" s="6"/>
      <c r="S446" s="6"/>
      <c r="T446" s="6"/>
      <c r="U446" s="6"/>
      <c r="V446" s="6"/>
      <c r="W446" s="6"/>
      <c r="X446" s="6"/>
      <c r="Y446" s="6"/>
      <c r="Z446" s="6"/>
      <c r="AA446" s="6"/>
      <c r="AB446" s="6"/>
    </row>
    <row r="447" hidden="1">
      <c r="A447" s="13" t="str">
        <f t="shared" si="1"/>
        <v/>
      </c>
      <c r="B447" s="13"/>
      <c r="C447" s="13" t="s">
        <v>13</v>
      </c>
      <c r="D447" s="8"/>
      <c r="E447" s="8"/>
      <c r="F447" s="8"/>
      <c r="G447" s="29"/>
      <c r="H447" s="8"/>
      <c r="I447" s="8"/>
      <c r="J447" s="8"/>
      <c r="K447" s="8"/>
      <c r="L447" s="30"/>
      <c r="M447" s="31"/>
      <c r="N447" s="6" t="b">
        <v>0</v>
      </c>
      <c r="O447" s="6" t="b">
        <v>0</v>
      </c>
      <c r="P447" s="6"/>
      <c r="Q447" s="6"/>
      <c r="R447" s="6"/>
      <c r="S447" s="6"/>
      <c r="T447" s="6"/>
      <c r="U447" s="6"/>
      <c r="V447" s="6"/>
      <c r="W447" s="6"/>
      <c r="X447" s="6"/>
      <c r="Y447" s="6"/>
      <c r="Z447" s="6"/>
      <c r="AA447" s="6"/>
      <c r="AB447" s="6"/>
    </row>
    <row r="448" hidden="1">
      <c r="A448" s="13" t="str">
        <f t="shared" si="1"/>
        <v/>
      </c>
      <c r="B448" s="13"/>
      <c r="C448" s="13" t="s">
        <v>31</v>
      </c>
      <c r="D448" s="8"/>
      <c r="E448" s="8"/>
      <c r="F448" s="8"/>
      <c r="G448" s="29"/>
      <c r="H448" s="8"/>
      <c r="I448" s="8"/>
      <c r="J448" s="8"/>
      <c r="K448" s="34"/>
      <c r="L448" s="8"/>
      <c r="M448" s="28"/>
      <c r="N448" s="6" t="b">
        <v>0</v>
      </c>
      <c r="O448" s="6" t="b">
        <v>0</v>
      </c>
      <c r="P448" s="6"/>
      <c r="Q448" s="6"/>
      <c r="R448" s="6"/>
      <c r="S448" s="6"/>
      <c r="T448" s="6"/>
      <c r="U448" s="6"/>
      <c r="V448" s="6"/>
      <c r="W448" s="6"/>
      <c r="X448" s="6"/>
      <c r="Y448" s="6"/>
      <c r="Z448" s="6"/>
      <c r="AA448" s="6"/>
      <c r="AB448" s="6"/>
    </row>
    <row r="449" hidden="1">
      <c r="A449" s="13" t="str">
        <f t="shared" si="1"/>
        <v/>
      </c>
      <c r="B449" s="13"/>
      <c r="C449" s="13" t="s">
        <v>31</v>
      </c>
      <c r="D449" s="61"/>
      <c r="E449" s="61"/>
      <c r="F449" s="61"/>
      <c r="G449" s="100"/>
      <c r="H449" s="39"/>
      <c r="I449" s="39"/>
      <c r="J449" s="61"/>
      <c r="K449" s="34"/>
      <c r="L449" s="8"/>
      <c r="M449" s="28"/>
      <c r="N449" s="6" t="b">
        <v>0</v>
      </c>
      <c r="O449" s="6" t="b">
        <v>0</v>
      </c>
      <c r="P449" s="6"/>
      <c r="Q449" s="6"/>
      <c r="R449" s="6"/>
      <c r="S449" s="6"/>
      <c r="T449" s="6"/>
      <c r="U449" s="6"/>
      <c r="V449" s="6"/>
      <c r="W449" s="6"/>
      <c r="X449" s="6"/>
      <c r="Y449" s="6"/>
      <c r="Z449" s="6"/>
      <c r="AA449" s="6"/>
      <c r="AB449" s="6"/>
    </row>
    <row r="450" hidden="1">
      <c r="A450" s="13" t="str">
        <f t="shared" si="1"/>
        <v>60358132c9f056768d8ed9ae</v>
      </c>
      <c r="B450" s="13"/>
      <c r="C450" s="13" t="s">
        <v>31</v>
      </c>
      <c r="D450" s="62" t="s">
        <v>958</v>
      </c>
      <c r="E450" s="62" t="s">
        <v>1017</v>
      </c>
      <c r="F450" s="62" t="s">
        <v>1018</v>
      </c>
      <c r="G450" s="97">
        <v>0.5416666666666666</v>
      </c>
      <c r="H450" s="18" t="s">
        <v>1019</v>
      </c>
      <c r="I450" s="18" t="s">
        <v>1020</v>
      </c>
      <c r="J450" s="62" t="s">
        <v>1021</v>
      </c>
      <c r="K450" s="19"/>
      <c r="L450" s="18">
        <v>37.0</v>
      </c>
      <c r="M450" s="28"/>
      <c r="N450" s="6" t="b">
        <v>0</v>
      </c>
      <c r="O450" s="6" t="b">
        <v>0</v>
      </c>
      <c r="P450" s="6"/>
      <c r="Q450" s="6"/>
      <c r="R450" s="6"/>
      <c r="S450" s="6"/>
      <c r="T450" s="6"/>
      <c r="U450" s="6"/>
      <c r="V450" s="6"/>
      <c r="W450" s="6"/>
      <c r="X450" s="6"/>
      <c r="Y450" s="6"/>
      <c r="Z450" s="6"/>
      <c r="AA450" s="6"/>
      <c r="AB450" s="6"/>
    </row>
    <row r="451" hidden="1">
      <c r="A451" s="13" t="str">
        <f t="shared" si="1"/>
        <v>5fdd25721a5ab842fcece3e2</v>
      </c>
      <c r="B451" s="13"/>
      <c r="C451" s="13" t="s">
        <v>31</v>
      </c>
      <c r="D451" s="62" t="s">
        <v>958</v>
      </c>
      <c r="E451" s="122" t="s">
        <v>1022</v>
      </c>
      <c r="F451" s="122" t="s">
        <v>1023</v>
      </c>
      <c r="G451" s="40">
        <v>0.5833333333333334</v>
      </c>
      <c r="H451" s="27" t="s">
        <v>1024</v>
      </c>
      <c r="I451" s="62" t="s">
        <v>1025</v>
      </c>
      <c r="J451" s="62" t="s">
        <v>1026</v>
      </c>
      <c r="K451" s="23"/>
      <c r="L451" s="18">
        <v>35.0</v>
      </c>
      <c r="M451" s="28"/>
      <c r="N451" s="6" t="b">
        <v>0</v>
      </c>
      <c r="O451" s="6" t="b">
        <v>0</v>
      </c>
      <c r="P451" s="6"/>
      <c r="Q451" s="6"/>
      <c r="R451" s="6"/>
      <c r="S451" s="6"/>
      <c r="T451" s="6"/>
      <c r="U451" s="6"/>
      <c r="V451" s="6"/>
      <c r="W451" s="6"/>
      <c r="X451" s="6"/>
      <c r="Y451" s="6"/>
      <c r="Z451" s="6"/>
      <c r="AA451" s="6"/>
      <c r="AB451" s="6"/>
    </row>
    <row r="452" hidden="1">
      <c r="A452" s="13" t="str">
        <f t="shared" si="1"/>
        <v>5f56c2db1fcf33f02b81cc36</v>
      </c>
      <c r="B452" s="13"/>
      <c r="C452" s="13" t="s">
        <v>31</v>
      </c>
      <c r="D452" s="73" t="s">
        <v>1000</v>
      </c>
      <c r="E452" s="73" t="s">
        <v>1027</v>
      </c>
      <c r="F452" s="73" t="s">
        <v>1028</v>
      </c>
      <c r="G452" s="70" t="s">
        <v>298</v>
      </c>
      <c r="H452" s="44" t="s">
        <v>790</v>
      </c>
      <c r="I452" s="73" t="s">
        <v>1029</v>
      </c>
      <c r="J452" s="73" t="s">
        <v>398</v>
      </c>
      <c r="K452" s="44" t="s">
        <v>1030</v>
      </c>
      <c r="L452" s="45"/>
      <c r="M452" s="46"/>
      <c r="N452" s="47" t="b">
        <v>0</v>
      </c>
      <c r="O452" s="47" t="b">
        <v>0</v>
      </c>
      <c r="P452" s="6"/>
      <c r="Q452" s="6"/>
      <c r="R452" s="6"/>
      <c r="S452" s="6"/>
      <c r="T452" s="6"/>
      <c r="U452" s="6"/>
      <c r="V452" s="6"/>
      <c r="W452" s="6"/>
      <c r="X452" s="6"/>
      <c r="Y452" s="6"/>
      <c r="Z452" s="6"/>
      <c r="AA452" s="6"/>
      <c r="AB452" s="6"/>
    </row>
    <row r="453" hidden="1">
      <c r="A453" s="13" t="str">
        <f t="shared" si="1"/>
        <v/>
      </c>
      <c r="B453" s="13"/>
      <c r="C453" s="13" t="s">
        <v>31</v>
      </c>
      <c r="D453" s="39"/>
      <c r="E453" s="61"/>
      <c r="F453" s="61"/>
      <c r="G453" s="37"/>
      <c r="H453" s="39"/>
      <c r="I453" s="39"/>
      <c r="J453" s="61"/>
      <c r="K453" s="8"/>
      <c r="L453" s="30"/>
      <c r="M453" s="31"/>
      <c r="N453" s="6" t="b">
        <v>0</v>
      </c>
      <c r="O453" s="6" t="b">
        <v>0</v>
      </c>
      <c r="P453" s="6"/>
      <c r="Q453" s="6"/>
      <c r="R453" s="6"/>
      <c r="S453" s="6"/>
      <c r="T453" s="6"/>
      <c r="U453" s="6"/>
      <c r="V453" s="6"/>
      <c r="W453" s="6"/>
      <c r="X453" s="6"/>
      <c r="Y453" s="6"/>
      <c r="Z453" s="6"/>
      <c r="AA453" s="6"/>
      <c r="AB453" s="6"/>
    </row>
    <row r="454" hidden="1">
      <c r="A454" s="13" t="str">
        <f t="shared" si="1"/>
        <v/>
      </c>
      <c r="B454" s="13"/>
      <c r="C454" s="13" t="s">
        <v>46</v>
      </c>
      <c r="D454" s="6"/>
      <c r="E454" s="6"/>
      <c r="F454" s="6"/>
      <c r="G454" s="26"/>
      <c r="H454" s="6"/>
      <c r="I454" s="6"/>
      <c r="J454" s="6"/>
      <c r="K454" s="34"/>
      <c r="L454" s="8"/>
      <c r="M454" s="28"/>
      <c r="N454" s="6" t="b">
        <v>0</v>
      </c>
      <c r="O454" s="6" t="b">
        <v>0</v>
      </c>
      <c r="P454" s="6"/>
      <c r="Q454" s="6"/>
      <c r="R454" s="6"/>
      <c r="S454" s="6"/>
      <c r="T454" s="6"/>
      <c r="U454" s="6"/>
      <c r="V454" s="6"/>
      <c r="W454" s="6"/>
      <c r="X454" s="6"/>
      <c r="Y454" s="6"/>
      <c r="Z454" s="6"/>
      <c r="AA454" s="6"/>
      <c r="AB454" s="6"/>
    </row>
    <row r="455" hidden="1">
      <c r="A455" s="13" t="str">
        <f t="shared" si="1"/>
        <v/>
      </c>
      <c r="B455" s="13"/>
      <c r="C455" s="13" t="s">
        <v>46</v>
      </c>
      <c r="D455" s="14"/>
      <c r="E455" s="14"/>
      <c r="F455" s="14"/>
      <c r="G455" s="37"/>
      <c r="H455" s="39"/>
      <c r="I455" s="39"/>
      <c r="J455" s="14"/>
      <c r="K455" s="34"/>
      <c r="L455" s="8"/>
      <c r="M455" s="28"/>
      <c r="N455" s="6" t="b">
        <v>0</v>
      </c>
      <c r="O455" s="6" t="b">
        <v>0</v>
      </c>
      <c r="P455" s="6"/>
      <c r="Q455" s="6"/>
      <c r="R455" s="6"/>
      <c r="S455" s="6"/>
      <c r="T455" s="6"/>
      <c r="U455" s="6"/>
      <c r="V455" s="6"/>
      <c r="W455" s="6"/>
      <c r="X455" s="6"/>
      <c r="Y455" s="6"/>
      <c r="Z455" s="6"/>
      <c r="AA455" s="6"/>
      <c r="AB455" s="6"/>
    </row>
    <row r="456" hidden="1">
      <c r="A456" s="13" t="str">
        <f t="shared" si="1"/>
        <v/>
      </c>
      <c r="B456" s="13"/>
      <c r="C456" s="13" t="s">
        <v>46</v>
      </c>
      <c r="D456" s="68"/>
      <c r="E456" s="71"/>
      <c r="F456" s="71"/>
      <c r="G456" s="37"/>
      <c r="H456" s="39"/>
      <c r="I456" s="39"/>
      <c r="J456" s="71"/>
      <c r="K456" s="34"/>
      <c r="L456" s="8"/>
      <c r="M456" s="28"/>
      <c r="N456" s="6" t="b">
        <v>0</v>
      </c>
      <c r="O456" s="6" t="b">
        <v>0</v>
      </c>
      <c r="P456" s="6"/>
      <c r="Q456" s="6"/>
      <c r="R456" s="6"/>
      <c r="S456" s="6"/>
      <c r="T456" s="6"/>
      <c r="U456" s="6"/>
      <c r="V456" s="6"/>
      <c r="W456" s="6"/>
      <c r="X456" s="6"/>
      <c r="Y456" s="6"/>
      <c r="Z456" s="6"/>
      <c r="AA456" s="6"/>
      <c r="AB456" s="6"/>
    </row>
    <row r="457" hidden="1">
      <c r="A457" s="13" t="str">
        <f t="shared" si="1"/>
        <v/>
      </c>
      <c r="B457" s="13"/>
      <c r="C457" s="13" t="s">
        <v>46</v>
      </c>
      <c r="D457" s="68"/>
      <c r="E457" s="71"/>
      <c r="F457" s="71"/>
      <c r="G457" s="72"/>
      <c r="H457" s="39"/>
      <c r="I457" s="38"/>
      <c r="J457" s="71"/>
      <c r="K457" s="39"/>
      <c r="L457" s="8"/>
      <c r="M457" s="28"/>
      <c r="N457" s="6" t="b">
        <v>0</v>
      </c>
      <c r="O457" s="6" t="b">
        <v>0</v>
      </c>
      <c r="P457" s="6"/>
      <c r="Q457" s="6"/>
      <c r="R457" s="6"/>
      <c r="S457" s="6"/>
      <c r="T457" s="6"/>
      <c r="U457" s="6"/>
      <c r="V457" s="6"/>
      <c r="W457" s="6"/>
      <c r="X457" s="6"/>
      <c r="Y457" s="6"/>
      <c r="Z457" s="6"/>
      <c r="AA457" s="6"/>
      <c r="AB457" s="6"/>
    </row>
    <row r="458" hidden="1">
      <c r="A458" s="13" t="str">
        <f t="shared" si="1"/>
        <v>5f5a64bf3c3d83ac40a8d5ae</v>
      </c>
      <c r="B458" s="13"/>
      <c r="C458" s="13" t="s">
        <v>46</v>
      </c>
      <c r="D458" s="44" t="s">
        <v>943</v>
      </c>
      <c r="E458" s="73" t="s">
        <v>1031</v>
      </c>
      <c r="F458" s="73" t="s">
        <v>1032</v>
      </c>
      <c r="G458" s="58" t="s">
        <v>223</v>
      </c>
      <c r="H458" s="44" t="s">
        <v>1033</v>
      </c>
      <c r="I458" s="44" t="s">
        <v>1034</v>
      </c>
      <c r="J458" s="123" t="s">
        <v>1035</v>
      </c>
      <c r="K458" s="63"/>
      <c r="L458" s="45"/>
      <c r="M458" s="28"/>
      <c r="N458" s="6" t="b">
        <v>0</v>
      </c>
      <c r="O458" s="6" t="b">
        <v>0</v>
      </c>
      <c r="P458" s="6"/>
      <c r="Q458" s="6"/>
      <c r="R458" s="6"/>
      <c r="S458" s="6"/>
      <c r="T458" s="6"/>
      <c r="U458" s="6"/>
      <c r="V458" s="6"/>
      <c r="W458" s="6"/>
      <c r="X458" s="6"/>
      <c r="Y458" s="6"/>
      <c r="Z458" s="6"/>
      <c r="AA458" s="6"/>
      <c r="AB458" s="6"/>
    </row>
    <row r="459" hidden="1">
      <c r="A459" s="13" t="str">
        <f t="shared" si="1"/>
        <v/>
      </c>
      <c r="B459" s="13"/>
      <c r="C459" s="13" t="s">
        <v>46</v>
      </c>
      <c r="D459" s="8"/>
      <c r="E459" s="8"/>
      <c r="F459" s="8"/>
      <c r="G459" s="29"/>
      <c r="H459" s="8"/>
      <c r="I459" s="8"/>
      <c r="J459" s="8"/>
      <c r="K459" s="8"/>
      <c r="L459" s="30"/>
      <c r="M459" s="31"/>
      <c r="N459" s="6" t="b">
        <v>0</v>
      </c>
      <c r="O459" s="6" t="b">
        <v>0</v>
      </c>
      <c r="P459" s="6"/>
      <c r="Q459" s="6"/>
      <c r="R459" s="6"/>
      <c r="S459" s="6"/>
      <c r="T459" s="6"/>
      <c r="U459" s="6"/>
      <c r="V459" s="6"/>
      <c r="W459" s="6"/>
      <c r="X459" s="6"/>
      <c r="Y459" s="6"/>
      <c r="Z459" s="6"/>
      <c r="AA459" s="6"/>
      <c r="AB459" s="6"/>
    </row>
    <row r="460" hidden="1">
      <c r="A460" s="13" t="str">
        <f t="shared" si="1"/>
        <v/>
      </c>
      <c r="B460" s="94"/>
      <c r="C460" s="94">
        <v>44266.0</v>
      </c>
      <c r="D460" s="8"/>
      <c r="E460" s="9"/>
      <c r="F460" s="10"/>
      <c r="G460" s="10"/>
      <c r="H460" s="10"/>
      <c r="I460" s="10"/>
      <c r="J460" s="10"/>
      <c r="K460" s="10"/>
      <c r="L460" s="11"/>
      <c r="M460" s="12"/>
      <c r="N460" s="6"/>
      <c r="O460" s="6"/>
      <c r="P460" s="6"/>
      <c r="Q460" s="6"/>
      <c r="R460" s="6"/>
      <c r="S460" s="6"/>
      <c r="T460" s="6"/>
      <c r="U460" s="6"/>
      <c r="V460" s="6"/>
      <c r="W460" s="6"/>
      <c r="X460" s="6"/>
      <c r="Y460" s="6"/>
      <c r="Z460" s="6"/>
      <c r="AA460" s="6"/>
      <c r="AB460" s="6"/>
    </row>
    <row r="461" hidden="1">
      <c r="A461" s="13" t="str">
        <f t="shared" si="1"/>
        <v/>
      </c>
      <c r="B461" s="13"/>
      <c r="C461" s="13" t="s">
        <v>13</v>
      </c>
      <c r="D461" s="6"/>
      <c r="E461" s="6"/>
      <c r="F461" s="6"/>
      <c r="G461" s="26"/>
      <c r="H461" s="6"/>
      <c r="I461" s="6"/>
      <c r="J461" s="6"/>
      <c r="K461" s="34"/>
      <c r="L461" s="8"/>
      <c r="M461" s="28"/>
      <c r="N461" s="6" t="b">
        <v>0</v>
      </c>
      <c r="O461" s="6" t="b">
        <v>0</v>
      </c>
      <c r="P461" s="6"/>
      <c r="Q461" s="6"/>
      <c r="R461" s="6"/>
      <c r="S461" s="6"/>
      <c r="T461" s="6"/>
      <c r="U461" s="6"/>
      <c r="V461" s="6"/>
      <c r="W461" s="6"/>
      <c r="X461" s="6"/>
      <c r="Y461" s="6"/>
      <c r="Z461" s="6"/>
      <c r="AA461" s="6"/>
      <c r="AB461" s="6"/>
    </row>
    <row r="462" hidden="1">
      <c r="A462" s="13" t="str">
        <f t="shared" si="1"/>
        <v>5f9cc72da86d0c3011866b7f</v>
      </c>
      <c r="B462" s="13"/>
      <c r="C462" s="13" t="s">
        <v>13</v>
      </c>
      <c r="D462" s="36" t="s">
        <v>1000</v>
      </c>
      <c r="E462" s="15" t="s">
        <v>1036</v>
      </c>
      <c r="F462" s="15" t="s">
        <v>1037</v>
      </c>
      <c r="G462" s="105" t="s">
        <v>344</v>
      </c>
      <c r="H462" s="18" t="s">
        <v>1038</v>
      </c>
      <c r="I462" s="27" t="s">
        <v>1039</v>
      </c>
      <c r="J462" s="15" t="s">
        <v>1040</v>
      </c>
      <c r="K462" s="19"/>
      <c r="L462" s="18">
        <v>8.0</v>
      </c>
      <c r="M462" s="28"/>
      <c r="N462" s="6" t="b">
        <v>0</v>
      </c>
      <c r="O462" s="6" t="b">
        <v>0</v>
      </c>
      <c r="P462" s="6"/>
      <c r="Q462" s="6"/>
      <c r="R462" s="6"/>
      <c r="S462" s="6"/>
      <c r="T462" s="6"/>
      <c r="U462" s="6"/>
      <c r="V462" s="6"/>
      <c r="W462" s="6"/>
      <c r="X462" s="6"/>
      <c r="Y462" s="6"/>
      <c r="Z462" s="6"/>
      <c r="AA462" s="6"/>
      <c r="AB462" s="6"/>
    </row>
    <row r="463" hidden="1">
      <c r="A463" s="13" t="str">
        <f t="shared" si="1"/>
        <v>602fb38de87c92a90286e9d3</v>
      </c>
      <c r="B463" s="13"/>
      <c r="C463" s="13" t="s">
        <v>13</v>
      </c>
      <c r="D463" s="62" t="s">
        <v>1000</v>
      </c>
      <c r="E463" s="62" t="s">
        <v>1041</v>
      </c>
      <c r="F463" s="62" t="s">
        <v>1042</v>
      </c>
      <c r="G463" s="95" t="s">
        <v>366</v>
      </c>
      <c r="H463" s="18" t="s">
        <v>367</v>
      </c>
      <c r="I463" s="18" t="s">
        <v>1043</v>
      </c>
      <c r="J463" s="62" t="s">
        <v>1044</v>
      </c>
      <c r="K463" s="19"/>
      <c r="L463" s="18">
        <v>14.0</v>
      </c>
      <c r="M463" s="28"/>
      <c r="N463" s="6" t="b">
        <v>0</v>
      </c>
      <c r="O463" s="6" t="b">
        <v>0</v>
      </c>
      <c r="P463" s="6"/>
      <c r="Q463" s="6"/>
      <c r="R463" s="6"/>
      <c r="S463" s="6"/>
      <c r="T463" s="6"/>
      <c r="U463" s="6"/>
      <c r="V463" s="6"/>
      <c r="W463" s="6"/>
      <c r="X463" s="6"/>
      <c r="Y463" s="6"/>
      <c r="Z463" s="6"/>
      <c r="AA463" s="6"/>
      <c r="AB463" s="6"/>
    </row>
    <row r="464" hidden="1">
      <c r="A464" s="13" t="str">
        <f t="shared" si="1"/>
        <v>5f90191118885c4695d8b96e</v>
      </c>
      <c r="B464" s="13"/>
      <c r="C464" s="13" t="s">
        <v>13</v>
      </c>
      <c r="D464" s="62" t="s">
        <v>1000</v>
      </c>
      <c r="E464" s="62" t="s">
        <v>1045</v>
      </c>
      <c r="F464" s="62" t="s">
        <v>1046</v>
      </c>
      <c r="G464" s="95" t="s">
        <v>298</v>
      </c>
      <c r="H464" s="18" t="s">
        <v>434</v>
      </c>
      <c r="I464" s="18" t="s">
        <v>1047</v>
      </c>
      <c r="J464" s="62" t="s">
        <v>1048</v>
      </c>
      <c r="K464" s="23"/>
      <c r="L464" s="18">
        <v>7.0</v>
      </c>
      <c r="M464" s="28"/>
      <c r="N464" s="6" t="b">
        <v>0</v>
      </c>
      <c r="O464" s="6" t="b">
        <v>0</v>
      </c>
      <c r="P464" s="6"/>
      <c r="Q464" s="6"/>
      <c r="R464" s="6"/>
      <c r="S464" s="6"/>
      <c r="T464" s="6"/>
      <c r="U464" s="6"/>
      <c r="V464" s="6"/>
      <c r="W464" s="6"/>
      <c r="X464" s="6"/>
      <c r="Y464" s="6"/>
      <c r="Z464" s="6"/>
      <c r="AA464" s="6"/>
      <c r="AB464" s="6"/>
    </row>
    <row r="465" hidden="1">
      <c r="A465" s="13" t="str">
        <f t="shared" si="1"/>
        <v>5fa5f5b27e7f8a0325802a05</v>
      </c>
      <c r="B465" s="13"/>
      <c r="C465" s="13" t="s">
        <v>13</v>
      </c>
      <c r="D465" s="44" t="s">
        <v>1000</v>
      </c>
      <c r="E465" s="73" t="s">
        <v>1049</v>
      </c>
      <c r="F465" s="73" t="s">
        <v>1050</v>
      </c>
      <c r="G465" s="58" t="s">
        <v>1016</v>
      </c>
      <c r="H465" s="44" t="s">
        <v>924</v>
      </c>
      <c r="I465" s="44" t="s">
        <v>1051</v>
      </c>
      <c r="J465" s="73" t="s">
        <v>1052</v>
      </c>
      <c r="K465" s="44" t="s">
        <v>1053</v>
      </c>
      <c r="L465" s="45"/>
      <c r="M465" s="46"/>
      <c r="N465" s="47" t="b">
        <v>0</v>
      </c>
      <c r="O465" s="47" t="b">
        <v>0</v>
      </c>
      <c r="P465" s="6"/>
      <c r="Q465" s="6"/>
      <c r="R465" s="6"/>
      <c r="S465" s="6"/>
      <c r="T465" s="6"/>
      <c r="U465" s="6"/>
      <c r="V465" s="6"/>
      <c r="W465" s="6"/>
      <c r="X465" s="6"/>
      <c r="Y465" s="6"/>
      <c r="Z465" s="6"/>
      <c r="AA465" s="6"/>
      <c r="AB465" s="6"/>
    </row>
    <row r="466" hidden="1">
      <c r="A466" s="13" t="str">
        <f t="shared" si="1"/>
        <v/>
      </c>
      <c r="B466" s="13"/>
      <c r="C466" s="13" t="s">
        <v>13</v>
      </c>
      <c r="D466" s="8"/>
      <c r="E466" s="8"/>
      <c r="F466" s="8"/>
      <c r="G466" s="29"/>
      <c r="H466" s="8"/>
      <c r="I466" s="8"/>
      <c r="J466" s="8"/>
      <c r="K466" s="8"/>
      <c r="L466" s="30"/>
      <c r="M466" s="31"/>
      <c r="N466" s="6" t="b">
        <v>0</v>
      </c>
      <c r="O466" s="6" t="b">
        <v>0</v>
      </c>
      <c r="P466" s="6"/>
      <c r="Q466" s="6"/>
      <c r="R466" s="6"/>
      <c r="S466" s="6"/>
      <c r="T466" s="6"/>
      <c r="U466" s="6"/>
      <c r="V466" s="6"/>
      <c r="W466" s="6"/>
      <c r="X466" s="6"/>
      <c r="Y466" s="6"/>
      <c r="Z466" s="6"/>
      <c r="AA466" s="6"/>
      <c r="AB466" s="6"/>
    </row>
    <row r="467" hidden="1">
      <c r="A467" s="13" t="str">
        <f t="shared" si="1"/>
        <v/>
      </c>
      <c r="B467" s="13"/>
      <c r="C467" s="13" t="s">
        <v>31</v>
      </c>
      <c r="D467" s="8"/>
      <c r="E467" s="8"/>
      <c r="F467" s="8"/>
      <c r="G467" s="29"/>
      <c r="H467" s="8"/>
      <c r="I467" s="8"/>
      <c r="J467" s="8"/>
      <c r="K467" s="34"/>
      <c r="L467" s="8"/>
      <c r="M467" s="28"/>
      <c r="N467" s="6" t="b">
        <v>0</v>
      </c>
      <c r="O467" s="6" t="b">
        <v>0</v>
      </c>
      <c r="P467" s="6"/>
      <c r="Q467" s="6"/>
      <c r="R467" s="6"/>
      <c r="S467" s="6"/>
      <c r="T467" s="6"/>
      <c r="U467" s="6"/>
      <c r="V467" s="6"/>
      <c r="W467" s="6"/>
      <c r="X467" s="6"/>
      <c r="Y467" s="6"/>
      <c r="Z467" s="6"/>
      <c r="AA467" s="6"/>
      <c r="AB467" s="6"/>
    </row>
    <row r="468" hidden="1">
      <c r="A468" s="13" t="str">
        <f t="shared" si="1"/>
        <v/>
      </c>
      <c r="B468" s="13"/>
      <c r="C468" s="13" t="s">
        <v>31</v>
      </c>
      <c r="D468" s="61"/>
      <c r="E468" s="61"/>
      <c r="F468" s="61"/>
      <c r="G468" s="120"/>
      <c r="H468" s="39"/>
      <c r="I468" s="39"/>
      <c r="J468" s="61"/>
      <c r="K468" s="34"/>
      <c r="L468" s="8"/>
      <c r="M468" s="28"/>
      <c r="N468" s="6" t="b">
        <v>0</v>
      </c>
      <c r="O468" s="6" t="b">
        <v>0</v>
      </c>
      <c r="P468" s="6"/>
      <c r="Q468" s="6"/>
      <c r="R468" s="6"/>
      <c r="S468" s="6"/>
      <c r="T468" s="6"/>
      <c r="U468" s="6"/>
      <c r="V468" s="6"/>
      <c r="W468" s="6"/>
      <c r="X468" s="6"/>
      <c r="Y468" s="6"/>
      <c r="Z468" s="6"/>
      <c r="AA468" s="6"/>
      <c r="AB468" s="6"/>
    </row>
    <row r="469" hidden="1">
      <c r="A469" s="13" t="str">
        <f t="shared" si="1"/>
        <v>60382e8a8ed508b231147682</v>
      </c>
      <c r="B469" s="13"/>
      <c r="C469" s="13" t="s">
        <v>31</v>
      </c>
      <c r="D469" s="62" t="s">
        <v>1000</v>
      </c>
      <c r="E469" s="122" t="s">
        <v>1054</v>
      </c>
      <c r="F469" s="122" t="s">
        <v>1055</v>
      </c>
      <c r="G469" s="16" t="s">
        <v>337</v>
      </c>
      <c r="H469" s="18" t="s">
        <v>1056</v>
      </c>
      <c r="I469" s="18" t="s">
        <v>1057</v>
      </c>
      <c r="J469" s="27" t="s">
        <v>1058</v>
      </c>
      <c r="K469" s="19"/>
      <c r="L469" s="18">
        <v>81.0</v>
      </c>
      <c r="M469" s="28"/>
      <c r="N469" s="6" t="b">
        <v>0</v>
      </c>
      <c r="O469" s="6" t="b">
        <v>0</v>
      </c>
      <c r="P469" s="6"/>
      <c r="Q469" s="6"/>
      <c r="R469" s="6"/>
      <c r="S469" s="6"/>
      <c r="T469" s="6"/>
      <c r="U469" s="6"/>
      <c r="V469" s="6"/>
      <c r="W469" s="6"/>
      <c r="X469" s="6"/>
      <c r="Y469" s="6"/>
      <c r="Z469" s="6"/>
      <c r="AA469" s="6"/>
      <c r="AB469" s="6"/>
    </row>
    <row r="470" hidden="1">
      <c r="A470" s="13" t="str">
        <f t="shared" si="1"/>
        <v>5f3158f5cb529000f0032493</v>
      </c>
      <c r="B470" s="13"/>
      <c r="C470" s="13" t="s">
        <v>31</v>
      </c>
      <c r="D470" s="62" t="s">
        <v>1000</v>
      </c>
      <c r="E470" s="62" t="s">
        <v>1059</v>
      </c>
      <c r="F470" s="62" t="s">
        <v>1060</v>
      </c>
      <c r="G470" s="76" t="s">
        <v>298</v>
      </c>
      <c r="H470" s="18" t="s">
        <v>72</v>
      </c>
      <c r="I470" s="18" t="s">
        <v>1061</v>
      </c>
      <c r="J470" s="62" t="s">
        <v>1062</v>
      </c>
      <c r="K470" s="23"/>
      <c r="L470" s="18">
        <v>42.0</v>
      </c>
      <c r="M470" s="28"/>
      <c r="N470" s="6" t="b">
        <v>0</v>
      </c>
      <c r="O470" s="6" t="b">
        <v>0</v>
      </c>
      <c r="P470" s="6"/>
      <c r="Q470" s="6"/>
      <c r="R470" s="6"/>
      <c r="S470" s="6"/>
      <c r="T470" s="6"/>
      <c r="U470" s="6"/>
      <c r="V470" s="6"/>
      <c r="W470" s="6"/>
      <c r="X470" s="6"/>
      <c r="Y470" s="6"/>
      <c r="Z470" s="6"/>
      <c r="AA470" s="6"/>
      <c r="AB470" s="6"/>
    </row>
    <row r="471" hidden="1">
      <c r="A471" s="13" t="str">
        <f t="shared" si="1"/>
        <v>5f95ea29db6edd1655545553</v>
      </c>
      <c r="B471" s="13"/>
      <c r="C471" s="13" t="s">
        <v>31</v>
      </c>
      <c r="D471" s="62" t="s">
        <v>1000</v>
      </c>
      <c r="E471" s="62" t="s">
        <v>1063</v>
      </c>
      <c r="F471" s="62" t="s">
        <v>1064</v>
      </c>
      <c r="G471" s="16" t="s">
        <v>1016</v>
      </c>
      <c r="H471" s="18" t="s">
        <v>1056</v>
      </c>
      <c r="I471" s="18" t="s">
        <v>1065</v>
      </c>
      <c r="J471" s="62" t="s">
        <v>1066</v>
      </c>
      <c r="K471" s="19"/>
      <c r="L471" s="18">
        <v>22.0</v>
      </c>
      <c r="M471" s="28"/>
      <c r="N471" s="6" t="b">
        <v>0</v>
      </c>
      <c r="O471" s="6" t="b">
        <v>0</v>
      </c>
      <c r="P471" s="6"/>
      <c r="Q471" s="6"/>
      <c r="R471" s="6"/>
      <c r="S471" s="6"/>
      <c r="T471" s="6"/>
      <c r="U471" s="6"/>
      <c r="V471" s="6"/>
      <c r="W471" s="6"/>
      <c r="X471" s="6"/>
      <c r="Y471" s="6"/>
      <c r="Z471" s="6"/>
      <c r="AA471" s="6"/>
      <c r="AB471" s="6"/>
    </row>
    <row r="472" hidden="1">
      <c r="A472" s="13" t="str">
        <f t="shared" si="1"/>
        <v/>
      </c>
      <c r="B472" s="13"/>
      <c r="C472" s="13" t="s">
        <v>31</v>
      </c>
      <c r="D472" s="8"/>
      <c r="E472" s="8"/>
      <c r="F472" s="8"/>
      <c r="G472" s="29"/>
      <c r="H472" s="8"/>
      <c r="I472" s="8"/>
      <c r="J472" s="8"/>
      <c r="K472" s="8"/>
      <c r="L472" s="30"/>
      <c r="M472" s="31"/>
      <c r="N472" s="6" t="b">
        <v>0</v>
      </c>
      <c r="O472" s="6" t="b">
        <v>0</v>
      </c>
      <c r="P472" s="6"/>
      <c r="Q472" s="6"/>
      <c r="R472" s="6"/>
      <c r="S472" s="6"/>
      <c r="T472" s="6"/>
      <c r="U472" s="6"/>
      <c r="V472" s="6"/>
      <c r="W472" s="6"/>
      <c r="X472" s="6"/>
      <c r="Y472" s="6"/>
      <c r="Z472" s="6"/>
      <c r="AA472" s="6"/>
      <c r="AB472" s="6"/>
    </row>
    <row r="473" hidden="1">
      <c r="A473" s="13" t="str">
        <f t="shared" si="1"/>
        <v/>
      </c>
      <c r="B473" s="13"/>
      <c r="C473" s="13" t="s">
        <v>46</v>
      </c>
      <c r="D473" s="8"/>
      <c r="E473" s="8"/>
      <c r="F473" s="8"/>
      <c r="G473" s="29"/>
      <c r="H473" s="8"/>
      <c r="I473" s="8"/>
      <c r="J473" s="8"/>
      <c r="K473" s="34"/>
      <c r="L473" s="8"/>
      <c r="M473" s="28"/>
      <c r="N473" s="6" t="b">
        <v>0</v>
      </c>
      <c r="O473" s="6" t="b">
        <v>0</v>
      </c>
      <c r="P473" s="6"/>
      <c r="Q473" s="6"/>
      <c r="R473" s="6"/>
      <c r="S473" s="6"/>
      <c r="T473" s="6"/>
      <c r="U473" s="6"/>
      <c r="V473" s="6"/>
      <c r="W473" s="6"/>
      <c r="X473" s="6"/>
      <c r="Y473" s="6"/>
      <c r="Z473" s="6"/>
      <c r="AA473" s="6"/>
      <c r="AB473" s="6"/>
    </row>
    <row r="474" hidden="1">
      <c r="A474" s="13" t="str">
        <f t="shared" si="1"/>
        <v>5f35a8287bcccfce07d96e10</v>
      </c>
      <c r="B474" s="13"/>
      <c r="C474" s="13" t="s">
        <v>46</v>
      </c>
      <c r="D474" s="36" t="s">
        <v>1000</v>
      </c>
      <c r="E474" s="62" t="s">
        <v>1067</v>
      </c>
      <c r="F474" s="62" t="s">
        <v>1068</v>
      </c>
      <c r="G474" s="16" t="s">
        <v>575</v>
      </c>
      <c r="H474" s="18" t="s">
        <v>790</v>
      </c>
      <c r="I474" s="62" t="s">
        <v>1069</v>
      </c>
      <c r="J474" s="62" t="s">
        <v>1070</v>
      </c>
      <c r="K474" s="19"/>
      <c r="L474" s="18">
        <v>26.0</v>
      </c>
      <c r="M474" s="28"/>
      <c r="N474" s="6" t="b">
        <v>0</v>
      </c>
      <c r="O474" s="6" t="b">
        <v>0</v>
      </c>
      <c r="P474" s="6"/>
      <c r="Q474" s="6"/>
      <c r="R474" s="6"/>
      <c r="S474" s="6"/>
      <c r="T474" s="6"/>
      <c r="U474" s="6"/>
      <c r="V474" s="6"/>
      <c r="W474" s="6"/>
      <c r="X474" s="6"/>
      <c r="Y474" s="6"/>
      <c r="Z474" s="6"/>
      <c r="AA474" s="6"/>
      <c r="AB474" s="6"/>
    </row>
    <row r="475" hidden="1">
      <c r="A475" s="13" t="str">
        <f t="shared" si="1"/>
        <v/>
      </c>
      <c r="B475" s="13"/>
      <c r="C475" s="13" t="s">
        <v>46</v>
      </c>
      <c r="D475" s="6"/>
      <c r="E475" s="6"/>
      <c r="F475" s="6"/>
      <c r="G475" s="26"/>
      <c r="H475" s="6"/>
      <c r="I475" s="6"/>
      <c r="J475" s="6"/>
      <c r="K475" s="6"/>
      <c r="L475" s="6"/>
      <c r="M475" s="6"/>
      <c r="N475" s="6"/>
      <c r="O475" s="6"/>
      <c r="P475" s="6"/>
      <c r="Q475" s="6"/>
      <c r="R475" s="6"/>
      <c r="S475" s="6"/>
      <c r="T475" s="6"/>
      <c r="U475" s="6"/>
      <c r="V475" s="6"/>
      <c r="W475" s="6"/>
      <c r="X475" s="6"/>
      <c r="Y475" s="6"/>
      <c r="Z475" s="6"/>
      <c r="AA475" s="6"/>
      <c r="AB475" s="6"/>
    </row>
    <row r="476" hidden="1">
      <c r="A476" s="13" t="str">
        <f t="shared" si="1"/>
        <v>5f7af367535b296eeb574927</v>
      </c>
      <c r="B476" s="13"/>
      <c r="C476" s="13" t="s">
        <v>46</v>
      </c>
      <c r="D476" s="75" t="s">
        <v>958</v>
      </c>
      <c r="E476" s="62" t="s">
        <v>950</v>
      </c>
      <c r="F476" s="62" t="s">
        <v>951</v>
      </c>
      <c r="G476" s="16" t="s">
        <v>456</v>
      </c>
      <c r="H476" s="18" t="s">
        <v>1071</v>
      </c>
      <c r="I476" s="18" t="s">
        <v>1072</v>
      </c>
      <c r="J476" s="62" t="s">
        <v>953</v>
      </c>
      <c r="K476" s="19"/>
      <c r="L476" s="18">
        <v>61.0</v>
      </c>
      <c r="M476" s="28"/>
      <c r="N476" s="6" t="b">
        <v>0</v>
      </c>
      <c r="O476" s="6" t="b">
        <v>0</v>
      </c>
      <c r="P476" s="6"/>
      <c r="Q476" s="6"/>
      <c r="R476" s="6"/>
      <c r="S476" s="6"/>
      <c r="T476" s="6"/>
      <c r="U476" s="6"/>
      <c r="V476" s="6"/>
      <c r="W476" s="6"/>
      <c r="X476" s="6"/>
      <c r="Y476" s="6"/>
      <c r="Z476" s="6"/>
      <c r="AA476" s="6"/>
      <c r="AB476" s="6"/>
    </row>
    <row r="477" hidden="1">
      <c r="A477" s="13" t="str">
        <f t="shared" si="1"/>
        <v>60385519618c3a9a4422c10e</v>
      </c>
      <c r="B477" s="13"/>
      <c r="C477" s="13" t="s">
        <v>46</v>
      </c>
      <c r="D477" s="75" t="s">
        <v>1000</v>
      </c>
      <c r="E477" s="122" t="s">
        <v>1073</v>
      </c>
      <c r="F477" s="122" t="s">
        <v>1074</v>
      </c>
      <c r="G477" s="76" t="s">
        <v>378</v>
      </c>
      <c r="H477" s="18" t="s">
        <v>1075</v>
      </c>
      <c r="I477" s="18" t="s">
        <v>1076</v>
      </c>
      <c r="J477" s="122" t="s">
        <v>1077</v>
      </c>
      <c r="K477" s="18"/>
      <c r="L477" s="18">
        <v>15.0</v>
      </c>
      <c r="M477" s="28"/>
      <c r="N477" s="6" t="b">
        <v>0</v>
      </c>
      <c r="O477" s="6" t="b">
        <v>0</v>
      </c>
      <c r="P477" s="6"/>
      <c r="Q477" s="6"/>
      <c r="R477" s="6"/>
      <c r="S477" s="6"/>
      <c r="T477" s="6"/>
      <c r="U477" s="6"/>
      <c r="V477" s="6"/>
      <c r="W477" s="6"/>
      <c r="X477" s="6"/>
      <c r="Y477" s="6"/>
      <c r="Z477" s="6"/>
      <c r="AA477" s="6"/>
      <c r="AB477" s="6"/>
    </row>
    <row r="478" hidden="1">
      <c r="A478" s="13" t="str">
        <f t="shared" si="1"/>
        <v>5f98b7dc6d45722c0b86556b</v>
      </c>
      <c r="B478" s="13"/>
      <c r="C478" s="13" t="s">
        <v>46</v>
      </c>
      <c r="D478" s="36" t="s">
        <v>1000</v>
      </c>
      <c r="E478" s="15" t="s">
        <v>330</v>
      </c>
      <c r="F478" s="15" t="s">
        <v>331</v>
      </c>
      <c r="G478" s="22">
        <v>0.7291666666666666</v>
      </c>
      <c r="H478" s="18" t="s">
        <v>790</v>
      </c>
      <c r="I478" s="36" t="s">
        <v>1078</v>
      </c>
      <c r="J478" s="15" t="s">
        <v>333</v>
      </c>
      <c r="K478" s="19"/>
      <c r="L478" s="18">
        <v>20.0</v>
      </c>
      <c r="M478" s="28"/>
      <c r="N478" s="6" t="b">
        <v>0</v>
      </c>
      <c r="O478" s="6" t="b">
        <v>0</v>
      </c>
      <c r="P478" s="6"/>
      <c r="Q478" s="6"/>
      <c r="R478" s="6"/>
      <c r="S478" s="6"/>
      <c r="T478" s="6"/>
      <c r="U478" s="6"/>
      <c r="V478" s="6"/>
      <c r="W478" s="6"/>
      <c r="X478" s="6"/>
      <c r="Y478" s="6"/>
      <c r="Z478" s="6"/>
      <c r="AA478" s="6"/>
      <c r="AB478" s="6"/>
    </row>
    <row r="479" hidden="1">
      <c r="A479" s="13" t="str">
        <f t="shared" si="1"/>
        <v/>
      </c>
      <c r="B479" s="13"/>
      <c r="C479" s="13" t="s">
        <v>46</v>
      </c>
      <c r="D479" s="8"/>
      <c r="E479" s="8"/>
      <c r="F479" s="8"/>
      <c r="G479" s="29"/>
      <c r="H479" s="8"/>
      <c r="I479" s="8"/>
      <c r="J479" s="8"/>
      <c r="K479" s="8"/>
      <c r="L479" s="30"/>
      <c r="M479" s="31"/>
      <c r="N479" s="6" t="b">
        <v>0</v>
      </c>
      <c r="O479" s="6" t="b">
        <v>0</v>
      </c>
      <c r="P479" s="6"/>
      <c r="Q479" s="6"/>
      <c r="R479" s="6"/>
      <c r="S479" s="6"/>
      <c r="T479" s="6"/>
      <c r="U479" s="6"/>
      <c r="V479" s="6"/>
      <c r="W479" s="6"/>
      <c r="X479" s="6"/>
      <c r="Y479" s="6"/>
      <c r="Z479" s="6"/>
      <c r="AA479" s="6"/>
      <c r="AB479" s="6"/>
    </row>
    <row r="480" hidden="1">
      <c r="A480" s="13" t="str">
        <f t="shared" si="1"/>
        <v/>
      </c>
      <c r="B480" s="94"/>
      <c r="C480" s="94">
        <v>44267.0</v>
      </c>
      <c r="D480" s="8"/>
      <c r="E480" s="9"/>
      <c r="F480" s="10"/>
      <c r="G480" s="10"/>
      <c r="H480" s="10"/>
      <c r="I480" s="10"/>
      <c r="J480" s="10"/>
      <c r="K480" s="10"/>
      <c r="L480" s="11"/>
      <c r="M480" s="12"/>
      <c r="N480" s="6"/>
      <c r="O480" s="6"/>
      <c r="P480" s="6"/>
      <c r="Q480" s="6"/>
      <c r="R480" s="6"/>
      <c r="S480" s="6"/>
      <c r="T480" s="6"/>
      <c r="U480" s="6"/>
      <c r="V480" s="6"/>
      <c r="W480" s="6"/>
      <c r="X480" s="6"/>
      <c r="Y480" s="6"/>
      <c r="Z480" s="6"/>
      <c r="AA480" s="6"/>
      <c r="AB480" s="6"/>
    </row>
    <row r="481" hidden="1">
      <c r="A481" s="13" t="str">
        <f t="shared" si="1"/>
        <v>5f33e1dfbc33c9640badde7f</v>
      </c>
      <c r="B481" s="13"/>
      <c r="C481" s="13" t="s">
        <v>13</v>
      </c>
      <c r="D481" s="61" t="s">
        <v>1000</v>
      </c>
      <c r="E481" s="62" t="s">
        <v>1079</v>
      </c>
      <c r="F481" s="62" t="s">
        <v>1080</v>
      </c>
      <c r="G481" s="105" t="s">
        <v>867</v>
      </c>
      <c r="H481" s="18" t="s">
        <v>919</v>
      </c>
      <c r="I481" s="18" t="s">
        <v>1081</v>
      </c>
      <c r="J481" s="62" t="s">
        <v>1082</v>
      </c>
      <c r="K481" s="19"/>
      <c r="L481" s="18">
        <v>14.0</v>
      </c>
      <c r="M481" s="28"/>
      <c r="N481" s="6" t="b">
        <v>0</v>
      </c>
      <c r="O481" s="6" t="b">
        <v>0</v>
      </c>
      <c r="P481" s="6"/>
      <c r="Q481" s="6"/>
      <c r="R481" s="6"/>
      <c r="S481" s="6"/>
      <c r="T481" s="6"/>
      <c r="U481" s="6"/>
      <c r="V481" s="6"/>
      <c r="W481" s="6"/>
      <c r="X481" s="6"/>
      <c r="Y481" s="6"/>
      <c r="Z481" s="6"/>
      <c r="AA481" s="6"/>
      <c r="AB481" s="6"/>
    </row>
    <row r="482" hidden="1">
      <c r="A482" s="13" t="str">
        <f t="shared" si="1"/>
        <v>603e03b241ca7f12e26de77e</v>
      </c>
      <c r="B482" s="13"/>
      <c r="C482" s="13" t="s">
        <v>13</v>
      </c>
      <c r="D482" s="101" t="s">
        <v>1000</v>
      </c>
      <c r="E482" s="27" t="s">
        <v>1083</v>
      </c>
      <c r="F482" s="122" t="s">
        <v>1084</v>
      </c>
      <c r="G482" s="105" t="s">
        <v>1085</v>
      </c>
      <c r="H482" s="27" t="s">
        <v>1086</v>
      </c>
      <c r="I482" s="27" t="s">
        <v>1087</v>
      </c>
      <c r="J482" s="62" t="s">
        <v>1088</v>
      </c>
      <c r="K482" s="19"/>
      <c r="L482" s="18">
        <v>29.0</v>
      </c>
      <c r="M482" s="28"/>
      <c r="N482" s="6" t="b">
        <v>0</v>
      </c>
      <c r="O482" s="6" t="b">
        <v>0</v>
      </c>
      <c r="P482" s="6"/>
      <c r="Q482" s="6"/>
      <c r="R482" s="6"/>
      <c r="S482" s="6"/>
      <c r="T482" s="6"/>
      <c r="U482" s="6"/>
      <c r="V482" s="6"/>
      <c r="W482" s="6"/>
      <c r="X482" s="6"/>
      <c r="Y482" s="6"/>
      <c r="Z482" s="6"/>
      <c r="AA482" s="6"/>
      <c r="AB482" s="6"/>
    </row>
    <row r="483" hidden="1">
      <c r="A483" s="13" t="str">
        <f t="shared" si="1"/>
        <v>60385fdc69811fcace93e077</v>
      </c>
      <c r="B483" s="13"/>
      <c r="C483" s="13" t="s">
        <v>13</v>
      </c>
      <c r="D483" s="68" t="s">
        <v>1000</v>
      </c>
      <c r="E483" s="124" t="s">
        <v>1089</v>
      </c>
      <c r="F483" s="124" t="s">
        <v>1090</v>
      </c>
      <c r="G483" s="58" t="s">
        <v>298</v>
      </c>
      <c r="H483" s="44" t="s">
        <v>1071</v>
      </c>
      <c r="I483" s="44" t="s">
        <v>1072</v>
      </c>
      <c r="J483" s="124" t="s">
        <v>953</v>
      </c>
      <c r="K483" s="44" t="s">
        <v>1091</v>
      </c>
      <c r="L483" s="45"/>
      <c r="M483" s="46"/>
      <c r="N483" s="47" t="b">
        <v>0</v>
      </c>
      <c r="O483" s="47" t="b">
        <v>0</v>
      </c>
      <c r="P483" s="6"/>
      <c r="Q483" s="6"/>
      <c r="R483" s="6"/>
      <c r="S483" s="6"/>
      <c r="T483" s="6"/>
      <c r="U483" s="6"/>
      <c r="V483" s="6"/>
      <c r="W483" s="6"/>
      <c r="X483" s="6"/>
      <c r="Y483" s="6"/>
      <c r="Z483" s="6"/>
      <c r="AA483" s="6"/>
      <c r="AB483" s="6"/>
    </row>
    <row r="484" hidden="1">
      <c r="A484" s="13" t="str">
        <f t="shared" si="1"/>
        <v>5f84ac2729c2fd7d449a253d</v>
      </c>
      <c r="B484" s="13"/>
      <c r="C484" s="13" t="s">
        <v>13</v>
      </c>
      <c r="D484" s="61" t="s">
        <v>1000</v>
      </c>
      <c r="E484" s="73" t="s">
        <v>1092</v>
      </c>
      <c r="F484" s="73" t="s">
        <v>1093</v>
      </c>
      <c r="G484" s="70" t="s">
        <v>1016</v>
      </c>
      <c r="H484" s="44" t="s">
        <v>35</v>
      </c>
      <c r="I484" s="44" t="s">
        <v>1094</v>
      </c>
      <c r="J484" s="73" t="s">
        <v>1095</v>
      </c>
      <c r="K484" s="44" t="s">
        <v>1053</v>
      </c>
      <c r="L484" s="45"/>
      <c r="M484" s="46"/>
      <c r="N484" s="47" t="b">
        <v>0</v>
      </c>
      <c r="O484" s="47" t="b">
        <v>0</v>
      </c>
      <c r="P484" s="6"/>
      <c r="Q484" s="6"/>
      <c r="R484" s="6"/>
      <c r="S484" s="6"/>
      <c r="T484" s="6"/>
      <c r="U484" s="6"/>
      <c r="V484" s="6"/>
      <c r="W484" s="6"/>
      <c r="X484" s="6"/>
      <c r="Y484" s="6"/>
      <c r="Z484" s="6"/>
      <c r="AA484" s="6"/>
      <c r="AB484" s="6"/>
    </row>
    <row r="485" hidden="1">
      <c r="A485" s="13" t="str">
        <f t="shared" si="1"/>
        <v>5f84bf05a32e994404394e65</v>
      </c>
      <c r="B485" s="13"/>
      <c r="C485" s="13" t="s">
        <v>13</v>
      </c>
      <c r="D485" s="68"/>
      <c r="E485" s="62" t="s">
        <v>608</v>
      </c>
      <c r="F485" s="62" t="s">
        <v>609</v>
      </c>
      <c r="G485" s="37"/>
      <c r="H485" s="39"/>
      <c r="I485" s="39"/>
      <c r="J485" s="61"/>
      <c r="K485" s="38" t="s">
        <v>1096</v>
      </c>
      <c r="L485" s="39">
        <v>5.0</v>
      </c>
      <c r="M485" s="28"/>
      <c r="N485" s="6" t="b">
        <v>0</v>
      </c>
      <c r="O485" s="6" t="b">
        <v>0</v>
      </c>
      <c r="P485" s="6"/>
      <c r="Q485" s="6"/>
      <c r="R485" s="6"/>
      <c r="S485" s="6"/>
      <c r="T485" s="6"/>
      <c r="U485" s="6"/>
      <c r="V485" s="6"/>
      <c r="W485" s="6"/>
      <c r="X485" s="6"/>
      <c r="Y485" s="6"/>
      <c r="Z485" s="6"/>
      <c r="AA485" s="6"/>
      <c r="AB485" s="6"/>
    </row>
    <row r="486" hidden="1">
      <c r="A486" s="13" t="str">
        <f t="shared" si="1"/>
        <v/>
      </c>
      <c r="B486" s="13"/>
      <c r="C486" s="13" t="s">
        <v>13</v>
      </c>
      <c r="D486" s="8"/>
      <c r="E486" s="8"/>
      <c r="F486" s="8"/>
      <c r="G486" s="29"/>
      <c r="H486" s="8"/>
      <c r="I486" s="8"/>
      <c r="J486" s="8"/>
      <c r="K486" s="8"/>
      <c r="L486" s="30"/>
      <c r="M486" s="31"/>
      <c r="N486" s="6" t="b">
        <v>0</v>
      </c>
      <c r="O486" s="6" t="b">
        <v>0</v>
      </c>
      <c r="P486" s="6"/>
      <c r="Q486" s="6"/>
      <c r="R486" s="6"/>
      <c r="S486" s="6"/>
      <c r="T486" s="6"/>
      <c r="U486" s="6"/>
      <c r="V486" s="6"/>
      <c r="W486" s="6"/>
      <c r="X486" s="6"/>
      <c r="Y486" s="6"/>
      <c r="Z486" s="6"/>
      <c r="AA486" s="6"/>
      <c r="AB486" s="6"/>
    </row>
    <row r="487" hidden="1">
      <c r="A487" s="13" t="str">
        <f t="shared" si="1"/>
        <v>5f6e653a1b1d9780c2323297</v>
      </c>
      <c r="B487" s="13"/>
      <c r="C487" s="13" t="s">
        <v>31</v>
      </c>
      <c r="D487" s="39" t="s">
        <v>1000</v>
      </c>
      <c r="E487" s="15" t="s">
        <v>1097</v>
      </c>
      <c r="F487" s="15" t="s">
        <v>1098</v>
      </c>
      <c r="G487" s="16" t="s">
        <v>344</v>
      </c>
      <c r="H487" s="18" t="s">
        <v>87</v>
      </c>
      <c r="I487" s="18" t="s">
        <v>1099</v>
      </c>
      <c r="J487" s="15" t="s">
        <v>1100</v>
      </c>
      <c r="K487" s="19"/>
      <c r="L487" s="18">
        <v>6.0</v>
      </c>
      <c r="M487" s="28"/>
      <c r="N487" s="6" t="b">
        <v>0</v>
      </c>
      <c r="O487" s="6" t="b">
        <v>0</v>
      </c>
      <c r="P487" s="6"/>
      <c r="Q487" s="6"/>
      <c r="R487" s="6"/>
      <c r="S487" s="6"/>
      <c r="T487" s="6"/>
      <c r="U487" s="6"/>
      <c r="V487" s="6"/>
      <c r="W487" s="6"/>
      <c r="X487" s="6"/>
      <c r="Y487" s="6"/>
      <c r="Z487" s="6"/>
      <c r="AA487" s="6"/>
      <c r="AB487" s="6"/>
    </row>
    <row r="488" hidden="1">
      <c r="A488" s="13" t="str">
        <f t="shared" si="1"/>
        <v>5f33c4736b1e0f5af8f39f30</v>
      </c>
      <c r="B488" s="13"/>
      <c r="C488" s="13" t="s">
        <v>31</v>
      </c>
      <c r="D488" s="101" t="s">
        <v>943</v>
      </c>
      <c r="E488" s="62" t="s">
        <v>1101</v>
      </c>
      <c r="F488" s="62" t="s">
        <v>1102</v>
      </c>
      <c r="G488" s="40">
        <v>0.5833333333333334</v>
      </c>
      <c r="H488" s="27" t="s">
        <v>1103</v>
      </c>
      <c r="I488" s="27" t="s">
        <v>1104</v>
      </c>
      <c r="J488" s="62" t="s">
        <v>1105</v>
      </c>
      <c r="K488" s="19"/>
      <c r="L488" s="18">
        <v>13.0</v>
      </c>
      <c r="M488" s="28"/>
      <c r="N488" s="6" t="b">
        <v>0</v>
      </c>
      <c r="O488" s="6" t="b">
        <v>0</v>
      </c>
      <c r="P488" s="6"/>
      <c r="Q488" s="6"/>
      <c r="R488" s="6"/>
      <c r="S488" s="6"/>
      <c r="T488" s="6"/>
      <c r="U488" s="6"/>
      <c r="V488" s="6"/>
      <c r="W488" s="6"/>
      <c r="X488" s="6"/>
      <c r="Y488" s="6"/>
      <c r="Z488" s="6"/>
      <c r="AA488" s="6"/>
      <c r="AB488" s="6"/>
    </row>
    <row r="489" hidden="1">
      <c r="A489" s="13" t="str">
        <f t="shared" si="1"/>
        <v>5f7c30b76d3948cab6363d3f</v>
      </c>
      <c r="B489" s="13"/>
      <c r="C489" s="13" t="s">
        <v>31</v>
      </c>
      <c r="D489" s="61" t="s">
        <v>1000</v>
      </c>
      <c r="E489" s="62" t="s">
        <v>1106</v>
      </c>
      <c r="F489" s="62" t="s">
        <v>1107</v>
      </c>
      <c r="G489" s="16" t="s">
        <v>298</v>
      </c>
      <c r="H489" s="18" t="s">
        <v>790</v>
      </c>
      <c r="I489" s="62" t="s">
        <v>1108</v>
      </c>
      <c r="J489" s="62" t="s">
        <v>482</v>
      </c>
      <c r="K489" s="19"/>
      <c r="L489" s="18">
        <v>9.0</v>
      </c>
      <c r="M489" s="28"/>
      <c r="N489" s="6" t="b">
        <v>0</v>
      </c>
      <c r="O489" s="6" t="b">
        <v>0</v>
      </c>
      <c r="P489" s="6"/>
      <c r="Q489" s="6"/>
      <c r="R489" s="6"/>
      <c r="S489" s="6"/>
      <c r="T489" s="6"/>
      <c r="U489" s="6"/>
      <c r="V489" s="6"/>
      <c r="W489" s="6"/>
      <c r="X489" s="6"/>
      <c r="Y489" s="6"/>
      <c r="Z489" s="6"/>
      <c r="AA489" s="6"/>
      <c r="AB489" s="6"/>
    </row>
    <row r="490" hidden="1">
      <c r="A490" s="13" t="str">
        <f t="shared" si="1"/>
        <v>5f3552e602e0084bf18fd59b</v>
      </c>
      <c r="B490" s="13"/>
      <c r="C490" s="13" t="s">
        <v>31</v>
      </c>
      <c r="D490" s="61" t="s">
        <v>1000</v>
      </c>
      <c r="E490" s="62" t="s">
        <v>1109</v>
      </c>
      <c r="F490" s="62" t="s">
        <v>1110</v>
      </c>
      <c r="G490" s="105" t="s">
        <v>1016</v>
      </c>
      <c r="H490" s="18" t="s">
        <v>162</v>
      </c>
      <c r="I490" s="62" t="s">
        <v>1111</v>
      </c>
      <c r="J490" s="62" t="s">
        <v>1112</v>
      </c>
      <c r="K490" s="23"/>
      <c r="L490" s="18">
        <v>7.0</v>
      </c>
      <c r="M490" s="28"/>
      <c r="N490" s="6" t="b">
        <v>0</v>
      </c>
      <c r="O490" s="6" t="b">
        <v>0</v>
      </c>
      <c r="P490" s="6"/>
      <c r="Q490" s="6"/>
      <c r="R490" s="6"/>
      <c r="S490" s="6"/>
      <c r="T490" s="6"/>
      <c r="U490" s="6"/>
      <c r="V490" s="6"/>
      <c r="W490" s="6"/>
      <c r="X490" s="6"/>
      <c r="Y490" s="6"/>
      <c r="Z490" s="6"/>
      <c r="AA490" s="6"/>
      <c r="AB490" s="6"/>
    </row>
    <row r="491" hidden="1">
      <c r="A491" s="13" t="str">
        <f t="shared" si="1"/>
        <v/>
      </c>
      <c r="B491" s="13"/>
      <c r="C491" s="13" t="s">
        <v>31</v>
      </c>
      <c r="D491" s="61"/>
      <c r="E491" s="61"/>
      <c r="F491" s="61"/>
      <c r="G491" s="37"/>
      <c r="H491" s="39"/>
      <c r="I491" s="38"/>
      <c r="J491" s="61"/>
      <c r="K491" s="81"/>
      <c r="L491" s="8"/>
      <c r="M491" s="28"/>
      <c r="N491" s="6" t="b">
        <v>0</v>
      </c>
      <c r="O491" s="6" t="b">
        <v>0</v>
      </c>
      <c r="P491" s="6"/>
      <c r="Q491" s="6"/>
      <c r="R491" s="6"/>
      <c r="S491" s="6"/>
      <c r="T491" s="6"/>
      <c r="U491" s="6"/>
      <c r="V491" s="6"/>
      <c r="W491" s="6"/>
      <c r="X491" s="6"/>
      <c r="Y491" s="6"/>
      <c r="Z491" s="6"/>
      <c r="AA491" s="6"/>
      <c r="AB491" s="6"/>
    </row>
    <row r="492" hidden="1">
      <c r="A492" s="13" t="str">
        <f t="shared" si="1"/>
        <v/>
      </c>
      <c r="B492" s="13"/>
      <c r="C492" s="13" t="s">
        <v>31</v>
      </c>
      <c r="D492" s="8"/>
      <c r="E492" s="8"/>
      <c r="F492" s="8"/>
      <c r="G492" s="29"/>
      <c r="H492" s="8"/>
      <c r="I492" s="8"/>
      <c r="J492" s="8"/>
      <c r="K492" s="8"/>
      <c r="L492" s="30"/>
      <c r="M492" s="31"/>
      <c r="N492" s="6" t="b">
        <v>0</v>
      </c>
      <c r="O492" s="6" t="b">
        <v>0</v>
      </c>
      <c r="P492" s="6"/>
      <c r="Q492" s="6"/>
      <c r="R492" s="6"/>
      <c r="S492" s="6"/>
      <c r="T492" s="6"/>
      <c r="U492" s="6"/>
      <c r="V492" s="6"/>
      <c r="W492" s="6"/>
      <c r="X492" s="6"/>
      <c r="Y492" s="6"/>
      <c r="Z492" s="6"/>
      <c r="AA492" s="6"/>
      <c r="AB492" s="6"/>
    </row>
    <row r="493" hidden="1">
      <c r="A493" s="13" t="str">
        <f t="shared" si="1"/>
        <v/>
      </c>
      <c r="B493" s="13"/>
      <c r="C493" s="13" t="s">
        <v>46</v>
      </c>
      <c r="D493" s="39"/>
      <c r="E493" s="71"/>
      <c r="F493" s="71"/>
      <c r="G493" s="37"/>
      <c r="H493" s="39"/>
      <c r="I493" s="39"/>
      <c r="J493" s="39"/>
      <c r="K493" s="34"/>
      <c r="L493" s="8"/>
      <c r="M493" s="28"/>
      <c r="N493" s="6" t="b">
        <v>0</v>
      </c>
      <c r="O493" s="6" t="b">
        <v>0</v>
      </c>
      <c r="P493" s="6"/>
      <c r="Q493" s="6"/>
      <c r="R493" s="6"/>
      <c r="S493" s="6"/>
      <c r="T493" s="6"/>
      <c r="U493" s="6"/>
      <c r="V493" s="6"/>
      <c r="W493" s="6"/>
      <c r="X493" s="6"/>
      <c r="Y493" s="6"/>
      <c r="Z493" s="6"/>
      <c r="AA493" s="6"/>
      <c r="AB493" s="6"/>
    </row>
    <row r="494" hidden="1">
      <c r="A494" s="13" t="str">
        <f t="shared" si="1"/>
        <v>5f333104e99eb6a4db1c014c</v>
      </c>
      <c r="B494" s="13"/>
      <c r="C494" s="13" t="s">
        <v>46</v>
      </c>
      <c r="D494" s="39" t="s">
        <v>1000</v>
      </c>
      <c r="E494" s="75" t="s">
        <v>1113</v>
      </c>
      <c r="F494" s="75" t="s">
        <v>1114</v>
      </c>
      <c r="G494" s="16" t="s">
        <v>337</v>
      </c>
      <c r="H494" s="18" t="s">
        <v>35</v>
      </c>
      <c r="I494" s="18" t="s">
        <v>1115</v>
      </c>
      <c r="J494" s="18" t="s">
        <v>1116</v>
      </c>
      <c r="K494" s="19"/>
      <c r="L494" s="18">
        <v>12.0</v>
      </c>
      <c r="M494" s="28"/>
      <c r="N494" s="6" t="b">
        <v>0</v>
      </c>
      <c r="O494" s="6" t="b">
        <v>0</v>
      </c>
      <c r="P494" s="6"/>
      <c r="Q494" s="6"/>
      <c r="R494" s="6"/>
      <c r="S494" s="6"/>
      <c r="T494" s="6"/>
      <c r="U494" s="6"/>
      <c r="V494" s="6"/>
      <c r="W494" s="6"/>
      <c r="X494" s="6"/>
      <c r="Y494" s="6"/>
      <c r="Z494" s="6"/>
      <c r="AA494" s="6"/>
      <c r="AB494" s="6"/>
    </row>
    <row r="495" hidden="1">
      <c r="A495" s="13" t="str">
        <f t="shared" si="1"/>
        <v>5fe9ef16eeb85d46c0cd607a</v>
      </c>
      <c r="B495" s="13"/>
      <c r="C495" s="13" t="s">
        <v>46</v>
      </c>
      <c r="D495" s="61" t="s">
        <v>1000</v>
      </c>
      <c r="E495" s="62" t="s">
        <v>1117</v>
      </c>
      <c r="F495" s="62" t="s">
        <v>1118</v>
      </c>
      <c r="G495" s="105" t="s">
        <v>298</v>
      </c>
      <c r="H495" s="18" t="s">
        <v>17</v>
      </c>
      <c r="I495" s="62" t="s">
        <v>1119</v>
      </c>
      <c r="J495" s="62" t="s">
        <v>1120</v>
      </c>
      <c r="K495" s="19"/>
      <c r="L495" s="18">
        <v>13.0</v>
      </c>
      <c r="M495" s="28"/>
      <c r="N495" s="6" t="b">
        <v>0</v>
      </c>
      <c r="O495" s="6" t="b">
        <v>0</v>
      </c>
      <c r="P495" s="6"/>
      <c r="Q495" s="6"/>
      <c r="R495" s="6"/>
      <c r="S495" s="6"/>
      <c r="T495" s="6"/>
      <c r="U495" s="6"/>
      <c r="V495" s="6"/>
      <c r="W495" s="6"/>
      <c r="X495" s="6"/>
      <c r="Y495" s="6"/>
      <c r="Z495" s="6"/>
      <c r="AA495" s="6"/>
      <c r="AB495" s="6"/>
    </row>
    <row r="496" hidden="1">
      <c r="A496" s="13" t="str">
        <f t="shared" si="1"/>
        <v>6035329af4f386713c817e0b</v>
      </c>
      <c r="B496" s="13"/>
      <c r="C496" s="13" t="s">
        <v>46</v>
      </c>
      <c r="D496" s="61" t="s">
        <v>1000</v>
      </c>
      <c r="E496" s="62" t="s">
        <v>1121</v>
      </c>
      <c r="F496" s="62" t="s">
        <v>1122</v>
      </c>
      <c r="G496" s="105" t="s">
        <v>558</v>
      </c>
      <c r="H496" s="18" t="s">
        <v>553</v>
      </c>
      <c r="I496" s="62" t="s">
        <v>1123</v>
      </c>
      <c r="J496" s="62" t="s">
        <v>561</v>
      </c>
      <c r="K496" s="18"/>
      <c r="L496" s="18">
        <v>10.0</v>
      </c>
      <c r="M496" s="28"/>
      <c r="N496" s="6" t="b">
        <v>0</v>
      </c>
      <c r="O496" s="6" t="b">
        <v>0</v>
      </c>
      <c r="P496" s="6"/>
      <c r="Q496" s="6"/>
      <c r="R496" s="6"/>
      <c r="S496" s="6"/>
      <c r="T496" s="6"/>
      <c r="U496" s="6"/>
      <c r="V496" s="6"/>
      <c r="W496" s="6"/>
      <c r="X496" s="6"/>
      <c r="Y496" s="6"/>
      <c r="Z496" s="6"/>
      <c r="AA496" s="6"/>
      <c r="AB496" s="6"/>
    </row>
    <row r="497" hidden="1">
      <c r="A497" s="13" t="str">
        <f t="shared" si="1"/>
        <v>5fdbb793bbe311260fb55447</v>
      </c>
      <c r="B497" s="13"/>
      <c r="C497" s="13" t="s">
        <v>46</v>
      </c>
      <c r="D497" s="116" t="s">
        <v>1000</v>
      </c>
      <c r="E497" s="15" t="s">
        <v>1124</v>
      </c>
      <c r="F497" s="15" t="s">
        <v>1125</v>
      </c>
      <c r="G497" s="76" t="s">
        <v>418</v>
      </c>
      <c r="H497" s="18" t="s">
        <v>695</v>
      </c>
      <c r="I497" s="103" t="s">
        <v>1126</v>
      </c>
      <c r="J497" s="15" t="s">
        <v>1127</v>
      </c>
      <c r="K497" s="19"/>
      <c r="L497" s="18">
        <v>18.0</v>
      </c>
      <c r="M497" s="28"/>
      <c r="N497" s="6" t="b">
        <v>0</v>
      </c>
      <c r="O497" s="6" t="b">
        <v>0</v>
      </c>
      <c r="P497" s="6"/>
      <c r="Q497" s="6"/>
      <c r="R497" s="6"/>
      <c r="S497" s="6"/>
      <c r="T497" s="6"/>
      <c r="U497" s="6"/>
      <c r="V497" s="6"/>
      <c r="W497" s="6"/>
      <c r="X497" s="6"/>
      <c r="Y497" s="6"/>
      <c r="Z497" s="6"/>
      <c r="AA497" s="6"/>
      <c r="AB497" s="6"/>
    </row>
    <row r="498" hidden="1">
      <c r="A498" s="13" t="str">
        <f t="shared" si="1"/>
        <v/>
      </c>
      <c r="B498" s="13"/>
      <c r="C498" s="13" t="s">
        <v>46</v>
      </c>
      <c r="D498" s="8"/>
      <c r="E498" s="8"/>
      <c r="F498" s="8"/>
      <c r="G498" s="29"/>
      <c r="H498" s="8"/>
      <c r="I498" s="8"/>
      <c r="J498" s="8"/>
      <c r="K498" s="8"/>
      <c r="L498" s="30"/>
      <c r="M498" s="31"/>
      <c r="N498" s="6" t="b">
        <v>0</v>
      </c>
      <c r="O498" s="6" t="b">
        <v>0</v>
      </c>
      <c r="P498" s="6"/>
      <c r="Q498" s="6"/>
      <c r="R498" s="6"/>
      <c r="S498" s="6"/>
      <c r="T498" s="6"/>
      <c r="U498" s="6"/>
      <c r="V498" s="6"/>
      <c r="W498" s="6"/>
      <c r="X498" s="6"/>
      <c r="Y498" s="6"/>
      <c r="Z498" s="6"/>
      <c r="AA498" s="6"/>
      <c r="AB498" s="6"/>
    </row>
    <row r="499" hidden="1">
      <c r="A499" s="13" t="str">
        <f t="shared" si="1"/>
        <v/>
      </c>
      <c r="B499" s="94"/>
      <c r="C499" s="94">
        <v>44270.0</v>
      </c>
      <c r="D499" s="8"/>
      <c r="E499" s="9"/>
      <c r="F499" s="10"/>
      <c r="G499" s="10"/>
      <c r="H499" s="10"/>
      <c r="I499" s="10"/>
      <c r="J499" s="10"/>
      <c r="K499" s="10"/>
      <c r="L499" s="11"/>
      <c r="M499" s="12"/>
      <c r="N499" s="6"/>
      <c r="O499" s="6"/>
      <c r="P499" s="6"/>
      <c r="Q499" s="6"/>
      <c r="R499" s="6"/>
      <c r="S499" s="6"/>
      <c r="T499" s="6"/>
      <c r="U499" s="6"/>
      <c r="V499" s="6"/>
      <c r="W499" s="6"/>
      <c r="X499" s="6"/>
      <c r="Y499" s="6"/>
      <c r="Z499" s="6"/>
      <c r="AA499" s="6"/>
      <c r="AB499" s="6"/>
    </row>
    <row r="500" hidden="1">
      <c r="A500" s="13" t="str">
        <f t="shared" si="1"/>
        <v>5ffb7adb3cc99f628ecc8f56</v>
      </c>
      <c r="B500" s="13"/>
      <c r="C500" s="13" t="s">
        <v>13</v>
      </c>
      <c r="D500" s="101" t="s">
        <v>1000</v>
      </c>
      <c r="E500" s="62" t="s">
        <v>613</v>
      </c>
      <c r="F500" s="62" t="s">
        <v>614</v>
      </c>
      <c r="G500" s="105" t="s">
        <v>412</v>
      </c>
      <c r="H500" s="27" t="s">
        <v>35</v>
      </c>
      <c r="I500" s="27" t="s">
        <v>1128</v>
      </c>
      <c r="J500" s="62" t="s">
        <v>617</v>
      </c>
      <c r="K500" s="19"/>
      <c r="L500" s="18">
        <v>46.0</v>
      </c>
      <c r="M500" s="28"/>
      <c r="N500" s="6" t="b">
        <v>0</v>
      </c>
      <c r="O500" s="6" t="b">
        <v>0</v>
      </c>
      <c r="P500" s="6"/>
      <c r="Q500" s="6"/>
      <c r="R500" s="6"/>
      <c r="S500" s="6"/>
      <c r="T500" s="6"/>
      <c r="U500" s="6"/>
      <c r="V500" s="6"/>
      <c r="W500" s="6"/>
      <c r="X500" s="6"/>
      <c r="Y500" s="6"/>
      <c r="Z500" s="6"/>
      <c r="AA500" s="6"/>
      <c r="AB500" s="6"/>
    </row>
    <row r="501" hidden="1">
      <c r="A501" s="13" t="str">
        <f t="shared" si="1"/>
        <v>5f91fe8f0a199769d259b4de</v>
      </c>
      <c r="B501" s="13"/>
      <c r="C501" s="13" t="s">
        <v>13</v>
      </c>
      <c r="D501" s="61" t="s">
        <v>1000</v>
      </c>
      <c r="E501" s="62" t="s">
        <v>437</v>
      </c>
      <c r="F501" s="62" t="s">
        <v>438</v>
      </c>
      <c r="G501" s="95" t="s">
        <v>575</v>
      </c>
      <c r="H501" s="18" t="s">
        <v>53</v>
      </c>
      <c r="I501" s="62" t="s">
        <v>1129</v>
      </c>
      <c r="J501" s="75" t="s">
        <v>1130</v>
      </c>
      <c r="K501" s="19"/>
      <c r="L501" s="18">
        <v>13.0</v>
      </c>
      <c r="M501" s="28"/>
      <c r="N501" s="6" t="b">
        <v>0</v>
      </c>
      <c r="O501" s="6" t="b">
        <v>0</v>
      </c>
      <c r="P501" s="6"/>
      <c r="Q501" s="6"/>
      <c r="R501" s="6"/>
      <c r="S501" s="6"/>
      <c r="T501" s="6"/>
      <c r="U501" s="6"/>
      <c r="V501" s="6"/>
      <c r="W501" s="6"/>
      <c r="X501" s="6"/>
      <c r="Y501" s="6"/>
      <c r="Z501" s="6"/>
      <c r="AA501" s="6"/>
      <c r="AB501" s="6"/>
    </row>
    <row r="502" hidden="1">
      <c r="A502" s="13" t="str">
        <f t="shared" si="1"/>
        <v>5fcb003ea280821fa2bedef1</v>
      </c>
      <c r="B502" s="13"/>
      <c r="C502" s="13" t="s">
        <v>13</v>
      </c>
      <c r="D502" s="61" t="s">
        <v>1000</v>
      </c>
      <c r="E502" s="62" t="s">
        <v>1131</v>
      </c>
      <c r="F502" s="62" t="s">
        <v>1132</v>
      </c>
      <c r="G502" s="16" t="s">
        <v>378</v>
      </c>
      <c r="H502" s="18" t="s">
        <v>443</v>
      </c>
      <c r="I502" s="18" t="s">
        <v>1133</v>
      </c>
      <c r="J502" s="62" t="s">
        <v>1134</v>
      </c>
      <c r="K502" s="19"/>
      <c r="L502" s="18">
        <v>19.0</v>
      </c>
      <c r="M502" s="28"/>
      <c r="N502" s="6" t="b">
        <v>0</v>
      </c>
      <c r="O502" s="6" t="b">
        <v>0</v>
      </c>
      <c r="P502" s="6"/>
      <c r="Q502" s="6"/>
      <c r="R502" s="6"/>
      <c r="S502" s="6"/>
      <c r="T502" s="6"/>
      <c r="U502" s="6"/>
      <c r="V502" s="6"/>
      <c r="W502" s="6"/>
      <c r="X502" s="6"/>
      <c r="Y502" s="6"/>
      <c r="Z502" s="6"/>
      <c r="AA502" s="6"/>
      <c r="AB502" s="6"/>
    </row>
    <row r="503" hidden="1">
      <c r="A503" s="13" t="str">
        <f t="shared" si="1"/>
        <v>5f9009d33fe49e2b4363208b</v>
      </c>
      <c r="B503" s="13"/>
      <c r="C503" s="13" t="s">
        <v>13</v>
      </c>
      <c r="D503" s="61" t="s">
        <v>1000</v>
      </c>
      <c r="E503" s="73" t="s">
        <v>665</v>
      </c>
      <c r="F503" s="73" t="s">
        <v>666</v>
      </c>
      <c r="G503" s="58" t="s">
        <v>418</v>
      </c>
      <c r="H503" s="44" t="s">
        <v>434</v>
      </c>
      <c r="I503" s="44" t="s">
        <v>1135</v>
      </c>
      <c r="J503" s="73" t="s">
        <v>668</v>
      </c>
      <c r="K503" s="44" t="s">
        <v>1136</v>
      </c>
      <c r="L503" s="45"/>
      <c r="M503" s="28"/>
      <c r="N503" s="6" t="b">
        <v>0</v>
      </c>
      <c r="O503" s="6" t="b">
        <v>0</v>
      </c>
      <c r="P503" s="6"/>
      <c r="Q503" s="6"/>
      <c r="R503" s="6"/>
      <c r="S503" s="6"/>
      <c r="T503" s="6"/>
      <c r="U503" s="6"/>
      <c r="V503" s="6"/>
      <c r="W503" s="6"/>
      <c r="X503" s="6"/>
      <c r="Y503" s="6"/>
      <c r="Z503" s="6"/>
      <c r="AA503" s="6"/>
      <c r="AB503" s="6"/>
    </row>
    <row r="504" hidden="1">
      <c r="A504" s="13" t="str">
        <f t="shared" si="1"/>
        <v/>
      </c>
      <c r="B504" s="13"/>
      <c r="C504" s="13" t="s">
        <v>13</v>
      </c>
      <c r="D504" s="68"/>
      <c r="E504" s="61"/>
      <c r="F504" s="61"/>
      <c r="G504" s="37"/>
      <c r="H504" s="39"/>
      <c r="I504" s="39"/>
      <c r="J504" s="61"/>
      <c r="K504" s="81"/>
      <c r="L504" s="8"/>
      <c r="M504" s="28"/>
      <c r="N504" s="6" t="b">
        <v>0</v>
      </c>
      <c r="O504" s="6" t="b">
        <v>0</v>
      </c>
      <c r="P504" s="6"/>
      <c r="Q504" s="6"/>
      <c r="R504" s="6"/>
      <c r="S504" s="6"/>
      <c r="T504" s="6"/>
      <c r="U504" s="6"/>
      <c r="V504" s="6"/>
      <c r="W504" s="6"/>
      <c r="X504" s="6"/>
      <c r="Y504" s="6"/>
      <c r="Z504" s="6"/>
      <c r="AA504" s="6"/>
      <c r="AB504" s="6"/>
    </row>
    <row r="505" hidden="1">
      <c r="A505" s="13" t="str">
        <f t="shared" si="1"/>
        <v/>
      </c>
      <c r="B505" s="13"/>
      <c r="C505" s="13" t="s">
        <v>13</v>
      </c>
      <c r="D505" s="8"/>
      <c r="E505" s="8"/>
      <c r="F505" s="8"/>
      <c r="G505" s="29"/>
      <c r="H505" s="8"/>
      <c r="I505" s="8"/>
      <c r="J505" s="8"/>
      <c r="K505" s="8"/>
      <c r="L505" s="30"/>
      <c r="M505" s="31"/>
      <c r="N505" s="6" t="b">
        <v>0</v>
      </c>
      <c r="O505" s="6" t="b">
        <v>0</v>
      </c>
      <c r="P505" s="6"/>
      <c r="Q505" s="6"/>
      <c r="R505" s="6"/>
      <c r="S505" s="6"/>
      <c r="T505" s="6"/>
      <c r="U505" s="6"/>
      <c r="V505" s="6"/>
      <c r="W505" s="6"/>
      <c r="X505" s="6"/>
      <c r="Y505" s="6"/>
      <c r="Z505" s="6"/>
      <c r="AA505" s="6"/>
      <c r="AB505" s="6"/>
    </row>
    <row r="506" hidden="1">
      <c r="A506" s="13" t="str">
        <f t="shared" si="1"/>
        <v/>
      </c>
      <c r="B506" s="13"/>
      <c r="C506" s="13" t="s">
        <v>31</v>
      </c>
      <c r="D506" s="6"/>
      <c r="E506" s="6"/>
      <c r="F506" s="6"/>
      <c r="G506" s="26"/>
      <c r="H506" s="6"/>
      <c r="I506" s="6"/>
      <c r="J506" s="6"/>
      <c r="K506" s="34"/>
      <c r="L506" s="8"/>
      <c r="M506" s="28"/>
      <c r="N506" s="6" t="b">
        <v>0</v>
      </c>
      <c r="O506" s="6" t="b">
        <v>0</v>
      </c>
      <c r="P506" s="6"/>
      <c r="Q506" s="6"/>
      <c r="R506" s="6"/>
      <c r="S506" s="6"/>
      <c r="T506" s="6"/>
      <c r="U506" s="6"/>
      <c r="V506" s="6"/>
      <c r="W506" s="6"/>
      <c r="X506" s="6"/>
      <c r="Y506" s="6"/>
      <c r="Z506" s="6"/>
      <c r="AA506" s="6"/>
      <c r="AB506" s="6"/>
    </row>
    <row r="507" hidden="1">
      <c r="A507" s="13" t="str">
        <f t="shared" si="1"/>
        <v>5fa1249c59fb3f445202116e</v>
      </c>
      <c r="B507" s="13"/>
      <c r="C507" s="13" t="s">
        <v>31</v>
      </c>
      <c r="D507" s="61" t="s">
        <v>1000</v>
      </c>
      <c r="E507" s="15" t="s">
        <v>170</v>
      </c>
      <c r="F507" s="15" t="s">
        <v>171</v>
      </c>
      <c r="G507" s="105" t="s">
        <v>745</v>
      </c>
      <c r="H507" s="18" t="s">
        <v>570</v>
      </c>
      <c r="I507" s="18" t="s">
        <v>1137</v>
      </c>
      <c r="J507" s="15" t="s">
        <v>174</v>
      </c>
      <c r="K507" s="19"/>
      <c r="L507" s="18">
        <v>6.0</v>
      </c>
      <c r="M507" s="28"/>
      <c r="N507" s="6" t="b">
        <v>0</v>
      </c>
      <c r="O507" s="6" t="b">
        <v>0</v>
      </c>
      <c r="P507" s="6"/>
      <c r="Q507" s="6"/>
      <c r="R507" s="6"/>
      <c r="S507" s="6"/>
      <c r="T507" s="6"/>
      <c r="U507" s="6"/>
      <c r="V507" s="6"/>
      <c r="W507" s="6"/>
      <c r="X507" s="6"/>
      <c r="Y507" s="6"/>
      <c r="Z507" s="6"/>
      <c r="AA507" s="6"/>
      <c r="AB507" s="6"/>
    </row>
    <row r="508" hidden="1">
      <c r="A508" s="13" t="str">
        <f t="shared" si="1"/>
        <v>600c28c5276d0f79477a569b</v>
      </c>
      <c r="B508" s="13"/>
      <c r="C508" s="13" t="s">
        <v>31</v>
      </c>
      <c r="D508" s="61" t="s">
        <v>1000</v>
      </c>
      <c r="E508" s="62" t="s">
        <v>1138</v>
      </c>
      <c r="F508" s="62" t="s">
        <v>1139</v>
      </c>
      <c r="G508" s="16" t="s">
        <v>378</v>
      </c>
      <c r="H508" s="18" t="s">
        <v>1140</v>
      </c>
      <c r="I508" s="18" t="s">
        <v>1141</v>
      </c>
      <c r="J508" s="62" t="s">
        <v>1142</v>
      </c>
      <c r="K508" s="19"/>
      <c r="L508" s="18">
        <v>11.0</v>
      </c>
      <c r="M508" s="28"/>
      <c r="N508" s="6" t="b">
        <v>0</v>
      </c>
      <c r="O508" s="6" t="b">
        <v>0</v>
      </c>
      <c r="P508" s="6"/>
      <c r="Q508" s="6"/>
      <c r="R508" s="6"/>
      <c r="S508" s="6"/>
      <c r="T508" s="6"/>
      <c r="U508" s="6"/>
      <c r="V508" s="6"/>
      <c r="W508" s="6"/>
      <c r="X508" s="6"/>
      <c r="Y508" s="6"/>
      <c r="Z508" s="6"/>
      <c r="AA508" s="6"/>
      <c r="AB508" s="6"/>
    </row>
    <row r="509" hidden="1">
      <c r="A509" s="13" t="str">
        <f t="shared" si="1"/>
        <v>5f6e4440d2725f47c212d669</v>
      </c>
      <c r="B509" s="13"/>
      <c r="C509" s="13" t="s">
        <v>31</v>
      </c>
      <c r="D509" s="39" t="s">
        <v>1000</v>
      </c>
      <c r="E509" s="42" t="s">
        <v>556</v>
      </c>
      <c r="F509" s="42" t="s">
        <v>1001</v>
      </c>
      <c r="G509" s="58" t="s">
        <v>418</v>
      </c>
      <c r="H509" s="44" t="s">
        <v>553</v>
      </c>
      <c r="I509" s="44" t="s">
        <v>1143</v>
      </c>
      <c r="J509" s="42" t="s">
        <v>561</v>
      </c>
      <c r="K509" s="44" t="s">
        <v>1144</v>
      </c>
      <c r="L509" s="45"/>
      <c r="M509" s="28"/>
      <c r="N509" s="6" t="b">
        <v>0</v>
      </c>
      <c r="O509" s="6" t="b">
        <v>0</v>
      </c>
      <c r="P509" s="6"/>
      <c r="Q509" s="6"/>
      <c r="R509" s="6"/>
      <c r="S509" s="6"/>
      <c r="T509" s="6"/>
      <c r="U509" s="6"/>
      <c r="V509" s="6"/>
      <c r="W509" s="6"/>
      <c r="X509" s="6"/>
      <c r="Y509" s="6"/>
      <c r="Z509" s="6"/>
      <c r="AA509" s="6"/>
      <c r="AB509" s="6"/>
    </row>
    <row r="510" hidden="1">
      <c r="A510" s="13" t="str">
        <f t="shared" si="1"/>
        <v/>
      </c>
      <c r="B510" s="13"/>
      <c r="C510" s="13" t="s">
        <v>31</v>
      </c>
      <c r="D510" s="61"/>
      <c r="E510" s="61"/>
      <c r="F510" s="61"/>
      <c r="G510" s="37"/>
      <c r="H510" s="39"/>
      <c r="I510" s="38"/>
      <c r="J510" s="61"/>
      <c r="K510" s="81"/>
      <c r="L510" s="8"/>
      <c r="M510" s="28"/>
      <c r="N510" s="6" t="b">
        <v>0</v>
      </c>
      <c r="O510" s="6" t="b">
        <v>0</v>
      </c>
      <c r="P510" s="6"/>
      <c r="Q510" s="6"/>
      <c r="R510" s="6"/>
      <c r="S510" s="6"/>
      <c r="T510" s="6"/>
      <c r="U510" s="6"/>
      <c r="V510" s="6"/>
      <c r="W510" s="6"/>
      <c r="X510" s="6"/>
      <c r="Y510" s="6"/>
      <c r="Z510" s="6"/>
      <c r="AA510" s="6"/>
      <c r="AB510" s="6"/>
    </row>
    <row r="511" hidden="1">
      <c r="A511" s="13" t="str">
        <f t="shared" si="1"/>
        <v/>
      </c>
      <c r="B511" s="13"/>
      <c r="C511" s="13" t="s">
        <v>31</v>
      </c>
      <c r="D511" s="39"/>
      <c r="E511" s="125"/>
      <c r="F511" s="125"/>
      <c r="G511" s="37"/>
      <c r="H511" s="39"/>
      <c r="I511" s="39"/>
      <c r="J511" s="125"/>
      <c r="K511" s="8"/>
      <c r="L511" s="30"/>
      <c r="M511" s="31"/>
      <c r="N511" s="6" t="b">
        <v>0</v>
      </c>
      <c r="O511" s="6" t="b">
        <v>0</v>
      </c>
      <c r="P511" s="6"/>
      <c r="Q511" s="6"/>
      <c r="R511" s="6"/>
      <c r="S511" s="6"/>
      <c r="T511" s="6"/>
      <c r="U511" s="6"/>
      <c r="V511" s="6"/>
      <c r="W511" s="6"/>
      <c r="X511" s="6"/>
      <c r="Y511" s="6"/>
      <c r="Z511" s="6"/>
      <c r="AA511" s="6"/>
      <c r="AB511" s="6"/>
    </row>
    <row r="512" hidden="1">
      <c r="A512" s="13" t="str">
        <f t="shared" si="1"/>
        <v>5f6e70d4cea8d5540940b615</v>
      </c>
      <c r="B512" s="13"/>
      <c r="C512" s="13" t="s">
        <v>46</v>
      </c>
      <c r="D512" s="39" t="s">
        <v>1000</v>
      </c>
      <c r="E512" s="62" t="s">
        <v>662</v>
      </c>
      <c r="F512" s="62" t="s">
        <v>663</v>
      </c>
      <c r="G512" s="16" t="s">
        <v>412</v>
      </c>
      <c r="H512" s="18" t="s">
        <v>35</v>
      </c>
      <c r="I512" s="18" t="s">
        <v>1145</v>
      </c>
      <c r="J512" s="62" t="s">
        <v>664</v>
      </c>
      <c r="K512" s="19"/>
      <c r="L512" s="18">
        <v>33.0</v>
      </c>
      <c r="M512" s="28"/>
      <c r="N512" s="6" t="b">
        <v>0</v>
      </c>
      <c r="O512" s="6" t="b">
        <v>0</v>
      </c>
      <c r="P512" s="6"/>
      <c r="Q512" s="6"/>
      <c r="R512" s="6"/>
      <c r="S512" s="6"/>
      <c r="T512" s="6"/>
      <c r="U512" s="6"/>
      <c r="V512" s="6"/>
      <c r="W512" s="6"/>
      <c r="X512" s="6"/>
      <c r="Y512" s="6"/>
      <c r="Z512" s="6"/>
      <c r="AA512" s="6"/>
      <c r="AB512" s="6"/>
    </row>
    <row r="513" hidden="1">
      <c r="A513" s="13" t="str">
        <f t="shared" si="1"/>
        <v>6052f62eae18d773856ee622</v>
      </c>
      <c r="B513" s="13"/>
      <c r="C513" s="13" t="s">
        <v>46</v>
      </c>
      <c r="D513" s="116" t="s">
        <v>1000</v>
      </c>
      <c r="E513" s="36" t="s">
        <v>1146</v>
      </c>
      <c r="F513" s="36" t="s">
        <v>1147</v>
      </c>
      <c r="G513" s="16" t="s">
        <v>366</v>
      </c>
      <c r="H513" s="18" t="s">
        <v>35</v>
      </c>
      <c r="I513" s="18" t="s">
        <v>1148</v>
      </c>
      <c r="J513" s="36" t="s">
        <v>1149</v>
      </c>
      <c r="K513" s="19"/>
      <c r="L513" s="18">
        <v>4.0</v>
      </c>
      <c r="M513" s="28"/>
      <c r="N513" s="6" t="b">
        <v>0</v>
      </c>
      <c r="O513" s="6" t="b">
        <v>0</v>
      </c>
      <c r="P513" s="6"/>
      <c r="Q513" s="6"/>
      <c r="R513" s="6"/>
      <c r="S513" s="6"/>
      <c r="T513" s="6"/>
      <c r="U513" s="6"/>
      <c r="V513" s="6"/>
      <c r="W513" s="6"/>
      <c r="X513" s="6"/>
      <c r="Y513" s="6"/>
      <c r="Z513" s="6"/>
      <c r="AA513" s="6"/>
      <c r="AB513" s="6"/>
    </row>
    <row r="514" hidden="1">
      <c r="A514" s="13" t="str">
        <f t="shared" si="1"/>
        <v>5fc41798a0a4b1c513dab54f</v>
      </c>
      <c r="B514" s="13"/>
      <c r="C514" s="13" t="s">
        <v>46</v>
      </c>
      <c r="D514" s="68" t="s">
        <v>1000</v>
      </c>
      <c r="E514" s="15" t="s">
        <v>131</v>
      </c>
      <c r="F514" s="15" t="s">
        <v>132</v>
      </c>
      <c r="G514" s="16" t="s">
        <v>575</v>
      </c>
      <c r="H514" s="18" t="s">
        <v>35</v>
      </c>
      <c r="I514" s="18" t="s">
        <v>1150</v>
      </c>
      <c r="J514" s="15" t="s">
        <v>134</v>
      </c>
      <c r="K514" s="19"/>
      <c r="L514" s="18">
        <v>9.0</v>
      </c>
      <c r="M514" s="28"/>
      <c r="N514" s="6" t="b">
        <v>0</v>
      </c>
      <c r="O514" s="6" t="b">
        <v>0</v>
      </c>
      <c r="P514" s="6"/>
      <c r="Q514" s="6"/>
      <c r="R514" s="6"/>
      <c r="S514" s="6"/>
      <c r="T514" s="6"/>
      <c r="U514" s="6"/>
      <c r="V514" s="6"/>
      <c r="W514" s="6"/>
      <c r="X514" s="6"/>
      <c r="Y514" s="6"/>
      <c r="Z514" s="6"/>
      <c r="AA514" s="6"/>
      <c r="AB514" s="6"/>
    </row>
    <row r="515" hidden="1">
      <c r="A515" s="13" t="str">
        <f t="shared" si="1"/>
        <v>5ff0ecb4f351dc2884680cb5</v>
      </c>
      <c r="B515" s="13"/>
      <c r="C515" s="13" t="s">
        <v>46</v>
      </c>
      <c r="D515" s="68" t="s">
        <v>1000</v>
      </c>
      <c r="E515" s="62" t="s">
        <v>302</v>
      </c>
      <c r="F515" s="62" t="s">
        <v>303</v>
      </c>
      <c r="G515" s="76" t="s">
        <v>378</v>
      </c>
      <c r="H515" s="18" t="s">
        <v>87</v>
      </c>
      <c r="I515" s="18" t="s">
        <v>1151</v>
      </c>
      <c r="J515" s="62" t="s">
        <v>1152</v>
      </c>
      <c r="K515" s="18"/>
      <c r="L515" s="18">
        <v>21.0</v>
      </c>
      <c r="M515" s="28"/>
      <c r="N515" s="6" t="b">
        <v>0</v>
      </c>
      <c r="O515" s="6" t="b">
        <v>0</v>
      </c>
      <c r="P515" s="6"/>
      <c r="Q515" s="6"/>
      <c r="R515" s="6"/>
      <c r="S515" s="6"/>
      <c r="T515" s="6"/>
      <c r="U515" s="6"/>
      <c r="V515" s="6"/>
      <c r="W515" s="6"/>
      <c r="X515" s="6"/>
      <c r="Y515" s="6"/>
      <c r="Z515" s="6"/>
      <c r="AA515" s="6"/>
      <c r="AB515" s="6"/>
    </row>
    <row r="516" hidden="1">
      <c r="A516" s="13" t="str">
        <f t="shared" si="1"/>
        <v/>
      </c>
      <c r="B516" s="13"/>
      <c r="C516" s="13" t="s">
        <v>46</v>
      </c>
      <c r="D516" s="116"/>
      <c r="E516" s="117"/>
      <c r="F516" s="71"/>
      <c r="G516" s="72"/>
      <c r="H516" s="39"/>
      <c r="I516" s="117"/>
      <c r="J516" s="91"/>
      <c r="K516" s="81"/>
      <c r="L516" s="8"/>
      <c r="M516" s="28"/>
      <c r="N516" s="6" t="b">
        <v>0</v>
      </c>
      <c r="O516" s="6" t="b">
        <v>0</v>
      </c>
      <c r="P516" s="6"/>
      <c r="Q516" s="6"/>
      <c r="R516" s="6"/>
      <c r="S516" s="6"/>
      <c r="T516" s="6"/>
      <c r="U516" s="6"/>
      <c r="V516" s="6"/>
      <c r="W516" s="6"/>
      <c r="X516" s="6"/>
      <c r="Y516" s="6"/>
      <c r="Z516" s="6"/>
      <c r="AA516" s="6"/>
      <c r="AB516" s="6"/>
    </row>
    <row r="517" hidden="1">
      <c r="A517" s="13" t="str">
        <f t="shared" si="1"/>
        <v/>
      </c>
      <c r="B517" s="13"/>
      <c r="C517" s="13" t="s">
        <v>46</v>
      </c>
      <c r="D517" s="8"/>
      <c r="E517" s="8"/>
      <c r="F517" s="8"/>
      <c r="G517" s="29"/>
      <c r="H517" s="8"/>
      <c r="I517" s="8"/>
      <c r="J517" s="8"/>
      <c r="K517" s="8"/>
      <c r="L517" s="30"/>
      <c r="M517" s="31"/>
      <c r="N517" s="6" t="b">
        <v>0</v>
      </c>
      <c r="O517" s="6" t="b">
        <v>0</v>
      </c>
      <c r="P517" s="6"/>
      <c r="Q517" s="6"/>
      <c r="R517" s="6"/>
      <c r="S517" s="6"/>
      <c r="T517" s="6"/>
      <c r="U517" s="6"/>
      <c r="V517" s="6"/>
      <c r="W517" s="6"/>
      <c r="X517" s="6"/>
      <c r="Y517" s="6"/>
      <c r="Z517" s="6"/>
      <c r="AA517" s="6"/>
      <c r="AB517" s="6"/>
    </row>
    <row r="518" hidden="1">
      <c r="A518" s="13" t="str">
        <f t="shared" si="1"/>
        <v/>
      </c>
      <c r="B518" s="94"/>
      <c r="C518" s="94">
        <v>44271.0</v>
      </c>
      <c r="D518" s="8"/>
      <c r="E518" s="9"/>
      <c r="F518" s="10"/>
      <c r="G518" s="10"/>
      <c r="H518" s="10"/>
      <c r="I518" s="10"/>
      <c r="J518" s="10"/>
      <c r="K518" s="10"/>
      <c r="L518" s="11"/>
      <c r="M518" s="12"/>
      <c r="N518" s="6"/>
      <c r="O518" s="6"/>
      <c r="P518" s="6"/>
      <c r="Q518" s="6"/>
      <c r="R518" s="6"/>
      <c r="S518" s="6"/>
      <c r="T518" s="6"/>
      <c r="U518" s="6"/>
      <c r="V518" s="6"/>
      <c r="W518" s="6"/>
      <c r="X518" s="6"/>
      <c r="Y518" s="6"/>
      <c r="Z518" s="6"/>
      <c r="AA518" s="6"/>
      <c r="AB518" s="6"/>
    </row>
    <row r="519" hidden="1">
      <c r="A519" s="13" t="str">
        <f t="shared" si="1"/>
        <v>5f332810456a26f869cf7720</v>
      </c>
      <c r="B519" s="13"/>
      <c r="C519" s="13" t="s">
        <v>13</v>
      </c>
      <c r="D519" s="39" t="s">
        <v>1000</v>
      </c>
      <c r="E519" s="61" t="s">
        <v>735</v>
      </c>
      <c r="F519" s="61" t="s">
        <v>736</v>
      </c>
      <c r="G519" s="37" t="s">
        <v>412</v>
      </c>
      <c r="H519" s="39" t="s">
        <v>496</v>
      </c>
      <c r="I519" s="39" t="s">
        <v>1153</v>
      </c>
      <c r="J519" s="61" t="s">
        <v>738</v>
      </c>
      <c r="K519" s="34"/>
      <c r="L519" s="8"/>
      <c r="M519" s="28"/>
      <c r="N519" s="6" t="b">
        <v>0</v>
      </c>
      <c r="O519" s="6" t="b">
        <v>0</v>
      </c>
      <c r="P519" s="6"/>
      <c r="Q519" s="6"/>
      <c r="R519" s="6"/>
      <c r="S519" s="6"/>
      <c r="T519" s="6"/>
      <c r="U519" s="6"/>
      <c r="V519" s="6"/>
      <c r="W519" s="6"/>
      <c r="X519" s="6"/>
      <c r="Y519" s="6"/>
      <c r="Z519" s="6"/>
      <c r="AA519" s="6"/>
      <c r="AB519" s="6"/>
    </row>
    <row r="520" hidden="1">
      <c r="A520" s="13" t="str">
        <f t="shared" si="1"/>
        <v>60266e3d919b7aeb2d799b4a</v>
      </c>
      <c r="B520" s="13"/>
      <c r="C520" s="13" t="s">
        <v>13</v>
      </c>
      <c r="D520" s="116" t="s">
        <v>1000</v>
      </c>
      <c r="E520" s="61" t="s">
        <v>931</v>
      </c>
      <c r="F520" s="61" t="s">
        <v>932</v>
      </c>
      <c r="G520" s="120" t="s">
        <v>337</v>
      </c>
      <c r="H520" s="39" t="s">
        <v>553</v>
      </c>
      <c r="I520" s="61" t="s">
        <v>1154</v>
      </c>
      <c r="J520" s="61" t="s">
        <v>1155</v>
      </c>
      <c r="K520" s="34"/>
      <c r="L520" s="8"/>
      <c r="M520" s="28"/>
      <c r="N520" s="6" t="b">
        <v>0</v>
      </c>
      <c r="O520" s="6" t="b">
        <v>0</v>
      </c>
      <c r="P520" s="6"/>
      <c r="Q520" s="6"/>
      <c r="R520" s="6"/>
      <c r="S520" s="6"/>
      <c r="T520" s="6"/>
      <c r="U520" s="6"/>
      <c r="V520" s="6"/>
      <c r="W520" s="6"/>
      <c r="X520" s="6"/>
      <c r="Y520" s="6"/>
      <c r="Z520" s="6"/>
      <c r="AA520" s="6"/>
      <c r="AB520" s="6"/>
    </row>
    <row r="521" hidden="1">
      <c r="A521" s="13" t="str">
        <f t="shared" si="1"/>
        <v>5f3517363322a8a481d8bc6b</v>
      </c>
      <c r="B521" s="13"/>
      <c r="C521" s="13" t="s">
        <v>13</v>
      </c>
      <c r="D521" s="61" t="s">
        <v>1000</v>
      </c>
      <c r="E521" s="61" t="s">
        <v>296</v>
      </c>
      <c r="F521" s="61" t="s">
        <v>1156</v>
      </c>
      <c r="G521" s="100">
        <v>0.6041666666666666</v>
      </c>
      <c r="H521" s="39" t="s">
        <v>564</v>
      </c>
      <c r="I521" s="39" t="s">
        <v>1157</v>
      </c>
      <c r="J521" s="117" t="s">
        <v>1158</v>
      </c>
      <c r="K521" s="34"/>
      <c r="L521" s="8"/>
      <c r="M521" s="28"/>
      <c r="N521" s="6" t="b">
        <v>0</v>
      </c>
      <c r="O521" s="6" t="b">
        <v>0</v>
      </c>
      <c r="P521" s="6"/>
      <c r="Q521" s="6"/>
      <c r="R521" s="6"/>
      <c r="S521" s="6"/>
      <c r="T521" s="6"/>
      <c r="U521" s="6"/>
      <c r="V521" s="6"/>
      <c r="W521" s="6"/>
      <c r="X521" s="6"/>
      <c r="Y521" s="6"/>
      <c r="Z521" s="6"/>
      <c r="AA521" s="6"/>
      <c r="AB521" s="6"/>
    </row>
    <row r="522" hidden="1">
      <c r="A522" s="13" t="str">
        <f t="shared" si="1"/>
        <v>60278e4e21f1767f753a4d03</v>
      </c>
      <c r="B522" s="13"/>
      <c r="C522" s="13" t="s">
        <v>13</v>
      </c>
      <c r="D522" s="62" t="s">
        <v>1000</v>
      </c>
      <c r="E522" s="62" t="s">
        <v>854</v>
      </c>
      <c r="F522" s="62" t="s">
        <v>855</v>
      </c>
      <c r="G522" s="16" t="s">
        <v>378</v>
      </c>
      <c r="H522" s="18" t="s">
        <v>87</v>
      </c>
      <c r="I522" s="18" t="s">
        <v>1159</v>
      </c>
      <c r="J522" s="62" t="s">
        <v>858</v>
      </c>
      <c r="K522" s="8"/>
      <c r="L522" s="8"/>
      <c r="M522" s="28"/>
      <c r="N522" s="6" t="b">
        <v>0</v>
      </c>
      <c r="O522" s="6" t="b">
        <v>0</v>
      </c>
      <c r="P522" s="6"/>
      <c r="Q522" s="6"/>
      <c r="R522" s="6"/>
      <c r="S522" s="6"/>
      <c r="T522" s="6"/>
      <c r="U522" s="6"/>
      <c r="V522" s="6"/>
      <c r="W522" s="6"/>
      <c r="X522" s="6"/>
      <c r="Y522" s="6"/>
      <c r="Z522" s="6"/>
      <c r="AA522" s="6"/>
      <c r="AB522" s="6"/>
    </row>
    <row r="523" hidden="1">
      <c r="A523" s="13" t="str">
        <f t="shared" si="1"/>
        <v/>
      </c>
      <c r="B523" s="13"/>
      <c r="C523" s="13" t="s">
        <v>13</v>
      </c>
      <c r="D523" s="68"/>
      <c r="E523" s="61"/>
      <c r="F523" s="61"/>
      <c r="G523" s="37"/>
      <c r="H523" s="39"/>
      <c r="I523" s="39"/>
      <c r="J523" s="61"/>
      <c r="K523" s="81"/>
      <c r="L523" s="8"/>
      <c r="M523" s="28"/>
      <c r="N523" s="6" t="b">
        <v>0</v>
      </c>
      <c r="O523" s="6" t="b">
        <v>0</v>
      </c>
      <c r="P523" s="6"/>
      <c r="Q523" s="6"/>
      <c r="R523" s="6"/>
      <c r="S523" s="6"/>
      <c r="T523" s="6"/>
      <c r="U523" s="6"/>
      <c r="V523" s="6"/>
      <c r="W523" s="6"/>
      <c r="X523" s="6"/>
      <c r="Y523" s="6"/>
      <c r="Z523" s="6"/>
      <c r="AA523" s="6"/>
      <c r="AB523" s="6"/>
    </row>
    <row r="524" hidden="1">
      <c r="A524" s="13" t="str">
        <f t="shared" si="1"/>
        <v/>
      </c>
      <c r="B524" s="13"/>
      <c r="C524" s="13" t="s">
        <v>13</v>
      </c>
      <c r="D524" s="8"/>
      <c r="E524" s="8"/>
      <c r="F524" s="8"/>
      <c r="G524" s="29"/>
      <c r="H524" s="8"/>
      <c r="I524" s="8"/>
      <c r="J524" s="8"/>
      <c r="K524" s="8"/>
      <c r="L524" s="30"/>
      <c r="M524" s="31"/>
      <c r="N524" s="6" t="b">
        <v>0</v>
      </c>
      <c r="O524" s="6" t="b">
        <v>0</v>
      </c>
      <c r="P524" s="6"/>
      <c r="Q524" s="6"/>
      <c r="R524" s="6"/>
      <c r="S524" s="6"/>
      <c r="T524" s="6"/>
      <c r="U524" s="6"/>
      <c r="V524" s="6"/>
      <c r="W524" s="6"/>
      <c r="X524" s="6"/>
      <c r="Y524" s="6"/>
      <c r="Z524" s="6"/>
      <c r="AA524" s="6"/>
      <c r="AB524" s="6"/>
    </row>
    <row r="525" hidden="1">
      <c r="A525" s="13" t="str">
        <f t="shared" si="1"/>
        <v>5fcad96637964802fd94d7a5</v>
      </c>
      <c r="B525" s="13"/>
      <c r="C525" s="13" t="s">
        <v>31</v>
      </c>
      <c r="D525" s="18" t="s">
        <v>1000</v>
      </c>
      <c r="E525" s="62" t="s">
        <v>630</v>
      </c>
      <c r="F525" s="62" t="s">
        <v>631</v>
      </c>
      <c r="G525" s="16" t="s">
        <v>412</v>
      </c>
      <c r="H525" s="18" t="s">
        <v>536</v>
      </c>
      <c r="I525" s="62" t="s">
        <v>1160</v>
      </c>
      <c r="J525" s="62" t="s">
        <v>633</v>
      </c>
      <c r="K525" s="34"/>
      <c r="L525" s="8"/>
      <c r="M525" s="28"/>
      <c r="N525" s="6" t="b">
        <v>0</v>
      </c>
      <c r="O525" s="6" t="b">
        <v>0</v>
      </c>
      <c r="P525" s="6"/>
      <c r="Q525" s="6"/>
      <c r="R525" s="6"/>
      <c r="S525" s="6"/>
      <c r="T525" s="6"/>
      <c r="U525" s="6"/>
      <c r="V525" s="6"/>
      <c r="W525" s="6"/>
      <c r="X525" s="6"/>
      <c r="Y525" s="6"/>
      <c r="Z525" s="6"/>
      <c r="AA525" s="6"/>
      <c r="AB525" s="6"/>
    </row>
    <row r="526" hidden="1">
      <c r="A526" s="13" t="str">
        <f t="shared" si="1"/>
        <v>5f9748afd0763257ee6ea16d</v>
      </c>
      <c r="B526" s="13"/>
      <c r="C526" s="13" t="s">
        <v>31</v>
      </c>
      <c r="D526" s="73" t="s">
        <v>1000</v>
      </c>
      <c r="E526" s="73" t="s">
        <v>452</v>
      </c>
      <c r="F526" s="73" t="s">
        <v>453</v>
      </c>
      <c r="G526" s="85" t="s">
        <v>337</v>
      </c>
      <c r="H526" s="44" t="s">
        <v>384</v>
      </c>
      <c r="I526" s="73" t="s">
        <v>1161</v>
      </c>
      <c r="J526" s="73"/>
      <c r="K526" s="44" t="s">
        <v>1162</v>
      </c>
      <c r="L526" s="45"/>
      <c r="M526" s="46"/>
      <c r="N526" s="47" t="b">
        <v>0</v>
      </c>
      <c r="O526" s="47" t="b">
        <v>0</v>
      </c>
      <c r="P526" s="6"/>
      <c r="Q526" s="6"/>
      <c r="R526" s="6"/>
      <c r="S526" s="6"/>
      <c r="T526" s="6"/>
      <c r="U526" s="6"/>
      <c r="V526" s="6"/>
      <c r="W526" s="6"/>
      <c r="X526" s="6"/>
      <c r="Y526" s="6"/>
      <c r="Z526" s="6"/>
      <c r="AA526" s="6"/>
      <c r="AB526" s="6"/>
    </row>
    <row r="527" hidden="1">
      <c r="A527" s="13" t="str">
        <f t="shared" si="1"/>
        <v>5f6e4440d2725f47c212d669</v>
      </c>
      <c r="B527" s="13"/>
      <c r="C527" s="13" t="s">
        <v>31</v>
      </c>
      <c r="D527" s="39" t="s">
        <v>1000</v>
      </c>
      <c r="E527" s="125" t="s">
        <v>556</v>
      </c>
      <c r="F527" s="125" t="s">
        <v>1001</v>
      </c>
      <c r="G527" s="37" t="s">
        <v>313</v>
      </c>
      <c r="H527" s="39" t="s">
        <v>553</v>
      </c>
      <c r="I527" s="39" t="s">
        <v>1143</v>
      </c>
      <c r="J527" s="125" t="s">
        <v>561</v>
      </c>
      <c r="K527" s="34"/>
      <c r="L527" s="8"/>
      <c r="M527" s="28"/>
      <c r="N527" s="6" t="b">
        <v>0</v>
      </c>
      <c r="O527" s="6" t="b">
        <v>0</v>
      </c>
      <c r="P527" s="6"/>
      <c r="Q527" s="6"/>
      <c r="R527" s="6"/>
      <c r="S527" s="6"/>
      <c r="T527" s="6"/>
      <c r="U527" s="6"/>
      <c r="V527" s="6"/>
      <c r="W527" s="6"/>
      <c r="X527" s="6"/>
      <c r="Y527" s="6"/>
      <c r="Z527" s="6"/>
      <c r="AA527" s="6"/>
      <c r="AB527" s="6"/>
    </row>
    <row r="528" hidden="1">
      <c r="A528" s="13" t="str">
        <f t="shared" si="1"/>
        <v>6000a52b3cc99f6941cdc20a</v>
      </c>
      <c r="B528" s="13"/>
      <c r="C528" s="13" t="s">
        <v>31</v>
      </c>
      <c r="D528" s="61" t="s">
        <v>1000</v>
      </c>
      <c r="E528" s="125" t="s">
        <v>198</v>
      </c>
      <c r="F528" s="14" t="s">
        <v>199</v>
      </c>
      <c r="G528" s="37" t="s">
        <v>378</v>
      </c>
      <c r="H528" s="39" t="s">
        <v>87</v>
      </c>
      <c r="I528" s="61" t="s">
        <v>1163</v>
      </c>
      <c r="J528" s="125" t="s">
        <v>201</v>
      </c>
      <c r="K528" s="8"/>
      <c r="L528" s="8"/>
      <c r="M528" s="28"/>
      <c r="N528" s="6" t="b">
        <v>0</v>
      </c>
      <c r="O528" s="6" t="b">
        <v>0</v>
      </c>
      <c r="P528" s="6"/>
      <c r="Q528" s="6"/>
      <c r="R528" s="6"/>
      <c r="S528" s="6"/>
      <c r="T528" s="6"/>
      <c r="U528" s="6"/>
      <c r="V528" s="6"/>
      <c r="W528" s="6"/>
      <c r="X528" s="6"/>
      <c r="Y528" s="6"/>
      <c r="Z528" s="6"/>
      <c r="AA528" s="6"/>
      <c r="AB528" s="6"/>
    </row>
    <row r="529" hidden="1">
      <c r="A529" s="13" t="str">
        <f t="shared" si="1"/>
        <v/>
      </c>
      <c r="B529" s="13"/>
      <c r="C529" s="13" t="s">
        <v>31</v>
      </c>
      <c r="D529" s="61"/>
      <c r="E529" s="61"/>
      <c r="F529" s="61"/>
      <c r="G529" s="37"/>
      <c r="H529" s="39"/>
      <c r="I529" s="38"/>
      <c r="J529" s="61"/>
      <c r="K529" s="81"/>
      <c r="L529" s="8"/>
      <c r="M529" s="28"/>
      <c r="N529" s="6" t="b">
        <v>0</v>
      </c>
      <c r="O529" s="6" t="b">
        <v>0</v>
      </c>
      <c r="P529" s="6"/>
      <c r="Q529" s="6"/>
      <c r="R529" s="6"/>
      <c r="S529" s="6"/>
      <c r="T529" s="6"/>
      <c r="U529" s="6"/>
      <c r="V529" s="6"/>
      <c r="W529" s="6"/>
      <c r="X529" s="6"/>
      <c r="Y529" s="6"/>
      <c r="Z529" s="6"/>
      <c r="AA529" s="6"/>
      <c r="AB529" s="6"/>
    </row>
    <row r="530" hidden="1">
      <c r="A530" s="13" t="str">
        <f t="shared" si="1"/>
        <v/>
      </c>
      <c r="B530" s="13"/>
      <c r="C530" s="13" t="s">
        <v>31</v>
      </c>
      <c r="D530" s="8"/>
      <c r="E530" s="8"/>
      <c r="F530" s="8"/>
      <c r="G530" s="29"/>
      <c r="H530" s="8"/>
      <c r="I530" s="8"/>
      <c r="J530" s="8"/>
      <c r="K530" s="8"/>
      <c r="L530" s="30"/>
      <c r="M530" s="31"/>
      <c r="N530" s="6" t="b">
        <v>0</v>
      </c>
      <c r="O530" s="6" t="b">
        <v>0</v>
      </c>
      <c r="P530" s="6"/>
      <c r="Q530" s="6"/>
      <c r="R530" s="6"/>
      <c r="S530" s="6"/>
      <c r="T530" s="6"/>
      <c r="U530" s="6"/>
      <c r="V530" s="6"/>
      <c r="W530" s="6"/>
      <c r="X530" s="6"/>
      <c r="Y530" s="6"/>
      <c r="Z530" s="6"/>
      <c r="AA530" s="6"/>
      <c r="AB530" s="6"/>
    </row>
    <row r="531" hidden="1">
      <c r="A531" s="13" t="str">
        <f t="shared" si="1"/>
        <v>5f67c6bef081aab154a5922c</v>
      </c>
      <c r="B531" s="13"/>
      <c r="C531" s="13" t="s">
        <v>46</v>
      </c>
      <c r="D531" s="39" t="s">
        <v>1000</v>
      </c>
      <c r="E531" s="125" t="s">
        <v>1164</v>
      </c>
      <c r="F531" s="125" t="s">
        <v>1165</v>
      </c>
      <c r="G531" s="37" t="s">
        <v>412</v>
      </c>
      <c r="H531" s="39" t="s">
        <v>367</v>
      </c>
      <c r="I531" s="39" t="s">
        <v>1166</v>
      </c>
      <c r="J531" s="125" t="s">
        <v>1167</v>
      </c>
      <c r="K531" s="34"/>
      <c r="L531" s="8"/>
      <c r="M531" s="28"/>
      <c r="N531" s="6" t="b">
        <v>0</v>
      </c>
      <c r="O531" s="6" t="b">
        <v>0</v>
      </c>
      <c r="P531" s="6"/>
      <c r="Q531" s="6"/>
      <c r="R531" s="6"/>
      <c r="S531" s="6"/>
      <c r="T531" s="6"/>
      <c r="U531" s="6"/>
      <c r="V531" s="6"/>
      <c r="W531" s="6"/>
      <c r="X531" s="6"/>
      <c r="Y531" s="6"/>
      <c r="Z531" s="6"/>
      <c r="AA531" s="6"/>
      <c r="AB531" s="6"/>
    </row>
    <row r="532" hidden="1">
      <c r="A532" s="13" t="str">
        <f t="shared" si="1"/>
        <v>5f330d69fb6dd98232dd3f23</v>
      </c>
      <c r="B532" s="13"/>
      <c r="C532" s="13" t="s">
        <v>46</v>
      </c>
      <c r="D532" s="59" t="s">
        <v>1000</v>
      </c>
      <c r="E532" s="73" t="s">
        <v>520</v>
      </c>
      <c r="F532" s="73" t="s">
        <v>521</v>
      </c>
      <c r="G532" s="58" t="s">
        <v>575</v>
      </c>
      <c r="H532" s="73" t="s">
        <v>384</v>
      </c>
      <c r="I532" s="44" t="s">
        <v>1168</v>
      </c>
      <c r="J532" s="73" t="s">
        <v>523</v>
      </c>
      <c r="K532" s="44" t="s">
        <v>1169</v>
      </c>
      <c r="L532" s="45"/>
      <c r="M532" s="46"/>
      <c r="N532" s="47" t="b">
        <v>0</v>
      </c>
      <c r="O532" s="47" t="b">
        <v>0</v>
      </c>
      <c r="P532" s="6"/>
      <c r="Q532" s="6"/>
      <c r="R532" s="6"/>
      <c r="S532" s="6"/>
      <c r="T532" s="6"/>
      <c r="U532" s="6"/>
      <c r="V532" s="6"/>
      <c r="W532" s="6"/>
      <c r="X532" s="6"/>
      <c r="Y532" s="6"/>
      <c r="Z532" s="6"/>
      <c r="AA532" s="6"/>
      <c r="AB532" s="6"/>
    </row>
    <row r="533" hidden="1">
      <c r="A533" s="13" t="str">
        <f t="shared" si="1"/>
        <v>5f2c34fd5b6dd080ba3cd27f</v>
      </c>
      <c r="B533" s="13"/>
      <c r="C533" s="13" t="s">
        <v>46</v>
      </c>
      <c r="D533" s="36" t="s">
        <v>1000</v>
      </c>
      <c r="E533" s="15" t="s">
        <v>769</v>
      </c>
      <c r="F533" s="15" t="s">
        <v>770</v>
      </c>
      <c r="G533" s="76" t="s">
        <v>378</v>
      </c>
      <c r="H533" s="18" t="s">
        <v>1170</v>
      </c>
      <c r="I533" s="36" t="s">
        <v>1171</v>
      </c>
      <c r="J533" s="36" t="s">
        <v>1172</v>
      </c>
      <c r="K533" s="34"/>
      <c r="L533" s="8"/>
      <c r="M533" s="28"/>
      <c r="N533" s="6" t="b">
        <v>0</v>
      </c>
      <c r="O533" s="6" t="b">
        <v>0</v>
      </c>
      <c r="P533" s="6"/>
      <c r="Q533" s="6"/>
      <c r="R533" s="6"/>
      <c r="S533" s="6"/>
      <c r="T533" s="6"/>
      <c r="U533" s="6"/>
      <c r="V533" s="6"/>
      <c r="W533" s="6"/>
      <c r="X533" s="6"/>
      <c r="Y533" s="6"/>
      <c r="Z533" s="6"/>
      <c r="AA533" s="6"/>
      <c r="AB533" s="6"/>
    </row>
    <row r="534" hidden="1">
      <c r="A534" s="13" t="str">
        <f t="shared" si="1"/>
        <v>60358b632d2332e6e3a1c8c8</v>
      </c>
      <c r="B534" s="13"/>
      <c r="C534" s="13" t="s">
        <v>46</v>
      </c>
      <c r="D534" s="39" t="s">
        <v>1000</v>
      </c>
      <c r="E534" s="61" t="s">
        <v>859</v>
      </c>
      <c r="F534" s="61" t="s">
        <v>860</v>
      </c>
      <c r="G534" s="37" t="s">
        <v>418</v>
      </c>
      <c r="H534" s="39" t="s">
        <v>53</v>
      </c>
      <c r="I534" s="39" t="s">
        <v>1173</v>
      </c>
      <c r="J534" s="61" t="s">
        <v>862</v>
      </c>
      <c r="K534" s="39"/>
      <c r="L534" s="8"/>
      <c r="M534" s="28"/>
      <c r="N534" s="6" t="b">
        <v>0</v>
      </c>
      <c r="O534" s="6" t="b">
        <v>0</v>
      </c>
      <c r="P534" s="6"/>
      <c r="Q534" s="6"/>
      <c r="R534" s="6"/>
      <c r="S534" s="6"/>
      <c r="T534" s="6"/>
      <c r="U534" s="6"/>
      <c r="V534" s="6"/>
      <c r="W534" s="6"/>
      <c r="X534" s="6"/>
      <c r="Y534" s="6"/>
      <c r="Z534" s="6"/>
      <c r="AA534" s="6"/>
      <c r="AB534" s="6"/>
    </row>
    <row r="535" hidden="1">
      <c r="A535" s="13" t="str">
        <f t="shared" si="1"/>
        <v/>
      </c>
      <c r="B535" s="13"/>
      <c r="C535" s="13" t="s">
        <v>46</v>
      </c>
      <c r="D535" s="116"/>
      <c r="E535" s="14"/>
      <c r="F535" s="14"/>
      <c r="G535" s="72"/>
      <c r="H535" s="39"/>
      <c r="I535" s="117"/>
      <c r="J535" s="116"/>
      <c r="K535" s="81"/>
      <c r="L535" s="8"/>
      <c r="M535" s="28"/>
      <c r="N535" s="6" t="b">
        <v>0</v>
      </c>
      <c r="O535" s="6" t="b">
        <v>0</v>
      </c>
      <c r="P535" s="6"/>
      <c r="Q535" s="6"/>
      <c r="R535" s="6"/>
      <c r="S535" s="6"/>
      <c r="T535" s="6"/>
      <c r="U535" s="6"/>
      <c r="V535" s="6"/>
      <c r="W535" s="6"/>
      <c r="X535" s="6"/>
      <c r="Y535" s="6"/>
      <c r="Z535" s="6"/>
      <c r="AA535" s="6"/>
      <c r="AB535" s="6"/>
    </row>
    <row r="536" hidden="1">
      <c r="A536" s="13" t="str">
        <f t="shared" si="1"/>
        <v/>
      </c>
      <c r="B536" s="13"/>
      <c r="C536" s="13" t="s">
        <v>46</v>
      </c>
      <c r="D536" s="39"/>
      <c r="E536" s="61"/>
      <c r="F536" s="61"/>
      <c r="G536" s="37"/>
      <c r="H536" s="39"/>
      <c r="I536" s="39"/>
      <c r="J536" s="61"/>
      <c r="K536" s="8"/>
      <c r="L536" s="30"/>
      <c r="M536" s="31"/>
      <c r="N536" s="6" t="b">
        <v>0</v>
      </c>
      <c r="O536" s="6" t="b">
        <v>0</v>
      </c>
      <c r="P536" s="6"/>
      <c r="Q536" s="6"/>
      <c r="R536" s="6"/>
      <c r="S536" s="6"/>
      <c r="T536" s="6"/>
      <c r="U536" s="6"/>
      <c r="V536" s="6"/>
      <c r="W536" s="6"/>
      <c r="X536" s="6"/>
      <c r="Y536" s="6"/>
      <c r="Z536" s="6"/>
      <c r="AA536" s="6"/>
      <c r="AB536" s="6"/>
    </row>
    <row r="537" hidden="1">
      <c r="A537" s="13" t="str">
        <f t="shared" si="1"/>
        <v/>
      </c>
      <c r="B537" s="94"/>
      <c r="C537" s="94">
        <v>44272.0</v>
      </c>
      <c r="D537" s="8"/>
      <c r="E537" s="9"/>
      <c r="F537" s="10"/>
      <c r="G537" s="10"/>
      <c r="H537" s="10"/>
      <c r="I537" s="10"/>
      <c r="J537" s="10"/>
      <c r="K537" s="10"/>
      <c r="L537" s="11"/>
      <c r="M537" s="12"/>
      <c r="N537" s="6"/>
      <c r="O537" s="6"/>
      <c r="P537" s="6"/>
      <c r="Q537" s="6"/>
      <c r="R537" s="6"/>
      <c r="S537" s="6"/>
      <c r="T537" s="6"/>
      <c r="U537" s="6"/>
      <c r="V537" s="6"/>
      <c r="W537" s="6"/>
      <c r="X537" s="6"/>
      <c r="Y537" s="6"/>
      <c r="Z537" s="6"/>
      <c r="AA537" s="6"/>
      <c r="AB537" s="6"/>
    </row>
    <row r="538" hidden="1">
      <c r="A538" s="13" t="str">
        <f t="shared" si="1"/>
        <v/>
      </c>
      <c r="B538" s="13"/>
      <c r="C538" s="13" t="s">
        <v>13</v>
      </c>
      <c r="D538" s="101"/>
      <c r="E538" s="61"/>
      <c r="F538" s="61"/>
      <c r="G538" s="100"/>
      <c r="H538" s="101"/>
      <c r="I538" s="101"/>
      <c r="J538" s="61"/>
      <c r="K538" s="34"/>
      <c r="L538" s="8"/>
      <c r="M538" s="28"/>
      <c r="N538" s="6" t="b">
        <v>0</v>
      </c>
      <c r="O538" s="6" t="b">
        <v>0</v>
      </c>
      <c r="P538" s="6"/>
      <c r="Q538" s="6"/>
      <c r="R538" s="6"/>
      <c r="S538" s="6"/>
      <c r="T538" s="6"/>
      <c r="U538" s="6"/>
      <c r="V538" s="6"/>
      <c r="W538" s="6"/>
      <c r="X538" s="6"/>
      <c r="Y538" s="6"/>
      <c r="Z538" s="6"/>
      <c r="AA538" s="6"/>
      <c r="AB538" s="6"/>
    </row>
    <row r="539" hidden="1">
      <c r="A539" s="13" t="str">
        <f t="shared" si="1"/>
        <v>5f352bedda66dc55c6d6e977</v>
      </c>
      <c r="B539" s="13"/>
      <c r="C539" s="13" t="s">
        <v>13</v>
      </c>
      <c r="D539" s="36" t="s">
        <v>1000</v>
      </c>
      <c r="E539" s="62" t="s">
        <v>512</v>
      </c>
      <c r="F539" s="62" t="s">
        <v>513</v>
      </c>
      <c r="G539" s="105" t="s">
        <v>337</v>
      </c>
      <c r="H539" s="18" t="s">
        <v>514</v>
      </c>
      <c r="I539" s="27" t="s">
        <v>1174</v>
      </c>
      <c r="J539" s="62" t="s">
        <v>1175</v>
      </c>
      <c r="K539" s="19"/>
      <c r="L539" s="18">
        <v>34.0</v>
      </c>
      <c r="M539" s="98"/>
      <c r="N539" s="21" t="b">
        <v>0</v>
      </c>
      <c r="O539" s="21" t="b">
        <v>0</v>
      </c>
      <c r="P539" s="6"/>
      <c r="Q539" s="6"/>
      <c r="R539" s="6"/>
      <c r="S539" s="6"/>
      <c r="T539" s="6"/>
      <c r="U539" s="6"/>
      <c r="V539" s="6"/>
      <c r="W539" s="6"/>
      <c r="X539" s="6"/>
      <c r="Y539" s="6"/>
      <c r="Z539" s="6"/>
      <c r="AA539" s="6"/>
      <c r="AB539" s="6"/>
    </row>
    <row r="540" hidden="1">
      <c r="A540" s="13" t="str">
        <f t="shared" si="1"/>
        <v/>
      </c>
      <c r="B540" s="13"/>
      <c r="C540" s="13" t="s">
        <v>13</v>
      </c>
      <c r="D540" s="61"/>
      <c r="E540" s="61"/>
      <c r="F540" s="61"/>
      <c r="G540" s="121"/>
      <c r="H540" s="39"/>
      <c r="I540" s="39"/>
      <c r="J540" s="71"/>
      <c r="K540" s="34"/>
      <c r="L540" s="8"/>
      <c r="M540" s="28"/>
      <c r="N540" s="6" t="b">
        <v>0</v>
      </c>
      <c r="O540" s="6" t="b">
        <v>0</v>
      </c>
      <c r="P540" s="6"/>
      <c r="Q540" s="6"/>
      <c r="R540" s="6"/>
      <c r="S540" s="6"/>
      <c r="T540" s="6"/>
      <c r="U540" s="6"/>
      <c r="V540" s="6"/>
      <c r="W540" s="6"/>
      <c r="X540" s="6"/>
      <c r="Y540" s="6"/>
      <c r="Z540" s="6"/>
      <c r="AA540" s="6"/>
      <c r="AB540" s="6"/>
    </row>
    <row r="541" hidden="1">
      <c r="A541" s="13" t="str">
        <f t="shared" si="1"/>
        <v/>
      </c>
      <c r="B541" s="13"/>
      <c r="C541" s="13" t="s">
        <v>13</v>
      </c>
      <c r="D541" s="61"/>
      <c r="E541" s="61"/>
      <c r="F541" s="71"/>
      <c r="G541" s="37"/>
      <c r="H541" s="39"/>
      <c r="I541" s="39"/>
      <c r="J541" s="71"/>
      <c r="K541" s="8"/>
      <c r="L541" s="8"/>
      <c r="M541" s="28"/>
      <c r="N541" s="6" t="b">
        <v>0</v>
      </c>
      <c r="O541" s="6" t="b">
        <v>0</v>
      </c>
      <c r="P541" s="6"/>
      <c r="Q541" s="6"/>
      <c r="R541" s="6"/>
      <c r="S541" s="6"/>
      <c r="T541" s="6"/>
      <c r="U541" s="6"/>
      <c r="V541" s="6"/>
      <c r="W541" s="6"/>
      <c r="X541" s="6"/>
      <c r="Y541" s="6"/>
      <c r="Z541" s="6"/>
      <c r="AA541" s="6"/>
      <c r="AB541" s="6"/>
    </row>
    <row r="542" hidden="1">
      <c r="A542" s="13" t="str">
        <f t="shared" si="1"/>
        <v>5f329ce0fb6dd9c3badd3098</v>
      </c>
      <c r="B542" s="13"/>
      <c r="C542" s="13" t="s">
        <v>13</v>
      </c>
      <c r="D542" s="69" t="s">
        <v>1000</v>
      </c>
      <c r="E542" s="73" t="s">
        <v>681</v>
      </c>
      <c r="F542" s="73" t="s">
        <v>682</v>
      </c>
      <c r="G542" s="58" t="s">
        <v>378</v>
      </c>
      <c r="H542" s="73" t="s">
        <v>269</v>
      </c>
      <c r="I542" s="44" t="s">
        <v>1176</v>
      </c>
      <c r="J542" s="73" t="s">
        <v>684</v>
      </c>
      <c r="K542" s="63"/>
      <c r="L542" s="45"/>
      <c r="M542" s="46"/>
      <c r="N542" s="47" t="b">
        <v>0</v>
      </c>
      <c r="O542" s="47" t="b">
        <v>0</v>
      </c>
      <c r="P542" s="6"/>
      <c r="Q542" s="6"/>
      <c r="R542" s="6"/>
      <c r="S542" s="6"/>
      <c r="T542" s="6"/>
      <c r="U542" s="6"/>
      <c r="V542" s="6"/>
      <c r="W542" s="6"/>
      <c r="X542" s="6"/>
      <c r="Y542" s="6"/>
      <c r="Z542" s="6"/>
      <c r="AA542" s="6"/>
      <c r="AB542" s="6"/>
    </row>
    <row r="543" hidden="1">
      <c r="A543" s="13" t="str">
        <f t="shared" si="1"/>
        <v/>
      </c>
      <c r="B543" s="13"/>
      <c r="C543" s="13" t="s">
        <v>13</v>
      </c>
      <c r="D543" s="8"/>
      <c r="E543" s="8"/>
      <c r="F543" s="8"/>
      <c r="G543" s="29"/>
      <c r="H543" s="8"/>
      <c r="I543" s="8"/>
      <c r="J543" s="8"/>
      <c r="K543" s="8"/>
      <c r="L543" s="30"/>
      <c r="M543" s="31"/>
      <c r="N543" s="6" t="b">
        <v>0</v>
      </c>
      <c r="O543" s="6" t="b">
        <v>0</v>
      </c>
      <c r="P543" s="6"/>
      <c r="Q543" s="6"/>
      <c r="R543" s="6"/>
      <c r="S543" s="6"/>
      <c r="T543" s="6"/>
      <c r="U543" s="6"/>
      <c r="V543" s="6"/>
      <c r="W543" s="6"/>
      <c r="X543" s="6"/>
      <c r="Y543" s="6"/>
      <c r="Z543" s="6"/>
      <c r="AA543" s="6"/>
      <c r="AB543" s="6"/>
    </row>
    <row r="544" hidden="1">
      <c r="A544" s="13" t="str">
        <f t="shared" si="1"/>
        <v/>
      </c>
      <c r="B544" s="13"/>
      <c r="C544" s="13" t="s">
        <v>31</v>
      </c>
      <c r="D544" s="8"/>
      <c r="E544" s="8"/>
      <c r="F544" s="8"/>
      <c r="G544" s="37"/>
      <c r="H544" s="8"/>
      <c r="I544" s="8"/>
      <c r="J544" s="8"/>
      <c r="K544" s="34"/>
      <c r="L544" s="8"/>
      <c r="M544" s="28"/>
      <c r="N544" s="6" t="b">
        <v>0</v>
      </c>
      <c r="O544" s="6" t="b">
        <v>0</v>
      </c>
      <c r="P544" s="6"/>
      <c r="Q544" s="6"/>
      <c r="R544" s="6"/>
      <c r="S544" s="6"/>
      <c r="T544" s="6"/>
      <c r="U544" s="6"/>
      <c r="V544" s="6"/>
      <c r="W544" s="6"/>
      <c r="X544" s="6"/>
      <c r="Y544" s="6"/>
      <c r="Z544" s="6"/>
      <c r="AA544" s="6"/>
      <c r="AB544" s="6"/>
    </row>
    <row r="545" hidden="1">
      <c r="A545" s="13" t="str">
        <f t="shared" si="1"/>
        <v/>
      </c>
      <c r="B545" s="13"/>
      <c r="C545" s="13" t="s">
        <v>31</v>
      </c>
      <c r="D545" s="61"/>
      <c r="E545" s="61"/>
      <c r="F545" s="61"/>
      <c r="G545" s="100"/>
      <c r="H545" s="39"/>
      <c r="I545" s="39"/>
      <c r="J545" s="61"/>
      <c r="K545" s="34"/>
      <c r="L545" s="8"/>
      <c r="M545" s="28"/>
      <c r="N545" s="6" t="b">
        <v>0</v>
      </c>
      <c r="O545" s="6" t="b">
        <v>0</v>
      </c>
      <c r="P545" s="6"/>
      <c r="Q545" s="6"/>
      <c r="R545" s="6"/>
      <c r="S545" s="6"/>
      <c r="T545" s="6"/>
      <c r="U545" s="6"/>
      <c r="V545" s="6"/>
      <c r="W545" s="6"/>
      <c r="X545" s="6"/>
      <c r="Y545" s="6"/>
      <c r="Z545" s="6"/>
      <c r="AA545" s="6"/>
      <c r="AB545" s="6"/>
    </row>
    <row r="546" hidden="1">
      <c r="A546" s="13" t="str">
        <f t="shared" si="1"/>
        <v/>
      </c>
      <c r="B546" s="13"/>
      <c r="C546" s="13" t="s">
        <v>31</v>
      </c>
      <c r="D546" s="61"/>
      <c r="E546" s="61"/>
      <c r="F546" s="61"/>
      <c r="G546" s="37"/>
      <c r="H546" s="39"/>
      <c r="I546" s="61"/>
      <c r="J546" s="61"/>
      <c r="K546" s="34"/>
      <c r="L546" s="8"/>
      <c r="M546" s="28"/>
      <c r="N546" s="6" t="b">
        <v>0</v>
      </c>
      <c r="O546" s="6" t="b">
        <v>0</v>
      </c>
      <c r="P546" s="6"/>
      <c r="Q546" s="6"/>
      <c r="R546" s="6"/>
      <c r="S546" s="6"/>
      <c r="T546" s="6"/>
      <c r="U546" s="6"/>
      <c r="V546" s="6"/>
      <c r="W546" s="6"/>
      <c r="X546" s="6"/>
      <c r="Y546" s="6"/>
      <c r="Z546" s="6"/>
      <c r="AA546" s="6"/>
      <c r="AB546" s="6"/>
    </row>
    <row r="547" hidden="1">
      <c r="A547" s="13" t="str">
        <f t="shared" si="1"/>
        <v>602a2ffe55fa6184a8fd7cc9</v>
      </c>
      <c r="B547" s="13"/>
      <c r="C547" s="13" t="s">
        <v>31</v>
      </c>
      <c r="D547" s="73" t="s">
        <v>1000</v>
      </c>
      <c r="E547" s="73" t="s">
        <v>911</v>
      </c>
      <c r="F547" s="73" t="s">
        <v>912</v>
      </c>
      <c r="G547" s="70" t="s">
        <v>378</v>
      </c>
      <c r="H547" s="44" t="s">
        <v>1177</v>
      </c>
      <c r="I547" s="44" t="s">
        <v>1178</v>
      </c>
      <c r="J547" s="73" t="s">
        <v>1179</v>
      </c>
      <c r="K547" s="45"/>
      <c r="L547" s="45"/>
      <c r="M547" s="46"/>
      <c r="N547" s="47" t="b">
        <v>0</v>
      </c>
      <c r="O547" s="47" t="b">
        <v>0</v>
      </c>
      <c r="P547" s="6"/>
      <c r="Q547" s="6"/>
      <c r="R547" s="6"/>
      <c r="S547" s="6"/>
      <c r="T547" s="6"/>
      <c r="U547" s="6"/>
      <c r="V547" s="6"/>
      <c r="W547" s="6"/>
      <c r="X547" s="6"/>
      <c r="Y547" s="6"/>
      <c r="Z547" s="6"/>
      <c r="AA547" s="6"/>
      <c r="AB547" s="6"/>
    </row>
    <row r="548" hidden="1">
      <c r="A548" s="13" t="str">
        <f t="shared" si="1"/>
        <v>5fecb6024f55ab25f19d4f34</v>
      </c>
      <c r="B548" s="13"/>
      <c r="C548" s="13" t="s">
        <v>31</v>
      </c>
      <c r="D548" s="62" t="s">
        <v>1000</v>
      </c>
      <c r="E548" s="62" t="s">
        <v>673</v>
      </c>
      <c r="F548" s="62" t="s">
        <v>674</v>
      </c>
      <c r="G548" s="16" t="s">
        <v>418</v>
      </c>
      <c r="H548" s="18" t="s">
        <v>269</v>
      </c>
      <c r="I548" s="62" t="s">
        <v>1180</v>
      </c>
      <c r="J548" s="62" t="s">
        <v>676</v>
      </c>
      <c r="K548" s="19"/>
      <c r="L548" s="18">
        <v>29.0</v>
      </c>
      <c r="M548" s="28"/>
      <c r="N548" s="6" t="b">
        <v>0</v>
      </c>
      <c r="O548" s="6" t="b">
        <v>0</v>
      </c>
      <c r="P548" s="6"/>
      <c r="Q548" s="6"/>
      <c r="R548" s="6"/>
      <c r="S548" s="6"/>
      <c r="T548" s="6"/>
      <c r="U548" s="6"/>
      <c r="V548" s="6"/>
      <c r="W548" s="6"/>
      <c r="X548" s="6"/>
      <c r="Y548" s="6"/>
      <c r="Z548" s="6"/>
      <c r="AA548" s="6"/>
      <c r="AB548" s="6"/>
    </row>
    <row r="549" hidden="1">
      <c r="A549" s="13" t="str">
        <f t="shared" si="1"/>
        <v/>
      </c>
      <c r="B549" s="13"/>
      <c r="C549" s="13" t="s">
        <v>31</v>
      </c>
      <c r="D549" s="8"/>
      <c r="E549" s="8"/>
      <c r="F549" s="8"/>
      <c r="G549" s="29"/>
      <c r="H549" s="8"/>
      <c r="I549" s="8"/>
      <c r="J549" s="8"/>
      <c r="K549" s="8"/>
      <c r="L549" s="30"/>
      <c r="M549" s="31"/>
      <c r="N549" s="6" t="b">
        <v>0</v>
      </c>
      <c r="O549" s="6" t="b">
        <v>0</v>
      </c>
      <c r="P549" s="6"/>
      <c r="Q549" s="6"/>
      <c r="R549" s="6"/>
      <c r="S549" s="6"/>
      <c r="T549" s="6"/>
      <c r="U549" s="6"/>
      <c r="V549" s="6"/>
      <c r="W549" s="6"/>
      <c r="X549" s="6"/>
      <c r="Y549" s="6"/>
      <c r="Z549" s="6"/>
      <c r="AA549" s="6"/>
      <c r="AB549" s="6"/>
    </row>
    <row r="550" hidden="1">
      <c r="A550" s="13" t="str">
        <f t="shared" si="1"/>
        <v/>
      </c>
      <c r="B550" s="13"/>
      <c r="C550" s="13" t="s">
        <v>46</v>
      </c>
      <c r="D550" s="8"/>
      <c r="E550" s="8"/>
      <c r="F550" s="8"/>
      <c r="G550" s="29"/>
      <c r="H550" s="8"/>
      <c r="I550" s="8"/>
      <c r="J550" s="8"/>
      <c r="K550" s="34"/>
      <c r="L550" s="8"/>
      <c r="M550" s="28"/>
      <c r="N550" s="6" t="b">
        <v>0</v>
      </c>
      <c r="O550" s="6" t="b">
        <v>0</v>
      </c>
      <c r="P550" s="6"/>
      <c r="Q550" s="6"/>
      <c r="R550" s="6"/>
      <c r="S550" s="6"/>
      <c r="T550" s="6"/>
      <c r="U550" s="6"/>
      <c r="V550" s="6"/>
      <c r="W550" s="6"/>
      <c r="X550" s="6"/>
      <c r="Y550" s="6"/>
      <c r="Z550" s="6"/>
      <c r="AA550" s="6"/>
      <c r="AB550" s="6"/>
    </row>
    <row r="551" hidden="1">
      <c r="A551" s="13" t="str">
        <f t="shared" si="1"/>
        <v/>
      </c>
      <c r="B551" s="13"/>
      <c r="C551" s="13" t="s">
        <v>46</v>
      </c>
      <c r="D551" s="14"/>
      <c r="E551" s="14"/>
      <c r="F551" s="14"/>
      <c r="G551" s="37"/>
      <c r="H551" s="39"/>
      <c r="I551" s="39"/>
      <c r="J551" s="14"/>
      <c r="K551" s="34"/>
      <c r="L551" s="8"/>
      <c r="M551" s="28"/>
      <c r="N551" s="6" t="b">
        <v>0</v>
      </c>
      <c r="O551" s="6" t="b">
        <v>0</v>
      </c>
      <c r="P551" s="6"/>
      <c r="Q551" s="6"/>
      <c r="R551" s="6"/>
      <c r="S551" s="6"/>
      <c r="T551" s="6"/>
      <c r="U551" s="6"/>
      <c r="V551" s="6"/>
      <c r="W551" s="6"/>
      <c r="X551" s="6"/>
      <c r="Y551" s="6"/>
      <c r="Z551" s="6"/>
      <c r="AA551" s="6"/>
      <c r="AB551" s="6"/>
    </row>
    <row r="552" hidden="1">
      <c r="A552" s="13" t="str">
        <f t="shared" si="1"/>
        <v/>
      </c>
      <c r="B552" s="13"/>
      <c r="C552" s="13" t="s">
        <v>46</v>
      </c>
      <c r="D552" s="68"/>
      <c r="E552" s="71"/>
      <c r="F552" s="71"/>
      <c r="G552" s="37"/>
      <c r="H552" s="39"/>
      <c r="I552" s="39"/>
      <c r="J552" s="71"/>
      <c r="K552" s="34"/>
      <c r="L552" s="8"/>
      <c r="M552" s="28"/>
      <c r="N552" s="6" t="b">
        <v>0</v>
      </c>
      <c r="O552" s="6" t="b">
        <v>0</v>
      </c>
      <c r="P552" s="6"/>
      <c r="Q552" s="6"/>
      <c r="R552" s="6"/>
      <c r="S552" s="6"/>
      <c r="T552" s="6"/>
      <c r="U552" s="6"/>
      <c r="V552" s="6"/>
      <c r="W552" s="6"/>
      <c r="X552" s="6"/>
      <c r="Y552" s="6"/>
      <c r="Z552" s="6"/>
      <c r="AA552" s="6"/>
      <c r="AB552" s="6"/>
    </row>
    <row r="553" hidden="1">
      <c r="A553" s="13" t="str">
        <f t="shared" si="1"/>
        <v/>
      </c>
      <c r="B553" s="13"/>
      <c r="C553" s="13" t="s">
        <v>46</v>
      </c>
      <c r="D553" s="68"/>
      <c r="E553" s="71"/>
      <c r="F553" s="71"/>
      <c r="G553" s="72"/>
      <c r="H553" s="39"/>
      <c r="I553" s="38"/>
      <c r="J553" s="71"/>
      <c r="K553" s="39"/>
      <c r="L553" s="8"/>
      <c r="M553" s="28"/>
      <c r="N553" s="6" t="b">
        <v>0</v>
      </c>
      <c r="O553" s="6" t="b">
        <v>0</v>
      </c>
      <c r="P553" s="6"/>
      <c r="Q553" s="6"/>
      <c r="R553" s="6"/>
      <c r="S553" s="6"/>
      <c r="T553" s="6"/>
      <c r="U553" s="6"/>
      <c r="V553" s="6"/>
      <c r="W553" s="6"/>
      <c r="X553" s="6"/>
      <c r="Y553" s="6"/>
      <c r="Z553" s="6"/>
      <c r="AA553" s="6"/>
      <c r="AB553" s="6"/>
    </row>
    <row r="554" hidden="1">
      <c r="A554" s="13" t="str">
        <f t="shared" si="1"/>
        <v>5f91bc6320c352919c86d38b</v>
      </c>
      <c r="B554" s="13"/>
      <c r="C554" s="13" t="s">
        <v>46</v>
      </c>
      <c r="D554" s="116" t="s">
        <v>1000</v>
      </c>
      <c r="E554" s="61" t="s">
        <v>1181</v>
      </c>
      <c r="F554" s="61" t="s">
        <v>1182</v>
      </c>
      <c r="G554" s="72" t="s">
        <v>1016</v>
      </c>
      <c r="H554" s="39" t="s">
        <v>1183</v>
      </c>
      <c r="I554" s="117" t="s">
        <v>1184</v>
      </c>
      <c r="J554" s="61" t="s">
        <v>1185</v>
      </c>
      <c r="K554" s="81"/>
      <c r="L554" s="39">
        <v>72.0</v>
      </c>
      <c r="M554" s="28"/>
      <c r="N554" s="6" t="b">
        <v>0</v>
      </c>
      <c r="O554" s="6" t="b">
        <v>0</v>
      </c>
      <c r="P554" s="6"/>
      <c r="Q554" s="6"/>
      <c r="R554" s="6"/>
      <c r="S554" s="6"/>
      <c r="T554" s="6"/>
      <c r="U554" s="6"/>
      <c r="V554" s="6"/>
      <c r="W554" s="6"/>
      <c r="X554" s="6"/>
      <c r="Y554" s="6"/>
      <c r="Z554" s="6"/>
      <c r="AA554" s="6"/>
      <c r="AB554" s="6"/>
    </row>
    <row r="555" hidden="1">
      <c r="A555" s="13" t="str">
        <f t="shared" si="1"/>
        <v/>
      </c>
      <c r="B555" s="13"/>
      <c r="C555" s="13" t="s">
        <v>46</v>
      </c>
      <c r="D555" s="8"/>
      <c r="E555" s="8"/>
      <c r="F555" s="8"/>
      <c r="G555" s="29"/>
      <c r="H555" s="8"/>
      <c r="I555" s="8"/>
      <c r="J555" s="8"/>
      <c r="K555" s="8"/>
      <c r="L555" s="30"/>
      <c r="M555" s="31"/>
      <c r="N555" s="6" t="b">
        <v>0</v>
      </c>
      <c r="O555" s="6" t="b">
        <v>0</v>
      </c>
      <c r="P555" s="6"/>
      <c r="Q555" s="6"/>
      <c r="R555" s="6"/>
      <c r="S555" s="6"/>
      <c r="T555" s="6"/>
      <c r="U555" s="6"/>
      <c r="V555" s="6"/>
      <c r="W555" s="6"/>
      <c r="X555" s="6"/>
      <c r="Y555" s="6"/>
      <c r="Z555" s="6"/>
      <c r="AA555" s="6"/>
      <c r="AB555" s="6"/>
    </row>
    <row r="556" hidden="1">
      <c r="A556" s="13" t="str">
        <f t="shared" si="1"/>
        <v/>
      </c>
      <c r="B556" s="94"/>
      <c r="C556" s="94">
        <v>44273.0</v>
      </c>
      <c r="D556" s="8"/>
      <c r="E556" s="9"/>
      <c r="F556" s="10"/>
      <c r="G556" s="10"/>
      <c r="H556" s="10"/>
      <c r="I556" s="10"/>
      <c r="J556" s="10"/>
      <c r="K556" s="10"/>
      <c r="L556" s="11"/>
      <c r="M556" s="12"/>
      <c r="N556" s="6"/>
      <c r="O556" s="6"/>
      <c r="P556" s="6"/>
      <c r="Q556" s="6"/>
      <c r="R556" s="6"/>
      <c r="S556" s="6"/>
      <c r="T556" s="6"/>
      <c r="U556" s="6"/>
      <c r="V556" s="6"/>
      <c r="W556" s="6"/>
      <c r="X556" s="6"/>
      <c r="Y556" s="6"/>
      <c r="Z556" s="6"/>
      <c r="AA556" s="6"/>
      <c r="AB556" s="6"/>
    </row>
    <row r="557" hidden="1">
      <c r="A557" s="13" t="str">
        <f t="shared" si="1"/>
        <v>5f3515617199f827028fcefe</v>
      </c>
      <c r="B557" s="13"/>
      <c r="C557" s="13" t="s">
        <v>13</v>
      </c>
      <c r="D557" s="101" t="s">
        <v>1000</v>
      </c>
      <c r="E557" s="61" t="s">
        <v>474</v>
      </c>
      <c r="F557" s="61" t="s">
        <v>475</v>
      </c>
      <c r="G557" s="120" t="s">
        <v>412</v>
      </c>
      <c r="H557" s="101" t="s">
        <v>384</v>
      </c>
      <c r="I557" s="61" t="s">
        <v>1186</v>
      </c>
      <c r="J557" s="61" t="s">
        <v>477</v>
      </c>
      <c r="K557" s="34"/>
      <c r="L557" s="39">
        <v>6.0</v>
      </c>
      <c r="M557" s="28"/>
      <c r="N557" s="6" t="b">
        <v>0</v>
      </c>
      <c r="O557" s="6" t="b">
        <v>0</v>
      </c>
      <c r="P557" s="6"/>
      <c r="Q557" s="6"/>
      <c r="R557" s="6"/>
      <c r="S557" s="6"/>
      <c r="T557" s="6"/>
      <c r="U557" s="6"/>
      <c r="V557" s="6"/>
      <c r="W557" s="6"/>
      <c r="X557" s="6"/>
      <c r="Y557" s="6"/>
      <c r="Z557" s="6"/>
      <c r="AA557" s="6"/>
      <c r="AB557" s="6"/>
    </row>
    <row r="558" hidden="1">
      <c r="A558" s="13" t="str">
        <f t="shared" si="1"/>
        <v>5f680f5bfbf4616e931b6e8a</v>
      </c>
      <c r="B558" s="13"/>
      <c r="C558" s="13" t="s">
        <v>13</v>
      </c>
      <c r="D558" s="116" t="s">
        <v>1000</v>
      </c>
      <c r="E558" s="125" t="s">
        <v>1187</v>
      </c>
      <c r="F558" s="125" t="s">
        <v>1188</v>
      </c>
      <c r="G558" s="120" t="s">
        <v>337</v>
      </c>
      <c r="H558" s="39" t="s">
        <v>514</v>
      </c>
      <c r="I558" s="117" t="s">
        <v>1189</v>
      </c>
      <c r="J558" s="125" t="s">
        <v>1190</v>
      </c>
      <c r="K558" s="34"/>
      <c r="L558" s="39">
        <v>44.0</v>
      </c>
      <c r="M558" s="28"/>
      <c r="N558" s="6" t="b">
        <v>0</v>
      </c>
      <c r="O558" s="6" t="b">
        <v>0</v>
      </c>
      <c r="P558" s="6"/>
      <c r="Q558" s="6"/>
      <c r="R558" s="6"/>
      <c r="S558" s="6"/>
      <c r="T558" s="6"/>
      <c r="U558" s="6"/>
      <c r="V558" s="6"/>
      <c r="W558" s="6"/>
      <c r="X558" s="6"/>
      <c r="Y558" s="6"/>
      <c r="Z558" s="6"/>
      <c r="AA558" s="6"/>
      <c r="AB558" s="6"/>
    </row>
    <row r="559" hidden="1">
      <c r="A559" s="13" t="str">
        <f t="shared" si="1"/>
        <v/>
      </c>
      <c r="B559" s="13"/>
      <c r="C559" s="13" t="s">
        <v>13</v>
      </c>
      <c r="D559" s="61"/>
      <c r="E559" s="61"/>
      <c r="F559" s="61"/>
      <c r="G559" s="121"/>
      <c r="H559" s="39"/>
      <c r="I559" s="39"/>
      <c r="J559" s="71"/>
      <c r="K559" s="34"/>
      <c r="L559" s="8"/>
      <c r="M559" s="28"/>
      <c r="N559" s="6" t="b">
        <v>0</v>
      </c>
      <c r="O559" s="6" t="b">
        <v>0</v>
      </c>
      <c r="P559" s="6"/>
      <c r="Q559" s="6"/>
      <c r="R559" s="6"/>
      <c r="S559" s="6"/>
      <c r="T559" s="6"/>
      <c r="U559" s="6"/>
      <c r="V559" s="6"/>
      <c r="W559" s="6"/>
      <c r="X559" s="6"/>
      <c r="Y559" s="6"/>
      <c r="Z559" s="6"/>
      <c r="AA559" s="6"/>
      <c r="AB559" s="6"/>
    </row>
    <row r="560" hidden="1">
      <c r="A560" s="13" t="str">
        <f t="shared" si="1"/>
        <v/>
      </c>
      <c r="B560" s="13"/>
      <c r="C560" s="13" t="s">
        <v>13</v>
      </c>
      <c r="D560" s="61"/>
      <c r="E560" s="61"/>
      <c r="F560" s="71"/>
      <c r="G560" s="37"/>
      <c r="H560" s="39"/>
      <c r="I560" s="39"/>
      <c r="J560" s="71"/>
      <c r="K560" s="8"/>
      <c r="L560" s="8"/>
      <c r="M560" s="28"/>
      <c r="N560" s="6" t="b">
        <v>0</v>
      </c>
      <c r="O560" s="6" t="b">
        <v>0</v>
      </c>
      <c r="P560" s="6"/>
      <c r="Q560" s="6"/>
      <c r="R560" s="6"/>
      <c r="S560" s="6"/>
      <c r="T560" s="6"/>
      <c r="U560" s="6"/>
      <c r="V560" s="6"/>
      <c r="W560" s="6"/>
      <c r="X560" s="6"/>
      <c r="Y560" s="6"/>
      <c r="Z560" s="6"/>
      <c r="AA560" s="6"/>
      <c r="AB560" s="6"/>
    </row>
    <row r="561" hidden="1">
      <c r="A561" s="13" t="str">
        <f t="shared" si="1"/>
        <v/>
      </c>
      <c r="B561" s="13"/>
      <c r="C561" s="13" t="s">
        <v>13</v>
      </c>
      <c r="D561" s="68"/>
      <c r="E561" s="61"/>
      <c r="F561" s="61"/>
      <c r="G561" s="37"/>
      <c r="H561" s="39"/>
      <c r="I561" s="39"/>
      <c r="J561" s="61"/>
      <c r="K561" s="81"/>
      <c r="L561" s="8"/>
      <c r="M561" s="28"/>
      <c r="N561" s="6" t="b">
        <v>0</v>
      </c>
      <c r="O561" s="6" t="b">
        <v>0</v>
      </c>
      <c r="P561" s="6"/>
      <c r="Q561" s="6"/>
      <c r="R561" s="6"/>
      <c r="S561" s="6"/>
      <c r="T561" s="6"/>
      <c r="U561" s="6"/>
      <c r="V561" s="6"/>
      <c r="W561" s="6"/>
      <c r="X561" s="6"/>
      <c r="Y561" s="6"/>
      <c r="Z561" s="6"/>
      <c r="AA561" s="6"/>
      <c r="AB561" s="6"/>
    </row>
    <row r="562" hidden="1">
      <c r="A562" s="13" t="str">
        <f t="shared" si="1"/>
        <v/>
      </c>
      <c r="B562" s="13"/>
      <c r="C562" s="13" t="s">
        <v>13</v>
      </c>
      <c r="D562" s="8"/>
      <c r="E562" s="8"/>
      <c r="F562" s="8"/>
      <c r="G562" s="29"/>
      <c r="H562" s="8"/>
      <c r="I562" s="8"/>
      <c r="J562" s="8"/>
      <c r="K562" s="8"/>
      <c r="L562" s="30"/>
      <c r="M562" s="31"/>
      <c r="N562" s="6" t="b">
        <v>0</v>
      </c>
      <c r="O562" s="6" t="b">
        <v>0</v>
      </c>
      <c r="P562" s="6"/>
      <c r="Q562" s="6"/>
      <c r="R562" s="6"/>
      <c r="S562" s="6"/>
      <c r="T562" s="6"/>
      <c r="U562" s="6"/>
      <c r="V562" s="6"/>
      <c r="W562" s="6"/>
      <c r="X562" s="6"/>
      <c r="Y562" s="6"/>
      <c r="Z562" s="6"/>
      <c r="AA562" s="6"/>
      <c r="AB562" s="6"/>
    </row>
    <row r="563" hidden="1">
      <c r="A563" s="13" t="str">
        <f t="shared" si="1"/>
        <v/>
      </c>
      <c r="B563" s="13"/>
      <c r="C563" s="13" t="s">
        <v>31</v>
      </c>
      <c r="D563" s="8"/>
      <c r="E563" s="8"/>
      <c r="F563" s="8"/>
      <c r="G563" s="29"/>
      <c r="H563" s="8"/>
      <c r="I563" s="8"/>
      <c r="J563" s="8"/>
      <c r="K563" s="34"/>
      <c r="L563" s="8"/>
      <c r="M563" s="28"/>
      <c r="N563" s="6" t="b">
        <v>0</v>
      </c>
      <c r="O563" s="6" t="b">
        <v>0</v>
      </c>
      <c r="P563" s="6"/>
      <c r="Q563" s="6"/>
      <c r="R563" s="6"/>
      <c r="S563" s="6"/>
      <c r="T563" s="6"/>
      <c r="U563" s="6"/>
      <c r="V563" s="6"/>
      <c r="W563" s="6"/>
      <c r="X563" s="6"/>
      <c r="Y563" s="6"/>
      <c r="Z563" s="6"/>
      <c r="AA563" s="6"/>
      <c r="AB563" s="6"/>
    </row>
    <row r="564" hidden="1">
      <c r="A564" s="13" t="str">
        <f t="shared" si="1"/>
        <v/>
      </c>
      <c r="B564" s="13"/>
      <c r="C564" s="13" t="s">
        <v>31</v>
      </c>
      <c r="D564" s="61"/>
      <c r="E564" s="61"/>
      <c r="F564" s="61"/>
      <c r="G564" s="100"/>
      <c r="H564" s="39"/>
      <c r="I564" s="39"/>
      <c r="J564" s="61"/>
      <c r="K564" s="34"/>
      <c r="L564" s="8"/>
      <c r="M564" s="28"/>
      <c r="N564" s="6" t="b">
        <v>0</v>
      </c>
      <c r="O564" s="6" t="b">
        <v>0</v>
      </c>
      <c r="P564" s="6"/>
      <c r="Q564" s="6"/>
      <c r="R564" s="6"/>
      <c r="S564" s="6"/>
      <c r="T564" s="6"/>
      <c r="U564" s="6"/>
      <c r="V564" s="6"/>
      <c r="W564" s="6"/>
      <c r="X564" s="6"/>
      <c r="Y564" s="6"/>
      <c r="Z564" s="6"/>
      <c r="AA564" s="6"/>
      <c r="AB564" s="6"/>
    </row>
    <row r="565" hidden="1">
      <c r="A565" s="13" t="str">
        <f t="shared" si="1"/>
        <v/>
      </c>
      <c r="B565" s="13"/>
      <c r="C565" s="13" t="s">
        <v>31</v>
      </c>
      <c r="D565" s="61"/>
      <c r="E565" s="61"/>
      <c r="F565" s="61"/>
      <c r="G565" s="37"/>
      <c r="H565" s="39"/>
      <c r="I565" s="61"/>
      <c r="J565" s="61"/>
      <c r="K565" s="34"/>
      <c r="L565" s="8"/>
      <c r="M565" s="28"/>
      <c r="N565" s="6" t="b">
        <v>0</v>
      </c>
      <c r="O565" s="6" t="b">
        <v>0</v>
      </c>
      <c r="P565" s="6"/>
      <c r="Q565" s="6"/>
      <c r="R565" s="6"/>
      <c r="S565" s="6"/>
      <c r="T565" s="6"/>
      <c r="U565" s="6"/>
      <c r="V565" s="6"/>
      <c r="W565" s="6"/>
      <c r="X565" s="6"/>
      <c r="Y565" s="6"/>
      <c r="Z565" s="6"/>
      <c r="AA565" s="6"/>
      <c r="AB565" s="6"/>
    </row>
    <row r="566" hidden="1">
      <c r="A566" s="13" t="str">
        <f t="shared" si="1"/>
        <v/>
      </c>
      <c r="B566" s="13"/>
      <c r="C566" s="13" t="s">
        <v>31</v>
      </c>
      <c r="D566" s="61"/>
      <c r="E566" s="61"/>
      <c r="F566" s="61"/>
      <c r="G566" s="49"/>
      <c r="H566" s="39"/>
      <c r="I566" s="38"/>
      <c r="J566" s="61"/>
      <c r="K566" s="8"/>
      <c r="L566" s="8"/>
      <c r="M566" s="28"/>
      <c r="N566" s="6" t="b">
        <v>0</v>
      </c>
      <c r="O566" s="6" t="b">
        <v>0</v>
      </c>
      <c r="P566" s="6"/>
      <c r="Q566" s="6"/>
      <c r="R566" s="6"/>
      <c r="S566" s="6"/>
      <c r="T566" s="6"/>
      <c r="U566" s="6"/>
      <c r="V566" s="6"/>
      <c r="W566" s="6"/>
      <c r="X566" s="6"/>
      <c r="Y566" s="6"/>
      <c r="Z566" s="6"/>
      <c r="AA566" s="6"/>
      <c r="AB566" s="6"/>
    </row>
    <row r="567" hidden="1">
      <c r="A567" s="13" t="str">
        <f t="shared" si="1"/>
        <v/>
      </c>
      <c r="B567" s="13"/>
      <c r="C567" s="13" t="s">
        <v>31</v>
      </c>
      <c r="D567" s="61"/>
      <c r="E567" s="61"/>
      <c r="F567" s="61"/>
      <c r="G567" s="37"/>
      <c r="H567" s="39"/>
      <c r="I567" s="38"/>
      <c r="J567" s="61"/>
      <c r="K567" s="81"/>
      <c r="L567" s="8"/>
      <c r="M567" s="28"/>
      <c r="N567" s="6" t="b">
        <v>0</v>
      </c>
      <c r="O567" s="6" t="b">
        <v>0</v>
      </c>
      <c r="P567" s="6"/>
      <c r="Q567" s="6"/>
      <c r="R567" s="6"/>
      <c r="S567" s="6"/>
      <c r="T567" s="6"/>
      <c r="U567" s="6"/>
      <c r="V567" s="6"/>
      <c r="W567" s="6"/>
      <c r="X567" s="6"/>
      <c r="Y567" s="6"/>
      <c r="Z567" s="6"/>
      <c r="AA567" s="6"/>
      <c r="AB567" s="6"/>
    </row>
    <row r="568" hidden="1">
      <c r="A568" s="13" t="str">
        <f t="shared" si="1"/>
        <v/>
      </c>
      <c r="B568" s="13"/>
      <c r="C568" s="13" t="s">
        <v>31</v>
      </c>
      <c r="D568" s="8"/>
      <c r="E568" s="8"/>
      <c r="F568" s="8"/>
      <c r="G568" s="29"/>
      <c r="H568" s="8"/>
      <c r="I568" s="8"/>
      <c r="J568" s="8"/>
      <c r="K568" s="8"/>
      <c r="L568" s="30"/>
      <c r="M568" s="31"/>
      <c r="N568" s="6" t="b">
        <v>0</v>
      </c>
      <c r="O568" s="6" t="b">
        <v>0</v>
      </c>
      <c r="P568" s="6"/>
      <c r="Q568" s="6"/>
      <c r="R568" s="6"/>
      <c r="S568" s="6"/>
      <c r="T568" s="6"/>
      <c r="U568" s="6"/>
      <c r="V568" s="6"/>
      <c r="W568" s="6"/>
      <c r="X568" s="6"/>
      <c r="Y568" s="6"/>
      <c r="Z568" s="6"/>
      <c r="AA568" s="6"/>
      <c r="AB568" s="6"/>
    </row>
    <row r="569" hidden="1">
      <c r="A569" s="13" t="str">
        <f t="shared" si="1"/>
        <v/>
      </c>
      <c r="B569" s="13"/>
      <c r="C569" s="13" t="s">
        <v>46</v>
      </c>
      <c r="D569" s="8"/>
      <c r="E569" s="8"/>
      <c r="F569" s="8"/>
      <c r="G569" s="29"/>
      <c r="H569" s="8"/>
      <c r="I569" s="8"/>
      <c r="J569" s="8"/>
      <c r="K569" s="34"/>
      <c r="L569" s="8"/>
      <c r="M569" s="28"/>
      <c r="N569" s="6" t="b">
        <v>0</v>
      </c>
      <c r="O569" s="6" t="b">
        <v>0</v>
      </c>
      <c r="P569" s="6"/>
      <c r="Q569" s="6"/>
      <c r="R569" s="6"/>
      <c r="S569" s="6"/>
      <c r="T569" s="6"/>
      <c r="U569" s="6"/>
      <c r="V569" s="6"/>
      <c r="W569" s="6"/>
      <c r="X569" s="6"/>
      <c r="Y569" s="6"/>
      <c r="Z569" s="6"/>
      <c r="AA569" s="6"/>
      <c r="AB569" s="6"/>
    </row>
    <row r="570" hidden="1">
      <c r="A570" s="13" t="str">
        <f t="shared" si="1"/>
        <v/>
      </c>
      <c r="B570" s="13"/>
      <c r="C570" s="13" t="s">
        <v>46</v>
      </c>
      <c r="D570" s="14"/>
      <c r="E570" s="14"/>
      <c r="F570" s="14"/>
      <c r="G570" s="37"/>
      <c r="H570" s="39"/>
      <c r="I570" s="39"/>
      <c r="J570" s="14"/>
      <c r="K570" s="34"/>
      <c r="L570" s="8"/>
      <c r="M570" s="28"/>
      <c r="N570" s="6" t="b">
        <v>0</v>
      </c>
      <c r="O570" s="6" t="b">
        <v>0</v>
      </c>
      <c r="P570" s="6"/>
      <c r="Q570" s="6"/>
      <c r="R570" s="6"/>
      <c r="S570" s="6"/>
      <c r="T570" s="6"/>
      <c r="U570" s="6"/>
      <c r="V570" s="6"/>
      <c r="W570" s="6"/>
      <c r="X570" s="6"/>
      <c r="Y570" s="6"/>
      <c r="Z570" s="6"/>
      <c r="AA570" s="6"/>
      <c r="AB570" s="6"/>
    </row>
    <row r="571" hidden="1">
      <c r="A571" s="13" t="str">
        <f t="shared" si="1"/>
        <v/>
      </c>
      <c r="B571" s="13"/>
      <c r="C571" s="13" t="s">
        <v>46</v>
      </c>
      <c r="D571" s="68"/>
      <c r="E571" s="71"/>
      <c r="F571" s="71"/>
      <c r="G571" s="37"/>
      <c r="H571" s="39"/>
      <c r="I571" s="39"/>
      <c r="J571" s="71"/>
      <c r="K571" s="34"/>
      <c r="L571" s="8"/>
      <c r="M571" s="28"/>
      <c r="N571" s="6" t="b">
        <v>0</v>
      </c>
      <c r="O571" s="6" t="b">
        <v>0</v>
      </c>
      <c r="P571" s="6"/>
      <c r="Q571" s="6"/>
      <c r="R571" s="6"/>
      <c r="S571" s="6"/>
      <c r="T571" s="6"/>
      <c r="U571" s="6"/>
      <c r="V571" s="6"/>
      <c r="W571" s="6"/>
      <c r="X571" s="6"/>
      <c r="Y571" s="6"/>
      <c r="Z571" s="6"/>
      <c r="AA571" s="6"/>
      <c r="AB571" s="6"/>
    </row>
    <row r="572" hidden="1">
      <c r="A572" s="13" t="str">
        <f t="shared" si="1"/>
        <v/>
      </c>
      <c r="B572" s="13"/>
      <c r="C572" s="13" t="s">
        <v>46</v>
      </c>
      <c r="D572" s="68"/>
      <c r="E572" s="71"/>
      <c r="F572" s="71"/>
      <c r="G572" s="72"/>
      <c r="H572" s="39"/>
      <c r="I572" s="38"/>
      <c r="J572" s="71"/>
      <c r="K572" s="39"/>
      <c r="L572" s="8"/>
      <c r="M572" s="28"/>
      <c r="N572" s="6" t="b">
        <v>0</v>
      </c>
      <c r="O572" s="6" t="b">
        <v>0</v>
      </c>
      <c r="P572" s="6"/>
      <c r="Q572" s="6"/>
      <c r="R572" s="6"/>
      <c r="S572" s="6"/>
      <c r="T572" s="6"/>
      <c r="U572" s="6"/>
      <c r="V572" s="6"/>
      <c r="W572" s="6"/>
      <c r="X572" s="6"/>
      <c r="Y572" s="6"/>
      <c r="Z572" s="6"/>
      <c r="AA572" s="6"/>
      <c r="AB572" s="6"/>
    </row>
    <row r="573" hidden="1">
      <c r="A573" s="13" t="str">
        <f t="shared" si="1"/>
        <v/>
      </c>
      <c r="B573" s="13"/>
      <c r="C573" s="13" t="s">
        <v>46</v>
      </c>
      <c r="D573" s="116"/>
      <c r="E573" s="117"/>
      <c r="F573" s="71"/>
      <c r="G573" s="72"/>
      <c r="H573" s="39"/>
      <c r="I573" s="117"/>
      <c r="J573" s="91"/>
      <c r="K573" s="81"/>
      <c r="L573" s="8"/>
      <c r="M573" s="28"/>
      <c r="N573" s="6" t="b">
        <v>0</v>
      </c>
      <c r="O573" s="6" t="b">
        <v>0</v>
      </c>
      <c r="P573" s="6"/>
      <c r="Q573" s="6"/>
      <c r="R573" s="6"/>
      <c r="S573" s="6"/>
      <c r="T573" s="6"/>
      <c r="U573" s="6"/>
      <c r="V573" s="6"/>
      <c r="W573" s="6"/>
      <c r="X573" s="6"/>
      <c r="Y573" s="6"/>
      <c r="Z573" s="6"/>
      <c r="AA573" s="6"/>
      <c r="AB573" s="6"/>
    </row>
    <row r="574" hidden="1">
      <c r="A574" s="13" t="str">
        <f t="shared" si="1"/>
        <v/>
      </c>
      <c r="B574" s="13"/>
      <c r="C574" s="13" t="s">
        <v>46</v>
      </c>
      <c r="D574" s="8"/>
      <c r="E574" s="8"/>
      <c r="F574" s="8"/>
      <c r="G574" s="29"/>
      <c r="H574" s="8"/>
      <c r="I574" s="8"/>
      <c r="J574" s="8"/>
      <c r="K574" s="8"/>
      <c r="L574" s="30"/>
      <c r="M574" s="31"/>
      <c r="N574" s="6" t="b">
        <v>0</v>
      </c>
      <c r="O574" s="6" t="b">
        <v>0</v>
      </c>
      <c r="P574" s="6"/>
      <c r="Q574" s="6"/>
      <c r="R574" s="6"/>
      <c r="S574" s="6"/>
      <c r="T574" s="6"/>
      <c r="U574" s="6"/>
      <c r="V574" s="6"/>
      <c r="W574" s="6"/>
      <c r="X574" s="6"/>
      <c r="Y574" s="6"/>
      <c r="Z574" s="6"/>
      <c r="AA574" s="6"/>
      <c r="AB574" s="6"/>
    </row>
    <row r="575" hidden="1">
      <c r="A575" s="13" t="str">
        <f t="shared" si="1"/>
        <v/>
      </c>
      <c r="B575" s="94"/>
      <c r="C575" s="94">
        <v>44274.0</v>
      </c>
      <c r="D575" s="8"/>
      <c r="E575" s="9"/>
      <c r="F575" s="10"/>
      <c r="G575" s="10"/>
      <c r="H575" s="10"/>
      <c r="I575" s="10"/>
      <c r="J575" s="10"/>
      <c r="K575" s="10"/>
      <c r="L575" s="11"/>
      <c r="M575" s="12"/>
      <c r="N575" s="6"/>
      <c r="O575" s="6"/>
      <c r="P575" s="6"/>
      <c r="Q575" s="6"/>
      <c r="R575" s="6"/>
      <c r="S575" s="6"/>
      <c r="T575" s="6"/>
      <c r="U575" s="6"/>
      <c r="V575" s="6"/>
      <c r="W575" s="6"/>
      <c r="X575" s="6"/>
      <c r="Y575" s="6"/>
      <c r="Z575" s="6"/>
      <c r="AA575" s="6"/>
      <c r="AB575" s="6"/>
    </row>
    <row r="576" hidden="1">
      <c r="A576" s="13" t="str">
        <f t="shared" si="1"/>
        <v/>
      </c>
      <c r="B576" s="13"/>
      <c r="C576" s="13" t="s">
        <v>13</v>
      </c>
      <c r="D576" s="101"/>
      <c r="E576" s="61"/>
      <c r="F576" s="61"/>
      <c r="G576" s="120"/>
      <c r="H576" s="101"/>
      <c r="I576" s="101"/>
      <c r="J576" s="61"/>
      <c r="K576" s="34"/>
      <c r="L576" s="8"/>
      <c r="M576" s="28"/>
      <c r="N576" s="6" t="b">
        <v>0</v>
      </c>
      <c r="O576" s="6" t="b">
        <v>0</v>
      </c>
      <c r="P576" s="6"/>
      <c r="Q576" s="6"/>
      <c r="R576" s="6"/>
      <c r="S576" s="6"/>
      <c r="T576" s="6"/>
      <c r="U576" s="6"/>
      <c r="V576" s="6"/>
      <c r="W576" s="6"/>
      <c r="X576" s="6"/>
      <c r="Y576" s="6"/>
      <c r="Z576" s="6"/>
      <c r="AA576" s="6"/>
      <c r="AB576" s="6"/>
    </row>
    <row r="577" hidden="1">
      <c r="A577" s="13" t="str">
        <f t="shared" si="1"/>
        <v/>
      </c>
      <c r="B577" s="13"/>
      <c r="C577" s="13" t="s">
        <v>13</v>
      </c>
      <c r="D577" s="14"/>
      <c r="E577" s="14"/>
      <c r="F577" s="14"/>
      <c r="G577" s="120"/>
      <c r="H577" s="39"/>
      <c r="I577" s="6"/>
      <c r="J577" s="14"/>
      <c r="K577" s="34"/>
      <c r="L577" s="8"/>
      <c r="M577" s="28"/>
      <c r="N577" s="6" t="b">
        <v>0</v>
      </c>
      <c r="O577" s="6" t="b">
        <v>0</v>
      </c>
      <c r="P577" s="6"/>
      <c r="Q577" s="6"/>
      <c r="R577" s="6"/>
      <c r="S577" s="6"/>
      <c r="T577" s="6"/>
      <c r="U577" s="6"/>
      <c r="V577" s="6"/>
      <c r="W577" s="6"/>
      <c r="X577" s="6"/>
      <c r="Y577" s="6"/>
      <c r="Z577" s="6"/>
      <c r="AA577" s="6"/>
      <c r="AB577" s="6"/>
    </row>
    <row r="578" hidden="1">
      <c r="A578" s="13" t="str">
        <f t="shared" si="1"/>
        <v/>
      </c>
      <c r="B578" s="13"/>
      <c r="C578" s="13" t="s">
        <v>13</v>
      </c>
      <c r="D578" s="61"/>
      <c r="E578" s="61"/>
      <c r="F578" s="61"/>
      <c r="G578" s="121"/>
      <c r="H578" s="39"/>
      <c r="I578" s="39"/>
      <c r="J578" s="71"/>
      <c r="K578" s="34"/>
      <c r="L578" s="8"/>
      <c r="M578" s="28"/>
      <c r="N578" s="6" t="b">
        <v>0</v>
      </c>
      <c r="O578" s="6" t="b">
        <v>0</v>
      </c>
      <c r="P578" s="6"/>
      <c r="Q578" s="6"/>
      <c r="R578" s="6"/>
      <c r="S578" s="6"/>
      <c r="T578" s="6"/>
      <c r="U578" s="6"/>
      <c r="V578" s="6"/>
      <c r="W578" s="6"/>
      <c r="X578" s="6"/>
      <c r="Y578" s="6"/>
      <c r="Z578" s="6"/>
      <c r="AA578" s="6"/>
      <c r="AB578" s="6"/>
    </row>
    <row r="579" hidden="1">
      <c r="A579" s="13" t="str">
        <f t="shared" si="1"/>
        <v/>
      </c>
      <c r="B579" s="13"/>
      <c r="C579" s="13" t="s">
        <v>13</v>
      </c>
      <c r="D579" s="61"/>
      <c r="E579" s="61"/>
      <c r="F579" s="71"/>
      <c r="G579" s="37"/>
      <c r="H579" s="39"/>
      <c r="I579" s="39"/>
      <c r="J579" s="71"/>
      <c r="K579" s="8"/>
      <c r="L579" s="8"/>
      <c r="M579" s="28"/>
      <c r="N579" s="6" t="b">
        <v>0</v>
      </c>
      <c r="O579" s="6" t="b">
        <v>0</v>
      </c>
      <c r="P579" s="6"/>
      <c r="Q579" s="6"/>
      <c r="R579" s="6"/>
      <c r="S579" s="6"/>
      <c r="T579" s="6"/>
      <c r="U579" s="6"/>
      <c r="V579" s="6"/>
      <c r="W579" s="6"/>
      <c r="X579" s="6"/>
      <c r="Y579" s="6"/>
      <c r="Z579" s="6"/>
      <c r="AA579" s="6"/>
      <c r="AB579" s="6"/>
    </row>
    <row r="580" hidden="1">
      <c r="A580" s="13" t="str">
        <f t="shared" si="1"/>
        <v/>
      </c>
      <c r="B580" s="13"/>
      <c r="C580" s="13" t="s">
        <v>13</v>
      </c>
      <c r="D580" s="68"/>
      <c r="E580" s="61"/>
      <c r="F580" s="6"/>
      <c r="G580" s="121"/>
      <c r="H580" s="39"/>
      <c r="I580" s="39"/>
      <c r="J580" s="61"/>
      <c r="K580" s="81"/>
      <c r="L580" s="8"/>
      <c r="M580" s="28"/>
      <c r="N580" s="6" t="b">
        <v>0</v>
      </c>
      <c r="O580" s="6" t="b">
        <v>0</v>
      </c>
      <c r="P580" s="6"/>
      <c r="Q580" s="6"/>
      <c r="R580" s="6"/>
      <c r="S580" s="6"/>
      <c r="T580" s="6"/>
      <c r="U580" s="6"/>
      <c r="V580" s="6"/>
      <c r="W580" s="6"/>
      <c r="X580" s="6"/>
      <c r="Y580" s="6"/>
      <c r="Z580" s="6"/>
      <c r="AA580" s="6"/>
      <c r="AB580" s="6"/>
    </row>
    <row r="581" hidden="1">
      <c r="A581" s="13" t="str">
        <f t="shared" si="1"/>
        <v/>
      </c>
      <c r="B581" s="13"/>
      <c r="C581" s="13" t="s">
        <v>13</v>
      </c>
      <c r="D581" s="8"/>
      <c r="E581" s="8"/>
      <c r="F581" s="8"/>
      <c r="G581" s="29"/>
      <c r="H581" s="8"/>
      <c r="I581" s="8"/>
      <c r="J581" s="8"/>
      <c r="K581" s="8"/>
      <c r="L581" s="30"/>
      <c r="M581" s="31"/>
      <c r="N581" s="6" t="b">
        <v>0</v>
      </c>
      <c r="O581" s="6" t="b">
        <v>0</v>
      </c>
      <c r="P581" s="6"/>
      <c r="Q581" s="6"/>
      <c r="R581" s="6"/>
      <c r="S581" s="6"/>
      <c r="T581" s="6"/>
      <c r="U581" s="6"/>
      <c r="V581" s="6"/>
      <c r="W581" s="6"/>
      <c r="X581" s="6"/>
      <c r="Y581" s="6"/>
      <c r="Z581" s="6"/>
      <c r="AA581" s="6"/>
      <c r="AB581" s="6"/>
    </row>
    <row r="582" hidden="1">
      <c r="A582" s="13" t="str">
        <f t="shared" si="1"/>
        <v/>
      </c>
      <c r="B582" s="13"/>
      <c r="C582" s="13" t="s">
        <v>31</v>
      </c>
      <c r="D582" s="8"/>
      <c r="E582" s="8"/>
      <c r="F582" s="8"/>
      <c r="G582" s="29"/>
      <c r="H582" s="8"/>
      <c r="I582" s="8"/>
      <c r="J582" s="8"/>
      <c r="K582" s="34"/>
      <c r="L582" s="8"/>
      <c r="M582" s="28"/>
      <c r="N582" s="6" t="b">
        <v>0</v>
      </c>
      <c r="O582" s="6" t="b">
        <v>0</v>
      </c>
      <c r="P582" s="6"/>
      <c r="Q582" s="6"/>
      <c r="R582" s="6"/>
      <c r="S582" s="6"/>
      <c r="T582" s="6"/>
      <c r="U582" s="6"/>
      <c r="V582" s="6"/>
      <c r="W582" s="6"/>
      <c r="X582" s="6"/>
      <c r="Y582" s="6"/>
      <c r="Z582" s="6"/>
      <c r="AA582" s="6"/>
      <c r="AB582" s="6"/>
    </row>
    <row r="583" hidden="1">
      <c r="A583" s="13" t="str">
        <f t="shared" si="1"/>
        <v/>
      </c>
      <c r="B583" s="13"/>
      <c r="C583" s="13" t="s">
        <v>31</v>
      </c>
      <c r="D583" s="61"/>
      <c r="E583" s="61"/>
      <c r="F583" s="61"/>
      <c r="G583" s="100"/>
      <c r="H583" s="39"/>
      <c r="I583" s="39"/>
      <c r="J583" s="61"/>
      <c r="K583" s="34"/>
      <c r="L583" s="8"/>
      <c r="M583" s="28"/>
      <c r="N583" s="6" t="b">
        <v>0</v>
      </c>
      <c r="O583" s="6" t="b">
        <v>0</v>
      </c>
      <c r="P583" s="6"/>
      <c r="Q583" s="6"/>
      <c r="R583" s="6"/>
      <c r="S583" s="6"/>
      <c r="T583" s="6"/>
      <c r="U583" s="6"/>
      <c r="V583" s="6"/>
      <c r="W583" s="6"/>
      <c r="X583" s="6"/>
      <c r="Y583" s="6"/>
      <c r="Z583" s="6"/>
      <c r="AA583" s="6"/>
      <c r="AB583" s="6"/>
    </row>
    <row r="584" hidden="1">
      <c r="A584" s="13" t="str">
        <f t="shared" si="1"/>
        <v/>
      </c>
      <c r="B584" s="13"/>
      <c r="C584" s="13" t="s">
        <v>31</v>
      </c>
      <c r="D584" s="61"/>
      <c r="E584" s="61"/>
      <c r="F584" s="61"/>
      <c r="G584" s="37"/>
      <c r="H584" s="39"/>
      <c r="I584" s="61"/>
      <c r="J584" s="61"/>
      <c r="K584" s="34"/>
      <c r="L584" s="8"/>
      <c r="M584" s="28"/>
      <c r="N584" s="6" t="b">
        <v>0</v>
      </c>
      <c r="O584" s="6" t="b">
        <v>0</v>
      </c>
      <c r="P584" s="6"/>
      <c r="Q584" s="6"/>
      <c r="R584" s="6"/>
      <c r="S584" s="6"/>
      <c r="T584" s="6"/>
      <c r="U584" s="6"/>
      <c r="V584" s="6"/>
      <c r="W584" s="6"/>
      <c r="X584" s="6"/>
      <c r="Y584" s="6"/>
      <c r="Z584" s="6"/>
      <c r="AA584" s="6"/>
      <c r="AB584" s="6"/>
    </row>
    <row r="585" hidden="1">
      <c r="A585" s="13" t="str">
        <f t="shared" si="1"/>
        <v/>
      </c>
      <c r="B585" s="13"/>
      <c r="C585" s="13" t="s">
        <v>31</v>
      </c>
      <c r="D585" s="61"/>
      <c r="E585" s="61"/>
      <c r="F585" s="61"/>
      <c r="G585" s="49"/>
      <c r="H585" s="39"/>
      <c r="I585" s="38"/>
      <c r="J585" s="61"/>
      <c r="K585" s="8"/>
      <c r="L585" s="8"/>
      <c r="M585" s="28"/>
      <c r="N585" s="6" t="b">
        <v>0</v>
      </c>
      <c r="O585" s="6" t="b">
        <v>0</v>
      </c>
      <c r="P585" s="6"/>
      <c r="Q585" s="6"/>
      <c r="R585" s="6"/>
      <c r="S585" s="6"/>
      <c r="T585" s="6"/>
      <c r="U585" s="6"/>
      <c r="V585" s="6"/>
      <c r="W585" s="6"/>
      <c r="X585" s="6"/>
      <c r="Y585" s="6"/>
      <c r="Z585" s="6"/>
      <c r="AA585" s="6"/>
      <c r="AB585" s="6"/>
    </row>
    <row r="586" hidden="1">
      <c r="A586" s="13" t="str">
        <f t="shared" si="1"/>
        <v>602d0d9fefa02def0ac00965</v>
      </c>
      <c r="B586" s="13"/>
      <c r="C586" s="13" t="s">
        <v>31</v>
      </c>
      <c r="D586" s="62" t="s">
        <v>1000</v>
      </c>
      <c r="E586" s="62" t="s">
        <v>1012</v>
      </c>
      <c r="F586" s="62" t="s">
        <v>1013</v>
      </c>
      <c r="G586" s="16" t="s">
        <v>378</v>
      </c>
      <c r="H586" s="18" t="s">
        <v>536</v>
      </c>
      <c r="I586" s="18" t="s">
        <v>1191</v>
      </c>
      <c r="J586" s="62" t="s">
        <v>1015</v>
      </c>
      <c r="K586" s="81"/>
      <c r="L586" s="39">
        <v>24.0</v>
      </c>
      <c r="M586" s="28"/>
      <c r="N586" s="6" t="b">
        <v>0</v>
      </c>
      <c r="O586" s="6" t="b">
        <v>0</v>
      </c>
      <c r="P586" s="6"/>
      <c r="Q586" s="6"/>
      <c r="R586" s="6"/>
      <c r="S586" s="6"/>
      <c r="T586" s="6"/>
      <c r="U586" s="6"/>
      <c r="V586" s="6"/>
      <c r="W586" s="6"/>
      <c r="X586" s="6"/>
      <c r="Y586" s="6"/>
      <c r="Z586" s="6"/>
      <c r="AA586" s="6"/>
      <c r="AB586" s="6"/>
    </row>
    <row r="587" hidden="1">
      <c r="A587" s="13" t="str">
        <f t="shared" si="1"/>
        <v/>
      </c>
      <c r="B587" s="13"/>
      <c r="C587" s="13" t="s">
        <v>31</v>
      </c>
      <c r="D587" s="8"/>
      <c r="E587" s="8"/>
      <c r="F587" s="8"/>
      <c r="G587" s="29"/>
      <c r="H587" s="8"/>
      <c r="I587" s="8"/>
      <c r="J587" s="8"/>
      <c r="K587" s="8"/>
      <c r="L587" s="30"/>
      <c r="M587" s="31"/>
      <c r="N587" s="6" t="b">
        <v>0</v>
      </c>
      <c r="O587" s="6" t="b">
        <v>0</v>
      </c>
      <c r="P587" s="6"/>
      <c r="Q587" s="6"/>
      <c r="R587" s="6"/>
      <c r="S587" s="6"/>
      <c r="T587" s="6"/>
      <c r="U587" s="6"/>
      <c r="V587" s="6"/>
      <c r="W587" s="6"/>
      <c r="X587" s="6"/>
      <c r="Y587" s="6"/>
      <c r="Z587" s="6"/>
      <c r="AA587" s="6"/>
      <c r="AB587" s="6"/>
    </row>
    <row r="588" hidden="1">
      <c r="A588" s="13" t="str">
        <f t="shared" si="1"/>
        <v>5ff0cd1ceeb85d703dcec25c</v>
      </c>
      <c r="B588" s="13"/>
      <c r="C588" s="13" t="s">
        <v>46</v>
      </c>
      <c r="D588" s="39" t="s">
        <v>1000</v>
      </c>
      <c r="E588" s="125" t="s">
        <v>806</v>
      </c>
      <c r="F588" s="125" t="s">
        <v>807</v>
      </c>
      <c r="G588" s="37" t="s">
        <v>412</v>
      </c>
      <c r="H588" s="39" t="s">
        <v>87</v>
      </c>
      <c r="I588" s="39" t="s">
        <v>1192</v>
      </c>
      <c r="J588" s="125" t="s">
        <v>809</v>
      </c>
      <c r="K588" s="34"/>
      <c r="L588" s="39">
        <v>15.0</v>
      </c>
      <c r="M588" s="28"/>
      <c r="N588" s="6" t="b">
        <v>0</v>
      </c>
      <c r="O588" s="6" t="b">
        <v>0</v>
      </c>
      <c r="P588" s="6"/>
      <c r="Q588" s="6"/>
      <c r="R588" s="6"/>
      <c r="S588" s="6"/>
      <c r="T588" s="6"/>
      <c r="U588" s="6"/>
      <c r="V588" s="6"/>
      <c r="W588" s="6"/>
      <c r="X588" s="6"/>
      <c r="Y588" s="6"/>
      <c r="Z588" s="6"/>
      <c r="AA588" s="6"/>
      <c r="AB588" s="6"/>
    </row>
    <row r="589" hidden="1">
      <c r="A589" s="13" t="str">
        <f t="shared" si="1"/>
        <v/>
      </c>
      <c r="B589" s="13"/>
      <c r="C589" s="13" t="s">
        <v>46</v>
      </c>
      <c r="D589" s="14"/>
      <c r="E589" s="14"/>
      <c r="F589" s="14"/>
      <c r="G589" s="37"/>
      <c r="H589" s="39"/>
      <c r="I589" s="39"/>
      <c r="J589" s="14"/>
      <c r="K589" s="34"/>
      <c r="L589" s="8"/>
      <c r="M589" s="28"/>
      <c r="N589" s="6" t="b">
        <v>0</v>
      </c>
      <c r="O589" s="6" t="b">
        <v>0</v>
      </c>
      <c r="P589" s="6"/>
      <c r="Q589" s="6"/>
      <c r="R589" s="6"/>
      <c r="S589" s="6"/>
      <c r="T589" s="6"/>
      <c r="U589" s="6"/>
      <c r="V589" s="6"/>
      <c r="W589" s="6"/>
      <c r="X589" s="6"/>
      <c r="Y589" s="6"/>
      <c r="Z589" s="6"/>
      <c r="AA589" s="6"/>
      <c r="AB589" s="6"/>
    </row>
    <row r="590" hidden="1">
      <c r="A590" s="13" t="str">
        <f t="shared" si="1"/>
        <v/>
      </c>
      <c r="B590" s="13"/>
      <c r="C590" s="13" t="s">
        <v>46</v>
      </c>
      <c r="D590" s="68"/>
      <c r="E590" s="71"/>
      <c r="F590" s="71"/>
      <c r="G590" s="37"/>
      <c r="H590" s="39"/>
      <c r="I590" s="39"/>
      <c r="J590" s="71"/>
      <c r="K590" s="34"/>
      <c r="L590" s="8"/>
      <c r="M590" s="28"/>
      <c r="N590" s="6" t="b">
        <v>0</v>
      </c>
      <c r="O590" s="6" t="b">
        <v>0</v>
      </c>
      <c r="P590" s="6"/>
      <c r="Q590" s="6"/>
      <c r="R590" s="6"/>
      <c r="S590" s="6"/>
      <c r="T590" s="6"/>
      <c r="U590" s="6"/>
      <c r="V590" s="6"/>
      <c r="W590" s="6"/>
      <c r="X590" s="6"/>
      <c r="Y590" s="6"/>
      <c r="Z590" s="6"/>
      <c r="AA590" s="6"/>
      <c r="AB590" s="6"/>
    </row>
    <row r="591" hidden="1">
      <c r="A591" s="13" t="str">
        <f t="shared" si="1"/>
        <v>5fda1224a908bd46ce7a3fd4</v>
      </c>
      <c r="B591" s="13"/>
      <c r="C591" s="13" t="s">
        <v>46</v>
      </c>
      <c r="D591" s="68" t="s">
        <v>1000</v>
      </c>
      <c r="E591" s="14" t="s">
        <v>355</v>
      </c>
      <c r="F591" s="14" t="s">
        <v>356</v>
      </c>
      <c r="G591" s="72" t="s">
        <v>558</v>
      </c>
      <c r="H591" s="39" t="s">
        <v>775</v>
      </c>
      <c r="I591" s="116" t="s">
        <v>1193</v>
      </c>
      <c r="J591" s="14" t="s">
        <v>358</v>
      </c>
      <c r="K591" s="39"/>
      <c r="L591" s="8"/>
      <c r="M591" s="28"/>
      <c r="N591" s="6" t="b">
        <v>0</v>
      </c>
      <c r="O591" s="6" t="b">
        <v>0</v>
      </c>
      <c r="P591" s="6"/>
      <c r="Q591" s="6"/>
      <c r="R591" s="6"/>
      <c r="S591" s="6"/>
      <c r="T591" s="6"/>
      <c r="U591" s="6"/>
      <c r="V591" s="6"/>
      <c r="W591" s="6"/>
      <c r="X591" s="6"/>
      <c r="Y591" s="6"/>
      <c r="Z591" s="6"/>
      <c r="AA591" s="6"/>
      <c r="AB591" s="6"/>
    </row>
    <row r="592" hidden="1">
      <c r="A592" s="13" t="str">
        <f t="shared" si="1"/>
        <v/>
      </c>
      <c r="B592" s="13"/>
      <c r="C592" s="13" t="s">
        <v>46</v>
      </c>
      <c r="D592" s="116"/>
      <c r="E592" s="117"/>
      <c r="F592" s="71"/>
      <c r="G592" s="72"/>
      <c r="H592" s="39"/>
      <c r="I592" s="117"/>
      <c r="J592" s="91"/>
      <c r="K592" s="81"/>
      <c r="L592" s="8"/>
      <c r="M592" s="28"/>
      <c r="N592" s="6" t="b">
        <v>0</v>
      </c>
      <c r="O592" s="6" t="b">
        <v>0</v>
      </c>
      <c r="P592" s="6"/>
      <c r="Q592" s="6"/>
      <c r="R592" s="6"/>
      <c r="S592" s="6"/>
      <c r="T592" s="6"/>
      <c r="U592" s="6"/>
      <c r="V592" s="6"/>
      <c r="W592" s="6"/>
      <c r="X592" s="6"/>
      <c r="Y592" s="6"/>
      <c r="Z592" s="6"/>
      <c r="AA592" s="6"/>
      <c r="AB592" s="6"/>
    </row>
    <row r="593" hidden="1">
      <c r="A593" s="13" t="str">
        <f t="shared" si="1"/>
        <v/>
      </c>
      <c r="B593" s="13"/>
      <c r="C593" s="13" t="s">
        <v>46</v>
      </c>
      <c r="D593" s="8"/>
      <c r="E593" s="39"/>
      <c r="F593" s="8"/>
      <c r="G593" s="29"/>
      <c r="H593" s="8"/>
      <c r="I593" s="8"/>
      <c r="J593" s="8"/>
      <c r="K593" s="8"/>
      <c r="L593" s="30"/>
      <c r="M593" s="31"/>
      <c r="N593" s="6" t="b">
        <v>0</v>
      </c>
      <c r="O593" s="6" t="b">
        <v>0</v>
      </c>
      <c r="P593" s="6"/>
      <c r="Q593" s="6"/>
      <c r="R593" s="6"/>
      <c r="S593" s="6"/>
      <c r="T593" s="6"/>
      <c r="U593" s="6"/>
      <c r="V593" s="6"/>
      <c r="W593" s="6"/>
      <c r="X593" s="6"/>
      <c r="Y593" s="6"/>
      <c r="Z593" s="6"/>
      <c r="AA593" s="6"/>
      <c r="AB593" s="6"/>
    </row>
    <row r="594" hidden="1">
      <c r="A594" s="13" t="str">
        <f t="shared" si="1"/>
        <v/>
      </c>
      <c r="B594" s="94"/>
      <c r="C594" s="94">
        <v>44275.0</v>
      </c>
      <c r="D594" s="6"/>
      <c r="E594" s="6"/>
      <c r="F594" s="6"/>
      <c r="G594" s="26"/>
      <c r="H594" s="6"/>
      <c r="I594" s="6"/>
      <c r="J594" s="6"/>
      <c r="K594" s="6"/>
      <c r="L594" s="6"/>
      <c r="M594" s="12"/>
      <c r="N594" s="6"/>
      <c r="O594" s="6"/>
      <c r="P594" s="6"/>
      <c r="Q594" s="6"/>
      <c r="R594" s="6"/>
      <c r="S594" s="6"/>
      <c r="T594" s="6"/>
      <c r="U594" s="6"/>
      <c r="V594" s="6"/>
      <c r="W594" s="6"/>
      <c r="X594" s="6"/>
      <c r="Y594" s="6"/>
      <c r="Z594" s="6"/>
      <c r="AA594" s="6"/>
      <c r="AB594" s="6"/>
    </row>
    <row r="595" hidden="1">
      <c r="A595" s="13" t="str">
        <f t="shared" si="1"/>
        <v/>
      </c>
      <c r="B595" s="13"/>
      <c r="C595" s="13" t="s">
        <v>13</v>
      </c>
      <c r="D595" s="8"/>
      <c r="E595" s="8"/>
      <c r="F595" s="8"/>
      <c r="G595" s="126"/>
      <c r="H595" s="8"/>
      <c r="I595" s="8"/>
      <c r="J595" s="8"/>
      <c r="K595" s="8"/>
      <c r="L595" s="8"/>
      <c r="M595" s="12"/>
      <c r="N595" s="6"/>
      <c r="O595" s="6"/>
      <c r="P595" s="6"/>
      <c r="Q595" s="6"/>
      <c r="R595" s="6"/>
      <c r="S595" s="6"/>
      <c r="T595" s="6"/>
      <c r="U595" s="6"/>
      <c r="V595" s="6"/>
      <c r="W595" s="6"/>
      <c r="X595" s="6"/>
      <c r="Y595" s="6"/>
      <c r="Z595" s="6"/>
      <c r="AA595" s="6"/>
      <c r="AB595" s="6"/>
    </row>
    <row r="596" hidden="1">
      <c r="A596" s="13" t="str">
        <f t="shared" si="1"/>
        <v>5f9748afd0763257ee6ea16d</v>
      </c>
      <c r="B596" s="13"/>
      <c r="C596" s="13" t="s">
        <v>13</v>
      </c>
      <c r="D596" s="39" t="s">
        <v>958</v>
      </c>
      <c r="E596" s="127" t="s">
        <v>452</v>
      </c>
      <c r="F596" s="127" t="s">
        <v>453</v>
      </c>
      <c r="G596" s="128">
        <v>0.5</v>
      </c>
      <c r="H596" s="39" t="s">
        <v>384</v>
      </c>
      <c r="I596" s="39" t="s">
        <v>1194</v>
      </c>
      <c r="J596" s="8"/>
      <c r="K596" s="8"/>
      <c r="L596" s="39">
        <v>26.0</v>
      </c>
      <c r="M596" s="12"/>
      <c r="N596" s="6"/>
      <c r="O596" s="6"/>
      <c r="P596" s="6"/>
      <c r="Q596" s="6"/>
      <c r="R596" s="6"/>
      <c r="S596" s="6"/>
      <c r="T596" s="6"/>
      <c r="U596" s="6"/>
      <c r="V596" s="6"/>
      <c r="W596" s="6"/>
      <c r="X596" s="6"/>
      <c r="Y596" s="6"/>
      <c r="Z596" s="6"/>
      <c r="AA596" s="6"/>
      <c r="AB596" s="6"/>
    </row>
    <row r="597" hidden="1">
      <c r="A597" s="13" t="str">
        <f t="shared" si="1"/>
        <v>5fbe936b8e54b86828978f18</v>
      </c>
      <c r="B597" s="13"/>
      <c r="C597" s="13" t="s">
        <v>13</v>
      </c>
      <c r="D597" s="8" t="s">
        <v>958</v>
      </c>
      <c r="E597" s="8" t="s">
        <v>257</v>
      </c>
      <c r="F597" s="8" t="s">
        <v>258</v>
      </c>
      <c r="G597" s="128">
        <v>0.5833333333333334</v>
      </c>
      <c r="H597" s="8" t="s">
        <v>87</v>
      </c>
      <c r="I597" s="8" t="s">
        <v>1195</v>
      </c>
      <c r="J597" s="8" t="s">
        <v>260</v>
      </c>
      <c r="K597" s="8"/>
      <c r="L597" s="39">
        <v>25.0</v>
      </c>
      <c r="M597" s="12"/>
      <c r="N597" s="6"/>
      <c r="O597" s="6"/>
      <c r="P597" s="6"/>
      <c r="Q597" s="6"/>
      <c r="R597" s="6"/>
      <c r="S597" s="6"/>
      <c r="T597" s="6"/>
      <c r="U597" s="6"/>
      <c r="V597" s="6"/>
      <c r="W597" s="6"/>
      <c r="X597" s="6"/>
      <c r="Y597" s="6"/>
      <c r="Z597" s="6"/>
      <c r="AA597" s="6"/>
      <c r="AB597" s="6"/>
    </row>
    <row r="598" hidden="1">
      <c r="A598" s="13" t="str">
        <f t="shared" si="1"/>
        <v/>
      </c>
      <c r="B598" s="13"/>
      <c r="C598" s="13" t="s">
        <v>13</v>
      </c>
      <c r="D598" s="8"/>
      <c r="E598" s="8"/>
      <c r="F598" s="8"/>
      <c r="G598" s="126"/>
      <c r="H598" s="8"/>
      <c r="I598" s="8"/>
      <c r="J598" s="8"/>
      <c r="K598" s="8"/>
      <c r="L598" s="8"/>
      <c r="M598" s="12"/>
      <c r="N598" s="6"/>
      <c r="O598" s="6"/>
      <c r="P598" s="6"/>
      <c r="Q598" s="6"/>
      <c r="R598" s="6"/>
      <c r="S598" s="6"/>
      <c r="T598" s="6"/>
      <c r="U598" s="6"/>
      <c r="V598" s="6"/>
      <c r="W598" s="6"/>
      <c r="X598" s="6"/>
      <c r="Y598" s="6"/>
      <c r="Z598" s="6"/>
      <c r="AA598" s="6"/>
      <c r="AB598" s="6"/>
    </row>
    <row r="599" hidden="1">
      <c r="A599" s="13" t="str">
        <f t="shared" si="1"/>
        <v/>
      </c>
      <c r="B599" s="13"/>
      <c r="C599" s="13" t="s">
        <v>13</v>
      </c>
      <c r="D599" s="8"/>
      <c r="E599" s="8"/>
      <c r="F599" s="8"/>
      <c r="G599" s="126"/>
      <c r="H599" s="8"/>
      <c r="I599" s="8"/>
      <c r="J599" s="8"/>
      <c r="K599" s="8"/>
      <c r="L599" s="8"/>
      <c r="M599" s="12"/>
      <c r="N599" s="6"/>
      <c r="O599" s="6"/>
      <c r="P599" s="6"/>
      <c r="Q599" s="6"/>
      <c r="R599" s="6"/>
      <c r="S599" s="6"/>
      <c r="T599" s="6"/>
      <c r="U599" s="6"/>
      <c r="V599" s="6"/>
      <c r="W599" s="6"/>
      <c r="X599" s="6"/>
      <c r="Y599" s="6"/>
      <c r="Z599" s="6"/>
      <c r="AA599" s="6"/>
      <c r="AB599" s="6"/>
    </row>
    <row r="600" hidden="1">
      <c r="A600" s="13" t="str">
        <f t="shared" si="1"/>
        <v/>
      </c>
      <c r="B600" s="13"/>
      <c r="C600" s="13" t="s">
        <v>13</v>
      </c>
      <c r="D600" s="8"/>
      <c r="E600" s="8"/>
      <c r="F600" s="8"/>
      <c r="G600" s="126"/>
      <c r="H600" s="8"/>
      <c r="I600" s="8"/>
      <c r="J600" s="8"/>
      <c r="K600" s="8"/>
      <c r="L600" s="8"/>
      <c r="M600" s="12"/>
      <c r="N600" s="6"/>
      <c r="O600" s="6"/>
      <c r="P600" s="6"/>
      <c r="Q600" s="6"/>
      <c r="R600" s="6"/>
      <c r="S600" s="6"/>
      <c r="T600" s="6"/>
      <c r="U600" s="6"/>
      <c r="V600" s="6"/>
      <c r="W600" s="6"/>
      <c r="X600" s="6"/>
      <c r="Y600" s="6"/>
      <c r="Z600" s="6"/>
      <c r="AA600" s="6"/>
      <c r="AB600" s="6"/>
    </row>
    <row r="601" hidden="1">
      <c r="A601" s="13" t="str">
        <f t="shared" si="1"/>
        <v/>
      </c>
      <c r="B601" s="94"/>
      <c r="C601" s="94">
        <v>44277.0</v>
      </c>
      <c r="D601" s="6"/>
      <c r="E601" s="6"/>
      <c r="F601" s="6"/>
      <c r="G601" s="26"/>
      <c r="H601" s="6"/>
      <c r="I601" s="6"/>
      <c r="J601" s="6"/>
      <c r="K601" s="6"/>
      <c r="L601" s="6"/>
      <c r="M601" s="12"/>
      <c r="N601" s="6"/>
      <c r="O601" s="6"/>
      <c r="P601" s="6"/>
      <c r="Q601" s="6"/>
      <c r="R601" s="6"/>
      <c r="S601" s="6"/>
      <c r="T601" s="6"/>
      <c r="U601" s="6"/>
      <c r="V601" s="6"/>
      <c r="W601" s="6"/>
      <c r="X601" s="6"/>
      <c r="Y601" s="6"/>
      <c r="Z601" s="6"/>
      <c r="AA601" s="6"/>
      <c r="AB601" s="6"/>
    </row>
    <row r="602" hidden="1">
      <c r="A602" s="13" t="str">
        <f t="shared" si="1"/>
        <v/>
      </c>
      <c r="B602" s="13"/>
      <c r="C602" s="13" t="s">
        <v>31</v>
      </c>
      <c r="D602" s="8"/>
      <c r="E602" s="8"/>
      <c r="F602" s="8"/>
      <c r="G602" s="126"/>
      <c r="H602" s="8"/>
      <c r="I602" s="8"/>
      <c r="J602" s="8"/>
      <c r="K602" s="8"/>
      <c r="L602" s="8"/>
      <c r="M602" s="12"/>
      <c r="N602" s="6"/>
      <c r="O602" s="6"/>
      <c r="P602" s="6"/>
      <c r="Q602" s="6"/>
      <c r="R602" s="6"/>
      <c r="S602" s="6"/>
      <c r="T602" s="6"/>
      <c r="U602" s="6"/>
      <c r="V602" s="6"/>
      <c r="W602" s="6"/>
      <c r="X602" s="6"/>
      <c r="Y602" s="6"/>
      <c r="Z602" s="6"/>
      <c r="AA602" s="6"/>
      <c r="AB602" s="6"/>
    </row>
    <row r="603" hidden="1">
      <c r="A603" s="13" t="str">
        <f t="shared" si="1"/>
        <v/>
      </c>
      <c r="B603" s="13"/>
      <c r="C603" s="13" t="s">
        <v>31</v>
      </c>
      <c r="D603" s="8"/>
      <c r="E603" s="8"/>
      <c r="F603" s="8"/>
      <c r="G603" s="126"/>
      <c r="H603" s="8"/>
      <c r="I603" s="8"/>
      <c r="J603" s="8"/>
      <c r="K603" s="8"/>
      <c r="L603" s="8"/>
      <c r="M603" s="12"/>
      <c r="N603" s="6"/>
      <c r="O603" s="6"/>
      <c r="P603" s="6"/>
      <c r="Q603" s="6"/>
      <c r="R603" s="6"/>
      <c r="S603" s="6"/>
      <c r="T603" s="6"/>
      <c r="U603" s="6"/>
      <c r="V603" s="6"/>
      <c r="W603" s="6"/>
      <c r="X603" s="6"/>
      <c r="Y603" s="6"/>
      <c r="Z603" s="6"/>
      <c r="AA603" s="6"/>
      <c r="AB603" s="6"/>
    </row>
    <row r="604" hidden="1">
      <c r="A604" s="13" t="str">
        <f t="shared" si="1"/>
        <v/>
      </c>
      <c r="B604" s="13"/>
      <c r="C604" s="13" t="s">
        <v>31</v>
      </c>
      <c r="D604" s="8"/>
      <c r="E604" s="8"/>
      <c r="F604" s="8"/>
      <c r="G604" s="126"/>
      <c r="H604" s="8"/>
      <c r="I604" s="8"/>
      <c r="J604" s="8"/>
      <c r="K604" s="8"/>
      <c r="L604" s="8"/>
      <c r="M604" s="12"/>
      <c r="N604" s="6"/>
      <c r="O604" s="6"/>
      <c r="P604" s="6"/>
      <c r="Q604" s="6"/>
      <c r="R604" s="6"/>
      <c r="S604" s="6"/>
      <c r="T604" s="6"/>
      <c r="U604" s="6"/>
      <c r="V604" s="6"/>
      <c r="W604" s="6"/>
      <c r="X604" s="6"/>
      <c r="Y604" s="6"/>
      <c r="Z604" s="6"/>
      <c r="AA604" s="6"/>
      <c r="AB604" s="6"/>
    </row>
    <row r="605" hidden="1">
      <c r="A605" s="13" t="str">
        <f t="shared" si="1"/>
        <v/>
      </c>
      <c r="B605" s="13"/>
      <c r="C605" s="13" t="s">
        <v>31</v>
      </c>
      <c r="D605" s="8"/>
      <c r="E605" s="8"/>
      <c r="F605" s="8"/>
      <c r="G605" s="126"/>
      <c r="H605" s="8"/>
      <c r="I605" s="8"/>
      <c r="J605" s="8"/>
      <c r="K605" s="8"/>
      <c r="L605" s="8"/>
      <c r="M605" s="12"/>
      <c r="N605" s="6"/>
      <c r="O605" s="6"/>
      <c r="P605" s="6"/>
      <c r="Q605" s="6"/>
      <c r="R605" s="6"/>
      <c r="S605" s="6"/>
      <c r="T605" s="6"/>
      <c r="U605" s="6"/>
      <c r="V605" s="6"/>
      <c r="W605" s="6"/>
      <c r="X605" s="6"/>
      <c r="Y605" s="6"/>
      <c r="Z605" s="6"/>
      <c r="AA605" s="6"/>
      <c r="AB605" s="6"/>
    </row>
    <row r="606" hidden="1">
      <c r="A606" s="13" t="str">
        <f>E618</f>
        <v>605264c7e7317c657b8ab441</v>
      </c>
      <c r="B606" s="13"/>
      <c r="C606" s="13" t="s">
        <v>31</v>
      </c>
      <c r="D606" s="8"/>
      <c r="E606" s="6"/>
      <c r="F606" s="6"/>
      <c r="G606" s="26"/>
      <c r="H606" s="6"/>
      <c r="I606" s="6"/>
      <c r="J606" s="6"/>
      <c r="K606" s="8"/>
      <c r="L606" s="8"/>
      <c r="M606" s="12"/>
      <c r="N606" s="6"/>
      <c r="O606" s="6"/>
      <c r="P606" s="6"/>
      <c r="Q606" s="6"/>
      <c r="R606" s="6"/>
      <c r="S606" s="6"/>
      <c r="T606" s="6"/>
      <c r="U606" s="6"/>
      <c r="V606" s="6"/>
      <c r="W606" s="6"/>
      <c r="X606" s="6"/>
      <c r="Y606" s="6"/>
      <c r="Z606" s="6"/>
      <c r="AA606" s="6"/>
      <c r="AB606" s="6"/>
    </row>
    <row r="607" hidden="1">
      <c r="A607" s="13" t="str">
        <f t="shared" ref="A607:A612" si="2">E607</f>
        <v/>
      </c>
      <c r="B607" s="13"/>
      <c r="C607" s="13" t="s">
        <v>46</v>
      </c>
      <c r="D607" s="8"/>
      <c r="E607" s="8"/>
      <c r="F607" s="8"/>
      <c r="G607" s="126"/>
      <c r="H607" s="8"/>
      <c r="I607" s="8"/>
      <c r="J607" s="8"/>
      <c r="K607" s="8"/>
      <c r="L607" s="8"/>
      <c r="M607" s="12"/>
      <c r="N607" s="6"/>
      <c r="O607" s="6"/>
      <c r="P607" s="6"/>
      <c r="Q607" s="6"/>
      <c r="R607" s="6"/>
      <c r="S607" s="6"/>
      <c r="T607" s="6"/>
      <c r="U607" s="6"/>
      <c r="V607" s="6"/>
      <c r="W607" s="6"/>
      <c r="X607" s="6"/>
      <c r="Y607" s="6"/>
      <c r="Z607" s="6"/>
      <c r="AA607" s="6"/>
      <c r="AB607" s="6"/>
    </row>
    <row r="608" hidden="1">
      <c r="A608" s="13" t="str">
        <f t="shared" si="2"/>
        <v/>
      </c>
      <c r="B608" s="13"/>
      <c r="C608" s="13" t="s">
        <v>46</v>
      </c>
      <c r="D608" s="8"/>
      <c r="E608" s="8"/>
      <c r="F608" s="8"/>
      <c r="G608" s="126"/>
      <c r="H608" s="8"/>
      <c r="I608" s="8"/>
      <c r="J608" s="8"/>
      <c r="K608" s="8"/>
      <c r="L608" s="8"/>
      <c r="M608" s="12"/>
      <c r="N608" s="6"/>
      <c r="O608" s="6"/>
      <c r="P608" s="6"/>
      <c r="Q608" s="6"/>
      <c r="R608" s="6"/>
      <c r="S608" s="6"/>
      <c r="T608" s="6"/>
      <c r="U608" s="6"/>
      <c r="V608" s="6"/>
      <c r="W608" s="6"/>
      <c r="X608" s="6"/>
      <c r="Y608" s="6"/>
      <c r="Z608" s="6"/>
      <c r="AA608" s="6"/>
      <c r="AB608" s="6"/>
    </row>
    <row r="609" hidden="1">
      <c r="A609" s="13" t="str">
        <f t="shared" si="2"/>
        <v/>
      </c>
      <c r="B609" s="13"/>
      <c r="C609" s="13" t="s">
        <v>46</v>
      </c>
      <c r="D609" s="8"/>
      <c r="E609" s="8"/>
      <c r="F609" s="8"/>
      <c r="G609" s="126"/>
      <c r="H609" s="8"/>
      <c r="I609" s="8"/>
      <c r="J609" s="8"/>
      <c r="K609" s="8"/>
      <c r="L609" s="8"/>
      <c r="M609" s="12"/>
      <c r="N609" s="6"/>
      <c r="O609" s="6"/>
      <c r="P609" s="6"/>
      <c r="Q609" s="6"/>
      <c r="R609" s="6"/>
      <c r="S609" s="6"/>
      <c r="T609" s="6"/>
      <c r="U609" s="6"/>
      <c r="V609" s="6"/>
      <c r="W609" s="6"/>
      <c r="X609" s="6"/>
      <c r="Y609" s="6"/>
      <c r="Z609" s="6"/>
      <c r="AA609" s="6"/>
      <c r="AB609" s="6"/>
    </row>
    <row r="610" hidden="1">
      <c r="A610" s="13" t="str">
        <f t="shared" si="2"/>
        <v/>
      </c>
      <c r="B610" s="13"/>
      <c r="C610" s="13" t="s">
        <v>46</v>
      </c>
      <c r="D610" s="8"/>
      <c r="E610" s="8"/>
      <c r="F610" s="8"/>
      <c r="G610" s="126"/>
      <c r="H610" s="8"/>
      <c r="I610" s="8"/>
      <c r="J610" s="8"/>
      <c r="K610" s="8"/>
      <c r="L610" s="8"/>
      <c r="M610" s="12"/>
      <c r="N610" s="6"/>
      <c r="O610" s="6"/>
      <c r="P610" s="6"/>
      <c r="Q610" s="6"/>
      <c r="R610" s="6"/>
      <c r="S610" s="6"/>
      <c r="T610" s="6"/>
      <c r="U610" s="6"/>
      <c r="V610" s="6"/>
      <c r="W610" s="6"/>
      <c r="X610" s="6"/>
      <c r="Y610" s="6"/>
      <c r="Z610" s="6"/>
      <c r="AA610" s="6"/>
      <c r="AB610" s="6"/>
    </row>
    <row r="611" hidden="1">
      <c r="A611" s="13" t="str">
        <f t="shared" si="2"/>
        <v/>
      </c>
      <c r="B611" s="13"/>
      <c r="C611" s="13" t="s">
        <v>46</v>
      </c>
      <c r="D611" s="8"/>
      <c r="E611" s="8"/>
      <c r="F611" s="8"/>
      <c r="G611" s="126"/>
      <c r="H611" s="8"/>
      <c r="I611" s="8"/>
      <c r="J611" s="8"/>
      <c r="K611" s="8"/>
      <c r="L611" s="8"/>
      <c r="M611" s="12"/>
      <c r="N611" s="6"/>
      <c r="O611" s="6"/>
      <c r="P611" s="6"/>
      <c r="Q611" s="6"/>
      <c r="R611" s="6"/>
      <c r="S611" s="6"/>
      <c r="T611" s="6"/>
      <c r="U611" s="6"/>
      <c r="V611" s="6"/>
      <c r="W611" s="6"/>
      <c r="X611" s="6"/>
      <c r="Y611" s="6"/>
      <c r="Z611" s="6"/>
      <c r="AA611" s="6"/>
      <c r="AB611" s="6"/>
    </row>
    <row r="612" hidden="1">
      <c r="A612" s="13" t="str">
        <f t="shared" si="2"/>
        <v/>
      </c>
      <c r="B612" s="94"/>
      <c r="C612" s="94">
        <v>44278.0</v>
      </c>
      <c r="D612" s="6"/>
      <c r="E612" s="6"/>
      <c r="F612" s="6"/>
      <c r="G612" s="26"/>
      <c r="H612" s="6"/>
      <c r="I612" s="6"/>
      <c r="J612" s="6"/>
      <c r="K612" s="6"/>
      <c r="L612" s="6"/>
      <c r="M612" s="12"/>
      <c r="N612" s="6"/>
      <c r="O612" s="6"/>
      <c r="P612" s="6"/>
      <c r="Q612" s="6"/>
      <c r="R612" s="6"/>
      <c r="S612" s="6"/>
      <c r="T612" s="6"/>
      <c r="U612" s="6"/>
      <c r="V612" s="6"/>
      <c r="W612" s="6"/>
      <c r="X612" s="6"/>
      <c r="Y612" s="6"/>
      <c r="Z612" s="6"/>
      <c r="AA612" s="6"/>
      <c r="AB612" s="6"/>
    </row>
    <row r="613" hidden="1">
      <c r="A613" s="13" t="str">
        <f>E628</f>
        <v>6049ec1827aa2014cf5bb206</v>
      </c>
      <c r="B613" s="13"/>
      <c r="C613" s="13" t="s">
        <v>31</v>
      </c>
      <c r="D613" s="6"/>
      <c r="E613" s="6"/>
      <c r="F613" s="6"/>
      <c r="G613" s="26"/>
      <c r="H613" s="6"/>
      <c r="I613" s="6"/>
      <c r="J613" s="6"/>
      <c r="K613" s="6"/>
      <c r="L613" s="8"/>
      <c r="M613" s="12"/>
      <c r="N613" s="6"/>
      <c r="O613" s="6"/>
      <c r="P613" s="6"/>
      <c r="Q613" s="6"/>
      <c r="R613" s="6"/>
      <c r="S613" s="6"/>
      <c r="T613" s="6"/>
      <c r="U613" s="6"/>
      <c r="V613" s="6"/>
      <c r="W613" s="6"/>
      <c r="X613" s="6"/>
      <c r="Y613" s="6"/>
      <c r="Z613" s="6"/>
      <c r="AA613" s="6"/>
      <c r="AB613" s="6"/>
    </row>
    <row r="614" hidden="1">
      <c r="A614" s="13" t="str">
        <f t="shared" ref="A614:A616" si="3">E614</f>
        <v>6052f2afcd697921afc263d6</v>
      </c>
      <c r="B614" s="13"/>
      <c r="C614" s="13" t="s">
        <v>31</v>
      </c>
      <c r="D614" s="44" t="s">
        <v>958</v>
      </c>
      <c r="E614" s="124" t="s">
        <v>1196</v>
      </c>
      <c r="F614" s="124" t="s">
        <v>1197</v>
      </c>
      <c r="G614" s="43">
        <v>0.5833333333333334</v>
      </c>
      <c r="H614" s="44" t="s">
        <v>1198</v>
      </c>
      <c r="I614" s="44" t="s">
        <v>1199</v>
      </c>
      <c r="J614" s="124" t="s">
        <v>1200</v>
      </c>
      <c r="K614" s="44" t="s">
        <v>1201</v>
      </c>
      <c r="L614" s="8"/>
      <c r="M614" s="12"/>
      <c r="N614" s="6"/>
      <c r="O614" s="6"/>
      <c r="P614" s="6"/>
      <c r="Q614" s="6"/>
      <c r="R614" s="6"/>
      <c r="S614" s="6"/>
      <c r="T614" s="6"/>
      <c r="U614" s="6"/>
      <c r="V614" s="6"/>
      <c r="W614" s="6"/>
      <c r="X614" s="6"/>
      <c r="Y614" s="6"/>
      <c r="Z614" s="6"/>
      <c r="AA614" s="6"/>
      <c r="AB614" s="6"/>
    </row>
    <row r="615" hidden="1">
      <c r="A615" s="13" t="str">
        <f t="shared" si="3"/>
        <v>6052efad9f1d19610e010a88</v>
      </c>
      <c r="B615" s="13"/>
      <c r="C615" s="13" t="s">
        <v>31</v>
      </c>
      <c r="D615" s="44" t="s">
        <v>958</v>
      </c>
      <c r="E615" s="124" t="s">
        <v>1202</v>
      </c>
      <c r="F615" s="124" t="s">
        <v>1203</v>
      </c>
      <c r="G615" s="43">
        <v>0.5833333333333334</v>
      </c>
      <c r="H615" s="44" t="s">
        <v>1198</v>
      </c>
      <c r="I615" s="44" t="s">
        <v>1199</v>
      </c>
      <c r="J615" s="124" t="s">
        <v>1200</v>
      </c>
      <c r="K615" s="45"/>
      <c r="L615" s="8"/>
      <c r="M615" s="12"/>
      <c r="N615" s="6"/>
      <c r="O615" s="6"/>
      <c r="P615" s="6"/>
      <c r="Q615" s="6"/>
      <c r="R615" s="6"/>
      <c r="S615" s="6"/>
      <c r="T615" s="6"/>
      <c r="U615" s="6"/>
      <c r="V615" s="6"/>
      <c r="W615" s="6"/>
      <c r="X615" s="6"/>
      <c r="Y615" s="6"/>
      <c r="Z615" s="6"/>
      <c r="AA615" s="6"/>
      <c r="AB615" s="6"/>
    </row>
    <row r="616" hidden="1">
      <c r="A616" s="13" t="str">
        <f t="shared" si="3"/>
        <v>6049e2007f1ab8bf3fdb2bc0</v>
      </c>
      <c r="B616" s="13"/>
      <c r="C616" s="13" t="s">
        <v>31</v>
      </c>
      <c r="D616" s="39" t="s">
        <v>958</v>
      </c>
      <c r="E616" s="127" t="s">
        <v>1204</v>
      </c>
      <c r="F616" s="127" t="s">
        <v>1205</v>
      </c>
      <c r="G616" s="128">
        <v>0.6666666666666666</v>
      </c>
      <c r="H616" s="39" t="s">
        <v>35</v>
      </c>
      <c r="I616" s="39" t="s">
        <v>1206</v>
      </c>
      <c r="J616" s="129" t="s">
        <v>1207</v>
      </c>
      <c r="K616" s="8"/>
      <c r="L616" s="8"/>
      <c r="M616" s="12"/>
      <c r="N616" s="6"/>
      <c r="O616" s="6"/>
      <c r="P616" s="6"/>
      <c r="Q616" s="6"/>
      <c r="R616" s="6"/>
      <c r="S616" s="6"/>
      <c r="T616" s="6"/>
      <c r="U616" s="6"/>
      <c r="V616" s="6"/>
      <c r="W616" s="6"/>
      <c r="X616" s="6"/>
      <c r="Y616" s="6"/>
      <c r="Z616" s="6"/>
      <c r="AA616" s="6"/>
      <c r="AB616" s="6"/>
    </row>
    <row r="617" hidden="1">
      <c r="A617" s="13"/>
      <c r="B617" s="13"/>
      <c r="C617" s="13" t="s">
        <v>31</v>
      </c>
      <c r="D617" s="39" t="s">
        <v>958</v>
      </c>
      <c r="E617" s="127" t="s">
        <v>1208</v>
      </c>
      <c r="F617" s="127" t="s">
        <v>1209</v>
      </c>
      <c r="G617" s="128">
        <v>0.6666666666666666</v>
      </c>
      <c r="H617" s="39" t="s">
        <v>35</v>
      </c>
      <c r="I617" s="39" t="s">
        <v>1206</v>
      </c>
      <c r="J617" s="129" t="s">
        <v>1207</v>
      </c>
      <c r="K617" s="8"/>
      <c r="L617" s="8"/>
      <c r="M617" s="12"/>
      <c r="N617" s="6"/>
      <c r="O617" s="6"/>
      <c r="P617" s="6"/>
      <c r="Q617" s="6"/>
      <c r="R617" s="6"/>
      <c r="S617" s="6"/>
      <c r="T617" s="6"/>
      <c r="U617" s="6"/>
      <c r="V617" s="6"/>
      <c r="W617" s="6"/>
      <c r="X617" s="6"/>
      <c r="Y617" s="6"/>
      <c r="Z617" s="6"/>
      <c r="AA617" s="6"/>
      <c r="AB617" s="6"/>
    </row>
    <row r="618" hidden="1">
      <c r="A618" s="13" t="str">
        <f>#REF!</f>
        <v>#REF!</v>
      </c>
      <c r="B618" s="13"/>
      <c r="C618" s="13" t="s">
        <v>31</v>
      </c>
      <c r="D618" s="39" t="s">
        <v>958</v>
      </c>
      <c r="E618" s="129" t="s">
        <v>1210</v>
      </c>
      <c r="F618" s="129" t="s">
        <v>1211</v>
      </c>
      <c r="G618" s="128">
        <v>0.75</v>
      </c>
      <c r="H618" s="39" t="s">
        <v>564</v>
      </c>
      <c r="I618" s="39" t="s">
        <v>1212</v>
      </c>
      <c r="J618" s="129" t="s">
        <v>1213</v>
      </c>
      <c r="K618" s="8"/>
      <c r="L618" s="8"/>
      <c r="M618" s="12"/>
      <c r="N618" s="6"/>
      <c r="O618" s="6"/>
      <c r="P618" s="6"/>
      <c r="Q618" s="6"/>
      <c r="R618" s="6"/>
      <c r="S618" s="6"/>
      <c r="T618" s="6"/>
      <c r="U618" s="6"/>
      <c r="V618" s="6"/>
      <c r="W618" s="6"/>
      <c r="X618" s="6"/>
      <c r="Y618" s="6"/>
      <c r="Z618" s="6"/>
      <c r="AA618" s="6"/>
      <c r="AB618" s="6"/>
    </row>
    <row r="619" hidden="1">
      <c r="A619" s="13" t="str">
        <f t="shared" ref="A619:A627" si="4">E619</f>
        <v>60526974cb2cf69e026eb816</v>
      </c>
      <c r="B619" s="13"/>
      <c r="C619" s="13" t="s">
        <v>46</v>
      </c>
      <c r="D619" s="39" t="s">
        <v>958</v>
      </c>
      <c r="E619" s="129" t="s">
        <v>1214</v>
      </c>
      <c r="F619" s="129" t="s">
        <v>1215</v>
      </c>
      <c r="G619" s="128">
        <v>0.5</v>
      </c>
      <c r="H619" s="39" t="s">
        <v>229</v>
      </c>
      <c r="I619" s="39" t="s">
        <v>1216</v>
      </c>
      <c r="J619" s="129" t="s">
        <v>1217</v>
      </c>
      <c r="K619" s="39" t="s">
        <v>1218</v>
      </c>
      <c r="L619" s="8"/>
      <c r="M619" s="12"/>
      <c r="N619" s="6"/>
      <c r="O619" s="6"/>
      <c r="P619" s="6"/>
      <c r="Q619" s="6"/>
      <c r="R619" s="6"/>
      <c r="S619" s="6"/>
      <c r="T619" s="6"/>
      <c r="U619" s="6"/>
      <c r="V619" s="6"/>
      <c r="W619" s="6"/>
      <c r="X619" s="6"/>
      <c r="Y619" s="6"/>
      <c r="Z619" s="6"/>
      <c r="AA619" s="6"/>
      <c r="AB619" s="6"/>
    </row>
    <row r="620" hidden="1">
      <c r="A620" s="13" t="str">
        <f t="shared" si="4"/>
        <v>6036da9cc4832b9a8db01802</v>
      </c>
      <c r="B620" s="13"/>
      <c r="C620" s="13" t="s">
        <v>46</v>
      </c>
      <c r="D620" s="39" t="s">
        <v>958</v>
      </c>
      <c r="E620" s="127" t="s">
        <v>1219</v>
      </c>
      <c r="F620" s="127" t="s">
        <v>1220</v>
      </c>
      <c r="G620" s="128">
        <v>0.5833333333333334</v>
      </c>
      <c r="H620" s="39" t="s">
        <v>384</v>
      </c>
      <c r="I620" s="39" t="s">
        <v>1221</v>
      </c>
      <c r="J620" s="61" t="s">
        <v>1222</v>
      </c>
      <c r="K620" s="8"/>
      <c r="L620" s="8"/>
      <c r="M620" s="12"/>
      <c r="N620" s="6"/>
      <c r="O620" s="6"/>
      <c r="P620" s="6"/>
      <c r="Q620" s="6"/>
      <c r="R620" s="6"/>
      <c r="S620" s="6"/>
      <c r="T620" s="6"/>
      <c r="U620" s="6"/>
      <c r="V620" s="6"/>
      <c r="W620" s="6"/>
      <c r="X620" s="6"/>
      <c r="Y620" s="6"/>
      <c r="Z620" s="6"/>
      <c r="AA620" s="6"/>
      <c r="AB620" s="6"/>
    </row>
    <row r="621" hidden="1">
      <c r="A621" s="13" t="str">
        <f t="shared" si="4"/>
        <v>5f96074aaf4198cce667b468</v>
      </c>
      <c r="B621" s="13"/>
      <c r="C621" s="13" t="s">
        <v>46</v>
      </c>
      <c r="D621" s="39" t="s">
        <v>958</v>
      </c>
      <c r="E621" s="8" t="s">
        <v>1223</v>
      </c>
      <c r="F621" s="8" t="s">
        <v>1224</v>
      </c>
      <c r="G621" s="128">
        <v>0.5833333333333334</v>
      </c>
      <c r="H621" s="39" t="s">
        <v>384</v>
      </c>
      <c r="I621" s="39" t="s">
        <v>1221</v>
      </c>
      <c r="J621" s="8" t="s">
        <v>1222</v>
      </c>
      <c r="K621" s="8"/>
      <c r="L621" s="8"/>
      <c r="M621" s="12"/>
      <c r="N621" s="6"/>
      <c r="O621" s="6"/>
      <c r="P621" s="6"/>
      <c r="Q621" s="6"/>
      <c r="R621" s="6"/>
      <c r="S621" s="6"/>
      <c r="T621" s="6"/>
      <c r="U621" s="6"/>
      <c r="V621" s="6"/>
      <c r="W621" s="6"/>
      <c r="X621" s="6"/>
      <c r="Y621" s="6"/>
      <c r="Z621" s="6"/>
      <c r="AA621" s="6"/>
      <c r="AB621" s="6"/>
    </row>
    <row r="622" hidden="1">
      <c r="A622" s="13" t="str">
        <f t="shared" si="4"/>
        <v/>
      </c>
      <c r="B622" s="13"/>
      <c r="C622" s="13" t="s">
        <v>46</v>
      </c>
      <c r="D622" s="8"/>
      <c r="E622" s="8"/>
      <c r="F622" s="8"/>
      <c r="G622" s="126"/>
      <c r="H622" s="8"/>
      <c r="I622" s="8"/>
      <c r="J622" s="8"/>
      <c r="K622" s="8"/>
      <c r="L622" s="8"/>
      <c r="M622" s="12"/>
      <c r="N622" s="6"/>
      <c r="O622" s="6"/>
      <c r="P622" s="6"/>
      <c r="Q622" s="6"/>
      <c r="R622" s="6"/>
      <c r="S622" s="6"/>
      <c r="T622" s="6"/>
      <c r="U622" s="6"/>
      <c r="V622" s="6"/>
      <c r="W622" s="6"/>
      <c r="X622" s="6"/>
      <c r="Y622" s="6"/>
      <c r="Z622" s="6"/>
      <c r="AA622" s="6"/>
      <c r="AB622" s="6"/>
    </row>
    <row r="623" hidden="1">
      <c r="A623" s="13" t="str">
        <f t="shared" si="4"/>
        <v/>
      </c>
      <c r="B623" s="13"/>
      <c r="C623" s="13" t="s">
        <v>46</v>
      </c>
      <c r="D623" s="8"/>
      <c r="E623" s="8"/>
      <c r="F623" s="8"/>
      <c r="G623" s="126"/>
      <c r="H623" s="8"/>
      <c r="I623" s="8"/>
      <c r="J623" s="8"/>
      <c r="K623" s="8"/>
      <c r="L623" s="8"/>
      <c r="M623" s="12"/>
      <c r="N623" s="6"/>
      <c r="O623" s="6"/>
      <c r="P623" s="6"/>
      <c r="Q623" s="6"/>
      <c r="R623" s="6"/>
      <c r="S623" s="6"/>
      <c r="T623" s="6"/>
      <c r="U623" s="6"/>
      <c r="V623" s="6"/>
      <c r="W623" s="6"/>
      <c r="X623" s="6"/>
      <c r="Y623" s="6"/>
      <c r="Z623" s="6"/>
      <c r="AA623" s="6"/>
      <c r="AB623" s="6"/>
    </row>
    <row r="624" hidden="1">
      <c r="A624" s="13" t="str">
        <f t="shared" si="4"/>
        <v/>
      </c>
      <c r="B624" s="94"/>
      <c r="C624" s="94">
        <v>44279.0</v>
      </c>
      <c r="D624" s="6"/>
      <c r="E624" s="6"/>
      <c r="F624" s="6"/>
      <c r="G624" s="26"/>
      <c r="H624" s="6"/>
      <c r="I624" s="6"/>
      <c r="J624" s="6"/>
      <c r="K624" s="6"/>
      <c r="L624" s="6"/>
      <c r="M624" s="12"/>
      <c r="N624" s="6"/>
      <c r="O624" s="6"/>
      <c r="P624" s="6"/>
      <c r="Q624" s="6"/>
      <c r="R624" s="6"/>
      <c r="S624" s="6"/>
      <c r="T624" s="6"/>
      <c r="U624" s="6"/>
      <c r="V624" s="6"/>
      <c r="W624" s="6"/>
      <c r="X624" s="6"/>
      <c r="Y624" s="6"/>
      <c r="Z624" s="6"/>
      <c r="AA624" s="6"/>
      <c r="AB624" s="6"/>
    </row>
    <row r="625" hidden="1">
      <c r="A625" s="13" t="str">
        <f t="shared" si="4"/>
        <v/>
      </c>
      <c r="B625" s="13"/>
      <c r="C625" s="13" t="s">
        <v>31</v>
      </c>
      <c r="D625" s="8"/>
      <c r="E625" s="8"/>
      <c r="F625" s="8"/>
      <c r="G625" s="126"/>
      <c r="H625" s="8"/>
      <c r="I625" s="8"/>
      <c r="J625" s="8"/>
      <c r="K625" s="8"/>
      <c r="L625" s="8"/>
      <c r="M625" s="12"/>
      <c r="N625" s="6"/>
      <c r="O625" s="6"/>
      <c r="P625" s="6"/>
      <c r="Q625" s="6"/>
      <c r="R625" s="6"/>
      <c r="S625" s="6"/>
      <c r="T625" s="6"/>
      <c r="U625" s="6"/>
      <c r="V625" s="6"/>
      <c r="W625" s="6"/>
      <c r="X625" s="6"/>
      <c r="Y625" s="6"/>
      <c r="Z625" s="6"/>
      <c r="AA625" s="6"/>
      <c r="AB625" s="6"/>
    </row>
    <row r="626" hidden="1">
      <c r="A626" s="13" t="str">
        <f t="shared" si="4"/>
        <v/>
      </c>
      <c r="B626" s="13"/>
      <c r="C626" s="13" t="s">
        <v>31</v>
      </c>
      <c r="D626" s="8"/>
      <c r="E626" s="8"/>
      <c r="F626" s="8"/>
      <c r="G626" s="126"/>
      <c r="H626" s="8"/>
      <c r="I626" s="8"/>
      <c r="J626" s="8"/>
      <c r="K626" s="8"/>
      <c r="L626" s="8"/>
      <c r="M626" s="12"/>
      <c r="N626" s="6"/>
      <c r="O626" s="6"/>
      <c r="P626" s="6"/>
      <c r="Q626" s="6"/>
      <c r="R626" s="6"/>
      <c r="S626" s="6"/>
      <c r="T626" s="6"/>
      <c r="U626" s="6"/>
      <c r="V626" s="6"/>
      <c r="W626" s="6"/>
      <c r="X626" s="6"/>
      <c r="Y626" s="6"/>
      <c r="Z626" s="6"/>
      <c r="AA626" s="6"/>
      <c r="AB626" s="6"/>
    </row>
    <row r="627" hidden="1">
      <c r="A627" s="13" t="str">
        <f t="shared" si="4"/>
        <v>5fa89ed592ac0531c39164b7</v>
      </c>
      <c r="B627" s="13"/>
      <c r="C627" s="13" t="s">
        <v>31</v>
      </c>
      <c r="D627" s="44" t="s">
        <v>958</v>
      </c>
      <c r="E627" s="124" t="s">
        <v>1225</v>
      </c>
      <c r="F627" s="124" t="s">
        <v>1226</v>
      </c>
      <c r="G627" s="43">
        <v>0.5833333333333334</v>
      </c>
      <c r="H627" s="44" t="s">
        <v>384</v>
      </c>
      <c r="I627" s="44" t="s">
        <v>1227</v>
      </c>
      <c r="J627" s="124" t="s">
        <v>1228</v>
      </c>
      <c r="K627" s="45"/>
      <c r="L627" s="39" t="s">
        <v>1229</v>
      </c>
      <c r="M627" s="12"/>
      <c r="N627" s="6"/>
      <c r="O627" s="6"/>
      <c r="P627" s="6"/>
      <c r="Q627" s="6"/>
      <c r="R627" s="6"/>
      <c r="S627" s="6"/>
      <c r="T627" s="6"/>
      <c r="U627" s="6"/>
      <c r="V627" s="6"/>
      <c r="W627" s="6"/>
      <c r="X627" s="6"/>
      <c r="Y627" s="6"/>
      <c r="Z627" s="6"/>
      <c r="AA627" s="6"/>
      <c r="AB627" s="6"/>
    </row>
    <row r="628" hidden="1">
      <c r="A628" s="13" t="str">
        <f>#REF!</f>
        <v>#REF!</v>
      </c>
      <c r="B628" s="13"/>
      <c r="C628" s="13" t="s">
        <v>31</v>
      </c>
      <c r="D628" s="39" t="s">
        <v>958</v>
      </c>
      <c r="E628" s="129" t="s">
        <v>1230</v>
      </c>
      <c r="F628" s="129" t="s">
        <v>1231</v>
      </c>
      <c r="G628" s="128">
        <v>0.625</v>
      </c>
      <c r="H628" s="39" t="s">
        <v>362</v>
      </c>
      <c r="I628" s="39" t="s">
        <v>1232</v>
      </c>
      <c r="J628" s="129" t="s">
        <v>1233</v>
      </c>
      <c r="K628" s="8"/>
      <c r="L628" s="8"/>
      <c r="M628" s="12"/>
      <c r="N628" s="6"/>
      <c r="O628" s="6"/>
      <c r="P628" s="6"/>
      <c r="Q628" s="6"/>
      <c r="R628" s="6"/>
      <c r="S628" s="6"/>
      <c r="T628" s="6"/>
      <c r="U628" s="6"/>
      <c r="V628" s="6"/>
      <c r="W628" s="6"/>
      <c r="X628" s="6"/>
      <c r="Y628" s="6"/>
      <c r="Z628" s="6"/>
      <c r="AA628" s="6"/>
      <c r="AB628" s="6"/>
    </row>
    <row r="629" hidden="1">
      <c r="A629" s="13" t="str">
        <f t="shared" ref="A629:A686" si="5">E629</f>
        <v/>
      </c>
      <c r="B629" s="13"/>
      <c r="C629" s="13" t="s">
        <v>31</v>
      </c>
      <c r="D629" s="8"/>
      <c r="E629" s="8"/>
      <c r="F629" s="8"/>
      <c r="G629" s="126"/>
      <c r="H629" s="8"/>
      <c r="I629" s="8"/>
      <c r="J629" s="8"/>
      <c r="K629" s="8"/>
      <c r="L629" s="8"/>
      <c r="M629" s="12"/>
      <c r="N629" s="6"/>
      <c r="O629" s="6"/>
      <c r="P629" s="6"/>
      <c r="Q629" s="6"/>
      <c r="R629" s="6"/>
      <c r="S629" s="6"/>
      <c r="T629" s="6"/>
      <c r="U629" s="6"/>
      <c r="V629" s="6"/>
      <c r="W629" s="6"/>
      <c r="X629" s="6"/>
      <c r="Y629" s="6"/>
      <c r="Z629" s="6"/>
      <c r="AA629" s="6"/>
      <c r="AB629" s="6"/>
    </row>
    <row r="630" hidden="1">
      <c r="A630" s="13" t="str">
        <f t="shared" si="5"/>
        <v/>
      </c>
      <c r="B630" s="13"/>
      <c r="C630" s="13" t="s">
        <v>46</v>
      </c>
      <c r="D630" s="8"/>
      <c r="E630" s="8"/>
      <c r="F630" s="8"/>
      <c r="G630" s="126"/>
      <c r="H630" s="8"/>
      <c r="I630" s="8"/>
      <c r="J630" s="8"/>
      <c r="K630" s="8"/>
      <c r="L630" s="8"/>
      <c r="M630" s="12"/>
      <c r="N630" s="6"/>
      <c r="O630" s="6"/>
      <c r="P630" s="6"/>
      <c r="Q630" s="6"/>
      <c r="R630" s="6"/>
      <c r="S630" s="6"/>
      <c r="T630" s="6"/>
      <c r="U630" s="6"/>
      <c r="V630" s="6"/>
      <c r="W630" s="6"/>
      <c r="X630" s="6"/>
      <c r="Y630" s="6"/>
      <c r="Z630" s="6"/>
      <c r="AA630" s="6"/>
      <c r="AB630" s="6"/>
    </row>
    <row r="631" hidden="1">
      <c r="A631" s="13" t="str">
        <f t="shared" si="5"/>
        <v/>
      </c>
      <c r="B631" s="13"/>
      <c r="C631" s="13" t="s">
        <v>46</v>
      </c>
      <c r="D631" s="8"/>
      <c r="E631" s="8"/>
      <c r="F631" s="8"/>
      <c r="G631" s="126"/>
      <c r="H631" s="8"/>
      <c r="I631" s="8"/>
      <c r="J631" s="8"/>
      <c r="K631" s="8"/>
      <c r="L631" s="8"/>
      <c r="M631" s="12"/>
      <c r="N631" s="6"/>
      <c r="O631" s="6"/>
      <c r="P631" s="6"/>
      <c r="Q631" s="6"/>
      <c r="R631" s="6"/>
      <c r="S631" s="6"/>
      <c r="T631" s="6"/>
      <c r="U631" s="6"/>
      <c r="V631" s="6"/>
      <c r="W631" s="6"/>
      <c r="X631" s="6"/>
      <c r="Y631" s="6"/>
      <c r="Z631" s="6"/>
      <c r="AA631" s="6"/>
      <c r="AB631" s="6"/>
    </row>
    <row r="632" hidden="1">
      <c r="A632" s="13" t="str">
        <f t="shared" si="5"/>
        <v/>
      </c>
      <c r="B632" s="13"/>
      <c r="C632" s="13" t="s">
        <v>46</v>
      </c>
      <c r="D632" s="8"/>
      <c r="E632" s="8"/>
      <c r="F632" s="8"/>
      <c r="G632" s="126"/>
      <c r="H632" s="8"/>
      <c r="I632" s="8"/>
      <c r="J632" s="8"/>
      <c r="K632" s="8"/>
      <c r="L632" s="8"/>
      <c r="M632" s="12"/>
      <c r="N632" s="6"/>
      <c r="O632" s="6"/>
      <c r="P632" s="6"/>
      <c r="Q632" s="6"/>
      <c r="R632" s="6"/>
      <c r="S632" s="6"/>
      <c r="T632" s="6"/>
      <c r="U632" s="6"/>
      <c r="V632" s="6"/>
      <c r="W632" s="6"/>
      <c r="X632" s="6"/>
      <c r="Y632" s="6"/>
      <c r="Z632" s="6"/>
      <c r="AA632" s="6"/>
      <c r="AB632" s="6"/>
    </row>
    <row r="633" hidden="1">
      <c r="A633" s="13" t="str">
        <f t="shared" si="5"/>
        <v/>
      </c>
      <c r="B633" s="13"/>
      <c r="C633" s="13" t="s">
        <v>46</v>
      </c>
      <c r="D633" s="8"/>
      <c r="E633" s="8"/>
      <c r="F633" s="8"/>
      <c r="G633" s="126"/>
      <c r="H633" s="8"/>
      <c r="I633" s="8"/>
      <c r="J633" s="8"/>
      <c r="K633" s="8"/>
      <c r="L633" s="8"/>
      <c r="M633" s="12"/>
      <c r="N633" s="6"/>
      <c r="O633" s="6"/>
      <c r="P633" s="6"/>
      <c r="Q633" s="6"/>
      <c r="R633" s="6"/>
      <c r="S633" s="6"/>
      <c r="T633" s="6"/>
      <c r="U633" s="6"/>
      <c r="V633" s="6"/>
      <c r="W633" s="6"/>
      <c r="X633" s="6"/>
      <c r="Y633" s="6"/>
      <c r="Z633" s="6"/>
      <c r="AA633" s="6"/>
      <c r="AB633" s="6"/>
    </row>
    <row r="634" hidden="1">
      <c r="A634" s="13" t="str">
        <f t="shared" si="5"/>
        <v/>
      </c>
      <c r="B634" s="13"/>
      <c r="C634" s="13" t="s">
        <v>46</v>
      </c>
      <c r="D634" s="8"/>
      <c r="E634" s="8"/>
      <c r="F634" s="8"/>
      <c r="G634" s="126"/>
      <c r="H634" s="8"/>
      <c r="I634" s="8"/>
      <c r="J634" s="8"/>
      <c r="K634" s="8"/>
      <c r="L634" s="8"/>
      <c r="M634" s="12"/>
      <c r="N634" s="6"/>
      <c r="O634" s="6"/>
      <c r="P634" s="6"/>
      <c r="Q634" s="6"/>
      <c r="R634" s="6"/>
      <c r="S634" s="6"/>
      <c r="T634" s="6"/>
      <c r="U634" s="6"/>
      <c r="V634" s="6"/>
      <c r="W634" s="6"/>
      <c r="X634" s="6"/>
      <c r="Y634" s="6"/>
      <c r="Z634" s="6"/>
      <c r="AA634" s="6"/>
      <c r="AB634" s="6"/>
    </row>
    <row r="635" hidden="1">
      <c r="A635" s="13" t="str">
        <f t="shared" si="5"/>
        <v/>
      </c>
      <c r="B635" s="94"/>
      <c r="C635" s="94">
        <v>44280.0</v>
      </c>
      <c r="D635" s="6"/>
      <c r="E635" s="6"/>
      <c r="F635" s="6"/>
      <c r="G635" s="26"/>
      <c r="H635" s="6"/>
      <c r="I635" s="6"/>
      <c r="J635" s="6"/>
      <c r="K635" s="6"/>
      <c r="L635" s="6"/>
      <c r="M635" s="12"/>
      <c r="N635" s="6"/>
      <c r="O635" s="6"/>
      <c r="P635" s="6"/>
      <c r="Q635" s="6"/>
      <c r="R635" s="6"/>
      <c r="S635" s="6"/>
      <c r="T635" s="6"/>
      <c r="U635" s="6"/>
      <c r="V635" s="6"/>
      <c r="W635" s="6"/>
      <c r="X635" s="6"/>
      <c r="Y635" s="6"/>
      <c r="Z635" s="6"/>
      <c r="AA635" s="6"/>
      <c r="AB635" s="6"/>
    </row>
    <row r="636" hidden="1">
      <c r="A636" s="13" t="str">
        <f t="shared" si="5"/>
        <v/>
      </c>
      <c r="B636" s="13"/>
      <c r="C636" s="13" t="s">
        <v>31</v>
      </c>
      <c r="D636" s="8"/>
      <c r="E636" s="8"/>
      <c r="F636" s="8"/>
      <c r="G636" s="126"/>
      <c r="H636" s="8"/>
      <c r="I636" s="8"/>
      <c r="J636" s="8"/>
      <c r="K636" s="8"/>
      <c r="L636" s="8"/>
      <c r="M636" s="12"/>
      <c r="N636" s="6"/>
      <c r="O636" s="6"/>
      <c r="P636" s="6"/>
      <c r="Q636" s="6"/>
      <c r="R636" s="6"/>
      <c r="S636" s="6"/>
      <c r="T636" s="6"/>
      <c r="U636" s="6"/>
      <c r="V636" s="6"/>
      <c r="W636" s="6"/>
      <c r="X636" s="6"/>
      <c r="Y636" s="6"/>
      <c r="Z636" s="6"/>
      <c r="AA636" s="6"/>
      <c r="AB636" s="6"/>
    </row>
    <row r="637" hidden="1">
      <c r="A637" s="13" t="str">
        <f t="shared" si="5"/>
        <v/>
      </c>
      <c r="B637" s="13"/>
      <c r="C637" s="13" t="s">
        <v>31</v>
      </c>
      <c r="D637" s="8"/>
      <c r="E637" s="8"/>
      <c r="F637" s="8"/>
      <c r="G637" s="126"/>
      <c r="H637" s="8"/>
      <c r="I637" s="8"/>
      <c r="J637" s="8"/>
      <c r="K637" s="8"/>
      <c r="L637" s="8"/>
      <c r="M637" s="12"/>
      <c r="N637" s="6"/>
      <c r="O637" s="6"/>
      <c r="P637" s="6"/>
      <c r="Q637" s="6"/>
      <c r="R637" s="6"/>
      <c r="S637" s="6"/>
      <c r="T637" s="6"/>
      <c r="U637" s="6"/>
      <c r="V637" s="6"/>
      <c r="W637" s="6"/>
      <c r="X637" s="6"/>
      <c r="Y637" s="6"/>
      <c r="Z637" s="6"/>
      <c r="AA637" s="6"/>
      <c r="AB637" s="6"/>
    </row>
    <row r="638" hidden="1">
      <c r="A638" s="13" t="str">
        <f t="shared" si="5"/>
        <v>6049e8ac8aa121675171716b</v>
      </c>
      <c r="B638" s="13"/>
      <c r="C638" s="13" t="s">
        <v>31</v>
      </c>
      <c r="D638" s="39" t="s">
        <v>958</v>
      </c>
      <c r="E638" s="129" t="s">
        <v>1234</v>
      </c>
      <c r="F638" s="129" t="s">
        <v>1235</v>
      </c>
      <c r="G638" s="128">
        <v>0.5</v>
      </c>
      <c r="H638" s="39" t="s">
        <v>775</v>
      </c>
      <c r="I638" s="39" t="s">
        <v>1236</v>
      </c>
      <c r="J638" s="129" t="s">
        <v>1237</v>
      </c>
      <c r="K638" s="8"/>
      <c r="L638" s="8"/>
      <c r="M638" s="12"/>
      <c r="N638" s="6"/>
      <c r="O638" s="6"/>
      <c r="P638" s="6"/>
      <c r="Q638" s="6"/>
      <c r="R638" s="6"/>
      <c r="S638" s="6"/>
      <c r="T638" s="6"/>
      <c r="U638" s="6"/>
      <c r="V638" s="6"/>
      <c r="W638" s="6"/>
      <c r="X638" s="6"/>
      <c r="Y638" s="6"/>
      <c r="Z638" s="6"/>
      <c r="AA638" s="6"/>
      <c r="AB638" s="6"/>
    </row>
    <row r="639" hidden="1">
      <c r="A639" s="13" t="str">
        <f t="shared" si="5"/>
        <v>5fbe8e98a9c8366923adb6a4</v>
      </c>
      <c r="B639" s="13"/>
      <c r="C639" s="13" t="s">
        <v>31</v>
      </c>
      <c r="D639" s="39" t="s">
        <v>958</v>
      </c>
      <c r="E639" s="61" t="s">
        <v>469</v>
      </c>
      <c r="F639" s="61" t="s">
        <v>470</v>
      </c>
      <c r="G639" s="128">
        <v>0.625</v>
      </c>
      <c r="H639" s="39" t="s">
        <v>35</v>
      </c>
      <c r="I639" s="39" t="s">
        <v>1238</v>
      </c>
      <c r="J639" s="127" t="s">
        <v>472</v>
      </c>
      <c r="K639" s="8"/>
      <c r="L639" s="8"/>
      <c r="M639" s="12"/>
      <c r="N639" s="6"/>
      <c r="O639" s="6"/>
      <c r="P639" s="6"/>
      <c r="Q639" s="6"/>
      <c r="R639" s="6"/>
      <c r="S639" s="6"/>
      <c r="T639" s="6"/>
      <c r="U639" s="6"/>
      <c r="V639" s="6"/>
      <c r="W639" s="6"/>
      <c r="X639" s="6"/>
      <c r="Y639" s="6"/>
      <c r="Z639" s="6"/>
      <c r="AA639" s="6"/>
      <c r="AB639" s="6"/>
    </row>
    <row r="640" hidden="1">
      <c r="A640" s="13" t="str">
        <f t="shared" si="5"/>
        <v/>
      </c>
      <c r="B640" s="13"/>
      <c r="C640" s="13" t="s">
        <v>31</v>
      </c>
      <c r="D640" s="8"/>
      <c r="E640" s="8"/>
      <c r="F640" s="8"/>
      <c r="G640" s="126"/>
      <c r="H640" s="8"/>
      <c r="I640" s="8"/>
      <c r="J640" s="8"/>
      <c r="K640" s="8"/>
      <c r="L640" s="8"/>
      <c r="M640" s="12"/>
      <c r="N640" s="6"/>
      <c r="O640" s="6"/>
      <c r="P640" s="6"/>
      <c r="Q640" s="6"/>
      <c r="R640" s="6"/>
      <c r="S640" s="6"/>
      <c r="T640" s="6"/>
      <c r="U640" s="6"/>
      <c r="V640" s="6"/>
      <c r="W640" s="6"/>
      <c r="X640" s="6"/>
      <c r="Y640" s="6"/>
      <c r="Z640" s="6"/>
      <c r="AA640" s="6"/>
      <c r="AB640" s="6"/>
    </row>
    <row r="641" hidden="1">
      <c r="A641" s="13" t="str">
        <f t="shared" si="5"/>
        <v/>
      </c>
      <c r="B641" s="13"/>
      <c r="C641" s="13" t="s">
        <v>46</v>
      </c>
      <c r="D641" s="8"/>
      <c r="E641" s="8"/>
      <c r="F641" s="8"/>
      <c r="G641" s="126"/>
      <c r="H641" s="8"/>
      <c r="I641" s="8"/>
      <c r="J641" s="8"/>
      <c r="K641" s="8"/>
      <c r="L641" s="8"/>
      <c r="M641" s="12"/>
      <c r="N641" s="6"/>
      <c r="O641" s="6"/>
      <c r="P641" s="6"/>
      <c r="Q641" s="6"/>
      <c r="R641" s="6"/>
      <c r="S641" s="6"/>
      <c r="T641" s="6"/>
      <c r="U641" s="6"/>
      <c r="V641" s="6"/>
      <c r="W641" s="6"/>
      <c r="X641" s="6"/>
      <c r="Y641" s="6"/>
      <c r="Z641" s="6"/>
      <c r="AA641" s="6"/>
      <c r="AB641" s="6"/>
    </row>
    <row r="642" hidden="1">
      <c r="A642" s="13" t="str">
        <f t="shared" si="5"/>
        <v/>
      </c>
      <c r="B642" s="13"/>
      <c r="C642" s="13" t="s">
        <v>46</v>
      </c>
      <c r="D642" s="8"/>
      <c r="E642" s="8"/>
      <c r="F642" s="8"/>
      <c r="G642" s="126"/>
      <c r="H642" s="8"/>
      <c r="I642" s="8"/>
      <c r="J642" s="8"/>
      <c r="K642" s="8"/>
      <c r="L642" s="8"/>
      <c r="M642" s="12"/>
      <c r="N642" s="6"/>
      <c r="O642" s="6"/>
      <c r="P642" s="6"/>
      <c r="Q642" s="6"/>
      <c r="R642" s="6"/>
      <c r="S642" s="6"/>
      <c r="T642" s="6"/>
      <c r="U642" s="6"/>
      <c r="V642" s="6"/>
      <c r="W642" s="6"/>
      <c r="X642" s="6"/>
      <c r="Y642" s="6"/>
      <c r="Z642" s="6"/>
      <c r="AA642" s="6"/>
      <c r="AB642" s="6"/>
    </row>
    <row r="643" hidden="1">
      <c r="A643" s="13" t="str">
        <f t="shared" si="5"/>
        <v/>
      </c>
      <c r="B643" s="13"/>
      <c r="C643" s="13" t="s">
        <v>46</v>
      </c>
      <c r="D643" s="8"/>
      <c r="E643" s="8"/>
      <c r="F643" s="8"/>
      <c r="G643" s="126"/>
      <c r="H643" s="8"/>
      <c r="I643" s="8"/>
      <c r="J643" s="8"/>
      <c r="K643" s="8"/>
      <c r="L643" s="8"/>
      <c r="M643" s="12"/>
      <c r="N643" s="6"/>
      <c r="O643" s="6"/>
      <c r="P643" s="6"/>
      <c r="Q643" s="6"/>
      <c r="R643" s="6"/>
      <c r="S643" s="6"/>
      <c r="T643" s="6"/>
      <c r="U643" s="6"/>
      <c r="V643" s="6"/>
      <c r="W643" s="6"/>
      <c r="X643" s="6"/>
      <c r="Y643" s="6"/>
      <c r="Z643" s="6"/>
      <c r="AA643" s="6"/>
      <c r="AB643" s="6"/>
    </row>
    <row r="644" hidden="1">
      <c r="A644" s="13" t="str">
        <f t="shared" si="5"/>
        <v/>
      </c>
      <c r="B644" s="13"/>
      <c r="C644" s="13" t="s">
        <v>46</v>
      </c>
      <c r="D644" s="8"/>
      <c r="E644" s="8"/>
      <c r="F644" s="8"/>
      <c r="G644" s="126"/>
      <c r="H644" s="8"/>
      <c r="I644" s="8"/>
      <c r="J644" s="8"/>
      <c r="K644" s="8"/>
      <c r="L644" s="8"/>
      <c r="M644" s="12"/>
      <c r="N644" s="6"/>
      <c r="O644" s="6"/>
      <c r="P644" s="6"/>
      <c r="Q644" s="6"/>
      <c r="R644" s="6"/>
      <c r="S644" s="6"/>
      <c r="T644" s="6"/>
      <c r="U644" s="6"/>
      <c r="V644" s="6"/>
      <c r="W644" s="6"/>
      <c r="X644" s="6"/>
      <c r="Y644" s="6"/>
      <c r="Z644" s="6"/>
      <c r="AA644" s="6"/>
      <c r="AB644" s="6"/>
    </row>
    <row r="645" hidden="1">
      <c r="A645" s="13" t="str">
        <f t="shared" si="5"/>
        <v/>
      </c>
      <c r="B645" s="13"/>
      <c r="C645" s="13" t="s">
        <v>46</v>
      </c>
      <c r="D645" s="8"/>
      <c r="E645" s="8"/>
      <c r="F645" s="8"/>
      <c r="G645" s="126"/>
      <c r="H645" s="8"/>
      <c r="I645" s="8"/>
      <c r="J645" s="8"/>
      <c r="K645" s="8"/>
      <c r="L645" s="8"/>
      <c r="M645" s="12"/>
      <c r="N645" s="6"/>
      <c r="O645" s="6"/>
      <c r="P645" s="6"/>
      <c r="Q645" s="6"/>
      <c r="R645" s="6"/>
      <c r="S645" s="6"/>
      <c r="T645" s="6"/>
      <c r="U645" s="6"/>
      <c r="V645" s="6"/>
      <c r="W645" s="6"/>
      <c r="X645" s="6"/>
      <c r="Y645" s="6"/>
      <c r="Z645" s="6"/>
      <c r="AA645" s="6"/>
      <c r="AB645" s="6"/>
    </row>
    <row r="646" hidden="1">
      <c r="A646" s="13" t="str">
        <f t="shared" si="5"/>
        <v/>
      </c>
      <c r="B646" s="94"/>
      <c r="C646" s="94">
        <v>44281.0</v>
      </c>
      <c r="D646" s="6"/>
      <c r="E646" s="6"/>
      <c r="F646" s="6"/>
      <c r="G646" s="26"/>
      <c r="H646" s="6"/>
      <c r="I646" s="6"/>
      <c r="J646" s="6"/>
      <c r="K646" s="6"/>
      <c r="L646" s="6"/>
      <c r="M646" s="12"/>
      <c r="N646" s="6"/>
      <c r="O646" s="6"/>
      <c r="P646" s="6"/>
      <c r="Q646" s="6"/>
      <c r="R646" s="6"/>
      <c r="S646" s="6"/>
      <c r="T646" s="6"/>
      <c r="U646" s="6"/>
      <c r="V646" s="6"/>
      <c r="W646" s="6"/>
      <c r="X646" s="6"/>
      <c r="Y646" s="6"/>
      <c r="Z646" s="6"/>
      <c r="AA646" s="6"/>
      <c r="AB646" s="6"/>
    </row>
    <row r="647" hidden="1">
      <c r="A647" s="13" t="str">
        <f t="shared" si="5"/>
        <v/>
      </c>
      <c r="B647" s="13"/>
      <c r="C647" s="13" t="s">
        <v>31</v>
      </c>
      <c r="D647" s="8"/>
      <c r="E647" s="8"/>
      <c r="F647" s="8"/>
      <c r="G647" s="126"/>
      <c r="H647" s="8"/>
      <c r="I647" s="8"/>
      <c r="J647" s="8"/>
      <c r="K647" s="8"/>
      <c r="L647" s="8"/>
      <c r="M647" s="12"/>
      <c r="N647" s="6"/>
      <c r="O647" s="6"/>
      <c r="P647" s="6"/>
      <c r="Q647" s="6"/>
      <c r="R647" s="6"/>
      <c r="S647" s="6"/>
      <c r="T647" s="6"/>
      <c r="U647" s="6"/>
      <c r="V647" s="6"/>
      <c r="W647" s="6"/>
      <c r="X647" s="6"/>
      <c r="Y647" s="6"/>
      <c r="Z647" s="6"/>
      <c r="AA647" s="6"/>
      <c r="AB647" s="6"/>
    </row>
    <row r="648" hidden="1">
      <c r="A648" s="13" t="str">
        <f t="shared" si="5"/>
        <v/>
      </c>
      <c r="B648" s="13"/>
      <c r="C648" s="13" t="s">
        <v>31</v>
      </c>
      <c r="D648" s="8"/>
      <c r="E648" s="8"/>
      <c r="F648" s="8"/>
      <c r="G648" s="126"/>
      <c r="H648" s="8"/>
      <c r="I648" s="8"/>
      <c r="J648" s="8"/>
      <c r="K648" s="8"/>
      <c r="L648" s="8"/>
      <c r="M648" s="12"/>
      <c r="N648" s="6"/>
      <c r="O648" s="6"/>
      <c r="P648" s="6"/>
      <c r="Q648" s="6"/>
      <c r="R648" s="6"/>
      <c r="S648" s="6"/>
      <c r="T648" s="6"/>
      <c r="U648" s="6"/>
      <c r="V648" s="6"/>
      <c r="W648" s="6"/>
      <c r="X648" s="6"/>
      <c r="Y648" s="6"/>
      <c r="Z648" s="6"/>
      <c r="AA648" s="6"/>
      <c r="AB648" s="6"/>
    </row>
    <row r="649" hidden="1">
      <c r="A649" s="13" t="str">
        <f t="shared" si="5"/>
        <v/>
      </c>
      <c r="B649" s="13"/>
      <c r="C649" s="13" t="s">
        <v>31</v>
      </c>
      <c r="D649" s="8"/>
      <c r="E649" s="8"/>
      <c r="F649" s="8"/>
      <c r="G649" s="126"/>
      <c r="H649" s="8"/>
      <c r="I649" s="8"/>
      <c r="J649" s="8"/>
      <c r="K649" s="8"/>
      <c r="L649" s="8"/>
      <c r="M649" s="12"/>
      <c r="N649" s="6"/>
      <c r="O649" s="6"/>
      <c r="P649" s="6"/>
      <c r="Q649" s="6"/>
      <c r="R649" s="6"/>
      <c r="S649" s="6"/>
      <c r="T649" s="6"/>
      <c r="U649" s="6"/>
      <c r="V649" s="6"/>
      <c r="W649" s="6"/>
      <c r="X649" s="6"/>
      <c r="Y649" s="6"/>
      <c r="Z649" s="6"/>
      <c r="AA649" s="6"/>
      <c r="AB649" s="6"/>
    </row>
    <row r="650" hidden="1">
      <c r="A650" s="13" t="str">
        <f t="shared" si="5"/>
        <v/>
      </c>
      <c r="B650" s="13"/>
      <c r="C650" s="13" t="s">
        <v>31</v>
      </c>
      <c r="D650" s="8"/>
      <c r="E650" s="8"/>
      <c r="F650" s="8"/>
      <c r="G650" s="126"/>
      <c r="H650" s="8"/>
      <c r="I650" s="8"/>
      <c r="J650" s="8"/>
      <c r="K650" s="8"/>
      <c r="L650" s="8"/>
      <c r="M650" s="12"/>
      <c r="N650" s="6"/>
      <c r="O650" s="6"/>
      <c r="P650" s="6"/>
      <c r="Q650" s="6"/>
      <c r="R650" s="6"/>
      <c r="S650" s="6"/>
      <c r="T650" s="6"/>
      <c r="U650" s="6"/>
      <c r="V650" s="6"/>
      <c r="W650" s="6"/>
      <c r="X650" s="6"/>
      <c r="Y650" s="6"/>
      <c r="Z650" s="6"/>
      <c r="AA650" s="6"/>
      <c r="AB650" s="6"/>
    </row>
    <row r="651" hidden="1">
      <c r="A651" s="13" t="str">
        <f t="shared" si="5"/>
        <v/>
      </c>
      <c r="B651" s="13"/>
      <c r="C651" s="13" t="s">
        <v>31</v>
      </c>
      <c r="D651" s="8"/>
      <c r="E651" s="8"/>
      <c r="F651" s="8"/>
      <c r="G651" s="126"/>
      <c r="H651" s="8"/>
      <c r="I651" s="8"/>
      <c r="J651" s="8"/>
      <c r="K651" s="8"/>
      <c r="L651" s="8"/>
      <c r="M651" s="12"/>
      <c r="N651" s="6"/>
      <c r="O651" s="6"/>
      <c r="P651" s="6"/>
      <c r="Q651" s="6"/>
      <c r="R651" s="6"/>
      <c r="S651" s="6"/>
      <c r="T651" s="6"/>
      <c r="U651" s="6"/>
      <c r="V651" s="6"/>
      <c r="W651" s="6"/>
      <c r="X651" s="6"/>
      <c r="Y651" s="6"/>
      <c r="Z651" s="6"/>
      <c r="AA651" s="6"/>
      <c r="AB651" s="6"/>
    </row>
    <row r="652" hidden="1">
      <c r="A652" s="13" t="str">
        <f t="shared" si="5"/>
        <v/>
      </c>
      <c r="B652" s="13"/>
      <c r="C652" s="13" t="s">
        <v>46</v>
      </c>
      <c r="D652" s="8"/>
      <c r="E652" s="8"/>
      <c r="F652" s="8"/>
      <c r="G652" s="126"/>
      <c r="H652" s="8"/>
      <c r="I652" s="8"/>
      <c r="J652" s="8"/>
      <c r="K652" s="8"/>
      <c r="L652" s="8"/>
      <c r="M652" s="12"/>
      <c r="N652" s="6"/>
      <c r="O652" s="6"/>
      <c r="P652" s="6"/>
      <c r="Q652" s="6"/>
      <c r="R652" s="6"/>
      <c r="S652" s="6"/>
      <c r="T652" s="6"/>
      <c r="U652" s="6"/>
      <c r="V652" s="6"/>
      <c r="W652" s="6"/>
      <c r="X652" s="6"/>
      <c r="Y652" s="6"/>
      <c r="Z652" s="6"/>
      <c r="AA652" s="6"/>
      <c r="AB652" s="6"/>
    </row>
    <row r="653" hidden="1">
      <c r="A653" s="13" t="str">
        <f t="shared" si="5"/>
        <v/>
      </c>
      <c r="B653" s="13"/>
      <c r="C653" s="13" t="s">
        <v>46</v>
      </c>
      <c r="D653" s="8"/>
      <c r="E653" s="8"/>
      <c r="F653" s="8"/>
      <c r="G653" s="126"/>
      <c r="H653" s="8"/>
      <c r="I653" s="8"/>
      <c r="J653" s="8"/>
      <c r="K653" s="8"/>
      <c r="L653" s="8"/>
      <c r="M653" s="12"/>
      <c r="N653" s="6"/>
      <c r="O653" s="6"/>
      <c r="P653" s="6"/>
      <c r="Q653" s="6"/>
      <c r="R653" s="6"/>
      <c r="S653" s="6"/>
      <c r="T653" s="6"/>
      <c r="U653" s="6"/>
      <c r="V653" s="6"/>
      <c r="W653" s="6"/>
      <c r="X653" s="6"/>
      <c r="Y653" s="6"/>
      <c r="Z653" s="6"/>
      <c r="AA653" s="6"/>
      <c r="AB653" s="6"/>
    </row>
    <row r="654" hidden="1">
      <c r="A654" s="13" t="str">
        <f t="shared" si="5"/>
        <v/>
      </c>
      <c r="B654" s="13"/>
      <c r="C654" s="13" t="s">
        <v>46</v>
      </c>
      <c r="D654" s="8"/>
      <c r="E654" s="8"/>
      <c r="F654" s="8"/>
      <c r="G654" s="126"/>
      <c r="H654" s="8"/>
      <c r="I654" s="8"/>
      <c r="J654" s="8"/>
      <c r="K654" s="8"/>
      <c r="L654" s="8"/>
      <c r="M654" s="12"/>
      <c r="N654" s="6"/>
      <c r="O654" s="6"/>
      <c r="P654" s="6"/>
      <c r="Q654" s="6"/>
      <c r="R654" s="6"/>
      <c r="S654" s="6"/>
      <c r="T654" s="6"/>
      <c r="U654" s="6"/>
      <c r="V654" s="6"/>
      <c r="W654" s="6"/>
      <c r="X654" s="6"/>
      <c r="Y654" s="6"/>
      <c r="Z654" s="6"/>
      <c r="AA654" s="6"/>
      <c r="AB654" s="6"/>
    </row>
    <row r="655" hidden="1">
      <c r="A655" s="13" t="str">
        <f t="shared" si="5"/>
        <v/>
      </c>
      <c r="B655" s="13"/>
      <c r="C655" s="13" t="s">
        <v>46</v>
      </c>
      <c r="D655" s="8"/>
      <c r="E655" s="8"/>
      <c r="F655" s="8"/>
      <c r="G655" s="126"/>
      <c r="H655" s="8"/>
      <c r="I655" s="8"/>
      <c r="J655" s="8"/>
      <c r="K655" s="8"/>
      <c r="L655" s="8"/>
      <c r="M655" s="12"/>
      <c r="N655" s="6"/>
      <c r="O655" s="6"/>
      <c r="P655" s="6"/>
      <c r="Q655" s="6"/>
      <c r="R655" s="6"/>
      <c r="S655" s="6"/>
      <c r="T655" s="6"/>
      <c r="U655" s="6"/>
      <c r="V655" s="6"/>
      <c r="W655" s="6"/>
      <c r="X655" s="6"/>
      <c r="Y655" s="6"/>
      <c r="Z655" s="6"/>
      <c r="AA655" s="6"/>
      <c r="AB655" s="6"/>
    </row>
    <row r="656" hidden="1">
      <c r="A656" s="13" t="str">
        <f t="shared" si="5"/>
        <v/>
      </c>
      <c r="B656" s="13"/>
      <c r="C656" s="13" t="s">
        <v>46</v>
      </c>
      <c r="D656" s="8"/>
      <c r="E656" s="8"/>
      <c r="F656" s="8"/>
      <c r="G656" s="126"/>
      <c r="H656" s="8"/>
      <c r="I656" s="8"/>
      <c r="J656" s="8"/>
      <c r="K656" s="8"/>
      <c r="L656" s="8"/>
      <c r="M656" s="12"/>
      <c r="N656" s="6"/>
      <c r="O656" s="6"/>
      <c r="P656" s="6"/>
      <c r="Q656" s="6"/>
      <c r="R656" s="6"/>
      <c r="S656" s="6"/>
      <c r="T656" s="6"/>
      <c r="U656" s="6"/>
      <c r="V656" s="6"/>
      <c r="W656" s="6"/>
      <c r="X656" s="6"/>
      <c r="Y656" s="6"/>
      <c r="Z656" s="6"/>
      <c r="AA656" s="6"/>
      <c r="AB656" s="6"/>
    </row>
    <row r="657" hidden="1">
      <c r="A657" s="13" t="str">
        <f t="shared" si="5"/>
        <v/>
      </c>
      <c r="B657" s="94"/>
      <c r="C657" s="94">
        <v>44306.0</v>
      </c>
      <c r="D657" s="6"/>
      <c r="E657" s="6"/>
      <c r="F657" s="6"/>
      <c r="G657" s="26"/>
      <c r="H657" s="6"/>
      <c r="I657" s="6"/>
      <c r="J657" s="6"/>
      <c r="K657" s="6"/>
      <c r="L657" s="6"/>
      <c r="M657" s="12"/>
      <c r="N657" s="6"/>
      <c r="O657" s="6"/>
      <c r="P657" s="6"/>
      <c r="Q657" s="6"/>
      <c r="R657" s="6"/>
      <c r="S657" s="6"/>
      <c r="T657" s="6"/>
      <c r="U657" s="6"/>
      <c r="V657" s="6"/>
      <c r="W657" s="6"/>
      <c r="X657" s="6"/>
      <c r="Y657" s="6"/>
      <c r="Z657" s="6"/>
      <c r="AA657" s="6"/>
      <c r="AB657" s="6"/>
    </row>
    <row r="658" hidden="1">
      <c r="A658" s="130" t="str">
        <f t="shared" si="5"/>
        <v/>
      </c>
      <c r="B658" s="131"/>
      <c r="C658" s="131" t="s">
        <v>13</v>
      </c>
      <c r="D658" s="8"/>
      <c r="E658" s="8"/>
      <c r="F658" s="8"/>
      <c r="G658" s="128"/>
      <c r="H658" s="8"/>
      <c r="I658" s="8"/>
      <c r="J658" s="8"/>
      <c r="K658" s="8"/>
      <c r="L658" s="8"/>
      <c r="M658" s="8"/>
      <c r="N658" s="8"/>
      <c r="O658" s="8"/>
      <c r="P658" s="8"/>
      <c r="Q658" s="8"/>
      <c r="R658" s="8"/>
      <c r="S658" s="8"/>
      <c r="T658" s="8"/>
      <c r="U658" s="8"/>
      <c r="V658" s="8"/>
      <c r="W658" s="8"/>
      <c r="X658" s="8"/>
      <c r="Y658" s="8"/>
      <c r="Z658" s="8"/>
      <c r="AA658" s="8"/>
      <c r="AB658" s="8"/>
    </row>
    <row r="659" hidden="1">
      <c r="A659" s="130" t="str">
        <f t="shared" si="5"/>
        <v>606dbbb11278edf983387034</v>
      </c>
      <c r="B659" s="131"/>
      <c r="C659" s="131" t="s">
        <v>13</v>
      </c>
      <c r="D659" s="18" t="s">
        <v>819</v>
      </c>
      <c r="E659" s="122" t="s">
        <v>1239</v>
      </c>
      <c r="F659" s="122" t="s">
        <v>1240</v>
      </c>
      <c r="G659" s="22">
        <v>0.5</v>
      </c>
      <c r="H659" s="18" t="s">
        <v>496</v>
      </c>
      <c r="I659" s="18" t="s">
        <v>1241</v>
      </c>
      <c r="J659" s="122" t="s">
        <v>1242</v>
      </c>
      <c r="K659" s="8"/>
      <c r="L659" s="8"/>
      <c r="M659" s="109">
        <f>VLOOKUP(E659,'Hedef Liste'!A:I,8,false)</f>
        <v>5</v>
      </c>
      <c r="N659" s="8"/>
      <c r="O659" s="8"/>
      <c r="P659" s="8"/>
      <c r="Q659" s="8"/>
      <c r="R659" s="8"/>
      <c r="S659" s="8"/>
      <c r="T659" s="8"/>
      <c r="U659" s="8"/>
      <c r="V659" s="8"/>
      <c r="W659" s="8"/>
      <c r="X659" s="8"/>
      <c r="Y659" s="8"/>
      <c r="Z659" s="8"/>
      <c r="AA659" s="8"/>
      <c r="AB659" s="8"/>
    </row>
    <row r="660" hidden="1">
      <c r="A660" s="130" t="str">
        <f t="shared" si="5"/>
        <v>6070a5dc70bb29141dd4af78</v>
      </c>
      <c r="B660" s="131"/>
      <c r="C660" s="131" t="s">
        <v>13</v>
      </c>
      <c r="D660" s="39" t="s">
        <v>819</v>
      </c>
      <c r="E660" s="129" t="s">
        <v>1243</v>
      </c>
      <c r="F660" s="129" t="s">
        <v>1244</v>
      </c>
      <c r="G660" s="128">
        <v>0.5833333333333334</v>
      </c>
      <c r="H660" s="101" t="s">
        <v>384</v>
      </c>
      <c r="I660" s="39" t="s">
        <v>1245</v>
      </c>
      <c r="J660" s="129" t="s">
        <v>1246</v>
      </c>
      <c r="K660" s="8"/>
      <c r="L660" s="8"/>
      <c r="M660" s="132" t="str">
        <f>VLOOKUP(E660,'Hedef Liste'!A:I,8,false)</f>
        <v>#N/A</v>
      </c>
      <c r="N660" s="8"/>
      <c r="O660" s="8"/>
      <c r="P660" s="8"/>
      <c r="Q660" s="8"/>
      <c r="R660" s="8"/>
      <c r="S660" s="8"/>
      <c r="T660" s="8"/>
      <c r="U660" s="8"/>
      <c r="V660" s="8"/>
      <c r="W660" s="8"/>
      <c r="X660" s="8"/>
      <c r="Y660" s="8"/>
      <c r="Z660" s="8"/>
      <c r="AA660" s="8"/>
      <c r="AB660" s="8"/>
    </row>
    <row r="661" hidden="1">
      <c r="A661" s="130" t="str">
        <f t="shared" si="5"/>
        <v>6059cb00dedd784f666c3747</v>
      </c>
      <c r="B661" s="131"/>
      <c r="C661" s="131" t="s">
        <v>13</v>
      </c>
      <c r="D661" s="39" t="s">
        <v>819</v>
      </c>
      <c r="E661" s="129" t="s">
        <v>1247</v>
      </c>
      <c r="F661" s="129" t="s">
        <v>1248</v>
      </c>
      <c r="G661" s="128">
        <v>0.6666666666666666</v>
      </c>
      <c r="H661" s="39" t="s">
        <v>496</v>
      </c>
      <c r="I661" s="39" t="s">
        <v>1249</v>
      </c>
      <c r="J661" s="129" t="s">
        <v>1250</v>
      </c>
      <c r="K661" s="8"/>
      <c r="L661" s="8"/>
      <c r="M661" s="109">
        <f>VLOOKUP(E661,'Hedef Liste'!A:I,8,false)</f>
        <v>4</v>
      </c>
      <c r="N661" s="8"/>
      <c r="O661" s="8"/>
      <c r="P661" s="8"/>
      <c r="Q661" s="8"/>
      <c r="R661" s="8"/>
      <c r="S661" s="8"/>
      <c r="T661" s="8"/>
      <c r="U661" s="8"/>
      <c r="V661" s="8"/>
      <c r="W661" s="8"/>
      <c r="X661" s="8"/>
      <c r="Y661" s="8"/>
      <c r="Z661" s="8"/>
      <c r="AA661" s="8"/>
      <c r="AB661" s="8"/>
    </row>
    <row r="662" hidden="1">
      <c r="A662" s="130" t="str">
        <f t="shared" si="5"/>
        <v>60704b3585c495b5b7b269ab</v>
      </c>
      <c r="B662" s="131"/>
      <c r="C662" s="131" t="s">
        <v>13</v>
      </c>
      <c r="D662" s="39" t="s">
        <v>819</v>
      </c>
      <c r="E662" s="129" t="s">
        <v>1251</v>
      </c>
      <c r="F662" s="129" t="s">
        <v>1252</v>
      </c>
      <c r="G662" s="128">
        <v>0.7291666666666666</v>
      </c>
      <c r="H662" s="39" t="s">
        <v>162</v>
      </c>
      <c r="I662" s="39" t="s">
        <v>1253</v>
      </c>
      <c r="J662" s="129" t="s">
        <v>1254</v>
      </c>
      <c r="K662" s="8"/>
      <c r="L662" s="8"/>
      <c r="M662" s="109">
        <f>VLOOKUP(E662,'Hedef Liste'!A:I,8,false)</f>
        <v>8</v>
      </c>
      <c r="N662" s="8"/>
      <c r="O662" s="8"/>
      <c r="P662" s="8"/>
      <c r="Q662" s="8"/>
      <c r="R662" s="8"/>
      <c r="S662" s="8"/>
      <c r="T662" s="8"/>
      <c r="U662" s="8"/>
      <c r="V662" s="8"/>
      <c r="W662" s="8"/>
      <c r="X662" s="8"/>
      <c r="Y662" s="8"/>
      <c r="Z662" s="8"/>
      <c r="AA662" s="8"/>
      <c r="AB662" s="8"/>
    </row>
    <row r="663" hidden="1">
      <c r="A663" s="13" t="str">
        <f t="shared" si="5"/>
        <v/>
      </c>
      <c r="B663" s="94"/>
      <c r="C663" s="94">
        <v>44307.0</v>
      </c>
      <c r="D663" s="6"/>
      <c r="E663" s="6"/>
      <c r="F663" s="6"/>
      <c r="G663" s="26"/>
      <c r="H663" s="6"/>
      <c r="I663" s="6"/>
      <c r="J663" s="6"/>
      <c r="K663" s="6"/>
      <c r="L663" s="6"/>
      <c r="M663" s="12"/>
      <c r="N663" s="6"/>
      <c r="O663" s="6"/>
      <c r="P663" s="6"/>
      <c r="Q663" s="6"/>
      <c r="R663" s="6"/>
      <c r="S663" s="6"/>
      <c r="T663" s="6"/>
      <c r="U663" s="6"/>
      <c r="V663" s="6"/>
      <c r="W663" s="6"/>
      <c r="X663" s="6"/>
      <c r="Y663" s="6"/>
      <c r="Z663" s="6"/>
      <c r="AA663" s="6"/>
      <c r="AB663" s="6"/>
    </row>
    <row r="664" hidden="1">
      <c r="A664" s="130" t="str">
        <f t="shared" si="5"/>
        <v/>
      </c>
      <c r="B664" s="131"/>
      <c r="C664" s="131" t="s">
        <v>13</v>
      </c>
      <c r="D664" s="8"/>
      <c r="E664" s="8"/>
      <c r="F664" s="8"/>
      <c r="G664" s="126"/>
      <c r="H664" s="8"/>
      <c r="I664" s="8"/>
      <c r="J664" s="8"/>
      <c r="K664" s="8"/>
      <c r="L664" s="8"/>
      <c r="M664" s="8"/>
      <c r="N664" s="8"/>
      <c r="O664" s="8"/>
      <c r="P664" s="8"/>
      <c r="Q664" s="8"/>
      <c r="R664" s="8"/>
      <c r="S664" s="8"/>
      <c r="T664" s="8"/>
      <c r="U664" s="8"/>
      <c r="V664" s="8"/>
      <c r="W664" s="8"/>
      <c r="X664" s="8"/>
      <c r="Y664" s="8"/>
      <c r="Z664" s="8"/>
      <c r="AA664" s="8"/>
      <c r="AB664" s="8"/>
    </row>
    <row r="665" hidden="1">
      <c r="A665" s="130" t="str">
        <f t="shared" si="5"/>
        <v>606b0a9a02b6971ee1865dba</v>
      </c>
      <c r="B665" s="131"/>
      <c r="C665" s="131" t="s">
        <v>13</v>
      </c>
      <c r="D665" s="18" t="s">
        <v>819</v>
      </c>
      <c r="E665" s="122" t="s">
        <v>1255</v>
      </c>
      <c r="F665" s="122" t="s">
        <v>1256</v>
      </c>
      <c r="G665" s="76" t="s">
        <v>337</v>
      </c>
      <c r="H665" s="18" t="s">
        <v>570</v>
      </c>
      <c r="I665" s="18" t="s">
        <v>1257</v>
      </c>
      <c r="J665" s="122" t="s">
        <v>1258</v>
      </c>
      <c r="K665" s="8"/>
      <c r="L665" s="8"/>
      <c r="M665" s="8"/>
      <c r="N665" s="8"/>
      <c r="O665" s="8"/>
      <c r="P665" s="8"/>
      <c r="Q665" s="8"/>
      <c r="R665" s="8"/>
      <c r="S665" s="8"/>
      <c r="T665" s="8"/>
      <c r="U665" s="8"/>
      <c r="V665" s="8"/>
      <c r="W665" s="8"/>
      <c r="X665" s="8"/>
      <c r="Y665" s="8"/>
      <c r="Z665" s="8"/>
      <c r="AA665" s="8"/>
      <c r="AB665" s="8"/>
    </row>
    <row r="666" hidden="1">
      <c r="A666" s="130" t="str">
        <f t="shared" si="5"/>
        <v>5f33855073c35d702ce6f2f7</v>
      </c>
      <c r="B666" s="131"/>
      <c r="C666" s="131" t="s">
        <v>13</v>
      </c>
      <c r="D666" s="18" t="s">
        <v>937</v>
      </c>
      <c r="E666" s="18" t="s">
        <v>212</v>
      </c>
      <c r="F666" s="15" t="s">
        <v>213</v>
      </c>
      <c r="G666" s="76" t="s">
        <v>575</v>
      </c>
      <c r="H666" s="18" t="s">
        <v>570</v>
      </c>
      <c r="I666" s="18" t="s">
        <v>1259</v>
      </c>
      <c r="J666" s="15" t="s">
        <v>216</v>
      </c>
      <c r="K666" s="8"/>
      <c r="L666" s="8"/>
      <c r="M666" s="8"/>
      <c r="N666" s="8"/>
      <c r="O666" s="8"/>
      <c r="P666" s="8"/>
      <c r="Q666" s="8"/>
      <c r="R666" s="8"/>
      <c r="S666" s="8"/>
      <c r="T666" s="8"/>
      <c r="U666" s="8"/>
      <c r="V666" s="8"/>
      <c r="W666" s="8"/>
      <c r="X666" s="8"/>
      <c r="Y666" s="8"/>
      <c r="Z666" s="8"/>
      <c r="AA666" s="8"/>
      <c r="AB666" s="8"/>
    </row>
    <row r="667" hidden="1">
      <c r="A667" s="130" t="str">
        <f t="shared" si="5"/>
        <v>607737354520f4b21c986a59</v>
      </c>
      <c r="B667" s="131"/>
      <c r="C667" s="131" t="s">
        <v>13</v>
      </c>
      <c r="D667" s="18" t="s">
        <v>937</v>
      </c>
      <c r="E667" s="18" t="s">
        <v>1260</v>
      </c>
      <c r="F667" s="18" t="s">
        <v>1261</v>
      </c>
      <c r="G667" s="76" t="s">
        <v>378</v>
      </c>
      <c r="H667" s="18" t="s">
        <v>434</v>
      </c>
      <c r="I667" s="18" t="s">
        <v>1262</v>
      </c>
      <c r="J667" s="18" t="s">
        <v>1263</v>
      </c>
      <c r="K667" s="8"/>
      <c r="L667" s="8"/>
      <c r="M667" s="8"/>
      <c r="N667" s="8"/>
      <c r="O667" s="8"/>
      <c r="P667" s="8"/>
      <c r="Q667" s="8"/>
      <c r="R667" s="8"/>
      <c r="S667" s="8"/>
      <c r="T667" s="8"/>
      <c r="U667" s="8"/>
      <c r="V667" s="8"/>
      <c r="W667" s="8"/>
      <c r="X667" s="8"/>
      <c r="Y667" s="8"/>
      <c r="Z667" s="8"/>
      <c r="AA667" s="8"/>
      <c r="AB667" s="8"/>
    </row>
    <row r="668" hidden="1">
      <c r="A668" s="130" t="str">
        <f t="shared" si="5"/>
        <v>606f0a6e03182dd9bd8ea704</v>
      </c>
      <c r="B668" s="131"/>
      <c r="C668" s="131" t="s">
        <v>13</v>
      </c>
      <c r="D668" s="44" t="s">
        <v>937</v>
      </c>
      <c r="E668" s="44" t="s">
        <v>1264</v>
      </c>
      <c r="F668" s="124" t="s">
        <v>1265</v>
      </c>
      <c r="G668" s="70" t="s">
        <v>418</v>
      </c>
      <c r="H668" s="44" t="s">
        <v>434</v>
      </c>
      <c r="I668" s="44" t="s">
        <v>1266</v>
      </c>
      <c r="J668" s="44" t="s">
        <v>1267</v>
      </c>
      <c r="K668" s="8"/>
      <c r="L668" s="8"/>
      <c r="M668" s="8"/>
      <c r="N668" s="8"/>
      <c r="O668" s="8"/>
      <c r="P668" s="8"/>
      <c r="Q668" s="8"/>
      <c r="R668" s="8"/>
      <c r="S668" s="8"/>
      <c r="T668" s="8"/>
      <c r="U668" s="8"/>
      <c r="V668" s="8"/>
      <c r="W668" s="8"/>
      <c r="X668" s="8"/>
      <c r="Y668" s="8"/>
      <c r="Z668" s="8"/>
      <c r="AA668" s="8"/>
      <c r="AB668" s="8"/>
    </row>
    <row r="669" hidden="1">
      <c r="A669" s="130" t="str">
        <f t="shared" si="5"/>
        <v/>
      </c>
      <c r="B669" s="94"/>
      <c r="C669" s="94">
        <v>44308.0</v>
      </c>
      <c r="D669" s="6"/>
      <c r="E669" s="6"/>
      <c r="F669" s="6"/>
      <c r="G669" s="26"/>
      <c r="H669" s="6"/>
      <c r="I669" s="6"/>
      <c r="J669" s="6"/>
      <c r="K669" s="6"/>
      <c r="L669" s="6"/>
      <c r="M669" s="12"/>
      <c r="N669" s="6"/>
      <c r="O669" s="6"/>
      <c r="P669" s="6"/>
      <c r="Q669" s="6"/>
      <c r="R669" s="6"/>
      <c r="S669" s="6"/>
      <c r="T669" s="6"/>
      <c r="U669" s="6"/>
      <c r="V669" s="6"/>
      <c r="W669" s="6"/>
      <c r="X669" s="6"/>
      <c r="Y669" s="6"/>
      <c r="Z669" s="6"/>
      <c r="AA669" s="6"/>
      <c r="AB669" s="6"/>
    </row>
    <row r="670" hidden="1">
      <c r="A670" s="130" t="str">
        <f t="shared" si="5"/>
        <v>5f9027257ddac174cc9621cd</v>
      </c>
      <c r="B670" s="131"/>
      <c r="C670" s="131" t="s">
        <v>13</v>
      </c>
      <c r="D670" s="18" t="s">
        <v>937</v>
      </c>
      <c r="E670" s="18" t="s">
        <v>1268</v>
      </c>
      <c r="F670" s="15" t="s">
        <v>1269</v>
      </c>
      <c r="G670" s="76" t="s">
        <v>337</v>
      </c>
      <c r="H670" s="18" t="s">
        <v>434</v>
      </c>
      <c r="I670" s="18" t="s">
        <v>1270</v>
      </c>
      <c r="J670" s="15" t="s">
        <v>1271</v>
      </c>
      <c r="K670" s="8"/>
      <c r="L670" s="8"/>
      <c r="M670" s="8"/>
      <c r="N670" s="8"/>
      <c r="O670" s="8"/>
      <c r="P670" s="8"/>
      <c r="Q670" s="8"/>
      <c r="R670" s="8"/>
      <c r="S670" s="8"/>
      <c r="T670" s="8"/>
      <c r="U670" s="8"/>
      <c r="V670" s="8"/>
      <c r="W670" s="8"/>
      <c r="X670" s="8"/>
      <c r="Y670" s="8"/>
      <c r="Z670" s="8"/>
      <c r="AA670" s="8"/>
      <c r="AB670" s="8"/>
    </row>
    <row r="671" hidden="1">
      <c r="A671" s="130" t="str">
        <f t="shared" si="5"/>
        <v>5f9163c46d45726d4a85fe33</v>
      </c>
      <c r="B671" s="131"/>
      <c r="C671" s="131" t="s">
        <v>13</v>
      </c>
      <c r="D671" s="44" t="s">
        <v>937</v>
      </c>
      <c r="E671" s="44" t="s">
        <v>165</v>
      </c>
      <c r="F671" s="44" t="s">
        <v>166</v>
      </c>
      <c r="G671" s="43">
        <v>0.5</v>
      </c>
      <c r="H671" s="44" t="s">
        <v>367</v>
      </c>
      <c r="I671" s="44" t="s">
        <v>1272</v>
      </c>
      <c r="J671" s="42" t="s">
        <v>169</v>
      </c>
      <c r="K671" s="39" t="s">
        <v>1273</v>
      </c>
      <c r="L671" s="8"/>
      <c r="M671" s="8"/>
      <c r="N671" s="8"/>
      <c r="O671" s="8"/>
      <c r="P671" s="8"/>
      <c r="Q671" s="8"/>
      <c r="R671" s="8"/>
      <c r="S671" s="8"/>
      <c r="T671" s="8"/>
      <c r="U671" s="8"/>
      <c r="V671" s="8"/>
      <c r="W671" s="8"/>
      <c r="X671" s="8"/>
      <c r="Y671" s="8"/>
      <c r="Z671" s="8"/>
      <c r="AA671" s="8"/>
      <c r="AB671" s="8"/>
    </row>
    <row r="672" hidden="1">
      <c r="A672" s="130" t="str">
        <f t="shared" si="5"/>
        <v>5fbe8e98a9c8366923adb6a4</v>
      </c>
      <c r="B672" s="131"/>
      <c r="C672" s="131" t="s">
        <v>13</v>
      </c>
      <c r="D672" s="39" t="s">
        <v>937</v>
      </c>
      <c r="E672" s="39" t="s">
        <v>469</v>
      </c>
      <c r="F672" s="61" t="s">
        <v>470</v>
      </c>
      <c r="G672" s="128">
        <v>0.5833333333333334</v>
      </c>
      <c r="H672" s="39" t="s">
        <v>615</v>
      </c>
      <c r="I672" s="39" t="s">
        <v>1274</v>
      </c>
      <c r="J672" s="39" t="s">
        <v>472</v>
      </c>
      <c r="K672" s="8"/>
      <c r="L672" s="8"/>
      <c r="M672" s="8"/>
      <c r="N672" s="8"/>
      <c r="O672" s="8"/>
      <c r="P672" s="8"/>
      <c r="Q672" s="8"/>
      <c r="R672" s="8"/>
      <c r="S672" s="8"/>
      <c r="T672" s="8"/>
      <c r="U672" s="8"/>
      <c r="V672" s="8"/>
      <c r="W672" s="8"/>
      <c r="X672" s="8"/>
      <c r="Y672" s="8"/>
      <c r="Z672" s="8"/>
      <c r="AA672" s="8"/>
      <c r="AB672" s="8"/>
    </row>
    <row r="673" hidden="1">
      <c r="A673" s="130" t="str">
        <f t="shared" si="5"/>
        <v>60702e6226fd8357ce4b7eb2</v>
      </c>
      <c r="B673" s="131"/>
      <c r="C673" s="131" t="s">
        <v>13</v>
      </c>
      <c r="D673" s="39" t="s">
        <v>819</v>
      </c>
      <c r="E673" s="129" t="s">
        <v>1275</v>
      </c>
      <c r="F673" s="129" t="s">
        <v>1276</v>
      </c>
      <c r="G673" s="128">
        <v>0.6666666666666666</v>
      </c>
      <c r="H673" s="39" t="s">
        <v>434</v>
      </c>
      <c r="I673" s="39" t="s">
        <v>1277</v>
      </c>
      <c r="J673" s="129" t="s">
        <v>1278</v>
      </c>
      <c r="K673" s="8"/>
      <c r="L673" s="8"/>
      <c r="M673" s="8"/>
      <c r="N673" s="8"/>
      <c r="O673" s="8"/>
      <c r="P673" s="8"/>
      <c r="Q673" s="8"/>
      <c r="R673" s="8"/>
      <c r="S673" s="8"/>
      <c r="T673" s="8"/>
      <c r="U673" s="8"/>
      <c r="V673" s="8"/>
      <c r="W673" s="8"/>
      <c r="X673" s="8"/>
      <c r="Y673" s="8"/>
      <c r="Z673" s="8"/>
      <c r="AA673" s="8"/>
      <c r="AB673" s="8"/>
    </row>
    <row r="674" hidden="1">
      <c r="A674" s="130" t="str">
        <f t="shared" si="5"/>
        <v>607733f3cd039cd2b8c7d266</v>
      </c>
      <c r="B674" s="131"/>
      <c r="C674" s="131" t="s">
        <v>13</v>
      </c>
      <c r="D674" s="44" t="s">
        <v>819</v>
      </c>
      <c r="E674" s="124" t="s">
        <v>1279</v>
      </c>
      <c r="F674" s="124" t="s">
        <v>1280</v>
      </c>
      <c r="G674" s="43">
        <v>0.7291666666666666</v>
      </c>
      <c r="H674" s="44" t="s">
        <v>53</v>
      </c>
      <c r="I674" s="44" t="s">
        <v>1281</v>
      </c>
      <c r="J674" s="48" t="s">
        <v>1282</v>
      </c>
      <c r="K674" s="8"/>
      <c r="L674" s="8"/>
      <c r="M674" s="8"/>
      <c r="N674" s="8"/>
      <c r="O674" s="8"/>
      <c r="P674" s="8"/>
      <c r="Q674" s="8"/>
      <c r="R674" s="8"/>
      <c r="S674" s="8"/>
      <c r="T674" s="8"/>
      <c r="U674" s="8"/>
      <c r="V674" s="8"/>
      <c r="W674" s="8"/>
      <c r="X674" s="8"/>
      <c r="Y674" s="8"/>
      <c r="Z674" s="8"/>
      <c r="AA674" s="8"/>
      <c r="AB674" s="8"/>
    </row>
    <row r="675" hidden="1">
      <c r="A675" s="130" t="str">
        <f t="shared" si="5"/>
        <v/>
      </c>
      <c r="B675" s="94"/>
      <c r="C675" s="94">
        <v>44309.0</v>
      </c>
      <c r="D675" s="6"/>
      <c r="E675" s="6"/>
      <c r="F675" s="6"/>
      <c r="G675" s="26"/>
      <c r="H675" s="6"/>
      <c r="I675" s="6"/>
      <c r="J675" s="6"/>
      <c r="K675" s="6"/>
      <c r="L675" s="6"/>
      <c r="M675" s="12"/>
      <c r="N675" s="6"/>
      <c r="O675" s="6"/>
      <c r="P675" s="6"/>
      <c r="Q675" s="6"/>
      <c r="R675" s="6"/>
      <c r="S675" s="6"/>
      <c r="T675" s="6"/>
      <c r="U675" s="6"/>
      <c r="V675" s="6"/>
      <c r="W675" s="6"/>
      <c r="X675" s="6"/>
      <c r="Y675" s="6"/>
      <c r="Z675" s="6"/>
      <c r="AA675" s="6"/>
      <c r="AB675" s="6"/>
    </row>
    <row r="676" hidden="1">
      <c r="A676" s="130" t="str">
        <f t="shared" si="5"/>
        <v/>
      </c>
      <c r="B676" s="131"/>
      <c r="C676" s="131" t="s">
        <v>13</v>
      </c>
      <c r="D676" s="6"/>
      <c r="E676" s="6"/>
      <c r="F676" s="125"/>
      <c r="G676" s="26"/>
      <c r="H676" s="39"/>
      <c r="I676" s="38"/>
      <c r="J676" s="6"/>
      <c r="K676" s="8"/>
      <c r="L676" s="8"/>
      <c r="M676" s="8"/>
      <c r="N676" s="8"/>
      <c r="O676" s="8"/>
      <c r="P676" s="8"/>
      <c r="Q676" s="8"/>
      <c r="R676" s="8"/>
      <c r="S676" s="8"/>
      <c r="T676" s="8"/>
      <c r="U676" s="8"/>
      <c r="V676" s="8"/>
      <c r="W676" s="8"/>
      <c r="X676" s="8"/>
      <c r="Y676" s="8"/>
      <c r="Z676" s="8"/>
      <c r="AA676" s="8"/>
      <c r="AB676" s="8"/>
    </row>
    <row r="677" hidden="1">
      <c r="A677" s="130" t="str">
        <f t="shared" si="5"/>
        <v>5f366e47bee2870a30545535</v>
      </c>
      <c r="B677" s="131"/>
      <c r="C677" s="131" t="s">
        <v>13</v>
      </c>
      <c r="D677" s="133" t="s">
        <v>937</v>
      </c>
      <c r="E677" s="133" t="s">
        <v>416</v>
      </c>
      <c r="F677" s="134" t="s">
        <v>417</v>
      </c>
      <c r="G677" s="135" t="s">
        <v>575</v>
      </c>
      <c r="H677" s="133" t="s">
        <v>53</v>
      </c>
      <c r="I677" s="133" t="s">
        <v>1283</v>
      </c>
      <c r="J677" s="133" t="s">
        <v>407</v>
      </c>
      <c r="K677" s="8"/>
      <c r="L677" s="8"/>
      <c r="M677" s="8"/>
      <c r="N677" s="8"/>
      <c r="O677" s="8"/>
      <c r="P677" s="8"/>
      <c r="Q677" s="8"/>
      <c r="R677" s="8"/>
      <c r="S677" s="8"/>
      <c r="T677" s="8"/>
      <c r="U677" s="8"/>
      <c r="V677" s="8"/>
      <c r="W677" s="8"/>
      <c r="X677" s="8"/>
      <c r="Y677" s="8"/>
      <c r="Z677" s="8"/>
      <c r="AA677" s="8"/>
      <c r="AB677" s="8"/>
    </row>
    <row r="678" hidden="1">
      <c r="A678" s="130" t="str">
        <f t="shared" si="5"/>
        <v/>
      </c>
      <c r="B678" s="131"/>
      <c r="C678" s="131" t="s">
        <v>13</v>
      </c>
      <c r="D678" s="39"/>
      <c r="E678" s="39"/>
      <c r="F678" s="125"/>
      <c r="G678" s="136"/>
      <c r="H678" s="39"/>
      <c r="I678" s="39"/>
      <c r="J678" s="39"/>
      <c r="K678" s="8"/>
      <c r="L678" s="8"/>
      <c r="M678" s="8"/>
      <c r="N678" s="8"/>
      <c r="O678" s="8"/>
      <c r="P678" s="8"/>
      <c r="Q678" s="8"/>
      <c r="R678" s="8"/>
      <c r="S678" s="8"/>
      <c r="T678" s="8"/>
      <c r="U678" s="8"/>
      <c r="V678" s="8"/>
      <c r="W678" s="8"/>
      <c r="X678" s="8"/>
      <c r="Y678" s="8"/>
      <c r="Z678" s="8"/>
      <c r="AA678" s="8"/>
      <c r="AB678" s="8"/>
    </row>
    <row r="679" hidden="1">
      <c r="A679" s="130" t="str">
        <f t="shared" si="5"/>
        <v/>
      </c>
      <c r="B679" s="131"/>
      <c r="C679" s="131" t="s">
        <v>13</v>
      </c>
      <c r="D679" s="39"/>
      <c r="E679" s="39"/>
      <c r="F679" s="6"/>
      <c r="G679" s="136"/>
      <c r="H679" s="39"/>
      <c r="I679" s="39"/>
      <c r="J679" s="6"/>
      <c r="K679" s="8"/>
      <c r="L679" s="8"/>
      <c r="M679" s="8"/>
      <c r="N679" s="8"/>
      <c r="O679" s="8"/>
      <c r="P679" s="8"/>
      <c r="Q679" s="8"/>
      <c r="R679" s="8"/>
      <c r="S679" s="8"/>
      <c r="T679" s="8"/>
      <c r="U679" s="8"/>
      <c r="V679" s="8"/>
      <c r="W679" s="8"/>
      <c r="X679" s="8"/>
      <c r="Y679" s="8"/>
      <c r="Z679" s="8"/>
      <c r="AA679" s="8"/>
      <c r="AB679" s="8"/>
    </row>
    <row r="680" hidden="1">
      <c r="A680" s="130" t="str">
        <f t="shared" si="5"/>
        <v/>
      </c>
      <c r="B680" s="131"/>
      <c r="C680" s="131" t="s">
        <v>13</v>
      </c>
      <c r="D680" s="8"/>
      <c r="E680" s="8"/>
      <c r="F680" s="8"/>
      <c r="G680" s="126"/>
      <c r="H680" s="8"/>
      <c r="I680" s="8"/>
      <c r="J680" s="8"/>
      <c r="K680" s="8"/>
      <c r="L680" s="8"/>
      <c r="M680" s="8"/>
      <c r="N680" s="8"/>
      <c r="O680" s="8"/>
      <c r="P680" s="8"/>
      <c r="Q680" s="8"/>
      <c r="R680" s="8"/>
      <c r="S680" s="8"/>
      <c r="T680" s="8"/>
      <c r="U680" s="8"/>
      <c r="V680" s="8"/>
      <c r="W680" s="8"/>
      <c r="X680" s="8"/>
      <c r="Y680" s="8"/>
      <c r="Z680" s="8"/>
      <c r="AA680" s="8"/>
      <c r="AB680" s="8"/>
    </row>
    <row r="681" hidden="1">
      <c r="A681" s="130" t="str">
        <f t="shared" si="5"/>
        <v/>
      </c>
      <c r="B681" s="94"/>
      <c r="C681" s="94">
        <v>44312.0</v>
      </c>
      <c r="D681" s="6"/>
      <c r="E681" s="6"/>
      <c r="F681" s="6"/>
      <c r="G681" s="26"/>
      <c r="H681" s="6"/>
      <c r="I681" s="6"/>
      <c r="J681" s="6"/>
      <c r="K681" s="6"/>
      <c r="L681" s="6"/>
      <c r="M681" s="12"/>
      <c r="N681" s="6"/>
      <c r="O681" s="6"/>
      <c r="P681" s="6"/>
      <c r="Q681" s="6"/>
      <c r="R681" s="6"/>
      <c r="S681" s="6"/>
      <c r="T681" s="6"/>
      <c r="U681" s="6"/>
      <c r="V681" s="6"/>
      <c r="W681" s="6"/>
      <c r="X681" s="6"/>
      <c r="Y681" s="6"/>
      <c r="Z681" s="6"/>
      <c r="AA681" s="6"/>
      <c r="AB681" s="6"/>
    </row>
    <row r="682" hidden="1">
      <c r="A682" s="130" t="str">
        <f t="shared" si="5"/>
        <v>6000314dfd88ae1c376cf95e</v>
      </c>
      <c r="B682" s="131"/>
      <c r="C682" s="131" t="s">
        <v>13</v>
      </c>
      <c r="D682" s="39" t="s">
        <v>937</v>
      </c>
      <c r="E682" s="39" t="s">
        <v>414</v>
      </c>
      <c r="F682" s="125" t="s">
        <v>415</v>
      </c>
      <c r="G682" s="136" t="s">
        <v>344</v>
      </c>
      <c r="H682" s="39" t="s">
        <v>880</v>
      </c>
      <c r="I682" s="39" t="s">
        <v>1284</v>
      </c>
      <c r="J682" s="125" t="s">
        <v>413</v>
      </c>
      <c r="K682" s="8"/>
      <c r="L682" s="8"/>
      <c r="M682" s="8"/>
      <c r="N682" s="8"/>
      <c r="O682" s="8"/>
      <c r="P682" s="8"/>
      <c r="Q682" s="8"/>
      <c r="R682" s="8"/>
      <c r="S682" s="8"/>
      <c r="T682" s="8"/>
      <c r="U682" s="8"/>
      <c r="V682" s="8"/>
      <c r="W682" s="8"/>
      <c r="X682" s="8"/>
      <c r="Y682" s="8"/>
      <c r="Z682" s="8"/>
      <c r="AA682" s="8"/>
      <c r="AB682" s="8"/>
    </row>
    <row r="683" hidden="1">
      <c r="A683" s="130" t="str">
        <f t="shared" si="5"/>
        <v>5fa1249c59fb3f445202116e</v>
      </c>
      <c r="B683" s="131"/>
      <c r="C683" s="131" t="s">
        <v>13</v>
      </c>
      <c r="D683" s="39" t="s">
        <v>937</v>
      </c>
      <c r="E683" s="101" t="s">
        <v>170</v>
      </c>
      <c r="F683" s="125" t="s">
        <v>171</v>
      </c>
      <c r="G683" s="120" t="s">
        <v>366</v>
      </c>
      <c r="H683" s="39" t="s">
        <v>1285</v>
      </c>
      <c r="I683" s="38" t="s">
        <v>1286</v>
      </c>
      <c r="J683" s="101" t="s">
        <v>174</v>
      </c>
      <c r="K683" s="8"/>
      <c r="L683" s="8"/>
      <c r="M683" s="8"/>
      <c r="N683" s="8"/>
      <c r="O683" s="8"/>
      <c r="P683" s="8"/>
      <c r="Q683" s="8"/>
      <c r="R683" s="8"/>
      <c r="S683" s="8"/>
      <c r="T683" s="8"/>
      <c r="U683" s="8"/>
      <c r="V683" s="8"/>
      <c r="W683" s="8"/>
      <c r="X683" s="8"/>
      <c r="Y683" s="8"/>
      <c r="Z683" s="8"/>
      <c r="AA683" s="8"/>
      <c r="AB683" s="8"/>
    </row>
    <row r="684" hidden="1">
      <c r="A684" s="130" t="str">
        <f t="shared" si="5"/>
        <v>5f33e302fb6dd950bddd4cce</v>
      </c>
      <c r="B684" s="131"/>
      <c r="C684" s="131" t="s">
        <v>13</v>
      </c>
      <c r="D684" s="18" t="s">
        <v>937</v>
      </c>
      <c r="E684" s="18" t="s">
        <v>1287</v>
      </c>
      <c r="F684" s="15" t="s">
        <v>1288</v>
      </c>
      <c r="G684" s="76" t="s">
        <v>378</v>
      </c>
      <c r="H684" s="18" t="s">
        <v>443</v>
      </c>
      <c r="I684" s="18" t="s">
        <v>1289</v>
      </c>
      <c r="J684" s="18" t="s">
        <v>1290</v>
      </c>
      <c r="K684" s="8"/>
      <c r="L684" s="8"/>
      <c r="M684" s="8"/>
      <c r="N684" s="8"/>
      <c r="O684" s="8"/>
      <c r="P684" s="8"/>
      <c r="Q684" s="8"/>
      <c r="R684" s="8"/>
      <c r="S684" s="8"/>
      <c r="T684" s="8"/>
      <c r="U684" s="8"/>
      <c r="V684" s="8"/>
      <c r="W684" s="8"/>
      <c r="X684" s="8"/>
      <c r="Y684" s="8"/>
      <c r="Z684" s="8"/>
      <c r="AA684" s="8"/>
      <c r="AB684" s="8"/>
    </row>
    <row r="685" hidden="1">
      <c r="A685" s="130" t="str">
        <f t="shared" si="5"/>
        <v>6049e04e3ca2740ba5804114</v>
      </c>
      <c r="B685" s="131"/>
      <c r="C685" s="131" t="s">
        <v>13</v>
      </c>
      <c r="D685" s="39" t="s">
        <v>937</v>
      </c>
      <c r="E685" s="39" t="s">
        <v>1208</v>
      </c>
      <c r="F685" s="129" t="s">
        <v>1209</v>
      </c>
      <c r="G685" s="136" t="s">
        <v>418</v>
      </c>
      <c r="H685" s="39" t="s">
        <v>615</v>
      </c>
      <c r="I685" s="39" t="s">
        <v>1291</v>
      </c>
      <c r="J685" s="129" t="s">
        <v>1207</v>
      </c>
      <c r="K685" s="8"/>
      <c r="L685" s="8"/>
      <c r="M685" s="8"/>
      <c r="N685" s="8"/>
      <c r="O685" s="8"/>
      <c r="P685" s="8"/>
      <c r="Q685" s="8"/>
      <c r="R685" s="8"/>
      <c r="S685" s="8"/>
      <c r="T685" s="8"/>
      <c r="U685" s="8"/>
      <c r="V685" s="8"/>
      <c r="W685" s="8"/>
      <c r="X685" s="8"/>
      <c r="Y685" s="8"/>
      <c r="Z685" s="8"/>
      <c r="AA685" s="8"/>
      <c r="AB685" s="8"/>
    </row>
    <row r="686" hidden="1">
      <c r="A686" s="13" t="str">
        <f t="shared" si="5"/>
        <v/>
      </c>
      <c r="B686" s="94"/>
      <c r="C686" s="94">
        <v>44313.0</v>
      </c>
      <c r="D686" s="39"/>
      <c r="E686" s="39"/>
      <c r="F686" s="6"/>
      <c r="G686" s="136"/>
      <c r="H686" s="39"/>
      <c r="I686" s="39"/>
      <c r="J686" s="6"/>
      <c r="K686" s="6"/>
      <c r="L686" s="6"/>
      <c r="M686" s="12"/>
      <c r="N686" s="6"/>
      <c r="O686" s="6"/>
      <c r="P686" s="6"/>
      <c r="Q686" s="6"/>
      <c r="R686" s="6"/>
      <c r="S686" s="6"/>
      <c r="T686" s="6"/>
      <c r="U686" s="6"/>
      <c r="V686" s="6"/>
      <c r="W686" s="6"/>
      <c r="X686" s="6"/>
      <c r="Y686" s="6"/>
      <c r="Z686" s="6"/>
      <c r="AA686" s="6"/>
      <c r="AB686" s="6"/>
    </row>
    <row r="687" hidden="1">
      <c r="A687" s="130"/>
      <c r="B687" s="131"/>
      <c r="C687" s="131" t="s">
        <v>13</v>
      </c>
      <c r="D687" s="6"/>
      <c r="E687" s="6"/>
      <c r="F687" s="125"/>
      <c r="G687" s="26"/>
      <c r="H687" s="39"/>
      <c r="I687" s="38"/>
      <c r="J687" s="6"/>
      <c r="K687" s="8"/>
      <c r="L687" s="8"/>
      <c r="M687" s="8"/>
      <c r="N687" s="8"/>
      <c r="O687" s="8"/>
      <c r="P687" s="8"/>
      <c r="Q687" s="8"/>
      <c r="R687" s="8"/>
      <c r="S687" s="8"/>
      <c r="T687" s="8"/>
      <c r="U687" s="8"/>
      <c r="V687" s="8"/>
      <c r="W687" s="8"/>
      <c r="X687" s="8"/>
      <c r="Y687" s="8"/>
      <c r="Z687" s="8"/>
      <c r="AA687" s="8"/>
      <c r="AB687" s="8"/>
    </row>
    <row r="688" hidden="1">
      <c r="A688" s="130" t="str">
        <f t="shared" ref="A688:A693" si="6">E688</f>
        <v>5fc00d54a9c836ce5dadc411</v>
      </c>
      <c r="B688" s="131"/>
      <c r="C688" s="131" t="s">
        <v>13</v>
      </c>
      <c r="D688" s="39" t="s">
        <v>937</v>
      </c>
      <c r="E688" s="125" t="s">
        <v>241</v>
      </c>
      <c r="F688" s="125" t="s">
        <v>242</v>
      </c>
      <c r="G688" s="136" t="s">
        <v>867</v>
      </c>
      <c r="H688" s="39" t="s">
        <v>1292</v>
      </c>
      <c r="I688" s="39" t="s">
        <v>1293</v>
      </c>
      <c r="J688" s="125" t="s">
        <v>245</v>
      </c>
      <c r="K688" s="8"/>
      <c r="L688" s="8"/>
      <c r="M688" s="8"/>
      <c r="N688" s="8"/>
      <c r="O688" s="8"/>
      <c r="P688" s="8"/>
      <c r="Q688" s="8"/>
      <c r="R688" s="8"/>
      <c r="S688" s="8"/>
      <c r="T688" s="8"/>
      <c r="U688" s="8"/>
      <c r="V688" s="8"/>
      <c r="W688" s="8"/>
      <c r="X688" s="8"/>
      <c r="Y688" s="8"/>
      <c r="Z688" s="8"/>
      <c r="AA688" s="8"/>
      <c r="AB688" s="8"/>
    </row>
    <row r="689" hidden="1">
      <c r="A689" s="130" t="str">
        <f t="shared" si="6"/>
        <v>6079832f38cb1572c3357c25</v>
      </c>
      <c r="B689" s="131"/>
      <c r="C689" s="131" t="s">
        <v>13</v>
      </c>
      <c r="D689" s="39" t="s">
        <v>937</v>
      </c>
      <c r="E689" s="39" t="s">
        <v>1294</v>
      </c>
      <c r="F689" s="129" t="s">
        <v>1295</v>
      </c>
      <c r="G689" s="136" t="s">
        <v>1085</v>
      </c>
      <c r="H689" s="39" t="s">
        <v>880</v>
      </c>
      <c r="I689" s="39" t="s">
        <v>1296</v>
      </c>
      <c r="J689" s="129" t="s">
        <v>1297</v>
      </c>
      <c r="K689" s="8"/>
      <c r="L689" s="8"/>
      <c r="M689" s="8"/>
      <c r="N689" s="8"/>
      <c r="O689" s="8"/>
      <c r="P689" s="8"/>
      <c r="Q689" s="8"/>
      <c r="R689" s="8"/>
      <c r="S689" s="8"/>
      <c r="T689" s="8"/>
      <c r="U689" s="8"/>
      <c r="V689" s="8"/>
      <c r="W689" s="8"/>
      <c r="X689" s="8"/>
      <c r="Y689" s="8"/>
      <c r="Z689" s="8"/>
      <c r="AA689" s="8"/>
      <c r="AB689" s="8"/>
    </row>
    <row r="690" hidden="1">
      <c r="A690" s="130" t="str">
        <f t="shared" si="6"/>
        <v>6079b8d27481557022de5ea7</v>
      </c>
      <c r="B690" s="131"/>
      <c r="C690" s="131" t="s">
        <v>13</v>
      </c>
      <c r="D690" s="39" t="s">
        <v>937</v>
      </c>
      <c r="E690" s="129" t="s">
        <v>1298</v>
      </c>
      <c r="F690" s="101" t="s">
        <v>1299</v>
      </c>
      <c r="G690" s="136" t="s">
        <v>745</v>
      </c>
      <c r="H690" s="39" t="s">
        <v>907</v>
      </c>
      <c r="I690" s="39" t="s">
        <v>1300</v>
      </c>
      <c r="J690" s="101" t="s">
        <v>1301</v>
      </c>
      <c r="K690" s="8"/>
      <c r="L690" s="8"/>
      <c r="M690" s="8"/>
      <c r="N690" s="8"/>
      <c r="O690" s="8"/>
      <c r="P690" s="8"/>
      <c r="Q690" s="8"/>
      <c r="R690" s="8"/>
      <c r="S690" s="8"/>
      <c r="T690" s="8"/>
      <c r="U690" s="8"/>
      <c r="V690" s="8"/>
      <c r="W690" s="8"/>
      <c r="X690" s="8"/>
      <c r="Y690" s="8"/>
      <c r="Z690" s="8"/>
      <c r="AA690" s="8"/>
      <c r="AB690" s="8"/>
    </row>
    <row r="691" hidden="1">
      <c r="A691" s="130" t="str">
        <f t="shared" si="6"/>
        <v>607950c3de7ecfd586a4a17a</v>
      </c>
      <c r="B691" s="131"/>
      <c r="C691" s="131" t="s">
        <v>13</v>
      </c>
      <c r="D691" s="39" t="s">
        <v>937</v>
      </c>
      <c r="E691" s="39" t="s">
        <v>1302</v>
      </c>
      <c r="F691" s="39" t="s">
        <v>1303</v>
      </c>
      <c r="G691" s="136" t="s">
        <v>378</v>
      </c>
      <c r="H691" s="39" t="s">
        <v>443</v>
      </c>
      <c r="I691" s="39" t="s">
        <v>1304</v>
      </c>
      <c r="J691" s="101" t="s">
        <v>1305</v>
      </c>
      <c r="K691" s="8"/>
      <c r="L691" s="8"/>
      <c r="M691" s="8"/>
      <c r="N691" s="8"/>
      <c r="O691" s="8"/>
      <c r="P691" s="8"/>
      <c r="Q691" s="8"/>
      <c r="R691" s="8"/>
      <c r="S691" s="8"/>
      <c r="T691" s="8"/>
      <c r="U691" s="8"/>
      <c r="V691" s="8"/>
      <c r="W691" s="8"/>
      <c r="X691" s="8"/>
      <c r="Y691" s="8"/>
      <c r="Z691" s="8"/>
      <c r="AA691" s="8"/>
      <c r="AB691" s="8"/>
    </row>
    <row r="692" hidden="1">
      <c r="A692" s="130" t="str">
        <f t="shared" si="6"/>
        <v>5f7f1fdeace10e2902a593cc</v>
      </c>
      <c r="B692" s="131"/>
      <c r="C692" s="131" t="s">
        <v>13</v>
      </c>
      <c r="D692" s="39" t="s">
        <v>958</v>
      </c>
      <c r="E692" s="14" t="s">
        <v>126</v>
      </c>
      <c r="F692" s="14" t="s">
        <v>127</v>
      </c>
      <c r="G692" s="137">
        <v>0.7291666666666666</v>
      </c>
      <c r="H692" s="116" t="s">
        <v>443</v>
      </c>
      <c r="I692" s="116" t="s">
        <v>944</v>
      </c>
      <c r="J692" s="138" t="s">
        <v>129</v>
      </c>
      <c r="K692" s="39" t="s">
        <v>1306</v>
      </c>
      <c r="L692" s="8"/>
      <c r="M692" s="8"/>
      <c r="N692" s="8"/>
      <c r="O692" s="8"/>
      <c r="P692" s="8"/>
      <c r="Q692" s="8"/>
      <c r="R692" s="8"/>
      <c r="S692" s="8"/>
      <c r="T692" s="8"/>
      <c r="U692" s="8"/>
      <c r="V692" s="8"/>
      <c r="W692" s="8"/>
      <c r="X692" s="8"/>
      <c r="Y692" s="8"/>
      <c r="Z692" s="8"/>
      <c r="AA692" s="8"/>
      <c r="AB692" s="8"/>
    </row>
    <row r="693" hidden="1">
      <c r="A693" s="130" t="str">
        <f t="shared" si="6"/>
        <v/>
      </c>
      <c r="B693" s="94"/>
      <c r="C693" s="94">
        <v>44314.0</v>
      </c>
      <c r="D693" s="8"/>
      <c r="E693" s="8"/>
      <c r="F693" s="8"/>
      <c r="G693" s="126"/>
      <c r="H693" s="8"/>
      <c r="I693" s="8"/>
      <c r="J693" s="8"/>
      <c r="K693" s="8"/>
      <c r="L693" s="8"/>
      <c r="M693" s="8"/>
      <c r="N693" s="8"/>
      <c r="O693" s="8"/>
      <c r="P693" s="8"/>
      <c r="Q693" s="8"/>
      <c r="R693" s="8"/>
      <c r="S693" s="8"/>
      <c r="T693" s="8"/>
      <c r="U693" s="8"/>
      <c r="V693" s="8"/>
      <c r="W693" s="8"/>
      <c r="X693" s="8"/>
      <c r="Y693" s="8"/>
      <c r="Z693" s="8"/>
      <c r="AA693" s="8"/>
      <c r="AB693" s="8"/>
    </row>
    <row r="694" hidden="1">
      <c r="A694" s="130"/>
      <c r="B694" s="131"/>
      <c r="C694" s="131" t="s">
        <v>13</v>
      </c>
      <c r="D694" s="8"/>
      <c r="E694" s="8"/>
      <c r="F694" s="30"/>
      <c r="G694" s="128"/>
      <c r="H694" s="8"/>
      <c r="I694" s="30"/>
      <c r="J694" s="8"/>
      <c r="K694" s="8"/>
      <c r="L694" s="8"/>
      <c r="M694" s="8"/>
      <c r="N694" s="8"/>
      <c r="O694" s="8"/>
      <c r="P694" s="8"/>
      <c r="Q694" s="8"/>
      <c r="R694" s="8"/>
      <c r="S694" s="8"/>
      <c r="T694" s="8"/>
      <c r="U694" s="8"/>
      <c r="V694" s="8"/>
      <c r="W694" s="8"/>
      <c r="X694" s="8"/>
      <c r="Y694" s="8"/>
      <c r="Z694" s="8"/>
      <c r="AA694" s="8"/>
      <c r="AB694" s="8"/>
    </row>
    <row r="695" hidden="1">
      <c r="A695" s="130" t="str">
        <f t="shared" ref="A695:A698" si="7">E695</f>
        <v>5f7af367535b296eeb574927</v>
      </c>
      <c r="B695" s="131"/>
      <c r="C695" s="131" t="s">
        <v>13</v>
      </c>
      <c r="D695" s="39" t="s">
        <v>937</v>
      </c>
      <c r="E695" s="39" t="s">
        <v>950</v>
      </c>
      <c r="F695" s="61" t="s">
        <v>951</v>
      </c>
      <c r="G695" s="136" t="s">
        <v>337</v>
      </c>
      <c r="H695" s="39" t="s">
        <v>1307</v>
      </c>
      <c r="I695" s="39" t="s">
        <v>1308</v>
      </c>
      <c r="J695" s="61" t="s">
        <v>953</v>
      </c>
      <c r="K695" s="8"/>
      <c r="L695" s="8"/>
      <c r="M695" s="8"/>
      <c r="N695" s="8"/>
      <c r="O695" s="8"/>
      <c r="P695" s="8"/>
      <c r="Q695" s="8"/>
      <c r="R695" s="8"/>
      <c r="S695" s="8"/>
      <c r="T695" s="8"/>
      <c r="U695" s="8"/>
      <c r="V695" s="8"/>
      <c r="W695" s="8"/>
      <c r="X695" s="8"/>
      <c r="Y695" s="8"/>
      <c r="Z695" s="8"/>
      <c r="AA695" s="8"/>
      <c r="AB695" s="8"/>
    </row>
    <row r="696" hidden="1">
      <c r="A696" s="130" t="str">
        <f t="shared" si="7"/>
        <v>6079c7e8d415f01fb9abdfb7</v>
      </c>
      <c r="B696" s="131"/>
      <c r="C696" s="131" t="s">
        <v>13</v>
      </c>
      <c r="D696" s="39" t="s">
        <v>937</v>
      </c>
      <c r="E696" s="39" t="s">
        <v>1309</v>
      </c>
      <c r="F696" s="44" t="s">
        <v>1310</v>
      </c>
      <c r="G696" s="136" t="s">
        <v>575</v>
      </c>
      <c r="H696" s="39" t="s">
        <v>1311</v>
      </c>
      <c r="I696" s="39" t="s">
        <v>1312</v>
      </c>
      <c r="J696" s="129" t="s">
        <v>1313</v>
      </c>
      <c r="K696" s="39" t="s">
        <v>1314</v>
      </c>
      <c r="L696" s="8"/>
      <c r="M696" s="8"/>
      <c r="N696" s="8"/>
      <c r="O696" s="8"/>
      <c r="P696" s="8"/>
      <c r="Q696" s="8"/>
      <c r="R696" s="8"/>
      <c r="S696" s="8"/>
      <c r="T696" s="8"/>
      <c r="U696" s="8"/>
      <c r="V696" s="8"/>
      <c r="W696" s="8"/>
      <c r="X696" s="8"/>
      <c r="Y696" s="8"/>
      <c r="Z696" s="8"/>
      <c r="AA696" s="8"/>
      <c r="AB696" s="8"/>
    </row>
    <row r="697" hidden="1">
      <c r="A697" s="130" t="str">
        <f t="shared" si="7"/>
        <v>60795708974e084af30b50ba</v>
      </c>
      <c r="B697" s="131"/>
      <c r="C697" s="131" t="s">
        <v>13</v>
      </c>
      <c r="D697" s="39" t="s">
        <v>937</v>
      </c>
      <c r="E697" s="39" t="s">
        <v>1315</v>
      </c>
      <c r="F697" s="39" t="s">
        <v>1316</v>
      </c>
      <c r="G697" s="136" t="s">
        <v>856</v>
      </c>
      <c r="H697" s="39" t="s">
        <v>803</v>
      </c>
      <c r="I697" s="39" t="s">
        <v>1317</v>
      </c>
      <c r="J697" s="129" t="s">
        <v>1318</v>
      </c>
      <c r="K697" s="8"/>
      <c r="L697" s="8"/>
      <c r="M697" s="8"/>
      <c r="N697" s="8"/>
      <c r="O697" s="8"/>
      <c r="P697" s="8"/>
      <c r="Q697" s="8"/>
      <c r="R697" s="8"/>
      <c r="S697" s="8"/>
      <c r="T697" s="8"/>
      <c r="U697" s="8"/>
      <c r="V697" s="8"/>
      <c r="W697" s="8"/>
      <c r="X697" s="8"/>
      <c r="Y697" s="8"/>
      <c r="Z697" s="8"/>
      <c r="AA697" s="8"/>
      <c r="AB697" s="8"/>
    </row>
    <row r="698" hidden="1">
      <c r="A698" s="130" t="str">
        <f t="shared" si="7"/>
        <v>606d9ba832637d5369d7c090</v>
      </c>
      <c r="B698" s="131"/>
      <c r="C698" s="131" t="s">
        <v>13</v>
      </c>
      <c r="D698" s="39" t="s">
        <v>937</v>
      </c>
      <c r="E698" s="39" t="s">
        <v>1319</v>
      </c>
      <c r="F698" s="124" t="s">
        <v>1320</v>
      </c>
      <c r="G698" s="136" t="s">
        <v>1016</v>
      </c>
      <c r="H698" s="39" t="s">
        <v>615</v>
      </c>
      <c r="I698" s="39" t="s">
        <v>1321</v>
      </c>
      <c r="J698" s="129" t="s">
        <v>1322</v>
      </c>
      <c r="K698" s="39" t="s">
        <v>1314</v>
      </c>
      <c r="L698" s="8"/>
      <c r="M698" s="8"/>
      <c r="N698" s="8"/>
      <c r="O698" s="8"/>
      <c r="P698" s="8"/>
      <c r="Q698" s="8"/>
      <c r="R698" s="8"/>
      <c r="S698" s="8"/>
      <c r="T698" s="8"/>
      <c r="U698" s="8"/>
      <c r="V698" s="8"/>
      <c r="W698" s="8"/>
      <c r="X698" s="8"/>
      <c r="Y698" s="8"/>
      <c r="Z698" s="8"/>
      <c r="AA698" s="8"/>
      <c r="AB698" s="8"/>
    </row>
    <row r="699" hidden="1">
      <c r="A699" s="130"/>
      <c r="B699" s="131"/>
      <c r="C699" s="131" t="s">
        <v>13</v>
      </c>
      <c r="D699" s="39" t="s">
        <v>819</v>
      </c>
      <c r="E699" s="14" t="s">
        <v>863</v>
      </c>
      <c r="F699" s="14" t="s">
        <v>864</v>
      </c>
      <c r="G699" s="128">
        <v>0.7291666666666666</v>
      </c>
      <c r="H699" s="39" t="s">
        <v>880</v>
      </c>
      <c r="I699" s="39" t="s">
        <v>861</v>
      </c>
      <c r="J699" s="14" t="s">
        <v>862</v>
      </c>
      <c r="K699" s="39" t="s">
        <v>1323</v>
      </c>
      <c r="L699" s="8"/>
      <c r="M699" s="8"/>
      <c r="N699" s="8"/>
      <c r="O699" s="8"/>
      <c r="P699" s="8"/>
      <c r="Q699" s="8"/>
      <c r="R699" s="8"/>
      <c r="S699" s="8"/>
      <c r="T699" s="8"/>
      <c r="U699" s="8"/>
      <c r="V699" s="8"/>
      <c r="W699" s="8"/>
      <c r="X699" s="8"/>
      <c r="Y699" s="8"/>
      <c r="Z699" s="8"/>
      <c r="AA699" s="8"/>
      <c r="AB699" s="8"/>
    </row>
    <row r="700" hidden="1">
      <c r="A700" s="130" t="str">
        <f>E700</f>
        <v/>
      </c>
      <c r="B700" s="94"/>
      <c r="C700" s="94">
        <v>44315.0</v>
      </c>
      <c r="D700" s="8"/>
      <c r="E700" s="8"/>
      <c r="F700" s="8"/>
      <c r="G700" s="126"/>
      <c r="H700" s="8"/>
      <c r="I700" s="8"/>
      <c r="J700" s="8"/>
      <c r="K700" s="8"/>
      <c r="L700" s="8"/>
      <c r="M700" s="8"/>
      <c r="N700" s="8"/>
      <c r="O700" s="8"/>
      <c r="P700" s="8"/>
      <c r="Q700" s="8"/>
      <c r="R700" s="8"/>
      <c r="S700" s="8"/>
      <c r="T700" s="8"/>
      <c r="U700" s="8"/>
      <c r="V700" s="8"/>
      <c r="W700" s="8"/>
      <c r="X700" s="8"/>
      <c r="Y700" s="8"/>
      <c r="Z700" s="8"/>
      <c r="AA700" s="8"/>
      <c r="AB700" s="8"/>
    </row>
    <row r="701" hidden="1">
      <c r="A701" s="130"/>
      <c r="B701" s="131"/>
      <c r="C701" s="131" t="s">
        <v>13</v>
      </c>
      <c r="D701" s="8"/>
      <c r="E701" s="8"/>
      <c r="F701" s="30"/>
      <c r="G701" s="126"/>
      <c r="H701" s="8"/>
      <c r="I701" s="30"/>
      <c r="J701" s="8"/>
      <c r="K701" s="8"/>
      <c r="L701" s="8"/>
      <c r="M701" s="8"/>
      <c r="N701" s="8"/>
      <c r="O701" s="8"/>
      <c r="P701" s="8"/>
      <c r="Q701" s="8"/>
      <c r="R701" s="8"/>
      <c r="S701" s="8"/>
      <c r="T701" s="8"/>
      <c r="U701" s="8"/>
      <c r="V701" s="8"/>
      <c r="W701" s="8"/>
      <c r="X701" s="8"/>
      <c r="Y701" s="8"/>
      <c r="Z701" s="8"/>
      <c r="AA701" s="8"/>
      <c r="AB701" s="8"/>
    </row>
    <row r="702" hidden="1">
      <c r="A702" s="130" t="str">
        <f t="shared" ref="A702:A705" si="8">E702</f>
        <v>606d9ec3ccecbbf2800dd118</v>
      </c>
      <c r="B702" s="131"/>
      <c r="C702" s="131" t="s">
        <v>13</v>
      </c>
      <c r="D702" s="39" t="s">
        <v>937</v>
      </c>
      <c r="E702" s="39" t="s">
        <v>1324</v>
      </c>
      <c r="F702" s="129" t="s">
        <v>1325</v>
      </c>
      <c r="G702" s="136" t="s">
        <v>337</v>
      </c>
      <c r="H702" s="39" t="s">
        <v>615</v>
      </c>
      <c r="I702" s="39" t="s">
        <v>1321</v>
      </c>
      <c r="J702" s="39" t="s">
        <v>1322</v>
      </c>
      <c r="K702" s="8"/>
      <c r="L702" s="8"/>
      <c r="M702" s="8"/>
      <c r="N702" s="132" t="str">
        <f>VLOOKUP(F702,'Hedef Liste'!B:J,8,false)</f>
        <v>#N/A</v>
      </c>
      <c r="O702" s="8"/>
      <c r="P702" s="8"/>
      <c r="Q702" s="8"/>
      <c r="R702" s="8"/>
      <c r="S702" s="8"/>
      <c r="T702" s="8"/>
      <c r="U702" s="8"/>
      <c r="V702" s="8"/>
      <c r="W702" s="8"/>
      <c r="X702" s="8"/>
      <c r="Y702" s="8"/>
      <c r="Z702" s="8"/>
      <c r="AA702" s="8"/>
      <c r="AB702" s="8"/>
    </row>
    <row r="703" hidden="1">
      <c r="A703" s="130" t="str">
        <f t="shared" si="8"/>
        <v>5fac54c0813db13d41c59c37</v>
      </c>
      <c r="B703" s="131"/>
      <c r="C703" s="131" t="s">
        <v>13</v>
      </c>
      <c r="D703" s="39" t="s">
        <v>937</v>
      </c>
      <c r="E703" s="39" t="s">
        <v>364</v>
      </c>
      <c r="F703" s="38" t="s">
        <v>365</v>
      </c>
      <c r="G703" s="136" t="s">
        <v>575</v>
      </c>
      <c r="H703" s="39" t="s">
        <v>367</v>
      </c>
      <c r="I703" s="39" t="s">
        <v>1326</v>
      </c>
      <c r="J703" s="61" t="s">
        <v>1327</v>
      </c>
      <c r="K703" s="8"/>
      <c r="L703" s="8"/>
      <c r="M703" s="8"/>
      <c r="N703" s="109">
        <f>VLOOKUP(F703,'Hedef Liste'!B:J,8,false)</f>
        <v>60</v>
      </c>
      <c r="O703" s="8"/>
      <c r="P703" s="8"/>
      <c r="Q703" s="8"/>
      <c r="R703" s="8"/>
      <c r="S703" s="8"/>
      <c r="T703" s="8"/>
      <c r="U703" s="8"/>
      <c r="V703" s="8"/>
      <c r="W703" s="8"/>
      <c r="X703" s="8"/>
      <c r="Y703" s="8"/>
      <c r="Z703" s="8"/>
      <c r="AA703" s="8"/>
      <c r="AB703" s="8"/>
    </row>
    <row r="704" hidden="1">
      <c r="A704" s="130" t="str">
        <f t="shared" si="8"/>
        <v>5f6e9c2e32054a515c428e57</v>
      </c>
      <c r="B704" s="131"/>
      <c r="C704" s="131" t="s">
        <v>13</v>
      </c>
      <c r="D704" s="39" t="s">
        <v>937</v>
      </c>
      <c r="E704" s="39" t="s">
        <v>47</v>
      </c>
      <c r="F704" s="39" t="s">
        <v>48</v>
      </c>
      <c r="G704" s="139" t="s">
        <v>856</v>
      </c>
      <c r="H704" s="39" t="s">
        <v>1328</v>
      </c>
      <c r="I704" s="39" t="s">
        <v>1329</v>
      </c>
      <c r="J704" s="39" t="s">
        <v>50</v>
      </c>
      <c r="K704" s="8"/>
      <c r="L704" s="8"/>
      <c r="M704" s="8"/>
      <c r="N704" s="109">
        <f>VLOOKUP(F704,'Hedef Liste'!B:J,8,false)</f>
        <v>15</v>
      </c>
      <c r="O704" s="8"/>
      <c r="P704" s="8"/>
      <c r="Q704" s="8"/>
      <c r="R704" s="8"/>
      <c r="S704" s="8"/>
      <c r="T704" s="8"/>
      <c r="U704" s="8"/>
      <c r="V704" s="8"/>
      <c r="W704" s="8"/>
      <c r="X704" s="8"/>
      <c r="Y704" s="8"/>
      <c r="Z704" s="8"/>
      <c r="AA704" s="8"/>
      <c r="AB704" s="8"/>
    </row>
    <row r="705" hidden="1">
      <c r="A705" s="130" t="str">
        <f t="shared" si="8"/>
        <v>600c2627b7dd9332a7869877</v>
      </c>
      <c r="B705" s="131"/>
      <c r="C705" s="131" t="s">
        <v>13</v>
      </c>
      <c r="D705" s="140" t="s">
        <v>937</v>
      </c>
      <c r="E705" s="140" t="s">
        <v>360</v>
      </c>
      <c r="F705" s="140" t="s">
        <v>361</v>
      </c>
      <c r="G705" s="141" t="s">
        <v>1016</v>
      </c>
      <c r="H705" s="140" t="s">
        <v>1330</v>
      </c>
      <c r="I705" s="140" t="s">
        <v>1331</v>
      </c>
      <c r="J705" s="140" t="s">
        <v>363</v>
      </c>
      <c r="K705" s="39" t="s">
        <v>1332</v>
      </c>
      <c r="L705" s="8"/>
      <c r="M705" s="8"/>
      <c r="N705" s="132" t="str">
        <f>VLOOKUP(F705,'Hedef Liste'!B:J,8,false)</f>
        <v>#N/A</v>
      </c>
      <c r="O705" s="8"/>
      <c r="P705" s="8"/>
      <c r="Q705" s="8"/>
      <c r="R705" s="8"/>
      <c r="S705" s="8"/>
      <c r="T705" s="8"/>
      <c r="U705" s="8"/>
      <c r="V705" s="8"/>
      <c r="W705" s="8"/>
      <c r="X705" s="8"/>
      <c r="Y705" s="8"/>
      <c r="Z705" s="8"/>
      <c r="AA705" s="8"/>
      <c r="AB705" s="8"/>
    </row>
    <row r="706" hidden="1">
      <c r="A706" s="130"/>
      <c r="B706" s="94"/>
      <c r="C706" s="94"/>
      <c r="D706" s="8"/>
      <c r="E706" s="8"/>
      <c r="F706" s="8"/>
      <c r="G706" s="128">
        <v>0.7083333333333334</v>
      </c>
      <c r="H706" s="8"/>
      <c r="I706" s="8"/>
      <c r="J706" s="8"/>
      <c r="K706" s="8"/>
      <c r="L706" s="8"/>
      <c r="M706" s="8"/>
      <c r="N706" s="8"/>
      <c r="O706" s="8"/>
      <c r="P706" s="8"/>
      <c r="Q706" s="8"/>
      <c r="R706" s="8"/>
      <c r="S706" s="8"/>
      <c r="T706" s="8"/>
      <c r="U706" s="8"/>
      <c r="V706" s="8"/>
      <c r="W706" s="8"/>
      <c r="X706" s="8"/>
      <c r="Y706" s="8"/>
      <c r="Z706" s="8"/>
      <c r="AA706" s="8"/>
      <c r="AB706" s="8"/>
    </row>
    <row r="707" hidden="1">
      <c r="A707" s="130" t="str">
        <f>E707</f>
        <v/>
      </c>
      <c r="B707" s="94"/>
      <c r="C707" s="94">
        <v>44316.0</v>
      </c>
      <c r="D707" s="8"/>
      <c r="E707" s="8"/>
      <c r="F707" s="8"/>
      <c r="G707" s="126"/>
      <c r="H707" s="8"/>
      <c r="I707" s="8"/>
      <c r="J707" s="8"/>
      <c r="K707" s="8"/>
      <c r="L707" s="8"/>
      <c r="M707" s="8"/>
      <c r="N707" s="8"/>
      <c r="O707" s="8"/>
      <c r="P707" s="8"/>
      <c r="Q707" s="8"/>
      <c r="R707" s="8"/>
      <c r="S707" s="8"/>
      <c r="T707" s="8"/>
      <c r="U707" s="8"/>
      <c r="V707" s="8"/>
      <c r="W707" s="8"/>
      <c r="X707" s="8"/>
      <c r="Y707" s="8"/>
      <c r="Z707" s="8"/>
      <c r="AA707" s="8"/>
      <c r="AB707" s="8"/>
    </row>
    <row r="708" hidden="1">
      <c r="A708" s="130"/>
      <c r="B708" s="131"/>
      <c r="C708" s="131" t="s">
        <v>13</v>
      </c>
      <c r="D708" s="8"/>
      <c r="E708" s="8"/>
      <c r="F708" s="30"/>
      <c r="G708" s="126"/>
      <c r="H708" s="8"/>
      <c r="I708" s="30"/>
      <c r="J708" s="8"/>
      <c r="K708" s="8"/>
      <c r="L708" s="8"/>
      <c r="M708" s="8"/>
      <c r="N708" s="8"/>
      <c r="O708" s="8"/>
      <c r="P708" s="8"/>
      <c r="Q708" s="8"/>
      <c r="R708" s="8"/>
      <c r="S708" s="8"/>
      <c r="T708" s="8"/>
      <c r="U708" s="8"/>
      <c r="V708" s="8"/>
      <c r="W708" s="8"/>
      <c r="X708" s="8"/>
      <c r="Y708" s="8"/>
      <c r="Z708" s="8"/>
      <c r="AA708" s="8"/>
      <c r="AB708" s="8"/>
    </row>
    <row r="709" hidden="1">
      <c r="A709" s="130" t="str">
        <f t="shared" ref="A709:A722" si="9">E709</f>
        <v>5fa133d83a9b1332b52ed168</v>
      </c>
      <c r="B709" s="131"/>
      <c r="C709" s="131" t="s">
        <v>13</v>
      </c>
      <c r="D709" s="39" t="s">
        <v>937</v>
      </c>
      <c r="E709" s="39" t="s">
        <v>237</v>
      </c>
      <c r="F709" s="38" t="s">
        <v>238</v>
      </c>
      <c r="G709" s="136" t="s">
        <v>337</v>
      </c>
      <c r="H709" s="39" t="s">
        <v>907</v>
      </c>
      <c r="I709" s="39" t="s">
        <v>1333</v>
      </c>
      <c r="J709" s="39" t="s">
        <v>240</v>
      </c>
      <c r="K709" s="39" t="s">
        <v>1334</v>
      </c>
      <c r="L709" s="8"/>
      <c r="M709" s="8"/>
      <c r="N709" s="8"/>
      <c r="O709" s="8"/>
      <c r="P709" s="8"/>
      <c r="Q709" s="8"/>
      <c r="R709" s="8"/>
      <c r="S709" s="8"/>
      <c r="T709" s="8"/>
      <c r="U709" s="8"/>
      <c r="V709" s="8"/>
      <c r="W709" s="8"/>
      <c r="X709" s="8"/>
      <c r="Y709" s="8"/>
      <c r="Z709" s="8"/>
      <c r="AA709" s="8"/>
      <c r="AB709" s="8"/>
    </row>
    <row r="710" hidden="1">
      <c r="A710" s="130" t="str">
        <f t="shared" si="9"/>
        <v>6075b01942967570c0f90d88</v>
      </c>
      <c r="B710" s="131"/>
      <c r="C710" s="131" t="s">
        <v>13</v>
      </c>
      <c r="D710" s="39" t="s">
        <v>937</v>
      </c>
      <c r="E710" s="39" t="s">
        <v>1335</v>
      </c>
      <c r="F710" s="124" t="s">
        <v>1336</v>
      </c>
      <c r="G710" s="136" t="s">
        <v>575</v>
      </c>
      <c r="H710" s="39" t="s">
        <v>1328</v>
      </c>
      <c r="I710" s="39" t="s">
        <v>1337</v>
      </c>
      <c r="J710" s="142" t="s">
        <v>1338</v>
      </c>
      <c r="K710" s="8"/>
      <c r="L710" s="8"/>
      <c r="M710" s="8"/>
      <c r="N710" s="8"/>
      <c r="O710" s="8"/>
      <c r="P710" s="8"/>
      <c r="Q710" s="8"/>
      <c r="R710" s="8"/>
      <c r="S710" s="8"/>
      <c r="T710" s="8"/>
      <c r="U710" s="8"/>
      <c r="V710" s="8"/>
      <c r="W710" s="8"/>
      <c r="X710" s="8"/>
      <c r="Y710" s="8"/>
      <c r="Z710" s="8"/>
      <c r="AA710" s="8"/>
      <c r="AB710" s="8"/>
    </row>
    <row r="711" ht="38.25" hidden="1" customHeight="1">
      <c r="A711" s="130" t="str">
        <f t="shared" si="9"/>
        <v>5f35aa9bf3dfd151042e3f1a</v>
      </c>
      <c r="B711" s="131"/>
      <c r="C711" s="131" t="s">
        <v>13</v>
      </c>
      <c r="D711" s="39" t="s">
        <v>937</v>
      </c>
      <c r="E711" s="61" t="s">
        <v>726</v>
      </c>
      <c r="F711" s="61" t="s">
        <v>727</v>
      </c>
      <c r="G711" s="136" t="s">
        <v>856</v>
      </c>
      <c r="H711" s="39" t="s">
        <v>1339</v>
      </c>
      <c r="I711" s="39" t="s">
        <v>1340</v>
      </c>
      <c r="J711" s="61" t="s">
        <v>730</v>
      </c>
      <c r="K711" s="39" t="s">
        <v>1341</v>
      </c>
      <c r="L711" s="8"/>
      <c r="M711" s="8"/>
      <c r="N711" s="8"/>
      <c r="O711" s="8"/>
      <c r="P711" s="8"/>
      <c r="Q711" s="8"/>
      <c r="R711" s="8"/>
      <c r="S711" s="8"/>
      <c r="T711" s="8"/>
      <c r="U711" s="8"/>
      <c r="V711" s="8"/>
      <c r="W711" s="8"/>
      <c r="X711" s="8"/>
      <c r="Y711" s="8"/>
      <c r="Z711" s="8"/>
      <c r="AA711" s="8"/>
      <c r="AB711" s="8"/>
    </row>
    <row r="712" hidden="1">
      <c r="A712" s="130" t="str">
        <f t="shared" si="9"/>
        <v>60358b632d2332e6e3a1c8c8</v>
      </c>
      <c r="B712" s="131"/>
      <c r="C712" s="131" t="s">
        <v>13</v>
      </c>
      <c r="D712" s="39" t="s">
        <v>937</v>
      </c>
      <c r="E712" s="39" t="s">
        <v>859</v>
      </c>
      <c r="F712" s="39" t="s">
        <v>860</v>
      </c>
      <c r="G712" s="136" t="s">
        <v>1016</v>
      </c>
      <c r="H712" s="39" t="s">
        <v>880</v>
      </c>
      <c r="I712" s="39" t="s">
        <v>1342</v>
      </c>
      <c r="J712" s="39" t="s">
        <v>862</v>
      </c>
      <c r="K712" s="8"/>
      <c r="L712" s="8"/>
      <c r="M712" s="8"/>
      <c r="N712" s="8"/>
      <c r="O712" s="8"/>
      <c r="P712" s="8"/>
      <c r="Q712" s="8"/>
      <c r="R712" s="8"/>
      <c r="S712" s="8"/>
      <c r="T712" s="8"/>
      <c r="U712" s="8"/>
      <c r="V712" s="8"/>
      <c r="W712" s="8"/>
      <c r="X712" s="8"/>
      <c r="Y712" s="8"/>
      <c r="Z712" s="8"/>
      <c r="AA712" s="8"/>
      <c r="AB712" s="8"/>
    </row>
    <row r="713" hidden="1">
      <c r="A713" s="13" t="str">
        <f t="shared" si="9"/>
        <v/>
      </c>
      <c r="B713" s="94"/>
      <c r="C713" s="94">
        <v>44334.0</v>
      </c>
      <c r="D713" s="6"/>
      <c r="E713" s="6"/>
      <c r="F713" s="6"/>
      <c r="G713" s="26"/>
      <c r="H713" s="6"/>
      <c r="I713" s="6"/>
      <c r="J713" s="6"/>
      <c r="K713" s="6"/>
      <c r="L713" s="6"/>
      <c r="M713" s="12"/>
      <c r="N713" s="6"/>
      <c r="O713" s="6"/>
      <c r="P713" s="6"/>
      <c r="Q713" s="6"/>
      <c r="R713" s="6"/>
      <c r="S713" s="6"/>
      <c r="T713" s="6"/>
      <c r="U713" s="6"/>
      <c r="V713" s="6"/>
      <c r="W713" s="6"/>
      <c r="X713" s="6"/>
      <c r="Y713" s="6"/>
      <c r="Z713" s="6"/>
      <c r="AA713" s="6"/>
      <c r="AB713" s="6"/>
    </row>
    <row r="714" hidden="1">
      <c r="A714" s="13" t="str">
        <f t="shared" si="9"/>
        <v>6080028510bf22c765b717f5</v>
      </c>
      <c r="B714" s="131"/>
      <c r="C714" s="131" t="s">
        <v>1343</v>
      </c>
      <c r="D714" s="48" t="s">
        <v>819</v>
      </c>
      <c r="E714" s="124" t="s">
        <v>1344</v>
      </c>
      <c r="F714" s="124" t="s">
        <v>1345</v>
      </c>
      <c r="G714" s="70" t="s">
        <v>337</v>
      </c>
      <c r="H714" s="48" t="s">
        <v>269</v>
      </c>
      <c r="I714" s="48" t="s">
        <v>1346</v>
      </c>
      <c r="J714" s="143" t="s">
        <v>1347</v>
      </c>
      <c r="K714" s="101" t="s">
        <v>1348</v>
      </c>
      <c r="L714" s="6"/>
      <c r="M714" s="12"/>
      <c r="N714" s="6"/>
      <c r="O714" s="6"/>
      <c r="P714" s="6"/>
      <c r="Q714" s="6"/>
      <c r="R714" s="6"/>
      <c r="S714" s="6"/>
      <c r="T714" s="6"/>
      <c r="U714" s="6"/>
      <c r="V714" s="6"/>
      <c r="W714" s="6"/>
      <c r="X714" s="6"/>
      <c r="Y714" s="6"/>
      <c r="Z714" s="6"/>
      <c r="AA714" s="6"/>
      <c r="AB714" s="6"/>
    </row>
    <row r="715" hidden="1">
      <c r="A715" s="13" t="str">
        <f t="shared" si="9"/>
        <v>607948956af4c4d14381e652</v>
      </c>
      <c r="B715" s="131"/>
      <c r="C715" s="131" t="s">
        <v>1343</v>
      </c>
      <c r="D715" s="27" t="s">
        <v>819</v>
      </c>
      <c r="E715" s="122" t="s">
        <v>1349</v>
      </c>
      <c r="F715" s="122" t="s">
        <v>1350</v>
      </c>
      <c r="G715" s="76" t="s">
        <v>575</v>
      </c>
      <c r="H715" s="27" t="s">
        <v>269</v>
      </c>
      <c r="I715" s="27" t="s">
        <v>1351</v>
      </c>
      <c r="J715" s="144" t="s">
        <v>1352</v>
      </c>
      <c r="K715" s="6"/>
      <c r="L715" s="6"/>
      <c r="M715" s="12"/>
      <c r="N715" s="6"/>
      <c r="O715" s="6"/>
      <c r="P715" s="6"/>
      <c r="Q715" s="6"/>
      <c r="R715" s="6"/>
      <c r="S715" s="6"/>
      <c r="T715" s="6"/>
      <c r="U715" s="6"/>
      <c r="V715" s="6"/>
      <c r="W715" s="6"/>
      <c r="X715" s="6"/>
      <c r="Y715" s="6"/>
      <c r="Z715" s="6"/>
      <c r="AA715" s="6"/>
      <c r="AB715" s="6"/>
    </row>
    <row r="716" hidden="1">
      <c r="A716" s="13" t="str">
        <f t="shared" si="9"/>
        <v>60794dffa1b8befa4dd4dbde</v>
      </c>
      <c r="B716" s="131"/>
      <c r="C716" s="131" t="s">
        <v>1343</v>
      </c>
      <c r="D716" s="27" t="s">
        <v>819</v>
      </c>
      <c r="E716" s="122" t="s">
        <v>1353</v>
      </c>
      <c r="F716" s="122" t="s">
        <v>1354</v>
      </c>
      <c r="G716" s="76" t="s">
        <v>378</v>
      </c>
      <c r="H716" s="27" t="s">
        <v>269</v>
      </c>
      <c r="I716" s="145" t="s">
        <v>1355</v>
      </c>
      <c r="J716" s="144" t="s">
        <v>1356</v>
      </c>
      <c r="K716" s="6"/>
      <c r="L716" s="6"/>
      <c r="M716" s="12"/>
      <c r="N716" s="6"/>
      <c r="O716" s="6"/>
      <c r="P716" s="6"/>
      <c r="Q716" s="6"/>
      <c r="R716" s="6"/>
      <c r="S716" s="6"/>
      <c r="T716" s="6"/>
      <c r="U716" s="6"/>
      <c r="V716" s="6"/>
      <c r="W716" s="6"/>
      <c r="X716" s="6"/>
      <c r="Y716" s="6"/>
      <c r="Z716" s="6"/>
      <c r="AA716" s="6"/>
      <c r="AB716" s="6"/>
    </row>
    <row r="717" hidden="1">
      <c r="A717" s="13" t="str">
        <f t="shared" si="9"/>
        <v>606b08a3f4e1a870cbcdd981</v>
      </c>
      <c r="B717" s="131"/>
      <c r="C717" s="131" t="s">
        <v>1343</v>
      </c>
      <c r="D717" s="101" t="s">
        <v>819</v>
      </c>
      <c r="E717" s="129" t="s">
        <v>1357</v>
      </c>
      <c r="F717" s="129" t="s">
        <v>1358</v>
      </c>
      <c r="G717" s="146">
        <v>0.75</v>
      </c>
      <c r="H717" s="101" t="s">
        <v>505</v>
      </c>
      <c r="I717" s="101" t="s">
        <v>1359</v>
      </c>
      <c r="J717" s="147" t="s">
        <v>1360</v>
      </c>
      <c r="K717" s="6"/>
      <c r="L717" s="6"/>
      <c r="M717" s="12"/>
      <c r="N717" s="6"/>
      <c r="O717" s="6"/>
      <c r="P717" s="6"/>
      <c r="Q717" s="6"/>
      <c r="R717" s="6"/>
      <c r="S717" s="6"/>
      <c r="T717" s="6"/>
      <c r="U717" s="6"/>
      <c r="V717" s="6"/>
      <c r="W717" s="6"/>
      <c r="X717" s="6"/>
      <c r="Y717" s="6"/>
      <c r="Z717" s="6"/>
      <c r="AA717" s="6"/>
      <c r="AB717" s="6"/>
    </row>
    <row r="718" hidden="1">
      <c r="A718" s="13" t="str">
        <f t="shared" si="9"/>
        <v/>
      </c>
      <c r="B718" s="131"/>
      <c r="C718" s="131" t="s">
        <v>1343</v>
      </c>
      <c r="D718" s="101" t="s">
        <v>819</v>
      </c>
      <c r="E718" s="6"/>
      <c r="F718" s="6"/>
      <c r="G718" s="26"/>
      <c r="H718" s="6"/>
      <c r="I718" s="6"/>
      <c r="J718" s="6"/>
      <c r="K718" s="6"/>
      <c r="L718" s="6"/>
      <c r="M718" s="12"/>
      <c r="N718" s="6"/>
      <c r="O718" s="6"/>
      <c r="P718" s="6"/>
      <c r="Q718" s="6"/>
      <c r="R718" s="6"/>
      <c r="S718" s="6"/>
      <c r="T718" s="6"/>
      <c r="U718" s="6"/>
      <c r="V718" s="6"/>
      <c r="W718" s="6"/>
      <c r="X718" s="6"/>
      <c r="Y718" s="6"/>
      <c r="Z718" s="6"/>
      <c r="AA718" s="6"/>
      <c r="AB718" s="6"/>
    </row>
    <row r="719" hidden="1">
      <c r="A719" s="13" t="str">
        <f t="shared" si="9"/>
        <v/>
      </c>
      <c r="B719" s="94"/>
      <c r="C719" s="94">
        <v>44335.0</v>
      </c>
      <c r="D719" s="6"/>
      <c r="E719" s="6"/>
      <c r="F719" s="6"/>
      <c r="G719" s="26"/>
      <c r="H719" s="6"/>
      <c r="I719" s="6"/>
      <c r="J719" s="6"/>
      <c r="K719" s="6"/>
      <c r="L719" s="6"/>
      <c r="M719" s="12"/>
      <c r="N719" s="6"/>
      <c r="O719" s="6"/>
      <c r="P719" s="6"/>
      <c r="Q719" s="6"/>
      <c r="R719" s="6"/>
      <c r="S719" s="6"/>
      <c r="T719" s="6"/>
      <c r="U719" s="6"/>
      <c r="V719" s="6"/>
      <c r="W719" s="6"/>
      <c r="X719" s="6"/>
      <c r="Y719" s="6"/>
      <c r="Z719" s="6"/>
      <c r="AA719" s="6"/>
      <c r="AB719" s="6"/>
    </row>
    <row r="720" hidden="1">
      <c r="A720" s="13" t="str">
        <f t="shared" si="9"/>
        <v/>
      </c>
      <c r="B720" s="131"/>
      <c r="C720" s="131" t="s">
        <v>1343</v>
      </c>
      <c r="D720" s="6"/>
      <c r="E720" s="6"/>
      <c r="F720" s="6"/>
      <c r="G720" s="136"/>
      <c r="H720" s="6"/>
      <c r="I720" s="6"/>
      <c r="J720" s="6"/>
      <c r="K720" s="6"/>
      <c r="L720" s="6"/>
      <c r="M720" s="12"/>
      <c r="N720" s="6"/>
      <c r="O720" s="6"/>
      <c r="P720" s="6"/>
      <c r="Q720" s="6"/>
      <c r="R720" s="6"/>
      <c r="S720" s="6"/>
      <c r="T720" s="6"/>
      <c r="U720" s="6"/>
      <c r="V720" s="6"/>
      <c r="W720" s="6"/>
      <c r="X720" s="6"/>
      <c r="Y720" s="6"/>
      <c r="Z720" s="6"/>
      <c r="AA720" s="6"/>
      <c r="AB720" s="6"/>
    </row>
    <row r="721" hidden="1">
      <c r="A721" s="13" t="str">
        <f t="shared" si="9"/>
        <v>6081b2bfd3de6c5c6ecc011b</v>
      </c>
      <c r="B721" s="131"/>
      <c r="C721" s="131" t="s">
        <v>1343</v>
      </c>
      <c r="D721" s="48" t="s">
        <v>819</v>
      </c>
      <c r="E721" s="143" t="s">
        <v>1361</v>
      </c>
      <c r="F721" s="143" t="s">
        <v>1362</v>
      </c>
      <c r="G721" s="70" t="s">
        <v>344</v>
      </c>
      <c r="H721" s="148" t="s">
        <v>443</v>
      </c>
      <c r="I721" s="148" t="s">
        <v>1363</v>
      </c>
      <c r="J721" s="143" t="s">
        <v>1364</v>
      </c>
      <c r="K721" s="101" t="s">
        <v>1365</v>
      </c>
      <c r="L721" s="6"/>
      <c r="M721" s="12"/>
      <c r="N721" s="6"/>
      <c r="O721" s="6"/>
      <c r="P721" s="6"/>
      <c r="Q721" s="6"/>
      <c r="R721" s="6"/>
      <c r="S721" s="6"/>
      <c r="T721" s="6"/>
      <c r="U721" s="6"/>
      <c r="V721" s="6"/>
      <c r="W721" s="6"/>
      <c r="X721" s="6"/>
      <c r="Y721" s="6"/>
      <c r="Z721" s="6"/>
      <c r="AA721" s="6"/>
      <c r="AB721" s="6"/>
    </row>
    <row r="722" hidden="1">
      <c r="A722" s="13" t="str">
        <f t="shared" si="9"/>
        <v>60385fdc69811fcace93e077</v>
      </c>
      <c r="B722" s="131"/>
      <c r="C722" s="131" t="s">
        <v>1343</v>
      </c>
      <c r="D722" s="101" t="s">
        <v>819</v>
      </c>
      <c r="E722" s="147" t="s">
        <v>1089</v>
      </c>
      <c r="F722" s="147" t="s">
        <v>1090</v>
      </c>
      <c r="G722" s="136" t="s">
        <v>1366</v>
      </c>
      <c r="H722" s="149" t="s">
        <v>443</v>
      </c>
      <c r="I722" s="149" t="s">
        <v>1072</v>
      </c>
      <c r="J722" s="147" t="s">
        <v>953</v>
      </c>
      <c r="K722" s="6"/>
      <c r="L722" s="6"/>
      <c r="M722" s="12"/>
      <c r="N722" s="6"/>
      <c r="O722" s="6"/>
      <c r="P722" s="6"/>
      <c r="Q722" s="6"/>
      <c r="R722" s="6"/>
      <c r="S722" s="6"/>
      <c r="T722" s="6"/>
      <c r="U722" s="6"/>
      <c r="V722" s="6"/>
      <c r="W722" s="6"/>
      <c r="X722" s="6"/>
      <c r="Y722" s="6"/>
      <c r="Z722" s="6"/>
      <c r="AA722" s="6"/>
      <c r="AB722" s="6"/>
    </row>
    <row r="723" hidden="1">
      <c r="A723" s="13"/>
      <c r="B723" s="131"/>
      <c r="C723" s="131" t="s">
        <v>1343</v>
      </c>
      <c r="D723" s="101" t="s">
        <v>819</v>
      </c>
      <c r="E723" s="150" t="s">
        <v>950</v>
      </c>
      <c r="F723" s="150" t="s">
        <v>951</v>
      </c>
      <c r="G723" s="128">
        <v>0.5625</v>
      </c>
      <c r="H723" s="149" t="s">
        <v>443</v>
      </c>
      <c r="I723" s="149" t="s">
        <v>1072</v>
      </c>
      <c r="J723" s="150" t="s">
        <v>953</v>
      </c>
      <c r="K723" s="6"/>
      <c r="L723" s="6"/>
      <c r="M723" s="12"/>
      <c r="N723" s="6"/>
      <c r="O723" s="6"/>
      <c r="P723" s="6"/>
      <c r="Q723" s="6"/>
      <c r="R723" s="6"/>
      <c r="S723" s="6"/>
      <c r="T723" s="6"/>
      <c r="U723" s="6"/>
      <c r="V723" s="6"/>
      <c r="W723" s="6"/>
      <c r="X723" s="6"/>
      <c r="Y723" s="6"/>
      <c r="Z723" s="6"/>
      <c r="AA723" s="6"/>
      <c r="AB723" s="6"/>
    </row>
    <row r="724" hidden="1">
      <c r="A724" s="13" t="str">
        <f>E724</f>
        <v>606232ab06714e90bb67c56c</v>
      </c>
      <c r="B724" s="131"/>
      <c r="C724" s="131" t="s">
        <v>1343</v>
      </c>
      <c r="D724" s="48" t="s">
        <v>819</v>
      </c>
      <c r="E724" s="143" t="s">
        <v>1367</v>
      </c>
      <c r="F724" s="143" t="s">
        <v>1368</v>
      </c>
      <c r="G724" s="70" t="s">
        <v>298</v>
      </c>
      <c r="H724" s="148" t="s">
        <v>1369</v>
      </c>
      <c r="I724" s="148" t="s">
        <v>1370</v>
      </c>
      <c r="J724" s="143" t="s">
        <v>1371</v>
      </c>
      <c r="K724" s="101" t="s">
        <v>1372</v>
      </c>
      <c r="L724" s="6"/>
      <c r="M724" s="12"/>
      <c r="N724" s="6"/>
      <c r="O724" s="6"/>
      <c r="P724" s="6"/>
      <c r="Q724" s="6"/>
      <c r="R724" s="6"/>
      <c r="S724" s="6"/>
      <c r="T724" s="6"/>
      <c r="U724" s="6"/>
      <c r="V724" s="6"/>
      <c r="W724" s="6"/>
      <c r="X724" s="6"/>
      <c r="Y724" s="6"/>
      <c r="Z724" s="6"/>
      <c r="AA724" s="6"/>
      <c r="AB724" s="6"/>
    </row>
    <row r="725" hidden="1">
      <c r="A725" s="13" t="str">
        <f>E737</f>
        <v>608006a7503bf199e540c5d1</v>
      </c>
      <c r="G725" s="151"/>
      <c r="K725" s="6"/>
      <c r="L725" s="6"/>
      <c r="M725" s="12"/>
      <c r="N725" s="6"/>
      <c r="O725" s="6"/>
      <c r="P725" s="6"/>
      <c r="Q725" s="6"/>
      <c r="R725" s="6"/>
      <c r="S725" s="6"/>
      <c r="T725" s="6"/>
      <c r="U725" s="6"/>
      <c r="V725" s="6"/>
      <c r="W725" s="6"/>
      <c r="X725" s="6"/>
      <c r="Y725" s="6"/>
      <c r="Z725" s="6"/>
      <c r="AA725" s="6"/>
      <c r="AB725" s="6"/>
    </row>
    <row r="726" hidden="1">
      <c r="A726" s="130" t="str">
        <f t="shared" ref="A726:A736" si="10">E726</f>
        <v/>
      </c>
      <c r="B726" s="94"/>
      <c r="C726" s="94">
        <v>44336.0</v>
      </c>
      <c r="D726" s="8"/>
      <c r="E726" s="8"/>
      <c r="F726" s="8"/>
      <c r="G726" s="126"/>
      <c r="H726" s="8"/>
      <c r="I726" s="8"/>
      <c r="J726" s="8"/>
      <c r="K726" s="8"/>
      <c r="L726" s="8"/>
      <c r="M726" s="8"/>
      <c r="N726" s="8"/>
      <c r="O726" s="8"/>
      <c r="P726" s="8"/>
      <c r="Q726" s="8"/>
      <c r="R726" s="8"/>
      <c r="S726" s="8"/>
      <c r="T726" s="8"/>
      <c r="U726" s="8"/>
      <c r="V726" s="8"/>
      <c r="W726" s="8"/>
      <c r="X726" s="8"/>
      <c r="Y726" s="8"/>
      <c r="Z726" s="8"/>
      <c r="AA726" s="8"/>
      <c r="AB726" s="8"/>
    </row>
    <row r="727" hidden="1">
      <c r="A727" s="13" t="str">
        <f t="shared" si="10"/>
        <v>60809aef7481557feae05f9c</v>
      </c>
      <c r="B727" s="131"/>
      <c r="C727" s="131" t="s">
        <v>1343</v>
      </c>
      <c r="D727" s="39" t="s">
        <v>819</v>
      </c>
      <c r="E727" s="147" t="s">
        <v>1373</v>
      </c>
      <c r="F727" s="147" t="s">
        <v>1374</v>
      </c>
      <c r="G727" s="128">
        <v>0.4583333333333333</v>
      </c>
      <c r="H727" s="39" t="s">
        <v>1375</v>
      </c>
      <c r="I727" s="39" t="s">
        <v>1376</v>
      </c>
      <c r="J727" s="147" t="s">
        <v>1377</v>
      </c>
      <c r="K727" s="8"/>
      <c r="L727" s="8"/>
      <c r="M727" s="8"/>
      <c r="N727" s="8"/>
      <c r="O727" s="8"/>
      <c r="P727" s="8"/>
      <c r="Q727" s="8"/>
      <c r="R727" s="8"/>
      <c r="S727" s="8"/>
      <c r="T727" s="8"/>
      <c r="U727" s="8"/>
      <c r="V727" s="8"/>
      <c r="W727" s="8"/>
      <c r="X727" s="8"/>
      <c r="Y727" s="8"/>
      <c r="Z727" s="8"/>
      <c r="AA727" s="8"/>
      <c r="AB727" s="8"/>
    </row>
    <row r="728" hidden="1">
      <c r="A728" s="13" t="str">
        <f t="shared" si="10"/>
        <v>608414ffed7a3e1e927376c8</v>
      </c>
      <c r="B728" s="131"/>
      <c r="C728" s="131" t="s">
        <v>1343</v>
      </c>
      <c r="D728" s="39" t="s">
        <v>819</v>
      </c>
      <c r="E728" s="147" t="s">
        <v>1378</v>
      </c>
      <c r="F728" s="147" t="s">
        <v>1379</v>
      </c>
      <c r="G728" s="128">
        <v>0.5416666666666666</v>
      </c>
      <c r="H728" s="39" t="s">
        <v>35</v>
      </c>
      <c r="I728" s="39" t="s">
        <v>1380</v>
      </c>
      <c r="J728" s="147" t="s">
        <v>1381</v>
      </c>
      <c r="K728" s="8"/>
      <c r="L728" s="8"/>
      <c r="M728" s="8"/>
      <c r="N728" s="8"/>
      <c r="O728" s="8"/>
      <c r="P728" s="8"/>
      <c r="Q728" s="8"/>
      <c r="R728" s="8"/>
      <c r="S728" s="8"/>
      <c r="T728" s="8"/>
      <c r="U728" s="8"/>
      <c r="V728" s="8"/>
      <c r="W728" s="8"/>
      <c r="X728" s="8"/>
      <c r="Y728" s="8"/>
      <c r="Z728" s="8"/>
      <c r="AA728" s="8"/>
      <c r="AB728" s="8"/>
    </row>
    <row r="729" hidden="1">
      <c r="A729" s="13" t="str">
        <f t="shared" si="10"/>
        <v>609022ed0be4bd7ad5cdb122</v>
      </c>
      <c r="B729" s="131"/>
      <c r="C729" s="131" t="s">
        <v>1343</v>
      </c>
      <c r="D729" s="39" t="s">
        <v>819</v>
      </c>
      <c r="E729" s="147" t="s">
        <v>1382</v>
      </c>
      <c r="F729" s="147" t="s">
        <v>1383</v>
      </c>
      <c r="G729" s="128">
        <v>0.625</v>
      </c>
      <c r="H729" s="39" t="s">
        <v>553</v>
      </c>
      <c r="I729" s="39" t="s">
        <v>1384</v>
      </c>
      <c r="J729" s="147" t="s">
        <v>1385</v>
      </c>
      <c r="K729" s="8"/>
      <c r="L729" s="8"/>
      <c r="M729" s="8"/>
      <c r="N729" s="8"/>
      <c r="O729" s="8"/>
      <c r="P729" s="8"/>
      <c r="Q729" s="8"/>
      <c r="R729" s="8"/>
      <c r="S729" s="8"/>
      <c r="T729" s="8"/>
      <c r="U729" s="8"/>
      <c r="V729" s="8"/>
      <c r="W729" s="8"/>
      <c r="X729" s="8"/>
      <c r="Y729" s="8"/>
      <c r="Z729" s="8"/>
      <c r="AA729" s="8"/>
      <c r="AB729" s="8"/>
    </row>
    <row r="730" hidden="1">
      <c r="A730" s="13" t="str">
        <f t="shared" si="10"/>
        <v>608019d258e4351b07989ef7</v>
      </c>
      <c r="B730" s="131"/>
      <c r="C730" s="131" t="s">
        <v>1343</v>
      </c>
      <c r="D730" s="39" t="s">
        <v>819</v>
      </c>
      <c r="E730" s="147" t="s">
        <v>1386</v>
      </c>
      <c r="F730" s="147" t="s">
        <v>1387</v>
      </c>
      <c r="G730" s="128">
        <v>0.7083333333333334</v>
      </c>
      <c r="H730" s="39" t="s">
        <v>1388</v>
      </c>
      <c r="I730" s="39" t="s">
        <v>1389</v>
      </c>
      <c r="J730" s="147" t="s">
        <v>1390</v>
      </c>
      <c r="K730" s="8"/>
      <c r="L730" s="8"/>
      <c r="M730" s="8"/>
      <c r="N730" s="8"/>
      <c r="O730" s="8"/>
      <c r="P730" s="8"/>
      <c r="Q730" s="8"/>
      <c r="R730" s="8"/>
      <c r="S730" s="8"/>
      <c r="T730" s="8"/>
      <c r="U730" s="8"/>
      <c r="V730" s="8"/>
      <c r="W730" s="8"/>
      <c r="X730" s="8"/>
      <c r="Y730" s="8"/>
      <c r="Z730" s="8"/>
      <c r="AA730" s="8"/>
      <c r="AB730" s="8"/>
    </row>
    <row r="731" hidden="1">
      <c r="A731" s="13" t="str">
        <f t="shared" si="10"/>
        <v/>
      </c>
      <c r="B731" s="131"/>
      <c r="C731" s="131" t="s">
        <v>1343</v>
      </c>
      <c r="D731" s="8"/>
      <c r="E731" s="8"/>
      <c r="F731" s="8"/>
      <c r="G731" s="126"/>
      <c r="H731" s="8"/>
      <c r="I731" s="8"/>
      <c r="J731" s="8"/>
      <c r="K731" s="8"/>
      <c r="L731" s="8"/>
      <c r="M731" s="8"/>
      <c r="N731" s="8"/>
      <c r="O731" s="8"/>
      <c r="P731" s="8"/>
      <c r="Q731" s="8"/>
      <c r="R731" s="8"/>
      <c r="S731" s="8"/>
      <c r="T731" s="8"/>
      <c r="U731" s="8"/>
      <c r="V731" s="8"/>
      <c r="W731" s="8"/>
      <c r="X731" s="8"/>
      <c r="Y731" s="8"/>
      <c r="Z731" s="8"/>
      <c r="AA731" s="8"/>
      <c r="AB731" s="8"/>
    </row>
    <row r="732" hidden="1">
      <c r="A732" s="130" t="str">
        <f t="shared" si="10"/>
        <v/>
      </c>
      <c r="B732" s="94"/>
      <c r="C732" s="94">
        <v>44337.0</v>
      </c>
      <c r="D732" s="8"/>
      <c r="E732" s="8"/>
      <c r="F732" s="8"/>
      <c r="G732" s="126"/>
      <c r="H732" s="8"/>
      <c r="I732" s="8"/>
      <c r="J732" s="8"/>
      <c r="K732" s="8"/>
      <c r="L732" s="8"/>
      <c r="M732" s="8"/>
      <c r="N732" s="8"/>
      <c r="O732" s="8"/>
      <c r="P732" s="8"/>
      <c r="Q732" s="8"/>
      <c r="R732" s="8"/>
      <c r="S732" s="8"/>
      <c r="T732" s="8"/>
      <c r="U732" s="8"/>
      <c r="V732" s="8"/>
      <c r="W732" s="8"/>
      <c r="X732" s="8"/>
      <c r="Y732" s="8"/>
      <c r="Z732" s="8"/>
      <c r="AA732" s="8"/>
      <c r="AB732" s="8"/>
    </row>
    <row r="733" hidden="1">
      <c r="A733" s="13" t="str">
        <f t="shared" si="10"/>
        <v/>
      </c>
      <c r="B733" s="131"/>
      <c r="C733" s="131" t="s">
        <v>1343</v>
      </c>
      <c r="D733" s="101"/>
      <c r="E733" s="129"/>
      <c r="F733" s="152" t="s">
        <v>1391</v>
      </c>
      <c r="G733" s="136"/>
      <c r="H733" s="101"/>
      <c r="I733" s="101"/>
      <c r="K733" s="8"/>
      <c r="L733" s="8"/>
      <c r="M733" s="8"/>
      <c r="N733" s="8"/>
      <c r="O733" s="8"/>
      <c r="P733" s="8"/>
      <c r="Q733" s="8"/>
      <c r="R733" s="8"/>
      <c r="S733" s="8"/>
      <c r="T733" s="8"/>
      <c r="U733" s="8"/>
      <c r="V733" s="8"/>
      <c r="W733" s="8"/>
      <c r="X733" s="8"/>
      <c r="Y733" s="8"/>
      <c r="Z733" s="8"/>
      <c r="AA733" s="8"/>
      <c r="AB733" s="8"/>
    </row>
    <row r="734" hidden="1">
      <c r="A734" s="13" t="str">
        <f t="shared" si="10"/>
        <v/>
      </c>
      <c r="B734" s="131"/>
      <c r="C734" s="131" t="s">
        <v>1343</v>
      </c>
      <c r="D734" s="8"/>
      <c r="E734" s="8"/>
      <c r="F734" s="66"/>
      <c r="G734" s="136"/>
      <c r="H734" s="8"/>
      <c r="I734" s="8"/>
      <c r="J734" s="8"/>
      <c r="K734" s="8"/>
      <c r="L734" s="8"/>
      <c r="M734" s="8"/>
      <c r="N734" s="8"/>
      <c r="O734" s="8"/>
      <c r="P734" s="8"/>
      <c r="Q734" s="8"/>
      <c r="R734" s="8"/>
      <c r="S734" s="8"/>
      <c r="T734" s="8"/>
      <c r="U734" s="8"/>
      <c r="V734" s="8"/>
      <c r="W734" s="8"/>
      <c r="X734" s="8"/>
      <c r="Y734" s="8"/>
      <c r="Z734" s="8"/>
      <c r="AA734" s="8"/>
      <c r="AB734" s="8"/>
    </row>
    <row r="735" hidden="1">
      <c r="A735" s="13" t="str">
        <f t="shared" si="10"/>
        <v/>
      </c>
      <c r="B735" s="131"/>
      <c r="C735" s="131" t="s">
        <v>1343</v>
      </c>
      <c r="D735" s="8"/>
      <c r="E735" s="8"/>
      <c r="F735" s="66"/>
      <c r="G735" s="136"/>
      <c r="H735" s="8"/>
      <c r="I735" s="8"/>
      <c r="J735" s="8"/>
      <c r="K735" s="8"/>
      <c r="L735" s="8"/>
      <c r="M735" s="8"/>
      <c r="N735" s="8"/>
      <c r="O735" s="8"/>
      <c r="P735" s="8"/>
      <c r="Q735" s="8"/>
      <c r="R735" s="8"/>
      <c r="S735" s="8"/>
      <c r="T735" s="8"/>
      <c r="U735" s="8"/>
      <c r="V735" s="8"/>
      <c r="W735" s="8"/>
      <c r="X735" s="8"/>
      <c r="Y735" s="8"/>
      <c r="Z735" s="8"/>
      <c r="AA735" s="8"/>
      <c r="AB735" s="8"/>
    </row>
    <row r="736" hidden="1">
      <c r="A736" s="13" t="str">
        <f t="shared" si="10"/>
        <v/>
      </c>
      <c r="B736" s="131"/>
      <c r="C736" s="131" t="s">
        <v>1343</v>
      </c>
      <c r="D736" s="8"/>
      <c r="E736" s="8"/>
      <c r="F736" s="67"/>
      <c r="G736" s="128"/>
      <c r="H736" s="8"/>
      <c r="I736" s="8"/>
      <c r="J736" s="8"/>
      <c r="K736" s="8"/>
      <c r="L736" s="8"/>
      <c r="M736" s="8"/>
      <c r="N736" s="8"/>
      <c r="O736" s="8"/>
      <c r="P736" s="8"/>
      <c r="Q736" s="8"/>
      <c r="R736" s="8"/>
      <c r="S736" s="8"/>
      <c r="T736" s="8"/>
      <c r="U736" s="8"/>
      <c r="V736" s="8"/>
      <c r="W736" s="8"/>
      <c r="X736" s="8"/>
      <c r="Y736" s="8"/>
      <c r="Z736" s="8"/>
      <c r="AA736" s="8"/>
      <c r="AB736" s="8"/>
    </row>
    <row r="737" hidden="1">
      <c r="A737" s="13" t="str">
        <f>#REF!</f>
        <v>#REF!</v>
      </c>
      <c r="B737" s="131"/>
      <c r="C737" s="131" t="s">
        <v>1343</v>
      </c>
      <c r="D737" s="101" t="s">
        <v>819</v>
      </c>
      <c r="E737" s="147" t="s">
        <v>1392</v>
      </c>
      <c r="F737" s="147" t="s">
        <v>1393</v>
      </c>
      <c r="G737" s="128">
        <v>0.75</v>
      </c>
      <c r="H737" s="101" t="s">
        <v>1394</v>
      </c>
      <c r="I737" s="149" t="s">
        <v>1395</v>
      </c>
      <c r="J737" s="101" t="s">
        <v>1396</v>
      </c>
      <c r="K737" s="8"/>
      <c r="L737" s="8"/>
      <c r="M737" s="8"/>
      <c r="N737" s="8"/>
      <c r="O737" s="8"/>
      <c r="P737" s="8"/>
      <c r="Q737" s="8"/>
      <c r="R737" s="8"/>
      <c r="S737" s="8"/>
      <c r="T737" s="8"/>
      <c r="U737" s="8"/>
      <c r="V737" s="8"/>
      <c r="W737" s="8"/>
      <c r="X737" s="8"/>
      <c r="Y737" s="8"/>
      <c r="Z737" s="8"/>
      <c r="AA737" s="8"/>
      <c r="AB737" s="8"/>
    </row>
    <row r="738" hidden="1">
      <c r="A738" s="130" t="str">
        <f>E738</f>
        <v/>
      </c>
      <c r="B738" s="94"/>
      <c r="C738" s="94">
        <v>44338.0</v>
      </c>
      <c r="D738" s="8"/>
      <c r="E738" s="8"/>
      <c r="F738" s="8"/>
      <c r="G738" s="126"/>
      <c r="H738" s="8"/>
      <c r="I738" s="39" t="s">
        <v>1397</v>
      </c>
      <c r="J738" s="8"/>
      <c r="K738" s="8"/>
      <c r="L738" s="8"/>
      <c r="M738" s="8"/>
      <c r="N738" s="8"/>
      <c r="O738" s="8"/>
      <c r="P738" s="8"/>
      <c r="Q738" s="8"/>
      <c r="R738" s="8"/>
      <c r="S738" s="8"/>
      <c r="T738" s="8"/>
      <c r="U738" s="8"/>
      <c r="V738" s="8"/>
      <c r="W738" s="8"/>
      <c r="X738" s="8"/>
      <c r="Y738" s="8"/>
      <c r="Z738" s="8"/>
      <c r="AA738" s="8"/>
      <c r="AB738" s="8"/>
    </row>
    <row r="739" hidden="1">
      <c r="A739" s="130"/>
      <c r="B739" s="131"/>
      <c r="C739" s="131" t="s">
        <v>1343</v>
      </c>
      <c r="D739" s="39" t="s">
        <v>819</v>
      </c>
      <c r="E739" s="153" t="s">
        <v>1398</v>
      </c>
      <c r="F739" s="153" t="s">
        <v>1399</v>
      </c>
      <c r="G739" s="43">
        <v>0.4166666666666667</v>
      </c>
      <c r="H739" s="148" t="s">
        <v>919</v>
      </c>
      <c r="I739" s="154" t="s">
        <v>1400</v>
      </c>
      <c r="J739" s="153" t="s">
        <v>1401</v>
      </c>
      <c r="K739" s="8"/>
      <c r="L739" s="8"/>
      <c r="M739" s="8"/>
      <c r="N739" s="8"/>
      <c r="O739" s="8"/>
      <c r="P739" s="8"/>
      <c r="Q739" s="8"/>
      <c r="R739" s="8"/>
      <c r="S739" s="8"/>
      <c r="T739" s="8"/>
      <c r="U739" s="8"/>
      <c r="V739" s="8"/>
      <c r="W739" s="8"/>
      <c r="X739" s="8"/>
      <c r="Y739" s="8"/>
      <c r="Z739" s="8"/>
      <c r="AA739" s="8"/>
      <c r="AB739" s="8"/>
    </row>
    <row r="740" hidden="1">
      <c r="A740" s="130"/>
      <c r="B740" s="131"/>
      <c r="C740" s="131" t="s">
        <v>1343</v>
      </c>
      <c r="D740" s="39" t="s">
        <v>819</v>
      </c>
      <c r="E740" s="143" t="s">
        <v>1402</v>
      </c>
      <c r="F740" s="143" t="s">
        <v>1403</v>
      </c>
      <c r="G740" s="43">
        <v>0.5</v>
      </c>
      <c r="H740" s="148" t="s">
        <v>919</v>
      </c>
      <c r="I740" s="148" t="s">
        <v>1404</v>
      </c>
      <c r="J740" s="143" t="s">
        <v>1405</v>
      </c>
      <c r="K740" s="8"/>
      <c r="L740" s="8"/>
      <c r="M740" s="8"/>
      <c r="N740" s="8"/>
      <c r="O740" s="8"/>
      <c r="P740" s="8"/>
      <c r="Q740" s="8"/>
      <c r="R740" s="8"/>
      <c r="S740" s="8"/>
      <c r="T740" s="8"/>
      <c r="U740" s="8"/>
      <c r="V740" s="8"/>
      <c r="W740" s="8"/>
      <c r="X740" s="8"/>
      <c r="Y740" s="8"/>
      <c r="Z740" s="8"/>
      <c r="AA740" s="8"/>
      <c r="AB740" s="8"/>
    </row>
    <row r="741" hidden="1">
      <c r="A741" s="130"/>
      <c r="B741" s="131"/>
      <c r="C741" s="131" t="s">
        <v>1343</v>
      </c>
      <c r="D741" s="39" t="s">
        <v>819</v>
      </c>
      <c r="E741" s="143" t="s">
        <v>1406</v>
      </c>
      <c r="F741" s="143" t="s">
        <v>1407</v>
      </c>
      <c r="G741" s="43">
        <v>0.5833333333333334</v>
      </c>
      <c r="H741" s="44" t="s">
        <v>1408</v>
      </c>
      <c r="I741" s="148" t="s">
        <v>1409</v>
      </c>
      <c r="J741" s="143" t="s">
        <v>1410</v>
      </c>
      <c r="K741" s="8"/>
      <c r="L741" s="8"/>
      <c r="M741" s="8"/>
      <c r="N741" s="8"/>
      <c r="O741" s="8"/>
      <c r="P741" s="8"/>
      <c r="Q741" s="8"/>
      <c r="R741" s="8"/>
      <c r="S741" s="8"/>
      <c r="T741" s="8"/>
      <c r="U741" s="8"/>
      <c r="V741" s="8"/>
      <c r="W741" s="8"/>
      <c r="X741" s="8"/>
      <c r="Y741" s="8"/>
      <c r="Z741" s="8"/>
      <c r="AA741" s="8"/>
      <c r="AB741" s="8"/>
    </row>
    <row r="742" hidden="1">
      <c r="A742" s="130"/>
      <c r="B742" s="131"/>
      <c r="C742" s="131" t="s">
        <v>1343</v>
      </c>
      <c r="D742" s="39" t="s">
        <v>819</v>
      </c>
      <c r="E742" s="147" t="s">
        <v>1411</v>
      </c>
      <c r="F742" s="147" t="s">
        <v>1412</v>
      </c>
      <c r="G742" s="128">
        <v>0.6666666666666666</v>
      </c>
      <c r="H742" s="149" t="s">
        <v>1413</v>
      </c>
      <c r="I742" s="149" t="s">
        <v>1414</v>
      </c>
      <c r="J742" s="147" t="s">
        <v>1415</v>
      </c>
      <c r="K742" s="8"/>
      <c r="L742" s="8"/>
      <c r="M742" s="8"/>
      <c r="N742" s="8"/>
      <c r="O742" s="8"/>
      <c r="P742" s="8"/>
      <c r="Q742" s="8"/>
      <c r="R742" s="8"/>
      <c r="S742" s="8"/>
      <c r="T742" s="8"/>
      <c r="U742" s="8"/>
      <c r="V742" s="8"/>
      <c r="W742" s="8"/>
      <c r="X742" s="8"/>
      <c r="Y742" s="8"/>
      <c r="Z742" s="8"/>
      <c r="AA742" s="8"/>
      <c r="AB742" s="8"/>
    </row>
    <row r="743" hidden="1">
      <c r="A743" s="130"/>
      <c r="B743" s="131"/>
      <c r="C743" s="131" t="s">
        <v>1343</v>
      </c>
      <c r="D743" s="44" t="s">
        <v>819</v>
      </c>
      <c r="E743" s="155" t="s">
        <v>1416</v>
      </c>
      <c r="F743" s="155" t="s">
        <v>1417</v>
      </c>
      <c r="G743" s="43">
        <v>0.75</v>
      </c>
      <c r="H743" s="155" t="s">
        <v>434</v>
      </c>
      <c r="I743" s="155" t="s">
        <v>1418</v>
      </c>
      <c r="J743" s="155" t="s">
        <v>1419</v>
      </c>
      <c r="K743" s="8"/>
      <c r="L743" s="8"/>
      <c r="M743" s="8"/>
      <c r="N743" s="8"/>
      <c r="O743" s="8"/>
      <c r="P743" s="8"/>
      <c r="Q743" s="8"/>
      <c r="R743" s="8"/>
      <c r="S743" s="8"/>
      <c r="T743" s="8"/>
      <c r="U743" s="8"/>
      <c r="V743" s="8"/>
      <c r="W743" s="8"/>
      <c r="X743" s="8"/>
      <c r="Y743" s="8"/>
      <c r="Z743" s="8"/>
      <c r="AA743" s="8"/>
      <c r="AB743" s="8"/>
    </row>
    <row r="744" hidden="1">
      <c r="A744" s="130" t="str">
        <f>E744</f>
        <v/>
      </c>
      <c r="B744" s="94"/>
      <c r="C744" s="94">
        <v>44339.0</v>
      </c>
      <c r="D744" s="8"/>
      <c r="E744" s="8"/>
      <c r="F744" s="8"/>
      <c r="G744" s="126"/>
      <c r="H744" s="8"/>
      <c r="I744" s="8"/>
      <c r="J744" s="8"/>
      <c r="K744" s="8"/>
      <c r="L744" s="8"/>
      <c r="M744" s="8"/>
      <c r="N744" s="8"/>
      <c r="O744" s="8"/>
      <c r="P744" s="8"/>
      <c r="Q744" s="8"/>
      <c r="R744" s="8"/>
      <c r="S744" s="8"/>
      <c r="T744" s="8"/>
      <c r="U744" s="8"/>
      <c r="V744" s="8"/>
      <c r="W744" s="8"/>
      <c r="X744" s="8"/>
      <c r="Y744" s="8"/>
      <c r="Z744" s="8"/>
      <c r="AA744" s="8"/>
      <c r="AB744" s="8"/>
    </row>
    <row r="745" hidden="1">
      <c r="A745" s="130"/>
      <c r="B745" s="131"/>
      <c r="C745" s="131" t="s">
        <v>1343</v>
      </c>
      <c r="D745" s="8"/>
      <c r="E745" s="8"/>
      <c r="F745" s="8"/>
      <c r="G745" s="128"/>
      <c r="H745" s="8"/>
      <c r="I745" s="8"/>
      <c r="J745" s="8"/>
      <c r="K745" s="8"/>
      <c r="L745" s="8"/>
      <c r="M745" s="8"/>
      <c r="N745" s="8"/>
      <c r="O745" s="8"/>
      <c r="P745" s="8"/>
      <c r="Q745" s="8"/>
      <c r="R745" s="8"/>
      <c r="S745" s="8"/>
      <c r="T745" s="8"/>
      <c r="U745" s="8"/>
      <c r="V745" s="8"/>
      <c r="W745" s="8"/>
      <c r="X745" s="8"/>
      <c r="Y745" s="8"/>
      <c r="Z745" s="8"/>
      <c r="AA745" s="8"/>
      <c r="AB745" s="8"/>
    </row>
    <row r="746" hidden="1">
      <c r="A746" s="130"/>
      <c r="B746" s="131"/>
      <c r="C746" s="131" t="s">
        <v>1343</v>
      </c>
      <c r="D746" s="39" t="s">
        <v>819</v>
      </c>
      <c r="E746" s="147" t="s">
        <v>1420</v>
      </c>
      <c r="F746" s="147" t="s">
        <v>1421</v>
      </c>
      <c r="G746" s="128">
        <v>0.5</v>
      </c>
      <c r="H746" s="149" t="s">
        <v>195</v>
      </c>
      <c r="I746" s="149" t="s">
        <v>1422</v>
      </c>
      <c r="J746" s="147" t="s">
        <v>1423</v>
      </c>
      <c r="K746" s="8"/>
      <c r="L746" s="8"/>
      <c r="M746" s="8"/>
      <c r="N746" s="8"/>
      <c r="O746" s="8"/>
      <c r="P746" s="8"/>
      <c r="Q746" s="8"/>
      <c r="R746" s="8"/>
      <c r="S746" s="8"/>
      <c r="T746" s="8"/>
      <c r="U746" s="8"/>
      <c r="V746" s="8"/>
      <c r="W746" s="8"/>
      <c r="X746" s="8"/>
      <c r="Y746" s="8"/>
      <c r="Z746" s="8"/>
      <c r="AA746" s="8"/>
      <c r="AB746" s="8"/>
    </row>
    <row r="747" hidden="1">
      <c r="A747" s="130"/>
      <c r="B747" s="131"/>
      <c r="C747" s="131" t="s">
        <v>1343</v>
      </c>
      <c r="D747" s="39" t="s">
        <v>819</v>
      </c>
      <c r="E747" s="147" t="s">
        <v>1424</v>
      </c>
      <c r="F747" s="147" t="s">
        <v>1425</v>
      </c>
      <c r="G747" s="128">
        <v>0.5833333333333334</v>
      </c>
      <c r="H747" s="149" t="s">
        <v>195</v>
      </c>
      <c r="I747" s="149" t="s">
        <v>1426</v>
      </c>
      <c r="J747" s="147" t="s">
        <v>1427</v>
      </c>
      <c r="K747" s="8"/>
      <c r="L747" s="8"/>
      <c r="M747" s="8"/>
      <c r="N747" s="8"/>
      <c r="O747" s="8"/>
      <c r="P747" s="8"/>
      <c r="Q747" s="8"/>
      <c r="R747" s="8"/>
      <c r="S747" s="8"/>
      <c r="T747" s="8"/>
      <c r="U747" s="8"/>
      <c r="V747" s="8"/>
      <c r="W747" s="8"/>
      <c r="X747" s="8"/>
      <c r="Y747" s="8"/>
      <c r="Z747" s="8"/>
      <c r="AA747" s="8"/>
      <c r="AB747" s="8"/>
    </row>
    <row r="748" hidden="1">
      <c r="A748" s="130"/>
      <c r="B748" s="131"/>
      <c r="C748" s="131" t="s">
        <v>1343</v>
      </c>
      <c r="D748" s="39" t="s">
        <v>819</v>
      </c>
      <c r="E748" s="147" t="s">
        <v>1428</v>
      </c>
      <c r="F748" s="147" t="s">
        <v>1429</v>
      </c>
      <c r="G748" s="128">
        <v>0.6666666666666666</v>
      </c>
      <c r="H748" s="149" t="s">
        <v>1430</v>
      </c>
      <c r="I748" s="149" t="s">
        <v>1431</v>
      </c>
      <c r="J748" s="147" t="s">
        <v>1432</v>
      </c>
      <c r="K748" s="8"/>
      <c r="L748" s="8"/>
      <c r="M748" s="8"/>
      <c r="N748" s="8"/>
      <c r="O748" s="8"/>
      <c r="P748" s="8"/>
      <c r="Q748" s="8"/>
      <c r="R748" s="8"/>
      <c r="S748" s="8"/>
      <c r="T748" s="8"/>
      <c r="U748" s="8"/>
      <c r="V748" s="8"/>
      <c r="W748" s="8"/>
      <c r="X748" s="8"/>
      <c r="Y748" s="8"/>
      <c r="Z748" s="8"/>
      <c r="AA748" s="8"/>
      <c r="AB748" s="8"/>
    </row>
    <row r="749" hidden="1">
      <c r="A749" s="130"/>
      <c r="B749" s="131"/>
      <c r="C749" s="131" t="s">
        <v>1343</v>
      </c>
      <c r="D749" s="39" t="s">
        <v>819</v>
      </c>
      <c r="E749" s="147" t="s">
        <v>1433</v>
      </c>
      <c r="F749" s="147" t="s">
        <v>1434</v>
      </c>
      <c r="G749" s="128">
        <v>0.75</v>
      </c>
      <c r="H749" s="149" t="s">
        <v>72</v>
      </c>
      <c r="I749" s="149" t="s">
        <v>1435</v>
      </c>
      <c r="J749" s="147" t="s">
        <v>1436</v>
      </c>
      <c r="K749" s="8"/>
      <c r="L749" s="8"/>
      <c r="M749" s="8"/>
      <c r="N749" s="8"/>
      <c r="O749" s="8"/>
      <c r="P749" s="8"/>
      <c r="Q749" s="8"/>
      <c r="R749" s="8"/>
      <c r="S749" s="8"/>
      <c r="T749" s="8"/>
      <c r="U749" s="8"/>
      <c r="V749" s="8"/>
      <c r="W749" s="8"/>
      <c r="X749" s="8"/>
      <c r="Y749" s="8"/>
      <c r="Z749" s="8"/>
      <c r="AA749" s="8"/>
      <c r="AB749" s="8"/>
    </row>
    <row r="750" hidden="1">
      <c r="A750" s="130" t="str">
        <f>#REF!</f>
        <v>#REF!</v>
      </c>
      <c r="B750" s="94"/>
      <c r="C750" s="94">
        <v>44340.0</v>
      </c>
      <c r="D750" s="8"/>
      <c r="E750" s="8"/>
      <c r="F750" s="8"/>
      <c r="G750" s="126"/>
      <c r="H750" s="8"/>
      <c r="I750" s="8"/>
      <c r="J750" s="8"/>
      <c r="K750" s="8"/>
      <c r="L750" s="8"/>
      <c r="M750" s="8"/>
      <c r="N750" s="8"/>
      <c r="O750" s="8"/>
      <c r="P750" s="8"/>
      <c r="Q750" s="8"/>
      <c r="R750" s="8"/>
      <c r="S750" s="8"/>
      <c r="T750" s="8"/>
      <c r="U750" s="8"/>
      <c r="V750" s="8"/>
      <c r="W750" s="8"/>
      <c r="X750" s="8"/>
      <c r="Y750" s="8"/>
      <c r="Z750" s="8"/>
      <c r="AA750" s="8"/>
      <c r="AB750" s="8"/>
    </row>
    <row r="751" hidden="1">
      <c r="A751" s="130" t="str">
        <f t="shared" ref="A751:A780" si="11">E751</f>
        <v/>
      </c>
      <c r="B751" s="131"/>
      <c r="C751" s="131" t="s">
        <v>1343</v>
      </c>
      <c r="D751" s="6"/>
      <c r="E751" s="6"/>
      <c r="F751" s="6"/>
      <c r="G751" s="26"/>
      <c r="H751" s="6"/>
      <c r="I751" s="6"/>
      <c r="J751" s="6"/>
      <c r="K751" s="8"/>
      <c r="L751" s="8"/>
      <c r="M751" s="8"/>
      <c r="N751" s="8"/>
      <c r="O751" s="8"/>
      <c r="P751" s="8"/>
      <c r="Q751" s="8"/>
      <c r="R751" s="8"/>
      <c r="S751" s="8"/>
      <c r="T751" s="8"/>
      <c r="U751" s="8"/>
      <c r="V751" s="8"/>
      <c r="W751" s="8"/>
      <c r="X751" s="8"/>
      <c r="Y751" s="8"/>
      <c r="Z751" s="8"/>
      <c r="AA751" s="8"/>
      <c r="AB751" s="8"/>
    </row>
    <row r="752" hidden="1">
      <c r="A752" s="13" t="str">
        <f t="shared" si="11"/>
        <v>6080028510bf22c765b717f5</v>
      </c>
      <c r="B752" s="131"/>
      <c r="C752" s="131" t="s">
        <v>1343</v>
      </c>
      <c r="D752" s="156" t="s">
        <v>819</v>
      </c>
      <c r="E752" s="124" t="s">
        <v>1344</v>
      </c>
      <c r="F752" s="124" t="s">
        <v>1345</v>
      </c>
      <c r="G752" s="70" t="s">
        <v>337</v>
      </c>
      <c r="H752" s="48" t="s">
        <v>269</v>
      </c>
      <c r="I752" s="48" t="s">
        <v>1346</v>
      </c>
      <c r="J752" s="124" t="s">
        <v>1347</v>
      </c>
      <c r="K752" s="8"/>
      <c r="L752" s="8"/>
      <c r="M752" s="8"/>
      <c r="N752" s="8"/>
      <c r="O752" s="8"/>
      <c r="P752" s="8"/>
      <c r="Q752" s="8"/>
      <c r="R752" s="8"/>
      <c r="S752" s="8"/>
      <c r="T752" s="8"/>
      <c r="U752" s="8"/>
      <c r="V752" s="8"/>
      <c r="W752" s="8"/>
      <c r="X752" s="8"/>
      <c r="Y752" s="8"/>
      <c r="Z752" s="8"/>
      <c r="AA752" s="8"/>
      <c r="AB752" s="8"/>
    </row>
    <row r="753" hidden="1">
      <c r="A753" s="13" t="str">
        <f t="shared" si="11"/>
        <v/>
      </c>
      <c r="B753" s="131"/>
      <c r="C753" s="131" t="s">
        <v>1343</v>
      </c>
      <c r="D753" s="39"/>
      <c r="E753" s="6"/>
      <c r="F753" s="6"/>
      <c r="G753" s="128"/>
      <c r="H753" s="39"/>
      <c r="I753" s="39"/>
      <c r="J753" s="6"/>
      <c r="K753" s="8"/>
      <c r="L753" s="8"/>
      <c r="M753" s="8"/>
      <c r="N753" s="8"/>
      <c r="O753" s="8"/>
      <c r="P753" s="8"/>
      <c r="Q753" s="8"/>
      <c r="R753" s="8"/>
      <c r="S753" s="8"/>
      <c r="T753" s="8"/>
      <c r="U753" s="8"/>
      <c r="V753" s="8"/>
      <c r="W753" s="8"/>
      <c r="X753" s="8"/>
      <c r="Y753" s="8"/>
      <c r="Z753" s="8"/>
      <c r="AA753" s="8"/>
      <c r="AB753" s="8"/>
    </row>
    <row r="754" hidden="1">
      <c r="A754" s="13" t="str">
        <f t="shared" si="11"/>
        <v/>
      </c>
      <c r="B754" s="131"/>
      <c r="C754" s="131" t="s">
        <v>1343</v>
      </c>
      <c r="D754" s="39"/>
      <c r="E754" s="6"/>
      <c r="F754" s="6"/>
      <c r="G754" s="128"/>
      <c r="H754" s="39"/>
      <c r="I754" s="39"/>
      <c r="J754" s="6"/>
      <c r="K754" s="8"/>
      <c r="L754" s="8"/>
      <c r="M754" s="8"/>
      <c r="N754" s="8"/>
      <c r="O754" s="8"/>
      <c r="P754" s="8"/>
      <c r="Q754" s="8"/>
      <c r="R754" s="8"/>
      <c r="S754" s="8"/>
      <c r="T754" s="8"/>
      <c r="U754" s="8"/>
      <c r="V754" s="8"/>
      <c r="W754" s="8"/>
      <c r="X754" s="8"/>
      <c r="Y754" s="8"/>
      <c r="Z754" s="8"/>
      <c r="AA754" s="8"/>
      <c r="AB754" s="8"/>
    </row>
    <row r="755" hidden="1">
      <c r="A755" s="13" t="str">
        <f t="shared" si="11"/>
        <v/>
      </c>
      <c r="B755" s="131"/>
      <c r="C755" s="131" t="s">
        <v>1343</v>
      </c>
      <c r="D755" s="8"/>
      <c r="E755" s="8"/>
      <c r="F755" s="8"/>
      <c r="G755" s="126"/>
      <c r="H755" s="8"/>
      <c r="I755" s="8"/>
      <c r="J755" s="8"/>
      <c r="K755" s="8"/>
      <c r="L755" s="8"/>
      <c r="M755" s="8"/>
      <c r="N755" s="8"/>
      <c r="O755" s="8"/>
      <c r="P755" s="8"/>
      <c r="Q755" s="8"/>
      <c r="R755" s="8"/>
      <c r="S755" s="8"/>
      <c r="T755" s="8"/>
      <c r="U755" s="8"/>
      <c r="V755" s="8"/>
      <c r="W755" s="8"/>
      <c r="X755" s="8"/>
      <c r="Y755" s="8"/>
      <c r="Z755" s="8"/>
      <c r="AA755" s="8"/>
      <c r="AB755" s="8"/>
    </row>
    <row r="756" hidden="1">
      <c r="A756" s="130" t="str">
        <f t="shared" si="11"/>
        <v/>
      </c>
      <c r="B756" s="94"/>
      <c r="C756" s="94">
        <v>44341.0</v>
      </c>
      <c r="D756" s="8"/>
      <c r="E756" s="8"/>
      <c r="F756" s="8"/>
      <c r="G756" s="126"/>
      <c r="H756" s="8"/>
      <c r="I756" s="8"/>
      <c r="J756" s="8"/>
      <c r="K756" s="8"/>
      <c r="L756" s="8"/>
      <c r="M756" s="8"/>
      <c r="N756" s="8"/>
      <c r="O756" s="8"/>
      <c r="P756" s="8"/>
      <c r="Q756" s="8"/>
      <c r="R756" s="8"/>
      <c r="S756" s="8"/>
      <c r="T756" s="8"/>
      <c r="U756" s="8"/>
      <c r="V756" s="8"/>
      <c r="W756" s="8"/>
      <c r="X756" s="8"/>
      <c r="Y756" s="8"/>
      <c r="Z756" s="8"/>
      <c r="AA756" s="8"/>
      <c r="AB756" s="8"/>
    </row>
    <row r="757" hidden="1">
      <c r="A757" s="13" t="str">
        <f t="shared" si="11"/>
        <v/>
      </c>
      <c r="B757" s="131"/>
      <c r="C757" s="131" t="s">
        <v>1343</v>
      </c>
      <c r="D757" s="39"/>
      <c r="E757" s="6"/>
      <c r="F757" s="6"/>
      <c r="G757" s="128"/>
      <c r="H757" s="39"/>
      <c r="I757" s="39"/>
      <c r="J757" s="6"/>
      <c r="K757" s="8"/>
      <c r="L757" s="8"/>
      <c r="M757" s="8"/>
      <c r="N757" s="8"/>
      <c r="O757" s="8"/>
      <c r="P757" s="8"/>
      <c r="Q757" s="8"/>
      <c r="R757" s="8"/>
      <c r="S757" s="8"/>
      <c r="T757" s="8"/>
      <c r="U757" s="8"/>
      <c r="V757" s="8"/>
      <c r="W757" s="8"/>
      <c r="X757" s="8"/>
      <c r="Y757" s="8"/>
      <c r="Z757" s="8"/>
      <c r="AA757" s="8"/>
      <c r="AB757" s="8"/>
    </row>
    <row r="758" hidden="1">
      <c r="A758" s="13" t="str">
        <f t="shared" si="11"/>
        <v/>
      </c>
      <c r="B758" s="131"/>
      <c r="C758" s="131" t="s">
        <v>1343</v>
      </c>
      <c r="D758" s="39"/>
      <c r="E758" s="6"/>
      <c r="F758" s="6"/>
      <c r="G758" s="128"/>
      <c r="H758" s="39"/>
      <c r="I758" s="39"/>
      <c r="J758" s="6"/>
      <c r="K758" s="8"/>
      <c r="L758" s="8"/>
      <c r="M758" s="8"/>
      <c r="N758" s="8"/>
      <c r="O758" s="8"/>
      <c r="P758" s="8"/>
      <c r="Q758" s="8"/>
      <c r="R758" s="8"/>
      <c r="S758" s="8"/>
      <c r="T758" s="8"/>
      <c r="U758" s="8"/>
      <c r="V758" s="8"/>
      <c r="W758" s="8"/>
      <c r="X758" s="8"/>
      <c r="Y758" s="8"/>
      <c r="Z758" s="8"/>
      <c r="AA758" s="8"/>
      <c r="AB758" s="8"/>
    </row>
    <row r="759" hidden="1">
      <c r="A759" s="13" t="str">
        <f t="shared" si="11"/>
        <v/>
      </c>
      <c r="B759" s="131"/>
      <c r="C759" s="131" t="s">
        <v>1343</v>
      </c>
      <c r="D759" s="39"/>
      <c r="E759" s="6"/>
      <c r="F759" s="6"/>
      <c r="G759" s="128"/>
      <c r="H759" s="39"/>
      <c r="I759" s="39"/>
      <c r="J759" s="6"/>
      <c r="K759" s="8"/>
      <c r="L759" s="8"/>
      <c r="M759" s="8"/>
      <c r="N759" s="8"/>
      <c r="O759" s="8"/>
      <c r="P759" s="8"/>
      <c r="Q759" s="8"/>
      <c r="R759" s="8"/>
      <c r="S759" s="8"/>
      <c r="T759" s="8"/>
      <c r="U759" s="8"/>
      <c r="V759" s="8"/>
      <c r="W759" s="8"/>
      <c r="X759" s="8"/>
      <c r="Y759" s="8"/>
      <c r="Z759" s="8"/>
      <c r="AA759" s="8"/>
      <c r="AB759" s="8"/>
    </row>
    <row r="760" hidden="1">
      <c r="A760" s="13" t="str">
        <f t="shared" si="11"/>
        <v>606232ab06714e90bb67c56c</v>
      </c>
      <c r="B760" s="131"/>
      <c r="C760" s="131" t="s">
        <v>1343</v>
      </c>
      <c r="D760" s="157" t="s">
        <v>819</v>
      </c>
      <c r="E760" s="8" t="s">
        <v>1367</v>
      </c>
      <c r="F760" s="8" t="s">
        <v>1368</v>
      </c>
      <c r="G760" s="158" t="s">
        <v>298</v>
      </c>
      <c r="H760" s="8" t="s">
        <v>1369</v>
      </c>
      <c r="I760" s="8" t="s">
        <v>1370</v>
      </c>
      <c r="J760" s="157" t="s">
        <v>1371</v>
      </c>
      <c r="N760" s="8"/>
      <c r="O760" s="8"/>
      <c r="P760" s="8"/>
      <c r="Q760" s="8"/>
      <c r="R760" s="8"/>
      <c r="S760" s="8"/>
      <c r="T760" s="8"/>
      <c r="U760" s="8"/>
      <c r="V760" s="8"/>
      <c r="W760" s="8"/>
      <c r="X760" s="8"/>
      <c r="Y760" s="8"/>
      <c r="Z760" s="8"/>
      <c r="AA760" s="8"/>
      <c r="AB760" s="8"/>
    </row>
    <row r="761" hidden="1">
      <c r="A761" s="13" t="str">
        <f t="shared" si="11"/>
        <v>607de485670d462cc0aafaa6</v>
      </c>
      <c r="B761" s="131"/>
      <c r="C761" s="131" t="s">
        <v>1343</v>
      </c>
      <c r="D761" s="39" t="s">
        <v>819</v>
      </c>
      <c r="E761" s="39" t="s">
        <v>1437</v>
      </c>
      <c r="F761" s="39" t="s">
        <v>1438</v>
      </c>
      <c r="G761" s="128">
        <v>0.7083333333333334</v>
      </c>
      <c r="H761" s="39" t="s">
        <v>1439</v>
      </c>
      <c r="I761" s="39" t="s">
        <v>1440</v>
      </c>
      <c r="J761" s="39" t="s">
        <v>1441</v>
      </c>
      <c r="K761" s="8"/>
      <c r="L761" s="8"/>
      <c r="M761" s="8"/>
      <c r="N761" s="8"/>
      <c r="O761" s="8"/>
      <c r="P761" s="8"/>
      <c r="Q761" s="8"/>
      <c r="R761" s="8"/>
      <c r="S761" s="8"/>
      <c r="T761" s="8"/>
      <c r="U761" s="8"/>
      <c r="V761" s="8"/>
      <c r="W761" s="8"/>
      <c r="X761" s="8"/>
      <c r="Y761" s="8"/>
      <c r="Z761" s="8"/>
      <c r="AA761" s="8"/>
      <c r="AB761" s="8"/>
    </row>
    <row r="762" hidden="1">
      <c r="A762" s="130" t="str">
        <f t="shared" si="11"/>
        <v/>
      </c>
      <c r="B762" s="94"/>
      <c r="C762" s="94">
        <v>44342.0</v>
      </c>
      <c r="D762" s="8"/>
      <c r="E762" s="8"/>
      <c r="F762" s="8"/>
      <c r="G762" s="126"/>
      <c r="H762" s="8"/>
      <c r="I762" s="8"/>
      <c r="J762" s="8"/>
      <c r="K762" s="8"/>
      <c r="L762" s="8"/>
      <c r="M762" s="8"/>
      <c r="N762" s="8"/>
      <c r="O762" s="8"/>
      <c r="P762" s="8"/>
      <c r="Q762" s="8"/>
      <c r="R762" s="8"/>
      <c r="S762" s="8"/>
      <c r="T762" s="8"/>
      <c r="U762" s="8"/>
      <c r="V762" s="8"/>
      <c r="W762" s="8"/>
      <c r="X762" s="8"/>
      <c r="Y762" s="8"/>
      <c r="Z762" s="8"/>
      <c r="AA762" s="8"/>
      <c r="AB762" s="8"/>
    </row>
    <row r="763" hidden="1">
      <c r="A763" s="13" t="str">
        <f t="shared" si="11"/>
        <v/>
      </c>
      <c r="B763" s="131"/>
      <c r="C763" s="131" t="s">
        <v>1343</v>
      </c>
      <c r="D763" s="39"/>
      <c r="E763" s="6"/>
      <c r="F763" s="6"/>
      <c r="G763" s="128"/>
      <c r="H763" s="39"/>
      <c r="I763" s="39"/>
      <c r="J763" s="6"/>
      <c r="K763" s="8"/>
      <c r="L763" s="8"/>
      <c r="M763" s="8"/>
      <c r="N763" s="8"/>
      <c r="O763" s="8"/>
      <c r="P763" s="8"/>
      <c r="Q763" s="8"/>
      <c r="R763" s="8"/>
      <c r="S763" s="8"/>
      <c r="T763" s="8"/>
      <c r="U763" s="8"/>
      <c r="V763" s="8"/>
      <c r="W763" s="8"/>
      <c r="X763" s="8"/>
      <c r="Y763" s="8"/>
      <c r="Z763" s="8"/>
      <c r="AA763" s="8"/>
      <c r="AB763" s="8"/>
    </row>
    <row r="764" hidden="1">
      <c r="A764" s="13" t="str">
        <f t="shared" si="11"/>
        <v/>
      </c>
      <c r="B764" s="131"/>
      <c r="C764" s="131" t="s">
        <v>1343</v>
      </c>
      <c r="D764" s="39"/>
      <c r="E764" s="6"/>
      <c r="F764" s="6"/>
      <c r="G764" s="128"/>
      <c r="H764" s="39"/>
      <c r="I764" s="39"/>
      <c r="J764" s="6"/>
      <c r="K764" s="8"/>
      <c r="L764" s="8"/>
      <c r="M764" s="8"/>
      <c r="N764" s="8"/>
      <c r="O764" s="8"/>
      <c r="P764" s="8"/>
      <c r="Q764" s="8"/>
      <c r="R764" s="8"/>
      <c r="S764" s="8"/>
      <c r="T764" s="8"/>
      <c r="U764" s="8"/>
      <c r="V764" s="8"/>
      <c r="W764" s="8"/>
      <c r="X764" s="8"/>
      <c r="Y764" s="8"/>
      <c r="Z764" s="8"/>
      <c r="AA764" s="8"/>
      <c r="AB764" s="8"/>
    </row>
    <row r="765" hidden="1">
      <c r="A765" s="13" t="str">
        <f t="shared" si="11"/>
        <v/>
      </c>
      <c r="B765" s="131"/>
      <c r="C765" s="131" t="s">
        <v>1343</v>
      </c>
      <c r="D765" s="39"/>
      <c r="E765" s="6"/>
      <c r="F765" s="6"/>
      <c r="G765" s="128"/>
      <c r="H765" s="39"/>
      <c r="I765" s="39"/>
      <c r="J765" s="6"/>
      <c r="K765" s="8"/>
      <c r="L765" s="8"/>
      <c r="M765" s="8"/>
      <c r="N765" s="8"/>
      <c r="O765" s="8"/>
      <c r="P765" s="8"/>
      <c r="Q765" s="8"/>
      <c r="R765" s="8"/>
      <c r="S765" s="8"/>
      <c r="T765" s="8"/>
      <c r="U765" s="8"/>
      <c r="V765" s="8"/>
      <c r="W765" s="8"/>
      <c r="X765" s="8"/>
      <c r="Y765" s="8"/>
      <c r="Z765" s="8"/>
      <c r="AA765" s="8"/>
      <c r="AB765" s="8"/>
    </row>
    <row r="766" hidden="1">
      <c r="A766" s="13" t="str">
        <f t="shared" si="11"/>
        <v/>
      </c>
      <c r="B766" s="131"/>
      <c r="C766" s="131" t="s">
        <v>1343</v>
      </c>
      <c r="D766" s="39"/>
      <c r="E766" s="6"/>
      <c r="F766" s="6"/>
      <c r="G766" s="128"/>
      <c r="H766" s="39"/>
      <c r="I766" s="39"/>
      <c r="J766" s="6"/>
      <c r="K766" s="8"/>
      <c r="L766" s="8"/>
      <c r="M766" s="8"/>
      <c r="N766" s="8"/>
      <c r="O766" s="8"/>
      <c r="P766" s="8"/>
      <c r="Q766" s="8"/>
      <c r="R766" s="8"/>
      <c r="S766" s="8"/>
      <c r="T766" s="8"/>
      <c r="U766" s="8"/>
      <c r="V766" s="8"/>
      <c r="W766" s="8"/>
      <c r="X766" s="8"/>
      <c r="Y766" s="8"/>
      <c r="Z766" s="8"/>
      <c r="AA766" s="8"/>
      <c r="AB766" s="8"/>
    </row>
    <row r="767" hidden="1">
      <c r="A767" s="13" t="str">
        <f t="shared" si="11"/>
        <v>6090102f8d56dfa6cf8076c9</v>
      </c>
      <c r="B767" s="131"/>
      <c r="C767" s="131" t="s">
        <v>1343</v>
      </c>
      <c r="D767" s="39" t="s">
        <v>819</v>
      </c>
      <c r="E767" s="147" t="s">
        <v>1442</v>
      </c>
      <c r="F767" s="147" t="s">
        <v>1443</v>
      </c>
      <c r="G767" s="128">
        <v>0.75</v>
      </c>
      <c r="H767" s="149" t="s">
        <v>1444</v>
      </c>
      <c r="I767" s="149" t="s">
        <v>1445</v>
      </c>
      <c r="J767" s="147" t="s">
        <v>1446</v>
      </c>
      <c r="K767" s="8"/>
      <c r="L767" s="8"/>
      <c r="M767" s="8"/>
      <c r="N767" s="8"/>
      <c r="O767" s="8"/>
      <c r="P767" s="8"/>
      <c r="Q767" s="8"/>
      <c r="R767" s="8"/>
      <c r="S767" s="8"/>
      <c r="T767" s="8"/>
      <c r="U767" s="8"/>
      <c r="V767" s="8"/>
      <c r="W767" s="8"/>
      <c r="X767" s="8"/>
      <c r="Y767" s="8"/>
      <c r="Z767" s="8"/>
      <c r="AA767" s="8"/>
      <c r="AB767" s="8"/>
    </row>
    <row r="768" hidden="1">
      <c r="A768" s="130" t="str">
        <f t="shared" si="11"/>
        <v/>
      </c>
      <c r="B768" s="94"/>
      <c r="C768" s="94">
        <v>44343.0</v>
      </c>
      <c r="D768" s="8"/>
      <c r="E768" s="8"/>
      <c r="F768" s="8"/>
      <c r="G768" s="126"/>
      <c r="H768" s="8"/>
      <c r="I768" s="8"/>
      <c r="J768" s="8"/>
      <c r="K768" s="8"/>
      <c r="L768" s="8"/>
      <c r="M768" s="8"/>
      <c r="N768" s="8"/>
      <c r="O768" s="8"/>
      <c r="P768" s="8"/>
      <c r="Q768" s="8"/>
      <c r="R768" s="8"/>
      <c r="S768" s="8"/>
      <c r="T768" s="8"/>
      <c r="U768" s="8"/>
      <c r="V768" s="8"/>
      <c r="W768" s="8"/>
      <c r="X768" s="8"/>
      <c r="Y768" s="8"/>
      <c r="Z768" s="8"/>
      <c r="AA768" s="8"/>
      <c r="AB768" s="8"/>
    </row>
    <row r="769" hidden="1">
      <c r="A769" s="13" t="str">
        <f t="shared" si="11"/>
        <v/>
      </c>
      <c r="B769" s="131"/>
      <c r="C769" s="131" t="s">
        <v>1343</v>
      </c>
      <c r="D769" s="39"/>
      <c r="E769" s="6"/>
      <c r="F769" s="6"/>
      <c r="G769" s="128"/>
      <c r="H769" s="39"/>
      <c r="I769" s="39"/>
      <c r="J769" s="6"/>
      <c r="K769" s="8"/>
      <c r="L769" s="8"/>
      <c r="M769" s="8"/>
      <c r="N769" s="8"/>
      <c r="O769" s="8"/>
      <c r="P769" s="8"/>
      <c r="Q769" s="8"/>
      <c r="R769" s="8"/>
      <c r="S769" s="8"/>
      <c r="T769" s="8"/>
      <c r="U769" s="8"/>
      <c r="V769" s="8"/>
      <c r="W769" s="8"/>
      <c r="X769" s="8"/>
      <c r="Y769" s="8"/>
      <c r="Z769" s="8"/>
      <c r="AA769" s="8"/>
      <c r="AB769" s="8"/>
    </row>
    <row r="770" hidden="1">
      <c r="A770" s="13" t="str">
        <f t="shared" si="11"/>
        <v/>
      </c>
      <c r="B770" s="131"/>
      <c r="C770" s="131" t="s">
        <v>1343</v>
      </c>
      <c r="D770" s="39"/>
      <c r="E770" s="6"/>
      <c r="F770" s="6"/>
      <c r="G770" s="128"/>
      <c r="H770" s="39"/>
      <c r="I770" s="39"/>
      <c r="J770" s="6"/>
      <c r="K770" s="8"/>
      <c r="L770" s="8"/>
      <c r="M770" s="8"/>
      <c r="N770" s="8"/>
      <c r="O770" s="8"/>
      <c r="P770" s="8"/>
      <c r="Q770" s="8"/>
      <c r="R770" s="8"/>
      <c r="S770" s="8"/>
      <c r="T770" s="8"/>
      <c r="U770" s="8"/>
      <c r="V770" s="8"/>
      <c r="W770" s="8"/>
      <c r="X770" s="8"/>
      <c r="Y770" s="8"/>
      <c r="Z770" s="8"/>
      <c r="AA770" s="8"/>
      <c r="AB770" s="8"/>
    </row>
    <row r="771" hidden="1">
      <c r="A771" s="13" t="str">
        <f t="shared" si="11"/>
        <v/>
      </c>
      <c r="B771" s="131"/>
      <c r="C771" s="131" t="s">
        <v>1343</v>
      </c>
      <c r="D771" s="39"/>
      <c r="E771" s="6"/>
      <c r="F771" s="6"/>
      <c r="G771" s="128"/>
      <c r="H771" s="39"/>
      <c r="I771" s="39"/>
      <c r="J771" s="6"/>
      <c r="K771" s="8"/>
      <c r="L771" s="8"/>
      <c r="M771" s="8"/>
      <c r="N771" s="8"/>
      <c r="O771" s="8"/>
      <c r="P771" s="8"/>
      <c r="Q771" s="8"/>
      <c r="R771" s="8"/>
      <c r="S771" s="8"/>
      <c r="T771" s="8"/>
      <c r="U771" s="8"/>
      <c r="V771" s="8"/>
      <c r="W771" s="8"/>
      <c r="X771" s="8"/>
      <c r="Y771" s="8"/>
      <c r="Z771" s="8"/>
      <c r="AA771" s="8"/>
      <c r="AB771" s="8"/>
    </row>
    <row r="772" hidden="1">
      <c r="A772" s="13" t="str">
        <f t="shared" si="11"/>
        <v/>
      </c>
      <c r="B772" s="131"/>
      <c r="C772" s="131" t="s">
        <v>1343</v>
      </c>
      <c r="D772" s="39"/>
      <c r="E772" s="6"/>
      <c r="F772" s="6"/>
      <c r="G772" s="128"/>
      <c r="H772" s="39"/>
      <c r="I772" s="39"/>
      <c r="J772" s="6"/>
      <c r="K772" s="8"/>
      <c r="L772" s="8"/>
      <c r="M772" s="8"/>
      <c r="N772" s="8"/>
      <c r="O772" s="8"/>
      <c r="P772" s="8"/>
      <c r="Q772" s="8"/>
      <c r="R772" s="8"/>
      <c r="S772" s="8"/>
      <c r="T772" s="8"/>
      <c r="U772" s="8"/>
      <c r="V772" s="8"/>
      <c r="W772" s="8"/>
      <c r="X772" s="8"/>
      <c r="Y772" s="8"/>
      <c r="Z772" s="8"/>
      <c r="AA772" s="8"/>
      <c r="AB772" s="8"/>
    </row>
    <row r="773" hidden="1">
      <c r="A773" s="13" t="str">
        <f t="shared" si="11"/>
        <v>6090476b86ba16efb58eb361</v>
      </c>
      <c r="B773" s="131"/>
      <c r="C773" s="131" t="s">
        <v>1343</v>
      </c>
      <c r="D773" s="39" t="s">
        <v>819</v>
      </c>
      <c r="E773" s="147" t="s">
        <v>1447</v>
      </c>
      <c r="F773" s="147" t="s">
        <v>1448</v>
      </c>
      <c r="G773" s="128">
        <v>0.75</v>
      </c>
      <c r="H773" s="149" t="s">
        <v>1056</v>
      </c>
      <c r="I773" s="149" t="s">
        <v>1449</v>
      </c>
      <c r="J773" s="147" t="s">
        <v>1066</v>
      </c>
      <c r="K773" s="8"/>
      <c r="L773" s="8"/>
      <c r="M773" s="8"/>
      <c r="N773" s="8"/>
      <c r="O773" s="8"/>
      <c r="P773" s="8"/>
      <c r="Q773" s="8"/>
      <c r="R773" s="8"/>
      <c r="S773" s="8"/>
      <c r="T773" s="8"/>
      <c r="U773" s="8"/>
      <c r="V773" s="8"/>
      <c r="W773" s="8"/>
      <c r="X773" s="8"/>
      <c r="Y773" s="8"/>
      <c r="Z773" s="8"/>
      <c r="AA773" s="8"/>
      <c r="AB773" s="8"/>
    </row>
    <row r="774" hidden="1">
      <c r="A774" s="130" t="str">
        <f t="shared" si="11"/>
        <v/>
      </c>
      <c r="B774" s="94"/>
      <c r="C774" s="94">
        <v>44344.0</v>
      </c>
      <c r="D774" s="8"/>
      <c r="E774" s="8"/>
      <c r="F774" s="8"/>
      <c r="G774" s="126"/>
      <c r="H774" s="8"/>
      <c r="I774" s="8"/>
      <c r="J774" s="8"/>
      <c r="K774" s="8"/>
      <c r="L774" s="8"/>
      <c r="M774" s="8"/>
      <c r="N774" s="8"/>
      <c r="O774" s="8"/>
      <c r="P774" s="8"/>
      <c r="Q774" s="8"/>
      <c r="R774" s="8"/>
      <c r="S774" s="8"/>
      <c r="T774" s="8"/>
      <c r="U774" s="8"/>
      <c r="V774" s="8"/>
      <c r="W774" s="8"/>
      <c r="X774" s="8"/>
      <c r="Y774" s="8"/>
      <c r="Z774" s="8"/>
      <c r="AA774" s="8"/>
      <c r="AB774" s="8"/>
    </row>
    <row r="775" hidden="1">
      <c r="A775" s="13" t="str">
        <f t="shared" si="11"/>
        <v/>
      </c>
      <c r="B775" s="159" t="s">
        <v>1450</v>
      </c>
      <c r="C775" s="131" t="s">
        <v>1343</v>
      </c>
      <c r="D775" s="39"/>
      <c r="E775" s="6"/>
      <c r="F775" s="6"/>
      <c r="G775" s="128"/>
      <c r="H775" s="39"/>
      <c r="I775" s="39"/>
      <c r="J775" s="6"/>
      <c r="K775" s="8"/>
      <c r="L775" s="8"/>
      <c r="M775" s="8"/>
      <c r="N775" s="8"/>
      <c r="O775" s="8"/>
      <c r="P775" s="8"/>
      <c r="Q775" s="8"/>
      <c r="R775" s="8"/>
      <c r="S775" s="8"/>
      <c r="T775" s="8"/>
      <c r="U775" s="8"/>
      <c r="V775" s="8"/>
      <c r="W775" s="8"/>
      <c r="X775" s="8"/>
      <c r="Y775" s="8"/>
      <c r="Z775" s="8"/>
      <c r="AA775" s="8"/>
      <c r="AB775" s="8"/>
    </row>
    <row r="776" hidden="1">
      <c r="A776" s="13" t="str">
        <f t="shared" si="11"/>
        <v/>
      </c>
      <c r="B776" s="66"/>
      <c r="C776" s="131" t="s">
        <v>1343</v>
      </c>
      <c r="D776" s="39"/>
      <c r="G776" s="128"/>
      <c r="K776" s="8"/>
      <c r="L776" s="8"/>
      <c r="M776" s="8"/>
      <c r="N776" s="8"/>
      <c r="O776" s="8"/>
      <c r="P776" s="8"/>
      <c r="Q776" s="8"/>
      <c r="R776" s="8"/>
      <c r="S776" s="8"/>
      <c r="T776" s="8"/>
      <c r="U776" s="8"/>
      <c r="V776" s="8"/>
      <c r="W776" s="8"/>
      <c r="X776" s="8"/>
      <c r="Y776" s="8"/>
      <c r="Z776" s="8"/>
      <c r="AA776" s="8"/>
      <c r="AB776" s="8"/>
    </row>
    <row r="777" hidden="1">
      <c r="A777" s="13" t="str">
        <f t="shared" si="11"/>
        <v/>
      </c>
      <c r="B777" s="66"/>
      <c r="C777" s="131" t="s">
        <v>1343</v>
      </c>
      <c r="D777" s="39"/>
      <c r="E777" s="150"/>
      <c r="F777" s="150"/>
      <c r="G777" s="128"/>
      <c r="H777" s="150"/>
      <c r="I777" s="150"/>
      <c r="J777" s="150"/>
      <c r="K777" s="8"/>
      <c r="L777" s="8"/>
      <c r="M777" s="8"/>
      <c r="N777" s="8"/>
      <c r="O777" s="8"/>
      <c r="P777" s="8"/>
      <c r="Q777" s="8"/>
      <c r="R777" s="8"/>
      <c r="S777" s="8"/>
      <c r="T777" s="8"/>
      <c r="U777" s="8"/>
      <c r="V777" s="8"/>
      <c r="W777" s="8"/>
      <c r="X777" s="8"/>
      <c r="Y777" s="8"/>
      <c r="Z777" s="8"/>
      <c r="AA777" s="8"/>
      <c r="AB777" s="8"/>
    </row>
    <row r="778" hidden="1">
      <c r="A778" s="13" t="str">
        <f t="shared" si="11"/>
        <v/>
      </c>
      <c r="B778" s="66"/>
      <c r="C778" s="131" t="s">
        <v>1343</v>
      </c>
      <c r="D778" s="39"/>
      <c r="E778" s="6"/>
      <c r="F778" s="6"/>
      <c r="G778" s="128"/>
      <c r="H778" s="39"/>
      <c r="I778" s="39"/>
      <c r="J778" s="6"/>
      <c r="K778" s="8"/>
      <c r="L778" s="8"/>
      <c r="M778" s="8"/>
      <c r="N778" s="8"/>
      <c r="O778" s="8"/>
      <c r="P778" s="8"/>
      <c r="Q778" s="8"/>
      <c r="R778" s="8"/>
      <c r="S778" s="8"/>
      <c r="T778" s="8"/>
      <c r="U778" s="8"/>
      <c r="V778" s="8"/>
      <c r="W778" s="8"/>
      <c r="X778" s="8"/>
      <c r="Y778" s="8"/>
      <c r="Z778" s="8"/>
      <c r="AA778" s="8"/>
      <c r="AB778" s="8"/>
    </row>
    <row r="779" hidden="1">
      <c r="A779" s="13" t="str">
        <f t="shared" si="11"/>
        <v>60882f83ed7a3e69d173c2f9</v>
      </c>
      <c r="B779" s="67"/>
      <c r="C779" s="131" t="s">
        <v>1343</v>
      </c>
      <c r="D779" s="39" t="s">
        <v>819</v>
      </c>
      <c r="E779" s="147" t="s">
        <v>1451</v>
      </c>
      <c r="F779" s="147" t="s">
        <v>1452</v>
      </c>
      <c r="G779" s="128">
        <v>0.75</v>
      </c>
      <c r="H779" s="149" t="s">
        <v>785</v>
      </c>
      <c r="I779" s="149" t="s">
        <v>1453</v>
      </c>
      <c r="J779" s="147" t="s">
        <v>1454</v>
      </c>
      <c r="K779" s="8"/>
      <c r="L779" s="8"/>
      <c r="M779" s="8"/>
      <c r="N779" s="8"/>
      <c r="O779" s="8"/>
      <c r="P779" s="8"/>
      <c r="Q779" s="8"/>
      <c r="R779" s="8"/>
      <c r="S779" s="8"/>
      <c r="T779" s="8"/>
      <c r="U779" s="8"/>
      <c r="V779" s="8"/>
      <c r="W779" s="8"/>
      <c r="X779" s="8"/>
      <c r="Y779" s="8"/>
      <c r="Z779" s="8"/>
      <c r="AA779" s="8"/>
      <c r="AB779" s="8"/>
    </row>
    <row r="780" hidden="1">
      <c r="A780" s="130" t="str">
        <f t="shared" si="11"/>
        <v/>
      </c>
      <c r="B780" s="94"/>
      <c r="C780" s="94">
        <v>44345.0</v>
      </c>
      <c r="D780" s="8"/>
      <c r="E780" s="8"/>
      <c r="F780" s="8"/>
      <c r="G780" s="126"/>
      <c r="H780" s="8"/>
      <c r="I780" s="8"/>
      <c r="J780" s="8"/>
      <c r="K780" s="8"/>
      <c r="L780" s="8"/>
      <c r="M780" s="8"/>
      <c r="N780" s="8"/>
      <c r="O780" s="8"/>
      <c r="P780" s="8"/>
      <c r="Q780" s="8"/>
      <c r="R780" s="8"/>
      <c r="S780" s="8"/>
      <c r="T780" s="8"/>
      <c r="U780" s="8"/>
      <c r="V780" s="8"/>
      <c r="W780" s="160"/>
      <c r="X780" s="160"/>
      <c r="Y780" s="160"/>
      <c r="Z780" s="160"/>
      <c r="AA780" s="160"/>
      <c r="AB780" s="160"/>
    </row>
    <row r="781" hidden="1">
      <c r="A781" s="130"/>
      <c r="B781" s="159" t="s">
        <v>1450</v>
      </c>
      <c r="C781" s="131" t="s">
        <v>1343</v>
      </c>
      <c r="D781" s="8"/>
      <c r="E781" s="8"/>
      <c r="F781" s="8"/>
      <c r="G781" s="126"/>
      <c r="H781" s="8"/>
      <c r="I781" s="8"/>
      <c r="J781" s="8"/>
      <c r="K781" s="8"/>
      <c r="L781" s="8"/>
      <c r="M781" s="8"/>
      <c r="N781" s="8"/>
      <c r="O781" s="8"/>
      <c r="P781" s="8"/>
      <c r="Q781" s="8"/>
      <c r="R781" s="8"/>
      <c r="S781" s="8"/>
      <c r="T781" s="8"/>
      <c r="U781" s="8"/>
      <c r="V781" s="8"/>
      <c r="W781" s="160"/>
      <c r="X781" s="160"/>
      <c r="Y781" s="160"/>
      <c r="Z781" s="160"/>
      <c r="AA781" s="160"/>
      <c r="AB781" s="160"/>
    </row>
    <row r="782" hidden="1">
      <c r="A782" s="130"/>
      <c r="B782" s="66"/>
      <c r="C782" s="131" t="s">
        <v>1343</v>
      </c>
      <c r="D782" s="8"/>
      <c r="E782" s="8"/>
      <c r="F782" s="8"/>
      <c r="G782" s="126"/>
      <c r="H782" s="8"/>
      <c r="I782" s="8"/>
      <c r="J782" s="8"/>
      <c r="K782" s="8"/>
      <c r="L782" s="8"/>
      <c r="M782" s="8"/>
      <c r="N782" s="8"/>
      <c r="O782" s="8"/>
      <c r="P782" s="8"/>
      <c r="Q782" s="8"/>
      <c r="R782" s="8"/>
      <c r="S782" s="8"/>
      <c r="T782" s="8"/>
      <c r="U782" s="8"/>
      <c r="V782" s="8"/>
      <c r="W782" s="160"/>
      <c r="X782" s="160"/>
      <c r="Y782" s="160"/>
      <c r="Z782" s="160"/>
      <c r="AA782" s="160"/>
      <c r="AB782" s="160"/>
    </row>
    <row r="783" hidden="1">
      <c r="A783" s="130"/>
      <c r="B783" s="66"/>
      <c r="C783" s="131" t="s">
        <v>1343</v>
      </c>
      <c r="D783" s="39" t="s">
        <v>819</v>
      </c>
      <c r="E783" s="147" t="s">
        <v>1455</v>
      </c>
      <c r="F783" s="147" t="s">
        <v>1456</v>
      </c>
      <c r="G783" s="128">
        <v>0.5833333333333334</v>
      </c>
      <c r="H783" s="149" t="s">
        <v>924</v>
      </c>
      <c r="I783" s="149" t="s">
        <v>1457</v>
      </c>
      <c r="J783" s="147" t="s">
        <v>1458</v>
      </c>
      <c r="K783" s="8"/>
      <c r="L783" s="8"/>
      <c r="M783" s="8"/>
      <c r="N783" s="8"/>
      <c r="O783" s="8"/>
      <c r="P783" s="8"/>
      <c r="Q783" s="8"/>
      <c r="R783" s="8"/>
      <c r="S783" s="8"/>
      <c r="T783" s="8"/>
      <c r="U783" s="8"/>
      <c r="V783" s="8"/>
      <c r="W783" s="160"/>
      <c r="X783" s="160"/>
      <c r="Y783" s="160"/>
      <c r="Z783" s="160"/>
      <c r="AA783" s="160"/>
      <c r="AB783" s="160"/>
    </row>
    <row r="784" hidden="1">
      <c r="A784" s="130"/>
      <c r="B784" s="66"/>
      <c r="C784" s="131" t="s">
        <v>1343</v>
      </c>
      <c r="D784" s="8"/>
      <c r="E784" s="8"/>
      <c r="F784" s="8"/>
      <c r="G784" s="126"/>
      <c r="H784" s="8"/>
      <c r="I784" s="8"/>
      <c r="J784" s="8"/>
      <c r="K784" s="8"/>
      <c r="L784" s="8"/>
      <c r="M784" s="8"/>
      <c r="N784" s="8"/>
      <c r="O784" s="8"/>
      <c r="P784" s="8"/>
      <c r="Q784" s="8"/>
      <c r="R784" s="8"/>
      <c r="S784" s="8"/>
      <c r="T784" s="8"/>
      <c r="U784" s="8"/>
      <c r="V784" s="8"/>
      <c r="W784" s="160"/>
      <c r="X784" s="160"/>
      <c r="Y784" s="160"/>
      <c r="Z784" s="160"/>
      <c r="AA784" s="160"/>
      <c r="AB784" s="160"/>
    </row>
    <row r="785" hidden="1">
      <c r="A785" s="130"/>
      <c r="B785" s="67"/>
      <c r="C785" s="131" t="s">
        <v>1343</v>
      </c>
      <c r="D785" s="8"/>
      <c r="E785" s="8"/>
      <c r="F785" s="8"/>
      <c r="G785" s="126"/>
      <c r="H785" s="8"/>
      <c r="I785" s="8"/>
      <c r="J785" s="8"/>
      <c r="K785" s="8"/>
      <c r="L785" s="8"/>
      <c r="M785" s="8"/>
      <c r="N785" s="8"/>
      <c r="O785" s="8"/>
      <c r="P785" s="8"/>
      <c r="Q785" s="8"/>
      <c r="R785" s="8"/>
      <c r="S785" s="8"/>
      <c r="T785" s="8"/>
      <c r="U785" s="8"/>
      <c r="V785" s="8"/>
      <c r="W785" s="160"/>
      <c r="X785" s="160"/>
      <c r="Y785" s="160"/>
      <c r="Z785" s="160"/>
      <c r="AA785" s="160"/>
      <c r="AB785" s="160"/>
    </row>
    <row r="786" hidden="1">
      <c r="A786" s="130" t="str">
        <f>E786</f>
        <v/>
      </c>
      <c r="B786" s="94"/>
      <c r="C786" s="94">
        <v>44346.0</v>
      </c>
      <c r="D786" s="8"/>
      <c r="E786" s="8"/>
      <c r="F786" s="8"/>
      <c r="G786" s="126"/>
      <c r="H786" s="8"/>
      <c r="I786" s="8"/>
      <c r="J786" s="8"/>
      <c r="K786" s="8"/>
      <c r="L786" s="8"/>
      <c r="M786" s="8"/>
      <c r="N786" s="8"/>
      <c r="O786" s="8"/>
      <c r="P786" s="8"/>
      <c r="Q786" s="8"/>
      <c r="R786" s="8"/>
      <c r="S786" s="8"/>
      <c r="T786" s="8"/>
      <c r="U786" s="8"/>
      <c r="V786" s="8"/>
      <c r="W786" s="160"/>
      <c r="X786" s="160"/>
      <c r="Y786" s="160"/>
      <c r="Z786" s="160"/>
      <c r="AA786" s="160"/>
      <c r="AB786" s="160"/>
    </row>
    <row r="787" hidden="1">
      <c r="A787" s="130"/>
      <c r="B787" s="159" t="s">
        <v>1450</v>
      </c>
      <c r="C787" s="131" t="s">
        <v>1343</v>
      </c>
      <c r="D787" s="8"/>
      <c r="E787" s="8"/>
      <c r="F787" s="8"/>
      <c r="G787" s="126"/>
      <c r="H787" s="8"/>
      <c r="I787" s="8"/>
      <c r="J787" s="8"/>
      <c r="K787" s="8"/>
      <c r="L787" s="8"/>
      <c r="M787" s="8"/>
      <c r="N787" s="8"/>
      <c r="O787" s="8"/>
      <c r="P787" s="8"/>
      <c r="Q787" s="8"/>
      <c r="R787" s="8"/>
      <c r="S787" s="8"/>
      <c r="T787" s="8"/>
      <c r="U787" s="8"/>
      <c r="V787" s="8"/>
      <c r="W787" s="160"/>
      <c r="X787" s="160"/>
      <c r="Y787" s="160"/>
      <c r="Z787" s="160"/>
      <c r="AA787" s="160"/>
      <c r="AB787" s="160"/>
    </row>
    <row r="788" hidden="1">
      <c r="A788" s="130"/>
      <c r="B788" s="66"/>
      <c r="C788" s="131" t="s">
        <v>1343</v>
      </c>
      <c r="D788" s="39" t="s">
        <v>819</v>
      </c>
      <c r="E788" s="147" t="s">
        <v>1459</v>
      </c>
      <c r="F788" s="147" t="s">
        <v>1460</v>
      </c>
      <c r="G788" s="128">
        <v>0.5</v>
      </c>
      <c r="H788" s="149" t="s">
        <v>1461</v>
      </c>
      <c r="I788" s="149" t="s">
        <v>1462</v>
      </c>
      <c r="J788" s="147" t="s">
        <v>1463</v>
      </c>
      <c r="K788" s="8"/>
      <c r="L788" s="8"/>
      <c r="M788" s="8"/>
      <c r="N788" s="8"/>
      <c r="O788" s="8"/>
      <c r="P788" s="8"/>
      <c r="Q788" s="8"/>
      <c r="R788" s="8"/>
      <c r="S788" s="8"/>
      <c r="T788" s="8"/>
      <c r="U788" s="8"/>
      <c r="V788" s="8"/>
      <c r="W788" s="160"/>
      <c r="X788" s="160"/>
      <c r="Y788" s="160"/>
      <c r="Z788" s="160"/>
      <c r="AA788" s="160"/>
      <c r="AB788" s="160"/>
    </row>
    <row r="789" hidden="1">
      <c r="A789" s="130"/>
      <c r="B789" s="66"/>
      <c r="C789" s="131" t="s">
        <v>1343</v>
      </c>
      <c r="D789" s="44" t="s">
        <v>819</v>
      </c>
      <c r="E789" s="155" t="s">
        <v>1464</v>
      </c>
      <c r="F789" s="155" t="s">
        <v>1465</v>
      </c>
      <c r="G789" s="43">
        <v>0.5833333333333334</v>
      </c>
      <c r="H789" s="155" t="s">
        <v>195</v>
      </c>
      <c r="I789" s="155" t="s">
        <v>1466</v>
      </c>
      <c r="J789" s="155" t="s">
        <v>1467</v>
      </c>
      <c r="K789" s="39" t="s">
        <v>1468</v>
      </c>
      <c r="L789" s="8"/>
      <c r="M789" s="8"/>
      <c r="N789" s="8"/>
      <c r="O789" s="8"/>
      <c r="P789" s="8"/>
      <c r="Q789" s="8"/>
      <c r="R789" s="8"/>
      <c r="S789" s="8"/>
      <c r="T789" s="8"/>
      <c r="U789" s="8"/>
      <c r="V789" s="8"/>
      <c r="W789" s="160"/>
      <c r="X789" s="160"/>
      <c r="Y789" s="160"/>
      <c r="Z789" s="160"/>
      <c r="AA789" s="160"/>
      <c r="AB789" s="160"/>
    </row>
    <row r="790" hidden="1">
      <c r="A790" s="130"/>
      <c r="B790" s="66"/>
      <c r="C790" s="131" t="s">
        <v>1343</v>
      </c>
      <c r="D790" s="8"/>
      <c r="E790" s="8"/>
      <c r="F790" s="8"/>
      <c r="G790" s="126"/>
      <c r="H790" s="8"/>
      <c r="I790" s="8"/>
      <c r="J790" s="8"/>
      <c r="K790" s="8"/>
      <c r="L790" s="8"/>
      <c r="M790" s="8"/>
      <c r="N790" s="8"/>
      <c r="O790" s="8"/>
      <c r="P790" s="8"/>
      <c r="Q790" s="8"/>
      <c r="R790" s="8"/>
      <c r="S790" s="8"/>
      <c r="T790" s="8"/>
      <c r="U790" s="8"/>
      <c r="V790" s="8"/>
      <c r="W790" s="160"/>
      <c r="X790" s="160"/>
      <c r="Y790" s="160"/>
      <c r="Z790" s="160"/>
      <c r="AA790" s="160"/>
      <c r="AB790" s="160"/>
    </row>
    <row r="791" hidden="1">
      <c r="A791" s="130"/>
      <c r="B791" s="67"/>
      <c r="C791" s="131" t="s">
        <v>1343</v>
      </c>
      <c r="D791" s="8"/>
      <c r="E791" s="8"/>
      <c r="F791" s="8"/>
      <c r="G791" s="126"/>
      <c r="H791" s="8"/>
      <c r="I791" s="8"/>
      <c r="J791" s="8"/>
      <c r="K791" s="8"/>
      <c r="L791" s="8"/>
      <c r="M791" s="8"/>
      <c r="N791" s="8"/>
      <c r="O791" s="8"/>
      <c r="P791" s="8"/>
      <c r="Q791" s="8"/>
      <c r="R791" s="8"/>
      <c r="S791" s="8"/>
      <c r="T791" s="8"/>
      <c r="U791" s="8"/>
      <c r="V791" s="8"/>
      <c r="W791" s="160"/>
      <c r="X791" s="160"/>
      <c r="Y791" s="160"/>
      <c r="Z791" s="160"/>
      <c r="AA791" s="160"/>
      <c r="AB791" s="160"/>
    </row>
    <row r="792" hidden="1">
      <c r="A792" s="130" t="str">
        <f>E792</f>
        <v/>
      </c>
      <c r="B792" s="94"/>
      <c r="C792" s="94">
        <v>44377.0</v>
      </c>
      <c r="D792" s="160"/>
      <c r="E792" s="160"/>
      <c r="F792" s="160"/>
      <c r="G792" s="161"/>
      <c r="H792" s="160"/>
      <c r="I792" s="160"/>
      <c r="J792" s="160"/>
      <c r="K792" s="160"/>
      <c r="L792" s="160"/>
      <c r="M792" s="160"/>
      <c r="N792" s="160"/>
      <c r="O792" s="160"/>
      <c r="P792" s="160"/>
      <c r="Q792" s="160"/>
      <c r="R792" s="160"/>
      <c r="S792" s="160"/>
      <c r="T792" s="160"/>
      <c r="U792" s="160"/>
      <c r="V792" s="160"/>
      <c r="W792" s="160"/>
      <c r="X792" s="160"/>
      <c r="Y792" s="160"/>
      <c r="Z792" s="160"/>
      <c r="AA792" s="160"/>
      <c r="AB792" s="160"/>
    </row>
    <row r="793" hidden="1">
      <c r="A793" s="130"/>
      <c r="B793" s="159" t="s">
        <v>1450</v>
      </c>
      <c r="C793" s="13" t="s">
        <v>1469</v>
      </c>
      <c r="D793" s="39" t="s">
        <v>819</v>
      </c>
      <c r="E793" s="61" t="s">
        <v>1470</v>
      </c>
      <c r="F793" s="61" t="s">
        <v>1471</v>
      </c>
      <c r="G793" s="128">
        <v>0.4791666666666667</v>
      </c>
      <c r="H793" s="39" t="s">
        <v>780</v>
      </c>
      <c r="I793" s="39" t="s">
        <v>1472</v>
      </c>
      <c r="J793" s="150" t="s">
        <v>1473</v>
      </c>
      <c r="K793" s="8"/>
      <c r="L793" s="8"/>
      <c r="M793" s="8"/>
      <c r="N793" s="8"/>
      <c r="O793" s="8"/>
      <c r="P793" s="8"/>
      <c r="Q793" s="8"/>
      <c r="R793" s="8"/>
      <c r="S793" s="8"/>
      <c r="T793" s="8"/>
      <c r="U793" s="8"/>
      <c r="V793" s="8"/>
      <c r="W793" s="160"/>
      <c r="X793" s="160"/>
      <c r="Y793" s="160"/>
      <c r="Z793" s="160"/>
      <c r="AA793" s="160"/>
      <c r="AB793" s="160"/>
    </row>
    <row r="794" hidden="1">
      <c r="A794" s="130"/>
      <c r="B794" s="66"/>
      <c r="C794" s="13" t="s">
        <v>1469</v>
      </c>
      <c r="D794" s="39" t="s">
        <v>819</v>
      </c>
      <c r="E794" s="150" t="s">
        <v>1474</v>
      </c>
      <c r="F794" s="150" t="s">
        <v>1475</v>
      </c>
      <c r="G794" s="128">
        <v>0.5833333333333334</v>
      </c>
      <c r="H794" s="39" t="s">
        <v>536</v>
      </c>
      <c r="I794" s="39" t="s">
        <v>1476</v>
      </c>
      <c r="J794" s="39" t="s">
        <v>1477</v>
      </c>
      <c r="K794" s="8"/>
      <c r="L794" s="8"/>
      <c r="M794" s="8"/>
      <c r="N794" s="8"/>
      <c r="O794" s="8"/>
      <c r="P794" s="8"/>
      <c r="Q794" s="8"/>
      <c r="R794" s="8"/>
      <c r="S794" s="8"/>
      <c r="T794" s="8"/>
      <c r="U794" s="8"/>
      <c r="V794" s="8"/>
      <c r="W794" s="160"/>
      <c r="X794" s="160"/>
      <c r="Y794" s="160"/>
      <c r="Z794" s="160"/>
      <c r="AA794" s="160"/>
      <c r="AB794" s="160"/>
    </row>
    <row r="795" hidden="1">
      <c r="A795" s="130"/>
      <c r="B795" s="66"/>
      <c r="C795" s="13" t="s">
        <v>1469</v>
      </c>
      <c r="D795" s="18" t="s">
        <v>819</v>
      </c>
      <c r="E795" s="162" t="s">
        <v>1478</v>
      </c>
      <c r="F795" s="162" t="s">
        <v>1479</v>
      </c>
      <c r="G795" s="22">
        <v>0.6458333333333334</v>
      </c>
      <c r="H795" s="18" t="s">
        <v>536</v>
      </c>
      <c r="I795" s="18" t="s">
        <v>1480</v>
      </c>
      <c r="J795" s="162" t="s">
        <v>1481</v>
      </c>
      <c r="K795" s="8"/>
      <c r="L795" s="8"/>
      <c r="M795" s="8"/>
      <c r="N795" s="8"/>
      <c r="O795" s="8"/>
      <c r="P795" s="8"/>
      <c r="Q795" s="8"/>
      <c r="R795" s="8"/>
      <c r="S795" s="8"/>
      <c r="T795" s="8"/>
      <c r="U795" s="8"/>
      <c r="V795" s="8"/>
      <c r="W795" s="160"/>
      <c r="X795" s="160"/>
      <c r="Y795" s="160"/>
      <c r="Z795" s="160"/>
      <c r="AA795" s="160"/>
      <c r="AB795" s="160"/>
    </row>
    <row r="796" hidden="1">
      <c r="A796" s="130"/>
      <c r="B796" s="66"/>
      <c r="C796" s="13" t="s">
        <v>1469</v>
      </c>
      <c r="D796" s="44" t="s">
        <v>819</v>
      </c>
      <c r="E796" s="143" t="s">
        <v>1482</v>
      </c>
      <c r="F796" s="143" t="s">
        <v>1483</v>
      </c>
      <c r="G796" s="43">
        <v>0.7083333333333334</v>
      </c>
      <c r="H796" s="44" t="s">
        <v>1484</v>
      </c>
      <c r="I796" s="44" t="s">
        <v>1485</v>
      </c>
      <c r="J796" s="44" t="s">
        <v>1486</v>
      </c>
      <c r="K796" s="8"/>
      <c r="L796" s="8"/>
      <c r="M796" s="8"/>
      <c r="N796" s="8"/>
      <c r="O796" s="8"/>
      <c r="P796" s="8"/>
      <c r="Q796" s="8"/>
      <c r="R796" s="8"/>
      <c r="S796" s="8"/>
      <c r="T796" s="8"/>
      <c r="U796" s="8"/>
      <c r="V796" s="8"/>
      <c r="W796" s="160"/>
      <c r="X796" s="160"/>
      <c r="Y796" s="160"/>
      <c r="Z796" s="160"/>
      <c r="AA796" s="160"/>
      <c r="AB796" s="160"/>
    </row>
    <row r="797" hidden="1">
      <c r="A797" s="130"/>
      <c r="B797" s="67"/>
      <c r="C797" s="13" t="s">
        <v>1469</v>
      </c>
      <c r="D797" s="8"/>
      <c r="E797" s="8"/>
      <c r="F797" s="8"/>
      <c r="G797" s="126"/>
      <c r="H797" s="8"/>
      <c r="I797" s="8"/>
      <c r="J797" s="8"/>
      <c r="K797" s="8"/>
      <c r="L797" s="8"/>
      <c r="M797" s="8"/>
      <c r="N797" s="8"/>
      <c r="O797" s="8"/>
      <c r="P797" s="8"/>
      <c r="Q797" s="8"/>
      <c r="R797" s="8"/>
      <c r="S797" s="8"/>
      <c r="T797" s="8"/>
      <c r="U797" s="8"/>
      <c r="V797" s="8"/>
      <c r="W797" s="160"/>
      <c r="X797" s="160"/>
      <c r="Y797" s="160"/>
      <c r="Z797" s="160"/>
      <c r="AA797" s="160"/>
      <c r="AB797" s="160"/>
    </row>
    <row r="798" hidden="1">
      <c r="A798" s="130" t="str">
        <f>E798</f>
        <v/>
      </c>
      <c r="B798" s="94"/>
      <c r="C798" s="94">
        <v>44378.0</v>
      </c>
      <c r="D798" s="160"/>
      <c r="E798" s="160"/>
      <c r="F798" s="160"/>
      <c r="G798" s="161"/>
      <c r="H798" s="160"/>
      <c r="I798" s="160"/>
      <c r="J798" s="160"/>
      <c r="K798" s="160"/>
      <c r="L798" s="160"/>
      <c r="M798" s="160"/>
      <c r="N798" s="160"/>
      <c r="O798" s="160"/>
      <c r="P798" s="160"/>
      <c r="Q798" s="160"/>
      <c r="R798" s="160"/>
      <c r="S798" s="160"/>
      <c r="T798" s="160"/>
      <c r="U798" s="160"/>
      <c r="V798" s="160"/>
      <c r="W798" s="160"/>
      <c r="X798" s="160"/>
      <c r="Y798" s="160"/>
      <c r="Z798" s="160"/>
      <c r="AA798" s="160"/>
      <c r="AB798" s="160"/>
    </row>
    <row r="799" hidden="1">
      <c r="A799" s="130"/>
      <c r="B799" s="159" t="s">
        <v>1450</v>
      </c>
      <c r="C799" s="13" t="s">
        <v>1469</v>
      </c>
      <c r="D799" s="39" t="s">
        <v>819</v>
      </c>
      <c r="E799" s="150" t="s">
        <v>1487</v>
      </c>
      <c r="F799" s="150" t="s">
        <v>1488</v>
      </c>
      <c r="G799" s="128">
        <v>0.3958333333333333</v>
      </c>
      <c r="H799" s="39" t="s">
        <v>269</v>
      </c>
      <c r="I799" s="39" t="s">
        <v>1489</v>
      </c>
      <c r="J799" s="150" t="s">
        <v>1490</v>
      </c>
      <c r="K799" s="8"/>
      <c r="L799" s="8"/>
      <c r="M799" s="8"/>
      <c r="N799" s="8"/>
      <c r="O799" s="8"/>
      <c r="P799" s="8"/>
      <c r="Q799" s="8"/>
      <c r="R799" s="8"/>
      <c r="S799" s="8"/>
      <c r="T799" s="8"/>
      <c r="U799" s="8"/>
      <c r="V799" s="8"/>
      <c r="W799" s="160"/>
      <c r="X799" s="160"/>
      <c r="Y799" s="160"/>
      <c r="Z799" s="160"/>
      <c r="AA799" s="160"/>
      <c r="AB799" s="160"/>
    </row>
    <row r="800" hidden="1">
      <c r="A800" s="130"/>
      <c r="B800" s="66"/>
      <c r="C800" s="13" t="s">
        <v>1469</v>
      </c>
      <c r="D800" s="39" t="s">
        <v>819</v>
      </c>
      <c r="E800" s="150" t="s">
        <v>1491</v>
      </c>
      <c r="F800" s="150" t="s">
        <v>1492</v>
      </c>
      <c r="G800" s="136" t="s">
        <v>344</v>
      </c>
      <c r="H800" s="39" t="s">
        <v>1493</v>
      </c>
      <c r="I800" s="39" t="s">
        <v>1494</v>
      </c>
      <c r="J800" s="150" t="s">
        <v>1495</v>
      </c>
      <c r="K800" s="8"/>
      <c r="L800" s="8"/>
      <c r="M800" s="8"/>
      <c r="N800" s="8"/>
      <c r="O800" s="8"/>
      <c r="P800" s="8"/>
      <c r="Q800" s="8"/>
      <c r="R800" s="8"/>
      <c r="S800" s="8"/>
      <c r="T800" s="8"/>
      <c r="U800" s="8"/>
      <c r="V800" s="8"/>
      <c r="W800" s="160"/>
      <c r="X800" s="160"/>
      <c r="Y800" s="160"/>
      <c r="Z800" s="160"/>
      <c r="AA800" s="160"/>
      <c r="AB800" s="160"/>
    </row>
    <row r="801" hidden="1">
      <c r="A801" s="130"/>
      <c r="B801" s="66"/>
      <c r="C801" s="13" t="s">
        <v>1469</v>
      </c>
      <c r="D801" s="149" t="s">
        <v>819</v>
      </c>
      <c r="E801" s="149" t="s">
        <v>121</v>
      </c>
      <c r="F801" s="149" t="s">
        <v>122</v>
      </c>
      <c r="G801" s="146">
        <v>0.5416666666666666</v>
      </c>
      <c r="H801" s="149" t="s">
        <v>1496</v>
      </c>
      <c r="I801" s="149" t="s">
        <v>1497</v>
      </c>
      <c r="J801" s="149" t="s">
        <v>80</v>
      </c>
      <c r="K801" s="8"/>
      <c r="L801" s="8"/>
      <c r="M801" s="8"/>
      <c r="N801" s="8"/>
      <c r="O801" s="8"/>
      <c r="P801" s="8"/>
      <c r="Q801" s="8"/>
      <c r="R801" s="8"/>
      <c r="S801" s="8"/>
      <c r="T801" s="8"/>
      <c r="U801" s="8"/>
      <c r="V801" s="8"/>
      <c r="W801" s="160"/>
      <c r="X801" s="160"/>
      <c r="Y801" s="160"/>
      <c r="Z801" s="160"/>
      <c r="AA801" s="160"/>
      <c r="AB801" s="160"/>
    </row>
    <row r="802" hidden="1">
      <c r="A802" s="130"/>
      <c r="B802" s="66"/>
      <c r="C802" s="13" t="s">
        <v>1469</v>
      </c>
      <c r="D802" s="39" t="s">
        <v>819</v>
      </c>
      <c r="E802" s="39" t="s">
        <v>1498</v>
      </c>
      <c r="F802" s="39" t="s">
        <v>1499</v>
      </c>
      <c r="G802" s="136" t="s">
        <v>298</v>
      </c>
      <c r="H802" s="39" t="s">
        <v>248</v>
      </c>
      <c r="I802" s="38" t="s">
        <v>1500</v>
      </c>
      <c r="J802" s="39" t="s">
        <v>1501</v>
      </c>
      <c r="K802" s="8"/>
      <c r="L802" s="8"/>
      <c r="M802" s="8"/>
      <c r="N802" s="8"/>
      <c r="O802" s="8"/>
      <c r="P802" s="8"/>
      <c r="Q802" s="8"/>
      <c r="R802" s="8"/>
      <c r="S802" s="8"/>
      <c r="T802" s="8"/>
      <c r="U802" s="8"/>
      <c r="V802" s="8"/>
      <c r="W802" s="160"/>
      <c r="X802" s="160"/>
      <c r="Y802" s="160"/>
      <c r="Z802" s="160"/>
      <c r="AA802" s="160"/>
      <c r="AB802" s="160"/>
    </row>
    <row r="803" hidden="1">
      <c r="A803" s="130"/>
      <c r="B803" s="67"/>
      <c r="C803" s="13" t="s">
        <v>1469</v>
      </c>
      <c r="D803" s="8"/>
      <c r="E803" s="8"/>
      <c r="F803" s="8"/>
      <c r="G803" s="128"/>
      <c r="H803" s="8"/>
      <c r="I803" s="8"/>
      <c r="J803" s="8"/>
      <c r="K803" s="8"/>
      <c r="L803" s="8"/>
      <c r="M803" s="8"/>
      <c r="N803" s="8"/>
      <c r="O803" s="8"/>
      <c r="P803" s="8"/>
      <c r="Q803" s="8"/>
      <c r="R803" s="8"/>
      <c r="S803" s="8"/>
      <c r="T803" s="8"/>
      <c r="U803" s="8"/>
      <c r="V803" s="8"/>
      <c r="W803" s="160"/>
      <c r="X803" s="160"/>
      <c r="Y803" s="160"/>
      <c r="Z803" s="160"/>
      <c r="AA803" s="160"/>
      <c r="AB803" s="160"/>
    </row>
    <row r="804" hidden="1">
      <c r="A804" s="130" t="str">
        <f>E804</f>
        <v>5f330d69fb6dd98232dd3f23</v>
      </c>
      <c r="B804" s="94"/>
      <c r="C804" s="94">
        <v>44379.0</v>
      </c>
      <c r="D804" s="163" t="s">
        <v>819</v>
      </c>
      <c r="E804" s="155" t="s">
        <v>520</v>
      </c>
      <c r="F804" s="155" t="s">
        <v>521</v>
      </c>
      <c r="G804" s="164">
        <v>0.375</v>
      </c>
      <c r="H804" s="163" t="s">
        <v>248</v>
      </c>
      <c r="I804" s="163" t="s">
        <v>1502</v>
      </c>
      <c r="J804" s="155" t="s">
        <v>523</v>
      </c>
      <c r="K804" s="165" t="s">
        <v>1503</v>
      </c>
      <c r="L804" s="160"/>
      <c r="M804" s="160"/>
      <c r="N804" s="160"/>
      <c r="O804" s="160"/>
      <c r="P804" s="160"/>
      <c r="Q804" s="160"/>
      <c r="R804" s="160"/>
      <c r="S804" s="160"/>
      <c r="T804" s="160"/>
      <c r="U804" s="160"/>
      <c r="V804" s="160"/>
      <c r="W804" s="160"/>
      <c r="X804" s="160"/>
      <c r="Y804" s="160"/>
      <c r="Z804" s="160"/>
      <c r="AA804" s="160"/>
      <c r="AB804" s="160"/>
    </row>
    <row r="805" hidden="1">
      <c r="A805" s="130"/>
      <c r="B805" s="159" t="s">
        <v>1450</v>
      </c>
      <c r="C805" s="13" t="s">
        <v>1469</v>
      </c>
      <c r="D805" s="44" t="s">
        <v>819</v>
      </c>
      <c r="E805" s="44" t="s">
        <v>1504</v>
      </c>
      <c r="F805" s="44" t="s">
        <v>1505</v>
      </c>
      <c r="G805" s="43">
        <v>0.4583333333333333</v>
      </c>
      <c r="H805" s="44" t="s">
        <v>1496</v>
      </c>
      <c r="I805" s="44" t="s">
        <v>1506</v>
      </c>
      <c r="J805" s="44" t="s">
        <v>1507</v>
      </c>
      <c r="K805" s="44" t="s">
        <v>1508</v>
      </c>
      <c r="L805" s="8"/>
      <c r="M805" s="8"/>
      <c r="N805" s="8"/>
      <c r="O805" s="8"/>
      <c r="P805" s="8"/>
      <c r="Q805" s="8"/>
      <c r="R805" s="8"/>
      <c r="S805" s="8"/>
      <c r="T805" s="8"/>
      <c r="U805" s="8"/>
      <c r="V805" s="8"/>
      <c r="W805" s="160"/>
      <c r="X805" s="160"/>
      <c r="Y805" s="160"/>
      <c r="Z805" s="160"/>
      <c r="AA805" s="160"/>
      <c r="AB805" s="160"/>
    </row>
    <row r="806" hidden="1">
      <c r="A806" s="130"/>
      <c r="B806" s="66"/>
      <c r="C806" s="13" t="s">
        <v>1469</v>
      </c>
      <c r="D806" s="39" t="s">
        <v>819</v>
      </c>
      <c r="E806" s="39" t="s">
        <v>1482</v>
      </c>
      <c r="F806" s="39" t="s">
        <v>1483</v>
      </c>
      <c r="G806" s="128">
        <v>0.5</v>
      </c>
      <c r="H806" s="39" t="s">
        <v>1509</v>
      </c>
      <c r="I806" s="39" t="s">
        <v>1485</v>
      </c>
      <c r="J806" s="39" t="s">
        <v>1486</v>
      </c>
      <c r="K806" s="8"/>
      <c r="L806" s="8"/>
      <c r="M806" s="8"/>
      <c r="N806" s="8"/>
      <c r="O806" s="8"/>
      <c r="P806" s="8"/>
      <c r="Q806" s="8"/>
      <c r="R806" s="8"/>
      <c r="S806" s="8"/>
      <c r="T806" s="8"/>
      <c r="U806" s="8"/>
      <c r="V806" s="8"/>
      <c r="W806" s="160"/>
      <c r="X806" s="160"/>
      <c r="Y806" s="160"/>
      <c r="Z806" s="160"/>
      <c r="AA806" s="160"/>
      <c r="AB806" s="160"/>
    </row>
    <row r="807" hidden="1">
      <c r="A807" s="130"/>
      <c r="B807" s="66"/>
      <c r="C807" s="13" t="s">
        <v>1469</v>
      </c>
      <c r="D807" s="44" t="s">
        <v>819</v>
      </c>
      <c r="E807" s="155" t="s">
        <v>408</v>
      </c>
      <c r="F807" s="155" t="s">
        <v>409</v>
      </c>
      <c r="G807" s="43">
        <v>0.5833333333333334</v>
      </c>
      <c r="H807" s="44" t="s">
        <v>1510</v>
      </c>
      <c r="I807" s="44" t="s">
        <v>1511</v>
      </c>
      <c r="J807" s="44" t="s">
        <v>407</v>
      </c>
      <c r="K807" s="39" t="s">
        <v>1512</v>
      </c>
      <c r="L807" s="8"/>
      <c r="M807" s="8"/>
      <c r="N807" s="8"/>
      <c r="O807" s="8"/>
      <c r="P807" s="8"/>
      <c r="Q807" s="8"/>
      <c r="R807" s="8"/>
      <c r="S807" s="8"/>
      <c r="T807" s="8"/>
      <c r="U807" s="8"/>
      <c r="V807" s="8"/>
      <c r="W807" s="160"/>
      <c r="X807" s="160"/>
      <c r="Y807" s="160"/>
      <c r="Z807" s="160"/>
      <c r="AA807" s="160"/>
      <c r="AB807" s="160"/>
    </row>
    <row r="808" hidden="1">
      <c r="A808" s="130"/>
      <c r="B808" s="66"/>
      <c r="C808" s="13" t="s">
        <v>1469</v>
      </c>
      <c r="D808" s="39" t="s">
        <v>819</v>
      </c>
      <c r="E808" s="39" t="s">
        <v>1513</v>
      </c>
      <c r="F808" s="39" t="s">
        <v>1514</v>
      </c>
      <c r="G808" s="128">
        <v>0.6666666666666666</v>
      </c>
      <c r="H808" s="39" t="s">
        <v>1515</v>
      </c>
      <c r="I808" s="39" t="s">
        <v>1516</v>
      </c>
      <c r="J808" s="39" t="s">
        <v>1517</v>
      </c>
      <c r="K808" s="8"/>
      <c r="L808" s="8"/>
      <c r="M808" s="8"/>
      <c r="N808" s="8"/>
      <c r="O808" s="8"/>
      <c r="P808" s="8"/>
      <c r="Q808" s="8"/>
      <c r="R808" s="8"/>
      <c r="S808" s="8"/>
      <c r="T808" s="8"/>
      <c r="U808" s="8"/>
      <c r="V808" s="8"/>
      <c r="W808" s="160"/>
      <c r="X808" s="160"/>
      <c r="Y808" s="160"/>
      <c r="Z808" s="160"/>
      <c r="AA808" s="160"/>
      <c r="AB808" s="160"/>
    </row>
    <row r="809" hidden="1">
      <c r="A809" s="130"/>
      <c r="B809" s="67"/>
      <c r="C809" s="13" t="s">
        <v>1469</v>
      </c>
      <c r="D809" s="8"/>
      <c r="E809" s="8"/>
      <c r="F809" s="8"/>
      <c r="G809" s="126"/>
      <c r="H809" s="8"/>
      <c r="I809" s="8"/>
      <c r="J809" s="8"/>
      <c r="K809" s="8"/>
      <c r="L809" s="8"/>
      <c r="M809" s="8"/>
      <c r="N809" s="8"/>
      <c r="O809" s="8"/>
      <c r="P809" s="8"/>
      <c r="Q809" s="8"/>
      <c r="R809" s="8"/>
      <c r="S809" s="8"/>
      <c r="T809" s="8"/>
      <c r="U809" s="8"/>
      <c r="V809" s="8"/>
      <c r="W809" s="160"/>
      <c r="X809" s="160"/>
      <c r="Y809" s="160"/>
      <c r="Z809" s="160"/>
      <c r="AA809" s="160"/>
      <c r="AB809" s="160"/>
    </row>
    <row r="810" hidden="1">
      <c r="A810" s="130" t="str">
        <f>E810</f>
        <v/>
      </c>
      <c r="B810" s="94"/>
      <c r="C810" s="94">
        <v>44382.0</v>
      </c>
      <c r="D810" s="160"/>
      <c r="E810" s="160"/>
      <c r="F810" s="160"/>
      <c r="G810" s="161"/>
      <c r="H810" s="160"/>
      <c r="I810" s="160"/>
      <c r="J810" s="160"/>
      <c r="K810" s="160"/>
      <c r="L810" s="160"/>
      <c r="M810" s="160"/>
      <c r="N810" s="160"/>
      <c r="O810" s="160"/>
      <c r="P810" s="160"/>
      <c r="Q810" s="160"/>
      <c r="R810" s="160"/>
      <c r="S810" s="160"/>
      <c r="T810" s="160"/>
      <c r="U810" s="160"/>
      <c r="V810" s="160"/>
      <c r="W810" s="160"/>
      <c r="X810" s="160"/>
      <c r="Y810" s="160"/>
      <c r="Z810" s="160"/>
      <c r="AA810" s="160"/>
      <c r="AB810" s="160"/>
    </row>
    <row r="811" hidden="1">
      <c r="A811" s="130"/>
      <c r="B811" s="159" t="s">
        <v>1450</v>
      </c>
      <c r="C811" s="166"/>
      <c r="D811" s="8"/>
      <c r="E811" s="8"/>
      <c r="F811" s="8"/>
      <c r="G811" s="126"/>
      <c r="H811" s="8"/>
      <c r="I811" s="8"/>
      <c r="J811" s="8"/>
      <c r="K811" s="8"/>
      <c r="L811" s="8"/>
      <c r="M811" s="8"/>
      <c r="N811" s="8"/>
      <c r="O811" s="8"/>
      <c r="P811" s="8"/>
      <c r="Q811" s="8"/>
      <c r="R811" s="8"/>
      <c r="S811" s="8"/>
      <c r="T811" s="8"/>
      <c r="U811" s="8"/>
      <c r="V811" s="8"/>
      <c r="W811" s="160"/>
      <c r="X811" s="160"/>
      <c r="Y811" s="160"/>
      <c r="Z811" s="160"/>
      <c r="AA811" s="160"/>
      <c r="AB811" s="160"/>
    </row>
    <row r="812" hidden="1">
      <c r="A812" s="130"/>
      <c r="B812" s="66"/>
      <c r="C812" s="13" t="s">
        <v>1469</v>
      </c>
      <c r="D812" s="8"/>
      <c r="E812" s="8"/>
      <c r="F812" s="8"/>
      <c r="G812" s="128"/>
      <c r="H812" s="8"/>
      <c r="I812" s="8"/>
      <c r="J812" s="8"/>
      <c r="K812" s="8"/>
      <c r="L812" s="8"/>
      <c r="M812" s="8"/>
      <c r="N812" s="8"/>
      <c r="O812" s="8"/>
      <c r="P812" s="8"/>
      <c r="Q812" s="8"/>
      <c r="R812" s="8"/>
      <c r="S812" s="8"/>
      <c r="T812" s="8"/>
      <c r="U812" s="8"/>
      <c r="V812" s="8"/>
      <c r="W812" s="160"/>
      <c r="X812" s="160"/>
      <c r="Y812" s="160"/>
      <c r="Z812" s="160"/>
      <c r="AA812" s="160"/>
      <c r="AB812" s="160"/>
    </row>
    <row r="813" hidden="1">
      <c r="A813" s="130"/>
      <c r="B813" s="66"/>
      <c r="C813" s="13" t="s">
        <v>1469</v>
      </c>
      <c r="D813" s="39" t="s">
        <v>819</v>
      </c>
      <c r="E813" s="39" t="s">
        <v>1518</v>
      </c>
      <c r="F813" s="39" t="s">
        <v>1519</v>
      </c>
      <c r="G813" s="136" t="s">
        <v>337</v>
      </c>
      <c r="H813" s="39" t="s">
        <v>1520</v>
      </c>
      <c r="I813" s="39" t="s">
        <v>1521</v>
      </c>
      <c r="J813" s="39" t="s">
        <v>1522</v>
      </c>
      <c r="K813" s="8"/>
      <c r="L813" s="8"/>
      <c r="M813" s="8"/>
      <c r="N813" s="8"/>
      <c r="O813" s="8"/>
      <c r="P813" s="8"/>
      <c r="Q813" s="8"/>
      <c r="R813" s="8"/>
      <c r="S813" s="8"/>
      <c r="T813" s="8"/>
      <c r="U813" s="8"/>
      <c r="V813" s="8"/>
      <c r="W813" s="160"/>
      <c r="X813" s="160"/>
      <c r="Y813" s="160"/>
      <c r="Z813" s="160"/>
      <c r="AA813" s="160"/>
      <c r="AB813" s="160"/>
    </row>
    <row r="814" hidden="1">
      <c r="A814" s="130"/>
      <c r="B814" s="66"/>
      <c r="C814" s="13" t="s">
        <v>1469</v>
      </c>
      <c r="D814" s="39" t="s">
        <v>819</v>
      </c>
      <c r="E814" s="150" t="s">
        <v>1523</v>
      </c>
      <c r="F814" s="150" t="s">
        <v>1524</v>
      </c>
      <c r="G814" s="128">
        <v>0.5833333333333334</v>
      </c>
      <c r="H814" s="39" t="s">
        <v>1525</v>
      </c>
      <c r="I814" s="39" t="s">
        <v>1526</v>
      </c>
      <c r="J814" s="39" t="s">
        <v>1527</v>
      </c>
      <c r="K814" s="8"/>
      <c r="L814" s="8"/>
      <c r="M814" s="8"/>
      <c r="N814" s="8"/>
      <c r="O814" s="8"/>
      <c r="P814" s="8"/>
      <c r="Q814" s="8"/>
      <c r="R814" s="8"/>
      <c r="S814" s="8"/>
      <c r="T814" s="8"/>
      <c r="U814" s="8"/>
      <c r="V814" s="8"/>
      <c r="W814" s="160"/>
      <c r="X814" s="160"/>
      <c r="Y814" s="160"/>
      <c r="Z814" s="160"/>
      <c r="AA814" s="160"/>
      <c r="AB814" s="160"/>
    </row>
    <row r="815" hidden="1">
      <c r="A815" s="130"/>
      <c r="B815" s="66"/>
      <c r="C815" s="13" t="s">
        <v>1469</v>
      </c>
      <c r="D815" s="39" t="s">
        <v>819</v>
      </c>
      <c r="E815" s="147" t="s">
        <v>1528</v>
      </c>
      <c r="F815" s="147" t="s">
        <v>1529</v>
      </c>
      <c r="G815" s="128">
        <v>0.6666666666666666</v>
      </c>
      <c r="H815" s="39" t="s">
        <v>1530</v>
      </c>
      <c r="I815" s="39" t="s">
        <v>1531</v>
      </c>
      <c r="J815" s="147" t="s">
        <v>1532</v>
      </c>
      <c r="K815" s="8"/>
      <c r="L815" s="8"/>
      <c r="M815" s="8"/>
      <c r="N815" s="8"/>
      <c r="O815" s="8"/>
      <c r="P815" s="8"/>
      <c r="Q815" s="8"/>
      <c r="R815" s="8"/>
      <c r="S815" s="8"/>
      <c r="T815" s="8"/>
      <c r="U815" s="8"/>
      <c r="V815" s="8"/>
      <c r="W815" s="160"/>
      <c r="X815" s="160"/>
      <c r="Y815" s="160"/>
      <c r="Z815" s="160"/>
      <c r="AA815" s="160"/>
      <c r="AB815" s="160"/>
    </row>
    <row r="816" hidden="1">
      <c r="A816" s="130"/>
      <c r="B816" s="67"/>
      <c r="C816" s="13" t="s">
        <v>1469</v>
      </c>
      <c r="D816" s="44" t="s">
        <v>819</v>
      </c>
      <c r="E816" s="44" t="s">
        <v>1533</v>
      </c>
      <c r="F816" s="44" t="s">
        <v>1534</v>
      </c>
      <c r="G816" s="74">
        <v>0.75</v>
      </c>
      <c r="H816" s="44" t="s">
        <v>1535</v>
      </c>
      <c r="I816" s="44" t="s">
        <v>1536</v>
      </c>
      <c r="J816" s="44" t="s">
        <v>1537</v>
      </c>
      <c r="K816" s="44" t="s">
        <v>1538</v>
      </c>
      <c r="L816" s="8"/>
      <c r="M816" s="8"/>
      <c r="N816" s="8"/>
      <c r="O816" s="8"/>
      <c r="P816" s="8"/>
      <c r="Q816" s="8"/>
      <c r="R816" s="8"/>
      <c r="S816" s="8"/>
      <c r="T816" s="8"/>
      <c r="U816" s="8"/>
      <c r="V816" s="8"/>
      <c r="W816" s="160"/>
      <c r="X816" s="160"/>
      <c r="Y816" s="160"/>
      <c r="Z816" s="160"/>
      <c r="AA816" s="160"/>
      <c r="AB816" s="160"/>
    </row>
    <row r="817" hidden="1">
      <c r="A817" s="130" t="str">
        <f>E817</f>
        <v/>
      </c>
      <c r="B817" s="94"/>
      <c r="C817" s="94">
        <v>44383.0</v>
      </c>
      <c r="D817" s="160"/>
      <c r="E817" s="160"/>
      <c r="F817" s="160"/>
      <c r="G817" s="161"/>
      <c r="H817" s="160"/>
      <c r="I817" s="160"/>
      <c r="J817" s="160"/>
      <c r="K817" s="160"/>
      <c r="L817" s="160"/>
      <c r="M817" s="160"/>
      <c r="N817" s="160"/>
      <c r="O817" s="160"/>
      <c r="P817" s="160"/>
      <c r="Q817" s="160"/>
      <c r="R817" s="160"/>
      <c r="S817" s="160"/>
      <c r="T817" s="160"/>
      <c r="U817" s="160"/>
      <c r="V817" s="160"/>
      <c r="W817" s="160"/>
      <c r="X817" s="160"/>
      <c r="Y817" s="160"/>
      <c r="Z817" s="160"/>
      <c r="AA817" s="160"/>
      <c r="AB817" s="160"/>
    </row>
    <row r="818" hidden="1">
      <c r="A818" s="130"/>
      <c r="B818" s="159" t="s">
        <v>1450</v>
      </c>
      <c r="C818" s="13" t="s">
        <v>1469</v>
      </c>
      <c r="D818" s="44" t="s">
        <v>819</v>
      </c>
      <c r="E818" s="155" t="s">
        <v>1539</v>
      </c>
      <c r="F818" s="155" t="s">
        <v>1540</v>
      </c>
      <c r="G818" s="43">
        <v>0.4166666666666667</v>
      </c>
      <c r="H818" s="44" t="s">
        <v>1541</v>
      </c>
      <c r="I818" s="44" t="s">
        <v>1542</v>
      </c>
      <c r="J818" s="44" t="s">
        <v>1543</v>
      </c>
      <c r="K818" s="39" t="s">
        <v>1544</v>
      </c>
      <c r="L818" s="8"/>
      <c r="M818" s="8"/>
      <c r="N818" s="8"/>
      <c r="O818" s="8"/>
      <c r="P818" s="8"/>
      <c r="Q818" s="8"/>
      <c r="R818" s="8"/>
      <c r="S818" s="8"/>
      <c r="T818" s="8"/>
      <c r="U818" s="8"/>
      <c r="V818" s="8"/>
      <c r="W818" s="160"/>
      <c r="X818" s="160"/>
      <c r="Y818" s="160"/>
      <c r="Z818" s="160"/>
      <c r="AA818" s="160"/>
      <c r="AB818" s="160"/>
    </row>
    <row r="819" hidden="1">
      <c r="A819" s="130"/>
      <c r="B819" s="66"/>
      <c r="C819" s="13" t="s">
        <v>1469</v>
      </c>
      <c r="D819" s="44" t="s">
        <v>819</v>
      </c>
      <c r="E819" s="155" t="s">
        <v>503</v>
      </c>
      <c r="F819" s="155" t="s">
        <v>504</v>
      </c>
      <c r="G819" s="43">
        <v>0.5</v>
      </c>
      <c r="H819" s="44" t="s">
        <v>1545</v>
      </c>
      <c r="I819" s="44" t="s">
        <v>1546</v>
      </c>
      <c r="J819" s="44" t="s">
        <v>507</v>
      </c>
      <c r="K819" s="39" t="s">
        <v>1547</v>
      </c>
      <c r="L819" s="8"/>
      <c r="M819" s="8"/>
      <c r="N819" s="8"/>
      <c r="O819" s="8"/>
      <c r="P819" s="8"/>
      <c r="Q819" s="8"/>
      <c r="R819" s="8"/>
      <c r="S819" s="8"/>
      <c r="T819" s="8"/>
      <c r="U819" s="8"/>
      <c r="V819" s="8"/>
      <c r="W819" s="160"/>
      <c r="X819" s="160"/>
      <c r="Y819" s="160"/>
      <c r="Z819" s="160"/>
      <c r="AA819" s="160"/>
      <c r="AB819" s="160"/>
    </row>
    <row r="820" hidden="1">
      <c r="A820" s="130"/>
      <c r="B820" s="66"/>
      <c r="C820" s="13" t="s">
        <v>1469</v>
      </c>
      <c r="D820" s="44" t="s">
        <v>819</v>
      </c>
      <c r="E820" s="155" t="s">
        <v>698</v>
      </c>
      <c r="F820" s="155" t="s">
        <v>699</v>
      </c>
      <c r="G820" s="43">
        <v>0.5833333333333334</v>
      </c>
      <c r="H820" s="44" t="s">
        <v>248</v>
      </c>
      <c r="I820" s="44" t="s">
        <v>1548</v>
      </c>
      <c r="J820" s="44" t="s">
        <v>701</v>
      </c>
      <c r="K820" s="39" t="s">
        <v>1549</v>
      </c>
      <c r="L820" s="8"/>
      <c r="M820" s="8"/>
      <c r="N820" s="8"/>
      <c r="O820" s="8"/>
      <c r="P820" s="8"/>
      <c r="Q820" s="8"/>
      <c r="R820" s="8"/>
      <c r="S820" s="8"/>
      <c r="T820" s="8"/>
      <c r="U820" s="8"/>
      <c r="V820" s="8"/>
      <c r="W820" s="160"/>
      <c r="X820" s="160"/>
      <c r="Y820" s="160"/>
      <c r="Z820" s="160"/>
      <c r="AA820" s="160"/>
      <c r="AB820" s="160"/>
    </row>
    <row r="821" hidden="1">
      <c r="A821" s="130"/>
      <c r="B821" s="66"/>
      <c r="C821" s="13" t="s">
        <v>1469</v>
      </c>
      <c r="D821" s="44" t="s">
        <v>819</v>
      </c>
      <c r="E821" s="143" t="s">
        <v>1447</v>
      </c>
      <c r="F821" s="143" t="s">
        <v>1448</v>
      </c>
      <c r="G821" s="43">
        <v>0.6666666666666666</v>
      </c>
      <c r="H821" s="44" t="s">
        <v>886</v>
      </c>
      <c r="I821" s="44" t="s">
        <v>1550</v>
      </c>
      <c r="J821" s="44" t="s">
        <v>1066</v>
      </c>
      <c r="K821" s="39" t="s">
        <v>1551</v>
      </c>
      <c r="L821" s="8"/>
      <c r="M821" s="8"/>
      <c r="N821" s="8"/>
      <c r="O821" s="8"/>
      <c r="P821" s="8"/>
      <c r="Q821" s="8"/>
      <c r="R821" s="8"/>
      <c r="S821" s="8"/>
      <c r="T821" s="8"/>
      <c r="U821" s="8"/>
      <c r="V821" s="8"/>
      <c r="W821" s="160"/>
      <c r="X821" s="160"/>
      <c r="Y821" s="160"/>
      <c r="Z821" s="160"/>
      <c r="AA821" s="160"/>
      <c r="AB821" s="160"/>
    </row>
    <row r="822" hidden="1">
      <c r="A822" s="130"/>
      <c r="B822" s="67"/>
      <c r="C822" s="13" t="s">
        <v>1469</v>
      </c>
      <c r="D822" s="39" t="s">
        <v>819</v>
      </c>
      <c r="E822" s="39" t="s">
        <v>1504</v>
      </c>
      <c r="F822" s="39" t="s">
        <v>1505</v>
      </c>
      <c r="G822" s="128">
        <v>0.7291666666666666</v>
      </c>
      <c r="H822" s="39" t="s">
        <v>1496</v>
      </c>
      <c r="I822" s="39" t="s">
        <v>1506</v>
      </c>
      <c r="J822" s="39" t="s">
        <v>1507</v>
      </c>
      <c r="K822" s="8"/>
      <c r="L822" s="8"/>
      <c r="M822" s="8"/>
      <c r="N822" s="8"/>
      <c r="O822" s="8"/>
      <c r="P822" s="8"/>
      <c r="Q822" s="8"/>
      <c r="R822" s="8"/>
      <c r="S822" s="8"/>
      <c r="T822" s="8"/>
      <c r="U822" s="8"/>
      <c r="V822" s="8"/>
      <c r="W822" s="160"/>
      <c r="X822" s="160"/>
      <c r="Y822" s="160"/>
      <c r="Z822" s="160"/>
      <c r="AA822" s="160"/>
      <c r="AB822" s="160"/>
    </row>
    <row r="823" hidden="1">
      <c r="A823" s="130" t="str">
        <f>E823</f>
        <v/>
      </c>
      <c r="B823" s="94"/>
      <c r="C823" s="94">
        <v>44384.0</v>
      </c>
      <c r="D823" s="160"/>
      <c r="E823" s="160"/>
      <c r="F823" s="160"/>
      <c r="G823" s="161"/>
      <c r="H823" s="160"/>
      <c r="I823" s="160"/>
      <c r="J823" s="160"/>
      <c r="K823" s="160"/>
      <c r="L823" s="160"/>
      <c r="M823" s="160"/>
      <c r="N823" s="160"/>
      <c r="O823" s="160"/>
      <c r="P823" s="160"/>
      <c r="Q823" s="160"/>
      <c r="R823" s="160"/>
      <c r="S823" s="160"/>
      <c r="T823" s="160"/>
      <c r="U823" s="160"/>
      <c r="V823" s="160"/>
      <c r="W823" s="160"/>
      <c r="X823" s="160"/>
      <c r="Y823" s="160"/>
      <c r="Z823" s="160"/>
      <c r="AA823" s="160"/>
      <c r="AB823" s="160"/>
    </row>
    <row r="824" hidden="1">
      <c r="A824" s="130"/>
      <c r="B824" s="159" t="s">
        <v>1450</v>
      </c>
      <c r="C824" s="13" t="s">
        <v>1469</v>
      </c>
      <c r="D824" s="44" t="s">
        <v>819</v>
      </c>
      <c r="E824" s="155" t="s">
        <v>1552</v>
      </c>
      <c r="F824" s="155" t="s">
        <v>1553</v>
      </c>
      <c r="G824" s="43">
        <v>0.4166666666666667</v>
      </c>
      <c r="H824" s="44" t="s">
        <v>886</v>
      </c>
      <c r="I824" s="44" t="s">
        <v>1554</v>
      </c>
      <c r="J824" s="44" t="s">
        <v>1555</v>
      </c>
      <c r="K824" s="39" t="s">
        <v>1556</v>
      </c>
      <c r="M824" s="8"/>
      <c r="N824" s="8"/>
      <c r="O824" s="8"/>
      <c r="P824" s="8"/>
      <c r="Q824" s="8"/>
      <c r="R824" s="8"/>
      <c r="S824" s="8"/>
      <c r="T824" s="8"/>
      <c r="U824" s="8"/>
      <c r="V824" s="8"/>
      <c r="W824" s="160"/>
      <c r="X824" s="160"/>
      <c r="Y824" s="160"/>
      <c r="Z824" s="160"/>
      <c r="AA824" s="160"/>
      <c r="AB824" s="160"/>
    </row>
    <row r="825" hidden="1">
      <c r="A825" s="130"/>
      <c r="B825" s="66"/>
      <c r="C825" s="13" t="s">
        <v>1469</v>
      </c>
      <c r="D825" s="39"/>
      <c r="G825" s="128"/>
      <c r="H825" s="39"/>
      <c r="I825" s="39"/>
      <c r="J825" s="39"/>
      <c r="K825" s="8"/>
      <c r="L825" s="8"/>
      <c r="M825" s="8"/>
      <c r="N825" s="8"/>
      <c r="O825" s="8"/>
      <c r="P825" s="8"/>
      <c r="Q825" s="8"/>
      <c r="R825" s="8"/>
      <c r="S825" s="8"/>
      <c r="T825" s="8"/>
      <c r="U825" s="8"/>
      <c r="V825" s="8"/>
      <c r="W825" s="160"/>
      <c r="X825" s="160"/>
      <c r="Y825" s="160"/>
      <c r="Z825" s="160"/>
      <c r="AA825" s="160"/>
      <c r="AB825" s="160"/>
    </row>
    <row r="826" hidden="1">
      <c r="A826" s="130"/>
      <c r="B826" s="66"/>
      <c r="C826" s="13" t="s">
        <v>1469</v>
      </c>
      <c r="D826" s="39" t="s">
        <v>819</v>
      </c>
      <c r="E826" s="150" t="s">
        <v>1557</v>
      </c>
      <c r="F826" s="150" t="s">
        <v>1558</v>
      </c>
      <c r="G826" s="128">
        <v>0.6666666666666666</v>
      </c>
      <c r="H826" s="39" t="s">
        <v>1559</v>
      </c>
      <c r="I826" s="39" t="s">
        <v>1560</v>
      </c>
      <c r="J826" s="39" t="s">
        <v>1561</v>
      </c>
      <c r="K826" s="8"/>
      <c r="L826" s="8"/>
      <c r="M826" s="8"/>
      <c r="N826" s="8"/>
      <c r="O826" s="8"/>
      <c r="P826" s="8"/>
      <c r="Q826" s="8"/>
      <c r="R826" s="8"/>
      <c r="S826" s="8"/>
      <c r="T826" s="8"/>
      <c r="U826" s="8"/>
      <c r="V826" s="8"/>
      <c r="W826" s="160"/>
      <c r="X826" s="160"/>
      <c r="Y826" s="160"/>
      <c r="Z826" s="160"/>
      <c r="AA826" s="160"/>
      <c r="AB826" s="160"/>
    </row>
    <row r="827" hidden="1">
      <c r="A827" s="130"/>
      <c r="B827" s="67"/>
      <c r="C827" s="13" t="s">
        <v>1469</v>
      </c>
      <c r="D827" s="39" t="s">
        <v>819</v>
      </c>
      <c r="E827" s="150" t="s">
        <v>1562</v>
      </c>
      <c r="F827" s="150" t="s">
        <v>1563</v>
      </c>
      <c r="G827" s="128">
        <v>0.7291666666666666</v>
      </c>
      <c r="H827" s="39" t="s">
        <v>886</v>
      </c>
      <c r="I827" s="39" t="s">
        <v>1564</v>
      </c>
      <c r="J827" s="39" t="s">
        <v>1565</v>
      </c>
      <c r="K827" s="8"/>
      <c r="L827" s="8"/>
      <c r="M827" s="8"/>
      <c r="N827" s="8"/>
      <c r="O827" s="8"/>
      <c r="P827" s="8"/>
      <c r="Q827" s="8"/>
      <c r="R827" s="8"/>
      <c r="S827" s="8"/>
      <c r="T827" s="8"/>
      <c r="U827" s="8"/>
      <c r="V827" s="8"/>
      <c r="W827" s="160"/>
      <c r="X827" s="160"/>
      <c r="Y827" s="160"/>
      <c r="Z827" s="160"/>
      <c r="AA827" s="160"/>
      <c r="AB827" s="160"/>
    </row>
    <row r="828" hidden="1">
      <c r="A828" s="130"/>
      <c r="B828" s="167"/>
      <c r="C828" s="13"/>
      <c r="D828" s="38" t="s">
        <v>819</v>
      </c>
      <c r="E828" s="168" t="s">
        <v>1447</v>
      </c>
      <c r="F828" s="168" t="s">
        <v>1448</v>
      </c>
      <c r="G828" s="49">
        <v>0.7708333333333334</v>
      </c>
      <c r="H828" s="38" t="s">
        <v>886</v>
      </c>
      <c r="I828" s="38" t="s">
        <v>1550</v>
      </c>
      <c r="J828" s="38" t="s">
        <v>1066</v>
      </c>
      <c r="K828" s="160"/>
      <c r="L828" s="160"/>
      <c r="M828" s="160"/>
      <c r="N828" s="160"/>
      <c r="O828" s="160"/>
      <c r="P828" s="160"/>
      <c r="Q828" s="160"/>
      <c r="R828" s="160"/>
      <c r="S828" s="160"/>
      <c r="T828" s="160"/>
      <c r="U828" s="160"/>
      <c r="V828" s="160"/>
      <c r="W828" s="160"/>
      <c r="X828" s="160"/>
      <c r="Y828" s="160"/>
      <c r="Z828" s="160"/>
      <c r="AA828" s="160"/>
      <c r="AB828" s="160"/>
    </row>
    <row r="829" hidden="1">
      <c r="A829" s="130" t="str">
        <f>E829</f>
        <v/>
      </c>
      <c r="B829" s="94"/>
      <c r="C829" s="94">
        <v>44385.0</v>
      </c>
      <c r="D829" s="160"/>
      <c r="E829" s="160"/>
      <c r="F829" s="160"/>
      <c r="G829" s="161"/>
      <c r="H829" s="160"/>
      <c r="I829" s="160"/>
      <c r="J829" s="160"/>
      <c r="K829" s="160"/>
      <c r="L829" s="160"/>
      <c r="M829" s="160"/>
      <c r="N829" s="160"/>
      <c r="O829" s="160"/>
      <c r="P829" s="160"/>
      <c r="Q829" s="160"/>
      <c r="R829" s="160"/>
      <c r="S829" s="160"/>
      <c r="T829" s="160"/>
      <c r="U829" s="160"/>
      <c r="V829" s="160"/>
      <c r="W829" s="160"/>
      <c r="X829" s="160"/>
      <c r="Y829" s="160"/>
      <c r="Z829" s="160"/>
      <c r="AA829" s="160"/>
      <c r="AB829" s="160"/>
    </row>
    <row r="830" hidden="1">
      <c r="A830" s="130"/>
      <c r="B830" s="159" t="s">
        <v>1450</v>
      </c>
      <c r="C830" s="13" t="s">
        <v>1469</v>
      </c>
      <c r="D830" s="39" t="s">
        <v>819</v>
      </c>
      <c r="E830" s="39" t="s">
        <v>1566</v>
      </c>
      <c r="F830" s="39" t="s">
        <v>1567</v>
      </c>
      <c r="G830" s="128">
        <v>0.4166666666666667</v>
      </c>
      <c r="H830" s="39" t="s">
        <v>1568</v>
      </c>
      <c r="I830" s="39" t="s">
        <v>1569</v>
      </c>
      <c r="J830" s="39" t="s">
        <v>1570</v>
      </c>
      <c r="K830" s="8"/>
      <c r="L830" s="8"/>
      <c r="M830" s="8"/>
      <c r="N830" s="8"/>
      <c r="O830" s="8"/>
      <c r="P830" s="8"/>
      <c r="Q830" s="8"/>
      <c r="R830" s="8"/>
      <c r="S830" s="8"/>
      <c r="T830" s="8"/>
      <c r="U830" s="8"/>
      <c r="V830" s="8"/>
      <c r="W830" s="160"/>
      <c r="X830" s="160"/>
      <c r="Y830" s="160"/>
      <c r="Z830" s="160"/>
      <c r="AA830" s="160"/>
      <c r="AB830" s="160"/>
    </row>
    <row r="831" hidden="1">
      <c r="A831" s="130"/>
      <c r="B831" s="66"/>
      <c r="C831" s="13" t="s">
        <v>1469</v>
      </c>
      <c r="D831" s="38" t="s">
        <v>819</v>
      </c>
      <c r="E831" s="169" t="s">
        <v>824</v>
      </c>
      <c r="F831" s="169" t="s">
        <v>825</v>
      </c>
      <c r="G831" s="49">
        <v>0.5</v>
      </c>
      <c r="H831" s="38" t="s">
        <v>248</v>
      </c>
      <c r="I831" s="38" t="s">
        <v>1571</v>
      </c>
      <c r="J831" s="38" t="s">
        <v>827</v>
      </c>
      <c r="K831" s="30"/>
      <c r="L831" s="39" t="s">
        <v>1572</v>
      </c>
      <c r="M831" s="8"/>
      <c r="N831" s="8"/>
      <c r="O831" s="8"/>
      <c r="P831" s="8"/>
      <c r="Q831" s="8"/>
      <c r="R831" s="8"/>
      <c r="S831" s="8"/>
      <c r="T831" s="8"/>
      <c r="U831" s="8"/>
      <c r="V831" s="8"/>
      <c r="W831" s="160"/>
      <c r="X831" s="160"/>
      <c r="Y831" s="160"/>
      <c r="Z831" s="160"/>
      <c r="AA831" s="160"/>
      <c r="AB831" s="160"/>
    </row>
    <row r="832" hidden="1">
      <c r="A832" s="130"/>
      <c r="B832" s="66"/>
      <c r="C832" s="13" t="s">
        <v>1469</v>
      </c>
      <c r="D832" s="38" t="s">
        <v>819</v>
      </c>
      <c r="E832" s="170" t="s">
        <v>646</v>
      </c>
      <c r="F832" s="170" t="s">
        <v>647</v>
      </c>
      <c r="G832" s="49">
        <v>0.5833333333333334</v>
      </c>
      <c r="H832" s="38" t="s">
        <v>1573</v>
      </c>
      <c r="I832" s="38" t="s">
        <v>1574</v>
      </c>
      <c r="J832" s="38" t="s">
        <v>649</v>
      </c>
      <c r="K832" s="39" t="s">
        <v>1572</v>
      </c>
      <c r="L832" s="30"/>
      <c r="M832" s="30"/>
      <c r="N832" s="39"/>
      <c r="O832" s="8"/>
      <c r="P832" s="8"/>
      <c r="Q832" s="8"/>
      <c r="R832" s="8"/>
      <c r="S832" s="8"/>
      <c r="T832" s="8"/>
      <c r="U832" s="8"/>
      <c r="V832" s="8"/>
      <c r="W832" s="160"/>
      <c r="X832" s="160"/>
      <c r="Y832" s="160"/>
      <c r="Z832" s="160"/>
      <c r="AA832" s="160"/>
      <c r="AB832" s="160"/>
    </row>
    <row r="833" hidden="1">
      <c r="A833" s="130"/>
      <c r="B833" s="66"/>
      <c r="C833" s="13" t="s">
        <v>1469</v>
      </c>
      <c r="D833" s="38" t="s">
        <v>819</v>
      </c>
      <c r="E833" s="168" t="s">
        <v>1373</v>
      </c>
      <c r="F833" s="168" t="s">
        <v>1374</v>
      </c>
      <c r="G833" s="49">
        <v>0.6666666666666666</v>
      </c>
      <c r="H833" s="38" t="s">
        <v>1575</v>
      </c>
      <c r="I833" s="38" t="s">
        <v>1576</v>
      </c>
      <c r="J833" s="38" t="s">
        <v>1377</v>
      </c>
      <c r="K833" s="39" t="s">
        <v>1572</v>
      </c>
      <c r="M833" s="8"/>
      <c r="N833" s="8"/>
      <c r="O833" s="8"/>
      <c r="P833" s="8"/>
      <c r="Q833" s="8"/>
      <c r="R833" s="8"/>
      <c r="S833" s="8"/>
      <c r="T833" s="8"/>
      <c r="U833" s="8"/>
      <c r="V833" s="8"/>
      <c r="W833" s="160"/>
      <c r="X833" s="160"/>
      <c r="Y833" s="160"/>
      <c r="Z833" s="160"/>
      <c r="AA833" s="160"/>
      <c r="AB833" s="160"/>
    </row>
    <row r="834" hidden="1">
      <c r="A834" s="130"/>
      <c r="B834" s="67"/>
      <c r="C834" s="13" t="s">
        <v>1469</v>
      </c>
      <c r="D834" s="39" t="s">
        <v>819</v>
      </c>
      <c r="E834" s="61" t="s">
        <v>1577</v>
      </c>
      <c r="F834" s="61" t="s">
        <v>1578</v>
      </c>
      <c r="G834" s="128">
        <v>0.75</v>
      </c>
      <c r="H834" s="39" t="s">
        <v>1568</v>
      </c>
      <c r="I834" s="39" t="s">
        <v>1579</v>
      </c>
      <c r="J834" s="39" t="s">
        <v>1580</v>
      </c>
      <c r="K834" s="39" t="s">
        <v>1581</v>
      </c>
      <c r="L834" s="8"/>
      <c r="M834" s="8"/>
      <c r="N834" s="8"/>
      <c r="O834" s="8"/>
      <c r="P834" s="8"/>
      <c r="Q834" s="8"/>
      <c r="R834" s="8"/>
      <c r="S834" s="8"/>
      <c r="T834" s="8"/>
      <c r="U834" s="8"/>
      <c r="V834" s="8"/>
      <c r="W834" s="160"/>
      <c r="X834" s="160"/>
      <c r="Y834" s="160"/>
      <c r="Z834" s="160"/>
      <c r="AA834" s="160"/>
      <c r="AB834" s="160"/>
    </row>
    <row r="835" hidden="1">
      <c r="A835" s="130"/>
      <c r="B835" s="167"/>
      <c r="C835" s="13"/>
      <c r="D835" s="18" t="s">
        <v>819</v>
      </c>
      <c r="E835" s="62" t="s">
        <v>1582</v>
      </c>
      <c r="F835" s="62" t="s">
        <v>1583</v>
      </c>
      <c r="G835" s="22">
        <v>0.7916666666666666</v>
      </c>
      <c r="H835" s="18" t="s">
        <v>1568</v>
      </c>
      <c r="I835" s="18" t="s">
        <v>1584</v>
      </c>
      <c r="J835" s="171" t="s">
        <v>1585</v>
      </c>
      <c r="K835" s="165" t="s">
        <v>1572</v>
      </c>
      <c r="L835" s="160"/>
      <c r="M835" s="160"/>
      <c r="N835" s="160"/>
      <c r="O835" s="160"/>
      <c r="P835" s="160"/>
      <c r="Q835" s="160"/>
      <c r="R835" s="160"/>
      <c r="S835" s="160"/>
      <c r="T835" s="160"/>
      <c r="U835" s="160"/>
      <c r="V835" s="160"/>
      <c r="W835" s="160"/>
      <c r="X835" s="160"/>
      <c r="Y835" s="160"/>
      <c r="Z835" s="160"/>
      <c r="AA835" s="160"/>
      <c r="AB835" s="160"/>
    </row>
    <row r="836" hidden="1">
      <c r="A836" s="130"/>
      <c r="B836" s="167"/>
      <c r="C836" s="13"/>
      <c r="D836" s="39"/>
      <c r="E836" s="61"/>
      <c r="F836" s="61"/>
      <c r="G836" s="128"/>
      <c r="H836" s="39"/>
      <c r="I836" s="39"/>
      <c r="J836" s="165"/>
      <c r="K836" s="160"/>
      <c r="L836" s="160"/>
      <c r="M836" s="160"/>
      <c r="N836" s="160"/>
      <c r="O836" s="160"/>
      <c r="P836" s="160"/>
      <c r="Q836" s="160"/>
      <c r="R836" s="160"/>
      <c r="S836" s="160"/>
      <c r="T836" s="160"/>
      <c r="U836" s="160"/>
      <c r="V836" s="160"/>
      <c r="W836" s="160"/>
      <c r="X836" s="160"/>
      <c r="Y836" s="160"/>
      <c r="Z836" s="160"/>
      <c r="AA836" s="160"/>
      <c r="AB836" s="160"/>
    </row>
    <row r="837" hidden="1">
      <c r="A837" s="130" t="str">
        <f>E837</f>
        <v/>
      </c>
      <c r="B837" s="94"/>
      <c r="C837" s="94">
        <v>44386.0</v>
      </c>
      <c r="D837" s="8"/>
      <c r="E837" s="8"/>
      <c r="F837" s="172" t="s">
        <v>1586</v>
      </c>
      <c r="G837" s="126"/>
      <c r="H837" s="8"/>
      <c r="I837" s="8"/>
      <c r="J837" s="160"/>
      <c r="K837" s="160"/>
      <c r="L837" s="160"/>
      <c r="M837" s="160"/>
      <c r="N837" s="160"/>
      <c r="O837" s="160"/>
      <c r="P837" s="160"/>
      <c r="Q837" s="160"/>
      <c r="R837" s="160"/>
      <c r="S837" s="160"/>
      <c r="T837" s="160"/>
      <c r="U837" s="160"/>
      <c r="V837" s="160"/>
      <c r="W837" s="160"/>
      <c r="X837" s="160"/>
      <c r="Y837" s="160"/>
      <c r="Z837" s="160"/>
      <c r="AA837" s="160"/>
      <c r="AB837" s="160"/>
    </row>
    <row r="838" hidden="1">
      <c r="A838" s="130"/>
      <c r="B838" s="159" t="s">
        <v>1450</v>
      </c>
      <c r="C838" s="13" t="s">
        <v>1469</v>
      </c>
      <c r="D838" s="8"/>
      <c r="E838" s="8"/>
      <c r="F838" s="8"/>
      <c r="G838" s="128"/>
      <c r="H838" s="8"/>
      <c r="I838" s="8"/>
      <c r="J838" s="8"/>
      <c r="K838" s="8"/>
      <c r="L838" s="8"/>
      <c r="M838" s="8"/>
      <c r="N838" s="8"/>
      <c r="O838" s="8"/>
      <c r="P838" s="8"/>
      <c r="Q838" s="8"/>
      <c r="R838" s="8"/>
      <c r="S838" s="8"/>
      <c r="T838" s="8"/>
      <c r="U838" s="8"/>
      <c r="V838" s="8"/>
      <c r="W838" s="160"/>
      <c r="X838" s="160"/>
      <c r="Y838" s="160"/>
      <c r="Z838" s="160"/>
      <c r="AA838" s="160"/>
      <c r="AB838" s="160"/>
    </row>
    <row r="839" hidden="1">
      <c r="A839" s="130"/>
      <c r="B839" s="66"/>
      <c r="C839" s="13" t="s">
        <v>1469</v>
      </c>
      <c r="D839" s="39" t="s">
        <v>819</v>
      </c>
      <c r="E839" s="39" t="s">
        <v>1587</v>
      </c>
      <c r="F839" s="39" t="s">
        <v>1588</v>
      </c>
      <c r="G839" s="128">
        <v>0.5</v>
      </c>
      <c r="H839" s="39" t="s">
        <v>1589</v>
      </c>
      <c r="I839" s="39" t="s">
        <v>1590</v>
      </c>
      <c r="J839" s="39" t="s">
        <v>1591</v>
      </c>
      <c r="K839" s="8"/>
      <c r="L839" s="8"/>
      <c r="M839" s="8"/>
      <c r="N839" s="8"/>
      <c r="O839" s="8"/>
      <c r="P839" s="8"/>
      <c r="Q839" s="8"/>
      <c r="R839" s="8"/>
      <c r="S839" s="8"/>
      <c r="T839" s="8"/>
      <c r="U839" s="8"/>
      <c r="V839" s="8"/>
      <c r="W839" s="160"/>
      <c r="X839" s="160"/>
      <c r="Y839" s="160"/>
      <c r="Z839" s="160"/>
      <c r="AA839" s="160"/>
      <c r="AB839" s="160"/>
    </row>
    <row r="840" hidden="1">
      <c r="A840" s="130"/>
      <c r="B840" s="66"/>
      <c r="C840" s="13" t="s">
        <v>1469</v>
      </c>
      <c r="D840" s="39" t="s">
        <v>819</v>
      </c>
      <c r="E840" s="61" t="s">
        <v>1592</v>
      </c>
      <c r="F840" s="61" t="s">
        <v>1593</v>
      </c>
      <c r="G840" s="128">
        <v>0.5833333333333334</v>
      </c>
      <c r="H840" s="39" t="s">
        <v>1594</v>
      </c>
      <c r="I840" s="39" t="s">
        <v>1595</v>
      </c>
      <c r="J840" s="39" t="s">
        <v>1596</v>
      </c>
      <c r="K840" s="8"/>
      <c r="L840" s="8"/>
      <c r="M840" s="8"/>
      <c r="N840" s="8"/>
      <c r="O840" s="8"/>
      <c r="P840" s="8"/>
      <c r="Q840" s="8"/>
      <c r="R840" s="8"/>
      <c r="S840" s="8"/>
      <c r="T840" s="8"/>
      <c r="U840" s="8"/>
      <c r="V840" s="8"/>
      <c r="W840" s="160"/>
      <c r="X840" s="160"/>
      <c r="Y840" s="160"/>
      <c r="Z840" s="160"/>
      <c r="AA840" s="160"/>
      <c r="AB840" s="160"/>
    </row>
    <row r="841" hidden="1">
      <c r="A841" s="130"/>
      <c r="B841" s="66"/>
      <c r="C841" s="13" t="s">
        <v>1469</v>
      </c>
      <c r="D841" s="39" t="s">
        <v>819</v>
      </c>
      <c r="E841" s="61" t="s">
        <v>1597</v>
      </c>
      <c r="F841" s="61" t="s">
        <v>1598</v>
      </c>
      <c r="G841" s="128">
        <v>0.6666666666666666</v>
      </c>
      <c r="H841" s="39" t="s">
        <v>1599</v>
      </c>
      <c r="I841" s="39" t="s">
        <v>1600</v>
      </c>
      <c r="J841" s="150" t="s">
        <v>1601</v>
      </c>
      <c r="K841" s="8"/>
      <c r="L841" s="8"/>
      <c r="M841" s="8"/>
      <c r="N841" s="8"/>
      <c r="O841" s="8"/>
      <c r="P841" s="8"/>
      <c r="Q841" s="8"/>
      <c r="R841" s="8"/>
      <c r="S841" s="8"/>
      <c r="T841" s="8"/>
      <c r="U841" s="8"/>
      <c r="V841" s="8"/>
      <c r="W841" s="160"/>
      <c r="X841" s="160"/>
      <c r="Y841" s="160"/>
      <c r="Z841" s="160"/>
      <c r="AA841" s="160"/>
      <c r="AB841" s="160"/>
    </row>
    <row r="842" hidden="1">
      <c r="A842" s="130"/>
      <c r="B842" s="67"/>
      <c r="C842" s="13" t="s">
        <v>1469</v>
      </c>
      <c r="D842" s="44" t="s">
        <v>819</v>
      </c>
      <c r="E842" s="73" t="s">
        <v>1602</v>
      </c>
      <c r="F842" s="73" t="s">
        <v>1603</v>
      </c>
      <c r="G842" s="70" t="s">
        <v>418</v>
      </c>
      <c r="H842" s="44" t="s">
        <v>933</v>
      </c>
      <c r="I842" s="44" t="s">
        <v>1604</v>
      </c>
      <c r="J842" s="44" t="s">
        <v>1605</v>
      </c>
      <c r="K842" s="39" t="s">
        <v>1606</v>
      </c>
      <c r="L842" s="8"/>
      <c r="M842" s="8"/>
      <c r="N842" s="8"/>
      <c r="O842" s="8"/>
      <c r="P842" s="8"/>
      <c r="Q842" s="8"/>
      <c r="R842" s="8"/>
      <c r="S842" s="8"/>
      <c r="T842" s="8"/>
      <c r="U842" s="8"/>
      <c r="V842" s="8"/>
      <c r="W842" s="160"/>
      <c r="X842" s="160"/>
      <c r="Y842" s="160"/>
      <c r="Z842" s="160"/>
      <c r="AA842" s="160"/>
      <c r="AB842" s="160"/>
    </row>
    <row r="843" hidden="1">
      <c r="A843" s="130"/>
      <c r="B843" s="167"/>
      <c r="C843" s="13"/>
      <c r="D843" s="39" t="s">
        <v>819</v>
      </c>
      <c r="E843" s="61" t="s">
        <v>1420</v>
      </c>
      <c r="F843" s="61" t="s">
        <v>1421</v>
      </c>
      <c r="G843" s="128">
        <v>0.8125</v>
      </c>
      <c r="H843" s="39" t="s">
        <v>1607</v>
      </c>
      <c r="I843" s="39" t="s">
        <v>1608</v>
      </c>
      <c r="J843" s="39" t="s">
        <v>1423</v>
      </c>
      <c r="K843" s="8"/>
      <c r="L843" s="8"/>
      <c r="M843" s="8"/>
      <c r="N843" s="8"/>
      <c r="O843" s="8"/>
      <c r="P843" s="8"/>
      <c r="Q843" s="8"/>
      <c r="R843" s="8"/>
      <c r="S843" s="8"/>
      <c r="T843" s="8"/>
      <c r="U843" s="8"/>
      <c r="V843" s="8"/>
      <c r="W843" s="160"/>
      <c r="X843" s="160"/>
      <c r="Y843" s="160"/>
      <c r="Z843" s="160"/>
      <c r="AA843" s="160"/>
      <c r="AB843" s="160"/>
    </row>
    <row r="844" hidden="1">
      <c r="A844" s="130"/>
      <c r="B844" s="167"/>
      <c r="C844" s="13"/>
      <c r="D844" s="39"/>
      <c r="E844" s="61"/>
      <c r="F844" s="61"/>
      <c r="G844" s="128"/>
      <c r="H844" s="39"/>
      <c r="I844" s="39"/>
      <c r="J844" s="39"/>
      <c r="K844" s="8"/>
      <c r="L844" s="8"/>
      <c r="M844" s="8"/>
      <c r="N844" s="8"/>
      <c r="O844" s="8"/>
      <c r="P844" s="8"/>
      <c r="Q844" s="8"/>
      <c r="R844" s="8"/>
      <c r="S844" s="8"/>
      <c r="T844" s="8"/>
      <c r="U844" s="8"/>
      <c r="V844" s="8"/>
      <c r="W844" s="160"/>
      <c r="X844" s="160"/>
      <c r="Y844" s="160"/>
      <c r="Z844" s="160"/>
      <c r="AA844" s="160"/>
      <c r="AB844" s="160"/>
    </row>
    <row r="845" hidden="1">
      <c r="A845" s="130"/>
      <c r="B845" s="167"/>
      <c r="C845" s="13"/>
      <c r="D845" s="39"/>
      <c r="E845" s="61"/>
      <c r="F845" s="61"/>
      <c r="G845" s="128"/>
      <c r="H845" s="39"/>
      <c r="I845" s="39"/>
      <c r="J845" s="39"/>
      <c r="K845" s="8"/>
      <c r="L845" s="8"/>
      <c r="M845" s="8"/>
      <c r="N845" s="8"/>
      <c r="O845" s="8"/>
      <c r="P845" s="8"/>
      <c r="Q845" s="8"/>
      <c r="R845" s="8"/>
      <c r="S845" s="8"/>
      <c r="T845" s="8"/>
      <c r="U845" s="8"/>
      <c r="V845" s="8"/>
      <c r="W845" s="160"/>
      <c r="X845" s="160"/>
      <c r="Y845" s="160"/>
      <c r="Z845" s="160"/>
      <c r="AA845" s="160"/>
      <c r="AB845" s="160"/>
    </row>
    <row r="846">
      <c r="A846" s="130"/>
      <c r="B846" s="173"/>
      <c r="C846" s="94">
        <v>44481.0</v>
      </c>
      <c r="D846" s="8"/>
      <c r="E846" s="8"/>
      <c r="F846" s="8"/>
      <c r="G846" s="126"/>
      <c r="H846" s="8"/>
      <c r="I846" s="8"/>
      <c r="J846" s="8"/>
      <c r="K846" s="8"/>
      <c r="L846" s="8"/>
      <c r="M846" s="8"/>
      <c r="N846" s="8"/>
      <c r="O846" s="8"/>
      <c r="P846" s="8"/>
      <c r="Q846" s="8"/>
      <c r="R846" s="8"/>
      <c r="S846" s="8"/>
      <c r="T846" s="8"/>
      <c r="U846" s="8"/>
      <c r="V846" s="8"/>
      <c r="W846" s="160"/>
      <c r="X846" s="160"/>
      <c r="Y846" s="160"/>
      <c r="Z846" s="160"/>
      <c r="AA846" s="160"/>
      <c r="AB846" s="160"/>
    </row>
    <row r="847">
      <c r="A847" s="130"/>
      <c r="B847" s="159" t="s">
        <v>1450</v>
      </c>
      <c r="C847" s="13" t="s">
        <v>1609</v>
      </c>
      <c r="D847" s="8"/>
      <c r="E847" s="150"/>
      <c r="F847" s="150"/>
      <c r="G847" s="126"/>
      <c r="H847" s="8"/>
      <c r="I847" s="8"/>
      <c r="J847" s="8"/>
      <c r="K847" s="8"/>
      <c r="L847" s="8"/>
      <c r="M847" s="8"/>
      <c r="N847" s="8"/>
      <c r="O847" s="8"/>
      <c r="P847" s="8"/>
      <c r="Q847" s="8"/>
      <c r="R847" s="8"/>
      <c r="S847" s="8"/>
      <c r="T847" s="8"/>
      <c r="U847" s="8"/>
      <c r="V847" s="8"/>
      <c r="W847" s="160"/>
      <c r="X847" s="160"/>
      <c r="Y847" s="160"/>
      <c r="Z847" s="160"/>
      <c r="AA847" s="160"/>
      <c r="AB847" s="160"/>
    </row>
    <row r="848">
      <c r="A848" s="130" t="str">
        <f>E848</f>
        <v>6145b7312b54dc80fe390430</v>
      </c>
      <c r="B848" s="66"/>
      <c r="C848" s="13" t="s">
        <v>1609</v>
      </c>
      <c r="D848" s="70" t="s">
        <v>1610</v>
      </c>
      <c r="E848" s="155" t="s">
        <v>1611</v>
      </c>
      <c r="F848" s="155" t="s">
        <v>1612</v>
      </c>
      <c r="G848" s="70" t="s">
        <v>337</v>
      </c>
      <c r="H848" s="44" t="s">
        <v>1545</v>
      </c>
      <c r="I848" s="44" t="s">
        <v>1613</v>
      </c>
      <c r="J848" s="44" t="s">
        <v>1360</v>
      </c>
      <c r="K848" s="39" t="s">
        <v>1614</v>
      </c>
      <c r="L848" s="8"/>
      <c r="M848" s="8"/>
      <c r="N848" s="8"/>
      <c r="O848" s="8"/>
      <c r="P848" s="8"/>
      <c r="Q848" s="8"/>
      <c r="R848" s="8"/>
      <c r="S848" s="8"/>
      <c r="T848" s="8"/>
      <c r="U848" s="8"/>
      <c r="V848" s="8"/>
      <c r="W848" s="160"/>
      <c r="X848" s="160"/>
      <c r="Y848" s="160"/>
      <c r="Z848" s="160"/>
      <c r="AA848" s="160"/>
      <c r="AB848" s="160"/>
    </row>
    <row r="849">
      <c r="A849" s="130"/>
      <c r="B849" s="66"/>
      <c r="C849" s="13" t="s">
        <v>1609</v>
      </c>
      <c r="D849" s="70" t="s">
        <v>1610</v>
      </c>
      <c r="E849" s="155" t="s">
        <v>1615</v>
      </c>
      <c r="F849" s="155" t="s">
        <v>1616</v>
      </c>
      <c r="G849" s="70" t="s">
        <v>575</v>
      </c>
      <c r="H849" s="44" t="s">
        <v>1617</v>
      </c>
      <c r="I849" s="44" t="s">
        <v>1618</v>
      </c>
      <c r="J849" s="44" t="s">
        <v>1619</v>
      </c>
      <c r="K849" s="39" t="s">
        <v>1620</v>
      </c>
      <c r="L849" s="8"/>
      <c r="M849" s="8"/>
      <c r="N849" s="8"/>
      <c r="O849" s="8"/>
      <c r="P849" s="8"/>
      <c r="Q849" s="8"/>
      <c r="R849" s="8"/>
      <c r="S849" s="8"/>
      <c r="T849" s="8"/>
      <c r="U849" s="8"/>
      <c r="V849" s="8"/>
      <c r="W849" s="160"/>
      <c r="X849" s="160"/>
      <c r="Y849" s="160"/>
      <c r="Z849" s="160"/>
      <c r="AA849" s="160"/>
      <c r="AB849" s="160"/>
    </row>
    <row r="850">
      <c r="A850" s="130"/>
      <c r="B850" s="66"/>
      <c r="C850" s="13" t="s">
        <v>1609</v>
      </c>
      <c r="D850" s="44" t="s">
        <v>1621</v>
      </c>
      <c r="E850" s="73" t="s">
        <v>1622</v>
      </c>
      <c r="F850" s="73" t="s">
        <v>1623</v>
      </c>
      <c r="G850" s="43">
        <v>0.6458333333333334</v>
      </c>
      <c r="H850" s="155" t="s">
        <v>924</v>
      </c>
      <c r="I850" s="44" t="s">
        <v>1624</v>
      </c>
      <c r="J850" s="155" t="s">
        <v>1625</v>
      </c>
      <c r="K850" s="8"/>
      <c r="L850" s="8"/>
      <c r="M850" s="8"/>
      <c r="N850" s="8"/>
      <c r="O850" s="8"/>
      <c r="P850" s="8"/>
      <c r="Q850" s="8"/>
      <c r="R850" s="8"/>
      <c r="S850" s="8"/>
      <c r="T850" s="8"/>
      <c r="U850" s="8"/>
      <c r="V850" s="8"/>
      <c r="W850" s="160"/>
      <c r="X850" s="160"/>
      <c r="Y850" s="160"/>
      <c r="Z850" s="160"/>
      <c r="AA850" s="160"/>
      <c r="AB850" s="160"/>
    </row>
    <row r="851">
      <c r="A851" s="130"/>
      <c r="B851" s="66"/>
      <c r="C851" s="13" t="s">
        <v>1609</v>
      </c>
      <c r="D851" s="76" t="s">
        <v>1610</v>
      </c>
      <c r="E851" s="162" t="s">
        <v>1626</v>
      </c>
      <c r="F851" s="162" t="s">
        <v>1627</v>
      </c>
      <c r="G851" s="76" t="s">
        <v>378</v>
      </c>
      <c r="H851" s="18" t="s">
        <v>1628</v>
      </c>
      <c r="I851" s="18" t="s">
        <v>1624</v>
      </c>
      <c r="J851" s="18" t="s">
        <v>1629</v>
      </c>
      <c r="K851" s="8"/>
      <c r="L851" s="8"/>
      <c r="M851" s="8"/>
      <c r="N851" s="8"/>
      <c r="O851" s="8"/>
      <c r="P851" s="8"/>
      <c r="Q851" s="8"/>
      <c r="R851" s="8"/>
      <c r="S851" s="8"/>
      <c r="T851" s="8"/>
      <c r="U851" s="8"/>
      <c r="V851" s="8"/>
      <c r="W851" s="160"/>
      <c r="X851" s="160"/>
      <c r="Y851" s="160"/>
      <c r="Z851" s="160"/>
      <c r="AA851" s="160"/>
      <c r="AB851" s="160"/>
    </row>
    <row r="852">
      <c r="A852" s="130"/>
      <c r="B852" s="67"/>
      <c r="C852" s="13" t="s">
        <v>1609</v>
      </c>
      <c r="D852" s="76" t="s">
        <v>1610</v>
      </c>
      <c r="E852" s="162" t="s">
        <v>1630</v>
      </c>
      <c r="F852" s="162" t="s">
        <v>1631</v>
      </c>
      <c r="G852" s="76" t="s">
        <v>1632</v>
      </c>
      <c r="H852" s="18" t="s">
        <v>1633</v>
      </c>
      <c r="I852" s="18" t="s">
        <v>1634</v>
      </c>
      <c r="J852" s="18" t="s">
        <v>1635</v>
      </c>
      <c r="K852" s="8"/>
      <c r="L852" s="8"/>
      <c r="M852" s="8"/>
      <c r="N852" s="8"/>
      <c r="O852" s="8"/>
      <c r="P852" s="8"/>
      <c r="Q852" s="8"/>
      <c r="R852" s="8"/>
      <c r="S852" s="8"/>
      <c r="T852" s="8"/>
      <c r="U852" s="8"/>
      <c r="V852" s="8"/>
      <c r="W852" s="160"/>
      <c r="X852" s="160"/>
      <c r="Y852" s="160"/>
      <c r="Z852" s="160"/>
      <c r="AA852" s="160"/>
      <c r="AB852" s="160"/>
    </row>
    <row r="853">
      <c r="A853" s="130"/>
      <c r="B853" s="94"/>
      <c r="C853" s="94">
        <v>44482.0</v>
      </c>
      <c r="D853" s="8"/>
      <c r="E853" s="8"/>
      <c r="F853" s="8"/>
      <c r="G853" s="126"/>
      <c r="H853" s="8"/>
      <c r="I853" s="8"/>
      <c r="J853" s="8"/>
      <c r="K853" s="8"/>
      <c r="L853" s="8"/>
      <c r="M853" s="8"/>
      <c r="N853" s="8"/>
      <c r="O853" s="8"/>
      <c r="P853" s="8"/>
      <c r="Q853" s="8"/>
      <c r="R853" s="8"/>
      <c r="S853" s="8"/>
      <c r="T853" s="8"/>
      <c r="U853" s="8"/>
      <c r="V853" s="8"/>
      <c r="W853" s="160"/>
      <c r="X853" s="160"/>
      <c r="Y853" s="160"/>
      <c r="Z853" s="160"/>
      <c r="AA853" s="160"/>
      <c r="AB853" s="160"/>
    </row>
    <row r="854">
      <c r="A854" s="130"/>
      <c r="B854" s="159" t="s">
        <v>1450</v>
      </c>
      <c r="C854" s="13" t="s">
        <v>1609</v>
      </c>
      <c r="D854" s="44" t="s">
        <v>1621</v>
      </c>
      <c r="E854" s="73" t="s">
        <v>1636</v>
      </c>
      <c r="F854" s="73" t="s">
        <v>1637</v>
      </c>
      <c r="G854" s="174">
        <v>0.5</v>
      </c>
      <c r="H854" s="73" t="s">
        <v>1638</v>
      </c>
      <c r="I854" s="155" t="s">
        <v>1639</v>
      </c>
      <c r="J854" s="155" t="s">
        <v>1640</v>
      </c>
      <c r="K854" s="39" t="s">
        <v>1641</v>
      </c>
      <c r="L854" s="8"/>
      <c r="M854" s="8"/>
      <c r="N854" s="8"/>
      <c r="O854" s="8"/>
      <c r="P854" s="8"/>
      <c r="Q854" s="8"/>
      <c r="R854" s="8"/>
      <c r="S854" s="8"/>
      <c r="T854" s="8"/>
      <c r="U854" s="8"/>
      <c r="V854" s="8"/>
      <c r="W854" s="160"/>
      <c r="X854" s="160"/>
      <c r="Y854" s="160"/>
      <c r="Z854" s="160"/>
      <c r="AA854" s="160"/>
      <c r="AB854" s="160"/>
    </row>
    <row r="855">
      <c r="A855" s="130" t="str">
        <f>E855</f>
        <v>6145b7312b54dc80fe390430</v>
      </c>
      <c r="B855" s="66"/>
      <c r="C855" s="13" t="s">
        <v>1609</v>
      </c>
      <c r="D855" s="44" t="s">
        <v>1621</v>
      </c>
      <c r="E855" s="155" t="s">
        <v>1611</v>
      </c>
      <c r="F855" s="73" t="s">
        <v>1612</v>
      </c>
      <c r="G855" s="43">
        <v>0.5833333333333334</v>
      </c>
      <c r="H855" s="44" t="s">
        <v>1545</v>
      </c>
      <c r="I855" s="44" t="s">
        <v>1642</v>
      </c>
      <c r="J855" s="44" t="s">
        <v>1360</v>
      </c>
      <c r="K855" s="39" t="s">
        <v>1643</v>
      </c>
      <c r="L855" s="8"/>
      <c r="M855" s="8"/>
      <c r="N855" s="8"/>
      <c r="O855" s="8"/>
      <c r="P855" s="8"/>
      <c r="Q855" s="8"/>
      <c r="R855" s="8"/>
      <c r="S855" s="8"/>
      <c r="T855" s="8"/>
      <c r="U855" s="8"/>
      <c r="V855" s="8"/>
      <c r="W855" s="160"/>
      <c r="X855" s="160"/>
      <c r="Y855" s="160"/>
      <c r="Z855" s="160"/>
      <c r="AA855" s="160"/>
      <c r="AB855" s="160"/>
    </row>
    <row r="856">
      <c r="A856" s="130"/>
      <c r="B856" s="66"/>
      <c r="C856" s="13"/>
      <c r="D856" s="18" t="s">
        <v>819</v>
      </c>
      <c r="E856" s="162" t="s">
        <v>1644</v>
      </c>
      <c r="F856" s="162" t="s">
        <v>1645</v>
      </c>
      <c r="G856" s="22">
        <v>0.7083333333333334</v>
      </c>
      <c r="H856" s="171" t="s">
        <v>269</v>
      </c>
      <c r="I856" s="18" t="s">
        <v>1646</v>
      </c>
      <c r="J856" s="162" t="s">
        <v>1647</v>
      </c>
      <c r="K856" s="23"/>
      <c r="L856" s="8"/>
      <c r="M856" s="8"/>
      <c r="N856" s="8"/>
      <c r="O856" s="8"/>
      <c r="P856" s="8"/>
      <c r="Q856" s="8"/>
      <c r="R856" s="8"/>
      <c r="S856" s="8"/>
      <c r="T856" s="8"/>
      <c r="U856" s="8"/>
      <c r="V856" s="8"/>
      <c r="W856" s="160"/>
      <c r="X856" s="160"/>
      <c r="Y856" s="160"/>
      <c r="Z856" s="160"/>
      <c r="AA856" s="160"/>
      <c r="AB856" s="160"/>
    </row>
    <row r="857">
      <c r="A857" s="130"/>
      <c r="B857" s="66"/>
      <c r="C857" s="13" t="s">
        <v>1609</v>
      </c>
      <c r="D857" s="44" t="s">
        <v>1621</v>
      </c>
      <c r="E857" s="73" t="s">
        <v>1648</v>
      </c>
      <c r="F857" s="73" t="s">
        <v>1649</v>
      </c>
      <c r="G857" s="43">
        <v>0.6666666666666666</v>
      </c>
      <c r="H857" s="155" t="s">
        <v>924</v>
      </c>
      <c r="I857" s="73" t="s">
        <v>1650</v>
      </c>
      <c r="J857" s="155" t="s">
        <v>1651</v>
      </c>
      <c r="K857" s="39" t="s">
        <v>1652</v>
      </c>
      <c r="L857" s="8"/>
      <c r="M857" s="8"/>
      <c r="N857" s="8"/>
      <c r="O857" s="8"/>
      <c r="P857" s="8"/>
      <c r="Q857" s="8"/>
      <c r="R857" s="8"/>
      <c r="S857" s="8"/>
      <c r="T857" s="8"/>
      <c r="U857" s="8"/>
      <c r="V857" s="8"/>
      <c r="W857" s="160"/>
      <c r="X857" s="160"/>
      <c r="Y857" s="160"/>
      <c r="Z857" s="160"/>
      <c r="AA857" s="160"/>
      <c r="AB857" s="160"/>
    </row>
    <row r="858">
      <c r="A858" s="130"/>
      <c r="B858" s="66"/>
      <c r="C858" s="13" t="s">
        <v>1609</v>
      </c>
      <c r="D858" s="44" t="s">
        <v>1621</v>
      </c>
      <c r="E858" s="155" t="s">
        <v>1653</v>
      </c>
      <c r="F858" s="73" t="s">
        <v>1654</v>
      </c>
      <c r="G858" s="43">
        <v>0.75</v>
      </c>
      <c r="H858" s="73" t="s">
        <v>1655</v>
      </c>
      <c r="I858" s="73" t="s">
        <v>1656</v>
      </c>
      <c r="J858" s="73" t="s">
        <v>1657</v>
      </c>
      <c r="K858" s="39" t="s">
        <v>1658</v>
      </c>
      <c r="L858" s="8"/>
      <c r="M858" s="8"/>
      <c r="N858" s="8"/>
      <c r="O858" s="8"/>
      <c r="P858" s="8"/>
      <c r="Q858" s="8"/>
      <c r="R858" s="8"/>
      <c r="S858" s="8"/>
      <c r="T858" s="8"/>
      <c r="U858" s="8"/>
      <c r="V858" s="8"/>
      <c r="W858" s="160"/>
      <c r="X858" s="160"/>
      <c r="Y858" s="160"/>
      <c r="Z858" s="160"/>
      <c r="AA858" s="160"/>
      <c r="AB858" s="160"/>
    </row>
    <row r="859">
      <c r="A859" s="130"/>
      <c r="B859" s="67"/>
      <c r="C859" s="13" t="s">
        <v>1609</v>
      </c>
      <c r="D859" s="8"/>
      <c r="E859" s="8"/>
      <c r="F859" s="8"/>
      <c r="G859" s="126"/>
      <c r="H859" s="8"/>
      <c r="I859" s="8"/>
      <c r="J859" s="8"/>
      <c r="K859" s="8"/>
      <c r="L859" s="8"/>
      <c r="M859" s="8"/>
      <c r="N859" s="8"/>
      <c r="O859" s="8"/>
      <c r="P859" s="8"/>
      <c r="Q859" s="8"/>
      <c r="R859" s="8"/>
      <c r="S859" s="8"/>
      <c r="T859" s="8"/>
      <c r="U859" s="8"/>
      <c r="V859" s="8"/>
      <c r="W859" s="160"/>
      <c r="X859" s="160"/>
      <c r="Y859" s="160"/>
      <c r="Z859" s="160"/>
      <c r="AA859" s="160"/>
      <c r="AB859" s="160"/>
    </row>
    <row r="860">
      <c r="A860" s="130"/>
      <c r="B860" s="94"/>
      <c r="C860" s="94">
        <v>44483.0</v>
      </c>
      <c r="D860" s="8"/>
      <c r="E860" s="8"/>
      <c r="F860" s="8"/>
      <c r="G860" s="126"/>
      <c r="H860" s="8"/>
      <c r="I860" s="8"/>
      <c r="J860" s="8"/>
      <c r="K860" s="8"/>
      <c r="L860" s="8"/>
      <c r="M860" s="8"/>
      <c r="N860" s="8"/>
      <c r="O860" s="8"/>
      <c r="P860" s="8"/>
      <c r="Q860" s="8"/>
      <c r="R860" s="8"/>
      <c r="S860" s="8"/>
      <c r="T860" s="8"/>
      <c r="U860" s="8"/>
      <c r="V860" s="8"/>
      <c r="W860" s="160"/>
      <c r="X860" s="160"/>
      <c r="Y860" s="160"/>
      <c r="Z860" s="160"/>
      <c r="AA860" s="160"/>
      <c r="AB860" s="160"/>
    </row>
    <row r="861">
      <c r="A861" s="130"/>
      <c r="B861" s="159" t="s">
        <v>1450</v>
      </c>
      <c r="C861" s="13" t="s">
        <v>1609</v>
      </c>
      <c r="D861" s="18" t="s">
        <v>943</v>
      </c>
      <c r="E861" s="162" t="s">
        <v>1659</v>
      </c>
      <c r="F861" s="162" t="s">
        <v>1660</v>
      </c>
      <c r="G861" s="22">
        <v>0.5625</v>
      </c>
      <c r="H861" s="18" t="s">
        <v>1661</v>
      </c>
      <c r="I861" s="18" t="s">
        <v>1662</v>
      </c>
      <c r="J861" s="18" t="s">
        <v>1663</v>
      </c>
      <c r="K861" s="8"/>
      <c r="L861" s="8"/>
      <c r="M861" s="8"/>
      <c r="N861" s="8"/>
      <c r="O861" s="8"/>
      <c r="P861" s="8"/>
      <c r="Q861" s="8"/>
      <c r="R861" s="8"/>
      <c r="S861" s="8"/>
      <c r="T861" s="8"/>
      <c r="U861" s="8"/>
      <c r="V861" s="8"/>
      <c r="W861" s="160"/>
      <c r="X861" s="160"/>
      <c r="Y861" s="160"/>
      <c r="Z861" s="160"/>
      <c r="AA861" s="160"/>
      <c r="AB861" s="160"/>
    </row>
    <row r="862">
      <c r="A862" s="130" t="str">
        <f>E862</f>
        <v>615a0a89c7a73a43e088ff61</v>
      </c>
      <c r="B862" s="66"/>
      <c r="C862" s="13" t="s">
        <v>1609</v>
      </c>
      <c r="D862" s="18" t="s">
        <v>943</v>
      </c>
      <c r="E862" s="162" t="s">
        <v>1664</v>
      </c>
      <c r="F862" s="162" t="s">
        <v>1665</v>
      </c>
      <c r="G862" s="22">
        <v>0.625</v>
      </c>
      <c r="H862" s="18" t="s">
        <v>1666</v>
      </c>
      <c r="I862" s="18" t="s">
        <v>1667</v>
      </c>
      <c r="J862" s="162" t="s">
        <v>1668</v>
      </c>
      <c r="K862" s="8"/>
      <c r="L862" s="8"/>
      <c r="M862" s="8"/>
      <c r="N862" s="8"/>
      <c r="O862" s="8"/>
      <c r="P862" s="8"/>
      <c r="Q862" s="8"/>
      <c r="R862" s="8"/>
      <c r="S862" s="8"/>
      <c r="T862" s="8"/>
      <c r="U862" s="8"/>
      <c r="V862" s="8"/>
      <c r="W862" s="160"/>
      <c r="X862" s="160"/>
      <c r="Y862" s="160"/>
      <c r="Z862" s="160"/>
      <c r="AA862" s="160"/>
      <c r="AB862" s="160"/>
    </row>
    <row r="863">
      <c r="A863" s="130"/>
      <c r="B863" s="66"/>
      <c r="C863" s="13" t="s">
        <v>1609</v>
      </c>
      <c r="D863" s="39" t="s">
        <v>943</v>
      </c>
      <c r="E863" s="150" t="s">
        <v>1669</v>
      </c>
      <c r="F863" s="150" t="s">
        <v>1670</v>
      </c>
      <c r="G863" s="128">
        <v>0.6875</v>
      </c>
      <c r="H863" s="39" t="s">
        <v>1671</v>
      </c>
      <c r="I863" s="39" t="s">
        <v>1672</v>
      </c>
      <c r="J863" s="39" t="s">
        <v>1673</v>
      </c>
      <c r="K863" s="8"/>
      <c r="L863" s="8"/>
      <c r="M863" s="8"/>
      <c r="N863" s="8"/>
      <c r="O863" s="8"/>
      <c r="P863" s="8"/>
      <c r="Q863" s="8"/>
      <c r="R863" s="8"/>
      <c r="S863" s="8"/>
      <c r="T863" s="8"/>
      <c r="U863" s="8"/>
      <c r="V863" s="8"/>
      <c r="W863" s="160"/>
      <c r="X863" s="160"/>
      <c r="Y863" s="160"/>
      <c r="Z863" s="160"/>
      <c r="AA863" s="160"/>
      <c r="AB863" s="160"/>
    </row>
    <row r="864">
      <c r="A864" s="130"/>
      <c r="B864" s="66"/>
      <c r="C864" s="13" t="s">
        <v>1609</v>
      </c>
      <c r="D864" s="44" t="s">
        <v>943</v>
      </c>
      <c r="E864" s="155" t="s">
        <v>1674</v>
      </c>
      <c r="F864" s="155" t="s">
        <v>1675</v>
      </c>
      <c r="G864" s="43">
        <v>0.7291666666666666</v>
      </c>
      <c r="H864" s="44" t="s">
        <v>1676</v>
      </c>
      <c r="I864" s="44" t="s">
        <v>1677</v>
      </c>
      <c r="J864" s="155" t="s">
        <v>1678</v>
      </c>
      <c r="K864" s="8"/>
      <c r="L864" s="8"/>
      <c r="M864" s="8"/>
      <c r="N864" s="8"/>
      <c r="O864" s="8"/>
      <c r="P864" s="8"/>
      <c r="Q864" s="8"/>
      <c r="R864" s="8"/>
      <c r="S864" s="8"/>
      <c r="T864" s="8"/>
      <c r="U864" s="8"/>
      <c r="V864" s="8"/>
      <c r="W864" s="160"/>
      <c r="X864" s="160"/>
      <c r="Y864" s="160"/>
      <c r="Z864" s="160"/>
      <c r="AA864" s="160"/>
      <c r="AB864" s="160"/>
    </row>
    <row r="865">
      <c r="A865" s="130"/>
      <c r="B865" s="67"/>
      <c r="C865" s="13" t="s">
        <v>1609</v>
      </c>
      <c r="D865" s="18" t="s">
        <v>943</v>
      </c>
      <c r="E865" s="162" t="s">
        <v>1679</v>
      </c>
      <c r="F865" s="162" t="s">
        <v>1680</v>
      </c>
      <c r="G865" s="22">
        <v>0.7708333333333334</v>
      </c>
      <c r="H865" s="18" t="s">
        <v>1681</v>
      </c>
      <c r="I865" s="18" t="s">
        <v>1682</v>
      </c>
      <c r="J865" s="147" t="s">
        <v>1683</v>
      </c>
      <c r="K865" s="8"/>
      <c r="L865" s="8"/>
      <c r="M865" s="8"/>
      <c r="N865" s="8"/>
      <c r="O865" s="8"/>
      <c r="P865" s="8"/>
      <c r="Q865" s="8"/>
      <c r="R865" s="8"/>
      <c r="S865" s="8"/>
      <c r="T865" s="8"/>
      <c r="U865" s="8"/>
      <c r="V865" s="8"/>
      <c r="W865" s="160"/>
      <c r="X865" s="160"/>
      <c r="Y865" s="160"/>
      <c r="Z865" s="160"/>
      <c r="AA865" s="160"/>
      <c r="AB865" s="160"/>
    </row>
    <row r="866">
      <c r="A866" s="130"/>
      <c r="B866" s="94"/>
      <c r="C866" s="94">
        <v>44484.0</v>
      </c>
      <c r="D866" s="39"/>
      <c r="E866" s="150"/>
      <c r="F866" s="150"/>
      <c r="G866" s="128"/>
      <c r="H866" s="39"/>
      <c r="I866" s="39"/>
      <c r="J866" s="39"/>
      <c r="K866" s="8"/>
      <c r="L866" s="8"/>
      <c r="M866" s="8"/>
      <c r="N866" s="8"/>
      <c r="O866" s="8"/>
      <c r="P866" s="8"/>
      <c r="Q866" s="8"/>
      <c r="R866" s="8"/>
      <c r="S866" s="8"/>
      <c r="T866" s="8"/>
      <c r="U866" s="8"/>
      <c r="V866" s="8"/>
      <c r="W866" s="160"/>
      <c r="X866" s="160"/>
      <c r="Y866" s="160"/>
      <c r="Z866" s="160"/>
      <c r="AA866" s="160"/>
      <c r="AB866" s="160"/>
    </row>
    <row r="867">
      <c r="A867" s="130"/>
      <c r="B867" s="159" t="s">
        <v>1450</v>
      </c>
      <c r="C867" s="13" t="s">
        <v>1609</v>
      </c>
      <c r="D867" s="44" t="s">
        <v>943</v>
      </c>
      <c r="E867" s="155" t="s">
        <v>1684</v>
      </c>
      <c r="F867" s="155" t="s">
        <v>1685</v>
      </c>
      <c r="G867" s="43">
        <v>0.5</v>
      </c>
      <c r="H867" s="44" t="s">
        <v>1666</v>
      </c>
      <c r="I867" s="44" t="s">
        <v>1686</v>
      </c>
      <c r="J867" s="44" t="s">
        <v>1687</v>
      </c>
      <c r="K867" s="39" t="s">
        <v>1688</v>
      </c>
      <c r="L867" s="8"/>
      <c r="M867" s="8"/>
      <c r="N867" s="8"/>
      <c r="O867" s="8"/>
      <c r="P867" s="8"/>
      <c r="Q867" s="8"/>
      <c r="R867" s="8"/>
      <c r="S867" s="8"/>
      <c r="T867" s="8"/>
      <c r="U867" s="8"/>
      <c r="V867" s="8"/>
      <c r="W867" s="160"/>
      <c r="X867" s="160"/>
      <c r="Y867" s="160"/>
      <c r="Z867" s="160"/>
      <c r="AA867" s="160"/>
      <c r="AB867" s="160"/>
    </row>
    <row r="868">
      <c r="A868" s="130" t="str">
        <f>E868</f>
        <v>5fa06de8c9dffe81880549b0</v>
      </c>
      <c r="B868" s="66"/>
      <c r="C868" s="13" t="s">
        <v>1609</v>
      </c>
      <c r="D868" s="44" t="s">
        <v>943</v>
      </c>
      <c r="E868" s="155" t="s">
        <v>494</v>
      </c>
      <c r="F868" s="155" t="s">
        <v>495</v>
      </c>
      <c r="G868" s="43">
        <v>0.5416666666666666</v>
      </c>
      <c r="H868" s="44" t="s">
        <v>1666</v>
      </c>
      <c r="I868" s="44" t="s">
        <v>1689</v>
      </c>
      <c r="J868" s="44" t="s">
        <v>498</v>
      </c>
      <c r="K868" s="39" t="s">
        <v>1690</v>
      </c>
      <c r="L868" s="8"/>
      <c r="M868" s="8"/>
      <c r="N868" s="8"/>
      <c r="O868" s="8"/>
      <c r="P868" s="8"/>
      <c r="Q868" s="8"/>
      <c r="R868" s="8"/>
      <c r="S868" s="8"/>
      <c r="T868" s="8"/>
      <c r="U868" s="8"/>
      <c r="V868" s="8"/>
      <c r="W868" s="160"/>
      <c r="X868" s="160"/>
      <c r="Y868" s="160"/>
      <c r="Z868" s="160"/>
      <c r="AA868" s="160"/>
      <c r="AB868" s="160"/>
    </row>
    <row r="869">
      <c r="A869" s="130"/>
      <c r="B869" s="66"/>
      <c r="C869" s="13"/>
      <c r="D869" s="18" t="s">
        <v>819</v>
      </c>
      <c r="E869" s="175" t="s">
        <v>1691</v>
      </c>
      <c r="F869" s="175" t="s">
        <v>1692</v>
      </c>
      <c r="G869" s="22">
        <v>0.5833333333333334</v>
      </c>
      <c r="H869" s="18" t="s">
        <v>269</v>
      </c>
      <c r="I869" s="18" t="s">
        <v>1693</v>
      </c>
      <c r="J869" s="175" t="s">
        <v>1694</v>
      </c>
      <c r="K869" s="39"/>
      <c r="L869" s="8"/>
      <c r="M869" s="8"/>
      <c r="N869" s="8"/>
      <c r="O869" s="8"/>
      <c r="P869" s="8"/>
      <c r="Q869" s="8"/>
      <c r="R869" s="8"/>
      <c r="S869" s="8"/>
      <c r="T869" s="8"/>
      <c r="U869" s="8"/>
      <c r="V869" s="8"/>
      <c r="W869" s="160"/>
      <c r="X869" s="160"/>
      <c r="Y869" s="160"/>
      <c r="Z869" s="160"/>
      <c r="AA869" s="160"/>
      <c r="AB869" s="160"/>
    </row>
    <row r="870">
      <c r="A870" s="130"/>
      <c r="B870" s="66"/>
      <c r="C870" s="13"/>
      <c r="D870" s="44" t="s">
        <v>819</v>
      </c>
      <c r="E870" s="155" t="s">
        <v>1695</v>
      </c>
      <c r="F870" s="155" t="s">
        <v>1696</v>
      </c>
      <c r="G870" s="43">
        <v>0.5833333333333334</v>
      </c>
      <c r="H870" s="44" t="s">
        <v>384</v>
      </c>
      <c r="I870" s="44" t="s">
        <v>1697</v>
      </c>
      <c r="J870" s="44" t="s">
        <v>1698</v>
      </c>
      <c r="K870" s="39"/>
      <c r="L870" s="8"/>
      <c r="M870" s="8"/>
      <c r="N870" s="8"/>
      <c r="O870" s="8"/>
      <c r="P870" s="8"/>
      <c r="Q870" s="8"/>
      <c r="R870" s="8"/>
      <c r="S870" s="8"/>
      <c r="T870" s="8"/>
      <c r="U870" s="8"/>
      <c r="V870" s="8"/>
      <c r="W870" s="160"/>
      <c r="X870" s="160"/>
      <c r="Y870" s="160"/>
      <c r="Z870" s="160"/>
      <c r="AA870" s="160"/>
      <c r="AB870" s="160"/>
    </row>
    <row r="871">
      <c r="A871" s="130"/>
      <c r="B871" s="66"/>
      <c r="C871" s="13" t="s">
        <v>1609</v>
      </c>
      <c r="D871" s="44" t="s">
        <v>943</v>
      </c>
      <c r="E871" s="155" t="s">
        <v>677</v>
      </c>
      <c r="F871" s="155" t="s">
        <v>678</v>
      </c>
      <c r="G871" s="43">
        <v>0.6666666666666666</v>
      </c>
      <c r="H871" s="44" t="s">
        <v>1699</v>
      </c>
      <c r="I871" s="44" t="s">
        <v>1700</v>
      </c>
      <c r="J871" s="44" t="s">
        <v>680</v>
      </c>
      <c r="K871" s="39" t="s">
        <v>1701</v>
      </c>
      <c r="L871" s="8"/>
      <c r="M871" s="8"/>
      <c r="N871" s="8"/>
      <c r="O871" s="8"/>
      <c r="P871" s="8"/>
      <c r="Q871" s="8"/>
      <c r="R871" s="8"/>
      <c r="S871" s="8"/>
      <c r="T871" s="8"/>
      <c r="U871" s="8"/>
      <c r="V871" s="8"/>
      <c r="W871" s="160"/>
      <c r="X871" s="160"/>
      <c r="Y871" s="160"/>
      <c r="Z871" s="160"/>
      <c r="AA871" s="160"/>
      <c r="AB871" s="160"/>
    </row>
    <row r="872">
      <c r="A872" s="130"/>
      <c r="B872" s="66"/>
      <c r="C872" s="13"/>
      <c r="D872" s="18" t="s">
        <v>819</v>
      </c>
      <c r="E872" s="162" t="s">
        <v>889</v>
      </c>
      <c r="F872" s="162" t="s">
        <v>1702</v>
      </c>
      <c r="G872" s="22">
        <v>0.75</v>
      </c>
      <c r="H872" s="162" t="s">
        <v>924</v>
      </c>
      <c r="I872" s="62" t="s">
        <v>1650</v>
      </c>
      <c r="J872" s="162" t="s">
        <v>1651</v>
      </c>
      <c r="K872" s="8"/>
      <c r="L872" s="8"/>
      <c r="M872" s="8"/>
      <c r="N872" s="8"/>
      <c r="O872" s="8"/>
      <c r="P872" s="8"/>
      <c r="Q872" s="8"/>
      <c r="R872" s="8"/>
      <c r="S872" s="8"/>
      <c r="T872" s="8"/>
      <c r="U872" s="8"/>
      <c r="V872" s="8"/>
      <c r="W872" s="160"/>
      <c r="X872" s="160"/>
      <c r="Y872" s="160"/>
      <c r="Z872" s="160"/>
      <c r="AA872" s="160"/>
      <c r="AB872" s="160"/>
    </row>
    <row r="873">
      <c r="A873" s="130"/>
      <c r="B873" s="66"/>
      <c r="C873" s="13" t="s">
        <v>1609</v>
      </c>
      <c r="D873" s="18" t="s">
        <v>819</v>
      </c>
      <c r="E873" s="62" t="s">
        <v>1648</v>
      </c>
      <c r="F873" s="62" t="s">
        <v>1649</v>
      </c>
      <c r="G873" s="22">
        <v>0.75</v>
      </c>
      <c r="H873" s="162" t="s">
        <v>924</v>
      </c>
      <c r="I873" s="62" t="s">
        <v>1650</v>
      </c>
      <c r="J873" s="162" t="s">
        <v>1651</v>
      </c>
      <c r="K873" s="8"/>
      <c r="L873" s="8"/>
      <c r="M873" s="8"/>
      <c r="N873" s="8"/>
      <c r="O873" s="8"/>
      <c r="P873" s="8"/>
      <c r="Q873" s="8"/>
      <c r="R873" s="8"/>
      <c r="S873" s="8"/>
      <c r="T873" s="8"/>
      <c r="U873" s="8"/>
      <c r="V873" s="8"/>
      <c r="W873" s="160"/>
      <c r="X873" s="160"/>
      <c r="Y873" s="160"/>
      <c r="Z873" s="160"/>
      <c r="AA873" s="160"/>
      <c r="AB873" s="160"/>
    </row>
    <row r="874">
      <c r="A874" s="130"/>
      <c r="B874" s="67"/>
      <c r="C874" s="13" t="s">
        <v>1609</v>
      </c>
      <c r="D874" s="8"/>
      <c r="E874" s="8"/>
      <c r="F874" s="8"/>
      <c r="G874" s="126"/>
      <c r="H874" s="8"/>
      <c r="I874" s="8"/>
      <c r="J874" s="8"/>
      <c r="K874" s="8"/>
      <c r="L874" s="8"/>
      <c r="M874" s="8"/>
      <c r="N874" s="8"/>
      <c r="O874" s="8"/>
      <c r="P874" s="8"/>
      <c r="Q874" s="8"/>
      <c r="R874" s="8"/>
      <c r="S874" s="8"/>
      <c r="T874" s="8"/>
      <c r="U874" s="8"/>
      <c r="V874" s="8"/>
      <c r="W874" s="160"/>
      <c r="X874" s="160"/>
      <c r="Y874" s="160"/>
      <c r="Z874" s="160"/>
      <c r="AA874" s="160"/>
      <c r="AB874" s="160"/>
    </row>
    <row r="875">
      <c r="A875" s="176"/>
      <c r="B875" s="173"/>
      <c r="C875" s="94">
        <v>44485.0</v>
      </c>
      <c r="D875" s="8"/>
      <c r="E875" s="8"/>
      <c r="F875" s="8"/>
      <c r="G875" s="126"/>
      <c r="H875" s="8"/>
      <c r="I875" s="8"/>
      <c r="J875" s="8"/>
      <c r="K875" s="8"/>
      <c r="L875" s="8"/>
      <c r="M875" s="8"/>
      <c r="N875" s="8"/>
      <c r="O875" s="8"/>
      <c r="P875" s="8"/>
      <c r="Q875" s="8"/>
      <c r="R875" s="8"/>
      <c r="S875" s="8"/>
      <c r="T875" s="8"/>
      <c r="U875" s="8"/>
      <c r="V875" s="8"/>
      <c r="W875" s="160"/>
      <c r="X875" s="160"/>
      <c r="Y875" s="160"/>
      <c r="Z875" s="160"/>
      <c r="AA875" s="160"/>
      <c r="AB875" s="160"/>
    </row>
    <row r="876">
      <c r="A876" s="176"/>
      <c r="B876" s="159" t="s">
        <v>1450</v>
      </c>
      <c r="C876" s="13" t="s">
        <v>1609</v>
      </c>
      <c r="D876" s="8"/>
      <c r="E876" s="177" t="s">
        <v>1703</v>
      </c>
      <c r="F876" s="11"/>
      <c r="G876" s="126"/>
      <c r="H876" s="8"/>
      <c r="I876" s="8"/>
      <c r="J876" s="8"/>
      <c r="K876" s="8"/>
      <c r="L876" s="8"/>
      <c r="M876" s="8"/>
      <c r="N876" s="8"/>
      <c r="O876" s="8"/>
      <c r="P876" s="8"/>
      <c r="Q876" s="8"/>
      <c r="R876" s="8"/>
      <c r="S876" s="8"/>
      <c r="T876" s="8"/>
      <c r="U876" s="8"/>
      <c r="V876" s="8"/>
      <c r="W876" s="160"/>
      <c r="X876" s="160"/>
      <c r="Y876" s="160"/>
      <c r="Z876" s="160"/>
      <c r="AA876" s="160"/>
      <c r="AB876" s="160"/>
    </row>
    <row r="877">
      <c r="A877" s="176"/>
      <c r="B877" s="66"/>
      <c r="C877" s="13" t="s">
        <v>1609</v>
      </c>
      <c r="D877" s="18" t="s">
        <v>819</v>
      </c>
      <c r="E877" s="175" t="s">
        <v>1704</v>
      </c>
      <c r="F877" s="175" t="s">
        <v>1705</v>
      </c>
      <c r="G877" s="22">
        <v>0.4166666666666667</v>
      </c>
      <c r="H877" s="18" t="s">
        <v>1706</v>
      </c>
      <c r="I877" s="18" t="s">
        <v>1707</v>
      </c>
      <c r="J877" s="175" t="s">
        <v>1651</v>
      </c>
      <c r="K877" s="8"/>
      <c r="L877" s="8"/>
      <c r="M877" s="8"/>
      <c r="N877" s="8"/>
      <c r="O877" s="8"/>
      <c r="P877" s="8"/>
      <c r="Q877" s="8"/>
      <c r="R877" s="8"/>
      <c r="S877" s="8"/>
      <c r="T877" s="8"/>
      <c r="U877" s="8"/>
      <c r="V877" s="8"/>
      <c r="W877" s="160"/>
      <c r="X877" s="160"/>
      <c r="Y877" s="160"/>
      <c r="Z877" s="160"/>
      <c r="AA877" s="160"/>
      <c r="AB877" s="160"/>
    </row>
    <row r="878">
      <c r="A878" s="176"/>
      <c r="B878" s="66"/>
      <c r="C878" s="13" t="s">
        <v>1609</v>
      </c>
      <c r="D878" s="8"/>
      <c r="E878" s="8"/>
      <c r="F878" s="8"/>
      <c r="G878" s="126"/>
      <c r="H878" s="8"/>
      <c r="I878" s="8"/>
      <c r="J878" s="8"/>
      <c r="K878" s="8"/>
      <c r="L878" s="8"/>
      <c r="M878" s="8"/>
      <c r="N878" s="8"/>
      <c r="O878" s="8"/>
      <c r="P878" s="8"/>
      <c r="Q878" s="8"/>
      <c r="R878" s="8"/>
      <c r="S878" s="8"/>
      <c r="T878" s="8"/>
      <c r="U878" s="8"/>
      <c r="V878" s="8"/>
      <c r="W878" s="160"/>
      <c r="X878" s="160"/>
      <c r="Y878" s="160"/>
      <c r="Z878" s="160"/>
      <c r="AA878" s="160"/>
      <c r="AB878" s="160"/>
    </row>
    <row r="879">
      <c r="A879" s="176"/>
      <c r="B879" s="66"/>
      <c r="C879" s="13" t="s">
        <v>1609</v>
      </c>
      <c r="D879" s="8"/>
      <c r="E879" s="8"/>
      <c r="F879" s="8"/>
      <c r="G879" s="126"/>
      <c r="H879" s="8"/>
      <c r="I879" s="8"/>
      <c r="J879" s="8"/>
      <c r="K879" s="8"/>
      <c r="L879" s="8"/>
      <c r="M879" s="8"/>
      <c r="N879" s="8"/>
      <c r="O879" s="8"/>
      <c r="P879" s="8"/>
      <c r="Q879" s="8"/>
      <c r="R879" s="8"/>
      <c r="S879" s="8"/>
      <c r="T879" s="8"/>
      <c r="U879" s="8"/>
      <c r="V879" s="8"/>
      <c r="W879" s="160"/>
      <c r="X879" s="160"/>
      <c r="Y879" s="160"/>
      <c r="Z879" s="160"/>
      <c r="AA879" s="160"/>
      <c r="AB879" s="160"/>
    </row>
    <row r="880">
      <c r="A880" s="176"/>
      <c r="B880" s="67"/>
      <c r="C880" s="13" t="s">
        <v>1609</v>
      </c>
      <c r="D880" s="8"/>
      <c r="E880" s="8"/>
      <c r="F880" s="8"/>
      <c r="G880" s="126"/>
      <c r="H880" s="8"/>
      <c r="I880" s="8"/>
      <c r="J880" s="8"/>
      <c r="K880" s="8"/>
      <c r="L880" s="8"/>
      <c r="M880" s="8"/>
      <c r="N880" s="8"/>
      <c r="O880" s="8"/>
      <c r="P880" s="8"/>
      <c r="Q880" s="8"/>
      <c r="R880" s="8"/>
      <c r="S880" s="8"/>
      <c r="T880" s="8"/>
      <c r="U880" s="8"/>
      <c r="V880" s="8"/>
      <c r="W880" s="160"/>
      <c r="X880" s="160"/>
      <c r="Y880" s="160"/>
      <c r="Z880" s="160"/>
      <c r="AA880" s="160"/>
      <c r="AB880" s="160"/>
    </row>
    <row r="881">
      <c r="A881" s="176"/>
      <c r="B881" s="94"/>
      <c r="C881" s="94">
        <v>44487.0</v>
      </c>
      <c r="D881" s="8"/>
      <c r="E881" s="8"/>
      <c r="F881" s="8"/>
      <c r="G881" s="126"/>
      <c r="H881" s="8"/>
      <c r="I881" s="8"/>
      <c r="J881" s="8"/>
      <c r="K881" s="8"/>
      <c r="L881" s="8"/>
      <c r="M881" s="8"/>
      <c r="N881" s="8"/>
      <c r="O881" s="8"/>
      <c r="P881" s="8"/>
      <c r="Q881" s="8"/>
      <c r="R881" s="8"/>
      <c r="S881" s="8"/>
      <c r="T881" s="8"/>
      <c r="U881" s="8"/>
      <c r="V881" s="8"/>
      <c r="W881" s="160"/>
      <c r="X881" s="160"/>
      <c r="Y881" s="160"/>
      <c r="Z881" s="160"/>
      <c r="AA881" s="160"/>
      <c r="AB881" s="160"/>
    </row>
    <row r="882">
      <c r="A882" s="176"/>
      <c r="B882" s="159" t="s">
        <v>1450</v>
      </c>
      <c r="C882" s="13" t="s">
        <v>1609</v>
      </c>
      <c r="D882" s="8"/>
      <c r="E882" s="8"/>
      <c r="F882" s="178" t="s">
        <v>1708</v>
      </c>
      <c r="G882" s="51"/>
      <c r="H882" s="52"/>
      <c r="I882" s="8"/>
      <c r="J882" s="8"/>
      <c r="K882" s="8"/>
      <c r="L882" s="8"/>
      <c r="M882" s="8"/>
      <c r="N882" s="8"/>
      <c r="O882" s="8"/>
      <c r="P882" s="8"/>
      <c r="Q882" s="8"/>
      <c r="R882" s="8"/>
      <c r="S882" s="8"/>
      <c r="T882" s="8"/>
      <c r="U882" s="8"/>
      <c r="V882" s="8"/>
      <c r="W882" s="160"/>
      <c r="X882" s="160"/>
      <c r="Y882" s="160"/>
      <c r="Z882" s="160"/>
      <c r="AA882" s="160"/>
      <c r="AB882" s="160"/>
    </row>
    <row r="883">
      <c r="A883" s="176"/>
      <c r="B883" s="66"/>
      <c r="C883" s="13" t="s">
        <v>1609</v>
      </c>
      <c r="D883" s="8"/>
      <c r="E883" s="8"/>
      <c r="F883" s="53"/>
      <c r="H883" s="54"/>
      <c r="I883" s="8"/>
      <c r="J883" s="8"/>
      <c r="K883" s="8"/>
      <c r="L883" s="8"/>
      <c r="M883" s="8"/>
      <c r="N883" s="8"/>
      <c r="O883" s="8"/>
      <c r="P883" s="8"/>
      <c r="Q883" s="8"/>
      <c r="R883" s="8"/>
      <c r="S883" s="8"/>
      <c r="T883" s="8"/>
      <c r="U883" s="8"/>
      <c r="V883" s="8"/>
      <c r="W883" s="160"/>
      <c r="X883" s="160"/>
      <c r="Y883" s="160"/>
      <c r="Z883" s="160"/>
      <c r="AA883" s="160"/>
      <c r="AB883" s="160"/>
    </row>
    <row r="884">
      <c r="A884" s="176"/>
      <c r="B884" s="66"/>
      <c r="C884" s="13" t="s">
        <v>1609</v>
      </c>
      <c r="D884" s="8"/>
      <c r="E884" s="8"/>
      <c r="F884" s="55"/>
      <c r="G884" s="56"/>
      <c r="H884" s="57"/>
      <c r="I884" s="8"/>
      <c r="J884" s="8"/>
      <c r="K884" s="8"/>
      <c r="L884" s="8"/>
      <c r="M884" s="8"/>
      <c r="N884" s="8"/>
      <c r="O884" s="8"/>
      <c r="P884" s="8"/>
      <c r="Q884" s="8"/>
      <c r="R884" s="8"/>
      <c r="S884" s="8"/>
      <c r="T884" s="8"/>
      <c r="U884" s="8"/>
      <c r="V884" s="8"/>
      <c r="W884" s="160"/>
      <c r="X884" s="160"/>
      <c r="Y884" s="160"/>
      <c r="Z884" s="160"/>
      <c r="AA884" s="160"/>
      <c r="AB884" s="160"/>
    </row>
    <row r="885">
      <c r="A885" s="176"/>
      <c r="B885" s="66"/>
      <c r="C885" s="13" t="s">
        <v>1609</v>
      </c>
      <c r="D885" s="8"/>
      <c r="E885" s="8"/>
      <c r="F885" s="8"/>
      <c r="G885" s="126"/>
      <c r="H885" s="8"/>
      <c r="I885" s="8"/>
      <c r="J885" s="8"/>
      <c r="K885" s="8"/>
      <c r="L885" s="8"/>
      <c r="M885" s="8"/>
      <c r="N885" s="8"/>
      <c r="O885" s="8"/>
      <c r="P885" s="8"/>
      <c r="Q885" s="8"/>
      <c r="R885" s="8"/>
      <c r="S885" s="8"/>
      <c r="T885" s="8"/>
      <c r="U885" s="8"/>
      <c r="V885" s="8"/>
      <c r="W885" s="160"/>
      <c r="X885" s="160"/>
      <c r="Y885" s="160"/>
      <c r="Z885" s="160"/>
      <c r="AA885" s="160"/>
      <c r="AB885" s="160"/>
    </row>
    <row r="886">
      <c r="A886" s="176"/>
      <c r="B886" s="67"/>
      <c r="C886" s="13" t="s">
        <v>1609</v>
      </c>
      <c r="D886" s="8"/>
      <c r="E886" s="8"/>
      <c r="F886" s="8"/>
      <c r="G886" s="126"/>
      <c r="H886" s="8"/>
      <c r="I886" s="8"/>
      <c r="J886" s="8"/>
      <c r="K886" s="8"/>
      <c r="L886" s="8"/>
      <c r="M886" s="8"/>
      <c r="N886" s="8"/>
      <c r="O886" s="8"/>
      <c r="P886" s="8"/>
      <c r="Q886" s="8"/>
      <c r="R886" s="8"/>
      <c r="S886" s="8"/>
      <c r="T886" s="8"/>
      <c r="U886" s="8"/>
      <c r="V886" s="8"/>
      <c r="W886" s="160"/>
      <c r="X886" s="160"/>
      <c r="Y886" s="160"/>
      <c r="Z886" s="160"/>
      <c r="AA886" s="160"/>
      <c r="AB886" s="160"/>
    </row>
    <row r="887">
      <c r="A887" s="176"/>
      <c r="B887" s="179"/>
      <c r="C887" s="94">
        <v>44488.0</v>
      </c>
      <c r="D887" s="8"/>
      <c r="E887" s="8"/>
      <c r="F887" s="8"/>
      <c r="G887" s="126"/>
      <c r="H887" s="8"/>
      <c r="I887" s="8"/>
      <c r="J887" s="8"/>
      <c r="K887" s="8"/>
      <c r="L887" s="8"/>
      <c r="M887" s="8"/>
      <c r="N887" s="8"/>
      <c r="O887" s="8"/>
      <c r="P887" s="8"/>
      <c r="Q887" s="8"/>
      <c r="R887" s="8"/>
      <c r="S887" s="8"/>
      <c r="T887" s="8"/>
      <c r="U887" s="8"/>
      <c r="V887" s="8"/>
      <c r="W887" s="160"/>
      <c r="X887" s="160"/>
      <c r="Y887" s="160"/>
      <c r="Z887" s="160"/>
      <c r="AA887" s="160"/>
      <c r="AB887" s="160"/>
    </row>
    <row r="888">
      <c r="A888" s="176"/>
      <c r="B888" s="180" t="s">
        <v>1450</v>
      </c>
      <c r="C888" s="181" t="s">
        <v>1609</v>
      </c>
      <c r="D888" s="8"/>
      <c r="E888" s="8"/>
      <c r="F888" s="8"/>
      <c r="G888" s="128"/>
      <c r="H888" s="8"/>
      <c r="I888" s="8"/>
      <c r="J888" s="8"/>
      <c r="K888" s="8"/>
      <c r="L888" s="8"/>
      <c r="M888" s="8"/>
      <c r="N888" s="8"/>
      <c r="O888" s="8"/>
      <c r="P888" s="8"/>
      <c r="Q888" s="8"/>
      <c r="R888" s="8"/>
      <c r="S888" s="8"/>
      <c r="T888" s="8"/>
      <c r="U888" s="8"/>
      <c r="V888" s="8"/>
      <c r="W888" s="160"/>
      <c r="X888" s="160"/>
      <c r="Y888" s="160"/>
      <c r="Z888" s="160"/>
      <c r="AA888" s="160"/>
      <c r="AB888" s="160"/>
    </row>
    <row r="889">
      <c r="A889" s="176"/>
      <c r="B889" s="66"/>
      <c r="C889" s="181" t="s">
        <v>1609</v>
      </c>
      <c r="D889" s="18" t="s">
        <v>819</v>
      </c>
      <c r="E889" s="62" t="s">
        <v>1684</v>
      </c>
      <c r="F889" s="62" t="s">
        <v>1685</v>
      </c>
      <c r="G889" s="22">
        <v>0.5</v>
      </c>
      <c r="H889" s="18" t="s">
        <v>1661</v>
      </c>
      <c r="I889" s="18" t="s">
        <v>1709</v>
      </c>
      <c r="J889" s="18" t="s">
        <v>1687</v>
      </c>
      <c r="K889" s="8"/>
      <c r="L889" s="8"/>
      <c r="M889" s="8"/>
      <c r="N889" s="8"/>
      <c r="O889" s="8"/>
      <c r="P889" s="8"/>
      <c r="Q889" s="8"/>
      <c r="R889" s="8"/>
      <c r="S889" s="8"/>
      <c r="T889" s="8"/>
      <c r="U889" s="8"/>
      <c r="V889" s="8"/>
      <c r="W889" s="160"/>
      <c r="X889" s="160"/>
      <c r="Y889" s="160"/>
      <c r="Z889" s="160"/>
      <c r="AA889" s="160"/>
      <c r="AB889" s="160"/>
    </row>
    <row r="890">
      <c r="A890" s="176"/>
      <c r="B890" s="66"/>
      <c r="C890" s="181" t="s">
        <v>1609</v>
      </c>
      <c r="D890" s="18" t="s">
        <v>819</v>
      </c>
      <c r="E890" s="62" t="s">
        <v>494</v>
      </c>
      <c r="F890" s="62" t="s">
        <v>495</v>
      </c>
      <c r="G890" s="22">
        <v>0.5833333333333334</v>
      </c>
      <c r="H890" s="18" t="s">
        <v>1661</v>
      </c>
      <c r="I890" s="18" t="s">
        <v>1710</v>
      </c>
      <c r="J890" s="18" t="s">
        <v>498</v>
      </c>
      <c r="K890" s="8"/>
      <c r="L890" s="8"/>
      <c r="M890" s="8"/>
      <c r="N890" s="8"/>
      <c r="O890" s="8"/>
      <c r="P890" s="8"/>
      <c r="Q890" s="8"/>
      <c r="R890" s="8"/>
      <c r="S890" s="8"/>
      <c r="T890" s="8"/>
      <c r="U890" s="8"/>
      <c r="V890" s="8"/>
      <c r="W890" s="160"/>
      <c r="X890" s="160"/>
      <c r="Y890" s="160"/>
      <c r="Z890" s="160"/>
      <c r="AA890" s="160"/>
      <c r="AB890" s="160"/>
    </row>
    <row r="891">
      <c r="A891" s="176"/>
      <c r="B891" s="66"/>
      <c r="C891" s="181" t="s">
        <v>1609</v>
      </c>
      <c r="D891" s="18" t="s">
        <v>819</v>
      </c>
      <c r="E891" s="15" t="s">
        <v>1711</v>
      </c>
      <c r="F891" s="15" t="s">
        <v>1712</v>
      </c>
      <c r="G891" s="22">
        <v>0.6666666666666666</v>
      </c>
      <c r="H891" s="18" t="s">
        <v>269</v>
      </c>
      <c r="I891" s="18" t="s">
        <v>1713</v>
      </c>
      <c r="J891" s="175" t="s">
        <v>1714</v>
      </c>
      <c r="K891" s="8"/>
      <c r="L891" s="8"/>
      <c r="M891" s="8"/>
      <c r="N891" s="8"/>
      <c r="O891" s="8"/>
      <c r="P891" s="8"/>
      <c r="Q891" s="8"/>
      <c r="R891" s="8"/>
      <c r="S891" s="8"/>
      <c r="T891" s="8"/>
      <c r="U891" s="8"/>
      <c r="V891" s="8"/>
      <c r="W891" s="160"/>
      <c r="X891" s="160"/>
      <c r="Y891" s="160"/>
      <c r="Z891" s="160"/>
      <c r="AA891" s="160"/>
      <c r="AB891" s="160"/>
    </row>
    <row r="892">
      <c r="A892" s="176"/>
      <c r="B892" s="67"/>
      <c r="C892" s="181" t="s">
        <v>1609</v>
      </c>
      <c r="D892" s="145" t="s">
        <v>1715</v>
      </c>
      <c r="E892" s="144" t="s">
        <v>1353</v>
      </c>
      <c r="F892" s="144" t="s">
        <v>1354</v>
      </c>
      <c r="G892" s="22">
        <v>0.75</v>
      </c>
      <c r="H892" s="182" t="s">
        <v>1056</v>
      </c>
      <c r="I892" s="18" t="s">
        <v>1716</v>
      </c>
      <c r="J892" s="183" t="s">
        <v>1356</v>
      </c>
      <c r="K892" s="8"/>
      <c r="L892" s="8"/>
      <c r="M892" s="8"/>
      <c r="N892" s="8"/>
      <c r="O892" s="8"/>
      <c r="P892" s="8"/>
      <c r="Q892" s="8"/>
      <c r="R892" s="8"/>
      <c r="S892" s="8"/>
      <c r="T892" s="8"/>
      <c r="U892" s="8"/>
      <c r="V892" s="8"/>
      <c r="W892" s="160"/>
      <c r="X892" s="160"/>
      <c r="Y892" s="160"/>
      <c r="Z892" s="160"/>
      <c r="AA892" s="160"/>
      <c r="AB892" s="160"/>
    </row>
    <row r="893">
      <c r="A893" s="176"/>
      <c r="B893" s="179"/>
      <c r="C893" s="184">
        <v>44489.0</v>
      </c>
      <c r="D893" s="8"/>
      <c r="E893" s="8"/>
      <c r="F893" s="8"/>
      <c r="G893" s="128"/>
      <c r="H893" s="8"/>
      <c r="I893" s="8"/>
      <c r="J893" s="8"/>
      <c r="K893" s="8"/>
      <c r="L893" s="8"/>
      <c r="M893" s="8"/>
      <c r="N893" s="8"/>
      <c r="O893" s="8"/>
      <c r="P893" s="8"/>
      <c r="Q893" s="8"/>
      <c r="R893" s="8"/>
      <c r="S893" s="8"/>
      <c r="T893" s="8"/>
      <c r="U893" s="8"/>
      <c r="V893" s="8"/>
      <c r="W893" s="160"/>
      <c r="X893" s="160"/>
      <c r="Y893" s="160"/>
      <c r="Z893" s="160"/>
      <c r="AA893" s="160"/>
      <c r="AB893" s="160"/>
    </row>
    <row r="894">
      <c r="A894" s="176"/>
      <c r="B894" s="185" t="s">
        <v>1450</v>
      </c>
      <c r="C894" s="181" t="s">
        <v>1609</v>
      </c>
      <c r="D894" s="8"/>
      <c r="E894" s="8"/>
      <c r="F894" s="8"/>
      <c r="G894" s="128"/>
      <c r="H894" s="8"/>
      <c r="I894" s="8"/>
      <c r="J894" s="8"/>
      <c r="K894" s="8"/>
      <c r="L894" s="8"/>
      <c r="M894" s="8"/>
      <c r="N894" s="8"/>
      <c r="O894" s="8"/>
      <c r="P894" s="8"/>
      <c r="Q894" s="8"/>
      <c r="R894" s="8"/>
      <c r="S894" s="8"/>
      <c r="T894" s="8"/>
      <c r="U894" s="8"/>
      <c r="V894" s="8"/>
      <c r="W894" s="160"/>
      <c r="X894" s="160"/>
      <c r="Y894" s="160"/>
      <c r="Z894" s="160"/>
      <c r="AA894" s="160"/>
      <c r="AB894" s="160"/>
    </row>
    <row r="895">
      <c r="A895" s="176"/>
      <c r="B895" s="66"/>
      <c r="C895" s="181" t="s">
        <v>1609</v>
      </c>
      <c r="D895" s="8"/>
      <c r="E895" s="8"/>
      <c r="F895" s="8"/>
      <c r="G895" s="128"/>
      <c r="H895" s="8"/>
      <c r="I895" s="8"/>
      <c r="J895" s="8"/>
      <c r="K895" s="8"/>
      <c r="L895" s="8"/>
      <c r="M895" s="8"/>
      <c r="N895" s="8"/>
      <c r="O895" s="8"/>
      <c r="P895" s="8"/>
      <c r="Q895" s="8"/>
      <c r="R895" s="8"/>
      <c r="S895" s="8"/>
      <c r="T895" s="8"/>
      <c r="U895" s="8"/>
      <c r="V895" s="8"/>
      <c r="W895" s="160"/>
      <c r="X895" s="160"/>
      <c r="Y895" s="160"/>
      <c r="Z895" s="160"/>
      <c r="AA895" s="160"/>
      <c r="AB895" s="160"/>
    </row>
    <row r="896">
      <c r="A896" s="176"/>
      <c r="B896" s="66"/>
      <c r="C896" s="181" t="s">
        <v>1609</v>
      </c>
      <c r="D896" s="27" t="s">
        <v>1717</v>
      </c>
      <c r="E896" s="62" t="s">
        <v>1718</v>
      </c>
      <c r="F896" s="62" t="s">
        <v>1719</v>
      </c>
      <c r="G896" s="22">
        <v>0.625</v>
      </c>
      <c r="H896" s="18" t="s">
        <v>790</v>
      </c>
      <c r="I896" s="18" t="s">
        <v>1720</v>
      </c>
      <c r="J896" s="62" t="s">
        <v>1721</v>
      </c>
      <c r="K896" s="8"/>
      <c r="L896" s="8"/>
      <c r="M896" s="8"/>
      <c r="N896" s="8"/>
      <c r="O896" s="8"/>
      <c r="P896" s="8"/>
      <c r="Q896" s="8"/>
      <c r="R896" s="8"/>
      <c r="S896" s="8"/>
      <c r="T896" s="8"/>
      <c r="U896" s="8"/>
      <c r="V896" s="8"/>
      <c r="W896" s="160"/>
      <c r="X896" s="160"/>
      <c r="Y896" s="160"/>
      <c r="Z896" s="160"/>
      <c r="AA896" s="160"/>
      <c r="AB896" s="160"/>
    </row>
    <row r="897">
      <c r="A897" s="176"/>
      <c r="B897" s="66"/>
      <c r="C897" s="181" t="s">
        <v>1609</v>
      </c>
      <c r="D897" s="48" t="s">
        <v>1717</v>
      </c>
      <c r="E897" s="42" t="s">
        <v>1722</v>
      </c>
      <c r="F897" s="42" t="s">
        <v>1723</v>
      </c>
      <c r="G897" s="43">
        <v>0.7083333333333334</v>
      </c>
      <c r="H897" s="44" t="s">
        <v>790</v>
      </c>
      <c r="I897" s="69" t="s">
        <v>1724</v>
      </c>
      <c r="J897" s="59" t="s">
        <v>1725</v>
      </c>
      <c r="K897" s="8"/>
      <c r="L897" s="8"/>
      <c r="M897" s="8"/>
      <c r="N897" s="8"/>
      <c r="O897" s="8"/>
      <c r="P897" s="8"/>
      <c r="Q897" s="8"/>
      <c r="R897" s="8"/>
      <c r="S897" s="8"/>
      <c r="T897" s="8"/>
      <c r="U897" s="8"/>
      <c r="V897" s="8"/>
      <c r="W897" s="160"/>
      <c r="X897" s="160"/>
      <c r="Y897" s="160"/>
      <c r="Z897" s="160"/>
      <c r="AA897" s="160"/>
      <c r="AB897" s="160"/>
    </row>
    <row r="898">
      <c r="A898" s="176"/>
      <c r="B898" s="66"/>
      <c r="C898" s="181" t="s">
        <v>1609</v>
      </c>
      <c r="D898" s="27" t="s">
        <v>1717</v>
      </c>
      <c r="E898" s="15" t="s">
        <v>731</v>
      </c>
      <c r="F898" s="15" t="s">
        <v>732</v>
      </c>
      <c r="G898" s="22">
        <v>0.7083333333333334</v>
      </c>
      <c r="H898" s="18" t="s">
        <v>790</v>
      </c>
      <c r="I898" s="18" t="s">
        <v>1726</v>
      </c>
      <c r="J898" s="15" t="s">
        <v>734</v>
      </c>
      <c r="K898" s="39" t="s">
        <v>1096</v>
      </c>
      <c r="L898" s="8"/>
      <c r="M898" s="8"/>
      <c r="N898" s="8"/>
      <c r="O898" s="8"/>
      <c r="P898" s="8"/>
      <c r="Q898" s="8"/>
      <c r="R898" s="8"/>
      <c r="S898" s="8"/>
      <c r="T898" s="8"/>
      <c r="U898" s="8"/>
      <c r="V898" s="8"/>
      <c r="W898" s="160"/>
      <c r="X898" s="160"/>
      <c r="Y898" s="160"/>
      <c r="Z898" s="160"/>
      <c r="AA898" s="160"/>
      <c r="AB898" s="160"/>
    </row>
    <row r="899">
      <c r="A899" s="176"/>
      <c r="B899" s="66"/>
      <c r="C899" s="181" t="s">
        <v>1609</v>
      </c>
      <c r="D899" s="27" t="s">
        <v>1717</v>
      </c>
      <c r="E899" s="62" t="s">
        <v>1727</v>
      </c>
      <c r="F899" s="62" t="s">
        <v>1728</v>
      </c>
      <c r="G899" s="22">
        <v>0.7083333333333334</v>
      </c>
      <c r="H899" s="18" t="s">
        <v>790</v>
      </c>
      <c r="I899" s="18" t="s">
        <v>1726</v>
      </c>
      <c r="J899" s="15" t="s">
        <v>734</v>
      </c>
      <c r="K899" s="8"/>
      <c r="L899" s="8"/>
      <c r="M899" s="8"/>
      <c r="N899" s="8"/>
      <c r="O899" s="8"/>
      <c r="P899" s="8"/>
      <c r="Q899" s="8"/>
      <c r="R899" s="8"/>
      <c r="S899" s="8"/>
      <c r="T899" s="8"/>
      <c r="U899" s="8"/>
      <c r="V899" s="8"/>
      <c r="W899" s="160"/>
      <c r="X899" s="160"/>
      <c r="Y899" s="160"/>
      <c r="Z899" s="160"/>
      <c r="AA899" s="160"/>
      <c r="AB899" s="160"/>
    </row>
    <row r="900">
      <c r="A900" s="176"/>
      <c r="B900" s="66"/>
      <c r="C900" s="181" t="s">
        <v>1609</v>
      </c>
      <c r="D900" s="27" t="s">
        <v>1717</v>
      </c>
      <c r="E900" s="62" t="s">
        <v>1729</v>
      </c>
      <c r="F900" s="62" t="s">
        <v>1730</v>
      </c>
      <c r="G900" s="22">
        <v>0.7083333333333334</v>
      </c>
      <c r="H900" s="18" t="s">
        <v>790</v>
      </c>
      <c r="I900" s="18" t="s">
        <v>1726</v>
      </c>
      <c r="J900" s="15" t="s">
        <v>734</v>
      </c>
      <c r="K900" s="8"/>
      <c r="L900" s="8"/>
      <c r="M900" s="8"/>
      <c r="N900" s="8"/>
      <c r="O900" s="8"/>
      <c r="P900" s="8"/>
      <c r="Q900" s="8"/>
      <c r="R900" s="8"/>
      <c r="S900" s="8"/>
      <c r="T900" s="8"/>
      <c r="U900" s="8"/>
      <c r="V900" s="8"/>
      <c r="W900" s="160"/>
      <c r="X900" s="160"/>
      <c r="Y900" s="160"/>
      <c r="Z900" s="160"/>
      <c r="AA900" s="160"/>
      <c r="AB900" s="160"/>
    </row>
    <row r="901">
      <c r="A901" s="176"/>
      <c r="B901" s="66"/>
      <c r="C901" s="181" t="s">
        <v>1609</v>
      </c>
      <c r="D901" s="27" t="s">
        <v>1717</v>
      </c>
      <c r="E901" s="15" t="s">
        <v>1731</v>
      </c>
      <c r="F901" s="15" t="s">
        <v>1732</v>
      </c>
      <c r="G901" s="22">
        <v>0.7083333333333334</v>
      </c>
      <c r="H901" s="18" t="s">
        <v>790</v>
      </c>
      <c r="I901" s="18" t="s">
        <v>1726</v>
      </c>
      <c r="J901" s="15" t="s">
        <v>734</v>
      </c>
      <c r="K901" s="8"/>
      <c r="L901" s="8"/>
      <c r="M901" s="8"/>
      <c r="N901" s="8"/>
      <c r="O901" s="8"/>
      <c r="P901" s="8"/>
      <c r="Q901" s="8"/>
      <c r="R901" s="8"/>
      <c r="S901" s="8"/>
      <c r="T901" s="8"/>
      <c r="U901" s="8"/>
      <c r="V901" s="8"/>
      <c r="W901" s="160"/>
      <c r="X901" s="160"/>
      <c r="Y901" s="160"/>
      <c r="Z901" s="160"/>
      <c r="AA901" s="160"/>
      <c r="AB901" s="160"/>
    </row>
    <row r="902">
      <c r="A902" s="176"/>
      <c r="B902" s="67"/>
      <c r="C902" s="181" t="s">
        <v>1609</v>
      </c>
      <c r="D902" s="27" t="s">
        <v>1717</v>
      </c>
      <c r="E902" s="62" t="s">
        <v>1733</v>
      </c>
      <c r="F902" s="62" t="s">
        <v>1734</v>
      </c>
      <c r="G902" s="22">
        <v>0.7708333333333334</v>
      </c>
      <c r="H902" s="18" t="s">
        <v>790</v>
      </c>
      <c r="I902" s="18" t="s">
        <v>1735</v>
      </c>
      <c r="J902" s="62" t="s">
        <v>1736</v>
      </c>
      <c r="K902" s="8"/>
      <c r="L902" s="8"/>
      <c r="M902" s="8"/>
      <c r="N902" s="8"/>
      <c r="O902" s="8"/>
      <c r="P902" s="8"/>
      <c r="Q902" s="8"/>
      <c r="R902" s="8"/>
      <c r="S902" s="8"/>
      <c r="T902" s="8"/>
      <c r="U902" s="8"/>
      <c r="V902" s="8"/>
      <c r="W902" s="160"/>
      <c r="X902" s="160"/>
      <c r="Y902" s="160"/>
      <c r="Z902" s="160"/>
      <c r="AA902" s="160"/>
      <c r="AB902" s="160"/>
    </row>
    <row r="903">
      <c r="A903" s="176"/>
      <c r="B903" s="179"/>
      <c r="C903" s="184">
        <v>44490.0</v>
      </c>
      <c r="D903" s="8"/>
      <c r="E903" s="8"/>
      <c r="F903" s="8"/>
      <c r="G903" s="128"/>
      <c r="H903" s="8"/>
      <c r="I903" s="8"/>
      <c r="J903" s="8"/>
      <c r="K903" s="8"/>
      <c r="L903" s="8"/>
      <c r="M903" s="8"/>
      <c r="N903" s="8"/>
      <c r="O903" s="8"/>
      <c r="P903" s="160"/>
      <c r="Q903" s="160"/>
      <c r="R903" s="160"/>
      <c r="S903" s="160"/>
      <c r="T903" s="160"/>
      <c r="U903" s="160"/>
      <c r="V903" s="160"/>
      <c r="W903" s="160"/>
      <c r="X903" s="160"/>
      <c r="Y903" s="160"/>
      <c r="Z903" s="160"/>
      <c r="AA903" s="160"/>
      <c r="AB903" s="160"/>
    </row>
    <row r="904">
      <c r="A904" s="176"/>
      <c r="B904" s="185" t="s">
        <v>1450</v>
      </c>
      <c r="C904" s="181" t="s">
        <v>1609</v>
      </c>
      <c r="D904" s="8"/>
      <c r="E904" s="186" t="s">
        <v>1737</v>
      </c>
      <c r="F904" s="11"/>
      <c r="G904" s="128"/>
      <c r="H904" s="8"/>
      <c r="I904" s="8"/>
      <c r="J904" s="8"/>
      <c r="K904" s="8"/>
      <c r="L904" s="8"/>
      <c r="M904" s="8"/>
      <c r="N904" s="8"/>
      <c r="O904" s="8"/>
      <c r="P904" s="160"/>
      <c r="Q904" s="160"/>
      <c r="R904" s="160"/>
      <c r="S904" s="160"/>
      <c r="T904" s="160"/>
      <c r="U904" s="160"/>
      <c r="V904" s="160"/>
      <c r="W904" s="160"/>
      <c r="X904" s="160"/>
      <c r="Y904" s="160"/>
      <c r="Z904" s="160"/>
      <c r="AA904" s="160"/>
      <c r="AB904" s="160"/>
    </row>
    <row r="905">
      <c r="A905" s="176"/>
      <c r="B905" s="66"/>
      <c r="C905" s="181" t="s">
        <v>1609</v>
      </c>
      <c r="D905" s="6"/>
      <c r="E905" s="6"/>
      <c r="F905" s="6"/>
      <c r="G905" s="26"/>
      <c r="H905" s="6"/>
      <c r="I905" s="6"/>
      <c r="J905" s="6"/>
      <c r="K905" s="8"/>
      <c r="L905" s="8"/>
      <c r="M905" s="8"/>
      <c r="N905" s="8"/>
      <c r="O905" s="8"/>
      <c r="P905" s="160"/>
      <c r="Q905" s="160"/>
      <c r="R905" s="160"/>
      <c r="S905" s="160"/>
      <c r="T905" s="160"/>
      <c r="U905" s="160"/>
      <c r="V905" s="160"/>
      <c r="W905" s="160"/>
      <c r="X905" s="160"/>
      <c r="Y905" s="160"/>
      <c r="Z905" s="160"/>
      <c r="AA905" s="160"/>
      <c r="AB905" s="160"/>
    </row>
    <row r="906">
      <c r="A906" s="176"/>
      <c r="B906" s="66"/>
      <c r="C906" s="181" t="s">
        <v>1609</v>
      </c>
      <c r="D906" s="27" t="s">
        <v>1717</v>
      </c>
      <c r="E906" s="62" t="s">
        <v>1738</v>
      </c>
      <c r="F906" s="62" t="s">
        <v>1739</v>
      </c>
      <c r="G906" s="22">
        <v>0.5625</v>
      </c>
      <c r="H906" s="18" t="s">
        <v>1740</v>
      </c>
      <c r="I906" s="75" t="s">
        <v>1741</v>
      </c>
      <c r="J906" s="75" t="s">
        <v>1742</v>
      </c>
      <c r="K906" s="8"/>
      <c r="L906" s="8"/>
      <c r="M906" s="8"/>
      <c r="N906" s="8"/>
      <c r="O906" s="8"/>
      <c r="P906" s="160"/>
      <c r="Q906" s="160"/>
      <c r="R906" s="160"/>
      <c r="S906" s="160"/>
      <c r="T906" s="160"/>
      <c r="U906" s="160"/>
      <c r="V906" s="160"/>
      <c r="W906" s="160"/>
      <c r="X906" s="160"/>
      <c r="Y906" s="160"/>
      <c r="Z906" s="160"/>
      <c r="AA906" s="160"/>
      <c r="AB906" s="160"/>
    </row>
    <row r="907">
      <c r="A907" s="176"/>
      <c r="B907" s="66"/>
      <c r="C907" s="181" t="s">
        <v>1609</v>
      </c>
      <c r="D907" s="48" t="s">
        <v>1717</v>
      </c>
      <c r="E907" s="73" t="s">
        <v>335</v>
      </c>
      <c r="F907" s="73" t="s">
        <v>336</v>
      </c>
      <c r="G907" s="43">
        <v>0.625</v>
      </c>
      <c r="H907" s="44" t="s">
        <v>615</v>
      </c>
      <c r="I907" s="44" t="s">
        <v>1743</v>
      </c>
      <c r="J907" s="73" t="s">
        <v>339</v>
      </c>
      <c r="K907" s="39" t="s">
        <v>1744</v>
      </c>
      <c r="L907" s="8"/>
      <c r="M907" s="8"/>
      <c r="N907" s="8"/>
      <c r="O907" s="8"/>
      <c r="P907" s="160"/>
      <c r="Q907" s="160"/>
      <c r="R907" s="160"/>
      <c r="S907" s="160"/>
      <c r="T907" s="160"/>
      <c r="U907" s="160"/>
      <c r="V907" s="160"/>
      <c r="W907" s="160"/>
      <c r="X907" s="160"/>
      <c r="Y907" s="160"/>
      <c r="Z907" s="160"/>
      <c r="AA907" s="160"/>
      <c r="AB907" s="160"/>
    </row>
    <row r="908">
      <c r="A908" s="176"/>
      <c r="B908" s="67"/>
      <c r="C908" s="181" t="s">
        <v>1609</v>
      </c>
      <c r="D908" s="27" t="s">
        <v>1717</v>
      </c>
      <c r="E908" s="62" t="s">
        <v>1745</v>
      </c>
      <c r="F908" s="62" t="s">
        <v>1746</v>
      </c>
      <c r="G908" s="22">
        <v>0.6875</v>
      </c>
      <c r="H908" s="18" t="s">
        <v>615</v>
      </c>
      <c r="I908" s="18" t="s">
        <v>1747</v>
      </c>
      <c r="J908" s="62" t="s">
        <v>1207</v>
      </c>
      <c r="K908" s="39" t="s">
        <v>1748</v>
      </c>
      <c r="L908" s="8"/>
      <c r="M908" s="8"/>
      <c r="N908" s="8"/>
      <c r="O908" s="8"/>
      <c r="P908" s="160"/>
      <c r="Q908" s="160"/>
      <c r="R908" s="160"/>
      <c r="S908" s="160"/>
      <c r="T908" s="160"/>
      <c r="U908" s="160"/>
      <c r="V908" s="160"/>
      <c r="W908" s="160"/>
      <c r="X908" s="160"/>
      <c r="Y908" s="160"/>
      <c r="Z908" s="160"/>
      <c r="AA908" s="160"/>
      <c r="AB908" s="160"/>
    </row>
    <row r="909">
      <c r="A909" s="176"/>
      <c r="B909" s="179"/>
      <c r="C909" s="184">
        <v>44491.0</v>
      </c>
      <c r="D909" s="48" t="s">
        <v>1717</v>
      </c>
      <c r="E909" s="73" t="s">
        <v>1749</v>
      </c>
      <c r="F909" s="73" t="s">
        <v>1750</v>
      </c>
      <c r="G909" s="43">
        <v>0.75</v>
      </c>
      <c r="H909" s="44" t="s">
        <v>615</v>
      </c>
      <c r="I909" s="48" t="s">
        <v>1751</v>
      </c>
      <c r="J909" s="73" t="s">
        <v>1752</v>
      </c>
      <c r="K909" s="39" t="s">
        <v>1643</v>
      </c>
      <c r="L909" s="8"/>
      <c r="M909" s="8"/>
      <c r="N909" s="8"/>
      <c r="O909" s="8"/>
      <c r="P909" s="160"/>
      <c r="Q909" s="160"/>
      <c r="R909" s="160"/>
      <c r="S909" s="160"/>
      <c r="T909" s="160"/>
      <c r="U909" s="160"/>
      <c r="V909" s="160"/>
      <c r="W909" s="160"/>
      <c r="X909" s="160"/>
      <c r="Y909" s="160"/>
      <c r="Z909" s="160"/>
      <c r="AA909" s="160"/>
      <c r="AB909" s="160"/>
    </row>
    <row r="910">
      <c r="A910" s="176"/>
      <c r="B910" s="187"/>
      <c r="C910" s="181"/>
      <c r="D910" s="8"/>
      <c r="E910" s="8"/>
      <c r="F910" s="8"/>
      <c r="G910" s="128"/>
      <c r="H910" s="8"/>
      <c r="I910" s="8"/>
      <c r="J910" s="8"/>
      <c r="K910" s="8"/>
      <c r="L910" s="8"/>
      <c r="M910" s="8"/>
      <c r="N910" s="8"/>
      <c r="O910" s="8"/>
      <c r="P910" s="160"/>
      <c r="Q910" s="160"/>
      <c r="R910" s="160"/>
      <c r="S910" s="160"/>
      <c r="T910" s="160"/>
      <c r="U910" s="160"/>
      <c r="V910" s="160"/>
      <c r="W910" s="160"/>
      <c r="X910" s="160"/>
      <c r="Y910" s="160"/>
      <c r="Z910" s="160"/>
      <c r="AA910" s="160"/>
      <c r="AB910" s="160"/>
    </row>
    <row r="911">
      <c r="A911" s="176"/>
      <c r="B911" s="185" t="s">
        <v>1450</v>
      </c>
      <c r="C911" s="181" t="s">
        <v>1609</v>
      </c>
      <c r="D911" s="8"/>
      <c r="E911" s="8"/>
      <c r="F911" s="188" t="s">
        <v>1753</v>
      </c>
      <c r="G911" s="128"/>
      <c r="H911" s="8"/>
      <c r="I911" s="8"/>
      <c r="J911" s="8"/>
      <c r="K911" s="8"/>
      <c r="L911" s="8"/>
      <c r="M911" s="8"/>
      <c r="N911" s="8"/>
      <c r="O911" s="8"/>
      <c r="P911" s="160"/>
      <c r="Q911" s="160"/>
      <c r="R911" s="160"/>
      <c r="S911" s="160"/>
      <c r="T911" s="160"/>
      <c r="U911" s="160"/>
      <c r="V911" s="160"/>
      <c r="W911" s="160"/>
      <c r="X911" s="160"/>
      <c r="Y911" s="160"/>
      <c r="Z911" s="160"/>
      <c r="AA911" s="160"/>
      <c r="AB911" s="160"/>
    </row>
    <row r="912">
      <c r="A912" s="176"/>
      <c r="B912" s="66"/>
      <c r="C912" s="181" t="s">
        <v>1609</v>
      </c>
      <c r="D912" s="18" t="s">
        <v>1754</v>
      </c>
      <c r="E912" s="62" t="s">
        <v>1755</v>
      </c>
      <c r="F912" s="62" t="s">
        <v>1756</v>
      </c>
      <c r="G912" s="40">
        <v>0.5</v>
      </c>
      <c r="H912" s="18" t="s">
        <v>367</v>
      </c>
      <c r="I912" s="62" t="s">
        <v>1757</v>
      </c>
      <c r="J912" s="62" t="s">
        <v>1758</v>
      </c>
      <c r="K912" s="189" t="s">
        <v>1759</v>
      </c>
      <c r="L912" s="8"/>
      <c r="M912" s="8"/>
      <c r="N912" s="8"/>
      <c r="O912" s="8"/>
      <c r="P912" s="160"/>
      <c r="Q912" s="160"/>
      <c r="R912" s="160"/>
      <c r="S912" s="160"/>
      <c r="T912" s="160"/>
      <c r="U912" s="160"/>
      <c r="V912" s="160"/>
      <c r="W912" s="160"/>
      <c r="X912" s="160"/>
      <c r="Y912" s="160"/>
      <c r="Z912" s="160"/>
      <c r="AA912" s="160"/>
      <c r="AB912" s="160"/>
    </row>
    <row r="913">
      <c r="A913" s="176"/>
      <c r="B913" s="66"/>
      <c r="C913" s="181" t="s">
        <v>1609</v>
      </c>
      <c r="D913" s="18" t="s">
        <v>1754</v>
      </c>
      <c r="E913" s="62" t="s">
        <v>1760</v>
      </c>
      <c r="F913" s="62" t="s">
        <v>1761</v>
      </c>
      <c r="G913" s="22">
        <v>0.5833333333333334</v>
      </c>
      <c r="H913" s="18" t="s">
        <v>367</v>
      </c>
      <c r="I913" s="18" t="s">
        <v>1762</v>
      </c>
      <c r="J913" s="62" t="s">
        <v>1763</v>
      </c>
      <c r="K913" s="190"/>
      <c r="L913" s="8"/>
      <c r="M913" s="8"/>
      <c r="N913" s="8"/>
      <c r="O913" s="8"/>
      <c r="P913" s="160"/>
      <c r="Q913" s="160"/>
      <c r="R913" s="160"/>
      <c r="S913" s="160"/>
      <c r="T913" s="160"/>
      <c r="U913" s="160"/>
      <c r="V913" s="160"/>
      <c r="W913" s="160"/>
      <c r="X913" s="160"/>
      <c r="Y913" s="160"/>
      <c r="Z913" s="160"/>
      <c r="AA913" s="160"/>
      <c r="AB913" s="160"/>
    </row>
    <row r="914">
      <c r="A914" s="176"/>
      <c r="B914" s="66"/>
      <c r="C914" s="181" t="s">
        <v>1609</v>
      </c>
      <c r="D914" s="18" t="s">
        <v>1754</v>
      </c>
      <c r="E914" s="191" t="s">
        <v>1764</v>
      </c>
      <c r="F914" s="191" t="s">
        <v>1765</v>
      </c>
      <c r="G914" s="22">
        <v>0.6666666666666666</v>
      </c>
      <c r="H914" s="18" t="s">
        <v>367</v>
      </c>
      <c r="I914" s="62" t="s">
        <v>1766</v>
      </c>
      <c r="J914" s="62" t="s">
        <v>1767</v>
      </c>
      <c r="K914" s="189" t="s">
        <v>1768</v>
      </c>
      <c r="L914" s="8"/>
      <c r="M914" s="8"/>
      <c r="N914" s="8"/>
      <c r="O914" s="8"/>
      <c r="P914" s="160"/>
      <c r="Q914" s="160"/>
      <c r="R914" s="160"/>
      <c r="S914" s="160"/>
      <c r="T914" s="160"/>
      <c r="U914" s="160"/>
      <c r="V914" s="160"/>
      <c r="W914" s="160"/>
      <c r="X914" s="160"/>
      <c r="Y914" s="160"/>
      <c r="Z914" s="160"/>
      <c r="AA914" s="160"/>
      <c r="AB914" s="160"/>
    </row>
    <row r="915">
      <c r="A915" s="176"/>
      <c r="B915" s="66"/>
      <c r="C915" s="181"/>
      <c r="D915" s="18" t="s">
        <v>819</v>
      </c>
      <c r="E915" s="162" t="s">
        <v>1769</v>
      </c>
      <c r="F915" s="162" t="s">
        <v>1770</v>
      </c>
      <c r="G915" s="22">
        <v>0.6666666666666666</v>
      </c>
      <c r="H915" s="18" t="s">
        <v>367</v>
      </c>
      <c r="I915" s="62" t="s">
        <v>1766</v>
      </c>
      <c r="J915" s="62" t="s">
        <v>1767</v>
      </c>
      <c r="K915" s="189"/>
      <c r="L915" s="8"/>
      <c r="M915" s="8"/>
      <c r="N915" s="8"/>
      <c r="O915" s="8"/>
      <c r="P915" s="160"/>
      <c r="Q915" s="160"/>
      <c r="R915" s="160"/>
      <c r="S915" s="160"/>
      <c r="T915" s="160"/>
      <c r="U915" s="160"/>
      <c r="V915" s="160"/>
      <c r="W915" s="160"/>
      <c r="X915" s="160"/>
      <c r="Y915" s="160"/>
      <c r="Z915" s="160"/>
      <c r="AA915" s="160"/>
      <c r="AB915" s="160"/>
    </row>
    <row r="916">
      <c r="A916" s="176"/>
      <c r="B916" s="66"/>
      <c r="C916" s="181"/>
      <c r="D916" s="18" t="s">
        <v>819</v>
      </c>
      <c r="E916" s="162" t="s">
        <v>1771</v>
      </c>
      <c r="F916" s="162" t="s">
        <v>1772</v>
      </c>
      <c r="G916" s="22">
        <v>0.6666666666666666</v>
      </c>
      <c r="H916" s="18" t="s">
        <v>367</v>
      </c>
      <c r="I916" s="62" t="s">
        <v>1773</v>
      </c>
      <c r="J916" s="62" t="s">
        <v>1767</v>
      </c>
      <c r="K916" s="189"/>
      <c r="L916" s="8"/>
      <c r="M916" s="8"/>
      <c r="N916" s="8"/>
      <c r="O916" s="8"/>
      <c r="P916" s="160"/>
      <c r="Q916" s="160"/>
      <c r="R916" s="160"/>
      <c r="S916" s="160"/>
      <c r="T916" s="160"/>
      <c r="U916" s="160"/>
      <c r="V916" s="160"/>
      <c r="W916" s="160"/>
      <c r="X916" s="160"/>
      <c r="Y916" s="160"/>
      <c r="Z916" s="160"/>
      <c r="AA916" s="160"/>
      <c r="AB916" s="160"/>
    </row>
    <row r="917">
      <c r="A917" s="176"/>
      <c r="B917" s="67"/>
      <c r="C917" s="181" t="s">
        <v>1609</v>
      </c>
      <c r="D917" s="44" t="s">
        <v>1754</v>
      </c>
      <c r="E917" s="124" t="s">
        <v>1774</v>
      </c>
      <c r="F917" s="124" t="s">
        <v>1775</v>
      </c>
      <c r="G917" s="43">
        <v>0.75</v>
      </c>
      <c r="H917" s="44" t="s">
        <v>367</v>
      </c>
      <c r="I917" s="48" t="s">
        <v>1776</v>
      </c>
      <c r="J917" s="124" t="s">
        <v>1777</v>
      </c>
      <c r="K917" s="192" t="s">
        <v>1096</v>
      </c>
      <c r="L917" s="8"/>
      <c r="M917" s="8"/>
      <c r="N917" s="8"/>
      <c r="O917" s="8"/>
      <c r="P917" s="160"/>
      <c r="Q917" s="160"/>
      <c r="R917" s="160"/>
      <c r="S917" s="160"/>
      <c r="T917" s="160"/>
      <c r="U917" s="160"/>
      <c r="V917" s="160"/>
      <c r="W917" s="160"/>
      <c r="X917" s="160"/>
      <c r="Y917" s="160"/>
      <c r="Z917" s="160"/>
      <c r="AA917" s="160"/>
      <c r="AB917" s="160"/>
    </row>
    <row r="918">
      <c r="A918" s="176"/>
      <c r="B918" s="179"/>
      <c r="C918" s="184">
        <v>44494.0</v>
      </c>
      <c r="D918" s="8"/>
      <c r="E918" s="8"/>
      <c r="F918" s="8"/>
      <c r="G918" s="128"/>
      <c r="H918" s="8"/>
      <c r="I918" s="8"/>
      <c r="J918" s="8"/>
      <c r="K918" s="8"/>
      <c r="L918" s="8"/>
      <c r="M918" s="8"/>
      <c r="N918" s="8"/>
      <c r="O918" s="8"/>
      <c r="P918" s="160"/>
      <c r="Q918" s="160"/>
      <c r="R918" s="160"/>
      <c r="S918" s="160"/>
      <c r="T918" s="160"/>
      <c r="U918" s="160"/>
      <c r="V918" s="160"/>
      <c r="W918" s="160"/>
      <c r="X918" s="160"/>
      <c r="Y918" s="160"/>
      <c r="Z918" s="160"/>
      <c r="AA918" s="160"/>
      <c r="AB918" s="160"/>
    </row>
    <row r="919">
      <c r="A919" s="176"/>
      <c r="B919" s="185" t="s">
        <v>1450</v>
      </c>
      <c r="C919" s="181" t="s">
        <v>1609</v>
      </c>
      <c r="D919" s="8"/>
      <c r="E919" s="8"/>
      <c r="F919" s="178" t="s">
        <v>1708</v>
      </c>
      <c r="G919" s="51"/>
      <c r="H919" s="52"/>
      <c r="I919" s="8"/>
      <c r="J919" s="8"/>
      <c r="K919" s="8"/>
      <c r="L919" s="8"/>
      <c r="M919" s="8"/>
      <c r="N919" s="8"/>
      <c r="O919" s="8"/>
      <c r="P919" s="160"/>
      <c r="Q919" s="160"/>
      <c r="R919" s="160"/>
      <c r="S919" s="160"/>
      <c r="T919" s="160"/>
      <c r="U919" s="160"/>
      <c r="V919" s="160"/>
      <c r="W919" s="160"/>
      <c r="X919" s="160"/>
      <c r="Y919" s="160"/>
      <c r="Z919" s="160"/>
      <c r="AA919" s="160"/>
      <c r="AB919" s="160"/>
    </row>
    <row r="920">
      <c r="A920" s="176"/>
      <c r="B920" s="66"/>
      <c r="C920" s="181" t="s">
        <v>1609</v>
      </c>
      <c r="D920" s="8"/>
      <c r="E920" s="8"/>
      <c r="F920" s="53"/>
      <c r="H920" s="54"/>
      <c r="I920" s="8"/>
      <c r="J920" s="8"/>
      <c r="K920" s="8"/>
      <c r="L920" s="8"/>
      <c r="M920" s="8"/>
      <c r="N920" s="8"/>
      <c r="O920" s="8"/>
      <c r="P920" s="160"/>
      <c r="Q920" s="160"/>
      <c r="R920" s="160"/>
      <c r="S920" s="160"/>
      <c r="T920" s="160"/>
      <c r="U920" s="160"/>
      <c r="V920" s="160"/>
      <c r="W920" s="160"/>
      <c r="X920" s="160"/>
      <c r="Y920" s="160"/>
      <c r="Z920" s="160"/>
      <c r="AA920" s="160"/>
      <c r="AB920" s="160"/>
    </row>
    <row r="921">
      <c r="A921" s="176"/>
      <c r="B921" s="66"/>
      <c r="C921" s="181" t="s">
        <v>1609</v>
      </c>
      <c r="D921" s="8"/>
      <c r="E921" s="8"/>
      <c r="F921" s="55"/>
      <c r="G921" s="56"/>
      <c r="H921" s="57"/>
      <c r="I921" s="8"/>
      <c r="J921" s="8"/>
      <c r="K921" s="8"/>
      <c r="L921" s="8"/>
      <c r="M921" s="8"/>
      <c r="N921" s="8"/>
      <c r="O921" s="8"/>
      <c r="P921" s="160"/>
      <c r="Q921" s="160"/>
      <c r="R921" s="160"/>
      <c r="S921" s="160"/>
      <c r="T921" s="160"/>
      <c r="U921" s="160"/>
      <c r="V921" s="160"/>
      <c r="W921" s="160"/>
      <c r="X921" s="160"/>
      <c r="Y921" s="160"/>
      <c r="Z921" s="160"/>
      <c r="AA921" s="160"/>
      <c r="AB921" s="160"/>
    </row>
    <row r="922">
      <c r="A922" s="176"/>
      <c r="B922" s="66"/>
      <c r="C922" s="181" t="s">
        <v>1609</v>
      </c>
      <c r="D922" s="8"/>
      <c r="E922" s="8"/>
      <c r="F922" s="8"/>
      <c r="G922" s="128"/>
      <c r="H922" s="8"/>
      <c r="I922" s="8"/>
      <c r="J922" s="8"/>
      <c r="K922" s="8"/>
      <c r="L922" s="8"/>
      <c r="M922" s="8"/>
      <c r="N922" s="8"/>
      <c r="O922" s="8"/>
      <c r="P922" s="160"/>
      <c r="Q922" s="160"/>
      <c r="R922" s="160"/>
      <c r="S922" s="160"/>
      <c r="T922" s="160"/>
      <c r="U922" s="160"/>
      <c r="V922" s="160"/>
      <c r="W922" s="160"/>
      <c r="X922" s="160"/>
      <c r="Y922" s="160"/>
      <c r="Z922" s="160"/>
      <c r="AA922" s="160"/>
      <c r="AB922" s="160"/>
    </row>
    <row r="923">
      <c r="A923" s="176"/>
      <c r="B923" s="67"/>
      <c r="C923" s="181" t="s">
        <v>1609</v>
      </c>
      <c r="D923" s="8"/>
      <c r="E923" s="8"/>
      <c r="F923" s="8"/>
      <c r="G923" s="128"/>
      <c r="H923" s="8"/>
      <c r="I923" s="8"/>
      <c r="J923" s="8"/>
      <c r="K923" s="8"/>
      <c r="L923" s="8"/>
      <c r="M923" s="8"/>
      <c r="N923" s="8"/>
      <c r="O923" s="8"/>
      <c r="P923" s="160"/>
      <c r="Q923" s="160"/>
      <c r="R923" s="160"/>
      <c r="S923" s="160"/>
      <c r="T923" s="160"/>
      <c r="U923" s="160"/>
      <c r="V923" s="160"/>
      <c r="W923" s="160"/>
      <c r="X923" s="160"/>
      <c r="Y923" s="160"/>
      <c r="Z923" s="160"/>
      <c r="AA923" s="160"/>
      <c r="AB923" s="160"/>
    </row>
    <row r="924">
      <c r="A924" s="176"/>
      <c r="B924" s="179"/>
      <c r="C924" s="184">
        <v>44496.0</v>
      </c>
      <c r="D924" s="8"/>
      <c r="E924" s="8"/>
      <c r="F924" s="8"/>
      <c r="G924" s="128"/>
      <c r="H924" s="8"/>
      <c r="I924" s="8"/>
      <c r="J924" s="8"/>
      <c r="K924" s="8"/>
      <c r="L924" s="8"/>
      <c r="M924" s="8"/>
      <c r="N924" s="8"/>
      <c r="O924" s="8"/>
      <c r="P924" s="160"/>
      <c r="Q924" s="160"/>
      <c r="R924" s="160"/>
      <c r="S924" s="160"/>
      <c r="T924" s="160"/>
      <c r="U924" s="160"/>
      <c r="V924" s="160"/>
      <c r="W924" s="160"/>
      <c r="X924" s="160"/>
      <c r="Y924" s="160"/>
      <c r="Z924" s="160"/>
      <c r="AA924" s="160"/>
      <c r="AB924" s="160"/>
    </row>
    <row r="925">
      <c r="A925" s="176"/>
      <c r="B925" s="185" t="s">
        <v>1450</v>
      </c>
      <c r="C925" s="181" t="s">
        <v>1609</v>
      </c>
      <c r="D925" s="44" t="s">
        <v>819</v>
      </c>
      <c r="E925" s="155" t="s">
        <v>1778</v>
      </c>
      <c r="F925" s="155" t="s">
        <v>1779</v>
      </c>
      <c r="G925" s="43">
        <v>0.5</v>
      </c>
      <c r="H925" s="44" t="s">
        <v>790</v>
      </c>
      <c r="I925" s="44" t="s">
        <v>1780</v>
      </c>
      <c r="J925" s="155" t="s">
        <v>1781</v>
      </c>
      <c r="K925" s="39" t="s">
        <v>1782</v>
      </c>
      <c r="L925" s="8"/>
      <c r="M925" s="8"/>
      <c r="N925" s="8"/>
      <c r="O925" s="8"/>
      <c r="P925" s="160"/>
      <c r="Q925" s="160"/>
      <c r="R925" s="160"/>
      <c r="S925" s="160"/>
      <c r="T925" s="160"/>
      <c r="U925" s="160"/>
      <c r="V925" s="160"/>
      <c r="W925" s="160"/>
      <c r="X925" s="160"/>
      <c r="Y925" s="160"/>
      <c r="Z925" s="160"/>
      <c r="AA925" s="160"/>
      <c r="AB925" s="160"/>
    </row>
    <row r="926">
      <c r="A926" s="176"/>
      <c r="B926" s="66"/>
      <c r="C926" s="181" t="s">
        <v>1609</v>
      </c>
      <c r="D926" s="44" t="s">
        <v>1717</v>
      </c>
      <c r="E926" s="42" t="s">
        <v>1783</v>
      </c>
      <c r="F926" s="42" t="s">
        <v>1784</v>
      </c>
      <c r="G926" s="43">
        <v>0.5833333333333334</v>
      </c>
      <c r="H926" s="44" t="s">
        <v>790</v>
      </c>
      <c r="I926" s="69" t="s">
        <v>1785</v>
      </c>
      <c r="J926" s="69" t="s">
        <v>1786</v>
      </c>
      <c r="K926" s="39" t="s">
        <v>1787</v>
      </c>
      <c r="L926" s="8"/>
      <c r="M926" s="8"/>
      <c r="N926" s="8"/>
      <c r="O926" s="8"/>
      <c r="P926" s="160"/>
      <c r="Q926" s="160"/>
      <c r="R926" s="160"/>
      <c r="S926" s="160"/>
      <c r="T926" s="160"/>
      <c r="U926" s="160"/>
      <c r="V926" s="160"/>
      <c r="W926" s="160"/>
      <c r="X926" s="160"/>
      <c r="Y926" s="160"/>
      <c r="Z926" s="160"/>
      <c r="AA926" s="160"/>
      <c r="AB926" s="160"/>
    </row>
    <row r="927">
      <c r="A927" s="176"/>
      <c r="B927" s="66"/>
      <c r="C927" s="181" t="s">
        <v>1609</v>
      </c>
      <c r="D927" s="44" t="s">
        <v>1717</v>
      </c>
      <c r="E927" s="42" t="s">
        <v>1788</v>
      </c>
      <c r="F927" s="42" t="s">
        <v>1789</v>
      </c>
      <c r="G927" s="43">
        <v>0.5833333333333334</v>
      </c>
      <c r="H927" s="44" t="s">
        <v>790</v>
      </c>
      <c r="I927" s="69" t="s">
        <v>1785</v>
      </c>
      <c r="J927" s="69" t="s">
        <v>1786</v>
      </c>
      <c r="K927" s="39" t="s">
        <v>1790</v>
      </c>
      <c r="L927" s="8"/>
      <c r="M927" s="8"/>
      <c r="N927" s="8"/>
      <c r="O927" s="8"/>
      <c r="P927" s="160"/>
      <c r="Q927" s="160"/>
      <c r="R927" s="160"/>
      <c r="S927" s="160"/>
      <c r="T927" s="160"/>
      <c r="U927" s="160"/>
      <c r="V927" s="160"/>
      <c r="W927" s="160"/>
      <c r="X927" s="160"/>
      <c r="Y927" s="160"/>
      <c r="Z927" s="160"/>
      <c r="AA927" s="160"/>
      <c r="AB927" s="160"/>
    </row>
    <row r="928">
      <c r="A928" s="176"/>
      <c r="B928" s="66"/>
      <c r="C928" s="181" t="s">
        <v>1609</v>
      </c>
      <c r="D928" s="27" t="s">
        <v>1791</v>
      </c>
      <c r="E928" s="62" t="s">
        <v>489</v>
      </c>
      <c r="F928" s="62" t="s">
        <v>490</v>
      </c>
      <c r="G928" s="22">
        <v>0.6666666666666666</v>
      </c>
      <c r="H928" s="18" t="s">
        <v>790</v>
      </c>
      <c r="I928" s="18" t="s">
        <v>1792</v>
      </c>
      <c r="J928" s="62" t="s">
        <v>492</v>
      </c>
      <c r="K928" s="8"/>
      <c r="L928" s="8"/>
      <c r="M928" s="8"/>
      <c r="N928" s="8"/>
      <c r="O928" s="8"/>
      <c r="P928" s="160"/>
      <c r="Q928" s="160"/>
      <c r="R928" s="160"/>
      <c r="S928" s="160"/>
      <c r="T928" s="160"/>
      <c r="U928" s="160"/>
      <c r="V928" s="160"/>
      <c r="W928" s="160"/>
      <c r="X928" s="160"/>
      <c r="Y928" s="160"/>
      <c r="Z928" s="160"/>
      <c r="AA928" s="160"/>
      <c r="AB928" s="160"/>
    </row>
    <row r="929">
      <c r="A929" s="176"/>
      <c r="B929" s="67"/>
      <c r="C929" s="181" t="s">
        <v>1609</v>
      </c>
      <c r="D929" s="48" t="s">
        <v>1791</v>
      </c>
      <c r="E929" s="73" t="s">
        <v>1793</v>
      </c>
      <c r="F929" s="73" t="s">
        <v>1794</v>
      </c>
      <c r="G929" s="43">
        <v>0.75</v>
      </c>
      <c r="H929" s="44" t="s">
        <v>790</v>
      </c>
      <c r="I929" s="44" t="s">
        <v>1795</v>
      </c>
      <c r="J929" s="73" t="s">
        <v>1228</v>
      </c>
      <c r="K929" s="39" t="s">
        <v>1372</v>
      </c>
      <c r="L929" s="8"/>
      <c r="M929" s="8"/>
      <c r="N929" s="8"/>
      <c r="O929" s="8"/>
      <c r="P929" s="160"/>
      <c r="Q929" s="160"/>
      <c r="R929" s="160"/>
      <c r="S929" s="160"/>
      <c r="T929" s="160"/>
      <c r="U929" s="160"/>
      <c r="V929" s="160"/>
      <c r="W929" s="160"/>
      <c r="X929" s="160"/>
      <c r="Y929" s="160"/>
      <c r="Z929" s="160"/>
      <c r="AA929" s="160"/>
      <c r="AB929" s="160"/>
    </row>
    <row r="930">
      <c r="A930" s="176"/>
      <c r="B930" s="187"/>
      <c r="C930" s="181" t="s">
        <v>1609</v>
      </c>
      <c r="D930" s="101"/>
      <c r="E930" s="61"/>
      <c r="F930" s="61"/>
      <c r="G930" s="128"/>
      <c r="H930" s="39"/>
      <c r="I930" s="39"/>
      <c r="J930" s="61"/>
      <c r="K930" s="8"/>
      <c r="L930" s="8"/>
      <c r="M930" s="8"/>
      <c r="N930" s="8"/>
      <c r="O930" s="8"/>
      <c r="P930" s="160"/>
      <c r="Q930" s="160"/>
      <c r="R930" s="160"/>
      <c r="S930" s="160"/>
      <c r="T930" s="160"/>
      <c r="U930" s="160"/>
      <c r="V930" s="160"/>
      <c r="W930" s="160"/>
      <c r="X930" s="160"/>
      <c r="Y930" s="160"/>
      <c r="Z930" s="160"/>
      <c r="AA930" s="160"/>
      <c r="AB930" s="160"/>
    </row>
    <row r="931">
      <c r="A931" s="176"/>
      <c r="B931" s="179"/>
      <c r="C931" s="184">
        <v>44497.0</v>
      </c>
      <c r="D931" s="101"/>
      <c r="E931" s="61"/>
      <c r="F931" s="61"/>
      <c r="G931" s="128"/>
      <c r="H931" s="39"/>
      <c r="I931" s="39"/>
      <c r="J931" s="61"/>
      <c r="K931" s="8"/>
      <c r="L931" s="8"/>
      <c r="M931" s="8"/>
      <c r="N931" s="8"/>
      <c r="O931" s="8"/>
      <c r="P931" s="160"/>
      <c r="Q931" s="160"/>
      <c r="R931" s="160"/>
      <c r="S931" s="160"/>
      <c r="T931" s="160"/>
      <c r="U931" s="160"/>
      <c r="V931" s="160"/>
      <c r="W931" s="160"/>
      <c r="X931" s="160"/>
      <c r="Y931" s="160"/>
      <c r="Z931" s="160"/>
      <c r="AA931" s="160"/>
      <c r="AB931" s="160"/>
    </row>
    <row r="932">
      <c r="A932" s="176"/>
      <c r="B932" s="185" t="s">
        <v>1450</v>
      </c>
      <c r="C932" s="181" t="s">
        <v>1609</v>
      </c>
      <c r="D932" s="27" t="s">
        <v>819</v>
      </c>
      <c r="E932" s="62" t="s">
        <v>865</v>
      </c>
      <c r="F932" s="62" t="s">
        <v>866</v>
      </c>
      <c r="G932" s="22">
        <v>0.5</v>
      </c>
      <c r="H932" s="18" t="s">
        <v>553</v>
      </c>
      <c r="I932" s="18" t="s">
        <v>1796</v>
      </c>
      <c r="J932" s="62" t="s">
        <v>870</v>
      </c>
      <c r="K932" s="8"/>
      <c r="L932" s="8"/>
      <c r="M932" s="8"/>
      <c r="N932" s="8"/>
      <c r="O932" s="8"/>
      <c r="P932" s="160"/>
      <c r="Q932" s="160"/>
      <c r="R932" s="160"/>
      <c r="S932" s="160"/>
      <c r="T932" s="160"/>
      <c r="U932" s="160"/>
      <c r="V932" s="160"/>
      <c r="W932" s="160"/>
      <c r="X932" s="160"/>
      <c r="Y932" s="160"/>
      <c r="Z932" s="160"/>
      <c r="AA932" s="160"/>
      <c r="AB932" s="160"/>
    </row>
    <row r="933">
      <c r="A933" s="176"/>
      <c r="B933" s="66"/>
      <c r="C933" s="181" t="s">
        <v>1609</v>
      </c>
      <c r="D933" s="48" t="s">
        <v>819</v>
      </c>
      <c r="E933" s="73" t="s">
        <v>1797</v>
      </c>
      <c r="F933" s="73" t="s">
        <v>1798</v>
      </c>
      <c r="G933" s="43">
        <v>0.5833333333333334</v>
      </c>
      <c r="H933" s="44" t="s">
        <v>553</v>
      </c>
      <c r="I933" s="44" t="s">
        <v>1799</v>
      </c>
      <c r="J933" s="73" t="s">
        <v>555</v>
      </c>
      <c r="K933" s="39" t="s">
        <v>1800</v>
      </c>
      <c r="L933" s="8"/>
      <c r="M933" s="8"/>
      <c r="N933" s="8"/>
      <c r="O933" s="8"/>
      <c r="P933" s="160"/>
      <c r="Q933" s="160"/>
      <c r="R933" s="160"/>
      <c r="S933" s="160"/>
      <c r="T933" s="160"/>
      <c r="U933" s="160"/>
      <c r="V933" s="160"/>
      <c r="W933" s="160"/>
      <c r="X933" s="160"/>
      <c r="Y933" s="160"/>
      <c r="Z933" s="160"/>
      <c r="AA933" s="160"/>
      <c r="AB933" s="160"/>
    </row>
    <row r="934">
      <c r="A934" s="176"/>
      <c r="B934" s="66"/>
      <c r="C934" s="181" t="s">
        <v>1609</v>
      </c>
      <c r="D934" s="48" t="s">
        <v>819</v>
      </c>
      <c r="E934" s="73" t="s">
        <v>1801</v>
      </c>
      <c r="F934" s="73" t="s">
        <v>1802</v>
      </c>
      <c r="G934" s="43">
        <v>0.5833333333333334</v>
      </c>
      <c r="H934" s="44" t="s">
        <v>553</v>
      </c>
      <c r="I934" s="44" t="s">
        <v>1799</v>
      </c>
      <c r="J934" s="73" t="s">
        <v>555</v>
      </c>
      <c r="K934" s="39" t="s">
        <v>1800</v>
      </c>
      <c r="L934" s="8"/>
      <c r="M934" s="8"/>
      <c r="N934" s="8"/>
      <c r="O934" s="8"/>
      <c r="P934" s="160"/>
      <c r="Q934" s="160"/>
      <c r="R934" s="160"/>
      <c r="S934" s="160"/>
      <c r="T934" s="160"/>
      <c r="U934" s="160"/>
      <c r="V934" s="160"/>
      <c r="W934" s="160"/>
      <c r="X934" s="160"/>
      <c r="Y934" s="160"/>
      <c r="Z934" s="160"/>
      <c r="AA934" s="160"/>
      <c r="AB934" s="160"/>
    </row>
    <row r="935">
      <c r="A935" s="176"/>
      <c r="B935" s="66"/>
      <c r="C935" s="181" t="s">
        <v>1609</v>
      </c>
      <c r="D935" s="48" t="s">
        <v>819</v>
      </c>
      <c r="E935" s="73" t="s">
        <v>1803</v>
      </c>
      <c r="F935" s="73" t="s">
        <v>1804</v>
      </c>
      <c r="G935" s="43">
        <v>0.5833333333333334</v>
      </c>
      <c r="H935" s="44" t="s">
        <v>553</v>
      </c>
      <c r="I935" s="44" t="s">
        <v>1799</v>
      </c>
      <c r="J935" s="73" t="s">
        <v>555</v>
      </c>
      <c r="K935" s="39" t="s">
        <v>1800</v>
      </c>
      <c r="L935" s="8"/>
      <c r="M935" s="8"/>
      <c r="N935" s="8"/>
      <c r="O935" s="8"/>
      <c r="P935" s="160"/>
      <c r="Q935" s="160"/>
      <c r="R935" s="160"/>
      <c r="S935" s="160"/>
      <c r="T935" s="160"/>
      <c r="U935" s="160"/>
      <c r="V935" s="160"/>
      <c r="W935" s="160"/>
      <c r="X935" s="160"/>
      <c r="Y935" s="160"/>
      <c r="Z935" s="160"/>
      <c r="AA935" s="160"/>
      <c r="AB935" s="160"/>
    </row>
    <row r="936">
      <c r="A936" s="176"/>
      <c r="B936" s="67"/>
      <c r="C936" s="181" t="s">
        <v>1609</v>
      </c>
      <c r="D936" s="101"/>
      <c r="E936" s="61"/>
      <c r="F936" s="61"/>
      <c r="G936" s="128"/>
      <c r="H936" s="39"/>
      <c r="I936" s="39"/>
      <c r="J936" s="61"/>
      <c r="K936" s="8"/>
      <c r="L936" s="8"/>
      <c r="M936" s="8"/>
      <c r="N936" s="8"/>
      <c r="O936" s="8"/>
      <c r="P936" s="160"/>
      <c r="Q936" s="160"/>
      <c r="R936" s="160"/>
      <c r="S936" s="160"/>
      <c r="T936" s="160"/>
      <c r="U936" s="160"/>
      <c r="V936" s="160"/>
      <c r="W936" s="160"/>
      <c r="X936" s="160"/>
      <c r="Y936" s="160"/>
      <c r="Z936" s="160"/>
      <c r="AA936" s="160"/>
      <c r="AB936" s="160"/>
    </row>
    <row r="937">
      <c r="A937" s="176"/>
      <c r="B937" s="179"/>
      <c r="C937" s="184">
        <v>44498.0</v>
      </c>
      <c r="D937" s="101"/>
      <c r="E937" s="61"/>
      <c r="F937" s="61"/>
      <c r="G937" s="128"/>
      <c r="H937" s="39"/>
      <c r="I937" s="39"/>
      <c r="J937" s="61"/>
      <c r="K937" s="8"/>
      <c r="L937" s="8"/>
      <c r="M937" s="8"/>
      <c r="N937" s="8"/>
      <c r="O937" s="8"/>
      <c r="P937" s="160"/>
      <c r="Q937" s="160"/>
      <c r="R937" s="160"/>
      <c r="S937" s="160"/>
      <c r="T937" s="160"/>
      <c r="U937" s="160"/>
      <c r="V937" s="160"/>
      <c r="W937" s="160"/>
      <c r="X937" s="160"/>
      <c r="Y937" s="160"/>
      <c r="Z937" s="160"/>
      <c r="AA937" s="160"/>
      <c r="AB937" s="160"/>
    </row>
    <row r="938">
      <c r="A938" s="176"/>
      <c r="B938" s="185" t="s">
        <v>1450</v>
      </c>
      <c r="C938" s="181" t="s">
        <v>1609</v>
      </c>
      <c r="D938" s="101"/>
      <c r="E938" s="61"/>
      <c r="F938" s="61"/>
      <c r="G938" s="128"/>
      <c r="H938" s="39"/>
      <c r="I938" s="39"/>
      <c r="J938" s="61"/>
      <c r="K938" s="8"/>
      <c r="L938" s="8"/>
      <c r="M938" s="8"/>
      <c r="N938" s="8"/>
      <c r="O938" s="8"/>
      <c r="P938" s="160"/>
      <c r="Q938" s="160"/>
      <c r="R938" s="160"/>
      <c r="S938" s="160"/>
      <c r="T938" s="160"/>
      <c r="U938" s="160"/>
      <c r="V938" s="160"/>
      <c r="W938" s="160"/>
      <c r="X938" s="160"/>
      <c r="Y938" s="160"/>
      <c r="Z938" s="160"/>
      <c r="AA938" s="160"/>
      <c r="AB938" s="160"/>
    </row>
    <row r="939">
      <c r="A939" s="176"/>
      <c r="B939" s="66"/>
      <c r="C939" s="181" t="s">
        <v>1609</v>
      </c>
      <c r="D939" s="27" t="s">
        <v>1715</v>
      </c>
      <c r="E939" s="175" t="s">
        <v>797</v>
      </c>
      <c r="F939" s="175" t="s">
        <v>798</v>
      </c>
      <c r="G939" s="76" t="s">
        <v>344</v>
      </c>
      <c r="H939" s="114" t="s">
        <v>1056</v>
      </c>
      <c r="I939" s="18" t="s">
        <v>1805</v>
      </c>
      <c r="J939" s="75" t="s">
        <v>1806</v>
      </c>
      <c r="K939" s="39" t="s">
        <v>1807</v>
      </c>
      <c r="L939" s="8"/>
      <c r="M939" s="8"/>
      <c r="N939" s="8"/>
      <c r="O939" s="8"/>
      <c r="P939" s="160"/>
      <c r="Q939" s="160"/>
      <c r="R939" s="160"/>
      <c r="S939" s="160"/>
      <c r="T939" s="160"/>
      <c r="U939" s="160"/>
      <c r="V939" s="160"/>
      <c r="W939" s="160"/>
      <c r="X939" s="160"/>
      <c r="Y939" s="160"/>
      <c r="Z939" s="160"/>
      <c r="AA939" s="160"/>
      <c r="AB939" s="160"/>
    </row>
    <row r="940">
      <c r="A940" s="176"/>
      <c r="B940" s="66"/>
      <c r="C940" s="181" t="s">
        <v>1609</v>
      </c>
      <c r="D940" s="27" t="s">
        <v>943</v>
      </c>
      <c r="E940" s="162" t="s">
        <v>1808</v>
      </c>
      <c r="F940" s="162" t="s">
        <v>1809</v>
      </c>
      <c r="G940" s="22">
        <v>0.625</v>
      </c>
      <c r="H940" s="114" t="s">
        <v>1810</v>
      </c>
      <c r="I940" s="18" t="s">
        <v>1811</v>
      </c>
      <c r="J940" s="75" t="s">
        <v>1812</v>
      </c>
      <c r="K940" s="193" t="s">
        <v>1813</v>
      </c>
      <c r="L940" s="194"/>
      <c r="M940" s="194"/>
      <c r="N940" s="194"/>
      <c r="O940" s="8"/>
      <c r="P940" s="160"/>
      <c r="Q940" s="160"/>
      <c r="R940" s="160"/>
      <c r="S940" s="160"/>
      <c r="T940" s="160"/>
      <c r="U940" s="160"/>
      <c r="V940" s="160"/>
      <c r="W940" s="160"/>
      <c r="X940" s="160"/>
      <c r="Y940" s="160"/>
      <c r="Z940" s="160"/>
      <c r="AA940" s="160"/>
      <c r="AB940" s="160"/>
    </row>
    <row r="941">
      <c r="A941" s="176"/>
      <c r="B941" s="66"/>
      <c r="C941" s="181" t="s">
        <v>1609</v>
      </c>
      <c r="D941" s="195" t="s">
        <v>1715</v>
      </c>
      <c r="E941" s="196" t="s">
        <v>1814</v>
      </c>
      <c r="F941" s="196" t="s">
        <v>1815</v>
      </c>
      <c r="G941" s="197" t="s">
        <v>378</v>
      </c>
      <c r="H941" s="198" t="s">
        <v>790</v>
      </c>
      <c r="I941" s="195" t="s">
        <v>1816</v>
      </c>
      <c r="J941" s="199" t="s">
        <v>1817</v>
      </c>
      <c r="K941" s="8"/>
      <c r="L941" s="8"/>
      <c r="M941" s="8"/>
      <c r="N941" s="8"/>
      <c r="O941" s="8"/>
      <c r="P941" s="160"/>
      <c r="Q941" s="160"/>
      <c r="R941" s="160"/>
      <c r="S941" s="160"/>
      <c r="T941" s="160"/>
      <c r="U941" s="160"/>
      <c r="V941" s="160"/>
      <c r="W941" s="160"/>
      <c r="X941" s="160"/>
      <c r="Y941" s="160"/>
      <c r="Z941" s="160"/>
      <c r="AA941" s="160"/>
      <c r="AB941" s="160"/>
    </row>
    <row r="942">
      <c r="A942" s="176"/>
      <c r="B942" s="67"/>
      <c r="C942" s="181" t="s">
        <v>1609</v>
      </c>
      <c r="D942" s="48" t="s">
        <v>1791</v>
      </c>
      <c r="E942" s="73" t="s">
        <v>1793</v>
      </c>
      <c r="F942" s="73" t="s">
        <v>1794</v>
      </c>
      <c r="G942" s="43">
        <v>0.75</v>
      </c>
      <c r="H942" s="44" t="s">
        <v>790</v>
      </c>
      <c r="I942" s="44" t="s">
        <v>1795</v>
      </c>
      <c r="J942" s="73" t="s">
        <v>1228</v>
      </c>
      <c r="K942" s="44" t="s">
        <v>1818</v>
      </c>
      <c r="L942" s="8"/>
      <c r="M942" s="8"/>
      <c r="N942" s="8"/>
      <c r="O942" s="8"/>
      <c r="P942" s="160"/>
      <c r="Q942" s="160"/>
      <c r="R942" s="160"/>
      <c r="S942" s="160"/>
      <c r="T942" s="160"/>
      <c r="U942" s="160"/>
      <c r="V942" s="160"/>
      <c r="W942" s="160"/>
      <c r="X942" s="160"/>
      <c r="Y942" s="160"/>
      <c r="Z942" s="160"/>
      <c r="AA942" s="160"/>
      <c r="AB942" s="160"/>
    </row>
    <row r="943">
      <c r="A943" s="176"/>
      <c r="B943" s="179"/>
      <c r="C943" s="184">
        <v>44501.0</v>
      </c>
      <c r="D943" s="101"/>
      <c r="E943" s="61"/>
      <c r="F943" s="61"/>
      <c r="G943" s="128"/>
      <c r="H943" s="39"/>
      <c r="I943" s="39"/>
      <c r="J943" s="61"/>
      <c r="K943" s="8"/>
      <c r="L943" s="8"/>
      <c r="M943" s="8"/>
      <c r="N943" s="8"/>
      <c r="O943" s="8"/>
      <c r="P943" s="160"/>
      <c r="Q943" s="160"/>
      <c r="R943" s="160"/>
      <c r="S943" s="160"/>
      <c r="T943" s="160"/>
      <c r="U943" s="160"/>
      <c r="V943" s="160"/>
      <c r="W943" s="160"/>
      <c r="X943" s="160"/>
      <c r="Y943" s="160"/>
      <c r="Z943" s="160"/>
      <c r="AA943" s="160"/>
      <c r="AB943" s="160"/>
    </row>
    <row r="944">
      <c r="A944" s="176"/>
      <c r="B944" s="185" t="s">
        <v>1450</v>
      </c>
      <c r="C944" s="181" t="s">
        <v>1609</v>
      </c>
      <c r="D944" s="101"/>
      <c r="E944" s="200" t="s">
        <v>1819</v>
      </c>
      <c r="F944" s="11"/>
      <c r="G944" s="128"/>
      <c r="H944" s="39"/>
      <c r="I944" s="39"/>
      <c r="J944" s="61"/>
      <c r="K944" s="8"/>
      <c r="L944" s="8"/>
      <c r="M944" s="8"/>
      <c r="N944" s="8"/>
      <c r="O944" s="8"/>
      <c r="P944" s="160"/>
      <c r="Q944" s="160"/>
      <c r="R944" s="160"/>
      <c r="S944" s="160"/>
      <c r="T944" s="160"/>
      <c r="U944" s="160"/>
      <c r="V944" s="160"/>
      <c r="W944" s="160"/>
      <c r="X944" s="160"/>
      <c r="Y944" s="160"/>
      <c r="Z944" s="160"/>
      <c r="AA944" s="160"/>
      <c r="AB944" s="160"/>
    </row>
    <row r="945">
      <c r="A945" s="176"/>
      <c r="B945" s="66"/>
      <c r="C945" s="181" t="s">
        <v>1609</v>
      </c>
      <c r="D945" s="48" t="s">
        <v>1715</v>
      </c>
      <c r="E945" s="153" t="s">
        <v>743</v>
      </c>
      <c r="F945" s="153" t="s">
        <v>744</v>
      </c>
      <c r="G945" s="43">
        <v>0.4166666666666667</v>
      </c>
      <c r="H945" s="201" t="s">
        <v>1820</v>
      </c>
      <c r="I945" s="44" t="s">
        <v>1821</v>
      </c>
      <c r="J945" s="202" t="s">
        <v>1822</v>
      </c>
      <c r="K945" s="39" t="s">
        <v>1823</v>
      </c>
      <c r="L945" s="8"/>
      <c r="M945" s="8"/>
      <c r="N945" s="8"/>
      <c r="O945" s="8"/>
      <c r="P945" s="160"/>
      <c r="Q945" s="160"/>
      <c r="R945" s="160"/>
      <c r="S945" s="160"/>
      <c r="T945" s="160"/>
      <c r="U945" s="160"/>
      <c r="V945" s="160"/>
      <c r="W945" s="160"/>
      <c r="X945" s="160"/>
      <c r="Y945" s="160"/>
      <c r="Z945" s="160"/>
      <c r="AA945" s="160"/>
      <c r="AB945" s="160"/>
    </row>
    <row r="946">
      <c r="A946" s="176"/>
      <c r="B946" s="66"/>
      <c r="C946" s="181" t="s">
        <v>1609</v>
      </c>
      <c r="D946" s="48" t="s">
        <v>1824</v>
      </c>
      <c r="E946" s="155" t="s">
        <v>1825</v>
      </c>
      <c r="F946" s="155" t="s">
        <v>1826</v>
      </c>
      <c r="G946" s="43">
        <v>0.4791666666666667</v>
      </c>
      <c r="H946" s="44" t="s">
        <v>886</v>
      </c>
      <c r="I946" s="44" t="s">
        <v>1827</v>
      </c>
      <c r="J946" s="73" t="s">
        <v>1828</v>
      </c>
      <c r="K946" s="39" t="s">
        <v>1829</v>
      </c>
      <c r="L946" s="8"/>
      <c r="M946" s="8"/>
      <c r="N946" s="8"/>
      <c r="O946" s="8"/>
      <c r="P946" s="160"/>
      <c r="Q946" s="160"/>
      <c r="R946" s="160"/>
      <c r="S946" s="160"/>
      <c r="T946" s="160"/>
      <c r="U946" s="160"/>
      <c r="V946" s="160"/>
      <c r="W946" s="160"/>
      <c r="X946" s="160"/>
      <c r="Y946" s="160"/>
      <c r="Z946" s="160"/>
      <c r="AA946" s="160"/>
      <c r="AB946" s="160"/>
    </row>
    <row r="947">
      <c r="A947" s="176"/>
      <c r="B947" s="66"/>
      <c r="C947" s="181" t="s">
        <v>1609</v>
      </c>
      <c r="D947" s="101"/>
      <c r="E947" s="61"/>
      <c r="F947" s="61"/>
      <c r="G947" s="128"/>
      <c r="H947" s="39"/>
      <c r="I947" s="39"/>
      <c r="J947" s="61"/>
      <c r="K947" s="8"/>
      <c r="L947" s="8"/>
      <c r="M947" s="8"/>
      <c r="N947" s="8"/>
      <c r="O947" s="8"/>
      <c r="P947" s="160"/>
      <c r="Q947" s="160"/>
      <c r="R947" s="160"/>
      <c r="S947" s="160"/>
      <c r="T947" s="160"/>
      <c r="U947" s="160"/>
      <c r="V947" s="160"/>
      <c r="W947" s="160"/>
      <c r="X947" s="160"/>
      <c r="Y947" s="160"/>
      <c r="Z947" s="160"/>
      <c r="AA947" s="160"/>
      <c r="AB947" s="160"/>
    </row>
    <row r="948">
      <c r="A948" s="176"/>
      <c r="B948" s="66"/>
      <c r="C948" s="181" t="s">
        <v>1609</v>
      </c>
      <c r="D948" s="101"/>
      <c r="E948" s="61"/>
      <c r="F948" s="61"/>
      <c r="G948" s="136"/>
      <c r="H948" s="39"/>
      <c r="I948" s="39"/>
      <c r="J948" s="61"/>
      <c r="K948" s="8"/>
      <c r="L948" s="8"/>
      <c r="M948" s="8"/>
      <c r="N948" s="8"/>
      <c r="O948" s="8"/>
      <c r="P948" s="160"/>
      <c r="Q948" s="160"/>
      <c r="R948" s="160"/>
      <c r="S948" s="160"/>
      <c r="T948" s="160"/>
      <c r="U948" s="160"/>
      <c r="V948" s="160"/>
      <c r="W948" s="160"/>
      <c r="X948" s="160"/>
      <c r="Y948" s="160"/>
      <c r="Z948" s="160"/>
      <c r="AA948" s="160"/>
      <c r="AB948" s="160"/>
    </row>
    <row r="949">
      <c r="A949" s="176"/>
      <c r="B949" s="67"/>
      <c r="C949" s="181" t="s">
        <v>1609</v>
      </c>
      <c r="D949" s="101"/>
      <c r="E949" s="61"/>
      <c r="F949" s="61"/>
      <c r="G949" s="128"/>
      <c r="H949" s="39"/>
      <c r="I949" s="39"/>
      <c r="J949" s="61"/>
      <c r="K949" s="8"/>
      <c r="L949" s="8"/>
      <c r="M949" s="8"/>
      <c r="N949" s="8"/>
      <c r="O949" s="8"/>
      <c r="P949" s="160"/>
      <c r="Q949" s="160"/>
      <c r="R949" s="160"/>
      <c r="S949" s="160"/>
      <c r="T949" s="160"/>
      <c r="U949" s="160"/>
      <c r="V949" s="160"/>
      <c r="W949" s="160"/>
      <c r="X949" s="160"/>
      <c r="Y949" s="160"/>
      <c r="Z949" s="160"/>
      <c r="AA949" s="160"/>
      <c r="AB949" s="160"/>
    </row>
    <row r="950">
      <c r="A950" s="176"/>
      <c r="B950" s="179"/>
      <c r="C950" s="184">
        <v>44502.0</v>
      </c>
      <c r="D950" s="101"/>
      <c r="E950" s="200" t="s">
        <v>1830</v>
      </c>
      <c r="F950" s="11"/>
      <c r="G950" s="128"/>
      <c r="H950" s="39"/>
      <c r="I950" s="39"/>
      <c r="J950" s="61"/>
      <c r="K950" s="8"/>
      <c r="L950" s="8"/>
      <c r="M950" s="8"/>
      <c r="N950" s="8"/>
      <c r="O950" s="8"/>
      <c r="P950" s="160"/>
      <c r="Q950" s="160"/>
      <c r="R950" s="160"/>
      <c r="S950" s="160"/>
      <c r="T950" s="160"/>
      <c r="U950" s="160"/>
      <c r="V950" s="160"/>
      <c r="W950" s="160"/>
      <c r="X950" s="160"/>
      <c r="Y950" s="160"/>
      <c r="Z950" s="160"/>
      <c r="AA950" s="160"/>
      <c r="AB950" s="160"/>
    </row>
    <row r="951">
      <c r="A951" s="176"/>
      <c r="B951" s="185" t="s">
        <v>1450</v>
      </c>
      <c r="C951" s="181" t="s">
        <v>1609</v>
      </c>
      <c r="D951" s="27" t="s">
        <v>819</v>
      </c>
      <c r="E951" s="162" t="s">
        <v>1831</v>
      </c>
      <c r="F951" s="162" t="s">
        <v>1832</v>
      </c>
      <c r="G951" s="22">
        <v>0.4166666666666667</v>
      </c>
      <c r="H951" s="18" t="s">
        <v>35</v>
      </c>
      <c r="I951" s="18" t="s">
        <v>1833</v>
      </c>
      <c r="J951" s="162" t="s">
        <v>1834</v>
      </c>
      <c r="K951" s="8"/>
      <c r="L951" s="8"/>
      <c r="M951" s="8"/>
      <c r="N951" s="8"/>
      <c r="O951" s="8"/>
      <c r="P951" s="160"/>
      <c r="Q951" s="160"/>
      <c r="R951" s="160"/>
      <c r="S951" s="160"/>
      <c r="T951" s="160"/>
      <c r="U951" s="160"/>
      <c r="V951" s="160"/>
      <c r="W951" s="160"/>
      <c r="X951" s="160"/>
      <c r="Y951" s="160"/>
      <c r="Z951" s="160"/>
      <c r="AA951" s="160"/>
      <c r="AB951" s="160"/>
    </row>
    <row r="952">
      <c r="A952" s="176"/>
      <c r="B952" s="66"/>
      <c r="C952" s="181" t="s">
        <v>1609</v>
      </c>
      <c r="D952" s="27" t="s">
        <v>819</v>
      </c>
      <c r="E952" s="162" t="s">
        <v>1835</v>
      </c>
      <c r="F952" s="162" t="s">
        <v>1836</v>
      </c>
      <c r="G952" s="22">
        <v>0.5</v>
      </c>
      <c r="H952" s="18" t="s">
        <v>35</v>
      </c>
      <c r="I952" s="18" t="s">
        <v>1837</v>
      </c>
      <c r="J952" s="162" t="s">
        <v>1838</v>
      </c>
      <c r="K952" s="8"/>
      <c r="L952" s="8"/>
      <c r="M952" s="8"/>
      <c r="N952" s="8"/>
      <c r="O952" s="8"/>
      <c r="P952" s="160"/>
      <c r="Q952" s="160"/>
      <c r="R952" s="160"/>
      <c r="S952" s="160"/>
      <c r="T952" s="160"/>
      <c r="U952" s="160"/>
      <c r="V952" s="160"/>
      <c r="W952" s="160"/>
      <c r="X952" s="160"/>
      <c r="Y952" s="160"/>
      <c r="Z952" s="160"/>
      <c r="AA952" s="160"/>
      <c r="AB952" s="160"/>
    </row>
    <row r="953">
      <c r="A953" s="176"/>
      <c r="B953" s="66"/>
      <c r="C953" s="181" t="s">
        <v>1609</v>
      </c>
      <c r="D953" s="27" t="s">
        <v>943</v>
      </c>
      <c r="E953" s="175" t="s">
        <v>107</v>
      </c>
      <c r="F953" s="175" t="s">
        <v>108</v>
      </c>
      <c r="G953" s="22">
        <v>0.5833333333333334</v>
      </c>
      <c r="H953" s="18" t="s">
        <v>1839</v>
      </c>
      <c r="I953" s="18" t="s">
        <v>1840</v>
      </c>
      <c r="J953" s="62" t="s">
        <v>111</v>
      </c>
      <c r="K953" s="39" t="s">
        <v>1841</v>
      </c>
      <c r="L953" s="8"/>
      <c r="M953" s="8"/>
      <c r="N953" s="8"/>
      <c r="O953" s="8"/>
      <c r="P953" s="160"/>
      <c r="Q953" s="160"/>
      <c r="R953" s="160"/>
      <c r="S953" s="160"/>
      <c r="T953" s="160"/>
      <c r="U953" s="160"/>
      <c r="V953" s="160"/>
      <c r="W953" s="160"/>
      <c r="X953" s="160"/>
      <c r="Y953" s="160"/>
      <c r="Z953" s="160"/>
      <c r="AA953" s="160"/>
      <c r="AB953" s="160"/>
    </row>
    <row r="954">
      <c r="A954" s="176"/>
      <c r="B954" s="66"/>
      <c r="C954" s="181" t="s">
        <v>1609</v>
      </c>
      <c r="D954" s="48" t="s">
        <v>819</v>
      </c>
      <c r="E954" s="155" t="s">
        <v>1842</v>
      </c>
      <c r="F954" s="155" t="s">
        <v>1843</v>
      </c>
      <c r="G954" s="43">
        <v>0.6458333333333334</v>
      </c>
      <c r="H954" s="44" t="s">
        <v>35</v>
      </c>
      <c r="I954" s="44" t="s">
        <v>1844</v>
      </c>
      <c r="J954" s="155" t="s">
        <v>1845</v>
      </c>
      <c r="K954" s="8"/>
      <c r="L954" s="8"/>
      <c r="M954" s="8"/>
      <c r="N954" s="8"/>
      <c r="O954" s="8"/>
      <c r="P954" s="160"/>
      <c r="Q954" s="160"/>
      <c r="R954" s="160"/>
      <c r="S954" s="160"/>
      <c r="T954" s="160"/>
      <c r="U954" s="160"/>
      <c r="V954" s="160"/>
      <c r="W954" s="160"/>
      <c r="X954" s="160"/>
      <c r="Y954" s="160"/>
      <c r="Z954" s="160"/>
      <c r="AA954" s="160"/>
      <c r="AB954" s="160"/>
    </row>
    <row r="955">
      <c r="A955" s="176"/>
      <c r="B955" s="66"/>
      <c r="C955" s="181" t="s">
        <v>1609</v>
      </c>
      <c r="D955" s="101"/>
      <c r="E955" s="61"/>
      <c r="F955" s="61"/>
      <c r="G955" s="128"/>
      <c r="H955" s="39"/>
      <c r="I955" s="39"/>
      <c r="J955" s="61"/>
      <c r="K955" s="8"/>
      <c r="L955" s="8"/>
      <c r="M955" s="8"/>
      <c r="N955" s="8"/>
      <c r="O955" s="8"/>
      <c r="P955" s="160"/>
      <c r="Q955" s="160"/>
      <c r="R955" s="160"/>
      <c r="S955" s="160"/>
      <c r="T955" s="160"/>
      <c r="U955" s="160"/>
      <c r="V955" s="160"/>
      <c r="W955" s="160"/>
      <c r="X955" s="160"/>
      <c r="Y955" s="160"/>
      <c r="Z955" s="160"/>
      <c r="AA955" s="160"/>
      <c r="AB955" s="160"/>
    </row>
    <row r="956">
      <c r="A956" s="176"/>
      <c r="B956" s="67"/>
      <c r="C956" s="181" t="s">
        <v>1609</v>
      </c>
      <c r="D956" s="101"/>
      <c r="E956" s="61"/>
      <c r="F956" s="61"/>
      <c r="G956" s="128"/>
      <c r="H956" s="39"/>
      <c r="I956" s="39"/>
      <c r="J956" s="61"/>
      <c r="K956" s="8"/>
      <c r="L956" s="8"/>
      <c r="M956" s="8"/>
      <c r="N956" s="8"/>
      <c r="O956" s="8"/>
      <c r="P956" s="160"/>
      <c r="Q956" s="160"/>
      <c r="R956" s="160"/>
      <c r="S956" s="160"/>
      <c r="T956" s="160"/>
      <c r="U956" s="160"/>
      <c r="V956" s="160"/>
      <c r="W956" s="160"/>
      <c r="X956" s="160"/>
      <c r="Y956" s="160"/>
      <c r="Z956" s="160"/>
      <c r="AA956" s="160"/>
      <c r="AB956" s="160"/>
    </row>
    <row r="957">
      <c r="A957" s="176"/>
      <c r="B957" s="179"/>
      <c r="C957" s="184">
        <v>44503.0</v>
      </c>
      <c r="D957" s="101"/>
      <c r="E957" s="61"/>
      <c r="F957" s="61"/>
      <c r="G957" s="128"/>
      <c r="H957" s="39"/>
      <c r="I957" s="39"/>
      <c r="J957" s="61"/>
      <c r="K957" s="8"/>
      <c r="L957" s="8"/>
      <c r="M957" s="8"/>
      <c r="N957" s="8"/>
      <c r="O957" s="8"/>
      <c r="P957" s="160"/>
      <c r="Q957" s="160"/>
      <c r="R957" s="160"/>
      <c r="S957" s="160"/>
      <c r="T957" s="160"/>
      <c r="U957" s="160"/>
      <c r="V957" s="160"/>
      <c r="W957" s="160"/>
      <c r="X957" s="160"/>
      <c r="Y957" s="160"/>
      <c r="Z957" s="160"/>
      <c r="AA957" s="160"/>
      <c r="AB957" s="160"/>
    </row>
    <row r="958">
      <c r="A958" s="176"/>
      <c r="B958" s="185" t="s">
        <v>1450</v>
      </c>
      <c r="C958" s="181" t="s">
        <v>1609</v>
      </c>
      <c r="D958" s="101"/>
      <c r="E958" s="200" t="s">
        <v>1830</v>
      </c>
      <c r="F958" s="11"/>
      <c r="G958" s="128"/>
      <c r="H958" s="39"/>
      <c r="I958" s="39"/>
      <c r="J958" s="61"/>
      <c r="K958" s="8"/>
      <c r="L958" s="8"/>
      <c r="M958" s="8"/>
      <c r="N958" s="8"/>
      <c r="O958" s="8"/>
      <c r="P958" s="160"/>
      <c r="Q958" s="160"/>
      <c r="R958" s="160"/>
      <c r="S958" s="160"/>
      <c r="T958" s="160"/>
      <c r="U958" s="160"/>
      <c r="V958" s="160"/>
      <c r="W958" s="160"/>
      <c r="X958" s="160"/>
      <c r="Y958" s="160"/>
      <c r="Z958" s="160"/>
      <c r="AA958" s="160"/>
      <c r="AB958" s="160"/>
    </row>
    <row r="959">
      <c r="A959" s="176"/>
      <c r="B959" s="66"/>
      <c r="C959" s="181" t="s">
        <v>1609</v>
      </c>
      <c r="D959" s="101"/>
      <c r="E959" s="61"/>
      <c r="F959" s="61"/>
      <c r="G959" s="128"/>
      <c r="H959" s="39"/>
      <c r="I959" s="39"/>
      <c r="J959" s="61"/>
      <c r="K959" s="8"/>
      <c r="L959" s="8"/>
      <c r="M959" s="8"/>
      <c r="N959" s="8"/>
      <c r="O959" s="8"/>
      <c r="P959" s="160"/>
      <c r="Q959" s="160"/>
      <c r="R959" s="160"/>
      <c r="S959" s="160"/>
      <c r="T959" s="160"/>
      <c r="U959" s="160"/>
      <c r="V959" s="160"/>
      <c r="W959" s="160"/>
      <c r="X959" s="160"/>
      <c r="Y959" s="160"/>
      <c r="Z959" s="160"/>
      <c r="AA959" s="160"/>
      <c r="AB959" s="160"/>
    </row>
    <row r="960">
      <c r="A960" s="176"/>
      <c r="B960" s="66"/>
      <c r="C960" s="181" t="s">
        <v>1609</v>
      </c>
      <c r="D960" s="145" t="s">
        <v>1791</v>
      </c>
      <c r="E960" s="162" t="s">
        <v>1846</v>
      </c>
      <c r="F960" s="162" t="s">
        <v>1847</v>
      </c>
      <c r="G960" s="22">
        <v>0.5</v>
      </c>
      <c r="H960" s="18" t="s">
        <v>17</v>
      </c>
      <c r="I960" s="18" t="s">
        <v>1848</v>
      </c>
      <c r="J960" s="162" t="s">
        <v>1849</v>
      </c>
      <c r="K960" s="8"/>
      <c r="L960" s="8"/>
      <c r="M960" s="8"/>
      <c r="N960" s="8"/>
      <c r="O960" s="8"/>
      <c r="P960" s="160"/>
      <c r="Q960" s="160"/>
      <c r="R960" s="160"/>
      <c r="S960" s="160"/>
      <c r="T960" s="160"/>
      <c r="U960" s="160"/>
      <c r="V960" s="160"/>
      <c r="W960" s="160"/>
      <c r="X960" s="160"/>
      <c r="Y960" s="160"/>
      <c r="Z960" s="160"/>
      <c r="AA960" s="160"/>
      <c r="AB960" s="160"/>
    </row>
    <row r="961">
      <c r="A961" s="176"/>
      <c r="B961" s="66"/>
      <c r="C961" s="181" t="s">
        <v>1609</v>
      </c>
      <c r="D961" s="48" t="s">
        <v>819</v>
      </c>
      <c r="E961" s="155" t="s">
        <v>1850</v>
      </c>
      <c r="F961" s="155" t="s">
        <v>1851</v>
      </c>
      <c r="G961" s="43">
        <v>0.6041666666666666</v>
      </c>
      <c r="H961" s="44" t="s">
        <v>17</v>
      </c>
      <c r="I961" s="148" t="s">
        <v>1852</v>
      </c>
      <c r="J961" s="155" t="s">
        <v>1853</v>
      </c>
      <c r="K961" s="39" t="s">
        <v>1854</v>
      </c>
      <c r="L961" s="8"/>
      <c r="M961" s="8"/>
      <c r="N961" s="8"/>
      <c r="O961" s="8"/>
      <c r="P961" s="160"/>
      <c r="Q961" s="160"/>
      <c r="R961" s="160"/>
      <c r="S961" s="160"/>
      <c r="T961" s="160"/>
      <c r="U961" s="160"/>
      <c r="V961" s="160"/>
      <c r="W961" s="160"/>
      <c r="X961" s="160"/>
      <c r="Y961" s="160"/>
      <c r="Z961" s="160"/>
      <c r="AA961" s="160"/>
      <c r="AB961" s="160"/>
    </row>
    <row r="962">
      <c r="A962" s="176"/>
      <c r="B962" s="66"/>
      <c r="C962" s="181" t="s">
        <v>1609</v>
      </c>
      <c r="D962" s="145" t="s">
        <v>1791</v>
      </c>
      <c r="E962" s="144" t="s">
        <v>1335</v>
      </c>
      <c r="F962" s="144" t="s">
        <v>1336</v>
      </c>
      <c r="G962" s="203">
        <v>0.6458333333333334</v>
      </c>
      <c r="H962" s="18" t="s">
        <v>17</v>
      </c>
      <c r="I962" s="145" t="s">
        <v>1855</v>
      </c>
      <c r="J962" s="145" t="s">
        <v>1856</v>
      </c>
      <c r="K962" s="8"/>
      <c r="L962" s="8"/>
      <c r="M962" s="8"/>
      <c r="N962" s="8"/>
      <c r="O962" s="8"/>
      <c r="P962" s="160"/>
      <c r="Q962" s="160"/>
      <c r="R962" s="160"/>
      <c r="S962" s="160"/>
      <c r="T962" s="160"/>
      <c r="U962" s="160"/>
      <c r="V962" s="160"/>
      <c r="W962" s="160"/>
      <c r="X962" s="160"/>
      <c r="Y962" s="160"/>
      <c r="Z962" s="160"/>
      <c r="AA962" s="160"/>
      <c r="AB962" s="160"/>
    </row>
    <row r="963">
      <c r="A963" s="176"/>
      <c r="B963" s="67"/>
      <c r="C963" s="181" t="s">
        <v>1609</v>
      </c>
      <c r="D963" s="101"/>
      <c r="E963" s="61"/>
      <c r="F963" s="61"/>
      <c r="G963" s="128"/>
      <c r="H963" s="39"/>
      <c r="I963" s="39"/>
      <c r="J963" s="61"/>
      <c r="K963" s="8"/>
      <c r="L963" s="8"/>
      <c r="M963" s="8"/>
      <c r="N963" s="8"/>
      <c r="O963" s="8"/>
      <c r="P963" s="160"/>
      <c r="Q963" s="160"/>
      <c r="R963" s="160"/>
      <c r="S963" s="160"/>
      <c r="T963" s="160"/>
      <c r="U963" s="160"/>
      <c r="V963" s="160"/>
      <c r="W963" s="160"/>
      <c r="X963" s="160"/>
      <c r="Y963" s="160"/>
      <c r="Z963" s="160"/>
      <c r="AA963" s="160"/>
      <c r="AB963" s="160"/>
    </row>
    <row r="964">
      <c r="A964" s="176"/>
      <c r="B964" s="179"/>
      <c r="C964" s="184">
        <v>44504.0</v>
      </c>
      <c r="D964" s="101"/>
      <c r="E964" s="61"/>
      <c r="F964" s="61"/>
      <c r="G964" s="128"/>
      <c r="H964" s="39"/>
      <c r="I964" s="39"/>
      <c r="J964" s="61"/>
      <c r="K964" s="8"/>
      <c r="L964" s="8"/>
      <c r="M964" s="8"/>
      <c r="N964" s="8"/>
      <c r="O964" s="8"/>
      <c r="P964" s="160"/>
      <c r="Q964" s="160"/>
      <c r="R964" s="160"/>
      <c r="S964" s="160"/>
      <c r="T964" s="160"/>
      <c r="U964" s="160"/>
      <c r="V964" s="160"/>
      <c r="W964" s="160"/>
      <c r="X964" s="160"/>
      <c r="Y964" s="160"/>
      <c r="Z964" s="160"/>
      <c r="AA964" s="160"/>
      <c r="AB964" s="160"/>
    </row>
    <row r="965">
      <c r="A965" s="176"/>
      <c r="B965" s="185" t="s">
        <v>1450</v>
      </c>
      <c r="C965" s="181" t="s">
        <v>1609</v>
      </c>
      <c r="D965" s="101"/>
      <c r="E965" s="200" t="s">
        <v>1830</v>
      </c>
      <c r="F965" s="11"/>
      <c r="G965" s="128"/>
      <c r="H965" s="39"/>
      <c r="I965" s="39"/>
      <c r="J965" s="61"/>
      <c r="K965" s="8"/>
      <c r="L965" s="8"/>
      <c r="M965" s="8"/>
      <c r="N965" s="8"/>
      <c r="O965" s="8"/>
      <c r="P965" s="160"/>
      <c r="Q965" s="160"/>
      <c r="R965" s="160"/>
      <c r="S965" s="160"/>
      <c r="T965" s="160"/>
      <c r="U965" s="160"/>
      <c r="V965" s="160"/>
      <c r="W965" s="160"/>
      <c r="X965" s="160"/>
      <c r="Y965" s="160"/>
      <c r="Z965" s="160"/>
      <c r="AA965" s="160"/>
      <c r="AB965" s="160"/>
    </row>
    <row r="966">
      <c r="A966" s="176"/>
      <c r="B966" s="66"/>
      <c r="C966" s="181" t="s">
        <v>1609</v>
      </c>
      <c r="D966" s="101"/>
      <c r="E966" s="61"/>
      <c r="F966" s="61"/>
      <c r="G966" s="128"/>
      <c r="H966" s="39"/>
      <c r="I966" s="39"/>
      <c r="J966" s="61"/>
      <c r="K966" s="8"/>
      <c r="L966" s="8"/>
      <c r="M966" s="8"/>
      <c r="N966" s="8"/>
      <c r="O966" s="8"/>
      <c r="P966" s="160"/>
      <c r="Q966" s="160"/>
      <c r="R966" s="160"/>
      <c r="S966" s="160"/>
      <c r="T966" s="160"/>
      <c r="U966" s="160"/>
      <c r="V966" s="160"/>
      <c r="W966" s="160"/>
      <c r="X966" s="160"/>
      <c r="Y966" s="160"/>
      <c r="Z966" s="160"/>
      <c r="AA966" s="160"/>
      <c r="AB966" s="160"/>
    </row>
    <row r="967">
      <c r="A967" s="176"/>
      <c r="B967" s="66"/>
      <c r="C967" s="181" t="s">
        <v>1609</v>
      </c>
      <c r="D967" s="101"/>
      <c r="E967" s="61"/>
      <c r="F967" s="61"/>
      <c r="G967" s="128"/>
      <c r="H967" s="39"/>
      <c r="I967" s="39"/>
      <c r="J967" s="61"/>
      <c r="K967" s="8"/>
      <c r="L967" s="8"/>
      <c r="M967" s="8"/>
      <c r="N967" s="8"/>
      <c r="O967" s="8"/>
      <c r="P967" s="160"/>
      <c r="Q967" s="160"/>
      <c r="R967" s="160"/>
      <c r="S967" s="160"/>
      <c r="T967" s="160"/>
      <c r="U967" s="160"/>
      <c r="V967" s="160"/>
      <c r="W967" s="160"/>
      <c r="X967" s="160"/>
      <c r="Y967" s="160"/>
      <c r="Z967" s="160"/>
      <c r="AA967" s="160"/>
      <c r="AB967" s="160"/>
    </row>
    <row r="968">
      <c r="A968" s="176"/>
      <c r="B968" s="66"/>
      <c r="C968" s="181" t="s">
        <v>1609</v>
      </c>
      <c r="D968" s="27" t="s">
        <v>1717</v>
      </c>
      <c r="E968" s="144" t="s">
        <v>1455</v>
      </c>
      <c r="F968" s="144" t="s">
        <v>1456</v>
      </c>
      <c r="G968" s="22">
        <v>0.5</v>
      </c>
      <c r="H968" s="18" t="s">
        <v>924</v>
      </c>
      <c r="I968" s="18" t="s">
        <v>1457</v>
      </c>
      <c r="J968" s="144" t="s">
        <v>1458</v>
      </c>
      <c r="K968" s="39" t="s">
        <v>1096</v>
      </c>
      <c r="L968" s="8"/>
      <c r="M968" s="8"/>
      <c r="N968" s="8"/>
      <c r="O968" s="8"/>
      <c r="P968" s="160"/>
      <c r="Q968" s="160"/>
      <c r="R968" s="160"/>
      <c r="S968" s="160"/>
      <c r="T968" s="160"/>
      <c r="U968" s="160"/>
      <c r="V968" s="160"/>
      <c r="W968" s="160"/>
      <c r="X968" s="160"/>
      <c r="Y968" s="160"/>
      <c r="Z968" s="160"/>
      <c r="AA968" s="160"/>
      <c r="AB968" s="160"/>
    </row>
    <row r="969">
      <c r="A969" s="176"/>
      <c r="B969" s="66"/>
      <c r="C969" s="181" t="s">
        <v>1609</v>
      </c>
      <c r="D969" s="145" t="s">
        <v>1791</v>
      </c>
      <c r="E969" s="162" t="s">
        <v>681</v>
      </c>
      <c r="F969" s="162" t="s">
        <v>682</v>
      </c>
      <c r="G969" s="22">
        <v>0.5833333333333334</v>
      </c>
      <c r="H969" s="18" t="s">
        <v>1857</v>
      </c>
      <c r="I969" s="18" t="s">
        <v>1858</v>
      </c>
      <c r="J969" s="62" t="s">
        <v>684</v>
      </c>
      <c r="K969" s="8"/>
      <c r="L969" s="8"/>
      <c r="M969" s="8"/>
      <c r="N969" s="8"/>
      <c r="O969" s="8"/>
      <c r="P969" s="160"/>
      <c r="Q969" s="160"/>
      <c r="R969" s="160"/>
      <c r="S969" s="160"/>
      <c r="T969" s="160"/>
      <c r="U969" s="160"/>
      <c r="V969" s="160"/>
      <c r="W969" s="160"/>
      <c r="X969" s="160"/>
      <c r="Y969" s="160"/>
      <c r="Z969" s="160"/>
      <c r="AA969" s="160"/>
      <c r="AB969" s="160"/>
    </row>
    <row r="970">
      <c r="A970" s="176"/>
      <c r="B970" s="66"/>
      <c r="C970" s="181"/>
      <c r="D970" s="145" t="s">
        <v>819</v>
      </c>
      <c r="E970" s="175" t="s">
        <v>1859</v>
      </c>
      <c r="F970" s="175" t="s">
        <v>1860</v>
      </c>
      <c r="G970" s="22">
        <v>0.5833333333333334</v>
      </c>
      <c r="H970" s="18" t="s">
        <v>1857</v>
      </c>
      <c r="I970" s="18" t="s">
        <v>1858</v>
      </c>
      <c r="J970" s="62" t="s">
        <v>684</v>
      </c>
      <c r="K970" s="8"/>
      <c r="L970" s="8"/>
      <c r="M970" s="8"/>
      <c r="N970" s="8"/>
      <c r="O970" s="8"/>
      <c r="P970" s="160"/>
      <c r="Q970" s="160"/>
      <c r="R970" s="160"/>
      <c r="S970" s="160"/>
      <c r="T970" s="160"/>
      <c r="U970" s="160"/>
      <c r="V970" s="160"/>
      <c r="W970" s="160"/>
      <c r="X970" s="160"/>
      <c r="Y970" s="160"/>
      <c r="Z970" s="160"/>
      <c r="AA970" s="160"/>
      <c r="AB970" s="160"/>
    </row>
    <row r="971">
      <c r="A971" s="176"/>
      <c r="B971" s="67"/>
      <c r="C971" s="181" t="s">
        <v>1609</v>
      </c>
      <c r="D971" s="27" t="s">
        <v>1717</v>
      </c>
      <c r="E971" s="144" t="s">
        <v>1861</v>
      </c>
      <c r="F971" s="144" t="s">
        <v>1862</v>
      </c>
      <c r="G971" s="22">
        <v>0.6458333333333334</v>
      </c>
      <c r="H971" s="18" t="s">
        <v>886</v>
      </c>
      <c r="I971" s="18" t="s">
        <v>1863</v>
      </c>
      <c r="J971" s="144" t="s">
        <v>1864</v>
      </c>
      <c r="K971" s="8"/>
      <c r="L971" s="8"/>
      <c r="M971" s="8"/>
      <c r="N971" s="8"/>
      <c r="O971" s="8"/>
      <c r="P971" s="160"/>
      <c r="Q971" s="160"/>
      <c r="R971" s="160"/>
      <c r="S971" s="160"/>
      <c r="T971" s="160"/>
      <c r="U971" s="160"/>
      <c r="V971" s="160"/>
      <c r="W971" s="160"/>
      <c r="X971" s="160"/>
      <c r="Y971" s="160"/>
      <c r="Z971" s="160"/>
      <c r="AA971" s="160"/>
      <c r="AB971" s="160"/>
    </row>
    <row r="972">
      <c r="A972" s="176"/>
      <c r="B972" s="179"/>
      <c r="C972" s="184">
        <v>44505.0</v>
      </c>
      <c r="D972" s="101"/>
      <c r="E972" s="61"/>
      <c r="F972" s="61"/>
      <c r="G972" s="128"/>
      <c r="H972" s="39"/>
      <c r="I972" s="39"/>
      <c r="J972" s="61"/>
      <c r="K972" s="8"/>
      <c r="L972" s="8"/>
      <c r="M972" s="8"/>
      <c r="N972" s="8"/>
      <c r="O972" s="8"/>
      <c r="P972" s="160"/>
      <c r="Q972" s="160"/>
      <c r="R972" s="160"/>
      <c r="S972" s="160"/>
      <c r="T972" s="160"/>
      <c r="U972" s="160"/>
      <c r="V972" s="160"/>
      <c r="W972" s="160"/>
      <c r="X972" s="160"/>
      <c r="Y972" s="160"/>
      <c r="Z972" s="160"/>
      <c r="AA972" s="160"/>
      <c r="AB972" s="160"/>
    </row>
    <row r="973">
      <c r="A973" s="176"/>
      <c r="B973" s="185" t="s">
        <v>1450</v>
      </c>
      <c r="C973" s="181" t="s">
        <v>1609</v>
      </c>
      <c r="D973" s="101"/>
      <c r="E973" s="200" t="s">
        <v>1830</v>
      </c>
      <c r="F973" s="11"/>
      <c r="G973" s="128"/>
      <c r="H973" s="39"/>
      <c r="I973" s="39"/>
      <c r="J973" s="61"/>
      <c r="K973" s="8"/>
      <c r="L973" s="8"/>
      <c r="M973" s="8"/>
      <c r="N973" s="8"/>
      <c r="O973" s="8"/>
      <c r="P973" s="160"/>
      <c r="Q973" s="160"/>
      <c r="R973" s="160"/>
      <c r="S973" s="160"/>
      <c r="T973" s="160"/>
      <c r="U973" s="160"/>
      <c r="V973" s="160"/>
      <c r="W973" s="160"/>
      <c r="X973" s="160"/>
      <c r="Y973" s="160"/>
      <c r="Z973" s="160"/>
      <c r="AA973" s="160"/>
      <c r="AB973" s="160"/>
    </row>
    <row r="974">
      <c r="A974" s="176"/>
      <c r="B974" s="66"/>
      <c r="C974" s="181" t="s">
        <v>1609</v>
      </c>
      <c r="D974" s="27" t="s">
        <v>819</v>
      </c>
      <c r="E974" s="144" t="s">
        <v>1247</v>
      </c>
      <c r="F974" s="144" t="s">
        <v>1248</v>
      </c>
      <c r="G974" s="22">
        <v>0.4166666666666667</v>
      </c>
      <c r="H974" s="18" t="s">
        <v>496</v>
      </c>
      <c r="I974" s="18" t="s">
        <v>1865</v>
      </c>
      <c r="J974" s="144" t="s">
        <v>1250</v>
      </c>
      <c r="K974" s="39" t="s">
        <v>1866</v>
      </c>
      <c r="L974" s="8"/>
      <c r="M974" s="8"/>
      <c r="N974" s="8"/>
      <c r="O974" s="8"/>
      <c r="P974" s="160"/>
      <c r="Q974" s="160"/>
      <c r="R974" s="160"/>
      <c r="S974" s="160"/>
      <c r="T974" s="160"/>
      <c r="U974" s="160"/>
      <c r="V974" s="160"/>
      <c r="W974" s="160"/>
      <c r="X974" s="160"/>
      <c r="Y974" s="160"/>
      <c r="Z974" s="160"/>
      <c r="AA974" s="160"/>
      <c r="AB974" s="160"/>
    </row>
    <row r="975">
      <c r="A975" s="176"/>
      <c r="B975" s="66"/>
      <c r="C975" s="181" t="s">
        <v>1609</v>
      </c>
      <c r="D975" s="27" t="s">
        <v>943</v>
      </c>
      <c r="E975" s="162" t="s">
        <v>1867</v>
      </c>
      <c r="F975" s="162" t="s">
        <v>1868</v>
      </c>
      <c r="G975" s="40">
        <v>0.5208333333333334</v>
      </c>
      <c r="H975" s="27" t="s">
        <v>1869</v>
      </c>
      <c r="I975" s="27" t="s">
        <v>1870</v>
      </c>
      <c r="J975" s="27" t="s">
        <v>874</v>
      </c>
      <c r="K975" s="8"/>
      <c r="L975" s="8"/>
      <c r="M975" s="8"/>
      <c r="N975" s="8"/>
      <c r="O975" s="8"/>
      <c r="P975" s="160"/>
      <c r="Q975" s="160"/>
      <c r="R975" s="160"/>
      <c r="S975" s="160"/>
      <c r="T975" s="160"/>
      <c r="U975" s="160"/>
      <c r="V975" s="160"/>
      <c r="W975" s="160"/>
      <c r="X975" s="160"/>
      <c r="Y975" s="160"/>
      <c r="Z975" s="160"/>
      <c r="AA975" s="160"/>
      <c r="AB975" s="160"/>
    </row>
    <row r="976">
      <c r="A976" s="176"/>
      <c r="B976" s="66"/>
      <c r="C976" s="181" t="s">
        <v>1609</v>
      </c>
      <c r="D976" s="48" t="s">
        <v>1717</v>
      </c>
      <c r="E976" s="155" t="s">
        <v>1871</v>
      </c>
      <c r="F976" s="155" t="s">
        <v>1872</v>
      </c>
      <c r="G976" s="43">
        <v>0.6458333333333334</v>
      </c>
      <c r="H976" s="44" t="s">
        <v>924</v>
      </c>
      <c r="I976" s="44" t="s">
        <v>1873</v>
      </c>
      <c r="J976" s="155" t="s">
        <v>1874</v>
      </c>
      <c r="K976" s="44" t="s">
        <v>1875</v>
      </c>
      <c r="L976" s="8"/>
      <c r="M976" s="8"/>
      <c r="N976" s="8"/>
      <c r="O976" s="8"/>
      <c r="P976" s="160"/>
      <c r="Q976" s="160"/>
      <c r="R976" s="160"/>
      <c r="S976" s="160"/>
      <c r="T976" s="160"/>
      <c r="U976" s="160"/>
      <c r="V976" s="160"/>
      <c r="W976" s="160"/>
      <c r="X976" s="160"/>
      <c r="Y976" s="160"/>
      <c r="Z976" s="160"/>
      <c r="AA976" s="160"/>
      <c r="AB976" s="160"/>
    </row>
    <row r="977">
      <c r="A977" s="176"/>
      <c r="B977" s="67"/>
      <c r="C977" s="181" t="s">
        <v>1609</v>
      </c>
      <c r="D977" s="101"/>
      <c r="E977" s="61"/>
      <c r="F977" s="61"/>
      <c r="G977" s="128"/>
      <c r="H977" s="39"/>
      <c r="I977" s="39"/>
      <c r="J977" s="61"/>
      <c r="K977" s="8"/>
      <c r="L977" s="8"/>
      <c r="M977" s="8"/>
      <c r="N977" s="8"/>
      <c r="O977" s="8"/>
      <c r="P977" s="160"/>
      <c r="Q977" s="160"/>
      <c r="R977" s="160"/>
      <c r="S977" s="160"/>
      <c r="T977" s="160"/>
      <c r="U977" s="160"/>
      <c r="V977" s="160"/>
      <c r="W977" s="160"/>
      <c r="X977" s="160"/>
      <c r="Y977" s="160"/>
      <c r="Z977" s="160"/>
      <c r="AA977" s="160"/>
      <c r="AB977" s="160"/>
    </row>
    <row r="978">
      <c r="A978" s="176"/>
      <c r="B978" s="179"/>
      <c r="C978" s="184">
        <v>44508.0</v>
      </c>
      <c r="D978" s="101"/>
      <c r="E978" s="61"/>
      <c r="F978" s="61"/>
      <c r="G978" s="128"/>
      <c r="H978" s="39"/>
      <c r="I978" s="39"/>
      <c r="J978" s="61"/>
      <c r="K978" s="8"/>
      <c r="L978" s="8"/>
      <c r="M978" s="8"/>
      <c r="N978" s="8"/>
      <c r="O978" s="8"/>
      <c r="P978" s="160"/>
      <c r="Q978" s="160"/>
      <c r="R978" s="160"/>
      <c r="S978" s="160"/>
      <c r="T978" s="160"/>
      <c r="U978" s="160"/>
      <c r="V978" s="160"/>
      <c r="W978" s="160"/>
      <c r="X978" s="160"/>
      <c r="Y978" s="160"/>
      <c r="Z978" s="160"/>
      <c r="AA978" s="160"/>
      <c r="AB978" s="160"/>
    </row>
    <row r="979">
      <c r="A979" s="176"/>
      <c r="B979" s="185" t="s">
        <v>1450</v>
      </c>
      <c r="C979" s="181" t="s">
        <v>1609</v>
      </c>
      <c r="D979" s="101"/>
      <c r="E979" s="200" t="s">
        <v>1830</v>
      </c>
      <c r="F979" s="11"/>
      <c r="G979" s="128"/>
      <c r="H979" s="39"/>
      <c r="I979" s="39"/>
      <c r="J979" s="61"/>
      <c r="K979" s="8"/>
      <c r="L979" s="8"/>
      <c r="M979" s="8"/>
      <c r="N979" s="8"/>
      <c r="O979" s="8"/>
      <c r="P979" s="160"/>
      <c r="Q979" s="160"/>
      <c r="R979" s="160"/>
      <c r="S979" s="160"/>
      <c r="T979" s="160"/>
      <c r="U979" s="160"/>
      <c r="V979" s="160"/>
      <c r="W979" s="160"/>
      <c r="X979" s="160"/>
      <c r="Y979" s="160"/>
      <c r="Z979" s="160"/>
      <c r="AA979" s="160"/>
      <c r="AB979" s="160"/>
    </row>
    <row r="980">
      <c r="A980" s="176"/>
      <c r="B980" s="66"/>
      <c r="C980" s="181" t="s">
        <v>1609</v>
      </c>
      <c r="D980" s="101"/>
      <c r="E980" s="61"/>
      <c r="F980" s="204" t="s">
        <v>1876</v>
      </c>
      <c r="G980" s="128"/>
      <c r="H980" s="39"/>
      <c r="I980" s="39"/>
      <c r="J980" s="61"/>
      <c r="K980" s="8"/>
      <c r="L980" s="8"/>
      <c r="M980" s="8"/>
      <c r="N980" s="8"/>
      <c r="O980" s="8"/>
      <c r="P980" s="160"/>
      <c r="Q980" s="160"/>
      <c r="R980" s="160"/>
      <c r="S980" s="160"/>
      <c r="T980" s="160"/>
      <c r="U980" s="160"/>
      <c r="V980" s="160"/>
      <c r="W980" s="160"/>
      <c r="X980" s="160"/>
      <c r="Y980" s="160"/>
      <c r="Z980" s="160"/>
      <c r="AA980" s="160"/>
      <c r="AB980" s="160"/>
    </row>
    <row r="981">
      <c r="A981" s="176"/>
      <c r="B981" s="66"/>
      <c r="C981" s="181" t="s">
        <v>1609</v>
      </c>
      <c r="D981" s="27" t="s">
        <v>819</v>
      </c>
      <c r="E981" s="62" t="s">
        <v>1797</v>
      </c>
      <c r="F981" s="62" t="s">
        <v>1798</v>
      </c>
      <c r="G981" s="22">
        <v>0.5833333333333334</v>
      </c>
      <c r="H981" s="18" t="s">
        <v>553</v>
      </c>
      <c r="I981" s="18" t="s">
        <v>1799</v>
      </c>
      <c r="J981" s="62" t="s">
        <v>1877</v>
      </c>
      <c r="K981" s="8"/>
      <c r="L981" s="8"/>
      <c r="M981" s="8"/>
      <c r="N981" s="8"/>
      <c r="O981" s="8"/>
      <c r="P981" s="160"/>
      <c r="Q981" s="160"/>
      <c r="R981" s="160"/>
      <c r="S981" s="160"/>
      <c r="T981" s="160"/>
      <c r="U981" s="160"/>
      <c r="V981" s="160"/>
      <c r="W981" s="160"/>
      <c r="X981" s="160"/>
      <c r="Y981" s="160"/>
      <c r="Z981" s="160"/>
      <c r="AA981" s="160"/>
      <c r="AB981" s="160"/>
    </row>
    <row r="982">
      <c r="A982" s="176"/>
      <c r="B982" s="66"/>
      <c r="C982" s="181" t="s">
        <v>1609</v>
      </c>
      <c r="D982" s="27" t="s">
        <v>819</v>
      </c>
      <c r="E982" s="62" t="s">
        <v>1801</v>
      </c>
      <c r="F982" s="62" t="s">
        <v>1802</v>
      </c>
      <c r="G982" s="22">
        <v>0.5833333333333334</v>
      </c>
      <c r="H982" s="18" t="s">
        <v>553</v>
      </c>
      <c r="I982" s="18" t="s">
        <v>1799</v>
      </c>
      <c r="J982" s="62" t="s">
        <v>555</v>
      </c>
      <c r="K982" s="8"/>
      <c r="L982" s="8"/>
      <c r="M982" s="8"/>
      <c r="N982" s="8"/>
      <c r="O982" s="8"/>
      <c r="P982" s="160"/>
      <c r="Q982" s="160"/>
      <c r="R982" s="160"/>
      <c r="S982" s="160"/>
      <c r="T982" s="160"/>
      <c r="U982" s="160"/>
      <c r="V982" s="160"/>
      <c r="W982" s="160"/>
      <c r="X982" s="160"/>
      <c r="Y982" s="160"/>
      <c r="Z982" s="160"/>
      <c r="AA982" s="160"/>
      <c r="AB982" s="160"/>
    </row>
    <row r="983">
      <c r="A983" s="176"/>
      <c r="B983" s="66"/>
      <c r="C983" s="181" t="s">
        <v>1609</v>
      </c>
      <c r="D983" s="27" t="s">
        <v>819</v>
      </c>
      <c r="E983" s="62" t="s">
        <v>1803</v>
      </c>
      <c r="F983" s="62" t="s">
        <v>1804</v>
      </c>
      <c r="G983" s="22">
        <v>0.5833333333333334</v>
      </c>
      <c r="H983" s="18" t="s">
        <v>553</v>
      </c>
      <c r="I983" s="18" t="s">
        <v>1799</v>
      </c>
      <c r="J983" s="62" t="s">
        <v>555</v>
      </c>
      <c r="K983" s="8"/>
      <c r="L983" s="8"/>
      <c r="M983" s="8"/>
      <c r="N983" s="8"/>
      <c r="O983" s="8"/>
      <c r="P983" s="160"/>
      <c r="Q983" s="160"/>
      <c r="R983" s="160"/>
      <c r="S983" s="160"/>
      <c r="T983" s="160"/>
      <c r="U983" s="160"/>
      <c r="V983" s="160"/>
      <c r="W983" s="160"/>
      <c r="X983" s="160"/>
      <c r="Y983" s="160"/>
      <c r="Z983" s="160"/>
      <c r="AA983" s="160"/>
      <c r="AB983" s="160"/>
    </row>
    <row r="984">
      <c r="A984" s="176"/>
      <c r="B984" s="67"/>
      <c r="C984" s="181" t="s">
        <v>1609</v>
      </c>
      <c r="D984" s="27" t="s">
        <v>819</v>
      </c>
      <c r="E984" s="162" t="s">
        <v>551</v>
      </c>
      <c r="F984" s="162" t="s">
        <v>552</v>
      </c>
      <c r="G984" s="22">
        <v>0.5833333333333334</v>
      </c>
      <c r="H984" s="18" t="s">
        <v>553</v>
      </c>
      <c r="I984" s="18" t="s">
        <v>1799</v>
      </c>
      <c r="J984" s="62" t="s">
        <v>555</v>
      </c>
      <c r="K984" s="39" t="s">
        <v>1878</v>
      </c>
      <c r="L984" s="8"/>
      <c r="M984" s="8"/>
      <c r="N984" s="8"/>
      <c r="O984" s="8"/>
      <c r="P984" s="160"/>
      <c r="Q984" s="160"/>
      <c r="R984" s="160"/>
      <c r="S984" s="160"/>
      <c r="T984" s="160"/>
      <c r="U984" s="160"/>
      <c r="V984" s="160"/>
      <c r="W984" s="160"/>
      <c r="X984" s="160"/>
      <c r="Y984" s="160"/>
      <c r="Z984" s="160"/>
      <c r="AA984" s="160"/>
      <c r="AB984" s="160"/>
    </row>
    <row r="985">
      <c r="A985" s="176"/>
      <c r="B985" s="179"/>
      <c r="C985" s="184">
        <v>44509.0</v>
      </c>
      <c r="D985" s="101"/>
      <c r="E985" s="61"/>
      <c r="F985" s="61"/>
      <c r="G985" s="128"/>
      <c r="H985" s="39"/>
      <c r="I985" s="39"/>
      <c r="J985" s="61"/>
      <c r="K985" s="8"/>
      <c r="L985" s="8"/>
      <c r="M985" s="8"/>
      <c r="N985" s="8"/>
      <c r="O985" s="8"/>
      <c r="P985" s="160"/>
      <c r="Q985" s="160"/>
      <c r="R985" s="160"/>
      <c r="S985" s="160"/>
      <c r="T985" s="160"/>
      <c r="U985" s="160"/>
      <c r="V985" s="160"/>
      <c r="W985" s="160"/>
      <c r="X985" s="160"/>
      <c r="Y985" s="160"/>
      <c r="Z985" s="160"/>
      <c r="AA985" s="160"/>
      <c r="AB985" s="160"/>
    </row>
    <row r="986">
      <c r="A986" s="176"/>
      <c r="B986" s="185" t="s">
        <v>1450</v>
      </c>
      <c r="C986" s="181" t="s">
        <v>1609</v>
      </c>
      <c r="D986" s="101"/>
      <c r="E986" s="178" t="s">
        <v>1708</v>
      </c>
      <c r="F986" s="52"/>
      <c r="G986" s="128"/>
      <c r="H986" s="39"/>
      <c r="I986" s="39"/>
      <c r="J986" s="61"/>
      <c r="K986" s="8"/>
      <c r="L986" s="8"/>
      <c r="M986" s="8"/>
      <c r="N986" s="8"/>
      <c r="O986" s="8"/>
      <c r="P986" s="160"/>
      <c r="Q986" s="160"/>
      <c r="R986" s="160"/>
      <c r="S986" s="160"/>
      <c r="T986" s="160"/>
      <c r="U986" s="160"/>
      <c r="V986" s="160"/>
      <c r="W986" s="160"/>
      <c r="X986" s="160"/>
      <c r="Y986" s="160"/>
      <c r="Z986" s="160"/>
      <c r="AA986" s="160"/>
      <c r="AB986" s="160"/>
    </row>
    <row r="987">
      <c r="A987" s="176"/>
      <c r="B987" s="66"/>
      <c r="C987" s="181" t="s">
        <v>1609</v>
      </c>
      <c r="D987" s="101"/>
      <c r="E987" s="53"/>
      <c r="F987" s="54"/>
      <c r="G987" s="128"/>
      <c r="H987" s="39"/>
      <c r="I987" s="39"/>
      <c r="J987" s="61"/>
      <c r="K987" s="8"/>
      <c r="L987" s="8"/>
      <c r="M987" s="8"/>
      <c r="N987" s="8"/>
      <c r="O987" s="8"/>
      <c r="P987" s="160"/>
      <c r="Q987" s="160"/>
      <c r="R987" s="160"/>
      <c r="S987" s="160"/>
      <c r="T987" s="160"/>
      <c r="U987" s="160"/>
      <c r="V987" s="160"/>
      <c r="W987" s="160"/>
      <c r="X987" s="160"/>
      <c r="Y987" s="160"/>
      <c r="Z987" s="160"/>
      <c r="AA987" s="160"/>
      <c r="AB987" s="160"/>
    </row>
    <row r="988">
      <c r="A988" s="176"/>
      <c r="B988" s="66"/>
      <c r="C988" s="181" t="s">
        <v>1609</v>
      </c>
      <c r="D988" s="101"/>
      <c r="E988" s="55"/>
      <c r="F988" s="57"/>
      <c r="G988" s="128"/>
      <c r="H988" s="39"/>
      <c r="I988" s="39"/>
      <c r="J988" s="61"/>
      <c r="K988" s="8"/>
      <c r="L988" s="8"/>
      <c r="M988" s="8"/>
      <c r="N988" s="8"/>
      <c r="O988" s="8"/>
      <c r="P988" s="160"/>
      <c r="Q988" s="160"/>
      <c r="R988" s="160"/>
      <c r="S988" s="160"/>
      <c r="T988" s="160"/>
      <c r="U988" s="160"/>
      <c r="V988" s="160"/>
      <c r="W988" s="160"/>
      <c r="X988" s="160"/>
      <c r="Y988" s="160"/>
      <c r="Z988" s="160"/>
      <c r="AA988" s="160"/>
      <c r="AB988" s="160"/>
    </row>
    <row r="989">
      <c r="A989" s="176"/>
      <c r="B989" s="66"/>
      <c r="C989" s="181" t="s">
        <v>1609</v>
      </c>
      <c r="D989" s="101"/>
      <c r="E989" s="61"/>
      <c r="F989" s="61"/>
      <c r="G989" s="128"/>
      <c r="H989" s="39"/>
      <c r="I989" s="39"/>
      <c r="J989" s="61"/>
      <c r="K989" s="8"/>
      <c r="L989" s="8"/>
      <c r="M989" s="8"/>
      <c r="N989" s="8"/>
      <c r="O989" s="8"/>
      <c r="P989" s="160"/>
      <c r="Q989" s="160"/>
      <c r="R989" s="160"/>
      <c r="S989" s="160"/>
      <c r="T989" s="160"/>
      <c r="U989" s="160"/>
      <c r="V989" s="160"/>
      <c r="W989" s="160"/>
      <c r="X989" s="160"/>
      <c r="Y989" s="160"/>
      <c r="Z989" s="160"/>
      <c r="AA989" s="160"/>
      <c r="AB989" s="160"/>
    </row>
    <row r="990">
      <c r="A990" s="176"/>
      <c r="B990" s="66"/>
      <c r="C990" s="181" t="s">
        <v>1609</v>
      </c>
      <c r="D990" s="101"/>
      <c r="E990" s="61"/>
      <c r="F990" s="61"/>
      <c r="G990" s="128"/>
      <c r="H990" s="39"/>
      <c r="I990" s="39"/>
      <c r="J990" s="61"/>
      <c r="K990" s="8"/>
      <c r="L990" s="8"/>
      <c r="M990" s="8"/>
      <c r="N990" s="8"/>
      <c r="O990" s="8"/>
      <c r="P990" s="160"/>
      <c r="Q990" s="160"/>
      <c r="R990" s="160"/>
      <c r="S990" s="160"/>
      <c r="T990" s="160"/>
      <c r="U990" s="160"/>
      <c r="V990" s="160"/>
      <c r="W990" s="160"/>
      <c r="X990" s="160"/>
      <c r="Y990" s="160"/>
      <c r="Z990" s="160"/>
      <c r="AA990" s="160"/>
      <c r="AB990" s="160"/>
    </row>
    <row r="991">
      <c r="A991" s="176"/>
      <c r="B991" s="67"/>
      <c r="C991" s="181" t="s">
        <v>1609</v>
      </c>
      <c r="D991" s="101"/>
      <c r="E991" s="61"/>
      <c r="F991" s="61"/>
      <c r="G991" s="128"/>
      <c r="H991" s="39"/>
      <c r="I991" s="39"/>
      <c r="J991" s="61"/>
      <c r="K991" s="8"/>
      <c r="L991" s="8"/>
      <c r="M991" s="8"/>
      <c r="N991" s="8"/>
      <c r="O991" s="8"/>
      <c r="P991" s="160"/>
      <c r="Q991" s="160"/>
      <c r="R991" s="160"/>
      <c r="S991" s="160"/>
      <c r="T991" s="160"/>
      <c r="U991" s="160"/>
      <c r="V991" s="160"/>
      <c r="W991" s="160"/>
      <c r="X991" s="160"/>
      <c r="Y991" s="160"/>
      <c r="Z991" s="160"/>
      <c r="AA991" s="160"/>
      <c r="AB991" s="160"/>
    </row>
    <row r="992">
      <c r="A992" s="176"/>
      <c r="B992" s="179"/>
      <c r="C992" s="184">
        <v>44510.0</v>
      </c>
      <c r="D992" s="101"/>
      <c r="E992" s="200" t="s">
        <v>1830</v>
      </c>
      <c r="F992" s="11"/>
      <c r="G992" s="128"/>
      <c r="H992" s="39" t="s">
        <v>1879</v>
      </c>
      <c r="I992" s="39"/>
      <c r="J992" s="61"/>
      <c r="K992" s="8"/>
      <c r="L992" s="8"/>
      <c r="M992" s="8"/>
      <c r="N992" s="8"/>
      <c r="O992" s="8"/>
      <c r="P992" s="160"/>
      <c r="Q992" s="160"/>
      <c r="R992" s="160"/>
      <c r="S992" s="160"/>
      <c r="T992" s="160"/>
      <c r="U992" s="160"/>
      <c r="V992" s="160"/>
      <c r="W992" s="160"/>
      <c r="X992" s="160"/>
      <c r="Y992" s="160"/>
      <c r="Z992" s="160"/>
      <c r="AA992" s="160"/>
      <c r="AB992" s="160"/>
    </row>
    <row r="993">
      <c r="A993" s="176"/>
      <c r="B993" s="185" t="s">
        <v>1450</v>
      </c>
      <c r="C993" s="181" t="s">
        <v>1609</v>
      </c>
      <c r="D993" s="27" t="s">
        <v>819</v>
      </c>
      <c r="E993" s="62" t="s">
        <v>1825</v>
      </c>
      <c r="F993" s="62" t="s">
        <v>1826</v>
      </c>
      <c r="G993" s="22">
        <v>0.3541666666666667</v>
      </c>
      <c r="H993" s="18" t="s">
        <v>1628</v>
      </c>
      <c r="I993" s="18" t="s">
        <v>1827</v>
      </c>
      <c r="J993" s="62" t="s">
        <v>1828</v>
      </c>
      <c r="K993" s="8"/>
      <c r="L993" s="8"/>
      <c r="M993" s="8"/>
      <c r="N993" s="8"/>
      <c r="O993" s="8"/>
      <c r="P993" s="160"/>
      <c r="Q993" s="160"/>
      <c r="R993" s="160"/>
      <c r="S993" s="160"/>
      <c r="T993" s="160"/>
      <c r="U993" s="160"/>
      <c r="V993" s="160"/>
      <c r="W993" s="160"/>
      <c r="X993" s="160"/>
      <c r="Y993" s="160"/>
      <c r="Z993" s="160"/>
      <c r="AA993" s="160"/>
      <c r="AB993" s="160"/>
    </row>
    <row r="994">
      <c r="A994" s="176"/>
      <c r="B994" s="66"/>
      <c r="C994" s="181" t="s">
        <v>1609</v>
      </c>
      <c r="D994" s="27" t="s">
        <v>1717</v>
      </c>
      <c r="E994" s="62" t="s">
        <v>735</v>
      </c>
      <c r="F994" s="62" t="s">
        <v>736</v>
      </c>
      <c r="G994" s="22">
        <v>0.5</v>
      </c>
      <c r="H994" s="18" t="s">
        <v>924</v>
      </c>
      <c r="I994" s="18" t="s">
        <v>1153</v>
      </c>
      <c r="J994" s="162" t="s">
        <v>738</v>
      </c>
      <c r="K994" s="39"/>
      <c r="L994" s="8"/>
      <c r="M994" s="8"/>
      <c r="N994" s="8"/>
      <c r="O994" s="8"/>
      <c r="P994" s="160"/>
      <c r="Q994" s="160"/>
      <c r="R994" s="160"/>
      <c r="S994" s="160"/>
      <c r="T994" s="160"/>
      <c r="U994" s="160"/>
      <c r="V994" s="160"/>
      <c r="W994" s="160"/>
      <c r="X994" s="160"/>
      <c r="Y994" s="160"/>
      <c r="Z994" s="160"/>
      <c r="AA994" s="160"/>
      <c r="AB994" s="160"/>
    </row>
    <row r="995">
      <c r="A995" s="176"/>
      <c r="B995" s="66"/>
      <c r="C995" s="181" t="s">
        <v>1609</v>
      </c>
      <c r="D995" s="27" t="s">
        <v>1717</v>
      </c>
      <c r="E995" s="62"/>
      <c r="F995" s="62" t="s">
        <v>1880</v>
      </c>
      <c r="G995" s="22">
        <v>0.5</v>
      </c>
      <c r="H995" s="18" t="s">
        <v>1413</v>
      </c>
      <c r="I995" s="18" t="s">
        <v>1153</v>
      </c>
      <c r="J995" s="162" t="s">
        <v>1881</v>
      </c>
      <c r="K995" s="39" t="s">
        <v>1882</v>
      </c>
      <c r="L995" s="8"/>
      <c r="M995" s="8"/>
      <c r="N995" s="8"/>
      <c r="O995" s="8"/>
      <c r="P995" s="160"/>
      <c r="Q995" s="160"/>
      <c r="R995" s="160"/>
      <c r="S995" s="160"/>
      <c r="T995" s="160"/>
      <c r="U995" s="160"/>
      <c r="V995" s="160"/>
      <c r="W995" s="160"/>
      <c r="X995" s="160"/>
      <c r="Y995" s="160"/>
      <c r="Z995" s="160"/>
      <c r="AA995" s="160"/>
      <c r="AB995" s="160"/>
    </row>
    <row r="996">
      <c r="A996" s="176"/>
      <c r="B996" s="66"/>
      <c r="C996" s="181" t="s">
        <v>1609</v>
      </c>
      <c r="D996" s="27" t="s">
        <v>1791</v>
      </c>
      <c r="E996" s="62" t="s">
        <v>677</v>
      </c>
      <c r="F996" s="62" t="s">
        <v>678</v>
      </c>
      <c r="G996" s="22">
        <v>0.5833333333333334</v>
      </c>
      <c r="H996" s="18" t="s">
        <v>886</v>
      </c>
      <c r="I996" s="18" t="s">
        <v>1883</v>
      </c>
      <c r="J996" s="162" t="s">
        <v>680</v>
      </c>
      <c r="K996" s="39" t="s">
        <v>1096</v>
      </c>
      <c r="L996" s="8"/>
      <c r="M996" s="8"/>
      <c r="N996" s="8"/>
      <c r="O996" s="8"/>
      <c r="P996" s="160"/>
      <c r="Q996" s="160"/>
      <c r="R996" s="160"/>
      <c r="S996" s="160"/>
      <c r="T996" s="160"/>
      <c r="U996" s="160"/>
      <c r="V996" s="160"/>
      <c r="W996" s="160"/>
      <c r="X996" s="160"/>
      <c r="Y996" s="160"/>
      <c r="Z996" s="160"/>
      <c r="AA996" s="160"/>
      <c r="AB996" s="160"/>
    </row>
    <row r="997">
      <c r="A997" s="176"/>
      <c r="B997" s="66"/>
      <c r="C997" s="181" t="s">
        <v>1609</v>
      </c>
      <c r="D997" s="48" t="s">
        <v>943</v>
      </c>
      <c r="E997" s="73" t="s">
        <v>1659</v>
      </c>
      <c r="F997" s="73" t="s">
        <v>1660</v>
      </c>
      <c r="G997" s="43">
        <v>0.6458333333333334</v>
      </c>
      <c r="H997" s="44" t="s">
        <v>1573</v>
      </c>
      <c r="I997" s="44" t="s">
        <v>1884</v>
      </c>
      <c r="J997" s="73" t="s">
        <v>1663</v>
      </c>
      <c r="K997" s="39" t="s">
        <v>1885</v>
      </c>
      <c r="L997" s="8"/>
      <c r="M997" s="8"/>
      <c r="N997" s="8"/>
      <c r="O997" s="8"/>
      <c r="P997" s="160"/>
      <c r="Q997" s="160"/>
      <c r="R997" s="160"/>
      <c r="S997" s="160"/>
      <c r="T997" s="160"/>
      <c r="U997" s="160"/>
      <c r="V997" s="160"/>
      <c r="W997" s="160"/>
      <c r="X997" s="160"/>
      <c r="Y997" s="160"/>
      <c r="Z997" s="160"/>
      <c r="AA997" s="160"/>
      <c r="AB997" s="160"/>
    </row>
    <row r="998">
      <c r="A998" s="176"/>
      <c r="B998" s="66"/>
      <c r="C998" s="181" t="s">
        <v>1609</v>
      </c>
      <c r="E998" s="6"/>
      <c r="F998" s="6"/>
      <c r="G998" s="151"/>
      <c r="K998" s="8"/>
      <c r="L998" s="8"/>
      <c r="M998" s="8"/>
      <c r="N998" s="8"/>
      <c r="O998" s="8"/>
      <c r="P998" s="160"/>
      <c r="Q998" s="160"/>
      <c r="R998" s="160"/>
      <c r="S998" s="160"/>
      <c r="T998" s="160"/>
      <c r="U998" s="160"/>
      <c r="V998" s="160"/>
      <c r="W998" s="160"/>
      <c r="X998" s="160"/>
      <c r="Y998" s="160"/>
      <c r="Z998" s="160"/>
      <c r="AA998" s="160"/>
      <c r="AB998" s="160"/>
    </row>
    <row r="999">
      <c r="A999" s="176"/>
      <c r="B999" s="67"/>
      <c r="C999" s="181" t="s">
        <v>1609</v>
      </c>
      <c r="D999" s="101"/>
      <c r="E999" s="200" t="s">
        <v>1830</v>
      </c>
      <c r="F999" s="11"/>
      <c r="G999" s="128"/>
      <c r="H999" s="39"/>
      <c r="I999" s="39"/>
      <c r="J999" s="61"/>
      <c r="K999" s="8"/>
      <c r="L999" s="8"/>
      <c r="M999" s="8"/>
      <c r="N999" s="8"/>
      <c r="O999" s="8"/>
      <c r="P999" s="160"/>
      <c r="Q999" s="160"/>
      <c r="R999" s="160"/>
      <c r="S999" s="160"/>
      <c r="T999" s="160"/>
      <c r="U999" s="160"/>
      <c r="V999" s="160"/>
      <c r="W999" s="160"/>
      <c r="X999" s="160"/>
      <c r="Y999" s="160"/>
      <c r="Z999" s="160"/>
      <c r="AA999" s="160"/>
      <c r="AB999" s="160"/>
    </row>
    <row r="1000">
      <c r="A1000" s="176"/>
      <c r="B1000" s="179"/>
      <c r="C1000" s="184">
        <v>44511.0</v>
      </c>
      <c r="D1000" s="101"/>
      <c r="E1000" s="61"/>
      <c r="F1000" s="61"/>
      <c r="G1000" s="128"/>
      <c r="H1000" s="39"/>
      <c r="I1000" s="39"/>
      <c r="J1000" s="61"/>
      <c r="K1000" s="8"/>
      <c r="L1000" s="8"/>
      <c r="M1000" s="8"/>
      <c r="N1000" s="8"/>
      <c r="O1000" s="8"/>
      <c r="P1000" s="160"/>
      <c r="Q1000" s="160"/>
      <c r="R1000" s="160"/>
      <c r="S1000" s="160"/>
      <c r="T1000" s="160"/>
      <c r="U1000" s="160"/>
      <c r="V1000" s="160"/>
      <c r="W1000" s="160"/>
      <c r="X1000" s="160"/>
      <c r="Y1000" s="160"/>
      <c r="Z1000" s="160"/>
      <c r="AA1000" s="160"/>
      <c r="AB1000" s="160"/>
    </row>
    <row r="1001">
      <c r="A1001" s="176"/>
      <c r="B1001" s="185" t="s">
        <v>1450</v>
      </c>
      <c r="C1001" s="181" t="s">
        <v>1609</v>
      </c>
      <c r="D1001" s="101"/>
      <c r="E1001" s="61"/>
      <c r="F1001" s="61"/>
      <c r="G1001" s="136"/>
      <c r="H1001" s="39"/>
      <c r="I1001" s="39"/>
      <c r="J1001" s="61"/>
      <c r="K1001" s="8"/>
      <c r="L1001" s="8"/>
      <c r="M1001" s="8"/>
      <c r="N1001" s="8"/>
      <c r="O1001" s="8"/>
      <c r="P1001" s="160"/>
      <c r="Q1001" s="160"/>
      <c r="R1001" s="160"/>
      <c r="S1001" s="160"/>
      <c r="T1001" s="160"/>
      <c r="U1001" s="160"/>
      <c r="V1001" s="160"/>
      <c r="W1001" s="160"/>
      <c r="X1001" s="160"/>
      <c r="Y1001" s="160"/>
      <c r="Z1001" s="160"/>
      <c r="AA1001" s="160"/>
      <c r="AB1001" s="160"/>
    </row>
    <row r="1002">
      <c r="A1002" s="176"/>
      <c r="B1002" s="66"/>
      <c r="C1002" s="181" t="s">
        <v>1609</v>
      </c>
      <c r="D1002" s="101"/>
      <c r="E1002" s="61"/>
      <c r="F1002" s="61"/>
      <c r="G1002" s="136"/>
      <c r="H1002" s="205"/>
      <c r="I1002" s="39"/>
      <c r="J1002" s="71"/>
      <c r="K1002" s="8"/>
      <c r="L1002" s="8"/>
      <c r="M1002" s="8"/>
      <c r="N1002" s="8"/>
      <c r="O1002" s="8"/>
      <c r="P1002" s="160"/>
      <c r="Q1002" s="160"/>
      <c r="R1002" s="160"/>
      <c r="S1002" s="160"/>
      <c r="T1002" s="160"/>
      <c r="U1002" s="160"/>
      <c r="V1002" s="160"/>
      <c r="W1002" s="160"/>
      <c r="X1002" s="160"/>
      <c r="Y1002" s="160"/>
      <c r="Z1002" s="160"/>
      <c r="AA1002" s="160"/>
      <c r="AB1002" s="160"/>
    </row>
    <row r="1003">
      <c r="A1003" s="176"/>
      <c r="B1003" s="66"/>
      <c r="C1003" s="181" t="s">
        <v>1609</v>
      </c>
      <c r="D1003" s="27" t="s">
        <v>1715</v>
      </c>
      <c r="E1003" s="62" t="s">
        <v>1886</v>
      </c>
      <c r="F1003" s="62" t="s">
        <v>1887</v>
      </c>
      <c r="G1003" s="76" t="s">
        <v>337</v>
      </c>
      <c r="H1003" s="114" t="s">
        <v>443</v>
      </c>
      <c r="I1003" s="18" t="s">
        <v>1888</v>
      </c>
      <c r="J1003" s="75" t="s">
        <v>1889</v>
      </c>
      <c r="K1003" s="8"/>
      <c r="L1003" s="8"/>
      <c r="M1003" s="8"/>
      <c r="N1003" s="8"/>
      <c r="O1003" s="8"/>
      <c r="P1003" s="160"/>
      <c r="Q1003" s="160"/>
      <c r="R1003" s="160"/>
      <c r="S1003" s="160"/>
      <c r="T1003" s="160"/>
      <c r="U1003" s="160"/>
      <c r="V1003" s="160"/>
      <c r="W1003" s="160"/>
      <c r="X1003" s="160"/>
      <c r="Y1003" s="160"/>
      <c r="Z1003" s="160"/>
      <c r="AA1003" s="160"/>
      <c r="AB1003" s="160"/>
    </row>
    <row r="1004">
      <c r="A1004" s="176"/>
      <c r="B1004" s="66"/>
      <c r="C1004" s="181" t="s">
        <v>1609</v>
      </c>
      <c r="D1004" s="195" t="s">
        <v>1715</v>
      </c>
      <c r="E1004" s="196" t="s">
        <v>1890</v>
      </c>
      <c r="F1004" s="196" t="s">
        <v>1891</v>
      </c>
      <c r="G1004" s="206" t="s">
        <v>366</v>
      </c>
      <c r="H1004" s="195" t="s">
        <v>443</v>
      </c>
      <c r="I1004" s="195" t="s">
        <v>1892</v>
      </c>
      <c r="J1004" s="207" t="s">
        <v>1893</v>
      </c>
      <c r="K1004" s="8"/>
      <c r="L1004" s="8"/>
      <c r="M1004" s="8"/>
      <c r="N1004" s="8"/>
      <c r="O1004" s="8"/>
      <c r="P1004" s="160"/>
      <c r="Q1004" s="160"/>
      <c r="R1004" s="160"/>
      <c r="S1004" s="160"/>
      <c r="T1004" s="160"/>
      <c r="U1004" s="160"/>
      <c r="V1004" s="160"/>
      <c r="W1004" s="160"/>
      <c r="X1004" s="160"/>
      <c r="Y1004" s="160"/>
      <c r="Z1004" s="160"/>
      <c r="AA1004" s="160"/>
      <c r="AB1004" s="160"/>
    </row>
    <row r="1005">
      <c r="A1005" s="176"/>
      <c r="B1005" s="66"/>
      <c r="C1005" s="181" t="s">
        <v>1609</v>
      </c>
      <c r="D1005" s="27" t="s">
        <v>1715</v>
      </c>
      <c r="E1005" s="62" t="s">
        <v>1894</v>
      </c>
      <c r="F1005" s="62" t="s">
        <v>1895</v>
      </c>
      <c r="G1005" s="76" t="s">
        <v>298</v>
      </c>
      <c r="H1005" s="114" t="s">
        <v>443</v>
      </c>
      <c r="I1005" s="18" t="s">
        <v>1896</v>
      </c>
      <c r="J1005" s="75" t="s">
        <v>1897</v>
      </c>
      <c r="K1005" s="8"/>
      <c r="L1005" s="8"/>
      <c r="M1005" s="8"/>
      <c r="N1005" s="8"/>
      <c r="O1005" s="8"/>
      <c r="P1005" s="160"/>
      <c r="Q1005" s="160"/>
      <c r="R1005" s="160"/>
      <c r="S1005" s="160"/>
      <c r="T1005" s="160"/>
      <c r="U1005" s="160"/>
      <c r="V1005" s="160"/>
      <c r="W1005" s="160"/>
      <c r="X1005" s="160"/>
      <c r="Y1005" s="160"/>
      <c r="Z1005" s="160"/>
      <c r="AA1005" s="160"/>
      <c r="AB1005" s="160"/>
    </row>
    <row r="1006">
      <c r="A1006" s="176"/>
      <c r="B1006" s="67"/>
      <c r="C1006" s="181" t="s">
        <v>1609</v>
      </c>
      <c r="D1006" s="101"/>
      <c r="E1006" s="61"/>
      <c r="F1006" s="61"/>
      <c r="G1006" s="128"/>
      <c r="H1006" s="39"/>
      <c r="I1006" s="39"/>
      <c r="J1006" s="61"/>
      <c r="K1006" s="8"/>
      <c r="L1006" s="8"/>
      <c r="M1006" s="8"/>
      <c r="N1006" s="8"/>
      <c r="O1006" s="8"/>
      <c r="P1006" s="160"/>
      <c r="Q1006" s="160"/>
      <c r="R1006" s="160"/>
      <c r="S1006" s="160"/>
      <c r="T1006" s="160"/>
      <c r="U1006" s="160"/>
      <c r="V1006" s="160"/>
      <c r="W1006" s="160"/>
      <c r="X1006" s="160"/>
      <c r="Y1006" s="160"/>
      <c r="Z1006" s="160"/>
      <c r="AA1006" s="160"/>
      <c r="AB1006" s="160"/>
    </row>
    <row r="1007">
      <c r="A1007" s="176"/>
      <c r="B1007" s="179"/>
      <c r="C1007" s="184">
        <v>44512.0</v>
      </c>
      <c r="D1007" s="101"/>
      <c r="E1007" s="61"/>
      <c r="F1007" s="61"/>
      <c r="G1007" s="128"/>
      <c r="H1007" s="39"/>
      <c r="I1007" s="39"/>
      <c r="J1007" s="61"/>
      <c r="K1007" s="8"/>
      <c r="L1007" s="8"/>
      <c r="M1007" s="8"/>
      <c r="N1007" s="8"/>
      <c r="O1007" s="8"/>
      <c r="P1007" s="160"/>
      <c r="Q1007" s="160"/>
      <c r="R1007" s="160"/>
      <c r="S1007" s="160"/>
      <c r="T1007" s="160"/>
      <c r="U1007" s="160"/>
      <c r="V1007" s="160"/>
      <c r="W1007" s="160"/>
      <c r="X1007" s="160"/>
      <c r="Y1007" s="160"/>
      <c r="Z1007" s="160"/>
      <c r="AA1007" s="160"/>
      <c r="AB1007" s="160"/>
    </row>
    <row r="1008">
      <c r="A1008" s="176"/>
      <c r="B1008" s="185" t="s">
        <v>1450</v>
      </c>
      <c r="C1008" s="181" t="s">
        <v>1609</v>
      </c>
      <c r="D1008" s="101"/>
      <c r="E1008" s="200" t="s">
        <v>1830</v>
      </c>
      <c r="F1008" s="11"/>
      <c r="G1008" s="49"/>
      <c r="H1008" s="39"/>
      <c r="I1008" s="39"/>
      <c r="J1008" s="61"/>
      <c r="K1008" s="8"/>
      <c r="L1008" s="8"/>
      <c r="M1008" s="8"/>
      <c r="N1008" s="8"/>
      <c r="O1008" s="8"/>
      <c r="P1008" s="160"/>
      <c r="Q1008" s="160"/>
      <c r="R1008" s="160"/>
      <c r="S1008" s="160"/>
      <c r="T1008" s="160"/>
      <c r="U1008" s="160"/>
      <c r="V1008" s="160"/>
      <c r="W1008" s="160"/>
      <c r="X1008" s="160"/>
      <c r="Y1008" s="160"/>
      <c r="Z1008" s="160"/>
      <c r="AA1008" s="160"/>
      <c r="AB1008" s="160"/>
    </row>
    <row r="1009">
      <c r="A1009" s="176"/>
      <c r="B1009" s="66"/>
      <c r="C1009" s="181" t="s">
        <v>1609</v>
      </c>
      <c r="D1009" s="48" t="s">
        <v>1715</v>
      </c>
      <c r="E1009" s="124" t="s">
        <v>1898</v>
      </c>
      <c r="F1009" s="124" t="s">
        <v>1899</v>
      </c>
      <c r="G1009" s="70" t="s">
        <v>344</v>
      </c>
      <c r="H1009" s="69" t="s">
        <v>1900</v>
      </c>
      <c r="I1009" s="44" t="s">
        <v>1901</v>
      </c>
      <c r="J1009" s="69" t="s">
        <v>1902</v>
      </c>
      <c r="K1009" s="39" t="s">
        <v>1903</v>
      </c>
      <c r="L1009" s="8"/>
      <c r="M1009" s="8"/>
      <c r="N1009" s="8"/>
      <c r="O1009" s="8"/>
      <c r="P1009" s="160"/>
      <c r="Q1009" s="160"/>
      <c r="R1009" s="160"/>
      <c r="S1009" s="160"/>
      <c r="T1009" s="160"/>
      <c r="U1009" s="160"/>
      <c r="V1009" s="160"/>
      <c r="W1009" s="160"/>
      <c r="X1009" s="160"/>
      <c r="Y1009" s="160"/>
      <c r="Z1009" s="160"/>
      <c r="AA1009" s="160"/>
      <c r="AB1009" s="160"/>
    </row>
    <row r="1010">
      <c r="A1010" s="176"/>
      <c r="B1010" s="66"/>
      <c r="C1010" s="181" t="s">
        <v>1609</v>
      </c>
      <c r="D1010" s="27" t="s">
        <v>1715</v>
      </c>
      <c r="E1010" s="62" t="s">
        <v>905</v>
      </c>
      <c r="F1010" s="62" t="s">
        <v>906</v>
      </c>
      <c r="G1010" s="208" t="s">
        <v>366</v>
      </c>
      <c r="H1010" s="114" t="s">
        <v>1900</v>
      </c>
      <c r="I1010" s="18" t="s">
        <v>1904</v>
      </c>
      <c r="J1010" s="75" t="s">
        <v>909</v>
      </c>
      <c r="K1010" s="8"/>
      <c r="L1010" s="8"/>
      <c r="M1010" s="8"/>
      <c r="N1010" s="8"/>
      <c r="O1010" s="8"/>
      <c r="P1010" s="160"/>
      <c r="Q1010" s="160"/>
      <c r="R1010" s="160"/>
      <c r="S1010" s="160"/>
      <c r="T1010" s="160"/>
      <c r="U1010" s="160"/>
      <c r="V1010" s="160"/>
      <c r="W1010" s="160"/>
      <c r="X1010" s="160"/>
      <c r="Y1010" s="160"/>
      <c r="Z1010" s="160"/>
      <c r="AA1010" s="160"/>
      <c r="AB1010" s="160"/>
    </row>
    <row r="1011">
      <c r="A1011" s="176"/>
      <c r="B1011" s="66"/>
      <c r="C1011" s="181" t="s">
        <v>1609</v>
      </c>
      <c r="D1011" s="27" t="s">
        <v>943</v>
      </c>
      <c r="E1011" s="62" t="s">
        <v>1905</v>
      </c>
      <c r="F1011" s="62" t="s">
        <v>1906</v>
      </c>
      <c r="G1011" s="76" t="s">
        <v>298</v>
      </c>
      <c r="H1011" s="18" t="s">
        <v>1907</v>
      </c>
      <c r="I1011" s="18" t="s">
        <v>1908</v>
      </c>
      <c r="J1011" s="62" t="s">
        <v>1909</v>
      </c>
      <c r="K1011" s="8"/>
      <c r="L1011" s="8"/>
      <c r="M1011" s="8"/>
      <c r="N1011" s="8"/>
      <c r="O1011" s="8"/>
      <c r="P1011" s="160"/>
      <c r="Q1011" s="160"/>
      <c r="R1011" s="160"/>
      <c r="S1011" s="160"/>
      <c r="T1011" s="160"/>
      <c r="U1011" s="160"/>
      <c r="V1011" s="160"/>
      <c r="W1011" s="160"/>
      <c r="X1011" s="160"/>
      <c r="Y1011" s="160"/>
      <c r="Z1011" s="160"/>
      <c r="AA1011" s="160"/>
      <c r="AB1011" s="160"/>
    </row>
    <row r="1012">
      <c r="A1012" s="176"/>
      <c r="B1012" s="66"/>
      <c r="C1012" s="181" t="s">
        <v>1609</v>
      </c>
      <c r="D1012" s="189"/>
      <c r="E1012" s="209"/>
      <c r="F1012" s="209"/>
      <c r="G1012" s="210"/>
      <c r="H1012" s="192"/>
      <c r="I1012" s="192"/>
      <c r="J1012" s="209"/>
      <c r="K1012" s="190"/>
      <c r="L1012" s="8"/>
      <c r="M1012" s="8"/>
      <c r="N1012" s="8"/>
      <c r="O1012" s="8"/>
      <c r="P1012" s="160"/>
      <c r="Q1012" s="160"/>
      <c r="R1012" s="160"/>
      <c r="S1012" s="160"/>
      <c r="T1012" s="160"/>
      <c r="U1012" s="160"/>
      <c r="V1012" s="160"/>
      <c r="W1012" s="160"/>
      <c r="X1012" s="160"/>
      <c r="Y1012" s="160"/>
      <c r="Z1012" s="160"/>
      <c r="AA1012" s="160"/>
      <c r="AB1012" s="160"/>
    </row>
    <row r="1013">
      <c r="A1013" s="176"/>
      <c r="B1013" s="67"/>
      <c r="C1013" s="181" t="s">
        <v>1609</v>
      </c>
      <c r="D1013" s="101"/>
      <c r="E1013" s="61"/>
      <c r="F1013" s="211"/>
      <c r="G1013" s="49"/>
      <c r="H1013" s="39"/>
      <c r="I1013" s="39"/>
      <c r="J1013" s="61"/>
      <c r="K1013" s="8"/>
      <c r="L1013" s="8"/>
      <c r="M1013" s="8"/>
      <c r="N1013" s="8"/>
      <c r="O1013" s="8"/>
      <c r="P1013" s="160"/>
      <c r="Q1013" s="160"/>
      <c r="R1013" s="160"/>
      <c r="S1013" s="160"/>
      <c r="T1013" s="160"/>
      <c r="U1013" s="160"/>
      <c r="V1013" s="160"/>
      <c r="W1013" s="160"/>
      <c r="X1013" s="160"/>
      <c r="Y1013" s="160"/>
      <c r="Z1013" s="160"/>
      <c r="AA1013" s="160"/>
      <c r="AB1013" s="160"/>
    </row>
    <row r="1014">
      <c r="A1014" s="176"/>
      <c r="B1014" s="179"/>
      <c r="C1014" s="184">
        <v>44515.0</v>
      </c>
      <c r="D1014" s="101"/>
      <c r="E1014" s="61"/>
      <c r="F1014" s="211"/>
      <c r="G1014" s="49"/>
      <c r="H1014" s="39"/>
      <c r="I1014" s="39"/>
      <c r="J1014" s="61"/>
      <c r="K1014" s="8"/>
      <c r="L1014" s="8"/>
      <c r="M1014" s="8"/>
      <c r="N1014" s="8"/>
      <c r="O1014" s="8"/>
      <c r="P1014" s="160"/>
      <c r="Q1014" s="160"/>
      <c r="R1014" s="160"/>
      <c r="S1014" s="160"/>
      <c r="T1014" s="160"/>
      <c r="U1014" s="160"/>
      <c r="V1014" s="160"/>
      <c r="W1014" s="160"/>
      <c r="X1014" s="160"/>
      <c r="Y1014" s="160"/>
      <c r="Z1014" s="160"/>
      <c r="AA1014" s="160"/>
      <c r="AB1014" s="160"/>
    </row>
    <row r="1015">
      <c r="A1015" s="176"/>
      <c r="B1015" s="185" t="s">
        <v>1450</v>
      </c>
      <c r="C1015" s="181" t="s">
        <v>1609</v>
      </c>
      <c r="D1015" s="101"/>
      <c r="E1015" s="200" t="s">
        <v>1830</v>
      </c>
      <c r="F1015" s="11"/>
      <c r="G1015" s="128"/>
      <c r="H1015" s="39"/>
      <c r="I1015" s="39"/>
      <c r="J1015" s="61" t="s">
        <v>1910</v>
      </c>
      <c r="K1015" s="8"/>
      <c r="L1015" s="8"/>
      <c r="M1015" s="8"/>
      <c r="N1015" s="8"/>
      <c r="O1015" s="8"/>
      <c r="P1015" s="160"/>
      <c r="Q1015" s="160"/>
      <c r="R1015" s="160"/>
      <c r="S1015" s="160"/>
      <c r="T1015" s="160"/>
      <c r="U1015" s="160"/>
      <c r="V1015" s="160"/>
      <c r="W1015" s="160"/>
      <c r="X1015" s="160"/>
      <c r="Y1015" s="160"/>
      <c r="Z1015" s="160"/>
      <c r="AA1015" s="160"/>
      <c r="AB1015" s="160"/>
    </row>
    <row r="1016">
      <c r="A1016" s="176"/>
      <c r="B1016" s="66"/>
      <c r="C1016" s="181" t="s">
        <v>1609</v>
      </c>
      <c r="D1016" s="48" t="s">
        <v>1911</v>
      </c>
      <c r="E1016" s="155" t="s">
        <v>1912</v>
      </c>
      <c r="F1016" s="155" t="s">
        <v>1913</v>
      </c>
      <c r="G1016" s="43">
        <v>0.4583333333333333</v>
      </c>
      <c r="H1016" s="44" t="s">
        <v>1914</v>
      </c>
      <c r="I1016" s="44" t="s">
        <v>1915</v>
      </c>
      <c r="J1016" s="155" t="s">
        <v>1916</v>
      </c>
      <c r="K1016" s="39" t="s">
        <v>1917</v>
      </c>
      <c r="L1016" s="8"/>
      <c r="M1016" s="8"/>
      <c r="N1016" s="8"/>
      <c r="O1016" s="8"/>
      <c r="P1016" s="160"/>
      <c r="Q1016" s="160"/>
      <c r="R1016" s="160"/>
      <c r="S1016" s="160"/>
      <c r="T1016" s="160"/>
      <c r="U1016" s="160"/>
      <c r="V1016" s="160"/>
      <c r="W1016" s="160"/>
      <c r="X1016" s="160"/>
      <c r="Y1016" s="160"/>
      <c r="Z1016" s="160"/>
      <c r="AA1016" s="160"/>
      <c r="AB1016" s="160"/>
    </row>
    <row r="1017">
      <c r="A1017" s="176"/>
      <c r="B1017" s="66"/>
      <c r="C1017" s="181" t="s">
        <v>1609</v>
      </c>
      <c r="D1017" s="27" t="s">
        <v>1911</v>
      </c>
      <c r="E1017" s="162" t="s">
        <v>1918</v>
      </c>
      <c r="F1017" s="162" t="s">
        <v>1919</v>
      </c>
      <c r="G1017" s="22">
        <v>0.5416666666666666</v>
      </c>
      <c r="H1017" s="18" t="s">
        <v>1920</v>
      </c>
      <c r="I1017" s="18" t="s">
        <v>1921</v>
      </c>
      <c r="J1017" s="162" t="s">
        <v>1922</v>
      </c>
      <c r="K1017" s="8"/>
      <c r="L1017" s="8"/>
      <c r="M1017" s="8"/>
      <c r="N1017" s="8"/>
      <c r="O1017" s="8"/>
      <c r="P1017" s="160"/>
      <c r="Q1017" s="160"/>
      <c r="R1017" s="160"/>
      <c r="S1017" s="160"/>
      <c r="T1017" s="160"/>
      <c r="U1017" s="160"/>
      <c r="V1017" s="160"/>
      <c r="W1017" s="160"/>
      <c r="X1017" s="160"/>
      <c r="Y1017" s="160"/>
      <c r="Z1017" s="160"/>
      <c r="AA1017" s="160"/>
      <c r="AB1017" s="160"/>
    </row>
    <row r="1018">
      <c r="A1018" s="176"/>
      <c r="B1018" s="66"/>
      <c r="C1018" s="181" t="s">
        <v>1609</v>
      </c>
      <c r="D1018" s="48" t="s">
        <v>1911</v>
      </c>
      <c r="E1018" s="155" t="s">
        <v>1923</v>
      </c>
      <c r="F1018" s="155" t="s">
        <v>1924</v>
      </c>
      <c r="G1018" s="43">
        <v>0.625</v>
      </c>
      <c r="H1018" s="44" t="s">
        <v>1925</v>
      </c>
      <c r="I1018" s="44" t="s">
        <v>1926</v>
      </c>
      <c r="J1018" s="155" t="s">
        <v>1927</v>
      </c>
      <c r="K1018" s="8"/>
      <c r="L1018" s="8"/>
      <c r="M1018" s="8"/>
      <c r="N1018" s="8"/>
      <c r="O1018" s="8"/>
      <c r="P1018" s="160"/>
      <c r="Q1018" s="160"/>
      <c r="R1018" s="160"/>
      <c r="S1018" s="160"/>
      <c r="T1018" s="160"/>
      <c r="U1018" s="160"/>
      <c r="V1018" s="160"/>
      <c r="W1018" s="160"/>
      <c r="X1018" s="160"/>
      <c r="Y1018" s="160"/>
      <c r="Z1018" s="160"/>
      <c r="AA1018" s="160"/>
      <c r="AB1018" s="160"/>
    </row>
    <row r="1019">
      <c r="A1019" s="176"/>
      <c r="B1019" s="66"/>
      <c r="C1019" s="181" t="s">
        <v>1609</v>
      </c>
      <c r="D1019" s="48" t="s">
        <v>1911</v>
      </c>
      <c r="E1019" s="155" t="s">
        <v>1928</v>
      </c>
      <c r="F1019" s="155" t="s">
        <v>1929</v>
      </c>
      <c r="G1019" s="43">
        <v>0.625</v>
      </c>
      <c r="H1019" s="44" t="s">
        <v>1925</v>
      </c>
      <c r="I1019" s="44" t="s">
        <v>1926</v>
      </c>
      <c r="J1019" s="155" t="s">
        <v>1927</v>
      </c>
      <c r="K1019" s="8"/>
      <c r="L1019" s="8"/>
      <c r="M1019" s="8"/>
      <c r="N1019" s="8"/>
      <c r="O1019" s="8"/>
      <c r="P1019" s="160"/>
      <c r="Q1019" s="160"/>
      <c r="R1019" s="160"/>
      <c r="S1019" s="160"/>
      <c r="T1019" s="160"/>
      <c r="U1019" s="160"/>
      <c r="V1019" s="160"/>
      <c r="W1019" s="160"/>
      <c r="X1019" s="160"/>
      <c r="Y1019" s="160"/>
      <c r="Z1019" s="160"/>
      <c r="AA1019" s="160"/>
      <c r="AB1019" s="160"/>
    </row>
    <row r="1020">
      <c r="A1020" s="176"/>
      <c r="B1020" s="67"/>
      <c r="C1020" s="181" t="s">
        <v>1609</v>
      </c>
      <c r="D1020" s="101"/>
      <c r="E1020" s="61"/>
      <c r="F1020" s="61"/>
      <c r="G1020" s="128"/>
      <c r="H1020" s="39"/>
      <c r="I1020" s="39"/>
      <c r="J1020" s="61"/>
      <c r="K1020" s="8"/>
      <c r="L1020" s="8"/>
      <c r="M1020" s="8"/>
      <c r="N1020" s="8"/>
      <c r="O1020" s="8"/>
      <c r="P1020" s="160"/>
      <c r="Q1020" s="160"/>
      <c r="R1020" s="160"/>
      <c r="S1020" s="160"/>
      <c r="T1020" s="160"/>
      <c r="U1020" s="160"/>
      <c r="V1020" s="160"/>
      <c r="W1020" s="160"/>
      <c r="X1020" s="160"/>
      <c r="Y1020" s="160"/>
      <c r="Z1020" s="160"/>
      <c r="AA1020" s="160"/>
      <c r="AB1020" s="160"/>
    </row>
    <row r="1021">
      <c r="A1021" s="176"/>
      <c r="B1021" s="179"/>
      <c r="C1021" s="184">
        <v>44516.0</v>
      </c>
      <c r="D1021" s="101"/>
      <c r="E1021" s="61"/>
      <c r="F1021" s="61"/>
      <c r="G1021" s="128"/>
      <c r="H1021" s="39"/>
      <c r="I1021" s="39"/>
      <c r="J1021" s="61"/>
      <c r="K1021" s="8"/>
      <c r="L1021" s="8"/>
      <c r="M1021" s="8"/>
      <c r="N1021" s="8"/>
      <c r="O1021" s="8"/>
      <c r="P1021" s="160"/>
      <c r="Q1021" s="160"/>
      <c r="R1021" s="160"/>
      <c r="S1021" s="160"/>
      <c r="T1021" s="160"/>
      <c r="U1021" s="160"/>
      <c r="V1021" s="160"/>
      <c r="W1021" s="160"/>
      <c r="X1021" s="160"/>
      <c r="Y1021" s="160"/>
      <c r="Z1021" s="160"/>
      <c r="AA1021" s="160"/>
      <c r="AB1021" s="160"/>
    </row>
    <row r="1022">
      <c r="A1022" s="176"/>
      <c r="B1022" s="185" t="s">
        <v>1450</v>
      </c>
      <c r="C1022" s="181" t="s">
        <v>1609</v>
      </c>
      <c r="D1022" s="101"/>
      <c r="E1022" s="200" t="s">
        <v>1830</v>
      </c>
      <c r="F1022" s="11"/>
      <c r="G1022" s="128"/>
      <c r="H1022" s="39"/>
      <c r="I1022" s="39"/>
      <c r="J1022" s="61"/>
      <c r="K1022" s="8"/>
      <c r="L1022" s="8"/>
      <c r="M1022" s="8"/>
      <c r="N1022" s="8"/>
      <c r="O1022" s="8"/>
      <c r="P1022" s="160"/>
      <c r="Q1022" s="160"/>
      <c r="R1022" s="160"/>
      <c r="S1022" s="160"/>
      <c r="T1022" s="160"/>
      <c r="U1022" s="160"/>
      <c r="V1022" s="160"/>
      <c r="W1022" s="160"/>
      <c r="X1022" s="160"/>
      <c r="Y1022" s="160"/>
      <c r="Z1022" s="160"/>
      <c r="AA1022" s="160"/>
      <c r="AB1022" s="160"/>
    </row>
    <row r="1023">
      <c r="A1023" s="176"/>
      <c r="B1023" s="66"/>
      <c r="C1023" s="181" t="s">
        <v>1609</v>
      </c>
      <c r="D1023" s="101"/>
      <c r="E1023" s="61"/>
      <c r="F1023" s="61"/>
      <c r="G1023" s="128"/>
      <c r="H1023" s="39"/>
      <c r="I1023" s="39"/>
      <c r="J1023" s="61"/>
      <c r="K1023" s="8"/>
      <c r="L1023" s="8"/>
      <c r="M1023" s="8"/>
      <c r="N1023" s="8"/>
      <c r="O1023" s="8"/>
      <c r="P1023" s="160"/>
      <c r="Q1023" s="160"/>
      <c r="R1023" s="160"/>
      <c r="S1023" s="160"/>
      <c r="T1023" s="160"/>
      <c r="U1023" s="160"/>
      <c r="V1023" s="160"/>
      <c r="W1023" s="160"/>
      <c r="X1023" s="160"/>
      <c r="Y1023" s="160"/>
      <c r="Z1023" s="160"/>
      <c r="AA1023" s="160"/>
      <c r="AB1023" s="160"/>
    </row>
    <row r="1024">
      <c r="A1024" s="176"/>
      <c r="B1024" s="66"/>
      <c r="C1024" s="181" t="s">
        <v>1609</v>
      </c>
      <c r="D1024" s="27" t="s">
        <v>1791</v>
      </c>
      <c r="E1024" s="62" t="s">
        <v>1930</v>
      </c>
      <c r="F1024" s="62" t="s">
        <v>1931</v>
      </c>
      <c r="G1024" s="22">
        <v>0.5</v>
      </c>
      <c r="H1024" s="18" t="s">
        <v>1932</v>
      </c>
      <c r="I1024" s="18" t="s">
        <v>1933</v>
      </c>
      <c r="J1024" s="162" t="s">
        <v>1934</v>
      </c>
      <c r="K1024" s="8"/>
      <c r="L1024" s="8"/>
      <c r="M1024" s="8"/>
      <c r="N1024" s="8"/>
      <c r="O1024" s="8"/>
      <c r="P1024" s="160"/>
      <c r="Q1024" s="160"/>
      <c r="R1024" s="160"/>
      <c r="S1024" s="160"/>
      <c r="T1024" s="160"/>
      <c r="U1024" s="160"/>
      <c r="V1024" s="160"/>
      <c r="W1024" s="160"/>
      <c r="X1024" s="160"/>
      <c r="Y1024" s="160"/>
      <c r="Z1024" s="160"/>
      <c r="AA1024" s="160"/>
      <c r="AB1024" s="160"/>
    </row>
    <row r="1025">
      <c r="A1025" s="176"/>
      <c r="B1025" s="66"/>
      <c r="C1025" s="181" t="s">
        <v>1609</v>
      </c>
      <c r="D1025" s="27" t="s">
        <v>1791</v>
      </c>
      <c r="E1025" s="62" t="s">
        <v>1935</v>
      </c>
      <c r="F1025" s="62" t="s">
        <v>1936</v>
      </c>
      <c r="G1025" s="22">
        <v>0.5625</v>
      </c>
      <c r="H1025" s="195" t="s">
        <v>443</v>
      </c>
      <c r="I1025" s="18" t="s">
        <v>1937</v>
      </c>
      <c r="J1025" s="162" t="s">
        <v>1938</v>
      </c>
      <c r="K1025" s="8"/>
      <c r="L1025" s="8"/>
      <c r="M1025" s="8"/>
      <c r="N1025" s="8"/>
      <c r="O1025" s="8"/>
      <c r="P1025" s="160"/>
      <c r="Q1025" s="160"/>
      <c r="R1025" s="160"/>
      <c r="S1025" s="160"/>
      <c r="T1025" s="160"/>
      <c r="U1025" s="160"/>
      <c r="V1025" s="160"/>
      <c r="W1025" s="160"/>
      <c r="X1025" s="160"/>
      <c r="Y1025" s="160"/>
      <c r="Z1025" s="160"/>
      <c r="AA1025" s="160"/>
      <c r="AB1025" s="160"/>
    </row>
    <row r="1026">
      <c r="A1026" s="176"/>
      <c r="B1026" s="66"/>
      <c r="C1026" s="181" t="s">
        <v>1609</v>
      </c>
      <c r="D1026" s="18" t="s">
        <v>819</v>
      </c>
      <c r="E1026" s="212" t="s">
        <v>1894</v>
      </c>
      <c r="F1026" s="212" t="s">
        <v>1895</v>
      </c>
      <c r="G1026" s="213">
        <v>0.6041666666666666</v>
      </c>
      <c r="H1026" s="198" t="s">
        <v>443</v>
      </c>
      <c r="I1026" s="198" t="s">
        <v>1896</v>
      </c>
      <c r="J1026" s="214" t="s">
        <v>1897</v>
      </c>
      <c r="K1026" s="39" t="s">
        <v>1096</v>
      </c>
      <c r="L1026" s="8"/>
      <c r="M1026" s="8"/>
      <c r="N1026" s="8"/>
      <c r="O1026" s="8"/>
      <c r="P1026" s="160"/>
      <c r="Q1026" s="160"/>
      <c r="R1026" s="160"/>
      <c r="S1026" s="160"/>
      <c r="T1026" s="160"/>
      <c r="U1026" s="160"/>
      <c r="V1026" s="160"/>
      <c r="W1026" s="160"/>
      <c r="X1026" s="160"/>
      <c r="Y1026" s="160"/>
      <c r="Z1026" s="160"/>
      <c r="AA1026" s="160"/>
      <c r="AB1026" s="160"/>
    </row>
    <row r="1027">
      <c r="A1027" s="176"/>
      <c r="B1027" s="67"/>
      <c r="C1027" s="181" t="s">
        <v>1609</v>
      </c>
      <c r="D1027" s="145" t="s">
        <v>1791</v>
      </c>
      <c r="E1027" s="162" t="s">
        <v>1939</v>
      </c>
      <c r="F1027" s="162" t="s">
        <v>1940</v>
      </c>
      <c r="G1027" s="22">
        <v>0.6458333333333334</v>
      </c>
      <c r="H1027" s="198" t="s">
        <v>443</v>
      </c>
      <c r="I1027" s="18" t="s">
        <v>1941</v>
      </c>
      <c r="J1027" s="62" t="s">
        <v>1942</v>
      </c>
      <c r="K1027" s="8"/>
      <c r="L1027" s="8"/>
      <c r="M1027" s="8"/>
      <c r="N1027" s="8"/>
      <c r="O1027" s="8"/>
      <c r="P1027" s="160"/>
      <c r="Q1027" s="160"/>
      <c r="R1027" s="160"/>
      <c r="S1027" s="160"/>
      <c r="T1027" s="160"/>
      <c r="U1027" s="160"/>
      <c r="V1027" s="160"/>
      <c r="W1027" s="160"/>
      <c r="X1027" s="160"/>
      <c r="Y1027" s="160"/>
      <c r="Z1027" s="160"/>
      <c r="AA1027" s="160"/>
      <c r="AB1027" s="160"/>
    </row>
    <row r="1028">
      <c r="A1028" s="176"/>
      <c r="B1028" s="179"/>
      <c r="C1028" s="184">
        <v>44517.0</v>
      </c>
      <c r="D1028" s="101"/>
      <c r="E1028" s="61"/>
      <c r="F1028" s="61"/>
      <c r="G1028" s="128"/>
      <c r="H1028" s="39"/>
      <c r="I1028" s="39"/>
      <c r="J1028" s="61"/>
      <c r="K1028" s="8"/>
      <c r="L1028" s="8"/>
      <c r="M1028" s="8"/>
      <c r="N1028" s="8"/>
      <c r="O1028" s="8"/>
      <c r="P1028" s="160"/>
      <c r="Q1028" s="160"/>
      <c r="R1028" s="160"/>
      <c r="S1028" s="160"/>
      <c r="T1028" s="160"/>
      <c r="U1028" s="160"/>
      <c r="V1028" s="160"/>
      <c r="W1028" s="160"/>
      <c r="X1028" s="160"/>
      <c r="Y1028" s="160"/>
      <c r="Z1028" s="160"/>
      <c r="AA1028" s="160"/>
      <c r="AB1028" s="160"/>
    </row>
    <row r="1029">
      <c r="A1029" s="176"/>
      <c r="B1029" s="185" t="s">
        <v>1450</v>
      </c>
      <c r="C1029" s="181" t="s">
        <v>1609</v>
      </c>
      <c r="D1029" s="101"/>
      <c r="E1029" s="200" t="s">
        <v>1830</v>
      </c>
      <c r="F1029" s="11"/>
      <c r="G1029" s="128"/>
      <c r="H1029" s="39"/>
      <c r="I1029" s="39"/>
      <c r="J1029" s="61"/>
      <c r="K1029" s="8"/>
      <c r="L1029" s="8"/>
      <c r="M1029" s="8"/>
      <c r="N1029" s="8"/>
      <c r="O1029" s="8"/>
      <c r="P1029" s="160"/>
      <c r="Q1029" s="160"/>
      <c r="R1029" s="160"/>
      <c r="S1029" s="160"/>
      <c r="T1029" s="160"/>
      <c r="U1029" s="160"/>
      <c r="V1029" s="160"/>
      <c r="W1029" s="160"/>
      <c r="X1029" s="160"/>
      <c r="Y1029" s="160"/>
      <c r="Z1029" s="160"/>
      <c r="AA1029" s="160"/>
      <c r="AB1029" s="160"/>
    </row>
    <row r="1030">
      <c r="A1030" s="176"/>
      <c r="B1030" s="66"/>
      <c r="C1030" s="181"/>
      <c r="D1030" s="27" t="s">
        <v>1621</v>
      </c>
      <c r="E1030" s="62" t="s">
        <v>1943</v>
      </c>
      <c r="F1030" s="62" t="s">
        <v>1944</v>
      </c>
      <c r="G1030" s="22">
        <v>0.5</v>
      </c>
      <c r="H1030" s="62" t="s">
        <v>907</v>
      </c>
      <c r="I1030" s="62" t="s">
        <v>1945</v>
      </c>
      <c r="J1030" s="62" t="s">
        <v>1946</v>
      </c>
      <c r="K1030" s="8"/>
      <c r="L1030" s="8"/>
      <c r="M1030" s="8"/>
      <c r="N1030" s="8"/>
      <c r="O1030" s="8"/>
      <c r="P1030" s="160"/>
      <c r="Q1030" s="160"/>
      <c r="R1030" s="160"/>
      <c r="S1030" s="160"/>
      <c r="T1030" s="160"/>
      <c r="U1030" s="160"/>
      <c r="V1030" s="160"/>
      <c r="W1030" s="160"/>
      <c r="X1030" s="160"/>
      <c r="Y1030" s="160"/>
      <c r="Z1030" s="160"/>
      <c r="AA1030" s="160"/>
      <c r="AB1030" s="160"/>
    </row>
    <row r="1031">
      <c r="A1031" s="176"/>
      <c r="B1031" s="66"/>
      <c r="C1031" s="181" t="s">
        <v>1609</v>
      </c>
      <c r="D1031" s="48" t="s">
        <v>1621</v>
      </c>
      <c r="E1031" s="73" t="s">
        <v>1947</v>
      </c>
      <c r="F1031" s="73" t="s">
        <v>1948</v>
      </c>
      <c r="G1031" s="43">
        <v>0.5</v>
      </c>
      <c r="H1031" s="73" t="s">
        <v>367</v>
      </c>
      <c r="I1031" s="73" t="s">
        <v>1949</v>
      </c>
      <c r="J1031" s="73" t="s">
        <v>1950</v>
      </c>
      <c r="K1031" s="39" t="s">
        <v>1951</v>
      </c>
      <c r="L1031" s="8"/>
      <c r="M1031" s="8"/>
      <c r="N1031" s="8"/>
      <c r="O1031" s="8"/>
      <c r="P1031" s="160"/>
      <c r="Q1031" s="160"/>
      <c r="R1031" s="160"/>
      <c r="S1031" s="160"/>
      <c r="T1031" s="160"/>
      <c r="U1031" s="160"/>
      <c r="V1031" s="160"/>
      <c r="W1031" s="160"/>
      <c r="X1031" s="160"/>
      <c r="Y1031" s="160"/>
      <c r="Z1031" s="160"/>
      <c r="AA1031" s="160"/>
      <c r="AB1031" s="160"/>
    </row>
    <row r="1032">
      <c r="A1032" s="176"/>
      <c r="B1032" s="66"/>
      <c r="C1032" s="181" t="s">
        <v>1609</v>
      </c>
      <c r="D1032" s="48" t="s">
        <v>1621</v>
      </c>
      <c r="E1032" s="73" t="s">
        <v>1952</v>
      </c>
      <c r="F1032" s="73" t="s">
        <v>1953</v>
      </c>
      <c r="G1032" s="43">
        <v>0.5625</v>
      </c>
      <c r="H1032" s="73" t="s">
        <v>367</v>
      </c>
      <c r="I1032" s="69" t="s">
        <v>1954</v>
      </c>
      <c r="J1032" s="73" t="s">
        <v>1955</v>
      </c>
      <c r="K1032" s="39" t="s">
        <v>1956</v>
      </c>
      <c r="L1032" s="8"/>
      <c r="M1032" s="8"/>
      <c r="N1032" s="8"/>
      <c r="O1032" s="8"/>
      <c r="P1032" s="160"/>
      <c r="Q1032" s="160"/>
      <c r="R1032" s="160"/>
      <c r="S1032" s="160"/>
      <c r="T1032" s="160"/>
      <c r="U1032" s="160"/>
      <c r="V1032" s="160"/>
      <c r="W1032" s="160"/>
      <c r="X1032" s="160"/>
      <c r="Y1032" s="160"/>
      <c r="Z1032" s="160"/>
      <c r="AA1032" s="160"/>
      <c r="AB1032" s="160"/>
    </row>
    <row r="1033">
      <c r="A1033" s="176"/>
      <c r="B1033" s="66"/>
      <c r="C1033" s="181"/>
      <c r="D1033" s="27" t="s">
        <v>1715</v>
      </c>
      <c r="E1033" s="62" t="s">
        <v>1957</v>
      </c>
      <c r="F1033" s="62" t="s">
        <v>1958</v>
      </c>
      <c r="G1033" s="22">
        <v>0.5625</v>
      </c>
      <c r="H1033" s="62" t="s">
        <v>1959</v>
      </c>
      <c r="I1033" s="62" t="s">
        <v>1960</v>
      </c>
      <c r="J1033" s="92" t="s">
        <v>1961</v>
      </c>
      <c r="K1033" s="8"/>
      <c r="L1033" s="8"/>
      <c r="M1033" s="8"/>
      <c r="N1033" s="8"/>
      <c r="O1033" s="8"/>
      <c r="P1033" s="160"/>
      <c r="Q1033" s="160"/>
      <c r="R1033" s="160"/>
      <c r="S1033" s="160"/>
      <c r="T1033" s="160"/>
      <c r="U1033" s="160"/>
      <c r="V1033" s="160"/>
      <c r="W1033" s="160"/>
      <c r="X1033" s="160"/>
      <c r="Y1033" s="160"/>
      <c r="Z1033" s="160"/>
      <c r="AA1033" s="160"/>
      <c r="AB1033" s="160"/>
    </row>
    <row r="1034">
      <c r="A1034" s="176"/>
      <c r="B1034" s="66"/>
      <c r="C1034" s="181" t="s">
        <v>1609</v>
      </c>
      <c r="D1034" s="27" t="s">
        <v>1621</v>
      </c>
      <c r="E1034" s="62" t="s">
        <v>1962</v>
      </c>
      <c r="F1034" s="62" t="s">
        <v>1963</v>
      </c>
      <c r="G1034" s="22">
        <v>0.6041666666666666</v>
      </c>
      <c r="H1034" s="62" t="s">
        <v>367</v>
      </c>
      <c r="I1034" s="62" t="s">
        <v>1964</v>
      </c>
      <c r="J1034" s="62" t="s">
        <v>1965</v>
      </c>
      <c r="K1034" s="8"/>
      <c r="L1034" s="8"/>
      <c r="M1034" s="8"/>
      <c r="N1034" s="8"/>
      <c r="O1034" s="8"/>
      <c r="P1034" s="160"/>
      <c r="Q1034" s="160"/>
      <c r="R1034" s="160"/>
      <c r="S1034" s="160"/>
      <c r="T1034" s="160"/>
      <c r="U1034" s="160"/>
      <c r="V1034" s="160"/>
      <c r="W1034" s="160"/>
      <c r="X1034" s="160"/>
      <c r="Y1034" s="160"/>
      <c r="Z1034" s="160"/>
      <c r="AA1034" s="160"/>
      <c r="AB1034" s="160"/>
    </row>
    <row r="1035">
      <c r="A1035" s="176"/>
      <c r="B1035" s="66"/>
      <c r="C1035" s="181" t="s">
        <v>1609</v>
      </c>
      <c r="D1035" s="101"/>
      <c r="E1035" s="61"/>
      <c r="F1035" s="61"/>
      <c r="G1035" s="128"/>
      <c r="H1035" s="61"/>
      <c r="I1035" s="61"/>
      <c r="J1035" s="61"/>
      <c r="K1035" s="8"/>
      <c r="L1035" s="8"/>
      <c r="M1035" s="8"/>
      <c r="N1035" s="8"/>
      <c r="O1035" s="8"/>
      <c r="P1035" s="160"/>
      <c r="Q1035" s="160"/>
      <c r="R1035" s="160"/>
      <c r="S1035" s="160"/>
      <c r="T1035" s="160"/>
      <c r="U1035" s="160"/>
      <c r="V1035" s="160"/>
      <c r="W1035" s="160"/>
      <c r="X1035" s="160"/>
      <c r="Y1035" s="160"/>
      <c r="Z1035" s="160"/>
      <c r="AA1035" s="160"/>
      <c r="AB1035" s="160"/>
    </row>
    <row r="1036">
      <c r="A1036" s="176"/>
      <c r="B1036" s="67"/>
      <c r="C1036" s="181" t="s">
        <v>1609</v>
      </c>
      <c r="D1036" s="101"/>
      <c r="E1036" s="61"/>
      <c r="F1036" s="61"/>
      <c r="G1036" s="128"/>
      <c r="H1036" s="39"/>
      <c r="I1036" s="39"/>
      <c r="J1036" s="61"/>
      <c r="K1036" s="8"/>
      <c r="L1036" s="8"/>
      <c r="M1036" s="8"/>
      <c r="N1036" s="8"/>
      <c r="O1036" s="8"/>
      <c r="P1036" s="160"/>
      <c r="Q1036" s="160"/>
      <c r="R1036" s="160"/>
      <c r="S1036" s="160"/>
      <c r="T1036" s="160"/>
      <c r="U1036" s="160"/>
      <c r="V1036" s="160"/>
      <c r="W1036" s="160"/>
      <c r="X1036" s="160"/>
      <c r="Y1036" s="160"/>
      <c r="Z1036" s="160"/>
      <c r="AA1036" s="160"/>
      <c r="AB1036" s="160"/>
    </row>
    <row r="1037">
      <c r="A1037" s="176"/>
      <c r="B1037" s="179"/>
      <c r="C1037" s="184">
        <v>44518.0</v>
      </c>
      <c r="D1037" s="101"/>
      <c r="E1037" s="61"/>
      <c r="F1037" s="61"/>
      <c r="G1037" s="128"/>
      <c r="H1037" s="39"/>
      <c r="I1037" s="39"/>
      <c r="J1037" s="61"/>
      <c r="K1037" s="8"/>
      <c r="L1037" s="8"/>
      <c r="M1037" s="8"/>
      <c r="N1037" s="8"/>
      <c r="O1037" s="8"/>
      <c r="P1037" s="160"/>
      <c r="Q1037" s="160"/>
      <c r="R1037" s="160"/>
      <c r="S1037" s="160"/>
      <c r="T1037" s="160"/>
      <c r="U1037" s="160"/>
      <c r="V1037" s="160"/>
      <c r="W1037" s="160"/>
      <c r="X1037" s="160"/>
      <c r="Y1037" s="160"/>
      <c r="Z1037" s="160"/>
      <c r="AA1037" s="160"/>
      <c r="AB1037" s="160"/>
    </row>
    <row r="1038">
      <c r="A1038" s="176"/>
      <c r="B1038" s="185" t="s">
        <v>1450</v>
      </c>
      <c r="C1038" s="181" t="s">
        <v>1609</v>
      </c>
      <c r="D1038" s="101"/>
      <c r="E1038" s="200" t="s">
        <v>1830</v>
      </c>
      <c r="F1038" s="11"/>
      <c r="G1038" s="128"/>
      <c r="H1038" s="39"/>
      <c r="I1038" s="39"/>
      <c r="J1038" s="61"/>
      <c r="K1038" s="8"/>
      <c r="L1038" s="8"/>
      <c r="M1038" s="8"/>
      <c r="N1038" s="8"/>
      <c r="O1038" s="8"/>
      <c r="P1038" s="160"/>
      <c r="Q1038" s="160"/>
      <c r="R1038" s="160"/>
      <c r="S1038" s="160"/>
      <c r="T1038" s="160"/>
      <c r="U1038" s="160"/>
      <c r="V1038" s="160"/>
      <c r="W1038" s="160"/>
      <c r="X1038" s="160"/>
      <c r="Y1038" s="160"/>
      <c r="Z1038" s="160"/>
      <c r="AA1038" s="160"/>
      <c r="AB1038" s="160"/>
    </row>
    <row r="1039">
      <c r="A1039" s="176"/>
      <c r="B1039" s="66"/>
      <c r="C1039" s="181" t="s">
        <v>1609</v>
      </c>
      <c r="D1039" s="101"/>
      <c r="E1039" s="150"/>
      <c r="F1039" s="61"/>
      <c r="G1039" s="128"/>
      <c r="H1039" s="39"/>
      <c r="I1039" s="39"/>
      <c r="J1039" s="61"/>
      <c r="K1039" s="8"/>
      <c r="L1039" s="8"/>
      <c r="M1039" s="8"/>
      <c r="N1039" s="8"/>
      <c r="O1039" s="8"/>
      <c r="P1039" s="160"/>
      <c r="Q1039" s="160"/>
      <c r="R1039" s="160"/>
      <c r="S1039" s="160"/>
      <c r="T1039" s="160"/>
      <c r="U1039" s="160"/>
      <c r="V1039" s="160"/>
      <c r="W1039" s="160"/>
      <c r="X1039" s="160"/>
      <c r="Y1039" s="160"/>
      <c r="Z1039" s="160"/>
      <c r="AA1039" s="160"/>
      <c r="AB1039" s="160"/>
    </row>
    <row r="1040">
      <c r="A1040" s="176"/>
      <c r="B1040" s="66"/>
      <c r="C1040" s="181" t="s">
        <v>1609</v>
      </c>
      <c r="D1040" s="101"/>
      <c r="E1040" s="61"/>
      <c r="F1040" s="61"/>
      <c r="G1040" s="128"/>
      <c r="H1040" s="39"/>
      <c r="I1040" s="39"/>
      <c r="J1040" s="61"/>
      <c r="K1040" s="8"/>
      <c r="L1040" s="8"/>
      <c r="M1040" s="8"/>
      <c r="N1040" s="8"/>
      <c r="O1040" s="8"/>
      <c r="P1040" s="160"/>
      <c r="Q1040" s="160"/>
      <c r="R1040" s="160"/>
      <c r="S1040" s="160"/>
      <c r="T1040" s="160"/>
      <c r="U1040" s="160"/>
      <c r="V1040" s="160"/>
      <c r="W1040" s="160"/>
      <c r="X1040" s="160"/>
      <c r="Y1040" s="160"/>
      <c r="Z1040" s="160"/>
      <c r="AA1040" s="160"/>
      <c r="AB1040" s="160"/>
    </row>
    <row r="1041">
      <c r="A1041" s="176"/>
      <c r="B1041" s="66"/>
      <c r="C1041" s="181" t="s">
        <v>1609</v>
      </c>
      <c r="D1041" s="145" t="s">
        <v>1791</v>
      </c>
      <c r="E1041" s="62" t="s">
        <v>1966</v>
      </c>
      <c r="F1041" s="62" t="s">
        <v>1967</v>
      </c>
      <c r="G1041" s="22">
        <v>0.5416666666666666</v>
      </c>
      <c r="H1041" s="18" t="s">
        <v>1968</v>
      </c>
      <c r="I1041" s="18" t="s">
        <v>1969</v>
      </c>
      <c r="J1041" s="162" t="s">
        <v>1970</v>
      </c>
      <c r="K1041" s="8"/>
      <c r="L1041" s="8"/>
      <c r="M1041" s="8"/>
      <c r="N1041" s="8"/>
      <c r="O1041" s="8"/>
      <c r="P1041" s="160"/>
      <c r="Q1041" s="160"/>
      <c r="R1041" s="160"/>
      <c r="S1041" s="160"/>
      <c r="T1041" s="160"/>
      <c r="U1041" s="160"/>
      <c r="V1041" s="160"/>
      <c r="W1041" s="160"/>
      <c r="X1041" s="160"/>
      <c r="Y1041" s="160"/>
      <c r="Z1041" s="160"/>
      <c r="AA1041" s="160"/>
      <c r="AB1041" s="160"/>
    </row>
    <row r="1042">
      <c r="A1042" s="176"/>
      <c r="B1042" s="66"/>
      <c r="C1042" s="181" t="s">
        <v>1609</v>
      </c>
      <c r="D1042" s="27" t="s">
        <v>1971</v>
      </c>
      <c r="E1042" s="62" t="s">
        <v>1972</v>
      </c>
      <c r="F1042" s="62" t="s">
        <v>1973</v>
      </c>
      <c r="G1042" s="22">
        <v>0.625</v>
      </c>
      <c r="H1042" s="18" t="s">
        <v>443</v>
      </c>
      <c r="I1042" s="18" t="s">
        <v>1974</v>
      </c>
      <c r="J1042" s="162" t="s">
        <v>1975</v>
      </c>
      <c r="K1042" s="8"/>
      <c r="L1042" s="8"/>
      <c r="M1042" s="8"/>
      <c r="N1042" s="8"/>
      <c r="O1042" s="8"/>
      <c r="P1042" s="160"/>
      <c r="Q1042" s="160"/>
      <c r="R1042" s="160"/>
      <c r="S1042" s="160"/>
      <c r="T1042" s="160"/>
      <c r="U1042" s="160"/>
      <c r="V1042" s="160"/>
      <c r="W1042" s="160"/>
      <c r="X1042" s="160"/>
      <c r="Y1042" s="160"/>
      <c r="Z1042" s="160"/>
      <c r="AA1042" s="160"/>
      <c r="AB1042" s="160"/>
    </row>
    <row r="1043">
      <c r="A1043" s="176"/>
      <c r="B1043" s="67"/>
      <c r="C1043" s="181" t="s">
        <v>1609</v>
      </c>
      <c r="D1043" s="101"/>
      <c r="E1043" s="61"/>
      <c r="F1043" s="61"/>
      <c r="G1043" s="128"/>
      <c r="H1043" s="39"/>
      <c r="I1043" s="39"/>
      <c r="J1043" s="61"/>
      <c r="K1043" s="8"/>
      <c r="L1043" s="8"/>
      <c r="M1043" s="8"/>
      <c r="N1043" s="8"/>
      <c r="O1043" s="8"/>
      <c r="P1043" s="160"/>
      <c r="Q1043" s="160"/>
      <c r="R1043" s="160"/>
      <c r="S1043" s="160"/>
      <c r="T1043" s="160"/>
      <c r="U1043" s="160"/>
      <c r="V1043" s="160"/>
      <c r="W1043" s="160"/>
      <c r="X1043" s="160"/>
      <c r="Y1043" s="160"/>
      <c r="Z1043" s="160"/>
      <c r="AA1043" s="160"/>
      <c r="AB1043" s="160"/>
    </row>
    <row r="1044">
      <c r="A1044" s="176"/>
      <c r="B1044" s="179"/>
      <c r="C1044" s="184">
        <v>44519.0</v>
      </c>
      <c r="D1044" s="101"/>
      <c r="E1044" s="61"/>
      <c r="F1044" s="61"/>
      <c r="G1044" s="128"/>
      <c r="H1044" s="39"/>
      <c r="I1044" s="39"/>
      <c r="J1044" s="61"/>
      <c r="K1044" s="8"/>
      <c r="L1044" s="8"/>
      <c r="M1044" s="8"/>
      <c r="N1044" s="8"/>
      <c r="O1044" s="8"/>
      <c r="P1044" s="160"/>
      <c r="Q1044" s="160"/>
      <c r="R1044" s="160"/>
      <c r="S1044" s="160"/>
      <c r="T1044" s="160"/>
      <c r="U1044" s="160"/>
      <c r="V1044" s="160"/>
      <c r="W1044" s="160"/>
      <c r="X1044" s="160"/>
      <c r="Y1044" s="160"/>
      <c r="Z1044" s="160"/>
      <c r="AA1044" s="160"/>
      <c r="AB1044" s="160"/>
    </row>
    <row r="1045">
      <c r="A1045" s="176"/>
      <c r="B1045" s="185" t="s">
        <v>1450</v>
      </c>
      <c r="C1045" s="181" t="s">
        <v>1609</v>
      </c>
      <c r="D1045" s="101"/>
      <c r="E1045" s="200" t="s">
        <v>1830</v>
      </c>
      <c r="F1045" s="11"/>
      <c r="G1045" s="128"/>
      <c r="H1045" s="39"/>
      <c r="I1045" s="39"/>
      <c r="J1045" s="61"/>
      <c r="K1045" s="8"/>
      <c r="L1045" s="8"/>
      <c r="M1045" s="8"/>
      <c r="N1045" s="8"/>
      <c r="O1045" s="8"/>
      <c r="P1045" s="160"/>
      <c r="Q1045" s="160"/>
      <c r="R1045" s="160"/>
      <c r="S1045" s="160"/>
      <c r="T1045" s="160"/>
      <c r="U1045" s="160"/>
      <c r="V1045" s="160"/>
      <c r="W1045" s="160"/>
      <c r="X1045" s="160"/>
      <c r="Y1045" s="160"/>
      <c r="Z1045" s="160"/>
      <c r="AA1045" s="160"/>
      <c r="AB1045" s="160"/>
    </row>
    <row r="1046">
      <c r="A1046" s="176"/>
      <c r="B1046" s="66"/>
      <c r="C1046" s="181" t="s">
        <v>1609</v>
      </c>
      <c r="D1046" s="27" t="s">
        <v>1621</v>
      </c>
      <c r="E1046" s="162" t="s">
        <v>1976</v>
      </c>
      <c r="F1046" s="62" t="s">
        <v>1977</v>
      </c>
      <c r="G1046" s="22">
        <v>0.4583333333333333</v>
      </c>
      <c r="H1046" s="62" t="s">
        <v>576</v>
      </c>
      <c r="I1046" s="62" t="s">
        <v>1978</v>
      </c>
      <c r="J1046" s="62" t="s">
        <v>1979</v>
      </c>
      <c r="K1046" s="8"/>
      <c r="L1046" s="8"/>
      <c r="M1046" s="8"/>
      <c r="N1046" s="8"/>
      <c r="O1046" s="8"/>
      <c r="P1046" s="160"/>
      <c r="Q1046" s="160"/>
      <c r="R1046" s="160"/>
      <c r="S1046" s="160"/>
      <c r="T1046" s="160"/>
      <c r="U1046" s="160"/>
      <c r="V1046" s="160"/>
      <c r="W1046" s="160"/>
      <c r="X1046" s="160"/>
      <c r="Y1046" s="160"/>
      <c r="Z1046" s="160"/>
      <c r="AA1046" s="160"/>
      <c r="AB1046" s="160"/>
    </row>
    <row r="1047">
      <c r="A1047" s="176"/>
      <c r="B1047" s="66"/>
      <c r="C1047" s="181" t="s">
        <v>1609</v>
      </c>
      <c r="D1047" s="27" t="s">
        <v>819</v>
      </c>
      <c r="E1047" s="122" t="s">
        <v>1898</v>
      </c>
      <c r="F1047" s="122" t="s">
        <v>1899</v>
      </c>
      <c r="G1047" s="22">
        <v>0.5416666666666666</v>
      </c>
      <c r="H1047" s="62" t="s">
        <v>576</v>
      </c>
      <c r="I1047" s="18" t="s">
        <v>1980</v>
      </c>
      <c r="J1047" s="75" t="s">
        <v>1981</v>
      </c>
      <c r="K1047" s="8"/>
      <c r="L1047" s="8"/>
      <c r="M1047" s="8"/>
      <c r="N1047" s="8"/>
      <c r="O1047" s="8"/>
      <c r="P1047" s="160"/>
      <c r="Q1047" s="160"/>
      <c r="R1047" s="160"/>
      <c r="S1047" s="160"/>
      <c r="T1047" s="160"/>
      <c r="U1047" s="160"/>
      <c r="V1047" s="160"/>
      <c r="W1047" s="160"/>
      <c r="X1047" s="160"/>
      <c r="Y1047" s="160"/>
      <c r="Z1047" s="160"/>
      <c r="AA1047" s="160"/>
      <c r="AB1047" s="160"/>
    </row>
    <row r="1048">
      <c r="A1048" s="176"/>
      <c r="B1048" s="66"/>
      <c r="C1048" s="181" t="s">
        <v>1609</v>
      </c>
      <c r="D1048" s="27" t="s">
        <v>1715</v>
      </c>
      <c r="E1048" s="62" t="s">
        <v>1982</v>
      </c>
      <c r="F1048" s="62" t="s">
        <v>1983</v>
      </c>
      <c r="G1048" s="76" t="s">
        <v>856</v>
      </c>
      <c r="H1048" s="114" t="s">
        <v>1984</v>
      </c>
      <c r="I1048" s="18" t="s">
        <v>1985</v>
      </c>
      <c r="J1048" s="75" t="s">
        <v>1986</v>
      </c>
      <c r="K1048" s="8"/>
      <c r="L1048" s="8"/>
      <c r="M1048" s="8"/>
      <c r="N1048" s="8"/>
      <c r="O1048" s="8"/>
      <c r="P1048" s="160"/>
      <c r="Q1048" s="160"/>
      <c r="R1048" s="160"/>
      <c r="S1048" s="160"/>
      <c r="T1048" s="160"/>
      <c r="U1048" s="160"/>
      <c r="V1048" s="160"/>
      <c r="W1048" s="160"/>
      <c r="X1048" s="160"/>
      <c r="Y1048" s="160"/>
      <c r="Z1048" s="160"/>
      <c r="AA1048" s="160"/>
      <c r="AB1048" s="160"/>
    </row>
    <row r="1049">
      <c r="A1049" s="176"/>
      <c r="B1049" s="66"/>
      <c r="C1049" s="181" t="s">
        <v>1609</v>
      </c>
      <c r="D1049" s="101"/>
      <c r="E1049" s="150"/>
      <c r="F1049" s="215"/>
      <c r="G1049" s="128"/>
      <c r="H1049" s="39"/>
      <c r="I1049" s="39"/>
      <c r="J1049" s="61"/>
      <c r="K1049" s="8"/>
      <c r="L1049" s="8"/>
      <c r="M1049" s="8"/>
      <c r="N1049" s="8"/>
      <c r="O1049" s="8"/>
      <c r="P1049" s="160"/>
      <c r="Q1049" s="160"/>
      <c r="R1049" s="160"/>
      <c r="S1049" s="160"/>
      <c r="T1049" s="160"/>
      <c r="U1049" s="160"/>
      <c r="V1049" s="160"/>
      <c r="W1049" s="160"/>
      <c r="X1049" s="160"/>
      <c r="Y1049" s="160"/>
      <c r="Z1049" s="160"/>
      <c r="AA1049" s="160"/>
      <c r="AB1049" s="160"/>
    </row>
    <row r="1050">
      <c r="A1050" s="176"/>
      <c r="B1050" s="67"/>
      <c r="C1050" s="181" t="s">
        <v>1609</v>
      </c>
      <c r="D1050" s="101"/>
      <c r="E1050" s="61"/>
      <c r="F1050" s="61"/>
      <c r="G1050" s="128"/>
      <c r="H1050" s="39"/>
      <c r="I1050" s="39"/>
      <c r="J1050" s="61"/>
      <c r="K1050" s="8"/>
      <c r="L1050" s="8"/>
      <c r="M1050" s="8"/>
      <c r="N1050" s="8"/>
      <c r="O1050" s="8"/>
      <c r="P1050" s="160"/>
      <c r="Q1050" s="160"/>
      <c r="R1050" s="160"/>
      <c r="S1050" s="160"/>
      <c r="T1050" s="160"/>
      <c r="U1050" s="160"/>
      <c r="V1050" s="160"/>
      <c r="W1050" s="160"/>
      <c r="X1050" s="160"/>
      <c r="Y1050" s="160"/>
      <c r="Z1050" s="160"/>
      <c r="AA1050" s="160"/>
      <c r="AB1050" s="160"/>
    </row>
    <row r="1051">
      <c r="A1051" s="176"/>
      <c r="B1051" s="179"/>
      <c r="C1051" s="184">
        <v>44522.0</v>
      </c>
      <c r="D1051" s="101"/>
      <c r="E1051" s="61"/>
      <c r="F1051" s="61"/>
      <c r="G1051" s="128"/>
      <c r="H1051" s="39"/>
      <c r="I1051" s="39"/>
      <c r="J1051" s="61"/>
      <c r="K1051" s="8"/>
      <c r="L1051" s="8"/>
      <c r="M1051" s="8"/>
      <c r="N1051" s="8"/>
      <c r="O1051" s="8"/>
      <c r="P1051" s="160"/>
      <c r="Q1051" s="160"/>
      <c r="R1051" s="160"/>
      <c r="S1051" s="160"/>
      <c r="T1051" s="160"/>
      <c r="U1051" s="160"/>
      <c r="V1051" s="160"/>
      <c r="W1051" s="160"/>
      <c r="X1051" s="160"/>
      <c r="Y1051" s="160"/>
      <c r="Z1051" s="160"/>
      <c r="AA1051" s="160"/>
      <c r="AB1051" s="160"/>
    </row>
    <row r="1052">
      <c r="A1052" s="176"/>
      <c r="B1052" s="185" t="s">
        <v>1450</v>
      </c>
      <c r="C1052" s="181" t="s">
        <v>1609</v>
      </c>
      <c r="D1052" s="101"/>
      <c r="E1052" s="204" t="s">
        <v>1830</v>
      </c>
      <c r="F1052" s="204"/>
      <c r="G1052" s="128"/>
      <c r="H1052" s="39"/>
      <c r="I1052" s="39"/>
      <c r="J1052" s="61"/>
      <c r="K1052" s="8"/>
      <c r="L1052" s="8"/>
      <c r="M1052" s="8"/>
      <c r="N1052" s="8"/>
      <c r="O1052" s="8"/>
      <c r="P1052" s="160"/>
      <c r="Q1052" s="160"/>
      <c r="R1052" s="160"/>
      <c r="S1052" s="160"/>
      <c r="T1052" s="160"/>
      <c r="U1052" s="160"/>
      <c r="V1052" s="160"/>
      <c r="W1052" s="160"/>
      <c r="X1052" s="160"/>
      <c r="Y1052" s="160"/>
      <c r="Z1052" s="160"/>
      <c r="AA1052" s="160"/>
      <c r="AB1052" s="160"/>
    </row>
    <row r="1053">
      <c r="A1053" s="176"/>
      <c r="B1053" s="66"/>
      <c r="C1053" s="181" t="s">
        <v>1609</v>
      </c>
      <c r="D1053" s="27" t="s">
        <v>1971</v>
      </c>
      <c r="E1053" s="122" t="s">
        <v>1987</v>
      </c>
      <c r="F1053" s="122" t="s">
        <v>1988</v>
      </c>
      <c r="G1053" s="22">
        <v>0.4583333333333333</v>
      </c>
      <c r="H1053" s="18" t="s">
        <v>443</v>
      </c>
      <c r="I1053" s="18" t="s">
        <v>1989</v>
      </c>
      <c r="J1053" s="122" t="s">
        <v>1990</v>
      </c>
      <c r="K1053" s="8"/>
      <c r="L1053" s="8"/>
      <c r="M1053" s="8"/>
      <c r="N1053" s="8"/>
      <c r="O1053" s="8"/>
      <c r="P1053" s="160"/>
      <c r="Q1053" s="160"/>
      <c r="R1053" s="160"/>
      <c r="S1053" s="160"/>
      <c r="T1053" s="160"/>
      <c r="U1053" s="160"/>
      <c r="V1053" s="160"/>
      <c r="W1053" s="160"/>
      <c r="X1053" s="160"/>
      <c r="Y1053" s="160"/>
      <c r="Z1053" s="160"/>
      <c r="AA1053" s="160"/>
      <c r="AB1053" s="160"/>
    </row>
    <row r="1054">
      <c r="A1054" s="176"/>
      <c r="B1054" s="66"/>
      <c r="C1054" s="181" t="s">
        <v>1609</v>
      </c>
      <c r="D1054" s="27" t="s">
        <v>1715</v>
      </c>
      <c r="E1054" s="62" t="s">
        <v>1991</v>
      </c>
      <c r="F1054" s="62" t="s">
        <v>1992</v>
      </c>
      <c r="G1054" s="22">
        <v>0.5416666666666666</v>
      </c>
      <c r="H1054" s="114" t="s">
        <v>1993</v>
      </c>
      <c r="I1054" s="18" t="s">
        <v>1994</v>
      </c>
      <c r="J1054" s="75" t="s">
        <v>1995</v>
      </c>
      <c r="K1054" s="8"/>
      <c r="L1054" s="8"/>
      <c r="M1054" s="8"/>
      <c r="N1054" s="8"/>
      <c r="O1054" s="8"/>
      <c r="P1054" s="160"/>
      <c r="Q1054" s="160"/>
      <c r="R1054" s="160"/>
      <c r="S1054" s="160"/>
      <c r="T1054" s="160"/>
      <c r="U1054" s="160"/>
      <c r="V1054" s="160"/>
      <c r="W1054" s="160"/>
      <c r="X1054" s="160"/>
      <c r="Y1054" s="160"/>
      <c r="Z1054" s="160"/>
      <c r="AA1054" s="160"/>
      <c r="AB1054" s="160"/>
    </row>
    <row r="1055">
      <c r="A1055" s="176"/>
      <c r="B1055" s="66"/>
      <c r="C1055" s="181" t="s">
        <v>1609</v>
      </c>
      <c r="D1055" s="27" t="s">
        <v>1715</v>
      </c>
      <c r="E1055" s="162" t="s">
        <v>1996</v>
      </c>
      <c r="F1055" s="162" t="s">
        <v>1997</v>
      </c>
      <c r="G1055" s="76" t="s">
        <v>298</v>
      </c>
      <c r="H1055" s="114" t="s">
        <v>1998</v>
      </c>
      <c r="I1055" s="18" t="s">
        <v>1999</v>
      </c>
      <c r="J1055" s="75" t="s">
        <v>2000</v>
      </c>
      <c r="K1055" s="8"/>
      <c r="L1055" s="8"/>
      <c r="M1055" s="8"/>
      <c r="N1055" s="8"/>
      <c r="O1055" s="8"/>
      <c r="P1055" s="160"/>
      <c r="Q1055" s="160"/>
      <c r="R1055" s="160"/>
      <c r="S1055" s="160"/>
      <c r="T1055" s="160"/>
      <c r="U1055" s="160"/>
      <c r="V1055" s="160"/>
      <c r="W1055" s="160"/>
      <c r="X1055" s="160"/>
      <c r="Y1055" s="160"/>
      <c r="Z1055" s="160"/>
      <c r="AA1055" s="160"/>
      <c r="AB1055" s="160"/>
    </row>
    <row r="1056">
      <c r="A1056" s="176"/>
      <c r="B1056" s="66"/>
      <c r="C1056" s="181" t="s">
        <v>1609</v>
      </c>
      <c r="D1056" s="101"/>
      <c r="E1056" s="61"/>
      <c r="F1056" s="61"/>
      <c r="G1056" s="128"/>
      <c r="H1056" s="39"/>
      <c r="I1056" s="39"/>
      <c r="J1056" s="61"/>
      <c r="K1056" s="8"/>
      <c r="L1056" s="8"/>
      <c r="M1056" s="8"/>
      <c r="N1056" s="8"/>
      <c r="O1056" s="8"/>
      <c r="P1056" s="160"/>
      <c r="Q1056" s="160"/>
      <c r="R1056" s="160"/>
      <c r="S1056" s="160"/>
      <c r="T1056" s="160"/>
      <c r="U1056" s="160"/>
      <c r="V1056" s="160"/>
      <c r="W1056" s="160"/>
      <c r="X1056" s="160"/>
      <c r="Y1056" s="160"/>
      <c r="Z1056" s="160"/>
      <c r="AA1056" s="160"/>
      <c r="AB1056" s="160"/>
    </row>
    <row r="1057">
      <c r="A1057" s="176"/>
      <c r="B1057" s="67"/>
      <c r="C1057" s="181" t="s">
        <v>1609</v>
      </c>
      <c r="D1057" s="101"/>
      <c r="E1057" s="61"/>
      <c r="F1057" s="61"/>
      <c r="G1057" s="128"/>
      <c r="H1057" s="39"/>
      <c r="I1057" s="39"/>
      <c r="J1057" s="61"/>
      <c r="K1057" s="8"/>
      <c r="L1057" s="8"/>
      <c r="M1057" s="8"/>
      <c r="N1057" s="8"/>
      <c r="O1057" s="8"/>
      <c r="P1057" s="160"/>
      <c r="Q1057" s="160"/>
      <c r="R1057" s="160"/>
      <c r="S1057" s="160"/>
      <c r="T1057" s="160"/>
      <c r="U1057" s="160"/>
      <c r="V1057" s="160"/>
      <c r="W1057" s="160"/>
      <c r="X1057" s="160"/>
      <c r="Y1057" s="160"/>
      <c r="Z1057" s="160"/>
      <c r="AA1057" s="160"/>
      <c r="AB1057" s="160"/>
    </row>
    <row r="1058">
      <c r="A1058" s="176"/>
      <c r="B1058" s="179"/>
      <c r="C1058" s="184">
        <v>44523.0</v>
      </c>
      <c r="D1058" s="101"/>
      <c r="E1058" s="61"/>
      <c r="F1058" s="204" t="s">
        <v>2001</v>
      </c>
      <c r="G1058" s="128"/>
      <c r="H1058" s="39"/>
      <c r="I1058" s="39"/>
      <c r="J1058" s="61"/>
      <c r="K1058" s="8"/>
      <c r="L1058" s="8"/>
      <c r="M1058" s="8"/>
      <c r="N1058" s="8"/>
      <c r="O1058" s="8"/>
      <c r="P1058" s="160"/>
      <c r="Q1058" s="160"/>
      <c r="R1058" s="160"/>
      <c r="S1058" s="160"/>
      <c r="T1058" s="160"/>
      <c r="U1058" s="160"/>
      <c r="V1058" s="160"/>
      <c r="W1058" s="160"/>
      <c r="X1058" s="160"/>
      <c r="Y1058" s="160"/>
      <c r="Z1058" s="160"/>
      <c r="AA1058" s="160"/>
      <c r="AB1058" s="160"/>
    </row>
    <row r="1059">
      <c r="A1059" s="176"/>
      <c r="B1059" s="185" t="s">
        <v>1450</v>
      </c>
      <c r="C1059" s="181" t="s">
        <v>1609</v>
      </c>
      <c r="D1059" s="101"/>
      <c r="E1059" s="200" t="s">
        <v>1830</v>
      </c>
      <c r="F1059" s="11"/>
      <c r="G1059" s="128"/>
      <c r="H1059" s="39"/>
      <c r="I1059" s="39"/>
      <c r="J1059" s="61"/>
      <c r="K1059" s="8"/>
      <c r="L1059" s="8"/>
      <c r="M1059" s="8"/>
      <c r="N1059" s="8"/>
      <c r="O1059" s="8"/>
      <c r="P1059" s="160"/>
      <c r="Q1059" s="160"/>
      <c r="R1059" s="160"/>
      <c r="S1059" s="160"/>
      <c r="T1059" s="160"/>
      <c r="U1059" s="160"/>
      <c r="V1059" s="160"/>
      <c r="W1059" s="160"/>
      <c r="X1059" s="160"/>
      <c r="Y1059" s="160"/>
      <c r="Z1059" s="160"/>
      <c r="AA1059" s="160"/>
      <c r="AB1059" s="160"/>
    </row>
    <row r="1060">
      <c r="A1060" s="176"/>
      <c r="B1060" s="66"/>
      <c r="C1060" s="181" t="s">
        <v>1609</v>
      </c>
      <c r="D1060" s="48" t="s">
        <v>1971</v>
      </c>
      <c r="E1060" s="42" t="s">
        <v>198</v>
      </c>
      <c r="F1060" s="42" t="s">
        <v>199</v>
      </c>
      <c r="G1060" s="43">
        <v>0.5625</v>
      </c>
      <c r="H1060" s="44" t="s">
        <v>443</v>
      </c>
      <c r="I1060" s="44" t="s">
        <v>2002</v>
      </c>
      <c r="J1060" s="42" t="s">
        <v>201</v>
      </c>
      <c r="K1060" s="39" t="s">
        <v>2003</v>
      </c>
      <c r="L1060" s="8"/>
      <c r="M1060" s="8"/>
      <c r="N1060" s="8"/>
      <c r="O1060" s="8"/>
      <c r="P1060" s="160"/>
      <c r="Q1060" s="160"/>
      <c r="R1060" s="160"/>
      <c r="S1060" s="160"/>
      <c r="T1060" s="160"/>
      <c r="U1060" s="160"/>
      <c r="V1060" s="160"/>
      <c r="W1060" s="160"/>
      <c r="X1060" s="160"/>
      <c r="Y1060" s="160"/>
      <c r="Z1060" s="160"/>
      <c r="AA1060" s="160"/>
      <c r="AB1060" s="160"/>
    </row>
    <row r="1061">
      <c r="A1061" s="176"/>
      <c r="B1061" s="66"/>
      <c r="C1061" s="181" t="s">
        <v>1609</v>
      </c>
      <c r="D1061" s="48" t="s">
        <v>1715</v>
      </c>
      <c r="E1061" s="155" t="s">
        <v>2004</v>
      </c>
      <c r="F1061" s="155" t="s">
        <v>2005</v>
      </c>
      <c r="G1061" s="43">
        <v>0.5416666666666666</v>
      </c>
      <c r="H1061" s="201" t="s">
        <v>2006</v>
      </c>
      <c r="I1061" s="44" t="s">
        <v>2007</v>
      </c>
      <c r="J1061" s="202" t="s">
        <v>2008</v>
      </c>
      <c r="K1061" s="39" t="s">
        <v>2009</v>
      </c>
      <c r="L1061" s="8"/>
      <c r="M1061" s="8"/>
      <c r="N1061" s="8"/>
      <c r="O1061" s="8"/>
      <c r="P1061" s="160"/>
      <c r="Q1061" s="160"/>
      <c r="R1061" s="160"/>
      <c r="S1061" s="160"/>
      <c r="T1061" s="160"/>
      <c r="U1061" s="160"/>
      <c r="V1061" s="160"/>
      <c r="W1061" s="160"/>
      <c r="X1061" s="160"/>
      <c r="Y1061" s="160"/>
      <c r="Z1061" s="160"/>
      <c r="AA1061" s="160"/>
      <c r="AB1061" s="160"/>
    </row>
    <row r="1062">
      <c r="A1062" s="176"/>
      <c r="B1062" s="66"/>
      <c r="C1062" s="181"/>
      <c r="D1062" s="48" t="s">
        <v>1715</v>
      </c>
      <c r="E1062" s="155" t="s">
        <v>2010</v>
      </c>
      <c r="F1062" s="155" t="s">
        <v>2011</v>
      </c>
      <c r="G1062" s="70" t="s">
        <v>366</v>
      </c>
      <c r="H1062" s="201" t="s">
        <v>2012</v>
      </c>
      <c r="I1062" s="44" t="s">
        <v>2013</v>
      </c>
      <c r="J1062" s="202" t="s">
        <v>2014</v>
      </c>
      <c r="K1062" s="39" t="s">
        <v>2015</v>
      </c>
      <c r="L1062" s="8"/>
      <c r="M1062" s="8"/>
      <c r="N1062" s="8"/>
      <c r="O1062" s="8"/>
      <c r="P1062" s="160"/>
      <c r="Q1062" s="160"/>
      <c r="R1062" s="160"/>
      <c r="S1062" s="160"/>
      <c r="T1062" s="160"/>
      <c r="U1062" s="160"/>
      <c r="V1062" s="160"/>
      <c r="W1062" s="160"/>
      <c r="X1062" s="160"/>
      <c r="Y1062" s="160"/>
      <c r="Z1062" s="160"/>
      <c r="AA1062" s="160"/>
      <c r="AB1062" s="160"/>
    </row>
    <row r="1063">
      <c r="A1063" s="176"/>
      <c r="B1063" s="66"/>
      <c r="C1063" s="181" t="s">
        <v>1609</v>
      </c>
      <c r="D1063" s="48" t="s">
        <v>1971</v>
      </c>
      <c r="E1063" s="42" t="s">
        <v>837</v>
      </c>
      <c r="F1063" s="42" t="s">
        <v>838</v>
      </c>
      <c r="G1063" s="43">
        <v>0.6041666666666666</v>
      </c>
      <c r="H1063" s="44" t="s">
        <v>615</v>
      </c>
      <c r="I1063" s="44" t="s">
        <v>2016</v>
      </c>
      <c r="J1063" s="44" t="s">
        <v>2017</v>
      </c>
      <c r="K1063" s="39" t="s">
        <v>2018</v>
      </c>
      <c r="L1063" s="8"/>
      <c r="M1063" s="8"/>
      <c r="N1063" s="8"/>
      <c r="O1063" s="8"/>
      <c r="P1063" s="160"/>
      <c r="Q1063" s="160"/>
      <c r="R1063" s="160"/>
      <c r="S1063" s="160"/>
      <c r="T1063" s="160"/>
      <c r="U1063" s="160"/>
      <c r="V1063" s="160"/>
      <c r="W1063" s="160"/>
      <c r="X1063" s="160"/>
      <c r="Y1063" s="160"/>
      <c r="Z1063" s="160"/>
      <c r="AA1063" s="160"/>
      <c r="AB1063" s="160"/>
    </row>
    <row r="1064">
      <c r="A1064" s="176"/>
      <c r="B1064" s="66"/>
      <c r="C1064" s="181"/>
      <c r="D1064" s="27" t="s">
        <v>819</v>
      </c>
      <c r="E1064" s="162" t="s">
        <v>2019</v>
      </c>
      <c r="F1064" s="162" t="s">
        <v>2020</v>
      </c>
      <c r="G1064" s="22">
        <v>0.5208333333333334</v>
      </c>
      <c r="H1064" s="18" t="s">
        <v>443</v>
      </c>
      <c r="I1064" s="18" t="s">
        <v>2021</v>
      </c>
      <c r="J1064" s="162" t="s">
        <v>2022</v>
      </c>
      <c r="K1064" s="39"/>
      <c r="L1064" s="8"/>
      <c r="M1064" s="8"/>
      <c r="N1064" s="8"/>
      <c r="O1064" s="8"/>
      <c r="P1064" s="160"/>
      <c r="Q1064" s="160"/>
      <c r="R1064" s="160"/>
      <c r="S1064" s="160"/>
      <c r="T1064" s="160"/>
      <c r="U1064" s="160"/>
      <c r="V1064" s="160"/>
      <c r="W1064" s="160"/>
      <c r="X1064" s="160"/>
      <c r="Y1064" s="160"/>
      <c r="Z1064" s="160"/>
      <c r="AA1064" s="160"/>
      <c r="AB1064" s="160"/>
    </row>
    <row r="1065">
      <c r="A1065" s="176"/>
      <c r="B1065" s="66"/>
      <c r="C1065" s="181" t="s">
        <v>1609</v>
      </c>
      <c r="D1065" s="27" t="s">
        <v>1971</v>
      </c>
      <c r="E1065" s="62" t="s">
        <v>1566</v>
      </c>
      <c r="F1065" s="62" t="s">
        <v>1567</v>
      </c>
      <c r="G1065" s="22">
        <v>0.6458333333333334</v>
      </c>
      <c r="H1065" s="18" t="s">
        <v>443</v>
      </c>
      <c r="I1065" s="18" t="s">
        <v>2023</v>
      </c>
      <c r="J1065" s="62" t="s">
        <v>1570</v>
      </c>
      <c r="K1065" s="39" t="s">
        <v>1096</v>
      </c>
      <c r="L1065" s="8"/>
      <c r="M1065" s="8"/>
      <c r="N1065" s="8"/>
      <c r="O1065" s="8"/>
      <c r="P1065" s="160"/>
      <c r="Q1065" s="160"/>
      <c r="R1065" s="160"/>
      <c r="S1065" s="160"/>
      <c r="T1065" s="160"/>
      <c r="U1065" s="160"/>
      <c r="V1065" s="160"/>
      <c r="W1065" s="160"/>
      <c r="X1065" s="160"/>
      <c r="Y1065" s="160"/>
      <c r="Z1065" s="160"/>
      <c r="AA1065" s="160"/>
      <c r="AB1065" s="160"/>
    </row>
    <row r="1066">
      <c r="A1066" s="176"/>
      <c r="B1066" s="66"/>
      <c r="C1066" s="181" t="s">
        <v>1609</v>
      </c>
      <c r="G1066" s="151"/>
      <c r="I1066" s="6"/>
      <c r="J1066" s="6"/>
      <c r="K1066" s="8"/>
      <c r="L1066" s="8"/>
      <c r="M1066" s="8"/>
      <c r="N1066" s="8"/>
      <c r="O1066" s="8"/>
      <c r="P1066" s="160"/>
      <c r="Q1066" s="160"/>
      <c r="R1066" s="160"/>
      <c r="S1066" s="160"/>
      <c r="T1066" s="160"/>
      <c r="U1066" s="160"/>
      <c r="V1066" s="160"/>
      <c r="W1066" s="160"/>
      <c r="X1066" s="160"/>
      <c r="Y1066" s="160"/>
      <c r="Z1066" s="160"/>
      <c r="AA1066" s="160"/>
      <c r="AB1066" s="160"/>
    </row>
    <row r="1067">
      <c r="A1067" s="176"/>
      <c r="B1067" s="67"/>
      <c r="C1067" s="181" t="s">
        <v>1609</v>
      </c>
      <c r="D1067" s="101"/>
      <c r="E1067" s="61"/>
      <c r="F1067" s="61"/>
      <c r="G1067" s="128"/>
      <c r="H1067" s="39"/>
      <c r="I1067" s="39"/>
      <c r="J1067" s="61"/>
      <c r="K1067" s="8"/>
      <c r="L1067" s="8"/>
      <c r="M1067" s="8"/>
      <c r="N1067" s="8"/>
      <c r="O1067" s="8"/>
      <c r="P1067" s="160"/>
      <c r="Q1067" s="160"/>
      <c r="R1067" s="160"/>
      <c r="S1067" s="160"/>
      <c r="T1067" s="160"/>
      <c r="U1067" s="160"/>
      <c r="V1067" s="160"/>
      <c r="W1067" s="160"/>
      <c r="X1067" s="160"/>
      <c r="Y1067" s="160"/>
      <c r="Z1067" s="160"/>
      <c r="AA1067" s="160"/>
      <c r="AB1067" s="160"/>
    </row>
    <row r="1068">
      <c r="A1068" s="176"/>
      <c r="B1068" s="179"/>
      <c r="C1068" s="184">
        <v>44524.0</v>
      </c>
      <c r="D1068" s="101"/>
      <c r="E1068" s="61"/>
      <c r="F1068" s="61"/>
      <c r="G1068" s="128"/>
      <c r="H1068" s="39"/>
      <c r="I1068" s="39"/>
      <c r="J1068" s="61"/>
      <c r="K1068" s="8"/>
      <c r="L1068" s="8"/>
      <c r="M1068" s="8"/>
      <c r="N1068" s="8"/>
      <c r="O1068" s="8"/>
      <c r="P1068" s="160"/>
      <c r="Q1068" s="160"/>
      <c r="R1068" s="160"/>
      <c r="S1068" s="160"/>
      <c r="T1068" s="160"/>
      <c r="U1068" s="160"/>
      <c r="V1068" s="160"/>
      <c r="W1068" s="160"/>
      <c r="X1068" s="160"/>
      <c r="Y1068" s="160"/>
      <c r="Z1068" s="160"/>
      <c r="AA1068" s="160"/>
      <c r="AB1068" s="160"/>
    </row>
    <row r="1069">
      <c r="A1069" s="176"/>
      <c r="B1069" s="185" t="s">
        <v>1450</v>
      </c>
      <c r="C1069" s="181" t="s">
        <v>1609</v>
      </c>
      <c r="D1069" s="101"/>
      <c r="E1069" s="61"/>
      <c r="F1069" s="200" t="s">
        <v>1830</v>
      </c>
      <c r="G1069" s="11"/>
      <c r="H1069" s="39"/>
      <c r="I1069" s="39"/>
      <c r="J1069" s="61"/>
      <c r="K1069" s="8"/>
      <c r="L1069" s="8"/>
      <c r="M1069" s="8"/>
      <c r="N1069" s="8"/>
      <c r="O1069" s="8"/>
      <c r="P1069" s="160"/>
      <c r="Q1069" s="160"/>
      <c r="R1069" s="160"/>
      <c r="S1069" s="160"/>
      <c r="T1069" s="160"/>
      <c r="U1069" s="160"/>
      <c r="V1069" s="160"/>
      <c r="W1069" s="160"/>
      <c r="X1069" s="160"/>
      <c r="Y1069" s="160"/>
      <c r="Z1069" s="160"/>
      <c r="AA1069" s="160"/>
      <c r="AB1069" s="160"/>
    </row>
    <row r="1070">
      <c r="A1070" s="176"/>
      <c r="B1070" s="66"/>
      <c r="C1070" s="181" t="s">
        <v>1609</v>
      </c>
      <c r="D1070" s="27" t="s">
        <v>1791</v>
      </c>
      <c r="E1070" s="62" t="s">
        <v>2024</v>
      </c>
      <c r="F1070" s="62" t="s">
        <v>2025</v>
      </c>
      <c r="G1070" s="22">
        <v>0.4583333333333333</v>
      </c>
      <c r="H1070" s="18" t="s">
        <v>1968</v>
      </c>
      <c r="I1070" s="18" t="s">
        <v>2026</v>
      </c>
      <c r="J1070" s="62" t="s">
        <v>2027</v>
      </c>
      <c r="K1070" s="8"/>
      <c r="L1070" s="8"/>
      <c r="M1070" s="8"/>
      <c r="N1070" s="8"/>
      <c r="O1070" s="8"/>
      <c r="P1070" s="160"/>
      <c r="Q1070" s="160"/>
      <c r="R1070" s="160"/>
      <c r="S1070" s="160"/>
      <c r="T1070" s="160"/>
      <c r="U1070" s="160"/>
      <c r="V1070" s="160"/>
      <c r="W1070" s="160"/>
      <c r="X1070" s="160"/>
      <c r="Y1070" s="160"/>
      <c r="Z1070" s="160"/>
      <c r="AA1070" s="160"/>
      <c r="AB1070" s="160"/>
    </row>
    <row r="1071">
      <c r="A1071" s="176"/>
      <c r="B1071" s="66"/>
      <c r="C1071" s="181" t="s">
        <v>1609</v>
      </c>
      <c r="D1071" s="27" t="s">
        <v>819</v>
      </c>
      <c r="E1071" s="162" t="s">
        <v>2028</v>
      </c>
      <c r="F1071" s="162" t="s">
        <v>2029</v>
      </c>
      <c r="G1071" s="22">
        <v>0.5416666666666666</v>
      </c>
      <c r="H1071" s="18" t="s">
        <v>553</v>
      </c>
      <c r="I1071" s="18" t="s">
        <v>2030</v>
      </c>
      <c r="J1071" s="162" t="s">
        <v>2031</v>
      </c>
      <c r="K1071" s="8"/>
      <c r="L1071" s="8"/>
      <c r="M1071" s="8"/>
      <c r="N1071" s="8"/>
      <c r="O1071" s="8"/>
      <c r="P1071" s="160"/>
      <c r="Q1071" s="160"/>
      <c r="R1071" s="160"/>
      <c r="S1071" s="160"/>
      <c r="T1071" s="160"/>
      <c r="U1071" s="160"/>
      <c r="V1071" s="160"/>
      <c r="W1071" s="160"/>
      <c r="X1071" s="160"/>
      <c r="Y1071" s="160"/>
      <c r="Z1071" s="160"/>
      <c r="AA1071" s="160"/>
      <c r="AB1071" s="160"/>
    </row>
    <row r="1072">
      <c r="A1072" s="176"/>
      <c r="B1072" s="66"/>
      <c r="C1072" s="181" t="s">
        <v>1609</v>
      </c>
      <c r="D1072" s="48" t="s">
        <v>1791</v>
      </c>
      <c r="E1072" s="73" t="s">
        <v>2032</v>
      </c>
      <c r="F1072" s="73" t="s">
        <v>2033</v>
      </c>
      <c r="G1072" s="43">
        <v>0.5416666666666666</v>
      </c>
      <c r="H1072" s="44" t="s">
        <v>2034</v>
      </c>
      <c r="I1072" s="44" t="s">
        <v>2035</v>
      </c>
      <c r="J1072" s="73" t="s">
        <v>2036</v>
      </c>
      <c r="K1072" s="39" t="s">
        <v>2037</v>
      </c>
      <c r="L1072" s="8"/>
      <c r="M1072" s="8"/>
      <c r="N1072" s="8"/>
      <c r="O1072" s="8"/>
      <c r="P1072" s="160"/>
      <c r="Q1072" s="160"/>
      <c r="R1072" s="160"/>
      <c r="S1072" s="160"/>
      <c r="T1072" s="160"/>
      <c r="U1072" s="160"/>
      <c r="V1072" s="160"/>
      <c r="W1072" s="160"/>
      <c r="X1072" s="160"/>
      <c r="Y1072" s="160"/>
      <c r="Z1072" s="160"/>
      <c r="AA1072" s="160"/>
      <c r="AB1072" s="160"/>
    </row>
    <row r="1073">
      <c r="A1073" s="176"/>
      <c r="B1073" s="66"/>
      <c r="C1073" s="181" t="s">
        <v>1609</v>
      </c>
      <c r="D1073" s="48" t="s">
        <v>1715</v>
      </c>
      <c r="E1073" s="155" t="s">
        <v>2038</v>
      </c>
      <c r="F1073" s="155" t="s">
        <v>2039</v>
      </c>
      <c r="G1073" s="43">
        <v>0.625</v>
      </c>
      <c r="H1073" s="201" t="s">
        <v>2040</v>
      </c>
      <c r="I1073" s="44" t="s">
        <v>2041</v>
      </c>
      <c r="J1073" s="202" t="s">
        <v>2042</v>
      </c>
      <c r="K1073" s="192" t="s">
        <v>2043</v>
      </c>
      <c r="L1073" s="8"/>
      <c r="M1073" s="8"/>
      <c r="N1073" s="8"/>
      <c r="O1073" s="8"/>
      <c r="P1073" s="160"/>
      <c r="Q1073" s="160"/>
      <c r="R1073" s="160"/>
      <c r="S1073" s="160"/>
      <c r="T1073" s="160"/>
      <c r="U1073" s="160"/>
      <c r="V1073" s="160"/>
      <c r="W1073" s="160"/>
      <c r="X1073" s="160"/>
      <c r="Y1073" s="160"/>
      <c r="Z1073" s="160"/>
      <c r="AA1073" s="160"/>
      <c r="AB1073" s="160"/>
    </row>
    <row r="1074">
      <c r="A1074" s="176"/>
      <c r="B1074" s="66"/>
      <c r="C1074" s="181" t="s">
        <v>1609</v>
      </c>
      <c r="D1074" s="101"/>
      <c r="E1074" s="61"/>
      <c r="F1074" s="61"/>
      <c r="G1074" s="128"/>
      <c r="H1074" s="39"/>
      <c r="I1074" s="39"/>
      <c r="J1074" s="61"/>
      <c r="K1074" s="8"/>
      <c r="L1074" s="8"/>
      <c r="M1074" s="8"/>
      <c r="N1074" s="8"/>
      <c r="O1074" s="8"/>
      <c r="P1074" s="160"/>
      <c r="Q1074" s="160"/>
      <c r="R1074" s="160"/>
      <c r="S1074" s="160"/>
      <c r="T1074" s="160"/>
      <c r="U1074" s="160"/>
      <c r="V1074" s="160"/>
      <c r="W1074" s="160"/>
      <c r="X1074" s="160"/>
      <c r="Y1074" s="160"/>
      <c r="Z1074" s="160"/>
      <c r="AA1074" s="160"/>
      <c r="AB1074" s="160"/>
    </row>
    <row r="1075">
      <c r="A1075" s="176"/>
      <c r="B1075" s="67"/>
      <c r="C1075" s="181" t="s">
        <v>1609</v>
      </c>
      <c r="D1075" s="101"/>
      <c r="E1075" s="61"/>
      <c r="F1075" s="61"/>
      <c r="G1075" s="128"/>
      <c r="H1075" s="39"/>
      <c r="I1075" s="39"/>
      <c r="J1075" s="61"/>
      <c r="K1075" s="8"/>
      <c r="L1075" s="8"/>
      <c r="M1075" s="8"/>
      <c r="N1075" s="8"/>
      <c r="O1075" s="8"/>
      <c r="P1075" s="160"/>
      <c r="Q1075" s="160"/>
      <c r="R1075" s="160"/>
      <c r="S1075" s="160"/>
      <c r="T1075" s="160"/>
      <c r="U1075" s="160"/>
      <c r="V1075" s="160"/>
      <c r="W1075" s="160"/>
      <c r="X1075" s="160"/>
      <c r="Y1075" s="160"/>
      <c r="Z1075" s="160"/>
      <c r="AA1075" s="160"/>
      <c r="AB1075" s="160"/>
    </row>
    <row r="1076">
      <c r="A1076" s="176"/>
      <c r="B1076" s="179"/>
      <c r="C1076" s="184">
        <v>44525.0</v>
      </c>
      <c r="D1076" s="101"/>
      <c r="E1076" s="61"/>
      <c r="F1076" s="61"/>
      <c r="G1076" s="128"/>
      <c r="H1076" s="39"/>
      <c r="I1076" s="39"/>
      <c r="J1076" s="61"/>
      <c r="K1076" s="8"/>
      <c r="L1076" s="8"/>
      <c r="M1076" s="8"/>
      <c r="N1076" s="8"/>
      <c r="O1076" s="8"/>
      <c r="P1076" s="160"/>
      <c r="Q1076" s="160"/>
      <c r="R1076" s="160"/>
      <c r="S1076" s="160"/>
      <c r="T1076" s="160"/>
      <c r="U1076" s="160"/>
      <c r="V1076" s="160"/>
      <c r="W1076" s="160"/>
      <c r="X1076" s="160"/>
      <c r="Y1076" s="160"/>
      <c r="Z1076" s="160"/>
      <c r="AA1076" s="160"/>
      <c r="AB1076" s="160"/>
    </row>
    <row r="1077">
      <c r="A1077" s="176"/>
      <c r="B1077" s="185" t="s">
        <v>1450</v>
      </c>
      <c r="C1077" s="181" t="s">
        <v>1609</v>
      </c>
      <c r="D1077" s="101"/>
      <c r="E1077" s="61"/>
      <c r="F1077" s="61"/>
      <c r="G1077" s="128"/>
      <c r="H1077" s="39"/>
      <c r="I1077" s="39"/>
      <c r="J1077" s="61"/>
      <c r="K1077" s="8"/>
      <c r="L1077" s="8"/>
      <c r="M1077" s="8"/>
      <c r="N1077" s="8"/>
      <c r="O1077" s="8"/>
      <c r="P1077" s="160"/>
      <c r="Q1077" s="160"/>
      <c r="R1077" s="160"/>
      <c r="S1077" s="160"/>
      <c r="T1077" s="160"/>
      <c r="U1077" s="160"/>
      <c r="V1077" s="160"/>
      <c r="W1077" s="160"/>
      <c r="X1077" s="160"/>
      <c r="Y1077" s="160"/>
      <c r="Z1077" s="160"/>
      <c r="AA1077" s="160"/>
      <c r="AB1077" s="160"/>
    </row>
    <row r="1078">
      <c r="A1078" s="176"/>
      <c r="B1078" s="66"/>
      <c r="C1078" s="181" t="s">
        <v>1609</v>
      </c>
      <c r="D1078" s="101"/>
      <c r="E1078" s="178" t="s">
        <v>1708</v>
      </c>
      <c r="F1078" s="52"/>
      <c r="G1078" s="128"/>
      <c r="H1078" s="39"/>
      <c r="I1078" s="39"/>
      <c r="J1078" s="61"/>
      <c r="K1078" s="8"/>
      <c r="L1078" s="8"/>
      <c r="M1078" s="8"/>
      <c r="N1078" s="8"/>
      <c r="O1078" s="8"/>
      <c r="P1078" s="160"/>
      <c r="Q1078" s="160"/>
      <c r="R1078" s="160"/>
      <c r="S1078" s="160"/>
      <c r="T1078" s="160"/>
      <c r="U1078" s="160"/>
      <c r="V1078" s="160"/>
      <c r="W1078" s="160"/>
      <c r="X1078" s="160"/>
      <c r="Y1078" s="160"/>
      <c r="Z1078" s="160"/>
      <c r="AA1078" s="160"/>
      <c r="AB1078" s="160"/>
    </row>
    <row r="1079">
      <c r="A1079" s="176"/>
      <c r="B1079" s="66"/>
      <c r="C1079" s="181" t="s">
        <v>1609</v>
      </c>
      <c r="D1079" s="101"/>
      <c r="E1079" s="53"/>
      <c r="F1079" s="54"/>
      <c r="G1079" s="128"/>
      <c r="H1079" s="39"/>
      <c r="I1079" s="39"/>
      <c r="J1079" s="61"/>
      <c r="K1079" s="8"/>
      <c r="L1079" s="8"/>
      <c r="M1079" s="8"/>
      <c r="N1079" s="8"/>
      <c r="O1079" s="8"/>
      <c r="P1079" s="160"/>
      <c r="Q1079" s="160"/>
      <c r="R1079" s="160"/>
      <c r="S1079" s="160"/>
      <c r="T1079" s="160"/>
      <c r="U1079" s="160"/>
      <c r="V1079" s="160"/>
      <c r="W1079" s="160"/>
      <c r="X1079" s="160"/>
      <c r="Y1079" s="160"/>
      <c r="Z1079" s="160"/>
      <c r="AA1079" s="160"/>
      <c r="AB1079" s="160"/>
    </row>
    <row r="1080">
      <c r="A1080" s="176"/>
      <c r="B1080" s="66"/>
      <c r="C1080" s="181" t="s">
        <v>1609</v>
      </c>
      <c r="D1080" s="101"/>
      <c r="E1080" s="55"/>
      <c r="F1080" s="57"/>
      <c r="G1080" s="128"/>
      <c r="H1080" s="39"/>
      <c r="I1080" s="39"/>
      <c r="J1080" s="61"/>
      <c r="K1080" s="8"/>
      <c r="L1080" s="8"/>
      <c r="M1080" s="8"/>
      <c r="N1080" s="8"/>
      <c r="O1080" s="8"/>
      <c r="P1080" s="160"/>
      <c r="Q1080" s="160"/>
      <c r="R1080" s="160"/>
      <c r="S1080" s="160"/>
      <c r="T1080" s="160"/>
      <c r="U1080" s="160"/>
      <c r="V1080" s="160"/>
      <c r="W1080" s="160"/>
      <c r="X1080" s="160"/>
      <c r="Y1080" s="160"/>
      <c r="Z1080" s="160"/>
      <c r="AA1080" s="160"/>
      <c r="AB1080" s="160"/>
    </row>
    <row r="1081">
      <c r="A1081" s="176"/>
      <c r="B1081" s="66"/>
      <c r="C1081" s="181" t="s">
        <v>1609</v>
      </c>
      <c r="D1081" s="101"/>
      <c r="E1081" s="61"/>
      <c r="F1081" s="61"/>
      <c r="G1081" s="136"/>
      <c r="H1081" s="39"/>
      <c r="I1081" s="39"/>
      <c r="J1081" s="61"/>
      <c r="K1081" s="8"/>
      <c r="L1081" s="8"/>
      <c r="M1081" s="8"/>
      <c r="N1081" s="8"/>
      <c r="O1081" s="8"/>
      <c r="P1081" s="160"/>
      <c r="Q1081" s="160"/>
      <c r="R1081" s="160"/>
      <c r="S1081" s="160"/>
      <c r="T1081" s="160"/>
      <c r="U1081" s="160"/>
      <c r="V1081" s="160"/>
      <c r="W1081" s="160"/>
      <c r="X1081" s="160"/>
      <c r="Y1081" s="160"/>
      <c r="Z1081" s="160"/>
      <c r="AA1081" s="160"/>
      <c r="AB1081" s="160"/>
    </row>
    <row r="1082">
      <c r="A1082" s="176"/>
      <c r="B1082" s="67"/>
      <c r="C1082" s="181" t="s">
        <v>1609</v>
      </c>
      <c r="D1082" s="101"/>
      <c r="E1082" s="61"/>
      <c r="F1082" s="61"/>
      <c r="G1082" s="128"/>
      <c r="H1082" s="39"/>
      <c r="I1082" s="39"/>
      <c r="J1082" s="6"/>
      <c r="K1082" s="8"/>
      <c r="L1082" s="8"/>
      <c r="M1082" s="8"/>
      <c r="N1082" s="8"/>
      <c r="O1082" s="8"/>
      <c r="P1082" s="160"/>
      <c r="Q1082" s="160"/>
      <c r="R1082" s="160"/>
      <c r="S1082" s="160"/>
      <c r="T1082" s="160"/>
      <c r="U1082" s="160"/>
      <c r="V1082" s="160"/>
      <c r="W1082" s="160"/>
      <c r="X1082" s="160"/>
      <c r="Y1082" s="160"/>
      <c r="Z1082" s="160"/>
      <c r="AA1082" s="160"/>
      <c r="AB1082" s="160"/>
    </row>
    <row r="1083">
      <c r="A1083" s="176"/>
      <c r="B1083" s="179"/>
      <c r="C1083" s="184">
        <v>44526.0</v>
      </c>
      <c r="D1083" s="27" t="s">
        <v>1717</v>
      </c>
      <c r="E1083" s="162" t="s">
        <v>2044</v>
      </c>
      <c r="F1083" s="162" t="s">
        <v>2045</v>
      </c>
      <c r="G1083" s="22">
        <v>0.5625</v>
      </c>
      <c r="H1083" s="18" t="s">
        <v>2046</v>
      </c>
      <c r="I1083" s="18" t="s">
        <v>2047</v>
      </c>
      <c r="J1083" s="162" t="s">
        <v>390</v>
      </c>
      <c r="K1083" s="8"/>
      <c r="L1083" s="8"/>
      <c r="M1083" s="8"/>
      <c r="N1083" s="8"/>
      <c r="O1083" s="8"/>
      <c r="P1083" s="160"/>
      <c r="Q1083" s="160"/>
      <c r="R1083" s="160"/>
      <c r="S1083" s="160"/>
      <c r="T1083" s="160"/>
      <c r="U1083" s="160"/>
      <c r="V1083" s="160"/>
      <c r="W1083" s="160"/>
      <c r="X1083" s="160"/>
      <c r="Y1083" s="160"/>
      <c r="Z1083" s="160"/>
      <c r="AA1083" s="160"/>
      <c r="AB1083" s="160"/>
    </row>
    <row r="1084">
      <c r="A1084" s="176"/>
      <c r="B1084" s="216"/>
      <c r="C1084" s="217"/>
      <c r="D1084" s="27" t="s">
        <v>819</v>
      </c>
      <c r="E1084" s="62" t="s">
        <v>2048</v>
      </c>
      <c r="F1084" s="62" t="s">
        <v>2049</v>
      </c>
      <c r="G1084" s="22">
        <v>0.625</v>
      </c>
      <c r="H1084" s="18" t="s">
        <v>87</v>
      </c>
      <c r="I1084" s="18" t="s">
        <v>2050</v>
      </c>
      <c r="J1084" s="162" t="s">
        <v>2051</v>
      </c>
      <c r="K1084" s="8"/>
      <c r="L1084" s="8"/>
      <c r="M1084" s="8"/>
      <c r="N1084" s="8"/>
      <c r="O1084" s="8"/>
      <c r="P1084" s="160"/>
      <c r="Q1084" s="160"/>
      <c r="R1084" s="160"/>
      <c r="S1084" s="160"/>
      <c r="T1084" s="160"/>
      <c r="U1084" s="160"/>
      <c r="V1084" s="160"/>
      <c r="W1084" s="160"/>
      <c r="X1084" s="160"/>
      <c r="Y1084" s="160"/>
      <c r="Z1084" s="160"/>
      <c r="AA1084" s="160"/>
      <c r="AB1084" s="160"/>
    </row>
    <row r="1085">
      <c r="A1085" s="176"/>
      <c r="B1085" s="218" t="s">
        <v>1450</v>
      </c>
      <c r="C1085" s="181" t="s">
        <v>1609</v>
      </c>
      <c r="D1085" s="112" t="s">
        <v>1715</v>
      </c>
      <c r="E1085" s="219" t="s">
        <v>2052</v>
      </c>
      <c r="F1085" s="219" t="s">
        <v>2053</v>
      </c>
      <c r="G1085" s="43">
        <v>0.6041666666666666</v>
      </c>
      <c r="H1085" s="112" t="s">
        <v>2054</v>
      </c>
      <c r="I1085" s="112" t="s">
        <v>2055</v>
      </c>
      <c r="J1085" s="45" t="s">
        <v>2056</v>
      </c>
      <c r="K1085" s="39" t="s">
        <v>2057</v>
      </c>
      <c r="L1085" s="8"/>
      <c r="M1085" s="8"/>
      <c r="N1085" s="8"/>
      <c r="O1085" s="8"/>
      <c r="P1085" s="160"/>
      <c r="Q1085" s="160"/>
      <c r="R1085" s="160"/>
      <c r="S1085" s="160"/>
      <c r="T1085" s="160"/>
      <c r="U1085" s="160"/>
      <c r="V1085" s="160"/>
      <c r="W1085" s="160"/>
      <c r="X1085" s="160"/>
      <c r="Y1085" s="160"/>
      <c r="Z1085" s="160"/>
      <c r="AA1085" s="160"/>
      <c r="AB1085" s="160"/>
    </row>
    <row r="1086">
      <c r="A1086" s="176"/>
      <c r="B1086" s="66"/>
      <c r="C1086" s="181" t="s">
        <v>1609</v>
      </c>
      <c r="D1086" s="220" t="s">
        <v>1715</v>
      </c>
      <c r="E1086" s="112" t="s">
        <v>2058</v>
      </c>
      <c r="F1086" s="112" t="s">
        <v>2059</v>
      </c>
      <c r="G1086" s="43">
        <v>0.6041666666666666</v>
      </c>
      <c r="H1086" s="112" t="s">
        <v>2054</v>
      </c>
      <c r="I1086" s="112" t="s">
        <v>2055</v>
      </c>
      <c r="J1086" s="45" t="s">
        <v>2056</v>
      </c>
      <c r="K1086" s="39" t="s">
        <v>2057</v>
      </c>
      <c r="L1086" s="8"/>
      <c r="M1086" s="8"/>
      <c r="N1086" s="8"/>
      <c r="O1086" s="8"/>
      <c r="P1086" s="160"/>
      <c r="Q1086" s="160"/>
      <c r="R1086" s="160"/>
      <c r="S1086" s="160"/>
      <c r="T1086" s="160"/>
      <c r="U1086" s="160"/>
      <c r="V1086" s="160"/>
      <c r="W1086" s="160"/>
      <c r="X1086" s="160"/>
      <c r="Y1086" s="160"/>
      <c r="Z1086" s="160"/>
      <c r="AA1086" s="160"/>
      <c r="AB1086" s="160"/>
    </row>
    <row r="1087">
      <c r="A1087" s="176"/>
      <c r="B1087" s="66"/>
      <c r="C1087" s="181" t="s">
        <v>1609</v>
      </c>
      <c r="D1087" s="220" t="s">
        <v>1715</v>
      </c>
      <c r="E1087" s="45" t="s">
        <v>2060</v>
      </c>
      <c r="F1087" s="45" t="s">
        <v>2061</v>
      </c>
      <c r="G1087" s="43">
        <v>0.6041666666666666</v>
      </c>
      <c r="H1087" s="112" t="s">
        <v>2054</v>
      </c>
      <c r="I1087" s="112" t="s">
        <v>2055</v>
      </c>
      <c r="J1087" s="45" t="s">
        <v>2056</v>
      </c>
      <c r="K1087" s="39" t="s">
        <v>2057</v>
      </c>
      <c r="L1087" s="8"/>
      <c r="M1087" s="8"/>
      <c r="N1087" s="8"/>
      <c r="O1087" s="8"/>
      <c r="P1087" s="160"/>
      <c r="Q1087" s="160"/>
      <c r="R1087" s="160"/>
      <c r="S1087" s="160"/>
      <c r="T1087" s="160"/>
      <c r="U1087" s="160"/>
      <c r="V1087" s="160"/>
      <c r="W1087" s="160"/>
      <c r="X1087" s="160"/>
      <c r="Y1087" s="160"/>
      <c r="Z1087" s="160"/>
      <c r="AA1087" s="160"/>
      <c r="AB1087" s="160"/>
    </row>
    <row r="1088">
      <c r="A1088" s="176"/>
      <c r="B1088" s="66"/>
      <c r="C1088" s="181" t="s">
        <v>1609</v>
      </c>
      <c r="D1088" s="221" t="s">
        <v>1715</v>
      </c>
      <c r="E1088" s="219" t="s">
        <v>408</v>
      </c>
      <c r="F1088" s="219" t="s">
        <v>409</v>
      </c>
      <c r="G1088" s="43">
        <v>0.6041666666666666</v>
      </c>
      <c r="H1088" s="112" t="s">
        <v>2054</v>
      </c>
      <c r="I1088" s="112" t="s">
        <v>2055</v>
      </c>
      <c r="J1088" s="45" t="s">
        <v>2056</v>
      </c>
      <c r="K1088" s="39" t="s">
        <v>2057</v>
      </c>
      <c r="L1088" s="8"/>
      <c r="M1088" s="8"/>
      <c r="N1088" s="8"/>
      <c r="O1088" s="8"/>
      <c r="P1088" s="160"/>
      <c r="Q1088" s="160"/>
      <c r="R1088" s="160"/>
      <c r="S1088" s="160"/>
      <c r="T1088" s="160"/>
      <c r="U1088" s="160"/>
      <c r="V1088" s="160"/>
      <c r="W1088" s="160"/>
      <c r="X1088" s="160"/>
      <c r="Y1088" s="160"/>
      <c r="Z1088" s="160"/>
      <c r="AA1088" s="160"/>
      <c r="AB1088" s="160"/>
    </row>
    <row r="1089">
      <c r="A1089" s="176"/>
      <c r="B1089" s="66"/>
      <c r="C1089" s="181" t="s">
        <v>1609</v>
      </c>
      <c r="D1089" s="220" t="s">
        <v>1715</v>
      </c>
      <c r="E1089" s="112" t="s">
        <v>2062</v>
      </c>
      <c r="F1089" s="112" t="s">
        <v>2063</v>
      </c>
      <c r="G1089" s="43">
        <v>0.6041666666666666</v>
      </c>
      <c r="H1089" s="112" t="s">
        <v>2054</v>
      </c>
      <c r="I1089" s="112" t="s">
        <v>2055</v>
      </c>
      <c r="J1089" s="112" t="s">
        <v>2056</v>
      </c>
      <c r="K1089" s="39" t="s">
        <v>2057</v>
      </c>
      <c r="L1089" s="8"/>
      <c r="M1089" s="8"/>
      <c r="N1089" s="8"/>
      <c r="O1089" s="8"/>
      <c r="P1089" s="160"/>
      <c r="Q1089" s="160"/>
      <c r="R1089" s="160"/>
      <c r="S1089" s="160"/>
      <c r="T1089" s="160"/>
      <c r="U1089" s="160"/>
      <c r="V1089" s="160"/>
      <c r="W1089" s="160"/>
      <c r="X1089" s="160"/>
      <c r="Y1089" s="160"/>
      <c r="Z1089" s="160"/>
      <c r="AA1089" s="160"/>
      <c r="AB1089" s="160"/>
    </row>
    <row r="1090">
      <c r="A1090" s="176"/>
      <c r="B1090" s="66"/>
      <c r="C1090" s="181" t="s">
        <v>1609</v>
      </c>
      <c r="D1090" s="220" t="s">
        <v>1791</v>
      </c>
      <c r="E1090" s="112" t="s">
        <v>2064</v>
      </c>
      <c r="F1090" s="112" t="s">
        <v>2065</v>
      </c>
      <c r="G1090" s="43">
        <v>0.6041666666666666</v>
      </c>
      <c r="H1090" s="112" t="s">
        <v>2054</v>
      </c>
      <c r="I1090" s="112" t="s">
        <v>2055</v>
      </c>
      <c r="J1090" s="112" t="s">
        <v>2056</v>
      </c>
      <c r="K1090" s="39" t="s">
        <v>2057</v>
      </c>
      <c r="L1090" s="8"/>
      <c r="M1090" s="8"/>
      <c r="N1090" s="8"/>
      <c r="O1090" s="8"/>
      <c r="P1090" s="160"/>
      <c r="Q1090" s="160"/>
      <c r="R1090" s="160"/>
      <c r="S1090" s="160"/>
      <c r="T1090" s="160"/>
      <c r="U1090" s="160"/>
      <c r="V1090" s="160"/>
      <c r="W1090" s="160"/>
      <c r="X1090" s="160"/>
      <c r="Y1090" s="160"/>
      <c r="Z1090" s="160"/>
      <c r="AA1090" s="160"/>
      <c r="AB1090" s="160"/>
    </row>
    <row r="1091">
      <c r="A1091" s="176"/>
      <c r="B1091" s="66"/>
      <c r="C1091" s="181" t="s">
        <v>1609</v>
      </c>
      <c r="D1091" s="222" t="s">
        <v>819</v>
      </c>
      <c r="E1091" s="42" t="s">
        <v>416</v>
      </c>
      <c r="F1091" s="42" t="s">
        <v>417</v>
      </c>
      <c r="G1091" s="43">
        <v>0.6041666666666666</v>
      </c>
      <c r="H1091" s="112" t="s">
        <v>2054</v>
      </c>
      <c r="I1091" s="112" t="s">
        <v>2055</v>
      </c>
      <c r="J1091" s="112" t="s">
        <v>2056</v>
      </c>
      <c r="K1091" s="39" t="s">
        <v>2057</v>
      </c>
      <c r="L1091" s="8"/>
      <c r="M1091" s="8"/>
      <c r="N1091" s="8"/>
      <c r="O1091" s="8"/>
      <c r="P1091" s="160"/>
      <c r="Q1091" s="160"/>
      <c r="R1091" s="160"/>
      <c r="S1091" s="160"/>
      <c r="T1091" s="160"/>
      <c r="U1091" s="160"/>
      <c r="V1091" s="160"/>
      <c r="W1091" s="160"/>
      <c r="X1091" s="160"/>
      <c r="Y1091" s="160"/>
      <c r="Z1091" s="160"/>
      <c r="AA1091" s="160"/>
      <c r="AB1091" s="160"/>
    </row>
    <row r="1092">
      <c r="A1092" s="176"/>
      <c r="B1092" s="66"/>
      <c r="C1092" s="181" t="s">
        <v>1609</v>
      </c>
      <c r="D1092" s="222" t="s">
        <v>819</v>
      </c>
      <c r="E1092" s="73" t="s">
        <v>399</v>
      </c>
      <c r="F1092" s="73" t="s">
        <v>400</v>
      </c>
      <c r="G1092" s="43">
        <v>0.6041666666666666</v>
      </c>
      <c r="H1092" s="112" t="s">
        <v>2054</v>
      </c>
      <c r="I1092" s="112" t="s">
        <v>2055</v>
      </c>
      <c r="J1092" s="112" t="s">
        <v>2056</v>
      </c>
      <c r="K1092" s="39" t="s">
        <v>2057</v>
      </c>
      <c r="L1092" s="8"/>
      <c r="M1092" s="8"/>
      <c r="N1092" s="8"/>
      <c r="O1092" s="8"/>
      <c r="P1092" s="160"/>
      <c r="Q1092" s="160"/>
      <c r="R1092" s="160"/>
      <c r="S1092" s="160"/>
      <c r="T1092" s="160"/>
      <c r="U1092" s="160"/>
      <c r="V1092" s="160"/>
      <c r="W1092" s="160"/>
      <c r="X1092" s="160"/>
      <c r="Y1092" s="160"/>
      <c r="Z1092" s="160"/>
      <c r="AA1092" s="160"/>
      <c r="AB1092" s="160"/>
    </row>
    <row r="1093">
      <c r="A1093" s="176"/>
      <c r="B1093" s="66"/>
      <c r="C1093" s="181" t="s">
        <v>1609</v>
      </c>
      <c r="D1093" s="222" t="s">
        <v>819</v>
      </c>
      <c r="E1093" s="42" t="s">
        <v>414</v>
      </c>
      <c r="F1093" s="42" t="s">
        <v>415</v>
      </c>
      <c r="G1093" s="43">
        <v>0.6041666666666666</v>
      </c>
      <c r="H1093" s="112" t="s">
        <v>2054</v>
      </c>
      <c r="I1093" s="112" t="s">
        <v>2055</v>
      </c>
      <c r="J1093" s="112" t="s">
        <v>2056</v>
      </c>
      <c r="K1093" s="39" t="s">
        <v>2057</v>
      </c>
      <c r="L1093" s="8"/>
      <c r="M1093" s="8"/>
      <c r="N1093" s="8"/>
      <c r="O1093" s="8"/>
      <c r="P1093" s="160"/>
      <c r="Q1093" s="160"/>
      <c r="R1093" s="160"/>
      <c r="S1093" s="160"/>
      <c r="T1093" s="160"/>
      <c r="U1093" s="160"/>
      <c r="V1093" s="160"/>
      <c r="W1093" s="160"/>
      <c r="X1093" s="160"/>
      <c r="Y1093" s="160"/>
      <c r="Z1093" s="160"/>
      <c r="AA1093" s="160"/>
      <c r="AB1093" s="160"/>
    </row>
    <row r="1094">
      <c r="A1094" s="176"/>
      <c r="B1094" s="67"/>
      <c r="C1094" s="181" t="s">
        <v>1609</v>
      </c>
      <c r="D1094" s="222" t="s">
        <v>819</v>
      </c>
      <c r="E1094" s="42" t="s">
        <v>404</v>
      </c>
      <c r="F1094" s="42" t="s">
        <v>405</v>
      </c>
      <c r="G1094" s="43">
        <v>0.6041666666666666</v>
      </c>
      <c r="H1094" s="112" t="s">
        <v>2054</v>
      </c>
      <c r="I1094" s="44" t="s">
        <v>2055</v>
      </c>
      <c r="J1094" s="44" t="s">
        <v>2056</v>
      </c>
      <c r="K1094" s="39" t="s">
        <v>2057</v>
      </c>
      <c r="L1094" s="8"/>
      <c r="M1094" s="8"/>
      <c r="N1094" s="8"/>
      <c r="O1094" s="8"/>
      <c r="P1094" s="160"/>
      <c r="Q1094" s="160"/>
      <c r="R1094" s="160"/>
      <c r="S1094" s="160"/>
      <c r="T1094" s="160"/>
      <c r="U1094" s="160"/>
      <c r="V1094" s="160"/>
      <c r="W1094" s="160"/>
      <c r="X1094" s="160"/>
      <c r="Y1094" s="160"/>
      <c r="Z1094" s="160"/>
      <c r="AA1094" s="160"/>
      <c r="AB1094" s="160"/>
    </row>
    <row r="1095">
      <c r="A1095" s="176"/>
      <c r="B1095" s="179"/>
      <c r="C1095" s="184">
        <v>44529.0</v>
      </c>
      <c r="D1095" s="223"/>
      <c r="E1095" s="224"/>
      <c r="F1095" s="224"/>
      <c r="G1095" s="35"/>
      <c r="H1095" s="157"/>
      <c r="I1095" s="157"/>
      <c r="J1095" s="224"/>
      <c r="K1095" s="8"/>
      <c r="L1095" s="8"/>
      <c r="M1095" s="8"/>
      <c r="N1095" s="8"/>
      <c r="O1095" s="8"/>
      <c r="P1095" s="160"/>
      <c r="Q1095" s="160"/>
      <c r="R1095" s="160"/>
      <c r="S1095" s="160"/>
      <c r="T1095" s="160"/>
      <c r="U1095" s="160"/>
      <c r="V1095" s="160"/>
      <c r="W1095" s="160"/>
      <c r="X1095" s="160"/>
      <c r="Y1095" s="160"/>
      <c r="Z1095" s="160"/>
      <c r="AA1095" s="160"/>
      <c r="AB1095" s="160"/>
    </row>
    <row r="1096">
      <c r="A1096" s="176"/>
      <c r="B1096" s="185" t="s">
        <v>1450</v>
      </c>
      <c r="C1096" s="181" t="s">
        <v>1609</v>
      </c>
      <c r="D1096" s="101"/>
      <c r="E1096" s="61"/>
      <c r="F1096" s="61"/>
      <c r="G1096" s="128"/>
      <c r="H1096" s="39"/>
      <c r="I1096" s="39"/>
      <c r="J1096" s="61"/>
      <c r="K1096" s="8"/>
      <c r="L1096" s="8"/>
      <c r="M1096" s="8"/>
      <c r="N1096" s="8"/>
      <c r="O1096" s="8"/>
      <c r="P1096" s="160"/>
      <c r="Q1096" s="160"/>
      <c r="R1096" s="160"/>
      <c r="S1096" s="160"/>
      <c r="T1096" s="160"/>
      <c r="U1096" s="160"/>
      <c r="V1096" s="160"/>
      <c r="W1096" s="160"/>
      <c r="X1096" s="160"/>
      <c r="Y1096" s="160"/>
      <c r="Z1096" s="160"/>
      <c r="AA1096" s="160"/>
      <c r="AB1096" s="160"/>
    </row>
    <row r="1097">
      <c r="A1097" s="176"/>
      <c r="B1097" s="66"/>
      <c r="C1097" s="181" t="s">
        <v>1609</v>
      </c>
      <c r="D1097" s="101"/>
      <c r="E1097" s="178" t="s">
        <v>1708</v>
      </c>
      <c r="F1097" s="52"/>
      <c r="G1097" s="128"/>
      <c r="H1097" s="39"/>
      <c r="I1097" s="39"/>
      <c r="J1097" s="61"/>
      <c r="K1097" s="8"/>
      <c r="L1097" s="8"/>
      <c r="M1097" s="8"/>
      <c r="N1097" s="8"/>
      <c r="O1097" s="8"/>
      <c r="P1097" s="160"/>
      <c r="Q1097" s="160"/>
      <c r="R1097" s="160"/>
      <c r="S1097" s="160"/>
      <c r="T1097" s="160"/>
      <c r="U1097" s="160"/>
      <c r="V1097" s="160"/>
      <c r="W1097" s="160"/>
      <c r="X1097" s="160"/>
      <c r="Y1097" s="160"/>
      <c r="Z1097" s="160"/>
      <c r="AA1097" s="160"/>
      <c r="AB1097" s="160"/>
    </row>
    <row r="1098">
      <c r="A1098" s="176"/>
      <c r="B1098" s="66"/>
      <c r="C1098" s="181" t="s">
        <v>1609</v>
      </c>
      <c r="D1098" s="101"/>
      <c r="E1098" s="53"/>
      <c r="F1098" s="54"/>
      <c r="G1098" s="128"/>
      <c r="H1098" s="39"/>
      <c r="I1098" s="39"/>
      <c r="J1098" s="61"/>
      <c r="K1098" s="8"/>
      <c r="L1098" s="8"/>
      <c r="M1098" s="8"/>
      <c r="N1098" s="8"/>
      <c r="O1098" s="8"/>
      <c r="P1098" s="160"/>
      <c r="Q1098" s="160"/>
      <c r="R1098" s="160"/>
      <c r="S1098" s="160"/>
      <c r="T1098" s="160"/>
      <c r="U1098" s="160"/>
      <c r="V1098" s="160"/>
      <c r="W1098" s="160"/>
      <c r="X1098" s="160"/>
      <c r="Y1098" s="160"/>
      <c r="Z1098" s="160"/>
      <c r="AA1098" s="160"/>
      <c r="AB1098" s="160"/>
    </row>
    <row r="1099">
      <c r="A1099" s="176"/>
      <c r="B1099" s="66"/>
      <c r="C1099" s="181" t="s">
        <v>1609</v>
      </c>
      <c r="D1099" s="101"/>
      <c r="E1099" s="55"/>
      <c r="F1099" s="57"/>
      <c r="G1099" s="128"/>
      <c r="H1099" s="39"/>
      <c r="I1099" s="39"/>
      <c r="J1099" s="61"/>
      <c r="K1099" s="8"/>
      <c r="L1099" s="8"/>
      <c r="M1099" s="8"/>
      <c r="N1099" s="8"/>
      <c r="O1099" s="8"/>
      <c r="P1099" s="160"/>
      <c r="Q1099" s="160"/>
      <c r="R1099" s="160"/>
      <c r="S1099" s="160"/>
      <c r="T1099" s="160"/>
      <c r="U1099" s="160"/>
      <c r="V1099" s="160"/>
      <c r="W1099" s="160"/>
      <c r="X1099" s="160"/>
      <c r="Y1099" s="160"/>
      <c r="Z1099" s="160"/>
      <c r="AA1099" s="160"/>
      <c r="AB1099" s="160"/>
    </row>
    <row r="1100">
      <c r="A1100" s="176"/>
      <c r="B1100" s="66"/>
      <c r="C1100" s="181" t="s">
        <v>1609</v>
      </c>
      <c r="D1100" s="101"/>
      <c r="E1100" s="61"/>
      <c r="F1100" s="61"/>
      <c r="G1100" s="128"/>
      <c r="H1100" s="39"/>
      <c r="I1100" s="39"/>
      <c r="J1100" s="61"/>
      <c r="K1100" s="8"/>
      <c r="L1100" s="8"/>
      <c r="M1100" s="8"/>
      <c r="N1100" s="8"/>
      <c r="O1100" s="8"/>
      <c r="P1100" s="160"/>
      <c r="Q1100" s="160"/>
      <c r="R1100" s="160"/>
      <c r="S1100" s="160"/>
      <c r="T1100" s="160"/>
      <c r="U1100" s="160"/>
      <c r="V1100" s="160"/>
      <c r="W1100" s="160"/>
      <c r="X1100" s="160"/>
      <c r="Y1100" s="160"/>
      <c r="Z1100" s="160"/>
      <c r="AA1100" s="160"/>
      <c r="AB1100" s="160"/>
    </row>
    <row r="1101">
      <c r="A1101" s="176"/>
      <c r="B1101" s="67"/>
      <c r="C1101" s="181" t="s">
        <v>1609</v>
      </c>
      <c r="D1101" s="101"/>
      <c r="E1101" s="61"/>
      <c r="F1101" s="61"/>
      <c r="G1101" s="128"/>
      <c r="H1101" s="39"/>
      <c r="I1101" s="39"/>
      <c r="J1101" s="61"/>
      <c r="K1101" s="8"/>
      <c r="L1101" s="8"/>
      <c r="M1101" s="8"/>
      <c r="N1101" s="8"/>
      <c r="O1101" s="8"/>
      <c r="P1101" s="160"/>
      <c r="Q1101" s="160"/>
      <c r="R1101" s="160"/>
      <c r="S1101" s="160"/>
      <c r="T1101" s="160"/>
      <c r="U1101" s="160"/>
      <c r="V1101" s="160"/>
      <c r="W1101" s="160"/>
      <c r="X1101" s="160"/>
      <c r="Y1101" s="160"/>
      <c r="Z1101" s="160"/>
      <c r="AA1101" s="160"/>
      <c r="AB1101" s="160"/>
    </row>
    <row r="1102">
      <c r="A1102" s="176"/>
      <c r="B1102" s="179"/>
      <c r="C1102" s="184">
        <v>44530.0</v>
      </c>
      <c r="D1102" s="101"/>
      <c r="E1102" s="61"/>
      <c r="F1102" s="61"/>
      <c r="G1102" s="128"/>
      <c r="H1102" s="39"/>
      <c r="I1102" s="39"/>
      <c r="J1102" s="61"/>
      <c r="K1102" s="8"/>
      <c r="L1102" s="8"/>
      <c r="M1102" s="8"/>
      <c r="N1102" s="8"/>
      <c r="O1102" s="8"/>
      <c r="P1102" s="160"/>
      <c r="Q1102" s="160"/>
      <c r="R1102" s="160"/>
      <c r="S1102" s="160"/>
      <c r="T1102" s="160"/>
      <c r="U1102" s="160"/>
      <c r="V1102" s="160"/>
      <c r="W1102" s="160"/>
      <c r="X1102" s="160"/>
      <c r="Y1102" s="160"/>
      <c r="Z1102" s="160"/>
      <c r="AA1102" s="160"/>
      <c r="AB1102" s="160"/>
    </row>
    <row r="1103">
      <c r="A1103" s="176"/>
      <c r="B1103" s="185" t="s">
        <v>1450</v>
      </c>
      <c r="C1103" s="181" t="s">
        <v>1609</v>
      </c>
      <c r="D1103" s="101"/>
      <c r="E1103" s="61"/>
      <c r="F1103" s="61"/>
      <c r="G1103" s="128"/>
      <c r="H1103" s="39"/>
      <c r="I1103" s="39"/>
      <c r="J1103" s="61"/>
      <c r="K1103" s="8"/>
      <c r="L1103" s="8"/>
      <c r="M1103" s="8"/>
      <c r="N1103" s="8"/>
      <c r="O1103" s="8"/>
      <c r="P1103" s="160"/>
      <c r="Q1103" s="160"/>
      <c r="R1103" s="160"/>
      <c r="S1103" s="160"/>
      <c r="T1103" s="160"/>
      <c r="U1103" s="160"/>
      <c r="V1103" s="160"/>
      <c r="W1103" s="160"/>
      <c r="X1103" s="160"/>
      <c r="Y1103" s="160"/>
      <c r="Z1103" s="160"/>
      <c r="AA1103" s="160"/>
      <c r="AB1103" s="160"/>
    </row>
    <row r="1104">
      <c r="A1104" s="176"/>
      <c r="B1104" s="66"/>
      <c r="C1104" s="181" t="s">
        <v>1609</v>
      </c>
      <c r="D1104" s="101"/>
      <c r="E1104" s="200" t="s">
        <v>1830</v>
      </c>
      <c r="F1104" s="11"/>
      <c r="G1104" s="128"/>
      <c r="H1104" s="39"/>
      <c r="I1104" s="39"/>
      <c r="J1104" s="61"/>
      <c r="K1104" s="8"/>
      <c r="L1104" s="8"/>
      <c r="M1104" s="8"/>
      <c r="N1104" s="8"/>
      <c r="O1104" s="8"/>
      <c r="P1104" s="160"/>
      <c r="Q1104" s="160"/>
      <c r="R1104" s="160"/>
      <c r="S1104" s="160"/>
      <c r="T1104" s="160"/>
      <c r="U1104" s="160"/>
      <c r="V1104" s="160"/>
      <c r="W1104" s="160"/>
      <c r="X1104" s="160"/>
      <c r="Y1104" s="160"/>
      <c r="Z1104" s="160"/>
      <c r="AA1104" s="160"/>
      <c r="AB1104" s="160"/>
    </row>
    <row r="1105">
      <c r="A1105" s="176"/>
      <c r="B1105" s="66"/>
      <c r="C1105" s="181"/>
      <c r="D1105" s="27" t="s">
        <v>819</v>
      </c>
      <c r="E1105" s="62" t="s">
        <v>2048</v>
      </c>
      <c r="F1105" s="62" t="s">
        <v>2049</v>
      </c>
      <c r="G1105" s="213">
        <v>0.375</v>
      </c>
      <c r="H1105" s="225" t="s">
        <v>87</v>
      </c>
      <c r="I1105" s="18" t="s">
        <v>2050</v>
      </c>
      <c r="J1105" s="62" t="s">
        <v>2051</v>
      </c>
      <c r="K1105" s="39" t="s">
        <v>1096</v>
      </c>
      <c r="L1105" s="8"/>
      <c r="M1105" s="8"/>
      <c r="N1105" s="8"/>
      <c r="O1105" s="8"/>
      <c r="P1105" s="160"/>
      <c r="Q1105" s="160"/>
      <c r="R1105" s="160"/>
      <c r="S1105" s="160"/>
      <c r="T1105" s="160"/>
      <c r="U1105" s="160"/>
      <c r="V1105" s="160"/>
      <c r="W1105" s="160"/>
      <c r="X1105" s="160"/>
      <c r="Y1105" s="160"/>
      <c r="Z1105" s="160"/>
      <c r="AA1105" s="160"/>
      <c r="AB1105" s="160"/>
    </row>
    <row r="1106">
      <c r="A1106" s="176"/>
      <c r="B1106" s="66"/>
      <c r="C1106" s="181"/>
      <c r="D1106" s="27" t="s">
        <v>1715</v>
      </c>
      <c r="E1106" s="62" t="s">
        <v>2066</v>
      </c>
      <c r="F1106" s="62" t="s">
        <v>2067</v>
      </c>
      <c r="G1106" s="76" t="s">
        <v>406</v>
      </c>
      <c r="H1106" s="182" t="s">
        <v>615</v>
      </c>
      <c r="I1106" s="18" t="s">
        <v>2068</v>
      </c>
      <c r="J1106" s="183" t="s">
        <v>2069</v>
      </c>
      <c r="K1106" s="39"/>
      <c r="L1106" s="8"/>
      <c r="M1106" s="8"/>
      <c r="N1106" s="8"/>
      <c r="O1106" s="8"/>
      <c r="P1106" s="160"/>
      <c r="Q1106" s="160"/>
      <c r="R1106" s="160"/>
      <c r="S1106" s="160"/>
      <c r="T1106" s="160"/>
      <c r="U1106" s="160"/>
      <c r="V1106" s="160"/>
      <c r="W1106" s="160"/>
      <c r="X1106" s="160"/>
      <c r="Y1106" s="160"/>
      <c r="Z1106" s="160"/>
      <c r="AA1106" s="160"/>
      <c r="AB1106" s="160"/>
    </row>
    <row r="1107">
      <c r="A1107" s="176"/>
      <c r="B1107" s="66"/>
      <c r="C1107" s="181" t="s">
        <v>1609</v>
      </c>
      <c r="D1107" s="27" t="s">
        <v>1911</v>
      </c>
      <c r="E1107" s="62" t="s">
        <v>2070</v>
      </c>
      <c r="F1107" s="62" t="s">
        <v>2071</v>
      </c>
      <c r="G1107" s="22">
        <v>0.5208333333333334</v>
      </c>
      <c r="H1107" s="18" t="s">
        <v>880</v>
      </c>
      <c r="I1107" s="18" t="s">
        <v>2072</v>
      </c>
      <c r="J1107" s="62" t="s">
        <v>2073</v>
      </c>
      <c r="K1107" s="39" t="s">
        <v>2074</v>
      </c>
      <c r="L1107" s="8"/>
      <c r="M1107" s="8"/>
      <c r="N1107" s="8"/>
      <c r="O1107" s="8"/>
      <c r="P1107" s="160"/>
      <c r="Q1107" s="160"/>
      <c r="R1107" s="160"/>
      <c r="S1107" s="160"/>
      <c r="T1107" s="160"/>
      <c r="U1107" s="160"/>
      <c r="V1107" s="160"/>
      <c r="W1107" s="160"/>
      <c r="X1107" s="160"/>
      <c r="Y1107" s="160"/>
      <c r="Z1107" s="160"/>
      <c r="AA1107" s="160"/>
      <c r="AB1107" s="160"/>
    </row>
    <row r="1108">
      <c r="A1108" s="176"/>
      <c r="B1108" s="66"/>
      <c r="C1108" s="181" t="s">
        <v>1609</v>
      </c>
      <c r="D1108" s="27" t="s">
        <v>1715</v>
      </c>
      <c r="E1108" s="62" t="s">
        <v>1912</v>
      </c>
      <c r="F1108" s="62" t="s">
        <v>1913</v>
      </c>
      <c r="G1108" s="76" t="s">
        <v>745</v>
      </c>
      <c r="H1108" s="182" t="s">
        <v>2075</v>
      </c>
      <c r="I1108" s="18" t="s">
        <v>2076</v>
      </c>
      <c r="J1108" s="75" t="s">
        <v>1916</v>
      </c>
      <c r="K1108" s="8"/>
      <c r="L1108" s="8"/>
      <c r="M1108" s="8"/>
      <c r="N1108" s="8"/>
      <c r="O1108" s="8"/>
      <c r="P1108" s="160"/>
      <c r="Q1108" s="160"/>
      <c r="R1108" s="160"/>
      <c r="S1108" s="160"/>
      <c r="T1108" s="160"/>
      <c r="U1108" s="160"/>
      <c r="V1108" s="160"/>
      <c r="W1108" s="160"/>
      <c r="X1108" s="160"/>
      <c r="Y1108" s="160"/>
      <c r="Z1108" s="160"/>
      <c r="AA1108" s="160"/>
      <c r="AB1108" s="160"/>
    </row>
    <row r="1109">
      <c r="A1109" s="176"/>
      <c r="B1109" s="66"/>
      <c r="C1109" s="181" t="s">
        <v>1609</v>
      </c>
      <c r="D1109" s="101"/>
      <c r="E1109" s="61"/>
      <c r="F1109" s="61"/>
      <c r="G1109" s="128"/>
      <c r="H1109" s="39"/>
      <c r="I1109" s="39"/>
      <c r="J1109" s="61"/>
      <c r="K1109" s="8"/>
      <c r="L1109" s="8"/>
      <c r="M1109" s="8"/>
      <c r="N1109" s="8"/>
      <c r="O1109" s="8"/>
      <c r="P1109" s="160"/>
      <c r="Q1109" s="160"/>
      <c r="R1109" s="160"/>
      <c r="S1109" s="160"/>
      <c r="T1109" s="160"/>
      <c r="U1109" s="160"/>
      <c r="V1109" s="160"/>
      <c r="W1109" s="160"/>
      <c r="X1109" s="160"/>
      <c r="Y1109" s="160"/>
      <c r="Z1109" s="160"/>
      <c r="AA1109" s="160"/>
      <c r="AB1109" s="160"/>
    </row>
    <row r="1110">
      <c r="A1110" s="176"/>
      <c r="B1110" s="67"/>
      <c r="C1110" s="181" t="s">
        <v>1609</v>
      </c>
      <c r="D1110" s="101"/>
      <c r="E1110" s="61"/>
      <c r="F1110" s="61"/>
      <c r="G1110" s="128"/>
      <c r="H1110" s="39"/>
      <c r="I1110" s="39"/>
      <c r="J1110" s="61"/>
      <c r="K1110" s="8"/>
      <c r="L1110" s="8"/>
      <c r="M1110" s="8"/>
      <c r="N1110" s="8"/>
      <c r="O1110" s="8"/>
      <c r="P1110" s="160"/>
      <c r="Q1110" s="160"/>
      <c r="R1110" s="160"/>
      <c r="S1110" s="160"/>
      <c r="T1110" s="160"/>
      <c r="U1110" s="160"/>
      <c r="V1110" s="160"/>
      <c r="W1110" s="160"/>
      <c r="X1110" s="160"/>
      <c r="Y1110" s="160"/>
      <c r="Z1110" s="160"/>
      <c r="AA1110" s="160"/>
      <c r="AB1110" s="160"/>
    </row>
    <row r="1111">
      <c r="A1111" s="176"/>
      <c r="B1111" s="179"/>
      <c r="C1111" s="184">
        <v>44531.0</v>
      </c>
      <c r="D1111" s="101"/>
      <c r="E1111" s="61"/>
      <c r="F1111" s="61"/>
      <c r="G1111" s="128"/>
      <c r="H1111" s="39"/>
      <c r="I1111" s="39"/>
      <c r="J1111" s="61"/>
      <c r="K1111" s="8"/>
      <c r="L1111" s="8"/>
      <c r="M1111" s="8"/>
      <c r="N1111" s="8"/>
      <c r="O1111" s="8"/>
      <c r="P1111" s="160"/>
      <c r="Q1111" s="160"/>
      <c r="R1111" s="160"/>
      <c r="S1111" s="160"/>
      <c r="T1111" s="160"/>
      <c r="U1111" s="160"/>
      <c r="V1111" s="160"/>
      <c r="W1111" s="160"/>
      <c r="X1111" s="160"/>
      <c r="Y1111" s="160"/>
      <c r="Z1111" s="160"/>
      <c r="AA1111" s="160"/>
      <c r="AB1111" s="160"/>
    </row>
    <row r="1112">
      <c r="A1112" s="176"/>
      <c r="B1112" s="185" t="s">
        <v>1450</v>
      </c>
      <c r="C1112" s="181" t="s">
        <v>1609</v>
      </c>
      <c r="D1112" s="101"/>
      <c r="E1112" s="200" t="s">
        <v>1830</v>
      </c>
      <c r="F1112" s="11"/>
      <c r="G1112" s="128"/>
      <c r="H1112" s="39"/>
      <c r="I1112" s="39"/>
      <c r="J1112" s="61"/>
      <c r="K1112" s="8"/>
      <c r="L1112" s="8"/>
      <c r="M1112" s="8"/>
      <c r="N1112" s="8"/>
      <c r="O1112" s="8"/>
      <c r="P1112" s="160"/>
      <c r="Q1112" s="160"/>
      <c r="R1112" s="160"/>
      <c r="S1112" s="160"/>
      <c r="T1112" s="160"/>
      <c r="U1112" s="160"/>
      <c r="V1112" s="160"/>
      <c r="W1112" s="160"/>
      <c r="X1112" s="160"/>
      <c r="Y1112" s="160"/>
      <c r="Z1112" s="160"/>
      <c r="AA1112" s="160"/>
      <c r="AB1112" s="160"/>
    </row>
    <row r="1113">
      <c r="A1113" s="176"/>
      <c r="B1113" s="66"/>
      <c r="C1113" s="181" t="s">
        <v>1609</v>
      </c>
      <c r="D1113" s="101"/>
      <c r="E1113" s="61"/>
      <c r="F1113" s="61"/>
      <c r="G1113" s="128"/>
      <c r="H1113" s="39"/>
      <c r="I1113" s="39"/>
      <c r="J1113" s="61"/>
      <c r="K1113" s="8"/>
      <c r="L1113" s="8"/>
      <c r="M1113" s="8"/>
      <c r="N1113" s="8"/>
      <c r="O1113" s="8"/>
      <c r="P1113" s="160"/>
      <c r="Q1113" s="160"/>
      <c r="R1113" s="160"/>
      <c r="S1113" s="160"/>
      <c r="T1113" s="160"/>
      <c r="U1113" s="160"/>
      <c r="V1113" s="160"/>
      <c r="W1113" s="160"/>
      <c r="X1113" s="160"/>
      <c r="Y1113" s="160"/>
      <c r="Z1113" s="160"/>
      <c r="AA1113" s="160"/>
      <c r="AB1113" s="160"/>
    </row>
    <row r="1114">
      <c r="A1114" s="176"/>
      <c r="B1114" s="66"/>
      <c r="C1114" s="181" t="s">
        <v>1609</v>
      </c>
      <c r="D1114" s="27" t="s">
        <v>1911</v>
      </c>
      <c r="E1114" s="175" t="s">
        <v>2077</v>
      </c>
      <c r="F1114" s="175" t="s">
        <v>2078</v>
      </c>
      <c r="G1114" s="22">
        <v>0.4791666666666667</v>
      </c>
      <c r="H1114" s="18" t="s">
        <v>443</v>
      </c>
      <c r="I1114" s="18" t="s">
        <v>2079</v>
      </c>
      <c r="J1114" s="175" t="s">
        <v>2080</v>
      </c>
      <c r="K1114" s="8"/>
      <c r="L1114" s="8"/>
      <c r="M1114" s="8"/>
      <c r="N1114" s="8"/>
      <c r="O1114" s="8"/>
      <c r="P1114" s="160"/>
      <c r="Q1114" s="160"/>
      <c r="R1114" s="160"/>
      <c r="S1114" s="160"/>
      <c r="T1114" s="160"/>
      <c r="U1114" s="160"/>
      <c r="V1114" s="160"/>
      <c r="W1114" s="160"/>
      <c r="X1114" s="160"/>
      <c r="Y1114" s="160"/>
      <c r="Z1114" s="160"/>
      <c r="AA1114" s="160"/>
      <c r="AB1114" s="160"/>
    </row>
    <row r="1115">
      <c r="A1115" s="176"/>
      <c r="B1115" s="66"/>
      <c r="C1115" s="181" t="s">
        <v>1609</v>
      </c>
      <c r="D1115" s="48" t="s">
        <v>1911</v>
      </c>
      <c r="E1115" s="155" t="s">
        <v>662</v>
      </c>
      <c r="F1115" s="155" t="s">
        <v>663</v>
      </c>
      <c r="G1115" s="70" t="s">
        <v>1366</v>
      </c>
      <c r="H1115" s="44" t="s">
        <v>1033</v>
      </c>
      <c r="I1115" s="44" t="s">
        <v>2081</v>
      </c>
      <c r="J1115" s="155" t="s">
        <v>664</v>
      </c>
      <c r="K1115" s="39" t="s">
        <v>2082</v>
      </c>
      <c r="L1115" s="8"/>
      <c r="M1115" s="8"/>
      <c r="N1115" s="8"/>
      <c r="O1115" s="8"/>
      <c r="P1115" s="160"/>
      <c r="Q1115" s="160"/>
      <c r="R1115" s="160"/>
      <c r="S1115" s="160"/>
      <c r="T1115" s="160"/>
      <c r="U1115" s="160"/>
      <c r="V1115" s="160"/>
      <c r="W1115" s="160"/>
      <c r="X1115" s="160"/>
      <c r="Y1115" s="160"/>
      <c r="Z1115" s="160"/>
      <c r="AA1115" s="160"/>
      <c r="AB1115" s="160"/>
    </row>
    <row r="1116">
      <c r="A1116" s="176"/>
      <c r="B1116" s="66"/>
      <c r="C1116" s="181" t="s">
        <v>1609</v>
      </c>
      <c r="D1116" s="27" t="s">
        <v>1715</v>
      </c>
      <c r="E1116" s="162" t="s">
        <v>1602</v>
      </c>
      <c r="F1116" s="162" t="s">
        <v>1603</v>
      </c>
      <c r="G1116" s="76" t="s">
        <v>856</v>
      </c>
      <c r="H1116" s="182" t="s">
        <v>264</v>
      </c>
      <c r="I1116" s="18" t="s">
        <v>2083</v>
      </c>
      <c r="J1116" s="183" t="s">
        <v>1605</v>
      </c>
      <c r="K1116" s="8"/>
      <c r="L1116" s="8"/>
      <c r="M1116" s="8"/>
      <c r="N1116" s="8"/>
      <c r="O1116" s="8"/>
      <c r="P1116" s="160"/>
      <c r="Q1116" s="160"/>
      <c r="R1116" s="160"/>
      <c r="S1116" s="160"/>
      <c r="T1116" s="160"/>
      <c r="U1116" s="160"/>
      <c r="V1116" s="160"/>
      <c r="W1116" s="160"/>
      <c r="X1116" s="160"/>
      <c r="Y1116" s="160"/>
      <c r="Z1116" s="160"/>
      <c r="AA1116" s="160"/>
      <c r="AB1116" s="160"/>
    </row>
    <row r="1117">
      <c r="A1117" s="176"/>
      <c r="B1117" s="67"/>
      <c r="C1117" s="181" t="s">
        <v>1609</v>
      </c>
      <c r="D1117" s="101"/>
      <c r="E1117" s="61"/>
      <c r="F1117" s="61"/>
      <c r="G1117" s="128"/>
      <c r="H1117" s="39"/>
      <c r="I1117" s="39"/>
      <c r="J1117" s="61"/>
      <c r="K1117" s="8"/>
      <c r="L1117" s="8"/>
      <c r="M1117" s="8"/>
      <c r="N1117" s="8"/>
      <c r="O1117" s="8"/>
      <c r="P1117" s="160"/>
      <c r="Q1117" s="160"/>
      <c r="R1117" s="160"/>
      <c r="S1117" s="160"/>
      <c r="T1117" s="160"/>
      <c r="U1117" s="160"/>
      <c r="V1117" s="160"/>
      <c r="W1117" s="160"/>
      <c r="X1117" s="160"/>
      <c r="Y1117" s="160"/>
      <c r="Z1117" s="160"/>
      <c r="AA1117" s="160"/>
      <c r="AB1117" s="160"/>
    </row>
    <row r="1118">
      <c r="A1118" s="176"/>
      <c r="B1118" s="179"/>
      <c r="C1118" s="184">
        <v>44532.0</v>
      </c>
      <c r="D1118" s="101"/>
      <c r="E1118" s="61"/>
      <c r="F1118" s="61"/>
      <c r="G1118" s="128"/>
      <c r="H1118" s="39"/>
      <c r="I1118" s="39"/>
      <c r="J1118" s="61"/>
      <c r="K1118" s="8"/>
      <c r="L1118" s="8"/>
      <c r="M1118" s="8"/>
      <c r="N1118" s="8"/>
      <c r="O1118" s="8"/>
      <c r="P1118" s="160"/>
      <c r="Q1118" s="160"/>
      <c r="R1118" s="160"/>
      <c r="S1118" s="160"/>
      <c r="T1118" s="160"/>
      <c r="U1118" s="160"/>
      <c r="V1118" s="160"/>
      <c r="W1118" s="160"/>
      <c r="X1118" s="160"/>
      <c r="Y1118" s="160"/>
      <c r="Z1118" s="160"/>
      <c r="AA1118" s="160"/>
      <c r="AB1118" s="160"/>
    </row>
    <row r="1119">
      <c r="A1119" s="176"/>
      <c r="B1119" s="185" t="s">
        <v>1450</v>
      </c>
      <c r="C1119" s="181" t="s">
        <v>1609</v>
      </c>
      <c r="D1119" s="101"/>
      <c r="E1119" s="61"/>
      <c r="F1119" s="61"/>
      <c r="G1119" s="128"/>
      <c r="H1119" s="39"/>
      <c r="I1119" s="39"/>
      <c r="J1119" s="61"/>
      <c r="K1119" s="8"/>
      <c r="L1119" s="8"/>
      <c r="M1119" s="8"/>
      <c r="N1119" s="8"/>
      <c r="O1119" s="8"/>
      <c r="P1119" s="160"/>
      <c r="Q1119" s="160"/>
      <c r="R1119" s="160"/>
      <c r="S1119" s="160"/>
      <c r="T1119" s="160"/>
      <c r="U1119" s="160"/>
      <c r="V1119" s="160"/>
      <c r="W1119" s="160"/>
      <c r="X1119" s="160"/>
      <c r="Y1119" s="160"/>
      <c r="Z1119" s="160"/>
      <c r="AA1119" s="160"/>
      <c r="AB1119" s="160"/>
    </row>
    <row r="1120">
      <c r="A1120" s="176"/>
      <c r="B1120" s="66"/>
      <c r="C1120" s="181" t="s">
        <v>1609</v>
      </c>
      <c r="D1120" s="101"/>
      <c r="E1120" s="200" t="s">
        <v>1830</v>
      </c>
      <c r="F1120" s="11"/>
      <c r="G1120" s="128"/>
      <c r="H1120" s="39"/>
      <c r="I1120" s="39"/>
      <c r="J1120" s="61"/>
      <c r="K1120" s="8"/>
      <c r="L1120" s="8"/>
      <c r="M1120" s="8"/>
      <c r="N1120" s="8"/>
      <c r="O1120" s="8"/>
      <c r="P1120" s="160"/>
      <c r="Q1120" s="160"/>
      <c r="R1120" s="160"/>
      <c r="S1120" s="160"/>
      <c r="T1120" s="160"/>
      <c r="U1120" s="160"/>
      <c r="V1120" s="160"/>
      <c r="W1120" s="160"/>
      <c r="X1120" s="160"/>
      <c r="Y1120" s="160"/>
      <c r="Z1120" s="160"/>
      <c r="AA1120" s="160"/>
      <c r="AB1120" s="160"/>
    </row>
    <row r="1121">
      <c r="A1121" s="176"/>
      <c r="B1121" s="66"/>
      <c r="C1121" s="181" t="s">
        <v>1609</v>
      </c>
      <c r="D1121" s="27" t="s">
        <v>1791</v>
      </c>
      <c r="E1121" s="62" t="s">
        <v>2084</v>
      </c>
      <c r="F1121" s="62" t="s">
        <v>2085</v>
      </c>
      <c r="G1121" s="22">
        <v>0.4583333333333333</v>
      </c>
      <c r="H1121" s="18" t="s">
        <v>1857</v>
      </c>
      <c r="I1121" s="18" t="s">
        <v>2086</v>
      </c>
      <c r="J1121" s="162" t="s">
        <v>2087</v>
      </c>
      <c r="K1121" s="23"/>
      <c r="L1121" s="8"/>
      <c r="M1121" s="8"/>
      <c r="N1121" s="8"/>
      <c r="O1121" s="8"/>
      <c r="P1121" s="160"/>
      <c r="Q1121" s="160"/>
      <c r="R1121" s="160"/>
      <c r="S1121" s="160"/>
      <c r="T1121" s="160"/>
      <c r="U1121" s="160"/>
      <c r="V1121" s="160"/>
      <c r="W1121" s="160"/>
      <c r="X1121" s="160"/>
      <c r="Y1121" s="160"/>
      <c r="Z1121" s="160"/>
      <c r="AA1121" s="160"/>
      <c r="AB1121" s="160"/>
    </row>
    <row r="1122">
      <c r="A1122" s="176"/>
      <c r="B1122" s="66"/>
      <c r="C1122" s="181" t="s">
        <v>1609</v>
      </c>
      <c r="D1122" s="27" t="s">
        <v>1791</v>
      </c>
      <c r="E1122" s="62" t="s">
        <v>489</v>
      </c>
      <c r="F1122" s="62" t="s">
        <v>490</v>
      </c>
      <c r="G1122" s="22">
        <v>0.5416666666666666</v>
      </c>
      <c r="H1122" s="18" t="s">
        <v>384</v>
      </c>
      <c r="I1122" s="18" t="s">
        <v>491</v>
      </c>
      <c r="J1122" s="162" t="s">
        <v>492</v>
      </c>
      <c r="K1122" s="23"/>
      <c r="L1122" s="8"/>
      <c r="M1122" s="8"/>
      <c r="N1122" s="8"/>
      <c r="O1122" s="8"/>
      <c r="P1122" s="160"/>
      <c r="Q1122" s="160"/>
      <c r="R1122" s="160"/>
      <c r="S1122" s="160"/>
      <c r="T1122" s="160"/>
      <c r="U1122" s="160"/>
      <c r="V1122" s="160"/>
      <c r="W1122" s="160"/>
      <c r="X1122" s="160"/>
      <c r="Y1122" s="160"/>
      <c r="Z1122" s="160"/>
      <c r="AA1122" s="160"/>
      <c r="AB1122" s="160"/>
    </row>
    <row r="1123">
      <c r="A1123" s="176"/>
      <c r="B1123" s="66"/>
      <c r="C1123" s="181" t="s">
        <v>1609</v>
      </c>
      <c r="D1123" s="27" t="s">
        <v>819</v>
      </c>
      <c r="E1123" s="62" t="s">
        <v>2088</v>
      </c>
      <c r="F1123" s="62" t="s">
        <v>2089</v>
      </c>
      <c r="G1123" s="22">
        <v>0.5416666666666666</v>
      </c>
      <c r="H1123" s="18" t="s">
        <v>384</v>
      </c>
      <c r="I1123" s="18" t="s">
        <v>491</v>
      </c>
      <c r="J1123" s="162" t="s">
        <v>492</v>
      </c>
      <c r="K1123" s="23"/>
      <c r="L1123" s="8"/>
      <c r="M1123" s="8"/>
      <c r="N1123" s="8"/>
      <c r="O1123" s="8"/>
      <c r="P1123" s="160"/>
      <c r="Q1123" s="160"/>
      <c r="R1123" s="160"/>
      <c r="S1123" s="160"/>
      <c r="T1123" s="160"/>
      <c r="U1123" s="160"/>
      <c r="V1123" s="160"/>
      <c r="W1123" s="160"/>
      <c r="X1123" s="160"/>
      <c r="Y1123" s="160"/>
      <c r="Z1123" s="160"/>
      <c r="AA1123" s="160"/>
      <c r="AB1123" s="160"/>
    </row>
    <row r="1124">
      <c r="A1124" s="176"/>
      <c r="B1124" s="66"/>
      <c r="C1124" s="181" t="s">
        <v>1609</v>
      </c>
      <c r="D1124" s="27" t="s">
        <v>819</v>
      </c>
      <c r="E1124" s="62" t="s">
        <v>2090</v>
      </c>
      <c r="F1124" s="62" t="s">
        <v>2091</v>
      </c>
      <c r="G1124" s="22">
        <v>0.625</v>
      </c>
      <c r="H1124" s="18" t="s">
        <v>384</v>
      </c>
      <c r="I1124" s="18" t="s">
        <v>2092</v>
      </c>
      <c r="J1124" s="162" t="s">
        <v>2093</v>
      </c>
      <c r="K1124" s="23"/>
      <c r="L1124" s="8"/>
      <c r="M1124" s="8"/>
      <c r="N1124" s="8"/>
      <c r="O1124" s="8"/>
      <c r="P1124" s="160"/>
      <c r="Q1124" s="160"/>
      <c r="R1124" s="160"/>
      <c r="S1124" s="160"/>
      <c r="T1124" s="160"/>
      <c r="U1124" s="160"/>
      <c r="V1124" s="160"/>
      <c r="W1124" s="160"/>
      <c r="X1124" s="160"/>
      <c r="Y1124" s="160"/>
      <c r="Z1124" s="160"/>
      <c r="AA1124" s="160"/>
      <c r="AB1124" s="160"/>
    </row>
    <row r="1125">
      <c r="A1125" s="176"/>
      <c r="B1125" s="67"/>
      <c r="C1125" s="181" t="s">
        <v>1609</v>
      </c>
      <c r="D1125" s="101"/>
      <c r="E1125" s="61"/>
      <c r="F1125" s="61"/>
      <c r="G1125" s="128"/>
      <c r="H1125" s="39"/>
      <c r="I1125" s="39"/>
      <c r="J1125" s="61"/>
      <c r="K1125" s="8"/>
      <c r="L1125" s="8"/>
      <c r="M1125" s="8"/>
      <c r="N1125" s="8"/>
      <c r="O1125" s="8"/>
      <c r="P1125" s="160"/>
      <c r="Q1125" s="160"/>
      <c r="R1125" s="160"/>
      <c r="S1125" s="160"/>
      <c r="T1125" s="160"/>
      <c r="U1125" s="160"/>
      <c r="V1125" s="160"/>
      <c r="W1125" s="160"/>
      <c r="X1125" s="160"/>
      <c r="Y1125" s="160"/>
      <c r="Z1125" s="160"/>
      <c r="AA1125" s="160"/>
      <c r="AB1125" s="160"/>
    </row>
    <row r="1126">
      <c r="A1126" s="176"/>
      <c r="B1126" s="179"/>
      <c r="C1126" s="184">
        <v>44533.0</v>
      </c>
      <c r="D1126" s="101"/>
      <c r="E1126" s="61"/>
      <c r="F1126" s="61"/>
      <c r="G1126" s="128"/>
      <c r="H1126" s="39"/>
      <c r="I1126" s="39"/>
      <c r="J1126" s="61"/>
      <c r="K1126" s="8"/>
      <c r="L1126" s="8"/>
      <c r="M1126" s="8"/>
      <c r="N1126" s="8"/>
      <c r="O1126" s="8"/>
      <c r="P1126" s="160"/>
      <c r="Q1126" s="160"/>
      <c r="R1126" s="160"/>
      <c r="S1126" s="160"/>
      <c r="T1126" s="160"/>
      <c r="U1126" s="160"/>
      <c r="V1126" s="160"/>
      <c r="W1126" s="160"/>
      <c r="X1126" s="160"/>
      <c r="Y1126" s="160"/>
      <c r="Z1126" s="160"/>
      <c r="AA1126" s="160"/>
      <c r="AB1126" s="160"/>
    </row>
    <row r="1127">
      <c r="A1127" s="176"/>
      <c r="B1127" s="185" t="s">
        <v>1450</v>
      </c>
      <c r="C1127" s="181" t="s">
        <v>1609</v>
      </c>
      <c r="D1127" s="101"/>
      <c r="E1127" s="61"/>
      <c r="F1127" s="61"/>
      <c r="G1127" s="128"/>
      <c r="H1127" s="39"/>
      <c r="I1127" s="39"/>
      <c r="J1127" s="61"/>
      <c r="K1127" s="8"/>
      <c r="L1127" s="8"/>
      <c r="M1127" s="8"/>
      <c r="N1127" s="8"/>
      <c r="O1127" s="8"/>
      <c r="P1127" s="160"/>
      <c r="Q1127" s="160"/>
      <c r="R1127" s="160"/>
      <c r="S1127" s="160"/>
      <c r="T1127" s="160"/>
      <c r="U1127" s="160"/>
      <c r="V1127" s="160"/>
      <c r="W1127" s="160"/>
      <c r="X1127" s="160"/>
      <c r="Y1127" s="160"/>
      <c r="Z1127" s="160"/>
      <c r="AA1127" s="160"/>
      <c r="AB1127" s="160"/>
    </row>
    <row r="1128">
      <c r="A1128" s="176"/>
      <c r="B1128" s="66"/>
      <c r="C1128" s="181" t="s">
        <v>1609</v>
      </c>
      <c r="D1128" s="101"/>
      <c r="E1128" s="200" t="s">
        <v>1830</v>
      </c>
      <c r="F1128" s="11"/>
      <c r="G1128" s="128"/>
      <c r="H1128" s="39"/>
      <c r="I1128" s="39"/>
      <c r="J1128" s="61"/>
      <c r="K1128" s="8"/>
      <c r="L1128" s="8"/>
      <c r="M1128" s="8"/>
      <c r="N1128" s="8"/>
      <c r="O1128" s="8"/>
      <c r="P1128" s="160"/>
      <c r="Q1128" s="160"/>
      <c r="R1128" s="160"/>
      <c r="S1128" s="160"/>
      <c r="T1128" s="160"/>
      <c r="U1128" s="160"/>
      <c r="V1128" s="160"/>
      <c r="W1128" s="160"/>
      <c r="X1128" s="160"/>
      <c r="Y1128" s="160"/>
      <c r="Z1128" s="160"/>
      <c r="AA1128" s="160"/>
      <c r="AB1128" s="160"/>
    </row>
    <row r="1129">
      <c r="A1129" s="176"/>
      <c r="B1129" s="66"/>
      <c r="C1129" s="181" t="s">
        <v>1609</v>
      </c>
      <c r="D1129" s="27" t="s">
        <v>1715</v>
      </c>
      <c r="E1129" s="62" t="s">
        <v>2094</v>
      </c>
      <c r="F1129" s="62" t="s">
        <v>2095</v>
      </c>
      <c r="G1129" s="76" t="s">
        <v>2096</v>
      </c>
      <c r="H1129" s="114" t="s">
        <v>1408</v>
      </c>
      <c r="I1129" s="18" t="s">
        <v>2097</v>
      </c>
      <c r="J1129" s="75" t="s">
        <v>2098</v>
      </c>
      <c r="K1129" s="23"/>
      <c r="L1129" s="8"/>
      <c r="M1129" s="8"/>
      <c r="N1129" s="8"/>
      <c r="O1129" s="8"/>
      <c r="P1129" s="160"/>
      <c r="Q1129" s="160"/>
      <c r="R1129" s="160"/>
      <c r="S1129" s="160"/>
      <c r="T1129" s="160"/>
      <c r="U1129" s="160"/>
      <c r="V1129" s="160"/>
      <c r="W1129" s="160"/>
      <c r="X1129" s="160"/>
      <c r="Y1129" s="160"/>
      <c r="Z1129" s="160"/>
      <c r="AA1129" s="160"/>
      <c r="AB1129" s="160"/>
    </row>
    <row r="1130">
      <c r="A1130" s="176"/>
      <c r="B1130" s="66"/>
      <c r="C1130" s="181" t="s">
        <v>1609</v>
      </c>
      <c r="D1130" s="27" t="s">
        <v>1715</v>
      </c>
      <c r="E1130" s="62" t="s">
        <v>2099</v>
      </c>
      <c r="F1130" s="62" t="s">
        <v>2100</v>
      </c>
      <c r="G1130" s="76" t="s">
        <v>344</v>
      </c>
      <c r="H1130" s="114" t="s">
        <v>2101</v>
      </c>
      <c r="I1130" s="18" t="s">
        <v>2102</v>
      </c>
      <c r="J1130" s="75" t="s">
        <v>2103</v>
      </c>
      <c r="K1130" s="23"/>
      <c r="L1130" s="8"/>
      <c r="M1130" s="8"/>
      <c r="N1130" s="8"/>
      <c r="O1130" s="8"/>
      <c r="P1130" s="160"/>
      <c r="Q1130" s="160"/>
      <c r="R1130" s="160"/>
      <c r="S1130" s="160"/>
      <c r="T1130" s="160"/>
      <c r="U1130" s="160"/>
      <c r="V1130" s="160"/>
      <c r="W1130" s="160"/>
      <c r="X1130" s="160"/>
      <c r="Y1130" s="160"/>
      <c r="Z1130" s="160"/>
      <c r="AA1130" s="160"/>
      <c r="AB1130" s="160"/>
    </row>
    <row r="1131">
      <c r="A1131" s="176"/>
      <c r="B1131" s="66"/>
      <c r="C1131" s="181" t="s">
        <v>1609</v>
      </c>
      <c r="D1131" s="48" t="s">
        <v>1715</v>
      </c>
      <c r="E1131" s="73" t="s">
        <v>2104</v>
      </c>
      <c r="F1131" s="73" t="s">
        <v>2105</v>
      </c>
      <c r="G1131" s="70" t="s">
        <v>366</v>
      </c>
      <c r="H1131" s="226" t="s">
        <v>1408</v>
      </c>
      <c r="I1131" s="44" t="s">
        <v>2106</v>
      </c>
      <c r="J1131" s="69" t="s">
        <v>2107</v>
      </c>
      <c r="K1131" s="38" t="s">
        <v>2108</v>
      </c>
      <c r="L1131" s="8"/>
      <c r="M1131" s="8"/>
      <c r="N1131" s="8"/>
      <c r="O1131" s="8"/>
      <c r="P1131" s="160"/>
      <c r="Q1131" s="160"/>
      <c r="R1131" s="160"/>
      <c r="S1131" s="160"/>
      <c r="T1131" s="160"/>
      <c r="U1131" s="160"/>
      <c r="V1131" s="160"/>
      <c r="W1131" s="160"/>
      <c r="X1131" s="160"/>
      <c r="Y1131" s="160"/>
      <c r="Z1131" s="160"/>
      <c r="AA1131" s="160"/>
      <c r="AB1131" s="160"/>
    </row>
    <row r="1132">
      <c r="A1132" s="176"/>
      <c r="B1132" s="66"/>
      <c r="C1132" s="181" t="s">
        <v>1609</v>
      </c>
      <c r="D1132" s="101"/>
      <c r="E1132" s="61"/>
      <c r="F1132" s="61"/>
      <c r="G1132" s="136"/>
      <c r="H1132" s="39"/>
      <c r="I1132" s="39"/>
      <c r="J1132" s="61"/>
      <c r="K1132" s="8"/>
      <c r="L1132" s="8"/>
      <c r="M1132" s="8"/>
      <c r="N1132" s="8"/>
      <c r="O1132" s="8"/>
      <c r="P1132" s="160"/>
      <c r="Q1132" s="160"/>
      <c r="R1132" s="160"/>
      <c r="S1132" s="160"/>
      <c r="T1132" s="160"/>
      <c r="U1132" s="160"/>
      <c r="V1132" s="160"/>
      <c r="W1132" s="160"/>
      <c r="X1132" s="160"/>
      <c r="Y1132" s="160"/>
      <c r="Z1132" s="160"/>
      <c r="AA1132" s="160"/>
      <c r="AB1132" s="160"/>
    </row>
    <row r="1133">
      <c r="A1133" s="176"/>
      <c r="B1133" s="67"/>
      <c r="C1133" s="181" t="s">
        <v>1609</v>
      </c>
      <c r="D1133" s="101"/>
      <c r="E1133" s="61"/>
      <c r="F1133" s="61"/>
      <c r="G1133" s="128"/>
      <c r="H1133" s="39"/>
      <c r="I1133" s="39"/>
      <c r="J1133" s="61"/>
      <c r="K1133" s="8"/>
      <c r="L1133" s="8"/>
      <c r="M1133" s="8"/>
      <c r="N1133" s="8"/>
      <c r="O1133" s="8"/>
      <c r="P1133" s="160"/>
      <c r="Q1133" s="160"/>
      <c r="R1133" s="160"/>
      <c r="S1133" s="160"/>
      <c r="T1133" s="160"/>
      <c r="U1133" s="160"/>
      <c r="V1133" s="160"/>
      <c r="W1133" s="160"/>
      <c r="X1133" s="160"/>
      <c r="Y1133" s="160"/>
      <c r="Z1133" s="160"/>
      <c r="AA1133" s="160"/>
      <c r="AB1133" s="160"/>
    </row>
    <row r="1134">
      <c r="A1134" s="176"/>
      <c r="B1134" s="179"/>
      <c r="C1134" s="184">
        <v>44536.0</v>
      </c>
      <c r="D1134" s="101"/>
      <c r="E1134" s="61"/>
      <c r="F1134" s="61"/>
      <c r="G1134" s="128"/>
      <c r="H1134" s="39"/>
      <c r="I1134" s="39"/>
      <c r="J1134" s="61"/>
      <c r="K1134" s="8"/>
      <c r="L1134" s="8"/>
      <c r="M1134" s="8"/>
      <c r="N1134" s="8"/>
      <c r="O1134" s="8"/>
      <c r="P1134" s="160"/>
      <c r="Q1134" s="160"/>
      <c r="R1134" s="160"/>
      <c r="S1134" s="160"/>
      <c r="T1134" s="160"/>
      <c r="U1134" s="160"/>
      <c r="V1134" s="160"/>
      <c r="W1134" s="160"/>
      <c r="X1134" s="160"/>
      <c r="Y1134" s="160"/>
      <c r="Z1134" s="160"/>
      <c r="AA1134" s="160"/>
      <c r="AB1134" s="160"/>
    </row>
    <row r="1135">
      <c r="A1135" s="176"/>
      <c r="B1135" s="185" t="s">
        <v>1450</v>
      </c>
      <c r="C1135" s="181" t="s">
        <v>1609</v>
      </c>
      <c r="D1135" s="101"/>
      <c r="E1135" s="200" t="s">
        <v>1830</v>
      </c>
      <c r="F1135" s="11"/>
      <c r="G1135" s="128"/>
      <c r="H1135" s="39"/>
      <c r="I1135" s="39"/>
      <c r="J1135" s="61"/>
      <c r="K1135" s="8"/>
      <c r="L1135" s="8"/>
      <c r="M1135" s="8"/>
      <c r="N1135" s="8"/>
      <c r="O1135" s="8"/>
      <c r="P1135" s="160"/>
      <c r="Q1135" s="160"/>
      <c r="R1135" s="160"/>
      <c r="S1135" s="160"/>
      <c r="T1135" s="160"/>
      <c r="U1135" s="160"/>
      <c r="V1135" s="160"/>
      <c r="W1135" s="160"/>
      <c r="X1135" s="160"/>
      <c r="Y1135" s="160"/>
      <c r="Z1135" s="160"/>
      <c r="AA1135" s="160"/>
      <c r="AB1135" s="160"/>
    </row>
    <row r="1136">
      <c r="A1136" s="176"/>
      <c r="B1136" s="66"/>
      <c r="C1136" s="181"/>
      <c r="D1136" s="27" t="s">
        <v>1717</v>
      </c>
      <c r="E1136" s="62" t="s">
        <v>2109</v>
      </c>
      <c r="F1136" s="62" t="s">
        <v>2110</v>
      </c>
      <c r="G1136" s="22">
        <v>0.4791666666666667</v>
      </c>
      <c r="H1136" s="18" t="s">
        <v>72</v>
      </c>
      <c r="I1136" s="18" t="s">
        <v>2111</v>
      </c>
      <c r="J1136" s="162" t="s">
        <v>2112</v>
      </c>
      <c r="K1136" s="150"/>
      <c r="L1136" s="8"/>
      <c r="M1136" s="8"/>
      <c r="N1136" s="8"/>
      <c r="O1136" s="8"/>
      <c r="P1136" s="160"/>
      <c r="Q1136" s="160"/>
      <c r="R1136" s="160"/>
      <c r="S1136" s="160"/>
      <c r="T1136" s="160"/>
      <c r="U1136" s="160"/>
      <c r="V1136" s="160"/>
      <c r="W1136" s="160"/>
      <c r="X1136" s="160"/>
      <c r="Y1136" s="160"/>
      <c r="Z1136" s="160"/>
      <c r="AA1136" s="160"/>
      <c r="AB1136" s="160"/>
    </row>
    <row r="1137">
      <c r="A1137" s="176"/>
      <c r="B1137" s="66"/>
      <c r="C1137" s="181" t="s">
        <v>1609</v>
      </c>
      <c r="D1137" s="27" t="s">
        <v>1717</v>
      </c>
      <c r="E1137" s="62" t="s">
        <v>2113</v>
      </c>
      <c r="F1137" s="62" t="s">
        <v>2114</v>
      </c>
      <c r="G1137" s="22">
        <v>0.5208333333333334</v>
      </c>
      <c r="H1137" s="18" t="s">
        <v>72</v>
      </c>
      <c r="I1137" s="18" t="s">
        <v>2115</v>
      </c>
      <c r="J1137" s="162" t="s">
        <v>2116</v>
      </c>
      <c r="K1137" s="8"/>
      <c r="L1137" s="8"/>
      <c r="M1137" s="8"/>
      <c r="N1137" s="8"/>
      <c r="O1137" s="8"/>
      <c r="P1137" s="160"/>
      <c r="Q1137" s="160"/>
      <c r="R1137" s="160"/>
      <c r="S1137" s="160"/>
      <c r="T1137" s="160"/>
      <c r="U1137" s="160"/>
      <c r="V1137" s="160"/>
      <c r="W1137" s="160"/>
      <c r="X1137" s="160"/>
      <c r="Y1137" s="160"/>
      <c r="Z1137" s="160"/>
      <c r="AA1137" s="160"/>
      <c r="AB1137" s="160"/>
    </row>
    <row r="1138">
      <c r="A1138" s="176"/>
      <c r="B1138" s="66"/>
      <c r="C1138" s="181" t="s">
        <v>1609</v>
      </c>
      <c r="D1138" s="27" t="s">
        <v>1717</v>
      </c>
      <c r="E1138" s="62" t="s">
        <v>2117</v>
      </c>
      <c r="F1138" s="62" t="s">
        <v>2118</v>
      </c>
      <c r="G1138" s="22">
        <v>0.5833333333333334</v>
      </c>
      <c r="H1138" s="18" t="s">
        <v>1413</v>
      </c>
      <c r="I1138" s="18" t="s">
        <v>2119</v>
      </c>
      <c r="J1138" s="162" t="s">
        <v>874</v>
      </c>
      <c r="K1138" s="8"/>
      <c r="L1138" s="8"/>
      <c r="M1138" s="8"/>
      <c r="N1138" s="8"/>
      <c r="O1138" s="8"/>
      <c r="P1138" s="160"/>
      <c r="Q1138" s="160"/>
      <c r="R1138" s="160"/>
      <c r="S1138" s="160"/>
      <c r="T1138" s="160"/>
      <c r="U1138" s="160"/>
      <c r="V1138" s="160"/>
      <c r="W1138" s="160"/>
      <c r="X1138" s="160"/>
      <c r="Y1138" s="160"/>
      <c r="Z1138" s="160"/>
      <c r="AA1138" s="160"/>
      <c r="AB1138" s="160"/>
    </row>
    <row r="1139">
      <c r="A1139" s="176"/>
      <c r="B1139" s="66"/>
      <c r="C1139" s="181" t="s">
        <v>1609</v>
      </c>
      <c r="D1139" s="101"/>
      <c r="E1139" s="61"/>
      <c r="F1139" s="61"/>
      <c r="G1139" s="128"/>
      <c r="H1139" s="39"/>
      <c r="I1139" s="39"/>
      <c r="J1139" s="61"/>
      <c r="K1139" s="8"/>
      <c r="L1139" s="8"/>
      <c r="M1139" s="8"/>
      <c r="N1139" s="8"/>
      <c r="O1139" s="8"/>
      <c r="P1139" s="160"/>
      <c r="Q1139" s="160"/>
      <c r="R1139" s="160"/>
      <c r="S1139" s="160"/>
      <c r="T1139" s="160"/>
      <c r="U1139" s="160"/>
      <c r="V1139" s="160"/>
      <c r="W1139" s="160"/>
      <c r="X1139" s="160"/>
      <c r="Y1139" s="160"/>
      <c r="Z1139" s="160"/>
      <c r="AA1139" s="160"/>
      <c r="AB1139" s="160"/>
    </row>
    <row r="1140">
      <c r="A1140" s="176"/>
      <c r="B1140" s="66"/>
      <c r="C1140" s="181" t="s">
        <v>1609</v>
      </c>
      <c r="D1140" s="101"/>
      <c r="E1140" s="61"/>
      <c r="F1140" s="61"/>
      <c r="G1140" s="128"/>
      <c r="H1140" s="39"/>
      <c r="I1140" s="39"/>
      <c r="J1140" s="61"/>
      <c r="K1140" s="8"/>
      <c r="L1140" s="8"/>
      <c r="M1140" s="8"/>
      <c r="N1140" s="8"/>
      <c r="O1140" s="8"/>
      <c r="P1140" s="160"/>
      <c r="Q1140" s="160"/>
      <c r="R1140" s="160"/>
      <c r="S1140" s="160"/>
      <c r="T1140" s="160"/>
      <c r="U1140" s="160"/>
      <c r="V1140" s="160"/>
      <c r="W1140" s="160"/>
      <c r="X1140" s="160"/>
      <c r="Y1140" s="160"/>
      <c r="Z1140" s="160"/>
      <c r="AA1140" s="160"/>
      <c r="AB1140" s="160"/>
    </row>
    <row r="1141">
      <c r="A1141" s="176"/>
      <c r="B1141" s="67"/>
      <c r="C1141" s="181" t="s">
        <v>1609</v>
      </c>
      <c r="D1141" s="101"/>
      <c r="E1141" s="61"/>
      <c r="F1141" s="61"/>
      <c r="G1141" s="128"/>
      <c r="H1141" s="39"/>
      <c r="I1141" s="39"/>
      <c r="J1141" s="61"/>
      <c r="K1141" s="8"/>
      <c r="L1141" s="8"/>
      <c r="M1141" s="8"/>
      <c r="N1141" s="8"/>
      <c r="O1141" s="8"/>
      <c r="P1141" s="160"/>
      <c r="Q1141" s="160"/>
      <c r="R1141" s="160"/>
      <c r="S1141" s="160"/>
      <c r="T1141" s="160"/>
      <c r="U1141" s="160"/>
      <c r="V1141" s="160"/>
      <c r="W1141" s="160"/>
      <c r="X1141" s="160"/>
      <c r="Y1141" s="160"/>
      <c r="Z1141" s="160"/>
      <c r="AA1141" s="160"/>
      <c r="AB1141" s="160"/>
    </row>
    <row r="1142">
      <c r="A1142" s="176"/>
      <c r="B1142" s="179"/>
      <c r="C1142" s="184">
        <v>44537.0</v>
      </c>
      <c r="D1142" s="101"/>
      <c r="E1142" s="61"/>
      <c r="F1142" s="61"/>
      <c r="G1142" s="128"/>
      <c r="H1142" s="39"/>
      <c r="I1142" s="39"/>
      <c r="J1142" s="61"/>
      <c r="K1142" s="8"/>
      <c r="L1142" s="8"/>
      <c r="M1142" s="8"/>
      <c r="N1142" s="8"/>
      <c r="O1142" s="8"/>
      <c r="P1142" s="160"/>
      <c r="Q1142" s="160"/>
      <c r="R1142" s="160"/>
      <c r="S1142" s="160"/>
      <c r="T1142" s="160"/>
      <c r="U1142" s="160"/>
      <c r="V1142" s="160"/>
      <c r="W1142" s="160"/>
      <c r="X1142" s="160"/>
      <c r="Y1142" s="160"/>
      <c r="Z1142" s="160"/>
      <c r="AA1142" s="160"/>
      <c r="AB1142" s="160"/>
    </row>
    <row r="1143">
      <c r="A1143" s="176"/>
      <c r="B1143" s="185" t="s">
        <v>1450</v>
      </c>
      <c r="C1143" s="181" t="s">
        <v>1609</v>
      </c>
      <c r="D1143" s="101"/>
      <c r="E1143" s="200" t="s">
        <v>1830</v>
      </c>
      <c r="F1143" s="11"/>
      <c r="G1143" s="128"/>
      <c r="H1143" s="39"/>
      <c r="I1143" s="39"/>
      <c r="J1143" s="61"/>
      <c r="K1143" s="8"/>
      <c r="L1143" s="8"/>
      <c r="M1143" s="8"/>
      <c r="N1143" s="8"/>
      <c r="O1143" s="8"/>
      <c r="P1143" s="160"/>
      <c r="Q1143" s="160"/>
      <c r="R1143" s="160"/>
      <c r="S1143" s="160"/>
      <c r="T1143" s="160"/>
      <c r="U1143" s="160"/>
      <c r="V1143" s="160"/>
      <c r="W1143" s="160"/>
      <c r="X1143" s="160"/>
      <c r="Y1143" s="160"/>
      <c r="Z1143" s="160"/>
      <c r="AA1143" s="160"/>
      <c r="AB1143" s="160"/>
    </row>
    <row r="1144">
      <c r="A1144" s="176"/>
      <c r="B1144" s="66"/>
      <c r="C1144" s="181" t="s">
        <v>1609</v>
      </c>
      <c r="D1144" s="27" t="s">
        <v>1717</v>
      </c>
      <c r="E1144" s="196" t="s">
        <v>2052</v>
      </c>
      <c r="F1144" s="212" t="s">
        <v>2053</v>
      </c>
      <c r="G1144" s="213">
        <v>0.5833333333333334</v>
      </c>
      <c r="H1144" s="198" t="s">
        <v>2054</v>
      </c>
      <c r="I1144" s="225" t="s">
        <v>2120</v>
      </c>
      <c r="J1144" s="198" t="s">
        <v>2056</v>
      </c>
      <c r="K1144" s="8"/>
      <c r="L1144" s="8"/>
      <c r="M1144" s="8"/>
      <c r="N1144" s="8"/>
      <c r="O1144" s="8"/>
      <c r="P1144" s="160"/>
      <c r="Q1144" s="160"/>
      <c r="R1144" s="160"/>
      <c r="S1144" s="160"/>
      <c r="T1144" s="160"/>
      <c r="U1144" s="160"/>
      <c r="V1144" s="160"/>
      <c r="W1144" s="160"/>
      <c r="X1144" s="160"/>
      <c r="Y1144" s="160"/>
      <c r="Z1144" s="160"/>
      <c r="AA1144" s="160"/>
      <c r="AB1144" s="160"/>
    </row>
    <row r="1145">
      <c r="A1145" s="176"/>
      <c r="B1145" s="66"/>
      <c r="C1145" s="181" t="s">
        <v>1609</v>
      </c>
      <c r="D1145" s="48" t="s">
        <v>1717</v>
      </c>
      <c r="E1145" s="220" t="s">
        <v>2058</v>
      </c>
      <c r="F1145" s="227" t="s">
        <v>2059</v>
      </c>
      <c r="G1145" s="228">
        <v>0.5833333333333334</v>
      </c>
      <c r="H1145" s="227" t="s">
        <v>2054</v>
      </c>
      <c r="I1145" s="229" t="s">
        <v>2120</v>
      </c>
      <c r="J1145" s="227" t="s">
        <v>2056</v>
      </c>
      <c r="K1145" s="39" t="s">
        <v>2121</v>
      </c>
      <c r="L1145" s="8"/>
      <c r="M1145" s="8"/>
      <c r="N1145" s="8"/>
      <c r="O1145" s="8"/>
      <c r="P1145" s="160"/>
      <c r="Q1145" s="160"/>
      <c r="R1145" s="160"/>
      <c r="S1145" s="160"/>
      <c r="T1145" s="160"/>
      <c r="U1145" s="160"/>
      <c r="V1145" s="160"/>
      <c r="W1145" s="160"/>
      <c r="X1145" s="160"/>
      <c r="Y1145" s="160"/>
      <c r="Z1145" s="160"/>
      <c r="AA1145" s="160"/>
      <c r="AB1145" s="160"/>
    </row>
    <row r="1146">
      <c r="A1146" s="176"/>
      <c r="B1146" s="66"/>
      <c r="C1146" s="181" t="s">
        <v>1609</v>
      </c>
      <c r="D1146" s="48" t="s">
        <v>1717</v>
      </c>
      <c r="E1146" s="220" t="s">
        <v>2060</v>
      </c>
      <c r="F1146" s="227" t="s">
        <v>2061</v>
      </c>
      <c r="G1146" s="228">
        <v>0.5833333333333334</v>
      </c>
      <c r="H1146" s="227" t="s">
        <v>2054</v>
      </c>
      <c r="I1146" s="229" t="s">
        <v>2120</v>
      </c>
      <c r="J1146" s="227" t="s">
        <v>2056</v>
      </c>
      <c r="K1146" s="39" t="s">
        <v>2121</v>
      </c>
      <c r="L1146" s="8"/>
      <c r="M1146" s="8"/>
      <c r="N1146" s="8"/>
      <c r="O1146" s="8"/>
      <c r="P1146" s="160"/>
      <c r="Q1146" s="160"/>
      <c r="R1146" s="160"/>
      <c r="S1146" s="160"/>
      <c r="T1146" s="160"/>
      <c r="U1146" s="160"/>
      <c r="V1146" s="160"/>
      <c r="W1146" s="160"/>
      <c r="X1146" s="160"/>
      <c r="Y1146" s="160"/>
      <c r="Z1146" s="160"/>
      <c r="AA1146" s="160"/>
      <c r="AB1146" s="160"/>
    </row>
    <row r="1147">
      <c r="A1147" s="176"/>
      <c r="B1147" s="66"/>
      <c r="C1147" s="181" t="s">
        <v>1609</v>
      </c>
      <c r="D1147" s="27" t="s">
        <v>1717</v>
      </c>
      <c r="E1147" s="230" t="s">
        <v>408</v>
      </c>
      <c r="F1147" s="231" t="s">
        <v>409</v>
      </c>
      <c r="G1147" s="232">
        <v>0.5833333333333334</v>
      </c>
      <c r="H1147" s="233" t="s">
        <v>2054</v>
      </c>
      <c r="I1147" s="234" t="s">
        <v>2120</v>
      </c>
      <c r="J1147" s="233" t="s">
        <v>2056</v>
      </c>
      <c r="K1147" s="8"/>
      <c r="L1147" s="8"/>
      <c r="M1147" s="8"/>
      <c r="N1147" s="8"/>
      <c r="O1147" s="8"/>
      <c r="P1147" s="160"/>
      <c r="Q1147" s="160"/>
      <c r="R1147" s="160"/>
      <c r="S1147" s="160"/>
      <c r="T1147" s="160"/>
      <c r="U1147" s="160"/>
      <c r="V1147" s="160"/>
      <c r="W1147" s="160"/>
      <c r="X1147" s="160"/>
      <c r="Y1147" s="160"/>
      <c r="Z1147" s="160"/>
      <c r="AA1147" s="160"/>
      <c r="AB1147" s="160"/>
    </row>
    <row r="1148">
      <c r="A1148" s="176"/>
      <c r="B1148" s="66"/>
      <c r="C1148" s="181" t="s">
        <v>1609</v>
      </c>
      <c r="D1148" s="27" t="s">
        <v>1717</v>
      </c>
      <c r="E1148" s="235" t="s">
        <v>2062</v>
      </c>
      <c r="F1148" s="233" t="s">
        <v>2063</v>
      </c>
      <c r="G1148" s="232">
        <v>0.5833333333333334</v>
      </c>
      <c r="H1148" s="233" t="s">
        <v>2054</v>
      </c>
      <c r="I1148" s="234" t="s">
        <v>2120</v>
      </c>
      <c r="J1148" s="233" t="s">
        <v>2056</v>
      </c>
      <c r="K1148" s="8"/>
      <c r="L1148" s="8"/>
      <c r="M1148" s="8"/>
      <c r="N1148" s="8"/>
      <c r="O1148" s="8"/>
      <c r="P1148" s="160"/>
      <c r="Q1148" s="160"/>
      <c r="R1148" s="160"/>
      <c r="S1148" s="160"/>
      <c r="T1148" s="160"/>
      <c r="U1148" s="160"/>
      <c r="V1148" s="160"/>
      <c r="W1148" s="160"/>
      <c r="X1148" s="160"/>
      <c r="Y1148" s="160"/>
      <c r="Z1148" s="160"/>
      <c r="AA1148" s="160"/>
      <c r="AB1148" s="160"/>
    </row>
    <row r="1149">
      <c r="A1149" s="176"/>
      <c r="B1149" s="66"/>
      <c r="C1149" s="181" t="s">
        <v>1609</v>
      </c>
      <c r="D1149" s="27" t="s">
        <v>1717</v>
      </c>
      <c r="E1149" s="235" t="s">
        <v>2064</v>
      </c>
      <c r="F1149" s="233" t="s">
        <v>2065</v>
      </c>
      <c r="G1149" s="232">
        <v>0.5833333333333334</v>
      </c>
      <c r="H1149" s="233" t="s">
        <v>2054</v>
      </c>
      <c r="I1149" s="234" t="s">
        <v>2120</v>
      </c>
      <c r="J1149" s="233" t="s">
        <v>2056</v>
      </c>
      <c r="K1149" s="8"/>
      <c r="L1149" s="8"/>
      <c r="M1149" s="8"/>
      <c r="N1149" s="8"/>
      <c r="O1149" s="8"/>
      <c r="P1149" s="160"/>
      <c r="Q1149" s="160"/>
      <c r="R1149" s="160"/>
      <c r="S1149" s="160"/>
      <c r="T1149" s="160"/>
      <c r="U1149" s="160"/>
      <c r="V1149" s="160"/>
      <c r="W1149" s="160"/>
      <c r="X1149" s="160"/>
      <c r="Y1149" s="160"/>
      <c r="Z1149" s="160"/>
      <c r="AA1149" s="160"/>
      <c r="AB1149" s="160"/>
    </row>
    <row r="1150">
      <c r="A1150" s="176"/>
      <c r="B1150" s="66"/>
      <c r="C1150" s="181" t="s">
        <v>1609</v>
      </c>
      <c r="D1150" s="27" t="s">
        <v>1717</v>
      </c>
      <c r="E1150" s="230" t="s">
        <v>416</v>
      </c>
      <c r="F1150" s="231" t="s">
        <v>417</v>
      </c>
      <c r="G1150" s="232">
        <v>0.5833333333333334</v>
      </c>
      <c r="H1150" s="233" t="s">
        <v>2054</v>
      </c>
      <c r="I1150" s="234" t="s">
        <v>2120</v>
      </c>
      <c r="J1150" s="233" t="s">
        <v>2056</v>
      </c>
      <c r="K1150" s="8"/>
      <c r="L1150" s="8"/>
      <c r="M1150" s="8"/>
      <c r="N1150" s="8"/>
      <c r="O1150" s="8"/>
      <c r="P1150" s="160"/>
      <c r="Q1150" s="160"/>
      <c r="R1150" s="160"/>
      <c r="S1150" s="160"/>
      <c r="T1150" s="160"/>
      <c r="U1150" s="160"/>
      <c r="V1150" s="160"/>
      <c r="W1150" s="160"/>
      <c r="X1150" s="160"/>
      <c r="Y1150" s="160"/>
      <c r="Z1150" s="160"/>
      <c r="AA1150" s="160"/>
      <c r="AB1150" s="160"/>
    </row>
    <row r="1151">
      <c r="A1151" s="176"/>
      <c r="B1151" s="66"/>
      <c r="C1151" s="181" t="s">
        <v>1609</v>
      </c>
      <c r="D1151" s="27" t="s">
        <v>1717</v>
      </c>
      <c r="E1151" s="230" t="s">
        <v>399</v>
      </c>
      <c r="F1151" s="231" t="s">
        <v>400</v>
      </c>
      <c r="G1151" s="232">
        <v>0.5833333333333334</v>
      </c>
      <c r="H1151" s="233" t="s">
        <v>2054</v>
      </c>
      <c r="I1151" s="234" t="s">
        <v>2120</v>
      </c>
      <c r="J1151" s="233" t="s">
        <v>2056</v>
      </c>
      <c r="K1151" s="39"/>
      <c r="L1151" s="8"/>
      <c r="M1151" s="8"/>
      <c r="N1151" s="8"/>
      <c r="O1151" s="8"/>
      <c r="P1151" s="160"/>
      <c r="Q1151" s="160"/>
      <c r="R1151" s="160"/>
      <c r="S1151" s="160"/>
      <c r="T1151" s="160"/>
      <c r="U1151" s="160"/>
      <c r="V1151" s="160"/>
      <c r="W1151" s="160"/>
      <c r="X1151" s="160"/>
      <c r="Y1151" s="160"/>
      <c r="Z1151" s="160"/>
      <c r="AA1151" s="160"/>
      <c r="AB1151" s="160"/>
    </row>
    <row r="1152">
      <c r="A1152" s="176"/>
      <c r="B1152" s="66"/>
      <c r="C1152" s="181" t="s">
        <v>1609</v>
      </c>
      <c r="D1152" s="27" t="s">
        <v>1717</v>
      </c>
      <c r="E1152" s="230" t="s">
        <v>414</v>
      </c>
      <c r="F1152" s="231" t="s">
        <v>415</v>
      </c>
      <c r="G1152" s="232">
        <v>0.5833333333333334</v>
      </c>
      <c r="H1152" s="233" t="s">
        <v>2054</v>
      </c>
      <c r="I1152" s="234" t="s">
        <v>2120</v>
      </c>
      <c r="J1152" s="233" t="s">
        <v>2056</v>
      </c>
      <c r="K1152" s="8"/>
      <c r="L1152" s="8"/>
      <c r="M1152" s="8"/>
      <c r="N1152" s="8"/>
      <c r="O1152" s="8"/>
      <c r="P1152" s="160"/>
      <c r="Q1152" s="160"/>
      <c r="R1152" s="160"/>
      <c r="S1152" s="160"/>
      <c r="T1152" s="160"/>
      <c r="U1152" s="160"/>
      <c r="V1152" s="160"/>
      <c r="W1152" s="160"/>
      <c r="X1152" s="160"/>
      <c r="Y1152" s="160"/>
      <c r="Z1152" s="160"/>
      <c r="AA1152" s="160"/>
      <c r="AB1152" s="160"/>
    </row>
    <row r="1153">
      <c r="A1153" s="176"/>
      <c r="B1153" s="66"/>
      <c r="C1153" s="181" t="s">
        <v>1609</v>
      </c>
      <c r="D1153" s="27" t="s">
        <v>1717</v>
      </c>
      <c r="E1153" s="230" t="s">
        <v>404</v>
      </c>
      <c r="F1153" s="231" t="s">
        <v>405</v>
      </c>
      <c r="G1153" s="232">
        <v>0.5833333333333334</v>
      </c>
      <c r="H1153" s="233" t="s">
        <v>2054</v>
      </c>
      <c r="I1153" s="234" t="s">
        <v>2120</v>
      </c>
      <c r="J1153" s="233" t="s">
        <v>2056</v>
      </c>
      <c r="K1153" s="8"/>
      <c r="L1153" s="8"/>
      <c r="M1153" s="8"/>
      <c r="N1153" s="8"/>
      <c r="O1153" s="8"/>
      <c r="P1153" s="160"/>
      <c r="Q1153" s="160"/>
      <c r="R1153" s="160"/>
      <c r="S1153" s="160"/>
      <c r="T1153" s="160"/>
      <c r="U1153" s="160"/>
      <c r="V1153" s="160"/>
      <c r="W1153" s="160"/>
      <c r="X1153" s="160"/>
      <c r="Y1153" s="160"/>
      <c r="Z1153" s="160"/>
      <c r="AA1153" s="160"/>
      <c r="AB1153" s="160"/>
    </row>
    <row r="1154">
      <c r="A1154" s="176"/>
      <c r="B1154" s="67"/>
      <c r="C1154" s="181" t="s">
        <v>1609</v>
      </c>
      <c r="D1154" s="189"/>
      <c r="E1154" s="209"/>
      <c r="F1154" s="209"/>
      <c r="G1154" s="236"/>
      <c r="H1154" s="192"/>
      <c r="I1154" s="192"/>
      <c r="J1154" s="209"/>
      <c r="K1154" s="8"/>
      <c r="L1154" s="8"/>
      <c r="M1154" s="8"/>
      <c r="N1154" s="8"/>
      <c r="O1154" s="8"/>
      <c r="P1154" s="160"/>
      <c r="Q1154" s="160"/>
      <c r="R1154" s="160"/>
      <c r="S1154" s="160"/>
      <c r="T1154" s="160"/>
      <c r="U1154" s="160"/>
      <c r="V1154" s="160"/>
      <c r="W1154" s="160"/>
      <c r="X1154" s="160"/>
      <c r="Y1154" s="160"/>
      <c r="Z1154" s="160"/>
      <c r="AA1154" s="160"/>
      <c r="AB1154" s="160"/>
    </row>
    <row r="1155">
      <c r="A1155" s="176"/>
      <c r="B1155" s="179"/>
      <c r="C1155" s="184">
        <v>44538.0</v>
      </c>
      <c r="D1155" s="101"/>
      <c r="E1155" s="200" t="s">
        <v>1830</v>
      </c>
      <c r="F1155" s="11"/>
      <c r="G1155" s="128"/>
      <c r="H1155" s="39"/>
      <c r="I1155" s="39"/>
      <c r="J1155" s="61"/>
      <c r="K1155" s="8"/>
      <c r="L1155" s="8"/>
      <c r="M1155" s="8"/>
      <c r="N1155" s="8"/>
      <c r="O1155" s="8"/>
      <c r="P1155" s="160"/>
      <c r="Q1155" s="160"/>
      <c r="R1155" s="160"/>
      <c r="S1155" s="160"/>
      <c r="T1155" s="160"/>
      <c r="U1155" s="160"/>
      <c r="V1155" s="160"/>
      <c r="W1155" s="160"/>
      <c r="X1155" s="160"/>
      <c r="Y1155" s="160"/>
      <c r="Z1155" s="160"/>
      <c r="AA1155" s="160"/>
      <c r="AB1155" s="160"/>
    </row>
    <row r="1156">
      <c r="A1156" s="176"/>
      <c r="B1156" s="185" t="s">
        <v>1450</v>
      </c>
      <c r="C1156" s="181" t="s">
        <v>1609</v>
      </c>
      <c r="D1156" s="101"/>
      <c r="E1156" s="61"/>
      <c r="F1156" s="61"/>
      <c r="G1156" s="128"/>
      <c r="H1156" s="39"/>
      <c r="I1156" s="39"/>
      <c r="J1156" s="61"/>
      <c r="K1156" s="8"/>
      <c r="L1156" s="8"/>
      <c r="M1156" s="8"/>
      <c r="N1156" s="8"/>
      <c r="O1156" s="8"/>
      <c r="P1156" s="160"/>
      <c r="Q1156" s="160"/>
      <c r="R1156" s="160"/>
      <c r="S1156" s="160"/>
      <c r="T1156" s="160"/>
      <c r="U1156" s="160"/>
      <c r="V1156" s="160"/>
      <c r="W1156" s="160"/>
      <c r="X1156" s="160"/>
      <c r="Y1156" s="160"/>
      <c r="Z1156" s="160"/>
      <c r="AA1156" s="160"/>
      <c r="AB1156" s="160"/>
    </row>
    <row r="1157">
      <c r="A1157" s="176"/>
      <c r="B1157" s="66"/>
      <c r="C1157" s="181" t="s">
        <v>1609</v>
      </c>
      <c r="D1157" s="48" t="s">
        <v>1715</v>
      </c>
      <c r="E1157" s="73" t="s">
        <v>2122</v>
      </c>
      <c r="F1157" s="73" t="s">
        <v>2123</v>
      </c>
      <c r="G1157" s="70" t="s">
        <v>344</v>
      </c>
      <c r="H1157" s="201" t="s">
        <v>2124</v>
      </c>
      <c r="I1157" s="44" t="s">
        <v>2125</v>
      </c>
      <c r="J1157" s="202" t="s">
        <v>2126</v>
      </c>
      <c r="K1157" s="39" t="s">
        <v>2127</v>
      </c>
      <c r="L1157" s="8"/>
      <c r="M1157" s="8"/>
      <c r="N1157" s="8"/>
      <c r="O1157" s="8"/>
      <c r="P1157" s="160"/>
      <c r="Q1157" s="160"/>
      <c r="R1157" s="160"/>
      <c r="S1157" s="160"/>
      <c r="T1157" s="160"/>
      <c r="U1157" s="160"/>
      <c r="V1157" s="160"/>
      <c r="W1157" s="160"/>
      <c r="X1157" s="160"/>
      <c r="Y1157" s="160"/>
      <c r="Z1157" s="160"/>
      <c r="AA1157" s="160"/>
      <c r="AB1157" s="160"/>
    </row>
    <row r="1158">
      <c r="A1158" s="176"/>
      <c r="B1158" s="66"/>
      <c r="C1158" s="181" t="s">
        <v>1609</v>
      </c>
      <c r="D1158" s="48" t="s">
        <v>1715</v>
      </c>
      <c r="E1158" s="73" t="s">
        <v>2104</v>
      </c>
      <c r="F1158" s="73" t="s">
        <v>2105</v>
      </c>
      <c r="G1158" s="70" t="s">
        <v>366</v>
      </c>
      <c r="H1158" s="226" t="s">
        <v>1408</v>
      </c>
      <c r="I1158" s="44" t="s">
        <v>2106</v>
      </c>
      <c r="J1158" s="69" t="s">
        <v>2107</v>
      </c>
      <c r="K1158" s="192" t="s">
        <v>2128</v>
      </c>
      <c r="L1158" s="190"/>
      <c r="M1158" s="8"/>
      <c r="N1158" s="8"/>
      <c r="O1158" s="8"/>
      <c r="P1158" s="160"/>
      <c r="Q1158" s="160"/>
      <c r="R1158" s="160"/>
      <c r="S1158" s="160"/>
      <c r="T1158" s="160"/>
      <c r="U1158" s="160"/>
      <c r="V1158" s="160"/>
      <c r="W1158" s="160"/>
      <c r="X1158" s="160"/>
      <c r="Y1158" s="160"/>
      <c r="Z1158" s="160"/>
      <c r="AA1158" s="160"/>
      <c r="AB1158" s="160"/>
    </row>
    <row r="1159">
      <c r="A1159" s="176"/>
      <c r="B1159" s="66"/>
      <c r="C1159" s="181" t="s">
        <v>1609</v>
      </c>
      <c r="D1159" s="27" t="s">
        <v>1715</v>
      </c>
      <c r="E1159" s="62" t="s">
        <v>2129</v>
      </c>
      <c r="F1159" s="62" t="s">
        <v>2130</v>
      </c>
      <c r="G1159" s="76" t="s">
        <v>575</v>
      </c>
      <c r="H1159" s="114" t="s">
        <v>924</v>
      </c>
      <c r="I1159" s="18" t="s">
        <v>2131</v>
      </c>
      <c r="J1159" s="75" t="s">
        <v>2132</v>
      </c>
      <c r="K1159" s="8"/>
      <c r="L1159" s="8"/>
      <c r="M1159" s="8"/>
      <c r="N1159" s="8"/>
      <c r="O1159" s="8"/>
      <c r="P1159" s="160"/>
      <c r="Q1159" s="160"/>
      <c r="R1159" s="160"/>
      <c r="S1159" s="160"/>
      <c r="T1159" s="160"/>
      <c r="U1159" s="160"/>
      <c r="V1159" s="160"/>
      <c r="W1159" s="160"/>
      <c r="X1159" s="160"/>
      <c r="Y1159" s="160"/>
      <c r="Z1159" s="160"/>
      <c r="AA1159" s="160"/>
      <c r="AB1159" s="160"/>
    </row>
    <row r="1160">
      <c r="A1160" s="176"/>
      <c r="B1160" s="66"/>
      <c r="C1160" s="181"/>
      <c r="D1160" s="48" t="s">
        <v>1715</v>
      </c>
      <c r="E1160" s="155" t="s">
        <v>2133</v>
      </c>
      <c r="F1160" s="155" t="s">
        <v>2134</v>
      </c>
      <c r="G1160" s="43">
        <v>0.6458333333333334</v>
      </c>
      <c r="H1160" s="201" t="s">
        <v>790</v>
      </c>
      <c r="I1160" s="44" t="s">
        <v>2135</v>
      </c>
      <c r="J1160" s="202" t="s">
        <v>2136</v>
      </c>
      <c r="K1160" s="39" t="s">
        <v>2137</v>
      </c>
      <c r="L1160" s="8"/>
      <c r="M1160" s="8"/>
      <c r="N1160" s="8"/>
      <c r="O1160" s="8"/>
      <c r="P1160" s="160"/>
      <c r="Q1160" s="160"/>
      <c r="R1160" s="160"/>
      <c r="S1160" s="160"/>
      <c r="T1160" s="160"/>
      <c r="U1160" s="160"/>
      <c r="V1160" s="160"/>
      <c r="W1160" s="160"/>
      <c r="X1160" s="160"/>
      <c r="Y1160" s="160"/>
      <c r="Z1160" s="160"/>
      <c r="AA1160" s="160"/>
      <c r="AB1160" s="160"/>
    </row>
    <row r="1161">
      <c r="A1161" s="176"/>
      <c r="B1161" s="66"/>
      <c r="C1161" s="181" t="s">
        <v>1609</v>
      </c>
      <c r="D1161" s="48" t="s">
        <v>1715</v>
      </c>
      <c r="E1161" s="73" t="s">
        <v>2138</v>
      </c>
      <c r="F1161" s="73" t="s">
        <v>2139</v>
      </c>
      <c r="G1161" s="70" t="s">
        <v>856</v>
      </c>
      <c r="H1161" s="226" t="s">
        <v>195</v>
      </c>
      <c r="I1161" s="44" t="s">
        <v>2140</v>
      </c>
      <c r="J1161" s="69" t="s">
        <v>2141</v>
      </c>
      <c r="K1161" s="39" t="s">
        <v>2142</v>
      </c>
      <c r="L1161" s="8"/>
      <c r="M1161" s="8"/>
      <c r="N1161" s="8"/>
      <c r="O1161" s="8"/>
      <c r="P1161" s="160"/>
      <c r="Q1161" s="160"/>
      <c r="R1161" s="160"/>
      <c r="S1161" s="160"/>
      <c r="T1161" s="160"/>
      <c r="U1161" s="160"/>
      <c r="V1161" s="160"/>
      <c r="W1161" s="160"/>
      <c r="X1161" s="160"/>
      <c r="Y1161" s="160"/>
      <c r="Z1161" s="160"/>
      <c r="AA1161" s="160"/>
      <c r="AB1161" s="160"/>
    </row>
    <row r="1162">
      <c r="A1162" s="176"/>
      <c r="B1162" s="66"/>
      <c r="C1162" s="181" t="s">
        <v>1609</v>
      </c>
      <c r="D1162" s="101"/>
      <c r="E1162" s="61"/>
      <c r="F1162" s="61"/>
      <c r="G1162" s="128"/>
      <c r="H1162" s="39"/>
      <c r="I1162" s="39"/>
      <c r="J1162" s="61"/>
      <c r="K1162" s="8"/>
      <c r="L1162" s="8"/>
      <c r="M1162" s="8"/>
      <c r="N1162" s="8"/>
      <c r="O1162" s="8"/>
      <c r="P1162" s="160"/>
      <c r="Q1162" s="160"/>
      <c r="R1162" s="160"/>
      <c r="S1162" s="160"/>
      <c r="T1162" s="160"/>
      <c r="U1162" s="160"/>
      <c r="V1162" s="160"/>
      <c r="W1162" s="160"/>
      <c r="X1162" s="160"/>
      <c r="Y1162" s="160"/>
      <c r="Z1162" s="160"/>
      <c r="AA1162" s="160"/>
      <c r="AB1162" s="160"/>
    </row>
    <row r="1163">
      <c r="A1163" s="176"/>
      <c r="B1163" s="67"/>
      <c r="C1163" s="181" t="s">
        <v>1609</v>
      </c>
      <c r="D1163" s="101"/>
      <c r="E1163" s="61"/>
      <c r="F1163" s="61"/>
      <c r="G1163" s="128"/>
      <c r="H1163" s="39"/>
      <c r="I1163" s="39"/>
      <c r="J1163" s="61"/>
      <c r="K1163" s="8"/>
      <c r="L1163" s="8"/>
      <c r="M1163" s="8"/>
      <c r="N1163" s="8"/>
      <c r="O1163" s="8"/>
      <c r="P1163" s="160"/>
      <c r="Q1163" s="160"/>
      <c r="R1163" s="160"/>
      <c r="S1163" s="160"/>
      <c r="T1163" s="160"/>
      <c r="U1163" s="160"/>
      <c r="V1163" s="160"/>
      <c r="W1163" s="160"/>
      <c r="X1163" s="160"/>
      <c r="Y1163" s="160"/>
      <c r="Z1163" s="160"/>
      <c r="AA1163" s="160"/>
      <c r="AB1163" s="160"/>
    </row>
    <row r="1164">
      <c r="A1164" s="176"/>
      <c r="B1164" s="179"/>
      <c r="C1164" s="184">
        <v>44539.0</v>
      </c>
      <c r="D1164" s="101"/>
      <c r="E1164" s="61"/>
      <c r="F1164" s="61"/>
      <c r="G1164" s="128"/>
      <c r="H1164" s="39"/>
      <c r="I1164" s="39"/>
      <c r="J1164" s="61"/>
      <c r="K1164" s="8"/>
      <c r="L1164" s="8"/>
      <c r="M1164" s="8"/>
      <c r="N1164" s="8"/>
      <c r="O1164" s="8"/>
      <c r="P1164" s="160"/>
      <c r="Q1164" s="160"/>
      <c r="R1164" s="160"/>
      <c r="S1164" s="160"/>
      <c r="T1164" s="160"/>
      <c r="U1164" s="160"/>
      <c r="V1164" s="160"/>
      <c r="W1164" s="160"/>
      <c r="X1164" s="160"/>
      <c r="Y1164" s="160"/>
      <c r="Z1164" s="160"/>
      <c r="AA1164" s="160"/>
      <c r="AB1164" s="160"/>
    </row>
    <row r="1165">
      <c r="A1165" s="176"/>
      <c r="B1165" s="185" t="s">
        <v>1450</v>
      </c>
      <c r="C1165" s="181" t="s">
        <v>1609</v>
      </c>
      <c r="D1165" s="101"/>
      <c r="E1165" s="61"/>
      <c r="F1165" s="61"/>
      <c r="G1165" s="128"/>
      <c r="H1165" s="39"/>
      <c r="I1165" s="39"/>
      <c r="J1165" s="61"/>
      <c r="K1165" s="8"/>
      <c r="L1165" s="8"/>
      <c r="M1165" s="8"/>
      <c r="N1165" s="8"/>
      <c r="O1165" s="8"/>
      <c r="P1165" s="160"/>
      <c r="Q1165" s="160"/>
      <c r="R1165" s="160"/>
      <c r="S1165" s="160"/>
      <c r="T1165" s="160"/>
      <c r="U1165" s="160"/>
      <c r="V1165" s="160"/>
      <c r="W1165" s="160"/>
      <c r="X1165" s="160"/>
      <c r="Y1165" s="160"/>
      <c r="Z1165" s="160"/>
      <c r="AA1165" s="160"/>
      <c r="AB1165" s="160"/>
    </row>
    <row r="1166">
      <c r="A1166" s="176"/>
      <c r="B1166" s="66"/>
      <c r="C1166" s="181" t="s">
        <v>1609</v>
      </c>
      <c r="D1166" s="101"/>
      <c r="E1166" s="178" t="s">
        <v>1708</v>
      </c>
      <c r="F1166" s="52"/>
      <c r="G1166" s="128"/>
      <c r="H1166" s="39"/>
      <c r="I1166" s="39"/>
      <c r="J1166" s="61"/>
      <c r="K1166" s="8"/>
      <c r="L1166" s="8"/>
      <c r="M1166" s="8"/>
      <c r="N1166" s="8"/>
      <c r="O1166" s="8"/>
      <c r="P1166" s="160"/>
      <c r="Q1166" s="160"/>
      <c r="R1166" s="160"/>
      <c r="S1166" s="160"/>
      <c r="T1166" s="160"/>
      <c r="U1166" s="160"/>
      <c r="V1166" s="160"/>
      <c r="W1166" s="160"/>
      <c r="X1166" s="160"/>
      <c r="Y1166" s="160"/>
      <c r="Z1166" s="160"/>
      <c r="AA1166" s="160"/>
      <c r="AB1166" s="160"/>
    </row>
    <row r="1167">
      <c r="A1167" s="176"/>
      <c r="B1167" s="66"/>
      <c r="C1167" s="181" t="s">
        <v>1609</v>
      </c>
      <c r="D1167" s="101"/>
      <c r="E1167" s="53"/>
      <c r="F1167" s="54"/>
      <c r="G1167" s="128"/>
      <c r="H1167" s="39"/>
      <c r="I1167" s="39"/>
      <c r="J1167" s="61"/>
      <c r="K1167" s="8"/>
      <c r="L1167" s="8"/>
      <c r="M1167" s="8"/>
      <c r="N1167" s="8"/>
      <c r="O1167" s="8"/>
      <c r="P1167" s="160"/>
      <c r="Q1167" s="160"/>
      <c r="R1167" s="160"/>
      <c r="S1167" s="160"/>
      <c r="T1167" s="160"/>
      <c r="U1167" s="160"/>
      <c r="V1167" s="160"/>
      <c r="W1167" s="160"/>
      <c r="X1167" s="160"/>
      <c r="Y1167" s="160"/>
      <c r="Z1167" s="160"/>
      <c r="AA1167" s="160"/>
      <c r="AB1167" s="160"/>
    </row>
    <row r="1168">
      <c r="A1168" s="176"/>
      <c r="B1168" s="66"/>
      <c r="C1168" s="181" t="s">
        <v>1609</v>
      </c>
      <c r="D1168" s="101"/>
      <c r="E1168" s="55"/>
      <c r="F1168" s="57"/>
      <c r="G1168" s="128"/>
      <c r="H1168" s="39"/>
      <c r="I1168" s="39"/>
      <c r="J1168" s="61"/>
      <c r="K1168" s="8"/>
      <c r="L1168" s="8"/>
      <c r="M1168" s="8"/>
      <c r="N1168" s="8"/>
      <c r="O1168" s="8"/>
      <c r="P1168" s="160"/>
      <c r="Q1168" s="160"/>
      <c r="R1168" s="160"/>
      <c r="S1168" s="160"/>
      <c r="T1168" s="160"/>
      <c r="U1168" s="160"/>
      <c r="V1168" s="160"/>
      <c r="W1168" s="160"/>
      <c r="X1168" s="160"/>
      <c r="Y1168" s="160"/>
      <c r="Z1168" s="160"/>
      <c r="AA1168" s="160"/>
      <c r="AB1168" s="160"/>
    </row>
    <row r="1169">
      <c r="A1169" s="176"/>
      <c r="B1169" s="66"/>
      <c r="C1169" s="181" t="s">
        <v>1609</v>
      </c>
      <c r="D1169" s="101"/>
      <c r="E1169" s="61"/>
      <c r="F1169" s="61"/>
      <c r="G1169" s="128"/>
      <c r="H1169" s="39"/>
      <c r="I1169" s="39"/>
      <c r="J1169" s="61"/>
      <c r="K1169" s="8"/>
      <c r="L1169" s="8"/>
      <c r="M1169" s="8"/>
      <c r="N1169" s="8"/>
      <c r="O1169" s="8"/>
      <c r="P1169" s="160"/>
      <c r="Q1169" s="160"/>
      <c r="R1169" s="160"/>
      <c r="S1169" s="160"/>
      <c r="T1169" s="160"/>
      <c r="U1169" s="160"/>
      <c r="V1169" s="160"/>
      <c r="W1169" s="160"/>
      <c r="X1169" s="160"/>
      <c r="Y1169" s="160"/>
      <c r="Z1169" s="160"/>
      <c r="AA1169" s="160"/>
      <c r="AB1169" s="160"/>
    </row>
    <row r="1170">
      <c r="A1170" s="176"/>
      <c r="B1170" s="67"/>
      <c r="C1170" s="181" t="s">
        <v>1609</v>
      </c>
      <c r="D1170" s="101"/>
      <c r="E1170" s="61"/>
      <c r="F1170" s="61"/>
      <c r="G1170" s="128"/>
      <c r="H1170" s="39"/>
      <c r="I1170" s="39"/>
      <c r="J1170" s="61"/>
      <c r="K1170" s="8"/>
      <c r="L1170" s="8"/>
      <c r="M1170" s="8"/>
      <c r="N1170" s="8"/>
      <c r="O1170" s="8"/>
      <c r="P1170" s="160"/>
      <c r="Q1170" s="160"/>
      <c r="R1170" s="160"/>
      <c r="S1170" s="160"/>
      <c r="T1170" s="160"/>
      <c r="U1170" s="160"/>
      <c r="V1170" s="160"/>
      <c r="W1170" s="160"/>
      <c r="X1170" s="160"/>
      <c r="Y1170" s="160"/>
      <c r="Z1170" s="160"/>
      <c r="AA1170" s="160"/>
      <c r="AB1170" s="160"/>
    </row>
    <row r="1171">
      <c r="A1171" s="176"/>
      <c r="B1171" s="179"/>
      <c r="C1171" s="184">
        <v>44540.0</v>
      </c>
      <c r="D1171" s="101"/>
      <c r="E1171" s="61"/>
      <c r="F1171" s="61"/>
      <c r="G1171" s="128"/>
      <c r="H1171" s="39"/>
      <c r="I1171" s="39"/>
      <c r="J1171" s="61"/>
      <c r="K1171" s="8"/>
      <c r="L1171" s="8"/>
      <c r="M1171" s="8"/>
      <c r="N1171" s="8"/>
      <c r="O1171" s="8"/>
      <c r="P1171" s="160"/>
      <c r="Q1171" s="160"/>
      <c r="R1171" s="160"/>
      <c r="S1171" s="160"/>
      <c r="T1171" s="160"/>
      <c r="U1171" s="160"/>
      <c r="V1171" s="160"/>
      <c r="W1171" s="160"/>
      <c r="X1171" s="160"/>
      <c r="Y1171" s="160"/>
      <c r="Z1171" s="160"/>
      <c r="AA1171" s="160"/>
      <c r="AB1171" s="160"/>
    </row>
    <row r="1172">
      <c r="A1172" s="176"/>
      <c r="B1172" s="185" t="s">
        <v>1450</v>
      </c>
      <c r="C1172" s="181" t="s">
        <v>1609</v>
      </c>
      <c r="D1172" s="101"/>
      <c r="E1172" s="61"/>
      <c r="F1172" s="61"/>
      <c r="G1172" s="128"/>
      <c r="H1172" s="39"/>
      <c r="I1172" s="39"/>
      <c r="J1172" s="61"/>
      <c r="K1172" s="8"/>
      <c r="L1172" s="8"/>
      <c r="M1172" s="8"/>
      <c r="N1172" s="8"/>
      <c r="O1172" s="8"/>
      <c r="P1172" s="160"/>
      <c r="Q1172" s="160"/>
      <c r="R1172" s="160"/>
      <c r="S1172" s="160"/>
      <c r="T1172" s="160"/>
      <c r="U1172" s="160"/>
      <c r="V1172" s="160"/>
      <c r="W1172" s="160"/>
      <c r="X1172" s="160"/>
      <c r="Y1172" s="160"/>
      <c r="Z1172" s="160"/>
      <c r="AA1172" s="160"/>
      <c r="AB1172" s="160"/>
    </row>
    <row r="1173">
      <c r="A1173" s="176"/>
      <c r="B1173" s="66"/>
      <c r="C1173" s="181" t="s">
        <v>1609</v>
      </c>
      <c r="D1173" s="101"/>
      <c r="E1173" s="178" t="s">
        <v>1708</v>
      </c>
      <c r="F1173" s="52"/>
      <c r="G1173" s="128"/>
      <c r="H1173" s="39"/>
      <c r="I1173" s="39"/>
      <c r="J1173" s="61"/>
      <c r="K1173" s="8"/>
      <c r="L1173" s="8"/>
      <c r="M1173" s="8"/>
      <c r="N1173" s="8"/>
      <c r="O1173" s="8"/>
      <c r="P1173" s="160"/>
      <c r="Q1173" s="160"/>
      <c r="R1173" s="160"/>
      <c r="S1173" s="160"/>
      <c r="T1173" s="160"/>
      <c r="U1173" s="160"/>
      <c r="V1173" s="160"/>
      <c r="W1173" s="160"/>
      <c r="X1173" s="160"/>
      <c r="Y1173" s="160"/>
      <c r="Z1173" s="160"/>
      <c r="AA1173" s="160"/>
      <c r="AB1173" s="160"/>
    </row>
    <row r="1174">
      <c r="A1174" s="176"/>
      <c r="B1174" s="66"/>
      <c r="C1174" s="181" t="s">
        <v>1609</v>
      </c>
      <c r="D1174" s="101"/>
      <c r="E1174" s="53"/>
      <c r="F1174" s="54"/>
      <c r="G1174" s="128"/>
      <c r="H1174" s="39"/>
      <c r="I1174" s="39"/>
      <c r="J1174" s="61"/>
      <c r="K1174" s="8"/>
      <c r="L1174" s="8"/>
      <c r="M1174" s="8"/>
      <c r="N1174" s="8"/>
      <c r="O1174" s="8"/>
      <c r="P1174" s="160"/>
      <c r="Q1174" s="160"/>
      <c r="R1174" s="160"/>
      <c r="S1174" s="160"/>
      <c r="T1174" s="160"/>
      <c r="U1174" s="160"/>
      <c r="V1174" s="160"/>
      <c r="W1174" s="160"/>
      <c r="X1174" s="160"/>
      <c r="Y1174" s="160"/>
      <c r="Z1174" s="160"/>
      <c r="AA1174" s="160"/>
      <c r="AB1174" s="160"/>
    </row>
    <row r="1175">
      <c r="A1175" s="176"/>
      <c r="B1175" s="66"/>
      <c r="C1175" s="181" t="s">
        <v>1609</v>
      </c>
      <c r="D1175" s="101"/>
      <c r="E1175" s="55"/>
      <c r="F1175" s="57"/>
      <c r="G1175" s="128"/>
      <c r="H1175" s="39"/>
      <c r="I1175" s="39"/>
      <c r="J1175" s="61"/>
      <c r="K1175" s="8"/>
      <c r="L1175" s="8"/>
      <c r="M1175" s="8"/>
      <c r="N1175" s="8"/>
      <c r="O1175" s="8"/>
      <c r="P1175" s="160"/>
      <c r="Q1175" s="160"/>
      <c r="R1175" s="160"/>
      <c r="S1175" s="160"/>
      <c r="T1175" s="160"/>
      <c r="U1175" s="160"/>
      <c r="V1175" s="160"/>
      <c r="W1175" s="160"/>
      <c r="X1175" s="160"/>
      <c r="Y1175" s="160"/>
      <c r="Z1175" s="160"/>
      <c r="AA1175" s="160"/>
      <c r="AB1175" s="160"/>
    </row>
    <row r="1176">
      <c r="A1176" s="176"/>
      <c r="B1176" s="66"/>
      <c r="C1176" s="181" t="s">
        <v>1609</v>
      </c>
      <c r="D1176" s="101"/>
      <c r="E1176" s="61"/>
      <c r="F1176" s="61"/>
      <c r="G1176" s="128"/>
      <c r="H1176" s="39"/>
      <c r="I1176" s="39"/>
      <c r="J1176" s="61"/>
      <c r="K1176" s="8"/>
      <c r="L1176" s="8"/>
      <c r="M1176" s="8"/>
      <c r="N1176" s="8"/>
      <c r="O1176" s="8"/>
      <c r="P1176" s="160"/>
      <c r="Q1176" s="160"/>
      <c r="R1176" s="160"/>
      <c r="S1176" s="160"/>
      <c r="T1176" s="160"/>
      <c r="U1176" s="160"/>
      <c r="V1176" s="160"/>
      <c r="W1176" s="160"/>
      <c r="X1176" s="160"/>
      <c r="Y1176" s="160"/>
      <c r="Z1176" s="160"/>
      <c r="AA1176" s="160"/>
      <c r="AB1176" s="160"/>
    </row>
    <row r="1177">
      <c r="A1177" s="176"/>
      <c r="B1177" s="67"/>
      <c r="C1177" s="181" t="s">
        <v>1609</v>
      </c>
      <c r="D1177" s="101"/>
      <c r="E1177" s="61"/>
      <c r="F1177" s="61"/>
      <c r="G1177" s="128"/>
      <c r="H1177" s="39"/>
      <c r="I1177" s="39"/>
      <c r="J1177" s="61"/>
      <c r="K1177" s="8"/>
      <c r="L1177" s="8"/>
      <c r="M1177" s="8"/>
      <c r="N1177" s="8"/>
      <c r="O1177" s="8"/>
      <c r="P1177" s="160"/>
      <c r="Q1177" s="160"/>
      <c r="R1177" s="160"/>
      <c r="S1177" s="160"/>
      <c r="T1177" s="160"/>
      <c r="U1177" s="160"/>
      <c r="V1177" s="160"/>
      <c r="W1177" s="160"/>
      <c r="X1177" s="160"/>
      <c r="Y1177" s="160"/>
      <c r="Z1177" s="160"/>
      <c r="AA1177" s="160"/>
      <c r="AB1177" s="160"/>
    </row>
    <row r="1178">
      <c r="A1178" s="176"/>
      <c r="B1178" s="179"/>
      <c r="C1178" s="184">
        <v>44541.0</v>
      </c>
      <c r="D1178" s="101"/>
      <c r="E1178" s="61"/>
      <c r="F1178" s="61"/>
      <c r="G1178" s="128"/>
      <c r="H1178" s="39"/>
      <c r="I1178" s="39"/>
      <c r="J1178" s="61"/>
      <c r="K1178" s="8"/>
      <c r="L1178" s="8"/>
      <c r="M1178" s="8"/>
      <c r="N1178" s="8"/>
      <c r="O1178" s="8"/>
      <c r="P1178" s="160"/>
      <c r="Q1178" s="160"/>
      <c r="R1178" s="160"/>
      <c r="S1178" s="160"/>
      <c r="T1178" s="160"/>
      <c r="U1178" s="160"/>
      <c r="V1178" s="160"/>
      <c r="W1178" s="160"/>
      <c r="X1178" s="160"/>
      <c r="Y1178" s="160"/>
      <c r="Z1178" s="160"/>
      <c r="AA1178" s="160"/>
      <c r="AB1178" s="160"/>
    </row>
    <row r="1179">
      <c r="A1179" s="176"/>
      <c r="B1179" s="185" t="s">
        <v>1450</v>
      </c>
      <c r="C1179" s="181" t="s">
        <v>1609</v>
      </c>
      <c r="D1179" s="101"/>
      <c r="E1179" s="61"/>
      <c r="F1179" s="61"/>
      <c r="G1179" s="128"/>
      <c r="H1179" s="39"/>
      <c r="I1179" s="39"/>
      <c r="J1179" s="61"/>
      <c r="K1179" s="8"/>
      <c r="L1179" s="8"/>
      <c r="M1179" s="8"/>
      <c r="N1179" s="8"/>
      <c r="O1179" s="8"/>
      <c r="P1179" s="160"/>
      <c r="Q1179" s="160"/>
      <c r="R1179" s="160"/>
      <c r="S1179" s="160"/>
      <c r="T1179" s="160"/>
      <c r="U1179" s="160"/>
      <c r="V1179" s="160"/>
      <c r="W1179" s="160"/>
      <c r="X1179" s="160"/>
      <c r="Y1179" s="160"/>
      <c r="Z1179" s="160"/>
      <c r="AA1179" s="160"/>
      <c r="AB1179" s="160"/>
    </row>
    <row r="1180">
      <c r="A1180" s="176"/>
      <c r="B1180" s="66"/>
      <c r="C1180" s="181" t="s">
        <v>1609</v>
      </c>
      <c r="D1180" s="101"/>
      <c r="E1180" s="237" t="s">
        <v>2143</v>
      </c>
      <c r="F1180" s="11"/>
      <c r="G1180" s="128"/>
      <c r="H1180" s="39"/>
      <c r="I1180" s="39"/>
      <c r="J1180" s="61"/>
      <c r="K1180" s="8"/>
      <c r="L1180" s="8"/>
      <c r="M1180" s="8"/>
      <c r="N1180" s="8"/>
      <c r="O1180" s="8"/>
      <c r="P1180" s="160"/>
      <c r="Q1180" s="160"/>
      <c r="R1180" s="160"/>
      <c r="S1180" s="160"/>
      <c r="T1180" s="160"/>
      <c r="U1180" s="160"/>
      <c r="V1180" s="160"/>
      <c r="W1180" s="160"/>
      <c r="X1180" s="160"/>
      <c r="Y1180" s="160"/>
      <c r="Z1180" s="160"/>
      <c r="AA1180" s="160"/>
      <c r="AB1180" s="160"/>
    </row>
    <row r="1181">
      <c r="A1181" s="176"/>
      <c r="B1181" s="66"/>
      <c r="C1181" s="181" t="s">
        <v>1609</v>
      </c>
      <c r="D1181" s="27" t="s">
        <v>1911</v>
      </c>
      <c r="E1181" s="122" t="s">
        <v>1482</v>
      </c>
      <c r="F1181" s="122" t="s">
        <v>1483</v>
      </c>
      <c r="G1181" s="22">
        <v>0.7083333333333334</v>
      </c>
      <c r="H1181" s="18" t="s">
        <v>1408</v>
      </c>
      <c r="I1181" s="18" t="s">
        <v>2144</v>
      </c>
      <c r="J1181" s="122" t="s">
        <v>1486</v>
      </c>
      <c r="K1181" s="39" t="s">
        <v>1096</v>
      </c>
      <c r="L1181" s="8"/>
      <c r="M1181" s="8"/>
      <c r="N1181" s="8"/>
      <c r="O1181" s="8"/>
      <c r="P1181" s="160"/>
      <c r="Q1181" s="160"/>
      <c r="R1181" s="160"/>
      <c r="S1181" s="160"/>
      <c r="T1181" s="160"/>
      <c r="U1181" s="160"/>
      <c r="V1181" s="160"/>
      <c r="W1181" s="160"/>
      <c r="X1181" s="160"/>
      <c r="Y1181" s="160"/>
      <c r="Z1181" s="160"/>
      <c r="AA1181" s="160"/>
      <c r="AB1181" s="160"/>
    </row>
    <row r="1182">
      <c r="A1182" s="176"/>
      <c r="B1182" s="66"/>
      <c r="C1182" s="181" t="s">
        <v>1609</v>
      </c>
      <c r="D1182" s="101"/>
      <c r="E1182" s="61"/>
      <c r="F1182" s="61"/>
      <c r="G1182" s="128"/>
      <c r="H1182" s="39"/>
      <c r="I1182" s="39"/>
      <c r="J1182" s="61"/>
      <c r="K1182" s="8"/>
      <c r="L1182" s="8"/>
      <c r="M1182" s="8"/>
      <c r="N1182" s="8"/>
      <c r="O1182" s="8"/>
      <c r="P1182" s="160"/>
      <c r="Q1182" s="160"/>
      <c r="R1182" s="160"/>
      <c r="S1182" s="160"/>
      <c r="T1182" s="160"/>
      <c r="U1182" s="160"/>
      <c r="V1182" s="160"/>
      <c r="W1182" s="160"/>
      <c r="X1182" s="160"/>
      <c r="Y1182" s="160"/>
      <c r="Z1182" s="160"/>
      <c r="AA1182" s="160"/>
      <c r="AB1182" s="160"/>
    </row>
    <row r="1183">
      <c r="A1183" s="176"/>
      <c r="B1183" s="66"/>
      <c r="C1183" s="181" t="s">
        <v>1609</v>
      </c>
      <c r="D1183" s="101"/>
      <c r="E1183" s="61"/>
      <c r="F1183" s="61"/>
      <c r="G1183" s="128"/>
      <c r="H1183" s="39"/>
      <c r="I1183" s="39"/>
      <c r="J1183" s="61"/>
      <c r="K1183" s="8"/>
      <c r="L1183" s="8"/>
      <c r="M1183" s="8"/>
      <c r="N1183" s="8"/>
      <c r="O1183" s="8"/>
      <c r="P1183" s="160"/>
      <c r="Q1183" s="160"/>
      <c r="R1183" s="160"/>
      <c r="S1183" s="160"/>
      <c r="T1183" s="160"/>
      <c r="U1183" s="160"/>
      <c r="V1183" s="160"/>
      <c r="W1183" s="160"/>
      <c r="X1183" s="160"/>
      <c r="Y1183" s="160"/>
      <c r="Z1183" s="160"/>
      <c r="AA1183" s="160"/>
      <c r="AB1183" s="160"/>
    </row>
    <row r="1184">
      <c r="A1184" s="176"/>
      <c r="B1184" s="67"/>
      <c r="C1184" s="181" t="s">
        <v>1609</v>
      </c>
      <c r="D1184" s="101"/>
      <c r="E1184" s="61"/>
      <c r="F1184" s="61"/>
      <c r="G1184" s="128"/>
      <c r="H1184" s="39"/>
      <c r="I1184" s="39"/>
      <c r="J1184" s="61"/>
      <c r="K1184" s="8"/>
      <c r="L1184" s="8"/>
      <c r="M1184" s="8"/>
      <c r="N1184" s="8"/>
      <c r="O1184" s="8"/>
      <c r="P1184" s="160"/>
      <c r="Q1184" s="160"/>
      <c r="R1184" s="160"/>
      <c r="S1184" s="160"/>
      <c r="T1184" s="160"/>
      <c r="U1184" s="160"/>
      <c r="V1184" s="160"/>
      <c r="W1184" s="160"/>
      <c r="X1184" s="160"/>
      <c r="Y1184" s="160"/>
      <c r="Z1184" s="160"/>
      <c r="AA1184" s="160"/>
      <c r="AB1184" s="160"/>
    </row>
    <row r="1185">
      <c r="A1185" s="176"/>
      <c r="B1185" s="179"/>
      <c r="C1185" s="184">
        <v>44543.0</v>
      </c>
      <c r="D1185" s="101"/>
      <c r="E1185" s="61"/>
      <c r="F1185" s="61"/>
      <c r="G1185" s="128"/>
      <c r="H1185" s="39"/>
      <c r="I1185" s="39"/>
      <c r="J1185" s="61"/>
      <c r="K1185" s="8"/>
      <c r="L1185" s="8"/>
      <c r="M1185" s="8"/>
      <c r="N1185" s="8"/>
      <c r="O1185" s="8"/>
      <c r="P1185" s="160"/>
      <c r="Q1185" s="160"/>
      <c r="R1185" s="160"/>
      <c r="S1185" s="160"/>
      <c r="T1185" s="160"/>
      <c r="U1185" s="160"/>
      <c r="V1185" s="160"/>
      <c r="W1185" s="160"/>
      <c r="X1185" s="160"/>
      <c r="Y1185" s="160"/>
      <c r="Z1185" s="160"/>
      <c r="AA1185" s="160"/>
      <c r="AB1185" s="160"/>
    </row>
    <row r="1186">
      <c r="A1186" s="176"/>
      <c r="B1186" s="185" t="s">
        <v>1450</v>
      </c>
      <c r="C1186" s="181" t="s">
        <v>1609</v>
      </c>
      <c r="D1186" s="101"/>
      <c r="E1186" s="61"/>
      <c r="F1186" s="61"/>
      <c r="G1186" s="128"/>
      <c r="H1186" s="39"/>
      <c r="I1186" s="39"/>
      <c r="J1186" s="61"/>
      <c r="K1186" s="8"/>
      <c r="L1186" s="8"/>
      <c r="M1186" s="8"/>
      <c r="N1186" s="8"/>
      <c r="O1186" s="8"/>
      <c r="P1186" s="160"/>
      <c r="Q1186" s="160"/>
      <c r="R1186" s="160"/>
      <c r="S1186" s="160"/>
      <c r="T1186" s="160"/>
      <c r="U1186" s="160"/>
      <c r="V1186" s="160"/>
      <c r="W1186" s="160"/>
      <c r="X1186" s="160"/>
      <c r="Y1186" s="160"/>
      <c r="Z1186" s="160"/>
      <c r="AA1186" s="160"/>
      <c r="AB1186" s="160"/>
    </row>
    <row r="1187">
      <c r="A1187" s="176"/>
      <c r="B1187" s="66"/>
      <c r="C1187" s="181" t="s">
        <v>1609</v>
      </c>
      <c r="D1187" s="27" t="s">
        <v>921</v>
      </c>
      <c r="E1187" s="62" t="s">
        <v>2145</v>
      </c>
      <c r="F1187" s="62" t="s">
        <v>2146</v>
      </c>
      <c r="G1187" s="22">
        <v>0.5</v>
      </c>
      <c r="H1187" s="18" t="s">
        <v>367</v>
      </c>
      <c r="I1187" s="18" t="s">
        <v>2147</v>
      </c>
      <c r="J1187" s="162" t="s">
        <v>2148</v>
      </c>
      <c r="K1187" s="8"/>
      <c r="L1187" s="8"/>
      <c r="M1187" s="8"/>
      <c r="N1187" s="8"/>
      <c r="O1187" s="8"/>
      <c r="P1187" s="160"/>
      <c r="Q1187" s="160"/>
      <c r="R1187" s="160"/>
      <c r="S1187" s="160"/>
      <c r="T1187" s="160"/>
      <c r="U1187" s="160"/>
      <c r="V1187" s="160"/>
      <c r="W1187" s="160"/>
      <c r="X1187" s="160"/>
      <c r="Y1187" s="160"/>
      <c r="Z1187" s="160"/>
      <c r="AA1187" s="160"/>
      <c r="AB1187" s="160"/>
    </row>
    <row r="1188">
      <c r="A1188" s="176"/>
      <c r="B1188" s="66"/>
      <c r="C1188" s="181" t="s">
        <v>1609</v>
      </c>
      <c r="D1188" s="27" t="s">
        <v>1791</v>
      </c>
      <c r="E1188" s="62" t="s">
        <v>905</v>
      </c>
      <c r="F1188" s="62" t="s">
        <v>906</v>
      </c>
      <c r="G1188" s="238">
        <v>0.5833333333333334</v>
      </c>
      <c r="H1188" s="114" t="s">
        <v>1900</v>
      </c>
      <c r="I1188" s="18" t="s">
        <v>1904</v>
      </c>
      <c r="J1188" s="75" t="s">
        <v>909</v>
      </c>
      <c r="K1188" s="39" t="s">
        <v>2149</v>
      </c>
      <c r="L1188" s="8"/>
      <c r="M1188" s="8"/>
      <c r="N1188" s="8"/>
      <c r="O1188" s="8"/>
      <c r="P1188" s="160"/>
      <c r="Q1188" s="160"/>
      <c r="R1188" s="160"/>
      <c r="S1188" s="160"/>
      <c r="T1188" s="160"/>
      <c r="U1188" s="160"/>
      <c r="V1188" s="160"/>
      <c r="W1188" s="160"/>
      <c r="X1188" s="160"/>
      <c r="Y1188" s="160"/>
      <c r="Z1188" s="160"/>
      <c r="AA1188" s="160"/>
      <c r="AB1188" s="160"/>
    </row>
    <row r="1189">
      <c r="A1189" s="176"/>
      <c r="B1189" s="66"/>
      <c r="C1189" s="181" t="s">
        <v>1609</v>
      </c>
      <c r="D1189" s="27" t="s">
        <v>921</v>
      </c>
      <c r="E1189" s="62" t="s">
        <v>2150</v>
      </c>
      <c r="F1189" s="62" t="s">
        <v>2151</v>
      </c>
      <c r="G1189" s="22">
        <v>0.6666666666666666</v>
      </c>
      <c r="H1189" s="18" t="s">
        <v>367</v>
      </c>
      <c r="I1189" s="18" t="s">
        <v>2152</v>
      </c>
      <c r="J1189" s="162" t="s">
        <v>2153</v>
      </c>
      <c r="K1189" s="8"/>
      <c r="L1189" s="8"/>
      <c r="M1189" s="8"/>
      <c r="N1189" s="8"/>
      <c r="O1189" s="8"/>
      <c r="P1189" s="160"/>
      <c r="Q1189" s="160"/>
      <c r="R1189" s="160"/>
      <c r="S1189" s="160"/>
      <c r="T1189" s="160"/>
      <c r="U1189" s="160"/>
      <c r="V1189" s="160"/>
      <c r="W1189" s="160"/>
      <c r="X1189" s="160"/>
      <c r="Y1189" s="160"/>
      <c r="Z1189" s="160"/>
      <c r="AA1189" s="160"/>
      <c r="AB1189" s="160"/>
    </row>
    <row r="1190">
      <c r="A1190" s="176"/>
      <c r="B1190" s="66"/>
      <c r="C1190" s="181" t="s">
        <v>1609</v>
      </c>
      <c r="D1190" s="48" t="s">
        <v>921</v>
      </c>
      <c r="E1190" s="73" t="s">
        <v>2154</v>
      </c>
      <c r="F1190" s="73" t="s">
        <v>2155</v>
      </c>
      <c r="G1190" s="43">
        <v>0.75</v>
      </c>
      <c r="H1190" s="44" t="s">
        <v>2156</v>
      </c>
      <c r="I1190" s="44" t="s">
        <v>2157</v>
      </c>
      <c r="J1190" s="155" t="s">
        <v>2158</v>
      </c>
      <c r="K1190" s="39" t="s">
        <v>2159</v>
      </c>
      <c r="L1190" s="8"/>
      <c r="M1190" s="8"/>
      <c r="N1190" s="8"/>
      <c r="O1190" s="8"/>
      <c r="P1190" s="160"/>
      <c r="Q1190" s="160"/>
      <c r="R1190" s="160"/>
      <c r="S1190" s="160"/>
      <c r="T1190" s="160"/>
      <c r="U1190" s="160"/>
      <c r="V1190" s="160"/>
      <c r="W1190" s="160"/>
      <c r="X1190" s="160"/>
      <c r="Y1190" s="160"/>
      <c r="Z1190" s="160"/>
      <c r="AA1190" s="160"/>
      <c r="AB1190" s="160"/>
    </row>
    <row r="1191">
      <c r="A1191" s="176"/>
      <c r="B1191" s="67"/>
      <c r="C1191" s="181" t="s">
        <v>1609</v>
      </c>
      <c r="D1191" s="101"/>
      <c r="E1191" s="61"/>
      <c r="F1191" s="61"/>
      <c r="G1191" s="128"/>
      <c r="H1191" s="39"/>
      <c r="I1191" s="39"/>
      <c r="J1191" s="61"/>
      <c r="K1191" s="8"/>
      <c r="L1191" s="8"/>
      <c r="M1191" s="8"/>
      <c r="N1191" s="8"/>
      <c r="O1191" s="8"/>
      <c r="P1191" s="160"/>
      <c r="Q1191" s="160"/>
      <c r="R1191" s="160"/>
      <c r="S1191" s="160"/>
      <c r="T1191" s="160"/>
      <c r="U1191" s="160"/>
      <c r="V1191" s="160"/>
      <c r="W1191" s="160"/>
      <c r="X1191" s="160"/>
      <c r="Y1191" s="160"/>
      <c r="Z1191" s="160"/>
      <c r="AA1191" s="160"/>
      <c r="AB1191" s="160"/>
    </row>
    <row r="1192">
      <c r="A1192" s="176"/>
      <c r="B1192" s="179"/>
      <c r="C1192" s="184">
        <v>44544.0</v>
      </c>
      <c r="D1192" s="101"/>
      <c r="E1192" s="61"/>
      <c r="F1192" s="61"/>
      <c r="G1192" s="128"/>
      <c r="H1192" s="39"/>
      <c r="I1192" s="39"/>
      <c r="J1192" s="61"/>
      <c r="K1192" s="8"/>
      <c r="L1192" s="8"/>
      <c r="M1192" s="8"/>
      <c r="N1192" s="8"/>
      <c r="O1192" s="8"/>
      <c r="P1192" s="160"/>
      <c r="Q1192" s="160"/>
      <c r="R1192" s="160"/>
      <c r="S1192" s="160"/>
      <c r="T1192" s="160"/>
      <c r="U1192" s="160"/>
      <c r="V1192" s="160"/>
      <c r="W1192" s="160"/>
      <c r="X1192" s="160"/>
      <c r="Y1192" s="160"/>
      <c r="Z1192" s="160"/>
      <c r="AA1192" s="160"/>
      <c r="AB1192" s="160"/>
    </row>
    <row r="1193">
      <c r="A1193" s="176"/>
      <c r="B1193" s="185" t="s">
        <v>1450</v>
      </c>
      <c r="C1193" s="181" t="s">
        <v>1609</v>
      </c>
      <c r="E1193" s="101" t="s">
        <v>2160</v>
      </c>
      <c r="F1193" s="6"/>
      <c r="G1193" s="26"/>
      <c r="H1193" s="6"/>
      <c r="I1193" s="6"/>
      <c r="L1193" s="8"/>
      <c r="M1193" s="8"/>
      <c r="N1193" s="8"/>
      <c r="O1193" s="8"/>
      <c r="P1193" s="160"/>
      <c r="Q1193" s="160"/>
      <c r="R1193" s="160"/>
      <c r="S1193" s="160"/>
      <c r="T1193" s="160"/>
      <c r="U1193" s="160"/>
      <c r="V1193" s="160"/>
      <c r="W1193" s="160"/>
      <c r="X1193" s="160"/>
      <c r="Y1193" s="160"/>
      <c r="Z1193" s="160"/>
      <c r="AA1193" s="160"/>
      <c r="AB1193" s="160"/>
    </row>
    <row r="1194">
      <c r="A1194" s="176"/>
      <c r="B1194" s="66"/>
      <c r="C1194" s="181" t="s">
        <v>1609</v>
      </c>
      <c r="D1194" s="101"/>
      <c r="E1194" s="61"/>
      <c r="F1194" s="61"/>
      <c r="G1194" s="128"/>
      <c r="H1194" s="39"/>
      <c r="I1194" s="39"/>
      <c r="J1194" s="61"/>
      <c r="K1194" s="8"/>
      <c r="L1194" s="8"/>
      <c r="M1194" s="8"/>
      <c r="N1194" s="8"/>
      <c r="O1194" s="8"/>
      <c r="P1194" s="160"/>
      <c r="Q1194" s="160"/>
      <c r="R1194" s="160"/>
      <c r="S1194" s="160"/>
      <c r="T1194" s="160"/>
      <c r="U1194" s="160"/>
      <c r="V1194" s="160"/>
      <c r="W1194" s="160"/>
      <c r="X1194" s="160"/>
      <c r="Y1194" s="160"/>
      <c r="Z1194" s="160"/>
      <c r="AA1194" s="160"/>
      <c r="AB1194" s="160"/>
    </row>
    <row r="1195">
      <c r="A1195" s="176"/>
      <c r="B1195" s="66"/>
      <c r="C1195" s="181" t="s">
        <v>1609</v>
      </c>
      <c r="D1195" s="145" t="s">
        <v>2161</v>
      </c>
      <c r="E1195" s="239" t="s">
        <v>2162</v>
      </c>
      <c r="F1195" s="183" t="s">
        <v>2163</v>
      </c>
      <c r="G1195" s="22">
        <v>0.4791666666666667</v>
      </c>
      <c r="H1195" s="18" t="s">
        <v>1056</v>
      </c>
      <c r="I1195" s="18" t="s">
        <v>2164</v>
      </c>
      <c r="J1195" s="162" t="s">
        <v>2165</v>
      </c>
      <c r="K1195" s="8"/>
      <c r="L1195" s="8"/>
      <c r="M1195" s="8"/>
      <c r="N1195" s="8"/>
      <c r="O1195" s="8"/>
      <c r="P1195" s="160"/>
      <c r="Q1195" s="160"/>
      <c r="R1195" s="160"/>
      <c r="S1195" s="160"/>
      <c r="T1195" s="160"/>
      <c r="U1195" s="160"/>
      <c r="V1195" s="160"/>
      <c r="W1195" s="160"/>
      <c r="X1195" s="160"/>
      <c r="Y1195" s="160"/>
      <c r="Z1195" s="160"/>
      <c r="AA1195" s="160"/>
      <c r="AB1195" s="160"/>
    </row>
    <row r="1196">
      <c r="A1196" s="176"/>
      <c r="B1196" s="66"/>
      <c r="C1196" s="181" t="s">
        <v>1609</v>
      </c>
      <c r="D1196" s="148" t="s">
        <v>2161</v>
      </c>
      <c r="E1196" s="143" t="s">
        <v>2166</v>
      </c>
      <c r="F1196" s="143" t="s">
        <v>1683</v>
      </c>
      <c r="G1196" s="43">
        <v>0.5625</v>
      </c>
      <c r="H1196" s="44" t="s">
        <v>785</v>
      </c>
      <c r="I1196" s="44" t="s">
        <v>2167</v>
      </c>
      <c r="J1196" s="143" t="s">
        <v>2168</v>
      </c>
      <c r="K1196" s="8"/>
      <c r="L1196" s="8"/>
      <c r="M1196" s="8"/>
      <c r="N1196" s="8"/>
      <c r="O1196" s="8"/>
      <c r="P1196" s="160"/>
      <c r="Q1196" s="160"/>
      <c r="R1196" s="160"/>
      <c r="S1196" s="160"/>
      <c r="T1196" s="160"/>
      <c r="U1196" s="160"/>
      <c r="V1196" s="160"/>
      <c r="W1196" s="160"/>
      <c r="X1196" s="160"/>
      <c r="Y1196" s="160"/>
      <c r="Z1196" s="160"/>
      <c r="AA1196" s="160"/>
      <c r="AB1196" s="160"/>
    </row>
    <row r="1197">
      <c r="A1197" s="176"/>
      <c r="B1197" s="66"/>
      <c r="C1197" s="181" t="s">
        <v>1609</v>
      </c>
      <c r="D1197" s="195" t="s">
        <v>1715</v>
      </c>
      <c r="E1197" s="196" t="s">
        <v>2133</v>
      </c>
      <c r="F1197" s="196" t="s">
        <v>2134</v>
      </c>
      <c r="G1197" s="76" t="s">
        <v>856</v>
      </c>
      <c r="H1197" s="195" t="s">
        <v>790</v>
      </c>
      <c r="I1197" s="195" t="s">
        <v>2135</v>
      </c>
      <c r="J1197" s="240" t="s">
        <v>2136</v>
      </c>
      <c r="K1197" s="8"/>
      <c r="L1197" s="8"/>
      <c r="M1197" s="8"/>
      <c r="N1197" s="8"/>
      <c r="O1197" s="8"/>
      <c r="P1197" s="160"/>
      <c r="Q1197" s="160"/>
      <c r="R1197" s="160"/>
      <c r="S1197" s="160"/>
      <c r="T1197" s="160"/>
      <c r="U1197" s="160"/>
      <c r="V1197" s="160"/>
      <c r="W1197" s="160"/>
      <c r="X1197" s="160"/>
      <c r="Y1197" s="160"/>
      <c r="Z1197" s="160"/>
      <c r="AA1197" s="160"/>
      <c r="AB1197" s="160"/>
    </row>
    <row r="1198">
      <c r="A1198" s="176"/>
      <c r="B1198" s="66"/>
      <c r="C1198" s="181" t="s">
        <v>1609</v>
      </c>
      <c r="D1198" s="148" t="s">
        <v>2161</v>
      </c>
      <c r="E1198" s="153" t="s">
        <v>277</v>
      </c>
      <c r="F1198" s="153" t="s">
        <v>278</v>
      </c>
      <c r="G1198" s="43">
        <v>0.7291666666666666</v>
      </c>
      <c r="H1198" s="112" t="s">
        <v>790</v>
      </c>
      <c r="I1198" s="44" t="s">
        <v>2169</v>
      </c>
      <c r="J1198" s="73" t="s">
        <v>280</v>
      </c>
      <c r="K1198" s="39" t="s">
        <v>2170</v>
      </c>
      <c r="M1198" s="8"/>
      <c r="N1198" s="8"/>
      <c r="O1198" s="8"/>
      <c r="P1198" s="160"/>
      <c r="Q1198" s="160"/>
      <c r="R1198" s="160"/>
      <c r="S1198" s="160"/>
      <c r="T1198" s="160"/>
      <c r="U1198" s="160"/>
      <c r="V1198" s="160"/>
      <c r="W1198" s="160"/>
      <c r="X1198" s="160"/>
      <c r="Y1198" s="160"/>
      <c r="Z1198" s="160"/>
      <c r="AA1198" s="160"/>
      <c r="AB1198" s="160"/>
    </row>
    <row r="1199">
      <c r="A1199" s="176"/>
      <c r="B1199" s="66"/>
      <c r="C1199" s="181" t="s">
        <v>1609</v>
      </c>
      <c r="D1199" s="101"/>
      <c r="E1199" s="61"/>
      <c r="F1199" s="61"/>
      <c r="G1199" s="128"/>
      <c r="H1199" s="39"/>
      <c r="I1199" s="39"/>
      <c r="J1199" s="61"/>
      <c r="K1199" s="8"/>
      <c r="L1199" s="8"/>
      <c r="M1199" s="8"/>
      <c r="N1199" s="8"/>
      <c r="O1199" s="8"/>
      <c r="P1199" s="160"/>
      <c r="Q1199" s="160"/>
      <c r="R1199" s="160"/>
      <c r="S1199" s="160"/>
      <c r="T1199" s="160"/>
      <c r="U1199" s="160"/>
      <c r="V1199" s="160"/>
      <c r="W1199" s="160"/>
      <c r="X1199" s="160"/>
      <c r="Y1199" s="160"/>
      <c r="Z1199" s="160"/>
      <c r="AA1199" s="160"/>
      <c r="AB1199" s="160"/>
    </row>
    <row r="1200">
      <c r="A1200" s="176"/>
      <c r="B1200" s="67"/>
      <c r="C1200" s="181" t="s">
        <v>1609</v>
      </c>
      <c r="D1200" s="101"/>
      <c r="E1200" s="61"/>
      <c r="F1200" s="61"/>
      <c r="G1200" s="128"/>
      <c r="H1200" s="39"/>
      <c r="I1200" s="39"/>
      <c r="J1200" s="61"/>
      <c r="K1200" s="8"/>
      <c r="L1200" s="8"/>
      <c r="M1200" s="8"/>
      <c r="N1200" s="8"/>
      <c r="O1200" s="8"/>
      <c r="P1200" s="160"/>
      <c r="Q1200" s="160"/>
      <c r="R1200" s="160"/>
      <c r="S1200" s="160"/>
      <c r="T1200" s="160"/>
      <c r="U1200" s="160"/>
      <c r="V1200" s="160"/>
      <c r="W1200" s="160"/>
      <c r="X1200" s="160"/>
      <c r="Y1200" s="160"/>
      <c r="Z1200" s="160"/>
      <c r="AA1200" s="160"/>
      <c r="AB1200" s="160"/>
    </row>
    <row r="1201">
      <c r="A1201" s="176"/>
      <c r="B1201" s="179"/>
      <c r="C1201" s="184">
        <v>44545.0</v>
      </c>
      <c r="D1201" s="241"/>
      <c r="E1201" s="61"/>
      <c r="F1201" s="61"/>
      <c r="G1201" s="128"/>
      <c r="H1201" s="39"/>
      <c r="I1201" s="39"/>
      <c r="J1201" s="61"/>
      <c r="K1201" s="8"/>
      <c r="L1201" s="8"/>
      <c r="M1201" s="8"/>
      <c r="N1201" s="8"/>
      <c r="O1201" s="8"/>
      <c r="P1201" s="160"/>
      <c r="Q1201" s="160"/>
      <c r="R1201" s="160"/>
      <c r="S1201" s="160"/>
      <c r="T1201" s="160"/>
      <c r="U1201" s="160"/>
      <c r="V1201" s="160"/>
      <c r="W1201" s="160"/>
      <c r="X1201" s="160"/>
      <c r="Y1201" s="160"/>
      <c r="Z1201" s="160"/>
      <c r="AA1201" s="160"/>
      <c r="AB1201" s="160"/>
    </row>
    <row r="1202">
      <c r="A1202" s="176"/>
      <c r="B1202" s="185" t="s">
        <v>1450</v>
      </c>
      <c r="C1202" s="181" t="s">
        <v>1609</v>
      </c>
      <c r="D1202" s="27" t="s">
        <v>921</v>
      </c>
      <c r="E1202" s="62" t="s">
        <v>2171</v>
      </c>
      <c r="F1202" s="62" t="s">
        <v>2172</v>
      </c>
      <c r="G1202" s="22">
        <v>0.5</v>
      </c>
      <c r="H1202" s="18" t="s">
        <v>615</v>
      </c>
      <c r="I1202" s="18" t="s">
        <v>2173</v>
      </c>
      <c r="J1202" s="162" t="s">
        <v>2174</v>
      </c>
      <c r="K1202" s="8"/>
      <c r="L1202" s="8"/>
      <c r="M1202" s="8"/>
      <c r="N1202" s="8"/>
      <c r="O1202" s="8"/>
      <c r="P1202" s="160"/>
      <c r="Q1202" s="160"/>
      <c r="R1202" s="160"/>
      <c r="S1202" s="160"/>
      <c r="T1202" s="160"/>
      <c r="U1202" s="160"/>
      <c r="V1202" s="160"/>
      <c r="W1202" s="160"/>
      <c r="X1202" s="160"/>
      <c r="Y1202" s="160"/>
      <c r="Z1202" s="160"/>
      <c r="AA1202" s="160"/>
      <c r="AB1202" s="160"/>
    </row>
    <row r="1203">
      <c r="A1203" s="176"/>
      <c r="B1203" s="66"/>
      <c r="C1203" s="181" t="s">
        <v>1609</v>
      </c>
      <c r="D1203" s="48" t="s">
        <v>921</v>
      </c>
      <c r="E1203" s="124" t="s">
        <v>2175</v>
      </c>
      <c r="F1203" s="124" t="s">
        <v>2176</v>
      </c>
      <c r="G1203" s="43">
        <v>0.5833333333333334</v>
      </c>
      <c r="H1203" s="44" t="s">
        <v>615</v>
      </c>
      <c r="I1203" s="44" t="s">
        <v>2177</v>
      </c>
      <c r="J1203" s="73" t="s">
        <v>2178</v>
      </c>
      <c r="K1203" s="39" t="s">
        <v>2179</v>
      </c>
      <c r="L1203" s="8"/>
      <c r="M1203" s="8"/>
      <c r="N1203" s="8"/>
      <c r="O1203" s="8"/>
      <c r="P1203" s="160"/>
      <c r="Q1203" s="160"/>
      <c r="R1203" s="160"/>
      <c r="S1203" s="160"/>
      <c r="T1203" s="160"/>
      <c r="U1203" s="160"/>
      <c r="V1203" s="160"/>
      <c r="W1203" s="160"/>
      <c r="X1203" s="160"/>
      <c r="Y1203" s="160"/>
      <c r="Z1203" s="160"/>
      <c r="AA1203" s="160"/>
      <c r="AB1203" s="160"/>
    </row>
    <row r="1204">
      <c r="A1204" s="176"/>
      <c r="B1204" s="66"/>
      <c r="C1204" s="181" t="s">
        <v>1609</v>
      </c>
      <c r="D1204" s="27" t="s">
        <v>921</v>
      </c>
      <c r="E1204" s="62" t="s">
        <v>2180</v>
      </c>
      <c r="F1204" s="62" t="s">
        <v>2181</v>
      </c>
      <c r="G1204" s="97">
        <v>0.6666666666666666</v>
      </c>
      <c r="H1204" s="18" t="s">
        <v>2046</v>
      </c>
      <c r="I1204" s="18" t="s">
        <v>2182</v>
      </c>
      <c r="J1204" s="162" t="s">
        <v>2183</v>
      </c>
      <c r="K1204" s="8"/>
      <c r="L1204" s="8"/>
      <c r="M1204" s="8"/>
      <c r="N1204" s="8"/>
      <c r="O1204" s="8"/>
      <c r="P1204" s="160"/>
      <c r="Q1204" s="160"/>
      <c r="R1204" s="160"/>
      <c r="S1204" s="160"/>
      <c r="T1204" s="160"/>
      <c r="U1204" s="160"/>
      <c r="V1204" s="160"/>
      <c r="W1204" s="160"/>
      <c r="X1204" s="160"/>
      <c r="Y1204" s="160"/>
      <c r="Z1204" s="160"/>
      <c r="AA1204" s="160"/>
      <c r="AB1204" s="160"/>
    </row>
    <row r="1205">
      <c r="A1205" s="176"/>
      <c r="B1205" s="66"/>
      <c r="C1205" s="181" t="s">
        <v>1609</v>
      </c>
      <c r="D1205" s="27" t="s">
        <v>819</v>
      </c>
      <c r="E1205" s="175" t="s">
        <v>2184</v>
      </c>
      <c r="F1205" s="175" t="s">
        <v>2185</v>
      </c>
      <c r="G1205" s="97">
        <v>0.6666666666666666</v>
      </c>
      <c r="H1205" s="18" t="s">
        <v>2046</v>
      </c>
      <c r="I1205" s="18" t="s">
        <v>2182</v>
      </c>
      <c r="J1205" s="162" t="s">
        <v>2183</v>
      </c>
      <c r="K1205" s="8"/>
      <c r="L1205" s="8"/>
      <c r="M1205" s="8"/>
      <c r="N1205" s="8"/>
      <c r="O1205" s="8"/>
      <c r="P1205" s="160"/>
      <c r="Q1205" s="160"/>
      <c r="R1205" s="160"/>
      <c r="S1205" s="160"/>
      <c r="T1205" s="160"/>
      <c r="U1205" s="160"/>
      <c r="V1205" s="160"/>
      <c r="W1205" s="160"/>
      <c r="X1205" s="160"/>
      <c r="Y1205" s="160"/>
      <c r="Z1205" s="160"/>
      <c r="AA1205" s="160"/>
      <c r="AB1205" s="160"/>
    </row>
    <row r="1206">
      <c r="A1206" s="176"/>
      <c r="B1206" s="66"/>
      <c r="C1206" s="181" t="s">
        <v>1609</v>
      </c>
      <c r="D1206" s="27" t="s">
        <v>921</v>
      </c>
      <c r="E1206" s="162" t="s">
        <v>1912</v>
      </c>
      <c r="F1206" s="162" t="s">
        <v>1913</v>
      </c>
      <c r="G1206" s="22">
        <v>0.75</v>
      </c>
      <c r="H1206" s="18" t="s">
        <v>803</v>
      </c>
      <c r="I1206" s="18" t="s">
        <v>2186</v>
      </c>
      <c r="J1206" s="162" t="s">
        <v>1916</v>
      </c>
      <c r="K1206" s="39" t="s">
        <v>1096</v>
      </c>
      <c r="L1206" s="8"/>
      <c r="M1206" s="8"/>
      <c r="N1206" s="8"/>
      <c r="O1206" s="8"/>
      <c r="P1206" s="160"/>
      <c r="Q1206" s="160"/>
      <c r="R1206" s="160"/>
      <c r="S1206" s="160"/>
      <c r="T1206" s="160"/>
      <c r="U1206" s="160"/>
      <c r="V1206" s="160"/>
      <c r="W1206" s="160"/>
      <c r="X1206" s="160"/>
      <c r="Y1206" s="160"/>
      <c r="Z1206" s="160"/>
      <c r="AA1206" s="160"/>
      <c r="AB1206" s="160"/>
    </row>
    <row r="1207">
      <c r="A1207" s="176"/>
      <c r="B1207" s="66"/>
      <c r="C1207" s="181" t="s">
        <v>1609</v>
      </c>
      <c r="D1207" s="101"/>
      <c r="E1207" s="242"/>
      <c r="F1207" s="61"/>
      <c r="G1207" s="128"/>
      <c r="H1207" s="39"/>
      <c r="I1207" s="39"/>
      <c r="J1207" s="61"/>
      <c r="K1207" s="8"/>
      <c r="L1207" s="8"/>
      <c r="M1207" s="8"/>
      <c r="N1207" s="8"/>
      <c r="O1207" s="8"/>
      <c r="P1207" s="160"/>
      <c r="Q1207" s="160"/>
      <c r="R1207" s="160"/>
      <c r="S1207" s="160"/>
      <c r="T1207" s="160"/>
      <c r="U1207" s="160"/>
      <c r="V1207" s="160"/>
      <c r="W1207" s="160"/>
      <c r="X1207" s="160"/>
      <c r="Y1207" s="160"/>
      <c r="Z1207" s="160"/>
      <c r="AA1207" s="160"/>
      <c r="AB1207" s="160"/>
    </row>
    <row r="1208">
      <c r="A1208" s="176"/>
      <c r="B1208" s="67"/>
      <c r="C1208" s="181" t="s">
        <v>1609</v>
      </c>
      <c r="D1208" s="101"/>
      <c r="E1208" s="243"/>
      <c r="F1208" s="61"/>
      <c r="G1208" s="128"/>
      <c r="H1208" s="39"/>
      <c r="I1208" s="39"/>
      <c r="J1208" s="61"/>
      <c r="K1208" s="8"/>
      <c r="L1208" s="8"/>
      <c r="M1208" s="8"/>
      <c r="N1208" s="8"/>
      <c r="O1208" s="8"/>
      <c r="P1208" s="160"/>
      <c r="Q1208" s="160"/>
      <c r="R1208" s="160"/>
      <c r="S1208" s="160"/>
      <c r="T1208" s="160"/>
      <c r="U1208" s="160"/>
      <c r="V1208" s="160"/>
      <c r="W1208" s="160"/>
      <c r="X1208" s="160"/>
      <c r="Y1208" s="160"/>
      <c r="Z1208" s="160"/>
      <c r="AA1208" s="160"/>
      <c r="AB1208" s="160"/>
    </row>
    <row r="1209">
      <c r="A1209" s="176"/>
      <c r="B1209" s="179"/>
      <c r="C1209" s="184">
        <v>44546.0</v>
      </c>
      <c r="D1209" s="243"/>
      <c r="E1209" s="243"/>
      <c r="F1209" s="61"/>
      <c r="G1209" s="128"/>
      <c r="H1209" s="39"/>
      <c r="I1209" s="39"/>
      <c r="J1209" s="61"/>
      <c r="K1209" s="8"/>
      <c r="L1209" s="8"/>
      <c r="M1209" s="8"/>
      <c r="N1209" s="8"/>
      <c r="O1209" s="8"/>
      <c r="P1209" s="160"/>
      <c r="Q1209" s="160"/>
      <c r="R1209" s="160"/>
      <c r="S1209" s="160"/>
      <c r="T1209" s="160"/>
      <c r="U1209" s="160"/>
      <c r="V1209" s="160"/>
      <c r="W1209" s="160"/>
      <c r="X1209" s="160"/>
      <c r="Y1209" s="160"/>
      <c r="Z1209" s="160"/>
      <c r="AA1209" s="160"/>
      <c r="AB1209" s="160"/>
    </row>
    <row r="1210">
      <c r="A1210" s="176"/>
      <c r="B1210" s="185" t="s">
        <v>1450</v>
      </c>
      <c r="C1210" s="181" t="s">
        <v>1609</v>
      </c>
      <c r="D1210" s="39"/>
      <c r="E1210" s="61"/>
      <c r="F1210" s="61"/>
      <c r="G1210" s="128"/>
      <c r="H1210" s="39"/>
      <c r="I1210" s="39"/>
      <c r="J1210" s="61"/>
      <c r="K1210" s="8"/>
      <c r="L1210" s="8"/>
      <c r="M1210" s="8"/>
      <c r="N1210" s="8"/>
      <c r="O1210" s="8"/>
      <c r="P1210" s="160"/>
      <c r="Q1210" s="160"/>
      <c r="R1210" s="160"/>
      <c r="S1210" s="160"/>
      <c r="T1210" s="160"/>
      <c r="U1210" s="160"/>
      <c r="V1210" s="160"/>
      <c r="W1210" s="160"/>
      <c r="X1210" s="160"/>
      <c r="Y1210" s="160"/>
      <c r="Z1210" s="160"/>
      <c r="AA1210" s="160"/>
      <c r="AB1210" s="160"/>
    </row>
    <row r="1211">
      <c r="A1211" s="176"/>
      <c r="B1211" s="66"/>
      <c r="C1211" s="181" t="s">
        <v>1609</v>
      </c>
      <c r="D1211" s="39"/>
      <c r="E1211" s="61"/>
      <c r="F1211" s="61"/>
      <c r="G1211" s="128"/>
      <c r="H1211" s="39"/>
      <c r="I1211" s="39"/>
      <c r="J1211" s="150"/>
      <c r="K1211" s="8"/>
      <c r="L1211" s="8"/>
      <c r="M1211" s="8"/>
      <c r="N1211" s="8"/>
      <c r="O1211" s="8"/>
      <c r="P1211" s="160"/>
      <c r="Q1211" s="160"/>
      <c r="R1211" s="160"/>
      <c r="S1211" s="160"/>
      <c r="T1211" s="160"/>
      <c r="U1211" s="160"/>
      <c r="V1211" s="160"/>
      <c r="W1211" s="160"/>
      <c r="X1211" s="160"/>
      <c r="Y1211" s="160"/>
      <c r="Z1211" s="160"/>
      <c r="AA1211" s="160"/>
      <c r="AB1211" s="160"/>
    </row>
    <row r="1212">
      <c r="A1212" s="176"/>
      <c r="B1212" s="66"/>
      <c r="C1212" s="181" t="s">
        <v>1609</v>
      </c>
      <c r="D1212" s="243"/>
      <c r="E1212" s="243"/>
      <c r="F1212" s="178" t="s">
        <v>1708</v>
      </c>
      <c r="G1212" s="52"/>
      <c r="H1212" s="39"/>
      <c r="I1212" s="39"/>
      <c r="J1212" s="61"/>
      <c r="K1212" s="8"/>
      <c r="L1212" s="8"/>
      <c r="M1212" s="8"/>
      <c r="N1212" s="8"/>
      <c r="O1212" s="8"/>
      <c r="P1212" s="160"/>
      <c r="Q1212" s="160"/>
      <c r="R1212" s="160"/>
      <c r="S1212" s="160"/>
      <c r="T1212" s="160"/>
      <c r="U1212" s="160"/>
      <c r="V1212" s="160"/>
      <c r="W1212" s="160"/>
      <c r="X1212" s="160"/>
      <c r="Y1212" s="160"/>
      <c r="Z1212" s="160"/>
      <c r="AA1212" s="160"/>
      <c r="AB1212" s="160"/>
    </row>
    <row r="1213">
      <c r="A1213" s="176"/>
      <c r="B1213" s="66"/>
      <c r="C1213" s="181" t="s">
        <v>1609</v>
      </c>
      <c r="D1213" s="243"/>
      <c r="E1213" s="243"/>
      <c r="F1213" s="53"/>
      <c r="G1213" s="54"/>
      <c r="H1213" s="39"/>
      <c r="I1213" s="39"/>
      <c r="J1213" s="61"/>
      <c r="K1213" s="8"/>
      <c r="L1213" s="8"/>
      <c r="M1213" s="8"/>
      <c r="N1213" s="8"/>
      <c r="O1213" s="8"/>
      <c r="P1213" s="160"/>
      <c r="Q1213" s="160"/>
      <c r="R1213" s="160"/>
      <c r="S1213" s="160"/>
      <c r="T1213" s="160"/>
      <c r="U1213" s="160"/>
      <c r="V1213" s="160"/>
      <c r="W1213" s="160"/>
      <c r="X1213" s="160"/>
      <c r="Y1213" s="160"/>
      <c r="Z1213" s="160"/>
      <c r="AA1213" s="160"/>
      <c r="AB1213" s="160"/>
    </row>
    <row r="1214">
      <c r="A1214" s="176"/>
      <c r="B1214" s="66"/>
      <c r="C1214" s="181" t="s">
        <v>1609</v>
      </c>
      <c r="D1214" s="101"/>
      <c r="E1214" s="61"/>
      <c r="F1214" s="55"/>
      <c r="G1214" s="57"/>
      <c r="H1214" s="39"/>
      <c r="I1214" s="39"/>
      <c r="J1214" s="61"/>
      <c r="K1214" s="8"/>
      <c r="L1214" s="8"/>
      <c r="M1214" s="8"/>
      <c r="N1214" s="8"/>
      <c r="O1214" s="8"/>
      <c r="P1214" s="160"/>
      <c r="Q1214" s="160"/>
      <c r="R1214" s="160"/>
      <c r="S1214" s="160"/>
      <c r="T1214" s="160"/>
      <c r="U1214" s="160"/>
      <c r="V1214" s="160"/>
      <c r="W1214" s="160"/>
      <c r="X1214" s="160"/>
      <c r="Y1214" s="160"/>
      <c r="Z1214" s="160"/>
      <c r="AA1214" s="160"/>
      <c r="AB1214" s="160"/>
    </row>
    <row r="1215">
      <c r="A1215" s="176"/>
      <c r="B1215" s="67"/>
      <c r="C1215" s="181" t="s">
        <v>1609</v>
      </c>
      <c r="D1215" s="101"/>
      <c r="E1215" s="61"/>
      <c r="F1215" s="61"/>
      <c r="G1215" s="128"/>
      <c r="H1215" s="39"/>
      <c r="I1215" s="39"/>
      <c r="J1215" s="61"/>
      <c r="K1215" s="8"/>
      <c r="L1215" s="8"/>
      <c r="M1215" s="8"/>
      <c r="N1215" s="8"/>
      <c r="O1215" s="8"/>
      <c r="P1215" s="160"/>
      <c r="Q1215" s="160"/>
      <c r="R1215" s="160"/>
      <c r="S1215" s="160"/>
      <c r="T1215" s="160"/>
      <c r="U1215" s="160"/>
      <c r="V1215" s="160"/>
      <c r="W1215" s="160"/>
      <c r="X1215" s="160"/>
      <c r="Y1215" s="160"/>
      <c r="Z1215" s="160"/>
      <c r="AA1215" s="160"/>
      <c r="AB1215" s="160"/>
    </row>
    <row r="1216">
      <c r="A1216" s="176"/>
      <c r="B1216" s="179"/>
      <c r="C1216" s="184">
        <v>44547.0</v>
      </c>
      <c r="D1216" s="101"/>
      <c r="E1216" s="61"/>
      <c r="F1216" s="61"/>
      <c r="G1216" s="128"/>
      <c r="H1216" s="39"/>
      <c r="I1216" s="39"/>
      <c r="J1216" s="61"/>
      <c r="K1216" s="8"/>
      <c r="L1216" s="8"/>
      <c r="M1216" s="8"/>
      <c r="N1216" s="8"/>
      <c r="O1216" s="8"/>
      <c r="P1216" s="160"/>
      <c r="Q1216" s="160"/>
      <c r="R1216" s="160"/>
      <c r="S1216" s="160"/>
      <c r="T1216" s="160"/>
      <c r="U1216" s="160"/>
      <c r="V1216" s="160"/>
      <c r="W1216" s="160"/>
      <c r="X1216" s="160"/>
      <c r="Y1216" s="160"/>
      <c r="Z1216" s="160"/>
      <c r="AA1216" s="160"/>
      <c r="AB1216" s="160"/>
    </row>
    <row r="1217">
      <c r="A1217" s="176"/>
      <c r="B1217" s="185" t="s">
        <v>1450</v>
      </c>
      <c r="C1217" s="181" t="s">
        <v>1609</v>
      </c>
      <c r="D1217" s="163" t="s">
        <v>2161</v>
      </c>
      <c r="E1217" s="155" t="s">
        <v>2187</v>
      </c>
      <c r="F1217" s="155" t="s">
        <v>2188</v>
      </c>
      <c r="G1217" s="43">
        <v>0.4166666666666667</v>
      </c>
      <c r="H1217" s="44" t="s">
        <v>924</v>
      </c>
      <c r="I1217" s="44" t="s">
        <v>2189</v>
      </c>
      <c r="J1217" s="73" t="s">
        <v>2190</v>
      </c>
      <c r="K1217" s="39" t="s">
        <v>2191</v>
      </c>
      <c r="L1217" s="8"/>
      <c r="M1217" s="8"/>
      <c r="N1217" s="8"/>
      <c r="O1217" s="8"/>
      <c r="P1217" s="160"/>
      <c r="Q1217" s="160"/>
      <c r="R1217" s="160"/>
      <c r="S1217" s="160"/>
      <c r="T1217" s="160"/>
      <c r="U1217" s="160"/>
      <c r="V1217" s="160"/>
      <c r="W1217" s="160"/>
      <c r="X1217" s="160"/>
      <c r="Y1217" s="160"/>
      <c r="Z1217" s="160"/>
      <c r="AA1217" s="160"/>
      <c r="AB1217" s="160"/>
    </row>
    <row r="1218">
      <c r="A1218" s="176"/>
      <c r="B1218" s="66"/>
      <c r="C1218" s="181" t="s">
        <v>1609</v>
      </c>
      <c r="D1218" s="171" t="s">
        <v>2161</v>
      </c>
      <c r="E1218" s="162" t="s">
        <v>1636</v>
      </c>
      <c r="F1218" s="162" t="s">
        <v>1637</v>
      </c>
      <c r="G1218" s="22">
        <v>0.5</v>
      </c>
      <c r="H1218" s="18" t="s">
        <v>1638</v>
      </c>
      <c r="I1218" s="18" t="s">
        <v>2192</v>
      </c>
      <c r="J1218" s="162" t="s">
        <v>1640</v>
      </c>
      <c r="K1218" s="39" t="s">
        <v>2193</v>
      </c>
      <c r="L1218" s="8"/>
      <c r="M1218" s="8"/>
      <c r="N1218" s="8"/>
      <c r="O1218" s="8"/>
      <c r="P1218" s="160"/>
      <c r="Q1218" s="160"/>
      <c r="R1218" s="160"/>
      <c r="S1218" s="160"/>
      <c r="T1218" s="160"/>
      <c r="U1218" s="160"/>
      <c r="V1218" s="160"/>
      <c r="W1218" s="160"/>
      <c r="X1218" s="160"/>
      <c r="Y1218" s="160"/>
      <c r="Z1218" s="160"/>
      <c r="AA1218" s="160"/>
      <c r="AB1218" s="160"/>
    </row>
    <row r="1219">
      <c r="A1219" s="176"/>
      <c r="B1219" s="66"/>
      <c r="C1219" s="181" t="s">
        <v>1609</v>
      </c>
      <c r="D1219" s="48" t="s">
        <v>1911</v>
      </c>
      <c r="E1219" s="155" t="s">
        <v>1679</v>
      </c>
      <c r="F1219" s="155" t="s">
        <v>1680</v>
      </c>
      <c r="G1219" s="43">
        <v>0.5833333333333334</v>
      </c>
      <c r="H1219" s="155" t="s">
        <v>2194</v>
      </c>
      <c r="I1219" s="155" t="s">
        <v>2195</v>
      </c>
      <c r="J1219" s="155" t="s">
        <v>2196</v>
      </c>
      <c r="K1219" s="39" t="s">
        <v>2197</v>
      </c>
      <c r="L1219" s="8"/>
      <c r="M1219" s="8"/>
      <c r="N1219" s="8"/>
      <c r="O1219" s="8"/>
      <c r="P1219" s="160"/>
      <c r="Q1219" s="160"/>
      <c r="R1219" s="160"/>
      <c r="S1219" s="160"/>
      <c r="T1219" s="160"/>
      <c r="U1219" s="160"/>
      <c r="V1219" s="160"/>
      <c r="W1219" s="160"/>
      <c r="X1219" s="160"/>
      <c r="Y1219" s="160"/>
      <c r="Z1219" s="160"/>
      <c r="AA1219" s="160"/>
      <c r="AB1219" s="160"/>
    </row>
    <row r="1220">
      <c r="A1220" s="176"/>
      <c r="B1220" s="66"/>
      <c r="C1220" s="181" t="s">
        <v>1609</v>
      </c>
      <c r="D1220" s="48" t="s">
        <v>1971</v>
      </c>
      <c r="E1220" s="155" t="s">
        <v>2198</v>
      </c>
      <c r="F1220" s="155" t="s">
        <v>2199</v>
      </c>
      <c r="G1220" s="43">
        <v>0.6666666666666666</v>
      </c>
      <c r="H1220" s="44" t="s">
        <v>785</v>
      </c>
      <c r="I1220" s="44" t="s">
        <v>2200</v>
      </c>
      <c r="J1220" s="155" t="s">
        <v>2201</v>
      </c>
      <c r="K1220" s="192" t="s">
        <v>2202</v>
      </c>
      <c r="L1220" s="39"/>
      <c r="M1220" s="8"/>
      <c r="N1220" s="8"/>
      <c r="O1220" s="8"/>
      <c r="P1220" s="160"/>
      <c r="Q1220" s="160"/>
      <c r="R1220" s="160"/>
      <c r="S1220" s="160"/>
      <c r="T1220" s="160"/>
      <c r="U1220" s="160"/>
      <c r="V1220" s="160"/>
      <c r="W1220" s="160"/>
      <c r="X1220" s="160"/>
      <c r="Y1220" s="160"/>
      <c r="Z1220" s="160"/>
      <c r="AA1220" s="160"/>
      <c r="AB1220" s="160"/>
    </row>
    <row r="1221">
      <c r="A1221" s="176"/>
      <c r="B1221" s="66"/>
      <c r="C1221" s="181" t="s">
        <v>1609</v>
      </c>
      <c r="D1221" s="101"/>
      <c r="E1221" s="61"/>
      <c r="F1221" s="61"/>
      <c r="G1221" s="128"/>
      <c r="H1221" s="39"/>
      <c r="I1221" s="39"/>
      <c r="J1221" s="61"/>
      <c r="K1221" s="8"/>
      <c r="L1221" s="8"/>
      <c r="M1221" s="8"/>
      <c r="N1221" s="8"/>
      <c r="O1221" s="8"/>
      <c r="P1221" s="160"/>
      <c r="Q1221" s="160"/>
      <c r="R1221" s="160"/>
      <c r="S1221" s="160"/>
      <c r="T1221" s="160"/>
      <c r="U1221" s="160"/>
      <c r="V1221" s="160"/>
      <c r="W1221" s="160"/>
      <c r="X1221" s="160"/>
      <c r="Y1221" s="160"/>
      <c r="Z1221" s="160"/>
      <c r="AA1221" s="160"/>
      <c r="AB1221" s="160"/>
    </row>
    <row r="1222">
      <c r="A1222" s="176"/>
      <c r="B1222" s="67"/>
      <c r="C1222" s="181" t="s">
        <v>1609</v>
      </c>
      <c r="D1222" s="101"/>
      <c r="E1222" s="61"/>
      <c r="F1222" s="61"/>
      <c r="G1222" s="128"/>
      <c r="H1222" s="39"/>
      <c r="I1222" s="39"/>
      <c r="J1222" s="61"/>
      <c r="K1222" s="8"/>
      <c r="L1222" s="8"/>
      <c r="M1222" s="8"/>
      <c r="N1222" s="8"/>
      <c r="O1222" s="8"/>
      <c r="P1222" s="160"/>
      <c r="Q1222" s="160"/>
      <c r="R1222" s="160"/>
      <c r="S1222" s="160"/>
      <c r="T1222" s="160"/>
      <c r="U1222" s="160"/>
      <c r="V1222" s="160"/>
      <c r="W1222" s="160"/>
      <c r="X1222" s="160"/>
      <c r="Y1222" s="160"/>
      <c r="Z1222" s="160"/>
      <c r="AA1222" s="160"/>
      <c r="AB1222" s="160"/>
    </row>
    <row r="1223">
      <c r="A1223" s="176"/>
      <c r="B1223" s="179"/>
      <c r="C1223" s="184">
        <v>44550.0</v>
      </c>
      <c r="D1223" s="101"/>
      <c r="E1223" s="61"/>
      <c r="F1223" s="61"/>
      <c r="G1223" s="128"/>
      <c r="H1223" s="39"/>
      <c r="I1223" s="39"/>
      <c r="J1223" s="61"/>
      <c r="K1223" s="8"/>
      <c r="L1223" s="8"/>
      <c r="M1223" s="8"/>
      <c r="N1223" s="8"/>
      <c r="O1223" s="8"/>
      <c r="P1223" s="160"/>
      <c r="Q1223" s="160"/>
      <c r="R1223" s="160"/>
      <c r="S1223" s="160"/>
      <c r="T1223" s="160"/>
      <c r="U1223" s="160"/>
      <c r="V1223" s="160"/>
      <c r="W1223" s="160"/>
      <c r="X1223" s="160"/>
      <c r="Y1223" s="160"/>
      <c r="Z1223" s="160"/>
      <c r="AA1223" s="160"/>
      <c r="AB1223" s="160"/>
    </row>
    <row r="1224">
      <c r="A1224" s="176"/>
      <c r="B1224" s="185" t="s">
        <v>1450</v>
      </c>
      <c r="C1224" s="181" t="s">
        <v>1609</v>
      </c>
      <c r="D1224" s="101"/>
      <c r="E1224" s="200" t="s">
        <v>2203</v>
      </c>
      <c r="F1224" s="11"/>
      <c r="G1224" s="128"/>
      <c r="H1224" s="39"/>
      <c r="I1224" s="39"/>
      <c r="J1224" s="61"/>
      <c r="K1224" s="8"/>
      <c r="L1224" s="8"/>
      <c r="M1224" s="8"/>
      <c r="N1224" s="8"/>
      <c r="O1224" s="8"/>
      <c r="P1224" s="160"/>
      <c r="Q1224" s="160"/>
      <c r="R1224" s="160"/>
      <c r="S1224" s="160"/>
      <c r="T1224" s="160"/>
      <c r="U1224" s="160"/>
      <c r="V1224" s="160"/>
      <c r="W1224" s="160"/>
      <c r="X1224" s="160"/>
      <c r="Y1224" s="160"/>
      <c r="Z1224" s="160"/>
      <c r="AA1224" s="160"/>
      <c r="AB1224" s="160"/>
    </row>
    <row r="1225">
      <c r="A1225" s="176"/>
      <c r="B1225" s="66"/>
      <c r="C1225" s="181" t="s">
        <v>1609</v>
      </c>
      <c r="D1225" s="101"/>
      <c r="E1225" s="244"/>
      <c r="F1225" s="244"/>
      <c r="G1225" s="128"/>
      <c r="H1225" s="39"/>
      <c r="I1225" s="39"/>
      <c r="J1225" s="244"/>
      <c r="K1225" s="39"/>
      <c r="L1225" s="8"/>
      <c r="M1225" s="8"/>
      <c r="N1225" s="8"/>
      <c r="O1225" s="8"/>
      <c r="P1225" s="160"/>
      <c r="Q1225" s="160"/>
      <c r="R1225" s="160"/>
      <c r="S1225" s="160"/>
      <c r="T1225" s="160"/>
      <c r="U1225" s="160"/>
      <c r="V1225" s="160"/>
      <c r="W1225" s="160"/>
      <c r="X1225" s="160"/>
      <c r="Y1225" s="160"/>
      <c r="Z1225" s="160"/>
      <c r="AA1225" s="160"/>
      <c r="AB1225" s="160"/>
    </row>
    <row r="1226">
      <c r="A1226" s="176"/>
      <c r="B1226" s="66"/>
      <c r="C1226" s="181" t="s">
        <v>1609</v>
      </c>
      <c r="D1226" s="27" t="s">
        <v>819</v>
      </c>
      <c r="E1226" s="162" t="s">
        <v>2204</v>
      </c>
      <c r="F1226" s="162" t="s">
        <v>2205</v>
      </c>
      <c r="G1226" s="22">
        <v>0.4583333333333333</v>
      </c>
      <c r="H1226" s="18" t="s">
        <v>269</v>
      </c>
      <c r="I1226" s="18" t="s">
        <v>2206</v>
      </c>
      <c r="J1226" s="162" t="s">
        <v>2207</v>
      </c>
      <c r="K1226" s="8"/>
      <c r="L1226" s="8"/>
      <c r="M1226" s="8"/>
      <c r="N1226" s="8"/>
      <c r="O1226" s="8"/>
      <c r="P1226" s="160"/>
      <c r="Q1226" s="160"/>
      <c r="R1226" s="160"/>
      <c r="S1226" s="160"/>
      <c r="T1226" s="160"/>
      <c r="U1226" s="160"/>
      <c r="V1226" s="160"/>
      <c r="W1226" s="160"/>
      <c r="X1226" s="160"/>
      <c r="Y1226" s="160"/>
      <c r="Z1226" s="160"/>
      <c r="AA1226" s="160"/>
      <c r="AB1226" s="160"/>
    </row>
    <row r="1227">
      <c r="A1227" s="176"/>
      <c r="B1227" s="66"/>
      <c r="C1227" s="181" t="s">
        <v>1609</v>
      </c>
      <c r="D1227" s="27" t="s">
        <v>1971</v>
      </c>
      <c r="E1227" s="162" t="s">
        <v>1615</v>
      </c>
      <c r="F1227" s="162" t="s">
        <v>1616</v>
      </c>
      <c r="G1227" s="22">
        <v>0.5416666666666666</v>
      </c>
      <c r="H1227" s="18" t="s">
        <v>2208</v>
      </c>
      <c r="I1227" s="18" t="s">
        <v>1618</v>
      </c>
      <c r="J1227" s="162" t="s">
        <v>1619</v>
      </c>
      <c r="K1227" s="8"/>
      <c r="L1227" s="8"/>
      <c r="M1227" s="8"/>
      <c r="N1227" s="8"/>
      <c r="O1227" s="8"/>
      <c r="P1227" s="160"/>
      <c r="Q1227" s="160"/>
      <c r="R1227" s="160"/>
      <c r="S1227" s="160"/>
      <c r="T1227" s="160"/>
      <c r="U1227" s="160"/>
      <c r="V1227" s="160"/>
      <c r="W1227" s="160"/>
      <c r="X1227" s="160"/>
      <c r="Y1227" s="160"/>
      <c r="Z1227" s="160"/>
      <c r="AA1227" s="160"/>
      <c r="AB1227" s="160"/>
    </row>
    <row r="1228">
      <c r="A1228" s="176"/>
      <c r="B1228" s="66"/>
      <c r="C1228" s="181" t="s">
        <v>1609</v>
      </c>
      <c r="D1228" s="27" t="s">
        <v>1791</v>
      </c>
      <c r="E1228" s="175" t="s">
        <v>638</v>
      </c>
      <c r="F1228" s="175" t="s">
        <v>639</v>
      </c>
      <c r="G1228" s="22">
        <v>0.6041666666666666</v>
      </c>
      <c r="H1228" s="162" t="s">
        <v>1857</v>
      </c>
      <c r="I1228" s="162" t="s">
        <v>2209</v>
      </c>
      <c r="J1228" s="175" t="s">
        <v>641</v>
      </c>
      <c r="K1228" s="8"/>
      <c r="L1228" s="8"/>
      <c r="M1228" s="8"/>
      <c r="N1228" s="8"/>
      <c r="O1228" s="8"/>
      <c r="P1228" s="160"/>
      <c r="Q1228" s="160"/>
      <c r="R1228" s="160"/>
      <c r="S1228" s="160"/>
      <c r="T1228" s="160"/>
      <c r="U1228" s="160"/>
      <c r="V1228" s="160"/>
      <c r="W1228" s="160"/>
      <c r="X1228" s="160"/>
      <c r="Y1228" s="160"/>
      <c r="Z1228" s="160"/>
      <c r="AA1228" s="160"/>
      <c r="AB1228" s="160"/>
    </row>
    <row r="1229">
      <c r="A1229" s="176"/>
      <c r="B1229" s="66"/>
      <c r="C1229" s="181" t="s">
        <v>1609</v>
      </c>
      <c r="D1229" s="101"/>
      <c r="E1229" s="61"/>
      <c r="F1229" s="61"/>
      <c r="G1229" s="128"/>
      <c r="H1229" s="39"/>
      <c r="I1229" s="39"/>
      <c r="J1229" s="61"/>
      <c r="K1229" s="8"/>
      <c r="L1229" s="8"/>
      <c r="M1229" s="8"/>
      <c r="N1229" s="8"/>
      <c r="O1229" s="8"/>
      <c r="P1229" s="160"/>
      <c r="Q1229" s="160"/>
      <c r="R1229" s="160"/>
      <c r="S1229" s="160"/>
      <c r="T1229" s="160"/>
      <c r="U1229" s="160"/>
      <c r="V1229" s="160"/>
      <c r="W1229" s="160"/>
      <c r="X1229" s="160"/>
      <c r="Y1229" s="160"/>
      <c r="Z1229" s="160"/>
      <c r="AA1229" s="160"/>
      <c r="AB1229" s="160"/>
    </row>
    <row r="1230">
      <c r="A1230" s="176"/>
      <c r="B1230" s="67"/>
      <c r="C1230" s="181" t="s">
        <v>1609</v>
      </c>
      <c r="D1230" s="101"/>
      <c r="E1230" s="61"/>
      <c r="F1230" s="61"/>
      <c r="G1230" s="128"/>
      <c r="H1230" s="39"/>
      <c r="I1230" s="39"/>
      <c r="J1230" s="61"/>
      <c r="K1230" s="8"/>
      <c r="L1230" s="8"/>
      <c r="M1230" s="8"/>
      <c r="N1230" s="8"/>
      <c r="O1230" s="8"/>
      <c r="P1230" s="160"/>
      <c r="Q1230" s="160"/>
      <c r="R1230" s="160"/>
      <c r="S1230" s="160"/>
      <c r="T1230" s="160"/>
      <c r="U1230" s="160"/>
      <c r="V1230" s="160"/>
      <c r="W1230" s="160"/>
      <c r="X1230" s="160"/>
      <c r="Y1230" s="160"/>
      <c r="Z1230" s="160"/>
      <c r="AA1230" s="160"/>
      <c r="AB1230" s="160"/>
    </row>
    <row r="1231">
      <c r="A1231" s="176"/>
      <c r="B1231" s="179"/>
      <c r="C1231" s="184">
        <v>44551.0</v>
      </c>
      <c r="D1231" s="101"/>
      <c r="E1231" s="61"/>
      <c r="F1231" s="61"/>
      <c r="G1231" s="128"/>
      <c r="H1231" s="39"/>
      <c r="I1231" s="39"/>
      <c r="J1231" s="61"/>
      <c r="K1231" s="8"/>
      <c r="L1231" s="8"/>
      <c r="M1231" s="8"/>
      <c r="N1231" s="8"/>
      <c r="O1231" s="8"/>
      <c r="P1231" s="160"/>
      <c r="Q1231" s="160"/>
      <c r="R1231" s="160"/>
      <c r="S1231" s="160"/>
      <c r="T1231" s="160"/>
      <c r="U1231" s="160"/>
      <c r="V1231" s="160"/>
      <c r="W1231" s="160"/>
      <c r="X1231" s="160"/>
      <c r="Y1231" s="160"/>
      <c r="Z1231" s="160"/>
      <c r="AA1231" s="160"/>
      <c r="AB1231" s="160"/>
    </row>
    <row r="1232">
      <c r="A1232" s="176"/>
      <c r="B1232" s="185" t="s">
        <v>1450</v>
      </c>
      <c r="C1232" s="181" t="s">
        <v>1609</v>
      </c>
      <c r="D1232" s="101"/>
      <c r="E1232" s="200" t="s">
        <v>2203</v>
      </c>
      <c r="F1232" s="11"/>
      <c r="G1232" s="128"/>
      <c r="H1232" s="39"/>
      <c r="I1232" s="39"/>
      <c r="J1232" s="61"/>
      <c r="K1232" s="8"/>
      <c r="L1232" s="8"/>
      <c r="M1232" s="8"/>
      <c r="N1232" s="8"/>
      <c r="O1232" s="8"/>
      <c r="P1232" s="160"/>
      <c r="Q1232" s="160"/>
      <c r="R1232" s="160"/>
      <c r="S1232" s="160"/>
      <c r="T1232" s="160"/>
      <c r="U1232" s="160"/>
      <c r="V1232" s="160"/>
      <c r="W1232" s="160"/>
      <c r="X1232" s="160"/>
      <c r="Y1232" s="160"/>
      <c r="Z1232" s="160"/>
      <c r="AA1232" s="160"/>
      <c r="AB1232" s="160"/>
    </row>
    <row r="1233">
      <c r="A1233" s="176"/>
      <c r="B1233" s="66"/>
      <c r="C1233" s="181" t="s">
        <v>1609</v>
      </c>
      <c r="D1233" s="101"/>
      <c r="E1233" s="61"/>
      <c r="F1233" s="61"/>
      <c r="G1233" s="128"/>
      <c r="I1233" s="245"/>
      <c r="J1233" s="61"/>
      <c r="K1233" s="8"/>
      <c r="L1233" s="8"/>
      <c r="M1233" s="8"/>
      <c r="N1233" s="8"/>
      <c r="O1233" s="8"/>
      <c r="P1233" s="160"/>
      <c r="Q1233" s="160"/>
      <c r="R1233" s="160"/>
      <c r="S1233" s="160"/>
      <c r="T1233" s="160"/>
      <c r="U1233" s="160"/>
      <c r="V1233" s="160"/>
      <c r="W1233" s="160"/>
      <c r="X1233" s="160"/>
      <c r="Y1233" s="160"/>
      <c r="Z1233" s="160"/>
      <c r="AA1233" s="160"/>
      <c r="AB1233" s="160"/>
    </row>
    <row r="1234">
      <c r="A1234" s="176"/>
      <c r="B1234" s="66"/>
      <c r="C1234" s="181" t="s">
        <v>1609</v>
      </c>
      <c r="D1234" s="48" t="s">
        <v>1621</v>
      </c>
      <c r="E1234" s="73" t="s">
        <v>2210</v>
      </c>
      <c r="F1234" s="73" t="s">
        <v>2211</v>
      </c>
      <c r="G1234" s="43">
        <v>0.5</v>
      </c>
      <c r="H1234" s="73" t="s">
        <v>367</v>
      </c>
      <c r="I1234" s="73" t="s">
        <v>2212</v>
      </c>
      <c r="J1234" s="73" t="s">
        <v>2213</v>
      </c>
      <c r="K1234" s="39" t="s">
        <v>2214</v>
      </c>
      <c r="L1234" s="8"/>
      <c r="M1234" s="8"/>
      <c r="N1234" s="8"/>
      <c r="O1234" s="8"/>
      <c r="P1234" s="160"/>
      <c r="Q1234" s="160"/>
      <c r="R1234" s="160"/>
      <c r="S1234" s="160"/>
      <c r="T1234" s="160"/>
      <c r="U1234" s="160"/>
      <c r="V1234" s="160"/>
      <c r="W1234" s="160"/>
      <c r="X1234" s="160"/>
      <c r="Y1234" s="160"/>
      <c r="Z1234" s="160"/>
      <c r="AA1234" s="160"/>
      <c r="AB1234" s="160"/>
    </row>
    <row r="1235">
      <c r="A1235" s="176"/>
      <c r="B1235" s="66"/>
      <c r="C1235" s="181" t="s">
        <v>1609</v>
      </c>
      <c r="D1235" s="27" t="s">
        <v>1971</v>
      </c>
      <c r="E1235" s="175" t="s">
        <v>2215</v>
      </c>
      <c r="F1235" s="175" t="s">
        <v>2216</v>
      </c>
      <c r="G1235" s="76" t="s">
        <v>2217</v>
      </c>
      <c r="H1235" s="18" t="s">
        <v>2218</v>
      </c>
      <c r="I1235" s="18" t="s">
        <v>2219</v>
      </c>
      <c r="J1235" s="246" t="s">
        <v>2220</v>
      </c>
      <c r="K1235" s="8"/>
      <c r="L1235" s="8"/>
      <c r="M1235" s="8"/>
      <c r="N1235" s="8"/>
      <c r="O1235" s="8"/>
      <c r="P1235" s="160"/>
      <c r="Q1235" s="160"/>
      <c r="R1235" s="160"/>
      <c r="S1235" s="160"/>
      <c r="T1235" s="160"/>
      <c r="U1235" s="160"/>
      <c r="V1235" s="160"/>
      <c r="W1235" s="160"/>
      <c r="X1235" s="160"/>
      <c r="Y1235" s="160"/>
      <c r="Z1235" s="160"/>
      <c r="AA1235" s="160"/>
      <c r="AB1235" s="160"/>
    </row>
    <row r="1236">
      <c r="A1236" s="176"/>
      <c r="B1236" s="66"/>
      <c r="C1236" s="181" t="s">
        <v>1609</v>
      </c>
      <c r="D1236" s="27" t="s">
        <v>1911</v>
      </c>
      <c r="E1236" s="144" t="s">
        <v>1373</v>
      </c>
      <c r="F1236" s="144" t="s">
        <v>1374</v>
      </c>
      <c r="G1236" s="22">
        <v>0.5833333333333334</v>
      </c>
      <c r="H1236" s="18" t="s">
        <v>2221</v>
      </c>
      <c r="I1236" s="18" t="s">
        <v>2222</v>
      </c>
      <c r="J1236" s="144" t="s">
        <v>1377</v>
      </c>
      <c r="K1236" s="8"/>
      <c r="L1236" s="8"/>
      <c r="M1236" s="8"/>
      <c r="N1236" s="8"/>
      <c r="O1236" s="8"/>
      <c r="P1236" s="160"/>
      <c r="Q1236" s="160"/>
      <c r="R1236" s="160"/>
      <c r="S1236" s="160"/>
      <c r="T1236" s="160"/>
      <c r="U1236" s="160"/>
      <c r="V1236" s="160"/>
      <c r="W1236" s="160"/>
      <c r="X1236" s="160"/>
      <c r="Y1236" s="160"/>
      <c r="Z1236" s="160"/>
      <c r="AA1236" s="160"/>
      <c r="AB1236" s="160"/>
    </row>
    <row r="1237">
      <c r="A1237" s="176"/>
      <c r="B1237" s="66"/>
      <c r="C1237" s="181" t="s">
        <v>1609</v>
      </c>
      <c r="D1237" s="27" t="s">
        <v>1621</v>
      </c>
      <c r="E1237" s="62" t="s">
        <v>2010</v>
      </c>
      <c r="F1237" s="62" t="s">
        <v>2011</v>
      </c>
      <c r="G1237" s="22">
        <v>0.625</v>
      </c>
      <c r="H1237" s="162" t="s">
        <v>2012</v>
      </c>
      <c r="I1237" s="62" t="s">
        <v>2223</v>
      </c>
      <c r="J1237" s="62" t="s">
        <v>2014</v>
      </c>
      <c r="K1237" s="188" t="s">
        <v>2224</v>
      </c>
      <c r="L1237" s="247"/>
      <c r="M1237" s="247"/>
      <c r="N1237" s="247"/>
      <c r="O1237" s="247"/>
      <c r="P1237" s="160"/>
      <c r="Q1237" s="160"/>
      <c r="R1237" s="160"/>
      <c r="S1237" s="160"/>
      <c r="T1237" s="160"/>
      <c r="U1237" s="160"/>
      <c r="V1237" s="160"/>
      <c r="W1237" s="160"/>
      <c r="X1237" s="160"/>
      <c r="Y1237" s="160"/>
      <c r="Z1237" s="160"/>
      <c r="AA1237" s="160"/>
      <c r="AB1237" s="160"/>
    </row>
    <row r="1238">
      <c r="A1238" s="176"/>
      <c r="B1238" s="67"/>
      <c r="C1238" s="181" t="s">
        <v>1609</v>
      </c>
      <c r="D1238" s="101"/>
      <c r="E1238" s="61"/>
      <c r="F1238" s="61"/>
      <c r="G1238" s="128"/>
      <c r="H1238" s="39"/>
      <c r="I1238" s="39"/>
      <c r="J1238" s="61"/>
      <c r="K1238" s="8"/>
      <c r="L1238" s="8"/>
      <c r="M1238" s="8"/>
      <c r="N1238" s="8"/>
      <c r="O1238" s="8"/>
      <c r="P1238" s="160"/>
      <c r="Q1238" s="160"/>
      <c r="R1238" s="160"/>
      <c r="S1238" s="160"/>
      <c r="T1238" s="160"/>
      <c r="U1238" s="160"/>
      <c r="V1238" s="160"/>
      <c r="W1238" s="160"/>
      <c r="X1238" s="160"/>
      <c r="Y1238" s="160"/>
      <c r="Z1238" s="160"/>
      <c r="AA1238" s="160"/>
      <c r="AB1238" s="160"/>
    </row>
    <row r="1239">
      <c r="A1239" s="176"/>
      <c r="B1239" s="179"/>
      <c r="C1239" s="184">
        <v>44552.0</v>
      </c>
      <c r="D1239" s="101"/>
      <c r="E1239" s="61"/>
      <c r="F1239" s="61"/>
      <c r="G1239" s="128"/>
      <c r="H1239" s="39"/>
      <c r="I1239" s="39"/>
      <c r="J1239" s="61"/>
      <c r="K1239" s="8"/>
      <c r="L1239" s="8"/>
      <c r="M1239" s="8"/>
      <c r="N1239" s="8"/>
      <c r="O1239" s="8"/>
      <c r="P1239" s="160"/>
      <c r="Q1239" s="160"/>
      <c r="R1239" s="160"/>
      <c r="S1239" s="160"/>
      <c r="T1239" s="160"/>
      <c r="U1239" s="160"/>
      <c r="V1239" s="160"/>
      <c r="W1239" s="160"/>
      <c r="X1239" s="160"/>
      <c r="Y1239" s="160"/>
      <c r="Z1239" s="160"/>
      <c r="AA1239" s="160"/>
      <c r="AB1239" s="160"/>
    </row>
    <row r="1240">
      <c r="A1240" s="176"/>
      <c r="B1240" s="185" t="s">
        <v>1450</v>
      </c>
      <c r="C1240" s="181" t="s">
        <v>1609</v>
      </c>
      <c r="D1240" s="101"/>
      <c r="E1240" s="200" t="s">
        <v>2203</v>
      </c>
      <c r="F1240" s="11"/>
      <c r="G1240" s="128"/>
      <c r="H1240" s="39"/>
      <c r="I1240" s="39"/>
      <c r="J1240" s="61"/>
      <c r="K1240" s="8"/>
      <c r="L1240" s="8"/>
      <c r="M1240" s="8"/>
      <c r="N1240" s="8"/>
      <c r="O1240" s="8"/>
      <c r="P1240" s="160"/>
      <c r="Q1240" s="160"/>
      <c r="R1240" s="160"/>
      <c r="S1240" s="160"/>
      <c r="T1240" s="160"/>
      <c r="U1240" s="160"/>
      <c r="V1240" s="160"/>
      <c r="W1240" s="160"/>
      <c r="X1240" s="160"/>
      <c r="Y1240" s="160"/>
      <c r="Z1240" s="160"/>
      <c r="AA1240" s="160"/>
      <c r="AB1240" s="160"/>
    </row>
    <row r="1241">
      <c r="A1241" s="176"/>
      <c r="B1241" s="66"/>
      <c r="C1241" s="181"/>
      <c r="D1241" s="48" t="s">
        <v>1971</v>
      </c>
      <c r="E1241" s="153" t="s">
        <v>743</v>
      </c>
      <c r="F1241" s="153" t="s">
        <v>744</v>
      </c>
      <c r="G1241" s="43">
        <v>0.4166666666666667</v>
      </c>
      <c r="H1241" s="44" t="s">
        <v>269</v>
      </c>
      <c r="I1241" s="44" t="s">
        <v>2225</v>
      </c>
      <c r="J1241" s="153" t="s">
        <v>746</v>
      </c>
      <c r="K1241" s="192" t="s">
        <v>2226</v>
      </c>
      <c r="L1241" s="8"/>
      <c r="M1241" s="8"/>
      <c r="N1241" s="8"/>
      <c r="O1241" s="8"/>
      <c r="P1241" s="160"/>
      <c r="Q1241" s="160"/>
      <c r="R1241" s="160"/>
      <c r="S1241" s="160"/>
      <c r="T1241" s="160"/>
      <c r="U1241" s="160"/>
      <c r="V1241" s="160"/>
      <c r="W1241" s="160"/>
      <c r="X1241" s="160"/>
      <c r="Y1241" s="160"/>
      <c r="Z1241" s="160"/>
      <c r="AA1241" s="160"/>
      <c r="AB1241" s="160"/>
    </row>
    <row r="1242">
      <c r="A1242" s="176"/>
      <c r="B1242" s="66"/>
      <c r="C1242" s="181" t="s">
        <v>1609</v>
      </c>
      <c r="D1242" s="48" t="s">
        <v>1971</v>
      </c>
      <c r="E1242" s="143" t="s">
        <v>1498</v>
      </c>
      <c r="F1242" s="143" t="s">
        <v>1499</v>
      </c>
      <c r="G1242" s="43">
        <v>0.5</v>
      </c>
      <c r="H1242" s="44" t="s">
        <v>790</v>
      </c>
      <c r="I1242" s="44" t="s">
        <v>2227</v>
      </c>
      <c r="J1242" s="143" t="s">
        <v>1501</v>
      </c>
      <c r="K1242" s="192" t="s">
        <v>2228</v>
      </c>
      <c r="L1242" s="8"/>
      <c r="M1242" s="8"/>
      <c r="N1242" s="8"/>
      <c r="O1242" s="8"/>
      <c r="P1242" s="160"/>
      <c r="Q1242" s="160"/>
      <c r="R1242" s="160"/>
      <c r="S1242" s="160"/>
      <c r="T1242" s="160"/>
      <c r="U1242" s="160"/>
      <c r="V1242" s="160"/>
      <c r="W1242" s="160"/>
      <c r="X1242" s="160"/>
      <c r="Y1242" s="160"/>
      <c r="Z1242" s="160"/>
      <c r="AA1242" s="160"/>
      <c r="AB1242" s="160"/>
    </row>
    <row r="1243">
      <c r="A1243" s="176"/>
      <c r="B1243" s="66"/>
      <c r="C1243" s="181" t="s">
        <v>1609</v>
      </c>
      <c r="D1243" s="48" t="s">
        <v>819</v>
      </c>
      <c r="E1243" s="155" t="s">
        <v>2229</v>
      </c>
      <c r="F1243" s="155" t="s">
        <v>2230</v>
      </c>
      <c r="G1243" s="43">
        <v>0.5625</v>
      </c>
      <c r="H1243" s="44" t="s">
        <v>790</v>
      </c>
      <c r="I1243" s="44" t="s">
        <v>2231</v>
      </c>
      <c r="J1243" s="155" t="s">
        <v>2232</v>
      </c>
      <c r="K1243" s="39" t="s">
        <v>2233</v>
      </c>
      <c r="L1243" s="8"/>
      <c r="N1243" s="8"/>
      <c r="O1243" s="8"/>
      <c r="P1243" s="160"/>
      <c r="Q1243" s="160"/>
      <c r="R1243" s="160"/>
      <c r="S1243" s="160"/>
      <c r="T1243" s="160"/>
      <c r="U1243" s="160"/>
      <c r="V1243" s="160"/>
      <c r="W1243" s="160"/>
      <c r="X1243" s="160"/>
      <c r="Y1243" s="160"/>
      <c r="Z1243" s="160"/>
      <c r="AA1243" s="160"/>
      <c r="AB1243" s="160"/>
    </row>
    <row r="1244">
      <c r="A1244" s="176"/>
      <c r="B1244" s="66"/>
      <c r="C1244" s="181" t="s">
        <v>1609</v>
      </c>
      <c r="D1244" s="48" t="s">
        <v>1971</v>
      </c>
      <c r="E1244" s="155" t="s">
        <v>2234</v>
      </c>
      <c r="F1244" s="155" t="s">
        <v>2235</v>
      </c>
      <c r="G1244" s="43">
        <v>0.625</v>
      </c>
      <c r="H1244" s="44" t="s">
        <v>785</v>
      </c>
      <c r="I1244" s="44" t="s">
        <v>2236</v>
      </c>
      <c r="J1244" s="155" t="s">
        <v>2237</v>
      </c>
      <c r="K1244" s="192" t="s">
        <v>2238</v>
      </c>
      <c r="L1244" s="8"/>
      <c r="M1244" s="8"/>
      <c r="N1244" s="8"/>
      <c r="O1244" s="8"/>
      <c r="P1244" s="160"/>
      <c r="Q1244" s="160"/>
      <c r="R1244" s="160"/>
      <c r="S1244" s="160"/>
      <c r="T1244" s="160"/>
      <c r="U1244" s="160"/>
      <c r="V1244" s="160"/>
      <c r="W1244" s="160"/>
      <c r="X1244" s="160"/>
      <c r="Y1244" s="160"/>
      <c r="Z1244" s="160"/>
      <c r="AA1244" s="160"/>
      <c r="AB1244" s="160"/>
    </row>
    <row r="1245">
      <c r="A1245" s="176"/>
      <c r="B1245" s="66"/>
      <c r="C1245" s="181" t="s">
        <v>1609</v>
      </c>
      <c r="D1245" s="101"/>
      <c r="E1245" s="61"/>
      <c r="F1245" s="61"/>
      <c r="G1245" s="128"/>
      <c r="H1245" s="39"/>
      <c r="I1245" s="39"/>
      <c r="J1245" s="61"/>
      <c r="K1245" s="8"/>
      <c r="L1245" s="8"/>
      <c r="M1245" s="8"/>
      <c r="N1245" s="8"/>
      <c r="O1245" s="8"/>
      <c r="P1245" s="160"/>
      <c r="Q1245" s="160"/>
      <c r="R1245" s="160"/>
      <c r="S1245" s="160"/>
      <c r="T1245" s="160"/>
      <c r="U1245" s="160"/>
      <c r="V1245" s="160"/>
      <c r="W1245" s="160"/>
      <c r="X1245" s="160"/>
      <c r="Y1245" s="160"/>
      <c r="Z1245" s="160"/>
      <c r="AA1245" s="160"/>
      <c r="AB1245" s="160"/>
    </row>
    <row r="1246">
      <c r="A1246" s="176"/>
      <c r="B1246" s="67"/>
      <c r="C1246" s="181" t="s">
        <v>1609</v>
      </c>
      <c r="D1246" s="101"/>
      <c r="E1246" s="61"/>
      <c r="F1246" s="61"/>
      <c r="G1246" s="128"/>
      <c r="H1246" s="39"/>
      <c r="I1246" s="39"/>
      <c r="J1246" s="61"/>
      <c r="K1246" s="8"/>
      <c r="L1246" s="8"/>
      <c r="M1246" s="8"/>
      <c r="N1246" s="8"/>
      <c r="O1246" s="8"/>
      <c r="P1246" s="160"/>
      <c r="Q1246" s="160"/>
      <c r="R1246" s="160"/>
      <c r="S1246" s="160"/>
      <c r="T1246" s="160"/>
      <c r="U1246" s="160"/>
      <c r="V1246" s="160"/>
      <c r="W1246" s="160"/>
      <c r="X1246" s="160"/>
      <c r="Y1246" s="160"/>
      <c r="Z1246" s="160"/>
      <c r="AA1246" s="160"/>
      <c r="AB1246" s="160"/>
    </row>
    <row r="1247">
      <c r="A1247" s="176"/>
      <c r="B1247" s="179"/>
      <c r="C1247" s="184">
        <v>44553.0</v>
      </c>
      <c r="D1247" s="101"/>
      <c r="E1247" s="61"/>
      <c r="F1247" s="61"/>
      <c r="G1247" s="128"/>
      <c r="H1247" s="39"/>
      <c r="I1247" s="39"/>
      <c r="J1247" s="61"/>
      <c r="K1247" s="8"/>
      <c r="L1247" s="8"/>
      <c r="M1247" s="8"/>
      <c r="N1247" s="8"/>
      <c r="O1247" s="8"/>
      <c r="P1247" s="160"/>
      <c r="Q1247" s="160"/>
      <c r="R1247" s="160"/>
      <c r="S1247" s="160"/>
      <c r="T1247" s="160"/>
      <c r="U1247" s="160"/>
      <c r="V1247" s="160"/>
      <c r="W1247" s="160"/>
      <c r="X1247" s="160"/>
      <c r="Y1247" s="160"/>
      <c r="Z1247" s="160"/>
      <c r="AA1247" s="160"/>
      <c r="AB1247" s="160"/>
    </row>
    <row r="1248">
      <c r="A1248" s="176"/>
      <c r="B1248" s="185" t="s">
        <v>1450</v>
      </c>
      <c r="C1248" s="181" t="s">
        <v>1609</v>
      </c>
      <c r="D1248" s="101"/>
      <c r="E1248" s="200" t="s">
        <v>2203</v>
      </c>
      <c r="F1248" s="11"/>
      <c r="G1248" s="128"/>
      <c r="H1248" s="39"/>
      <c r="I1248" s="39"/>
      <c r="J1248" s="61"/>
      <c r="K1248" s="8"/>
      <c r="L1248" s="8"/>
      <c r="M1248" s="8"/>
      <c r="N1248" s="8"/>
      <c r="O1248" s="8"/>
      <c r="P1248" s="160"/>
      <c r="Q1248" s="160"/>
      <c r="R1248" s="160"/>
      <c r="S1248" s="160"/>
      <c r="T1248" s="160"/>
      <c r="U1248" s="160"/>
      <c r="V1248" s="160"/>
      <c r="W1248" s="160"/>
      <c r="X1248" s="160"/>
      <c r="Y1248" s="160"/>
      <c r="Z1248" s="160"/>
      <c r="AA1248" s="160"/>
      <c r="AB1248" s="160"/>
    </row>
    <row r="1249">
      <c r="A1249" s="176"/>
      <c r="B1249" s="66"/>
      <c r="C1249" s="181" t="s">
        <v>1609</v>
      </c>
      <c r="D1249" s="27" t="s">
        <v>1715</v>
      </c>
      <c r="E1249" s="162" t="s">
        <v>2239</v>
      </c>
      <c r="F1249" s="162" t="s">
        <v>2240</v>
      </c>
      <c r="G1249" s="76" t="s">
        <v>344</v>
      </c>
      <c r="H1249" s="182" t="s">
        <v>1038</v>
      </c>
      <c r="I1249" s="18" t="s">
        <v>2241</v>
      </c>
      <c r="J1249" s="183" t="s">
        <v>2242</v>
      </c>
      <c r="K1249" s="8"/>
      <c r="L1249" s="8"/>
      <c r="M1249" s="8"/>
      <c r="N1249" s="8"/>
      <c r="O1249" s="8"/>
      <c r="P1249" s="160"/>
      <c r="Q1249" s="160"/>
      <c r="R1249" s="160"/>
      <c r="S1249" s="160"/>
      <c r="T1249" s="160"/>
      <c r="U1249" s="160"/>
      <c r="V1249" s="160"/>
      <c r="W1249" s="160"/>
      <c r="X1249" s="160"/>
      <c r="Y1249" s="160"/>
      <c r="Z1249" s="160"/>
      <c r="AA1249" s="160"/>
      <c r="AB1249" s="160"/>
    </row>
    <row r="1250">
      <c r="A1250" s="176"/>
      <c r="B1250" s="66"/>
      <c r="C1250" s="181" t="s">
        <v>1609</v>
      </c>
      <c r="D1250" s="27" t="s">
        <v>1621</v>
      </c>
      <c r="E1250" s="62" t="s">
        <v>2210</v>
      </c>
      <c r="F1250" s="62" t="s">
        <v>2211</v>
      </c>
      <c r="G1250" s="22">
        <v>0.5</v>
      </c>
      <c r="H1250" s="62" t="s">
        <v>367</v>
      </c>
      <c r="I1250" s="62" t="s">
        <v>2212</v>
      </c>
      <c r="J1250" s="62" t="s">
        <v>2213</v>
      </c>
      <c r="K1250" s="8"/>
      <c r="L1250" s="8"/>
      <c r="M1250" s="8"/>
      <c r="N1250" s="8"/>
      <c r="O1250" s="8"/>
      <c r="P1250" s="160"/>
      <c r="Q1250" s="160"/>
      <c r="R1250" s="160"/>
      <c r="S1250" s="160"/>
      <c r="T1250" s="160"/>
      <c r="U1250" s="160"/>
      <c r="V1250" s="160"/>
      <c r="W1250" s="160"/>
      <c r="X1250" s="160"/>
      <c r="Y1250" s="160"/>
      <c r="Z1250" s="160"/>
      <c r="AA1250" s="160"/>
      <c r="AB1250" s="160"/>
    </row>
    <row r="1251">
      <c r="A1251" s="176"/>
      <c r="B1251" s="66"/>
      <c r="C1251" s="181" t="s">
        <v>1609</v>
      </c>
      <c r="D1251" s="48" t="s">
        <v>1791</v>
      </c>
      <c r="E1251" s="155" t="s">
        <v>665</v>
      </c>
      <c r="F1251" s="155" t="s">
        <v>666</v>
      </c>
      <c r="G1251" s="43">
        <v>0.5833333333333334</v>
      </c>
      <c r="H1251" s="44" t="s">
        <v>1968</v>
      </c>
      <c r="I1251" s="44" t="s">
        <v>2243</v>
      </c>
      <c r="J1251" s="155" t="s">
        <v>668</v>
      </c>
      <c r="K1251" s="39" t="s">
        <v>2244</v>
      </c>
      <c r="L1251" s="8"/>
      <c r="M1251" s="8"/>
      <c r="N1251" s="8"/>
      <c r="O1251" s="8"/>
      <c r="P1251" s="160"/>
      <c r="Q1251" s="160"/>
      <c r="R1251" s="160"/>
      <c r="S1251" s="160"/>
      <c r="T1251" s="160"/>
      <c r="U1251" s="160"/>
      <c r="V1251" s="160"/>
      <c r="W1251" s="160"/>
      <c r="X1251" s="160"/>
      <c r="Y1251" s="160"/>
      <c r="Z1251" s="160"/>
      <c r="AA1251" s="160"/>
      <c r="AB1251" s="160"/>
    </row>
    <row r="1252">
      <c r="A1252" s="176"/>
      <c r="B1252" s="66"/>
      <c r="C1252" s="181" t="s">
        <v>1609</v>
      </c>
      <c r="D1252" s="101"/>
      <c r="E1252" s="61"/>
      <c r="F1252" s="61"/>
      <c r="G1252" s="136"/>
      <c r="H1252" s="39"/>
      <c r="I1252" s="39"/>
      <c r="J1252" s="61"/>
      <c r="K1252" s="8"/>
      <c r="L1252" s="8"/>
      <c r="M1252" s="8"/>
      <c r="N1252" s="8"/>
      <c r="O1252" s="8"/>
      <c r="P1252" s="160"/>
      <c r="Q1252" s="160"/>
      <c r="R1252" s="160"/>
      <c r="S1252" s="160"/>
      <c r="T1252" s="160"/>
      <c r="U1252" s="160"/>
      <c r="V1252" s="160"/>
      <c r="W1252" s="160"/>
      <c r="X1252" s="160"/>
      <c r="Y1252" s="160"/>
      <c r="Z1252" s="160"/>
      <c r="AA1252" s="160"/>
      <c r="AB1252" s="160"/>
    </row>
    <row r="1253">
      <c r="A1253" s="176"/>
      <c r="B1253" s="67"/>
      <c r="C1253" s="181" t="s">
        <v>1609</v>
      </c>
      <c r="D1253" s="101"/>
      <c r="E1253" s="61"/>
      <c r="F1253" s="61"/>
      <c r="G1253" s="128"/>
      <c r="H1253" s="39"/>
      <c r="I1253" s="39"/>
      <c r="J1253" s="61"/>
      <c r="K1253" s="8"/>
      <c r="L1253" s="8"/>
      <c r="M1253" s="8"/>
      <c r="N1253" s="8"/>
      <c r="O1253" s="8"/>
      <c r="P1253" s="160"/>
      <c r="Q1253" s="160"/>
      <c r="R1253" s="160"/>
      <c r="S1253" s="160"/>
      <c r="T1253" s="160"/>
      <c r="U1253" s="160"/>
      <c r="V1253" s="160"/>
      <c r="W1253" s="160"/>
      <c r="X1253" s="160"/>
      <c r="Y1253" s="160"/>
      <c r="Z1253" s="160"/>
      <c r="AA1253" s="160"/>
      <c r="AB1253" s="160"/>
    </row>
    <row r="1254">
      <c r="A1254" s="176"/>
      <c r="B1254" s="179"/>
      <c r="C1254" s="184">
        <v>44554.0</v>
      </c>
      <c r="D1254" s="101"/>
      <c r="E1254" s="61"/>
      <c r="F1254" s="61"/>
      <c r="G1254" s="128"/>
      <c r="H1254" s="39"/>
      <c r="I1254" s="39"/>
      <c r="J1254" s="61"/>
      <c r="K1254" s="8"/>
      <c r="L1254" s="8"/>
      <c r="M1254" s="8"/>
      <c r="N1254" s="8"/>
      <c r="O1254" s="8"/>
      <c r="P1254" s="160"/>
      <c r="Q1254" s="160"/>
      <c r="R1254" s="160"/>
      <c r="S1254" s="160"/>
      <c r="T1254" s="160"/>
      <c r="U1254" s="160"/>
      <c r="V1254" s="160"/>
      <c r="W1254" s="160"/>
      <c r="X1254" s="160"/>
      <c r="Y1254" s="160"/>
      <c r="Z1254" s="160"/>
      <c r="AA1254" s="160"/>
      <c r="AB1254" s="160"/>
    </row>
    <row r="1255">
      <c r="A1255" s="176"/>
      <c r="B1255" s="185" t="s">
        <v>1450</v>
      </c>
      <c r="C1255" s="181" t="s">
        <v>1609</v>
      </c>
      <c r="D1255" s="101"/>
      <c r="E1255" s="200" t="s">
        <v>2203</v>
      </c>
      <c r="F1255" s="11"/>
      <c r="G1255" s="128"/>
      <c r="H1255" s="39"/>
      <c r="I1255" s="39"/>
      <c r="J1255" s="61"/>
      <c r="K1255" s="8"/>
      <c r="L1255" s="8"/>
      <c r="M1255" s="8"/>
      <c r="N1255" s="8"/>
      <c r="O1255" s="8"/>
      <c r="P1255" s="160"/>
      <c r="Q1255" s="160"/>
      <c r="R1255" s="160"/>
      <c r="S1255" s="160"/>
      <c r="T1255" s="160"/>
      <c r="U1255" s="160"/>
      <c r="V1255" s="160"/>
      <c r="W1255" s="160"/>
      <c r="X1255" s="160"/>
      <c r="Y1255" s="160"/>
      <c r="Z1255" s="160"/>
      <c r="AA1255" s="160"/>
      <c r="AB1255" s="160"/>
    </row>
    <row r="1256">
      <c r="A1256" s="176"/>
      <c r="B1256" s="66"/>
      <c r="C1256" s="181" t="s">
        <v>1609</v>
      </c>
      <c r="D1256" s="44" t="s">
        <v>2161</v>
      </c>
      <c r="E1256" s="73" t="s">
        <v>2187</v>
      </c>
      <c r="F1256" s="73" t="s">
        <v>2188</v>
      </c>
      <c r="G1256" s="43">
        <v>0.4166666666666667</v>
      </c>
      <c r="H1256" s="44" t="s">
        <v>924</v>
      </c>
      <c r="I1256" s="44" t="s">
        <v>2245</v>
      </c>
      <c r="J1256" s="73" t="s">
        <v>2190</v>
      </c>
      <c r="K1256" s="192" t="s">
        <v>2246</v>
      </c>
      <c r="L1256" s="190"/>
      <c r="M1256" s="8"/>
      <c r="N1256" s="8"/>
      <c r="O1256" s="8"/>
      <c r="P1256" s="160"/>
      <c r="Q1256" s="160"/>
      <c r="R1256" s="160"/>
      <c r="S1256" s="160"/>
      <c r="T1256" s="160"/>
      <c r="U1256" s="160"/>
      <c r="V1256" s="160"/>
      <c r="W1256" s="160"/>
      <c r="X1256" s="160"/>
      <c r="Y1256" s="160"/>
      <c r="Z1256" s="160"/>
      <c r="AA1256" s="160"/>
      <c r="AB1256" s="160"/>
    </row>
    <row r="1257">
      <c r="A1257" s="176"/>
      <c r="B1257" s="66"/>
      <c r="C1257" s="181" t="s">
        <v>1609</v>
      </c>
      <c r="D1257" s="44" t="s">
        <v>819</v>
      </c>
      <c r="E1257" s="155" t="s">
        <v>2247</v>
      </c>
      <c r="F1257" s="155" t="s">
        <v>2248</v>
      </c>
      <c r="G1257" s="43">
        <v>0.5416666666666666</v>
      </c>
      <c r="H1257" s="201" t="s">
        <v>2249</v>
      </c>
      <c r="I1257" s="44" t="s">
        <v>2250</v>
      </c>
      <c r="J1257" s="155" t="s">
        <v>2251</v>
      </c>
      <c r="K1257" s="192" t="s">
        <v>2252</v>
      </c>
      <c r="L1257" s="190"/>
      <c r="M1257" s="8"/>
      <c r="N1257" s="8"/>
      <c r="O1257" s="8"/>
      <c r="P1257" s="160"/>
      <c r="Q1257" s="160"/>
      <c r="R1257" s="160"/>
      <c r="S1257" s="160"/>
      <c r="T1257" s="160"/>
      <c r="U1257" s="160"/>
      <c r="V1257" s="160"/>
      <c r="W1257" s="160"/>
      <c r="X1257" s="160"/>
      <c r="Y1257" s="160"/>
      <c r="Z1257" s="160"/>
      <c r="AA1257" s="160"/>
      <c r="AB1257" s="160"/>
    </row>
    <row r="1258">
      <c r="A1258" s="176"/>
      <c r="B1258" s="66"/>
      <c r="C1258" s="181" t="s">
        <v>1609</v>
      </c>
      <c r="D1258" s="48" t="s">
        <v>1791</v>
      </c>
      <c r="E1258" s="73" t="s">
        <v>1684</v>
      </c>
      <c r="F1258" s="73" t="s">
        <v>1685</v>
      </c>
      <c r="G1258" s="43">
        <v>0.5</v>
      </c>
      <c r="H1258" s="44" t="s">
        <v>924</v>
      </c>
      <c r="I1258" s="44" t="s">
        <v>2253</v>
      </c>
      <c r="J1258" s="73" t="s">
        <v>1687</v>
      </c>
      <c r="K1258" s="39" t="s">
        <v>2254</v>
      </c>
      <c r="L1258" s="8"/>
      <c r="M1258" s="8"/>
      <c r="N1258" s="8"/>
      <c r="O1258" s="8"/>
      <c r="P1258" s="160"/>
      <c r="Q1258" s="160"/>
      <c r="R1258" s="160"/>
      <c r="S1258" s="160"/>
      <c r="T1258" s="160"/>
      <c r="U1258" s="160"/>
      <c r="V1258" s="160"/>
      <c r="W1258" s="160"/>
      <c r="X1258" s="160"/>
      <c r="Y1258" s="160"/>
      <c r="Z1258" s="160"/>
      <c r="AA1258" s="160"/>
      <c r="AB1258" s="160"/>
    </row>
    <row r="1259">
      <c r="A1259" s="176"/>
      <c r="B1259" s="66"/>
      <c r="C1259" s="181" t="s">
        <v>1609</v>
      </c>
      <c r="D1259" s="48" t="s">
        <v>1715</v>
      </c>
      <c r="E1259" s="155" t="s">
        <v>2255</v>
      </c>
      <c r="F1259" s="155" t="s">
        <v>2256</v>
      </c>
      <c r="G1259" s="70" t="s">
        <v>298</v>
      </c>
      <c r="H1259" s="201" t="s">
        <v>2249</v>
      </c>
      <c r="I1259" s="44" t="s">
        <v>2257</v>
      </c>
      <c r="J1259" s="202" t="s">
        <v>2258</v>
      </c>
      <c r="K1259" s="39" t="s">
        <v>2246</v>
      </c>
      <c r="L1259" s="8"/>
      <c r="M1259" s="8"/>
      <c r="N1259" s="8"/>
      <c r="O1259" s="8"/>
      <c r="P1259" s="160"/>
      <c r="Q1259" s="160"/>
      <c r="R1259" s="160"/>
      <c r="S1259" s="160"/>
      <c r="T1259" s="160"/>
      <c r="U1259" s="160"/>
      <c r="V1259" s="160"/>
      <c r="W1259" s="160"/>
      <c r="X1259" s="160"/>
      <c r="Y1259" s="160"/>
      <c r="Z1259" s="160"/>
      <c r="AA1259" s="160"/>
      <c r="AB1259" s="160"/>
    </row>
    <row r="1260">
      <c r="A1260" s="176"/>
      <c r="B1260" s="67"/>
      <c r="C1260" s="181" t="s">
        <v>1609</v>
      </c>
      <c r="D1260" s="101"/>
      <c r="E1260" s="61"/>
      <c r="F1260" s="61"/>
      <c r="G1260" s="128"/>
      <c r="H1260" s="39"/>
      <c r="I1260" s="39"/>
      <c r="J1260" s="61"/>
      <c r="K1260" s="8"/>
      <c r="L1260" s="8"/>
      <c r="M1260" s="8"/>
      <c r="N1260" s="8"/>
      <c r="O1260" s="8"/>
      <c r="P1260" s="160"/>
      <c r="Q1260" s="160"/>
      <c r="R1260" s="160"/>
      <c r="S1260" s="160"/>
      <c r="T1260" s="160"/>
      <c r="U1260" s="160"/>
      <c r="V1260" s="160"/>
      <c r="W1260" s="160"/>
      <c r="X1260" s="160"/>
      <c r="Y1260" s="160"/>
      <c r="Z1260" s="160"/>
      <c r="AA1260" s="160"/>
      <c r="AB1260" s="160"/>
    </row>
    <row r="1261">
      <c r="A1261" s="176"/>
      <c r="B1261" s="179"/>
      <c r="C1261" s="184">
        <v>44557.0</v>
      </c>
      <c r="D1261" s="101"/>
      <c r="E1261" s="61"/>
      <c r="F1261" s="61"/>
      <c r="G1261" s="128"/>
      <c r="H1261" s="39"/>
      <c r="I1261" s="39"/>
      <c r="J1261" s="61"/>
      <c r="K1261" s="8"/>
      <c r="L1261" s="8"/>
      <c r="M1261" s="8"/>
      <c r="N1261" s="8"/>
      <c r="O1261" s="8"/>
      <c r="P1261" s="160"/>
      <c r="Q1261" s="160"/>
      <c r="R1261" s="160"/>
      <c r="S1261" s="160"/>
      <c r="T1261" s="160"/>
      <c r="U1261" s="160"/>
      <c r="V1261" s="160"/>
      <c r="W1261" s="160"/>
      <c r="X1261" s="160"/>
      <c r="Y1261" s="160"/>
      <c r="Z1261" s="160"/>
      <c r="AA1261" s="160"/>
      <c r="AB1261" s="160"/>
    </row>
    <row r="1262">
      <c r="A1262" s="176"/>
      <c r="B1262" s="185" t="s">
        <v>1450</v>
      </c>
      <c r="C1262" s="181" t="s">
        <v>1609</v>
      </c>
      <c r="D1262" s="101"/>
      <c r="E1262" s="200" t="s">
        <v>2203</v>
      </c>
      <c r="F1262" s="11"/>
      <c r="G1262" s="128"/>
      <c r="H1262" s="39"/>
      <c r="I1262" s="39"/>
      <c r="J1262" s="61"/>
      <c r="K1262" s="8"/>
      <c r="L1262" s="8"/>
      <c r="M1262" s="8"/>
      <c r="N1262" s="8"/>
      <c r="O1262" s="8"/>
      <c r="P1262" s="160"/>
      <c r="Q1262" s="160"/>
      <c r="R1262" s="160"/>
      <c r="S1262" s="160"/>
      <c r="T1262" s="160"/>
      <c r="U1262" s="160"/>
      <c r="V1262" s="160"/>
      <c r="W1262" s="160"/>
      <c r="X1262" s="160"/>
      <c r="Y1262" s="160"/>
      <c r="Z1262" s="160"/>
      <c r="AA1262" s="160"/>
      <c r="AB1262" s="160"/>
    </row>
    <row r="1263">
      <c r="A1263" s="176"/>
      <c r="B1263" s="66"/>
      <c r="C1263" s="181" t="s">
        <v>1609</v>
      </c>
      <c r="D1263" s="27" t="s">
        <v>819</v>
      </c>
      <c r="E1263" s="162" t="s">
        <v>2259</v>
      </c>
      <c r="F1263" s="162" t="s">
        <v>2260</v>
      </c>
      <c r="G1263" s="22">
        <v>0.5208333333333334</v>
      </c>
      <c r="H1263" s="18" t="s">
        <v>570</v>
      </c>
      <c r="I1263" s="18" t="s">
        <v>2261</v>
      </c>
      <c r="J1263" s="162" t="s">
        <v>2262</v>
      </c>
      <c r="K1263" s="8"/>
      <c r="L1263" s="8"/>
      <c r="M1263" s="8"/>
      <c r="N1263" s="8"/>
      <c r="O1263" s="8"/>
      <c r="P1263" s="160"/>
      <c r="Q1263" s="160"/>
      <c r="R1263" s="160"/>
      <c r="S1263" s="160"/>
      <c r="T1263" s="160"/>
      <c r="U1263" s="160"/>
      <c r="V1263" s="160"/>
      <c r="W1263" s="160"/>
      <c r="X1263" s="160"/>
      <c r="Y1263" s="160"/>
      <c r="Z1263" s="160"/>
      <c r="AA1263" s="160"/>
      <c r="AB1263" s="160"/>
    </row>
    <row r="1264">
      <c r="A1264" s="176"/>
      <c r="B1264" s="66"/>
      <c r="C1264" s="181" t="s">
        <v>1609</v>
      </c>
      <c r="D1264" s="27" t="s">
        <v>819</v>
      </c>
      <c r="E1264" s="162" t="s">
        <v>2263</v>
      </c>
      <c r="F1264" s="162" t="s">
        <v>2264</v>
      </c>
      <c r="G1264" s="22">
        <v>0.5208333333333334</v>
      </c>
      <c r="H1264" s="18" t="s">
        <v>570</v>
      </c>
      <c r="I1264" s="18" t="s">
        <v>2261</v>
      </c>
      <c r="J1264" s="162" t="s">
        <v>2262</v>
      </c>
      <c r="K1264" s="8"/>
      <c r="L1264" s="8"/>
      <c r="M1264" s="8"/>
      <c r="N1264" s="8"/>
      <c r="O1264" s="8"/>
      <c r="P1264" s="160"/>
      <c r="Q1264" s="160"/>
      <c r="R1264" s="160"/>
      <c r="S1264" s="160"/>
      <c r="T1264" s="160"/>
      <c r="U1264" s="160"/>
      <c r="V1264" s="160"/>
      <c r="W1264" s="160"/>
      <c r="X1264" s="160"/>
      <c r="Y1264" s="160"/>
      <c r="Z1264" s="160"/>
      <c r="AA1264" s="160"/>
      <c r="AB1264" s="160"/>
    </row>
    <row r="1265">
      <c r="A1265" s="176"/>
      <c r="B1265" s="66"/>
      <c r="C1265" s="181" t="s">
        <v>1609</v>
      </c>
      <c r="D1265" s="27" t="s">
        <v>819</v>
      </c>
      <c r="E1265" s="175" t="s">
        <v>212</v>
      </c>
      <c r="F1265" s="175" t="s">
        <v>213</v>
      </c>
      <c r="G1265" s="22">
        <v>0.5833333333333334</v>
      </c>
      <c r="H1265" s="18" t="s">
        <v>570</v>
      </c>
      <c r="I1265" s="18" t="s">
        <v>2265</v>
      </c>
      <c r="J1265" s="175" t="s">
        <v>216</v>
      </c>
      <c r="K1265" s="8"/>
      <c r="L1265" s="8"/>
      <c r="M1265" s="8"/>
      <c r="N1265" s="8"/>
      <c r="O1265" s="8"/>
      <c r="P1265" s="160"/>
      <c r="Q1265" s="160"/>
      <c r="R1265" s="160"/>
      <c r="S1265" s="160"/>
      <c r="T1265" s="160"/>
      <c r="U1265" s="160"/>
      <c r="V1265" s="160"/>
      <c r="W1265" s="160"/>
      <c r="X1265" s="160"/>
      <c r="Y1265" s="160"/>
      <c r="Z1265" s="160"/>
      <c r="AA1265" s="160"/>
      <c r="AB1265" s="160"/>
    </row>
    <row r="1266">
      <c r="A1266" s="176"/>
      <c r="B1266" s="66"/>
      <c r="C1266" s="181" t="s">
        <v>1609</v>
      </c>
      <c r="D1266" s="27" t="s">
        <v>819</v>
      </c>
      <c r="E1266" s="175" t="s">
        <v>769</v>
      </c>
      <c r="F1266" s="175" t="s">
        <v>770</v>
      </c>
      <c r="G1266" s="22">
        <v>0.5833333333333334</v>
      </c>
      <c r="H1266" s="18" t="s">
        <v>570</v>
      </c>
      <c r="I1266" s="18" t="s">
        <v>2265</v>
      </c>
      <c r="J1266" s="175" t="s">
        <v>216</v>
      </c>
      <c r="K1266" s="8"/>
      <c r="L1266" s="8"/>
      <c r="M1266" s="8"/>
      <c r="N1266" s="8"/>
      <c r="O1266" s="8"/>
      <c r="P1266" s="160"/>
      <c r="Q1266" s="160"/>
      <c r="R1266" s="160"/>
      <c r="S1266" s="160"/>
      <c r="T1266" s="160"/>
      <c r="U1266" s="160"/>
      <c r="V1266" s="160"/>
      <c r="W1266" s="160"/>
      <c r="X1266" s="160"/>
      <c r="Y1266" s="160"/>
      <c r="Z1266" s="160"/>
      <c r="AA1266" s="160"/>
      <c r="AB1266" s="160"/>
    </row>
    <row r="1267">
      <c r="A1267" s="176"/>
      <c r="B1267" s="66"/>
      <c r="C1267" s="181" t="s">
        <v>1609</v>
      </c>
      <c r="D1267" s="27" t="s">
        <v>819</v>
      </c>
      <c r="E1267" s="162" t="s">
        <v>2266</v>
      </c>
      <c r="F1267" s="162" t="s">
        <v>2267</v>
      </c>
      <c r="G1267" s="22">
        <v>0.625</v>
      </c>
      <c r="H1267" s="18" t="s">
        <v>570</v>
      </c>
      <c r="I1267" s="18" t="s">
        <v>2268</v>
      </c>
      <c r="J1267" s="162" t="s">
        <v>2269</v>
      </c>
      <c r="K1267" s="8"/>
      <c r="L1267" s="8"/>
      <c r="M1267" s="8"/>
      <c r="N1267" s="8"/>
      <c r="O1267" s="8"/>
      <c r="P1267" s="160"/>
      <c r="Q1267" s="160"/>
      <c r="R1267" s="160"/>
      <c r="S1267" s="160"/>
      <c r="T1267" s="160"/>
      <c r="U1267" s="160"/>
      <c r="V1267" s="160"/>
      <c r="W1267" s="160"/>
      <c r="X1267" s="160"/>
      <c r="Y1267" s="160"/>
      <c r="Z1267" s="160"/>
      <c r="AA1267" s="160"/>
      <c r="AB1267" s="160"/>
    </row>
    <row r="1268">
      <c r="A1268" s="176"/>
      <c r="B1268" s="66"/>
      <c r="C1268" s="181" t="s">
        <v>1609</v>
      </c>
      <c r="D1268" s="101"/>
      <c r="E1268" s="61"/>
      <c r="F1268" s="61"/>
      <c r="G1268" s="128"/>
      <c r="H1268" s="39"/>
      <c r="I1268" s="39"/>
      <c r="J1268" s="61"/>
      <c r="K1268" s="8"/>
      <c r="L1268" s="8"/>
      <c r="M1268" s="8"/>
      <c r="N1268" s="8"/>
      <c r="O1268" s="8"/>
      <c r="P1268" s="160"/>
      <c r="Q1268" s="160"/>
      <c r="R1268" s="160"/>
      <c r="S1268" s="160"/>
      <c r="T1268" s="160"/>
      <c r="U1268" s="160"/>
      <c r="V1268" s="160"/>
      <c r="W1268" s="160"/>
      <c r="X1268" s="160"/>
      <c r="Y1268" s="160"/>
      <c r="Z1268" s="160"/>
      <c r="AA1268" s="160"/>
      <c r="AB1268" s="160"/>
    </row>
    <row r="1269">
      <c r="A1269" s="176"/>
      <c r="B1269" s="67"/>
      <c r="C1269" s="181" t="s">
        <v>1609</v>
      </c>
      <c r="D1269" s="101"/>
      <c r="E1269" s="61"/>
      <c r="F1269" s="61"/>
      <c r="G1269" s="128"/>
      <c r="H1269" s="39"/>
      <c r="I1269" s="39"/>
      <c r="J1269" s="61"/>
      <c r="K1269" s="8"/>
      <c r="L1269" s="8"/>
      <c r="M1269" s="8"/>
      <c r="N1269" s="8"/>
      <c r="O1269" s="8"/>
      <c r="P1269" s="160"/>
      <c r="Q1269" s="160"/>
      <c r="R1269" s="160"/>
      <c r="S1269" s="160"/>
      <c r="T1269" s="160"/>
      <c r="U1269" s="160"/>
      <c r="V1269" s="160"/>
      <c r="W1269" s="160"/>
      <c r="X1269" s="160"/>
      <c r="Y1269" s="160"/>
      <c r="Z1269" s="160"/>
      <c r="AA1269" s="160"/>
      <c r="AB1269" s="160"/>
    </row>
    <row r="1270">
      <c r="A1270" s="176"/>
      <c r="B1270" s="179"/>
      <c r="C1270" s="184">
        <v>44558.0</v>
      </c>
      <c r="D1270" s="101"/>
      <c r="E1270" s="61"/>
      <c r="F1270" s="61"/>
      <c r="G1270" s="128"/>
      <c r="H1270" s="39"/>
      <c r="I1270" s="39"/>
      <c r="J1270" s="61"/>
      <c r="K1270" s="8"/>
      <c r="L1270" s="8"/>
      <c r="M1270" s="8"/>
      <c r="N1270" s="8"/>
      <c r="O1270" s="8"/>
      <c r="P1270" s="8"/>
      <c r="Q1270" s="8"/>
      <c r="R1270" s="8"/>
      <c r="S1270" s="8"/>
      <c r="T1270" s="160"/>
      <c r="U1270" s="160"/>
      <c r="V1270" s="160"/>
      <c r="W1270" s="160"/>
      <c r="X1270" s="160"/>
      <c r="Y1270" s="160"/>
      <c r="Z1270" s="160"/>
      <c r="AA1270" s="160"/>
      <c r="AB1270" s="160"/>
    </row>
    <row r="1271">
      <c r="A1271" s="176"/>
      <c r="B1271" s="185" t="s">
        <v>1450</v>
      </c>
      <c r="C1271" s="181" t="s">
        <v>1609</v>
      </c>
      <c r="D1271" s="101"/>
      <c r="E1271" s="178" t="s">
        <v>1708</v>
      </c>
      <c r="F1271" s="52"/>
      <c r="G1271" s="128"/>
      <c r="H1271" s="39"/>
      <c r="I1271" s="39"/>
      <c r="J1271" s="61"/>
      <c r="K1271" s="8"/>
      <c r="L1271" s="8"/>
      <c r="M1271" s="8"/>
      <c r="N1271" s="8"/>
      <c r="O1271" s="8"/>
      <c r="P1271" s="8"/>
      <c r="Q1271" s="8"/>
      <c r="R1271" s="8"/>
      <c r="S1271" s="8"/>
      <c r="T1271" s="160"/>
      <c r="U1271" s="160"/>
      <c r="V1271" s="160"/>
      <c r="W1271" s="160"/>
      <c r="X1271" s="160"/>
      <c r="Y1271" s="160"/>
      <c r="Z1271" s="160"/>
      <c r="AA1271" s="160"/>
      <c r="AB1271" s="160"/>
    </row>
    <row r="1272">
      <c r="A1272" s="176"/>
      <c r="B1272" s="66"/>
      <c r="C1272" s="181" t="s">
        <v>1609</v>
      </c>
      <c r="D1272" s="39"/>
      <c r="E1272" s="53"/>
      <c r="F1272" s="54"/>
      <c r="G1272" s="128"/>
      <c r="H1272" s="39"/>
      <c r="I1272" s="39"/>
      <c r="J1272" s="61"/>
      <c r="K1272" s="8"/>
      <c r="L1272" s="8"/>
      <c r="M1272" s="8"/>
      <c r="N1272" s="8"/>
      <c r="O1272" s="8"/>
      <c r="P1272" s="8"/>
      <c r="Q1272" s="8"/>
      <c r="R1272" s="8"/>
      <c r="S1272" s="8"/>
      <c r="T1272" s="160"/>
      <c r="U1272" s="160"/>
      <c r="V1272" s="160"/>
      <c r="W1272" s="160"/>
      <c r="X1272" s="160"/>
      <c r="Y1272" s="160"/>
      <c r="Z1272" s="160"/>
      <c r="AA1272" s="160"/>
      <c r="AB1272" s="160"/>
    </row>
    <row r="1273">
      <c r="A1273" s="176"/>
      <c r="B1273" s="66"/>
      <c r="C1273" s="181" t="s">
        <v>1609</v>
      </c>
      <c r="D1273" s="101"/>
      <c r="E1273" s="55"/>
      <c r="F1273" s="57"/>
      <c r="G1273" s="128"/>
      <c r="H1273" s="39"/>
      <c r="I1273" s="39"/>
      <c r="J1273" s="150"/>
      <c r="K1273" s="8"/>
      <c r="L1273" s="8"/>
      <c r="M1273" s="8"/>
      <c r="N1273" s="8"/>
      <c r="O1273" s="8"/>
      <c r="P1273" s="8"/>
      <c r="Q1273" s="8"/>
      <c r="R1273" s="8"/>
      <c r="S1273" s="8"/>
      <c r="T1273" s="160"/>
      <c r="U1273" s="160"/>
      <c r="V1273" s="160"/>
      <c r="W1273" s="160"/>
      <c r="X1273" s="160"/>
      <c r="Y1273" s="160"/>
      <c r="Z1273" s="160"/>
      <c r="AA1273" s="160"/>
      <c r="AB1273" s="160"/>
    </row>
    <row r="1274">
      <c r="A1274" s="176"/>
      <c r="B1274" s="66"/>
      <c r="C1274" s="181" t="s">
        <v>1609</v>
      </c>
      <c r="D1274" s="101"/>
      <c r="E1274" s="61"/>
      <c r="F1274" s="61"/>
      <c r="G1274" s="128"/>
      <c r="H1274" s="39"/>
      <c r="I1274" s="39"/>
      <c r="J1274" s="150"/>
      <c r="K1274" s="8"/>
      <c r="L1274" s="8"/>
      <c r="M1274" s="8"/>
      <c r="N1274" s="8"/>
      <c r="O1274" s="8"/>
      <c r="P1274" s="8"/>
      <c r="Q1274" s="8"/>
      <c r="R1274" s="8"/>
      <c r="S1274" s="8"/>
      <c r="T1274" s="160"/>
      <c r="U1274" s="160"/>
      <c r="V1274" s="160"/>
      <c r="W1274" s="160"/>
      <c r="X1274" s="160"/>
      <c r="Y1274" s="160"/>
      <c r="Z1274" s="160"/>
      <c r="AA1274" s="160"/>
      <c r="AB1274" s="160"/>
    </row>
    <row r="1275">
      <c r="A1275" s="176"/>
      <c r="B1275" s="66"/>
      <c r="C1275" s="181" t="s">
        <v>1609</v>
      </c>
      <c r="D1275" s="101"/>
      <c r="E1275" s="61"/>
      <c r="F1275" s="61"/>
      <c r="G1275" s="128"/>
      <c r="H1275" s="39"/>
      <c r="I1275" s="39"/>
      <c r="J1275" s="61"/>
      <c r="K1275" s="8"/>
      <c r="L1275" s="8"/>
      <c r="M1275" s="8"/>
      <c r="N1275" s="8"/>
      <c r="O1275" s="8"/>
      <c r="P1275" s="8"/>
      <c r="Q1275" s="8"/>
      <c r="R1275" s="8"/>
      <c r="S1275" s="8"/>
      <c r="T1275" s="160"/>
      <c r="U1275" s="160"/>
      <c r="V1275" s="160"/>
      <c r="W1275" s="160"/>
      <c r="X1275" s="160"/>
      <c r="Y1275" s="160"/>
      <c r="Z1275" s="160"/>
      <c r="AA1275" s="160"/>
      <c r="AB1275" s="160"/>
    </row>
    <row r="1276">
      <c r="A1276" s="176"/>
      <c r="B1276" s="66"/>
      <c r="C1276" s="181" t="s">
        <v>1609</v>
      </c>
      <c r="D1276" s="101"/>
      <c r="E1276" s="61"/>
      <c r="F1276" s="61"/>
      <c r="G1276" s="128"/>
      <c r="H1276" s="39"/>
      <c r="I1276" s="39"/>
      <c r="J1276" s="61"/>
      <c r="K1276" s="8"/>
      <c r="L1276" s="8"/>
      <c r="M1276" s="8"/>
      <c r="N1276" s="8"/>
      <c r="O1276" s="8"/>
      <c r="P1276" s="8"/>
      <c r="Q1276" s="8"/>
      <c r="R1276" s="8"/>
      <c r="S1276" s="8"/>
      <c r="T1276" s="160"/>
      <c r="U1276" s="160"/>
      <c r="V1276" s="160"/>
      <c r="W1276" s="160"/>
      <c r="X1276" s="160"/>
      <c r="Y1276" s="160"/>
      <c r="Z1276" s="160"/>
      <c r="AA1276" s="160"/>
      <c r="AB1276" s="160"/>
    </row>
    <row r="1277">
      <c r="A1277" s="176"/>
      <c r="B1277" s="67"/>
      <c r="C1277" s="181" t="s">
        <v>1609</v>
      </c>
      <c r="D1277" s="101"/>
      <c r="E1277" s="61"/>
      <c r="F1277" s="61"/>
      <c r="G1277" s="128"/>
      <c r="H1277" s="39"/>
      <c r="I1277" s="39"/>
      <c r="J1277" s="61"/>
      <c r="K1277" s="8"/>
      <c r="L1277" s="8"/>
      <c r="M1277" s="8"/>
      <c r="N1277" s="8"/>
      <c r="O1277" s="8"/>
      <c r="P1277" s="8"/>
      <c r="Q1277" s="8"/>
      <c r="R1277" s="8"/>
      <c r="S1277" s="8"/>
      <c r="T1277" s="160"/>
      <c r="U1277" s="160"/>
      <c r="V1277" s="160"/>
      <c r="W1277" s="160"/>
      <c r="X1277" s="160"/>
      <c r="Y1277" s="160"/>
      <c r="Z1277" s="160"/>
      <c r="AA1277" s="160"/>
      <c r="AB1277" s="160"/>
    </row>
    <row r="1278">
      <c r="A1278" s="176"/>
      <c r="B1278" s="179"/>
      <c r="C1278" s="184">
        <v>44559.0</v>
      </c>
      <c r="D1278" s="101"/>
      <c r="E1278" s="61"/>
      <c r="F1278" s="61"/>
      <c r="G1278" s="128"/>
      <c r="H1278" s="39"/>
      <c r="I1278" s="39"/>
      <c r="J1278" s="61"/>
      <c r="K1278" s="8"/>
      <c r="L1278" s="8"/>
      <c r="M1278" s="8"/>
      <c r="N1278" s="8"/>
      <c r="O1278" s="8"/>
      <c r="P1278" s="8"/>
      <c r="Q1278" s="8"/>
      <c r="R1278" s="8"/>
      <c r="S1278" s="8"/>
      <c r="T1278" s="160"/>
      <c r="U1278" s="160"/>
      <c r="V1278" s="160"/>
      <c r="W1278" s="160"/>
      <c r="X1278" s="160"/>
      <c r="Y1278" s="160"/>
      <c r="Z1278" s="160"/>
      <c r="AA1278" s="160"/>
      <c r="AB1278" s="160"/>
    </row>
    <row r="1279">
      <c r="A1279" s="176"/>
      <c r="B1279" s="185" t="s">
        <v>1450</v>
      </c>
      <c r="C1279" s="181" t="s">
        <v>1609</v>
      </c>
      <c r="D1279" s="48" t="s">
        <v>819</v>
      </c>
      <c r="E1279" s="248" t="s">
        <v>1630</v>
      </c>
      <c r="F1279" s="248" t="s">
        <v>1631</v>
      </c>
      <c r="G1279" s="43">
        <v>0.3958333333333333</v>
      </c>
      <c r="H1279" s="44" t="s">
        <v>229</v>
      </c>
      <c r="I1279" s="44" t="s">
        <v>2270</v>
      </c>
      <c r="J1279" s="73" t="s">
        <v>1635</v>
      </c>
      <c r="K1279" s="39" t="s">
        <v>2271</v>
      </c>
      <c r="M1279" s="8"/>
      <c r="N1279" s="8"/>
      <c r="O1279" s="8"/>
      <c r="P1279" s="8"/>
      <c r="Q1279" s="8"/>
      <c r="R1279" s="8"/>
      <c r="S1279" s="8"/>
      <c r="T1279" s="160"/>
      <c r="U1279" s="160"/>
      <c r="V1279" s="160"/>
      <c r="W1279" s="160"/>
      <c r="X1279" s="160"/>
      <c r="Y1279" s="160"/>
      <c r="Z1279" s="160"/>
      <c r="AA1279" s="160"/>
      <c r="AB1279" s="160"/>
    </row>
    <row r="1280">
      <c r="A1280" s="176"/>
      <c r="B1280" s="66"/>
      <c r="C1280" s="181" t="s">
        <v>1609</v>
      </c>
      <c r="D1280" s="44" t="s">
        <v>2161</v>
      </c>
      <c r="E1280" s="73" t="s">
        <v>2187</v>
      </c>
      <c r="F1280" s="73" t="s">
        <v>2188</v>
      </c>
      <c r="G1280" s="43">
        <v>0.4375</v>
      </c>
      <c r="H1280" s="44" t="s">
        <v>924</v>
      </c>
      <c r="I1280" s="44" t="s">
        <v>2245</v>
      </c>
      <c r="J1280" s="73" t="s">
        <v>2190</v>
      </c>
      <c r="K1280" s="39" t="s">
        <v>2272</v>
      </c>
      <c r="L1280" s="8"/>
      <c r="M1280" s="8"/>
      <c r="N1280" s="8"/>
      <c r="O1280" s="8"/>
      <c r="P1280" s="8"/>
      <c r="Q1280" s="8"/>
      <c r="R1280" s="8"/>
      <c r="S1280" s="8"/>
      <c r="T1280" s="160"/>
      <c r="U1280" s="160"/>
      <c r="V1280" s="160"/>
      <c r="W1280" s="160"/>
      <c r="X1280" s="160"/>
      <c r="Y1280" s="160"/>
      <c r="Z1280" s="160"/>
      <c r="AA1280" s="160"/>
      <c r="AB1280" s="160"/>
    </row>
    <row r="1281">
      <c r="A1281" s="176"/>
      <c r="B1281" s="66"/>
      <c r="C1281" s="181" t="s">
        <v>1609</v>
      </c>
      <c r="D1281" s="48" t="s">
        <v>1717</v>
      </c>
      <c r="E1281" s="155" t="s">
        <v>2273</v>
      </c>
      <c r="F1281" s="155" t="s">
        <v>2274</v>
      </c>
      <c r="G1281" s="43">
        <v>0.5208333333333334</v>
      </c>
      <c r="H1281" s="44" t="s">
        <v>229</v>
      </c>
      <c r="I1281" s="44" t="s">
        <v>2275</v>
      </c>
      <c r="J1281" s="155" t="s">
        <v>2276</v>
      </c>
      <c r="K1281" s="39" t="s">
        <v>2277</v>
      </c>
      <c r="L1281" s="8"/>
      <c r="N1281" s="8"/>
      <c r="O1281" s="8"/>
      <c r="P1281" s="8"/>
      <c r="Q1281" s="8"/>
      <c r="R1281" s="8"/>
      <c r="S1281" s="8"/>
      <c r="T1281" s="160"/>
      <c r="U1281" s="160"/>
      <c r="V1281" s="160"/>
      <c r="W1281" s="160"/>
      <c r="X1281" s="160"/>
      <c r="Y1281" s="160"/>
      <c r="Z1281" s="160"/>
      <c r="AA1281" s="160"/>
      <c r="AB1281" s="160"/>
    </row>
    <row r="1282">
      <c r="A1282" s="176"/>
      <c r="B1282" s="66"/>
      <c r="C1282" s="181" t="s">
        <v>1609</v>
      </c>
      <c r="D1282" s="44" t="s">
        <v>2161</v>
      </c>
      <c r="E1282" s="153" t="s">
        <v>642</v>
      </c>
      <c r="F1282" s="153" t="s">
        <v>643</v>
      </c>
      <c r="G1282" s="43">
        <v>0.5833333333333334</v>
      </c>
      <c r="H1282" s="44" t="s">
        <v>919</v>
      </c>
      <c r="I1282" s="44" t="s">
        <v>2278</v>
      </c>
      <c r="J1282" s="153" t="s">
        <v>645</v>
      </c>
      <c r="K1282" s="39" t="s">
        <v>2279</v>
      </c>
      <c r="L1282" s="8"/>
      <c r="N1282" s="8"/>
      <c r="O1282" s="8"/>
      <c r="P1282" s="8"/>
      <c r="Q1282" s="8"/>
      <c r="R1282" s="8"/>
      <c r="S1282" s="8"/>
      <c r="T1282" s="160"/>
      <c r="U1282" s="160"/>
      <c r="V1282" s="160"/>
      <c r="W1282" s="160"/>
      <c r="X1282" s="160"/>
      <c r="Y1282" s="160"/>
      <c r="Z1282" s="160"/>
      <c r="AA1282" s="160"/>
      <c r="AB1282" s="160"/>
    </row>
    <row r="1283">
      <c r="A1283" s="176"/>
      <c r="B1283" s="66"/>
      <c r="C1283" s="181" t="s">
        <v>1609</v>
      </c>
      <c r="D1283" s="48" t="s">
        <v>2161</v>
      </c>
      <c r="E1283" s="73" t="s">
        <v>2229</v>
      </c>
      <c r="F1283" s="73" t="s">
        <v>2230</v>
      </c>
      <c r="G1283" s="43">
        <v>0.5833333333333334</v>
      </c>
      <c r="H1283" s="44" t="s">
        <v>790</v>
      </c>
      <c r="I1283" s="44" t="s">
        <v>2231</v>
      </c>
      <c r="J1283" s="155" t="s">
        <v>2232</v>
      </c>
      <c r="K1283" s="39" t="s">
        <v>2280</v>
      </c>
      <c r="L1283" s="8"/>
      <c r="N1283" s="8"/>
      <c r="O1283" s="8"/>
      <c r="P1283" s="8"/>
      <c r="Q1283" s="8"/>
      <c r="R1283" s="8"/>
      <c r="S1283" s="8"/>
      <c r="T1283" s="160"/>
      <c r="U1283" s="160"/>
      <c r="V1283" s="160"/>
      <c r="W1283" s="160"/>
      <c r="X1283" s="160"/>
      <c r="Y1283" s="160"/>
      <c r="Z1283" s="160"/>
      <c r="AA1283" s="160"/>
      <c r="AB1283" s="160"/>
    </row>
    <row r="1284">
      <c r="A1284" s="176"/>
      <c r="B1284" s="66"/>
      <c r="C1284" s="181" t="s">
        <v>1609</v>
      </c>
      <c r="D1284" s="27" t="s">
        <v>1715</v>
      </c>
      <c r="E1284" s="162" t="s">
        <v>2255</v>
      </c>
      <c r="F1284" s="162" t="s">
        <v>2256</v>
      </c>
      <c r="G1284" s="76" t="s">
        <v>298</v>
      </c>
      <c r="H1284" s="182" t="s">
        <v>2249</v>
      </c>
      <c r="I1284" s="18" t="s">
        <v>2257</v>
      </c>
      <c r="J1284" s="183" t="s">
        <v>2258</v>
      </c>
      <c r="K1284" s="8"/>
      <c r="L1284" s="8"/>
      <c r="M1284" s="8"/>
      <c r="N1284" s="8"/>
      <c r="O1284" s="8"/>
      <c r="P1284" s="8"/>
      <c r="Q1284" s="8"/>
      <c r="R1284" s="8"/>
      <c r="S1284" s="8"/>
      <c r="T1284" s="160"/>
      <c r="U1284" s="160"/>
      <c r="V1284" s="160"/>
      <c r="W1284" s="160"/>
      <c r="X1284" s="160"/>
      <c r="Y1284" s="160"/>
      <c r="Z1284" s="160"/>
      <c r="AA1284" s="160"/>
      <c r="AB1284" s="160"/>
    </row>
    <row r="1285">
      <c r="A1285" s="176"/>
      <c r="B1285" s="66"/>
      <c r="C1285" s="181" t="s">
        <v>1609</v>
      </c>
      <c r="D1285" s="101"/>
      <c r="E1285" s="61"/>
      <c r="F1285" s="61"/>
      <c r="G1285" s="128"/>
      <c r="H1285" s="39"/>
      <c r="I1285" s="39"/>
      <c r="J1285" s="61"/>
      <c r="K1285" s="8"/>
      <c r="L1285" s="8"/>
      <c r="M1285" s="8"/>
      <c r="N1285" s="8"/>
      <c r="O1285" s="8"/>
      <c r="P1285" s="8"/>
      <c r="Q1285" s="8"/>
      <c r="R1285" s="8"/>
      <c r="S1285" s="8"/>
      <c r="T1285" s="160"/>
      <c r="U1285" s="160"/>
      <c r="V1285" s="160"/>
      <c r="W1285" s="160"/>
      <c r="X1285" s="160"/>
      <c r="Y1285" s="160"/>
      <c r="Z1285" s="160"/>
      <c r="AA1285" s="160"/>
      <c r="AB1285" s="160"/>
    </row>
    <row r="1286">
      <c r="A1286" s="176"/>
      <c r="B1286" s="66"/>
      <c r="C1286" s="181" t="s">
        <v>1609</v>
      </c>
      <c r="D1286" s="101"/>
      <c r="E1286" s="61"/>
      <c r="F1286" s="61"/>
      <c r="G1286" s="128"/>
      <c r="H1286" s="39"/>
      <c r="I1286" s="39"/>
      <c r="J1286" s="61"/>
      <c r="K1286" s="8"/>
      <c r="L1286" s="8"/>
      <c r="M1286" s="8"/>
      <c r="N1286" s="8"/>
      <c r="O1286" s="8"/>
      <c r="P1286" s="8"/>
      <c r="Q1286" s="8"/>
      <c r="R1286" s="8"/>
      <c r="S1286" s="8"/>
      <c r="T1286" s="160"/>
      <c r="U1286" s="160"/>
      <c r="V1286" s="160"/>
      <c r="W1286" s="160"/>
      <c r="X1286" s="160"/>
      <c r="Y1286" s="160"/>
      <c r="Z1286" s="160"/>
      <c r="AA1286" s="160"/>
      <c r="AB1286" s="160"/>
    </row>
    <row r="1287">
      <c r="A1287" s="176"/>
      <c r="B1287" s="67"/>
      <c r="C1287" s="181" t="s">
        <v>1609</v>
      </c>
      <c r="D1287" s="101"/>
      <c r="E1287" s="61"/>
      <c r="F1287" s="61"/>
      <c r="G1287" s="128"/>
      <c r="H1287" s="39"/>
      <c r="I1287" s="39"/>
      <c r="J1287" s="61"/>
      <c r="K1287" s="8"/>
      <c r="L1287" s="8"/>
      <c r="M1287" s="8"/>
      <c r="N1287" s="8"/>
      <c r="O1287" s="8"/>
      <c r="P1287" s="8"/>
      <c r="Q1287" s="8"/>
      <c r="R1287" s="8"/>
      <c r="S1287" s="8"/>
      <c r="T1287" s="160"/>
      <c r="U1287" s="160"/>
      <c r="V1287" s="160"/>
      <c r="W1287" s="160"/>
      <c r="X1287" s="160"/>
      <c r="Y1287" s="160"/>
      <c r="Z1287" s="160"/>
      <c r="AA1287" s="160"/>
      <c r="AB1287" s="160"/>
    </row>
    <row r="1288">
      <c r="A1288" s="176"/>
      <c r="B1288" s="179"/>
      <c r="C1288" s="184">
        <v>44560.0</v>
      </c>
      <c r="D1288" s="101"/>
      <c r="E1288" s="61"/>
      <c r="F1288" s="61"/>
      <c r="G1288" s="128"/>
      <c r="H1288" s="39"/>
      <c r="I1288" s="39"/>
      <c r="J1288" s="61"/>
      <c r="K1288" s="8"/>
      <c r="L1288" s="8"/>
      <c r="M1288" s="8"/>
      <c r="N1288" s="8"/>
      <c r="O1288" s="8"/>
      <c r="P1288" s="8"/>
      <c r="Q1288" s="8"/>
      <c r="R1288" s="8"/>
      <c r="S1288" s="8"/>
      <c r="T1288" s="160"/>
      <c r="U1288" s="160"/>
      <c r="V1288" s="160"/>
      <c r="W1288" s="160"/>
      <c r="X1288" s="160"/>
      <c r="Y1288" s="160"/>
      <c r="Z1288" s="160"/>
      <c r="AA1288" s="160"/>
      <c r="AB1288" s="160"/>
    </row>
    <row r="1289">
      <c r="A1289" s="176"/>
      <c r="B1289" s="185" t="s">
        <v>1450</v>
      </c>
      <c r="C1289" s="181" t="s">
        <v>1609</v>
      </c>
      <c r="D1289" s="101"/>
      <c r="E1289" s="200" t="s">
        <v>2203</v>
      </c>
      <c r="F1289" s="11"/>
      <c r="G1289" s="128"/>
      <c r="H1289" s="39"/>
      <c r="I1289" s="39"/>
      <c r="J1289" s="61"/>
      <c r="K1289" s="8"/>
      <c r="L1289" s="8"/>
      <c r="M1289" s="8"/>
      <c r="N1289" s="8"/>
      <c r="O1289" s="8"/>
      <c r="P1289" s="8"/>
      <c r="Q1289" s="8"/>
      <c r="R1289" s="8"/>
      <c r="S1289" s="8"/>
      <c r="T1289" s="160"/>
      <c r="U1289" s="160"/>
      <c r="V1289" s="160"/>
      <c r="W1289" s="160"/>
      <c r="X1289" s="160"/>
      <c r="Y1289" s="160"/>
      <c r="Z1289" s="160"/>
      <c r="AA1289" s="160"/>
      <c r="AB1289" s="160"/>
    </row>
    <row r="1290">
      <c r="A1290" s="176"/>
      <c r="B1290" s="66"/>
      <c r="C1290" s="181" t="s">
        <v>1609</v>
      </c>
      <c r="D1290" s="195" t="s">
        <v>819</v>
      </c>
      <c r="E1290" s="249" t="s">
        <v>2266</v>
      </c>
      <c r="F1290" s="231" t="s">
        <v>2267</v>
      </c>
      <c r="G1290" s="213">
        <v>0.4583333333333333</v>
      </c>
      <c r="H1290" s="198" t="s">
        <v>570</v>
      </c>
      <c r="I1290" s="198" t="s">
        <v>2268</v>
      </c>
      <c r="J1290" s="231" t="s">
        <v>2269</v>
      </c>
      <c r="K1290" s="39" t="s">
        <v>1096</v>
      </c>
      <c r="L1290" s="8"/>
      <c r="M1290" s="8"/>
      <c r="N1290" s="8"/>
      <c r="O1290" s="8"/>
      <c r="P1290" s="8"/>
      <c r="Q1290" s="8"/>
      <c r="R1290" s="8"/>
      <c r="S1290" s="8"/>
      <c r="T1290" s="160"/>
      <c r="U1290" s="160"/>
      <c r="V1290" s="160"/>
      <c r="W1290" s="160"/>
      <c r="X1290" s="160"/>
      <c r="Y1290" s="160"/>
      <c r="Z1290" s="160"/>
      <c r="AA1290" s="160"/>
      <c r="AB1290" s="160"/>
    </row>
    <row r="1291">
      <c r="A1291" s="176"/>
      <c r="B1291" s="66"/>
      <c r="C1291" s="181" t="s">
        <v>1609</v>
      </c>
      <c r="D1291" s="27" t="s">
        <v>1717</v>
      </c>
      <c r="E1291" s="162" t="s">
        <v>2281</v>
      </c>
      <c r="F1291" s="162" t="s">
        <v>2282</v>
      </c>
      <c r="G1291" s="22">
        <v>0.5416666666666666</v>
      </c>
      <c r="H1291" s="18" t="s">
        <v>2283</v>
      </c>
      <c r="I1291" s="18" t="s">
        <v>2284</v>
      </c>
      <c r="J1291" s="162" t="s">
        <v>1946</v>
      </c>
      <c r="K1291" s="8"/>
      <c r="L1291" s="8"/>
      <c r="M1291" s="8"/>
      <c r="N1291" s="8"/>
      <c r="O1291" s="8"/>
      <c r="P1291" s="8"/>
      <c r="Q1291" s="8"/>
      <c r="R1291" s="8"/>
      <c r="S1291" s="8"/>
      <c r="T1291" s="160"/>
      <c r="U1291" s="160"/>
      <c r="V1291" s="160"/>
      <c r="W1291" s="160"/>
      <c r="X1291" s="160"/>
      <c r="Y1291" s="160"/>
      <c r="Z1291" s="160"/>
      <c r="AA1291" s="160"/>
      <c r="AB1291" s="160"/>
    </row>
    <row r="1292">
      <c r="A1292" s="176"/>
      <c r="B1292" s="66"/>
      <c r="C1292" s="181" t="s">
        <v>1609</v>
      </c>
      <c r="D1292" s="27" t="s">
        <v>819</v>
      </c>
      <c r="E1292" s="162" t="s">
        <v>2285</v>
      </c>
      <c r="F1292" s="162" t="s">
        <v>2286</v>
      </c>
      <c r="G1292" s="22">
        <v>0.625</v>
      </c>
      <c r="H1292" s="18" t="s">
        <v>2283</v>
      </c>
      <c r="I1292" s="18" t="s">
        <v>2265</v>
      </c>
      <c r="J1292" s="175" t="s">
        <v>216</v>
      </c>
      <c r="K1292" s="8"/>
      <c r="L1292" s="8"/>
      <c r="M1292" s="8"/>
      <c r="N1292" s="8"/>
      <c r="O1292" s="8"/>
      <c r="P1292" s="8"/>
      <c r="Q1292" s="8"/>
      <c r="R1292" s="8"/>
      <c r="S1292" s="8"/>
      <c r="T1292" s="160"/>
      <c r="U1292" s="160"/>
      <c r="V1292" s="160"/>
      <c r="W1292" s="160"/>
      <c r="X1292" s="160"/>
      <c r="Y1292" s="160"/>
      <c r="Z1292" s="160"/>
      <c r="AA1292" s="160"/>
      <c r="AB1292" s="160"/>
    </row>
    <row r="1293">
      <c r="A1293" s="176"/>
      <c r="B1293" s="66"/>
      <c r="C1293" s="181" t="s">
        <v>1609</v>
      </c>
      <c r="D1293" s="101"/>
      <c r="E1293" s="61"/>
      <c r="F1293" s="61"/>
      <c r="G1293" s="128"/>
      <c r="H1293" s="39"/>
      <c r="I1293" s="39"/>
      <c r="J1293" s="61"/>
      <c r="K1293" s="8"/>
      <c r="L1293" s="8"/>
      <c r="M1293" s="8"/>
      <c r="N1293" s="8"/>
      <c r="O1293" s="8"/>
      <c r="P1293" s="8"/>
      <c r="Q1293" s="8"/>
      <c r="R1293" s="8"/>
      <c r="S1293" s="8"/>
      <c r="T1293" s="160"/>
      <c r="U1293" s="160"/>
      <c r="V1293" s="160"/>
      <c r="W1293" s="160"/>
      <c r="X1293" s="160"/>
      <c r="Y1293" s="160"/>
      <c r="Z1293" s="160"/>
      <c r="AA1293" s="160"/>
      <c r="AB1293" s="160"/>
    </row>
    <row r="1294">
      <c r="A1294" s="176"/>
      <c r="B1294" s="66"/>
      <c r="C1294" s="181" t="s">
        <v>1609</v>
      </c>
      <c r="D1294" s="101"/>
      <c r="E1294" s="61"/>
      <c r="F1294" s="61"/>
      <c r="G1294" s="128"/>
      <c r="H1294" s="39"/>
      <c r="I1294" s="39"/>
      <c r="J1294" s="61"/>
      <c r="K1294" s="8"/>
      <c r="L1294" s="8"/>
      <c r="M1294" s="8"/>
      <c r="N1294" s="8"/>
      <c r="O1294" s="8"/>
      <c r="P1294" s="8"/>
      <c r="Q1294" s="8"/>
      <c r="R1294" s="8"/>
      <c r="S1294" s="8"/>
      <c r="T1294" s="160"/>
      <c r="U1294" s="160"/>
      <c r="V1294" s="160"/>
      <c r="W1294" s="160"/>
      <c r="X1294" s="160"/>
      <c r="Y1294" s="160"/>
      <c r="Z1294" s="160"/>
      <c r="AA1294" s="160"/>
      <c r="AB1294" s="160"/>
    </row>
    <row r="1295">
      <c r="A1295" s="176"/>
      <c r="B1295" s="67"/>
      <c r="C1295" s="181" t="s">
        <v>1609</v>
      </c>
      <c r="D1295" s="101"/>
      <c r="E1295" s="61"/>
      <c r="F1295" s="61"/>
      <c r="G1295" s="128"/>
      <c r="H1295" s="39"/>
      <c r="I1295" s="39"/>
      <c r="J1295" s="61"/>
      <c r="K1295" s="8"/>
      <c r="L1295" s="8"/>
      <c r="M1295" s="8"/>
      <c r="N1295" s="8"/>
      <c r="O1295" s="8"/>
      <c r="P1295" s="160"/>
      <c r="Q1295" s="160"/>
      <c r="R1295" s="160"/>
      <c r="S1295" s="160"/>
      <c r="T1295" s="160"/>
      <c r="U1295" s="160"/>
      <c r="V1295" s="160"/>
      <c r="W1295" s="160"/>
      <c r="X1295" s="160"/>
      <c r="Y1295" s="160"/>
      <c r="Z1295" s="160"/>
      <c r="AA1295" s="160"/>
      <c r="AB1295" s="160"/>
    </row>
    <row r="1296">
      <c r="A1296" s="176"/>
      <c r="B1296" s="179"/>
      <c r="C1296" s="184">
        <v>44561.0</v>
      </c>
      <c r="D1296" s="101"/>
      <c r="E1296" s="61"/>
      <c r="F1296" s="61"/>
      <c r="G1296" s="128"/>
      <c r="H1296" s="39"/>
      <c r="I1296" s="39"/>
      <c r="J1296" s="61"/>
      <c r="K1296" s="8"/>
      <c r="L1296" s="8"/>
      <c r="M1296" s="8"/>
      <c r="N1296" s="8"/>
      <c r="O1296" s="8"/>
      <c r="P1296" s="160"/>
      <c r="Q1296" s="160"/>
      <c r="R1296" s="160"/>
      <c r="S1296" s="160"/>
      <c r="T1296" s="160"/>
      <c r="U1296" s="160"/>
      <c r="V1296" s="160"/>
      <c r="W1296" s="160"/>
      <c r="X1296" s="160"/>
      <c r="Y1296" s="160"/>
      <c r="Z1296" s="160"/>
      <c r="AA1296" s="160"/>
      <c r="AB1296" s="160"/>
    </row>
    <row r="1297">
      <c r="A1297" s="176"/>
      <c r="B1297" s="185" t="s">
        <v>1450</v>
      </c>
      <c r="C1297" s="181" t="s">
        <v>1609</v>
      </c>
      <c r="D1297" s="101"/>
      <c r="E1297" s="61"/>
      <c r="F1297" s="61"/>
      <c r="G1297" s="128"/>
      <c r="H1297" s="39"/>
      <c r="I1297" s="39"/>
      <c r="J1297" s="61"/>
      <c r="K1297" s="8"/>
      <c r="L1297" s="8"/>
      <c r="M1297" s="8"/>
      <c r="N1297" s="8"/>
      <c r="O1297" s="8"/>
      <c r="P1297" s="160"/>
      <c r="Q1297" s="160"/>
      <c r="R1297" s="160"/>
      <c r="S1297" s="160"/>
      <c r="T1297" s="160"/>
      <c r="U1297" s="160"/>
      <c r="V1297" s="160"/>
      <c r="W1297" s="160"/>
      <c r="X1297" s="160"/>
      <c r="Y1297" s="160"/>
      <c r="Z1297" s="160"/>
      <c r="AA1297" s="160"/>
      <c r="AB1297" s="160"/>
    </row>
    <row r="1298">
      <c r="A1298" s="176"/>
      <c r="B1298" s="66"/>
      <c r="C1298" s="181" t="s">
        <v>1609</v>
      </c>
      <c r="D1298" s="101"/>
      <c r="E1298" s="178" t="s">
        <v>1708</v>
      </c>
      <c r="F1298" s="52"/>
      <c r="G1298" s="128"/>
      <c r="H1298" s="39"/>
      <c r="I1298" s="39"/>
      <c r="J1298" s="61"/>
      <c r="K1298" s="8"/>
      <c r="L1298" s="8"/>
      <c r="M1298" s="8"/>
      <c r="N1298" s="8"/>
      <c r="O1298" s="8"/>
      <c r="P1298" s="160"/>
      <c r="Q1298" s="160"/>
      <c r="R1298" s="160"/>
      <c r="S1298" s="160"/>
      <c r="T1298" s="160"/>
      <c r="U1298" s="160"/>
      <c r="V1298" s="160"/>
      <c r="W1298" s="160"/>
      <c r="X1298" s="160"/>
      <c r="Y1298" s="160"/>
      <c r="Z1298" s="160"/>
      <c r="AA1298" s="160"/>
      <c r="AB1298" s="160"/>
    </row>
    <row r="1299">
      <c r="A1299" s="176"/>
      <c r="B1299" s="66"/>
      <c r="C1299" s="181" t="s">
        <v>1609</v>
      </c>
      <c r="D1299" s="101"/>
      <c r="E1299" s="53"/>
      <c r="F1299" s="54"/>
      <c r="G1299" s="128"/>
      <c r="H1299" s="39"/>
      <c r="I1299" s="39"/>
      <c r="J1299" s="61"/>
      <c r="K1299" s="8"/>
      <c r="L1299" s="8"/>
      <c r="M1299" s="8"/>
      <c r="N1299" s="8"/>
      <c r="O1299" s="8"/>
      <c r="P1299" s="160"/>
      <c r="Q1299" s="160"/>
      <c r="R1299" s="160"/>
      <c r="S1299" s="160"/>
      <c r="T1299" s="160"/>
      <c r="U1299" s="160"/>
      <c r="V1299" s="160"/>
      <c r="W1299" s="160"/>
      <c r="X1299" s="160"/>
      <c r="Y1299" s="160"/>
      <c r="Z1299" s="160"/>
      <c r="AA1299" s="160"/>
      <c r="AB1299" s="160"/>
    </row>
    <row r="1300">
      <c r="A1300" s="176"/>
      <c r="B1300" s="66"/>
      <c r="C1300" s="181" t="s">
        <v>1609</v>
      </c>
      <c r="D1300" s="101"/>
      <c r="E1300" s="55"/>
      <c r="F1300" s="57"/>
      <c r="G1300" s="128"/>
      <c r="H1300" s="39"/>
      <c r="I1300" s="39"/>
      <c r="J1300" s="61"/>
      <c r="K1300" s="8"/>
      <c r="L1300" s="8"/>
      <c r="M1300" s="8"/>
      <c r="N1300" s="8"/>
      <c r="O1300" s="8"/>
      <c r="P1300" s="160"/>
      <c r="Q1300" s="160"/>
      <c r="R1300" s="160"/>
      <c r="S1300" s="160"/>
      <c r="T1300" s="160"/>
      <c r="U1300" s="160"/>
      <c r="V1300" s="160"/>
      <c r="W1300" s="160"/>
      <c r="X1300" s="160"/>
      <c r="Y1300" s="160"/>
      <c r="Z1300" s="160"/>
      <c r="AA1300" s="160"/>
      <c r="AB1300" s="160"/>
    </row>
    <row r="1301">
      <c r="A1301" s="176"/>
      <c r="B1301" s="66"/>
      <c r="C1301" s="181" t="s">
        <v>1609</v>
      </c>
      <c r="D1301" s="101"/>
      <c r="E1301" s="61"/>
      <c r="F1301" s="61"/>
      <c r="G1301" s="128"/>
      <c r="H1301" s="39"/>
      <c r="I1301" s="39"/>
      <c r="J1301" s="61"/>
      <c r="K1301" s="8"/>
      <c r="L1301" s="8"/>
      <c r="M1301" s="8"/>
      <c r="N1301" s="8"/>
      <c r="O1301" s="8"/>
      <c r="P1301" s="160"/>
      <c r="Q1301" s="160"/>
      <c r="R1301" s="160"/>
      <c r="S1301" s="160"/>
      <c r="T1301" s="160"/>
      <c r="U1301" s="160"/>
      <c r="V1301" s="160"/>
      <c r="W1301" s="160"/>
      <c r="X1301" s="160"/>
      <c r="Y1301" s="160"/>
      <c r="Z1301" s="160"/>
      <c r="AA1301" s="160"/>
      <c r="AB1301" s="160"/>
    </row>
    <row r="1302">
      <c r="A1302" s="176"/>
      <c r="B1302" s="66"/>
      <c r="C1302" s="181" t="s">
        <v>1609</v>
      </c>
      <c r="D1302" s="101"/>
      <c r="E1302" s="61"/>
      <c r="F1302" s="61"/>
      <c r="G1302" s="128"/>
      <c r="H1302" s="39"/>
      <c r="I1302" s="39"/>
      <c r="J1302" s="61"/>
      <c r="K1302" s="8"/>
      <c r="L1302" s="8"/>
      <c r="M1302" s="8"/>
      <c r="N1302" s="8"/>
      <c r="O1302" s="8"/>
      <c r="P1302" s="160"/>
      <c r="Q1302" s="160"/>
      <c r="R1302" s="160"/>
      <c r="S1302" s="160"/>
      <c r="T1302" s="160"/>
      <c r="U1302" s="160"/>
      <c r="V1302" s="160"/>
      <c r="W1302" s="160"/>
      <c r="X1302" s="160"/>
      <c r="Y1302" s="160"/>
      <c r="Z1302" s="160"/>
      <c r="AA1302" s="160"/>
      <c r="AB1302" s="160"/>
    </row>
    <row r="1303">
      <c r="A1303" s="176"/>
      <c r="B1303" s="67"/>
      <c r="C1303" s="181" t="s">
        <v>1609</v>
      </c>
      <c r="D1303" s="101"/>
      <c r="E1303" s="61"/>
      <c r="F1303" s="61"/>
      <c r="G1303" s="128"/>
      <c r="H1303" s="39"/>
      <c r="I1303" s="39"/>
      <c r="J1303" s="61"/>
      <c r="K1303" s="8"/>
      <c r="L1303" s="8"/>
      <c r="M1303" s="8"/>
      <c r="N1303" s="8"/>
      <c r="O1303" s="8"/>
      <c r="P1303" s="160"/>
      <c r="Q1303" s="160"/>
      <c r="R1303" s="160"/>
      <c r="S1303" s="160"/>
      <c r="T1303" s="160"/>
      <c r="U1303" s="160"/>
      <c r="V1303" s="160"/>
      <c r="W1303" s="160"/>
      <c r="X1303" s="160"/>
      <c r="Y1303" s="160"/>
      <c r="Z1303" s="160"/>
      <c r="AA1303" s="160"/>
      <c r="AB1303" s="160"/>
    </row>
    <row r="1304">
      <c r="A1304" s="176"/>
      <c r="B1304" s="179"/>
      <c r="C1304" s="184">
        <v>44565.0</v>
      </c>
      <c r="D1304" s="101"/>
      <c r="E1304" s="61"/>
      <c r="F1304" s="61"/>
      <c r="G1304" s="128"/>
      <c r="H1304" s="39"/>
      <c r="I1304" s="39"/>
      <c r="J1304" s="61"/>
      <c r="K1304" s="8"/>
      <c r="L1304" s="8"/>
      <c r="M1304" s="8"/>
      <c r="N1304" s="8"/>
      <c r="O1304" s="8"/>
      <c r="P1304" s="8"/>
      <c r="Q1304" s="8"/>
      <c r="R1304" s="8"/>
      <c r="S1304" s="8"/>
      <c r="T1304" s="160"/>
      <c r="U1304" s="160"/>
      <c r="V1304" s="160"/>
      <c r="W1304" s="160"/>
      <c r="X1304" s="160"/>
      <c r="Y1304" s="160"/>
      <c r="Z1304" s="160"/>
      <c r="AA1304" s="160"/>
      <c r="AB1304" s="160"/>
    </row>
    <row r="1305">
      <c r="A1305" s="176"/>
      <c r="B1305" s="185" t="s">
        <v>1450</v>
      </c>
      <c r="C1305" s="181" t="s">
        <v>1609</v>
      </c>
      <c r="D1305" s="101"/>
      <c r="E1305" s="200" t="s">
        <v>2203</v>
      </c>
      <c r="F1305" s="11"/>
      <c r="G1305" s="128"/>
      <c r="H1305" s="39"/>
      <c r="I1305" s="39"/>
      <c r="J1305" s="61"/>
      <c r="K1305" s="8"/>
      <c r="L1305" s="8"/>
      <c r="M1305" s="8"/>
      <c r="N1305" s="8"/>
      <c r="O1305" s="8"/>
      <c r="P1305" s="8"/>
      <c r="Q1305" s="8"/>
      <c r="R1305" s="8"/>
      <c r="S1305" s="8"/>
      <c r="T1305" s="160"/>
      <c r="U1305" s="160"/>
      <c r="V1305" s="160"/>
      <c r="W1305" s="160"/>
      <c r="X1305" s="160"/>
      <c r="Y1305" s="160"/>
      <c r="Z1305" s="160"/>
      <c r="AA1305" s="160"/>
      <c r="AB1305" s="160"/>
    </row>
    <row r="1306">
      <c r="A1306" s="176"/>
      <c r="B1306" s="66"/>
      <c r="C1306" s="181" t="s">
        <v>1609</v>
      </c>
      <c r="D1306" s="101"/>
      <c r="E1306" s="61"/>
      <c r="F1306" s="61"/>
      <c r="G1306" s="136"/>
      <c r="H1306" s="39"/>
      <c r="I1306" s="39"/>
      <c r="J1306" s="61"/>
      <c r="K1306" s="8"/>
      <c r="L1306" s="8"/>
      <c r="M1306" s="8"/>
      <c r="N1306" s="8"/>
      <c r="O1306" s="8"/>
      <c r="P1306" s="8"/>
      <c r="Q1306" s="8"/>
      <c r="R1306" s="8"/>
      <c r="S1306" s="8"/>
      <c r="T1306" s="160"/>
      <c r="U1306" s="160"/>
      <c r="V1306" s="160"/>
      <c r="W1306" s="160"/>
      <c r="X1306" s="160"/>
      <c r="Y1306" s="160"/>
      <c r="Z1306" s="160"/>
      <c r="AA1306" s="160"/>
      <c r="AB1306" s="160"/>
    </row>
    <row r="1307">
      <c r="A1307" s="176"/>
      <c r="B1307" s="66"/>
      <c r="C1307" s="181" t="s">
        <v>1609</v>
      </c>
      <c r="D1307" s="27" t="s">
        <v>2161</v>
      </c>
      <c r="E1307" s="62" t="s">
        <v>2229</v>
      </c>
      <c r="F1307" s="62" t="s">
        <v>2230</v>
      </c>
      <c r="G1307" s="22">
        <v>0.5625</v>
      </c>
      <c r="H1307" s="18" t="s">
        <v>790</v>
      </c>
      <c r="I1307" s="18" t="s">
        <v>2231</v>
      </c>
      <c r="J1307" s="62" t="s">
        <v>2232</v>
      </c>
      <c r="K1307" s="30"/>
      <c r="L1307" s="30"/>
      <c r="M1307" s="8"/>
      <c r="N1307" s="8"/>
      <c r="O1307" s="8"/>
      <c r="P1307" s="8"/>
      <c r="Q1307" s="8"/>
      <c r="R1307" s="8"/>
      <c r="S1307" s="8"/>
      <c r="T1307" s="160"/>
      <c r="U1307" s="160"/>
      <c r="V1307" s="160"/>
      <c r="W1307" s="160"/>
      <c r="X1307" s="160"/>
      <c r="Y1307" s="160"/>
      <c r="Z1307" s="160"/>
      <c r="AA1307" s="160"/>
      <c r="AB1307" s="160"/>
    </row>
    <row r="1308">
      <c r="A1308" s="176"/>
      <c r="B1308" s="66"/>
      <c r="C1308" s="181" t="s">
        <v>1609</v>
      </c>
      <c r="D1308" s="27" t="s">
        <v>1715</v>
      </c>
      <c r="E1308" s="196" t="s">
        <v>2287</v>
      </c>
      <c r="F1308" s="196" t="s">
        <v>2288</v>
      </c>
      <c r="G1308" s="22">
        <v>0.625</v>
      </c>
      <c r="H1308" s="114" t="s">
        <v>790</v>
      </c>
      <c r="I1308" s="18" t="s">
        <v>2289</v>
      </c>
      <c r="J1308" s="75" t="s">
        <v>2290</v>
      </c>
      <c r="K1308" s="8"/>
      <c r="L1308" s="8"/>
      <c r="M1308" s="8"/>
      <c r="N1308" s="8"/>
      <c r="O1308" s="8"/>
      <c r="P1308" s="8"/>
      <c r="Q1308" s="8"/>
      <c r="R1308" s="8"/>
      <c r="S1308" s="8"/>
      <c r="T1308" s="160"/>
      <c r="U1308" s="160"/>
      <c r="V1308" s="160"/>
      <c r="W1308" s="160"/>
      <c r="X1308" s="160"/>
      <c r="Y1308" s="160"/>
      <c r="Z1308" s="160"/>
      <c r="AA1308" s="160"/>
      <c r="AB1308" s="160"/>
    </row>
    <row r="1309">
      <c r="A1309" s="176"/>
      <c r="B1309" s="66"/>
      <c r="C1309" s="181" t="s">
        <v>1609</v>
      </c>
      <c r="D1309" s="27" t="s">
        <v>1715</v>
      </c>
      <c r="E1309" s="196" t="s">
        <v>2291</v>
      </c>
      <c r="F1309" s="196" t="s">
        <v>2292</v>
      </c>
      <c r="G1309" s="76" t="s">
        <v>298</v>
      </c>
      <c r="H1309" s="114" t="s">
        <v>790</v>
      </c>
      <c r="I1309" s="18" t="s">
        <v>2289</v>
      </c>
      <c r="J1309" s="75" t="s">
        <v>2290</v>
      </c>
      <c r="K1309" s="8"/>
      <c r="L1309" s="8"/>
      <c r="M1309" s="8"/>
      <c r="N1309" s="8"/>
      <c r="O1309" s="8"/>
      <c r="P1309" s="8"/>
      <c r="Q1309" s="8"/>
      <c r="R1309" s="8"/>
      <c r="S1309" s="8"/>
      <c r="T1309" s="160"/>
      <c r="U1309" s="160"/>
      <c r="V1309" s="160"/>
      <c r="W1309" s="160"/>
      <c r="X1309" s="160"/>
      <c r="Y1309" s="160"/>
      <c r="Z1309" s="160"/>
      <c r="AA1309" s="160"/>
      <c r="AB1309" s="160"/>
    </row>
    <row r="1310">
      <c r="A1310" s="176"/>
      <c r="B1310" s="66"/>
      <c r="C1310" s="181" t="s">
        <v>1609</v>
      </c>
      <c r="D1310" s="27" t="s">
        <v>1715</v>
      </c>
      <c r="E1310" s="162" t="s">
        <v>1219</v>
      </c>
      <c r="F1310" s="162" t="s">
        <v>2293</v>
      </c>
      <c r="G1310" s="76" t="s">
        <v>298</v>
      </c>
      <c r="H1310" s="114" t="s">
        <v>790</v>
      </c>
      <c r="I1310" s="18" t="s">
        <v>2289</v>
      </c>
      <c r="J1310" s="75" t="s">
        <v>2290</v>
      </c>
      <c r="K1310" s="39" t="s">
        <v>2294</v>
      </c>
      <c r="L1310" s="8"/>
      <c r="M1310" s="8"/>
      <c r="N1310" s="8"/>
      <c r="O1310" s="8"/>
      <c r="P1310" s="8"/>
      <c r="Q1310" s="8"/>
      <c r="R1310" s="8"/>
      <c r="S1310" s="8"/>
      <c r="T1310" s="160"/>
      <c r="U1310" s="160"/>
      <c r="V1310" s="160"/>
      <c r="W1310" s="160"/>
      <c r="X1310" s="160"/>
      <c r="Y1310" s="160"/>
      <c r="Z1310" s="160"/>
      <c r="AA1310" s="160"/>
      <c r="AB1310" s="160"/>
    </row>
    <row r="1311">
      <c r="A1311" s="176"/>
      <c r="B1311" s="67"/>
      <c r="C1311" s="181" t="s">
        <v>1609</v>
      </c>
      <c r="D1311" s="101"/>
      <c r="E1311" s="61"/>
      <c r="F1311" s="61"/>
      <c r="G1311" s="128"/>
      <c r="H1311" s="39"/>
      <c r="I1311" s="39"/>
      <c r="J1311" s="61"/>
      <c r="K1311" s="8"/>
      <c r="L1311" s="8"/>
      <c r="M1311" s="8"/>
      <c r="N1311" s="8"/>
      <c r="O1311" s="8"/>
      <c r="P1311" s="8"/>
      <c r="Q1311" s="8"/>
      <c r="R1311" s="8"/>
      <c r="S1311" s="8"/>
      <c r="T1311" s="160"/>
      <c r="U1311" s="160"/>
      <c r="V1311" s="160"/>
      <c r="W1311" s="160"/>
      <c r="X1311" s="160"/>
      <c r="Y1311" s="160"/>
      <c r="Z1311" s="160"/>
      <c r="AA1311" s="160"/>
      <c r="AB1311" s="160"/>
    </row>
    <row r="1312">
      <c r="A1312" s="176"/>
      <c r="B1312" s="179"/>
      <c r="C1312" s="184">
        <v>44566.0</v>
      </c>
      <c r="D1312" s="101"/>
      <c r="E1312" s="61"/>
      <c r="F1312" s="61"/>
      <c r="G1312" s="128"/>
      <c r="H1312" s="39"/>
      <c r="I1312" s="39"/>
      <c r="J1312" s="61"/>
      <c r="K1312" s="8"/>
      <c r="L1312" s="8"/>
      <c r="M1312" s="8"/>
      <c r="N1312" s="8"/>
      <c r="O1312" s="8"/>
      <c r="P1312" s="8"/>
      <c r="Q1312" s="8"/>
      <c r="R1312" s="8"/>
      <c r="S1312" s="8"/>
      <c r="T1312" s="160"/>
      <c r="U1312" s="160"/>
      <c r="V1312" s="160"/>
      <c r="W1312" s="160"/>
      <c r="X1312" s="160"/>
      <c r="Y1312" s="160"/>
      <c r="Z1312" s="160"/>
      <c r="AA1312" s="160"/>
      <c r="AB1312" s="160"/>
    </row>
    <row r="1313">
      <c r="A1313" s="176"/>
      <c r="B1313" s="185" t="s">
        <v>1450</v>
      </c>
      <c r="C1313" s="181" t="s">
        <v>1609</v>
      </c>
      <c r="D1313" s="101"/>
      <c r="E1313" s="200" t="s">
        <v>2203</v>
      </c>
      <c r="F1313" s="11"/>
      <c r="G1313" s="128"/>
      <c r="H1313" s="39"/>
      <c r="I1313" s="39"/>
      <c r="J1313" s="61"/>
      <c r="K1313" s="8"/>
      <c r="L1313" s="8"/>
      <c r="M1313" s="8"/>
      <c r="N1313" s="8"/>
      <c r="O1313" s="8"/>
      <c r="P1313" s="8"/>
      <c r="Q1313" s="8"/>
      <c r="R1313" s="8"/>
      <c r="S1313" s="8"/>
      <c r="T1313" s="160"/>
      <c r="U1313" s="160"/>
      <c r="V1313" s="160"/>
      <c r="W1313" s="160"/>
      <c r="X1313" s="160"/>
      <c r="Y1313" s="160"/>
      <c r="Z1313" s="160"/>
      <c r="AA1313" s="160"/>
      <c r="AB1313" s="160"/>
    </row>
    <row r="1314">
      <c r="A1314" s="176"/>
      <c r="B1314" s="66"/>
      <c r="C1314" s="181" t="s">
        <v>1609</v>
      </c>
      <c r="D1314" s="27" t="s">
        <v>819</v>
      </c>
      <c r="E1314" s="62" t="s">
        <v>2295</v>
      </c>
      <c r="F1314" s="62" t="s">
        <v>2296</v>
      </c>
      <c r="G1314" s="22">
        <v>0.4583333333333333</v>
      </c>
      <c r="H1314" s="18" t="s">
        <v>775</v>
      </c>
      <c r="I1314" s="27" t="s">
        <v>2297</v>
      </c>
      <c r="J1314" s="62" t="s">
        <v>2298</v>
      </c>
      <c r="K1314" s="8"/>
      <c r="L1314" s="8"/>
      <c r="M1314" s="8"/>
      <c r="N1314" s="8"/>
      <c r="O1314" s="8"/>
      <c r="P1314" s="8"/>
      <c r="Q1314" s="8"/>
      <c r="R1314" s="8"/>
      <c r="S1314" s="8"/>
      <c r="T1314" s="160"/>
      <c r="U1314" s="160"/>
      <c r="V1314" s="160"/>
      <c r="W1314" s="160"/>
      <c r="X1314" s="160"/>
      <c r="Y1314" s="160"/>
      <c r="Z1314" s="160"/>
      <c r="AA1314" s="160"/>
      <c r="AB1314" s="160"/>
    </row>
    <row r="1315">
      <c r="A1315" s="176"/>
      <c r="B1315" s="66"/>
      <c r="C1315" s="181" t="s">
        <v>1609</v>
      </c>
      <c r="D1315" s="48" t="s">
        <v>2161</v>
      </c>
      <c r="E1315" s="73" t="s">
        <v>2299</v>
      </c>
      <c r="F1315" s="73" t="s">
        <v>2300</v>
      </c>
      <c r="G1315" s="43">
        <v>0.5416666666666666</v>
      </c>
      <c r="H1315" s="44" t="s">
        <v>576</v>
      </c>
      <c r="I1315" s="44" t="s">
        <v>2301</v>
      </c>
      <c r="J1315" s="73" t="s">
        <v>2302</v>
      </c>
      <c r="K1315" s="39" t="s">
        <v>2303</v>
      </c>
      <c r="L1315" s="8"/>
      <c r="M1315" s="8"/>
      <c r="N1315" s="8"/>
      <c r="O1315" s="8"/>
      <c r="P1315" s="8"/>
      <c r="Q1315" s="8"/>
      <c r="R1315" s="8"/>
      <c r="S1315" s="8"/>
      <c r="T1315" s="160"/>
      <c r="U1315" s="160"/>
      <c r="V1315" s="160"/>
      <c r="W1315" s="160"/>
      <c r="X1315" s="160"/>
      <c r="Y1315" s="160"/>
      <c r="Z1315" s="160"/>
      <c r="AA1315" s="160"/>
      <c r="AB1315" s="160"/>
    </row>
    <row r="1316">
      <c r="A1316" s="176"/>
      <c r="B1316" s="66"/>
      <c r="C1316" s="181" t="s">
        <v>1609</v>
      </c>
      <c r="D1316" s="48" t="s">
        <v>1715</v>
      </c>
      <c r="E1316" s="73" t="s">
        <v>2304</v>
      </c>
      <c r="F1316" s="73" t="s">
        <v>2305</v>
      </c>
      <c r="G1316" s="43">
        <v>0.625</v>
      </c>
      <c r="H1316" s="226" t="s">
        <v>2306</v>
      </c>
      <c r="I1316" s="44" t="s">
        <v>2307</v>
      </c>
      <c r="J1316" s="69" t="s">
        <v>2308</v>
      </c>
      <c r="K1316" s="39" t="s">
        <v>2309</v>
      </c>
      <c r="L1316" s="8"/>
      <c r="M1316" s="8"/>
      <c r="N1316" s="8"/>
      <c r="O1316" s="8"/>
      <c r="P1316" s="8"/>
      <c r="Q1316" s="8"/>
      <c r="R1316" s="8"/>
      <c r="S1316" s="8"/>
      <c r="T1316" s="160"/>
      <c r="U1316" s="160"/>
      <c r="V1316" s="160"/>
      <c r="W1316" s="160"/>
      <c r="X1316" s="160"/>
      <c r="Y1316" s="160"/>
      <c r="Z1316" s="160"/>
      <c r="AA1316" s="160"/>
      <c r="AB1316" s="160"/>
    </row>
    <row r="1317">
      <c r="A1317" s="176"/>
      <c r="B1317" s="66"/>
      <c r="C1317" s="181" t="s">
        <v>1609</v>
      </c>
      <c r="D1317" s="27" t="s">
        <v>1715</v>
      </c>
      <c r="E1317" s="162" t="s">
        <v>2310</v>
      </c>
      <c r="F1317" s="162" t="s">
        <v>2311</v>
      </c>
      <c r="G1317" s="22">
        <v>0.5833333333333334</v>
      </c>
      <c r="H1317" s="182" t="s">
        <v>615</v>
      </c>
      <c r="I1317" s="18" t="s">
        <v>2312</v>
      </c>
      <c r="J1317" s="183" t="s">
        <v>2313</v>
      </c>
      <c r="K1317" s="8"/>
      <c r="L1317" s="8"/>
      <c r="M1317" s="8"/>
      <c r="N1317" s="8"/>
      <c r="O1317" s="8"/>
      <c r="P1317" s="8"/>
      <c r="Q1317" s="8"/>
      <c r="R1317" s="8"/>
      <c r="S1317" s="8"/>
      <c r="T1317" s="160"/>
      <c r="U1317" s="160"/>
      <c r="V1317" s="160"/>
      <c r="W1317" s="160"/>
      <c r="X1317" s="160"/>
      <c r="Y1317" s="160"/>
      <c r="Z1317" s="160"/>
      <c r="AA1317" s="160"/>
      <c r="AB1317" s="160"/>
    </row>
    <row r="1318">
      <c r="A1318" s="176"/>
      <c r="B1318" s="66"/>
      <c r="C1318" s="181" t="s">
        <v>1609</v>
      </c>
      <c r="D1318" s="101"/>
      <c r="E1318" s="61"/>
      <c r="F1318" s="61"/>
      <c r="G1318" s="136"/>
      <c r="H1318" s="39"/>
      <c r="I1318" s="39"/>
      <c r="J1318" s="61"/>
      <c r="K1318" s="8"/>
      <c r="L1318" s="8"/>
      <c r="M1318" s="8"/>
      <c r="N1318" s="8"/>
      <c r="O1318" s="8"/>
      <c r="P1318" s="8"/>
      <c r="Q1318" s="8"/>
      <c r="R1318" s="8"/>
      <c r="S1318" s="8"/>
      <c r="T1318" s="160"/>
      <c r="U1318" s="160"/>
      <c r="V1318" s="160"/>
      <c r="W1318" s="160"/>
      <c r="X1318" s="160"/>
      <c r="Y1318" s="160"/>
      <c r="Z1318" s="160"/>
      <c r="AA1318" s="160"/>
      <c r="AB1318" s="160"/>
    </row>
    <row r="1319">
      <c r="A1319" s="176"/>
      <c r="B1319" s="67"/>
      <c r="C1319" s="181" t="s">
        <v>1609</v>
      </c>
      <c r="D1319" s="101"/>
      <c r="E1319" s="61"/>
      <c r="F1319" s="61"/>
      <c r="G1319" s="128"/>
      <c r="H1319" s="39"/>
      <c r="I1319" s="39"/>
      <c r="J1319" s="61"/>
      <c r="K1319" s="8"/>
      <c r="L1319" s="8"/>
      <c r="M1319" s="8"/>
      <c r="N1319" s="8"/>
      <c r="O1319" s="8"/>
      <c r="P1319" s="8"/>
      <c r="Q1319" s="8"/>
      <c r="R1319" s="8"/>
      <c r="S1319" s="8"/>
      <c r="T1319" s="160"/>
      <c r="U1319" s="160"/>
      <c r="V1319" s="160"/>
      <c r="W1319" s="160"/>
      <c r="X1319" s="160"/>
      <c r="Y1319" s="160"/>
      <c r="Z1319" s="160"/>
      <c r="AA1319" s="160"/>
      <c r="AB1319" s="160"/>
    </row>
    <row r="1320">
      <c r="A1320" s="176"/>
      <c r="B1320" s="179"/>
      <c r="C1320" s="184">
        <v>44567.0</v>
      </c>
      <c r="D1320" s="101"/>
      <c r="E1320" s="61"/>
      <c r="F1320" s="61"/>
      <c r="G1320" s="128"/>
      <c r="H1320" s="39"/>
      <c r="I1320" s="39"/>
      <c r="J1320" s="61"/>
      <c r="K1320" s="8"/>
      <c r="L1320" s="8"/>
      <c r="M1320" s="8"/>
      <c r="N1320" s="8"/>
      <c r="O1320" s="8"/>
      <c r="P1320" s="8"/>
      <c r="Q1320" s="8"/>
      <c r="R1320" s="8"/>
      <c r="S1320" s="8"/>
      <c r="T1320" s="160"/>
      <c r="U1320" s="160"/>
      <c r="V1320" s="160"/>
      <c r="W1320" s="160"/>
      <c r="X1320" s="160"/>
      <c r="Y1320" s="160"/>
      <c r="Z1320" s="160"/>
      <c r="AA1320" s="160"/>
      <c r="AB1320" s="160"/>
    </row>
    <row r="1321">
      <c r="A1321" s="176"/>
      <c r="B1321" s="185" t="s">
        <v>1450</v>
      </c>
      <c r="C1321" s="181" t="s">
        <v>1609</v>
      </c>
      <c r="D1321" s="101"/>
      <c r="E1321" s="200" t="s">
        <v>2203</v>
      </c>
      <c r="F1321" s="11"/>
      <c r="G1321" s="128"/>
      <c r="H1321" s="39"/>
      <c r="I1321" s="39"/>
      <c r="J1321" s="61"/>
      <c r="K1321" s="8"/>
      <c r="L1321" s="8"/>
      <c r="M1321" s="8"/>
      <c r="N1321" s="8"/>
      <c r="O1321" s="8"/>
      <c r="P1321" s="8"/>
      <c r="Q1321" s="8"/>
      <c r="R1321" s="8"/>
      <c r="S1321" s="8"/>
      <c r="T1321" s="160"/>
      <c r="U1321" s="160"/>
      <c r="V1321" s="160"/>
      <c r="W1321" s="160"/>
      <c r="X1321" s="160"/>
      <c r="Y1321" s="160"/>
      <c r="Z1321" s="160"/>
      <c r="AA1321" s="160"/>
      <c r="AB1321" s="160"/>
    </row>
    <row r="1322">
      <c r="A1322" s="176"/>
      <c r="B1322" s="66"/>
      <c r="C1322" s="181" t="s">
        <v>1609</v>
      </c>
      <c r="D1322" s="27" t="s">
        <v>1715</v>
      </c>
      <c r="E1322" s="162" t="s">
        <v>2314</v>
      </c>
      <c r="F1322" s="162" t="s">
        <v>2315</v>
      </c>
      <c r="G1322" s="76" t="s">
        <v>344</v>
      </c>
      <c r="H1322" s="18" t="s">
        <v>2316</v>
      </c>
      <c r="I1322" s="18" t="s">
        <v>2317</v>
      </c>
      <c r="J1322" s="183" t="s">
        <v>2318</v>
      </c>
      <c r="K1322" s="23"/>
      <c r="L1322" s="8"/>
      <c r="M1322" s="8"/>
      <c r="N1322" s="8"/>
      <c r="O1322" s="8"/>
      <c r="P1322" s="8"/>
      <c r="Q1322" s="8"/>
      <c r="R1322" s="8"/>
      <c r="S1322" s="8"/>
      <c r="T1322" s="160"/>
      <c r="U1322" s="160"/>
      <c r="V1322" s="160"/>
      <c r="W1322" s="160"/>
      <c r="X1322" s="160"/>
      <c r="Y1322" s="160"/>
      <c r="Z1322" s="160"/>
      <c r="AA1322" s="160"/>
      <c r="AB1322" s="160"/>
    </row>
    <row r="1323">
      <c r="A1323" s="176"/>
      <c r="B1323" s="66"/>
      <c r="C1323" s="181" t="s">
        <v>1609</v>
      </c>
      <c r="D1323" s="27" t="s">
        <v>1715</v>
      </c>
      <c r="E1323" s="162" t="s">
        <v>306</v>
      </c>
      <c r="F1323" s="250" t="s">
        <v>2319</v>
      </c>
      <c r="G1323" s="22">
        <v>0.4583333333333333</v>
      </c>
      <c r="H1323" s="18" t="s">
        <v>2316</v>
      </c>
      <c r="I1323" s="18" t="s">
        <v>2317</v>
      </c>
      <c r="J1323" s="251" t="s">
        <v>2320</v>
      </c>
      <c r="K1323" s="23"/>
      <c r="L1323" s="8"/>
      <c r="M1323" s="8"/>
      <c r="N1323" s="8"/>
      <c r="O1323" s="8"/>
      <c r="P1323" s="8"/>
      <c r="Q1323" s="8"/>
      <c r="R1323" s="8"/>
      <c r="S1323" s="8"/>
      <c r="T1323" s="160"/>
      <c r="U1323" s="160"/>
      <c r="V1323" s="160"/>
      <c r="W1323" s="160"/>
      <c r="X1323" s="160"/>
      <c r="Y1323" s="160"/>
      <c r="Z1323" s="160"/>
      <c r="AA1323" s="160"/>
      <c r="AB1323" s="160"/>
    </row>
    <row r="1324">
      <c r="A1324" s="176"/>
      <c r="B1324" s="66"/>
      <c r="C1324" s="181" t="s">
        <v>1609</v>
      </c>
      <c r="D1324" s="48" t="s">
        <v>1715</v>
      </c>
      <c r="E1324" s="73" t="s">
        <v>2321</v>
      </c>
      <c r="F1324" s="73" t="s">
        <v>2322</v>
      </c>
      <c r="G1324" s="70" t="s">
        <v>745</v>
      </c>
      <c r="H1324" s="226" t="s">
        <v>1038</v>
      </c>
      <c r="I1324" s="44" t="s">
        <v>2323</v>
      </c>
      <c r="J1324" s="69" t="s">
        <v>2324</v>
      </c>
      <c r="K1324" s="39" t="s">
        <v>2325</v>
      </c>
      <c r="L1324" s="8"/>
      <c r="M1324" s="8"/>
      <c r="N1324" s="8"/>
      <c r="O1324" s="8"/>
      <c r="P1324" s="8"/>
      <c r="Q1324" s="8"/>
      <c r="R1324" s="8"/>
      <c r="S1324" s="8"/>
      <c r="T1324" s="160"/>
      <c r="U1324" s="160"/>
      <c r="V1324" s="160"/>
      <c r="W1324" s="160"/>
      <c r="X1324" s="160"/>
      <c r="Y1324" s="160"/>
      <c r="Z1324" s="160"/>
      <c r="AA1324" s="160"/>
      <c r="AB1324" s="160"/>
    </row>
    <row r="1325">
      <c r="A1325" s="176"/>
      <c r="B1325" s="66"/>
      <c r="C1325" s="181" t="s">
        <v>1609</v>
      </c>
      <c r="D1325" s="27" t="s">
        <v>1715</v>
      </c>
      <c r="E1325" s="62" t="s">
        <v>2326</v>
      </c>
      <c r="F1325" s="62" t="s">
        <v>2327</v>
      </c>
      <c r="G1325" s="76" t="s">
        <v>745</v>
      </c>
      <c r="H1325" s="114" t="s">
        <v>1038</v>
      </c>
      <c r="I1325" s="18" t="s">
        <v>2323</v>
      </c>
      <c r="J1325" s="75" t="s">
        <v>2324</v>
      </c>
      <c r="K1325" s="8"/>
      <c r="L1325" s="8"/>
      <c r="M1325" s="8"/>
      <c r="N1325" s="8"/>
      <c r="O1325" s="8"/>
      <c r="P1325" s="8"/>
      <c r="Q1325" s="8"/>
      <c r="R1325" s="8"/>
      <c r="S1325" s="8"/>
      <c r="T1325" s="160"/>
      <c r="U1325" s="160"/>
      <c r="V1325" s="160"/>
      <c r="W1325" s="160"/>
      <c r="X1325" s="160"/>
      <c r="Y1325" s="160"/>
      <c r="Z1325" s="160"/>
      <c r="AA1325" s="160"/>
      <c r="AB1325" s="160"/>
    </row>
    <row r="1326">
      <c r="A1326" s="176"/>
      <c r="B1326" s="66"/>
      <c r="C1326" s="181" t="s">
        <v>1609</v>
      </c>
      <c r="D1326" s="27" t="s">
        <v>1715</v>
      </c>
      <c r="E1326" s="162" t="s">
        <v>2328</v>
      </c>
      <c r="F1326" s="162" t="s">
        <v>2329</v>
      </c>
      <c r="G1326" s="76" t="s">
        <v>745</v>
      </c>
      <c r="H1326" s="114" t="s">
        <v>1038</v>
      </c>
      <c r="I1326" s="18" t="s">
        <v>2323</v>
      </c>
      <c r="J1326" s="75" t="s">
        <v>2324</v>
      </c>
      <c r="K1326" s="8"/>
      <c r="L1326" s="8"/>
      <c r="M1326" s="8"/>
      <c r="N1326" s="8"/>
      <c r="O1326" s="8"/>
      <c r="P1326" s="8"/>
      <c r="Q1326" s="8"/>
      <c r="R1326" s="8"/>
      <c r="S1326" s="8"/>
      <c r="T1326" s="160"/>
      <c r="U1326" s="160"/>
      <c r="V1326" s="160"/>
      <c r="W1326" s="160"/>
      <c r="X1326" s="160"/>
      <c r="Y1326" s="160"/>
      <c r="Z1326" s="160"/>
      <c r="AA1326" s="160"/>
      <c r="AB1326" s="160"/>
    </row>
    <row r="1327">
      <c r="A1327" s="176"/>
      <c r="B1327" s="66"/>
      <c r="C1327" s="181" t="s">
        <v>1609</v>
      </c>
      <c r="D1327" s="101"/>
      <c r="E1327" s="61"/>
      <c r="F1327" s="61"/>
      <c r="G1327" s="128"/>
      <c r="H1327" s="39"/>
      <c r="I1327" s="39"/>
      <c r="J1327" s="61"/>
      <c r="K1327" s="8"/>
      <c r="L1327" s="8"/>
      <c r="M1327" s="8"/>
      <c r="N1327" s="8"/>
      <c r="O1327" s="8"/>
      <c r="P1327" s="8"/>
      <c r="Q1327" s="8"/>
      <c r="R1327" s="8"/>
      <c r="S1327" s="8"/>
      <c r="T1327" s="160"/>
      <c r="U1327" s="160"/>
      <c r="V1327" s="160"/>
      <c r="W1327" s="160"/>
      <c r="X1327" s="160"/>
      <c r="Y1327" s="160"/>
      <c r="Z1327" s="160"/>
      <c r="AA1327" s="160"/>
      <c r="AB1327" s="160"/>
    </row>
    <row r="1328">
      <c r="A1328" s="176"/>
      <c r="B1328" s="67"/>
      <c r="C1328" s="181" t="s">
        <v>1609</v>
      </c>
      <c r="D1328" s="101"/>
      <c r="E1328" s="61"/>
      <c r="F1328" s="61"/>
      <c r="G1328" s="128"/>
      <c r="H1328" s="39"/>
      <c r="I1328" s="39"/>
      <c r="J1328" s="61"/>
      <c r="K1328" s="8"/>
      <c r="L1328" s="8"/>
      <c r="M1328" s="8"/>
      <c r="N1328" s="8"/>
      <c r="O1328" s="8"/>
      <c r="P1328" s="8"/>
      <c r="Q1328" s="8"/>
      <c r="R1328" s="8"/>
      <c r="S1328" s="8"/>
      <c r="T1328" s="160"/>
      <c r="U1328" s="160"/>
      <c r="V1328" s="160"/>
      <c r="W1328" s="160"/>
      <c r="X1328" s="160"/>
      <c r="Y1328" s="160"/>
      <c r="Z1328" s="160"/>
      <c r="AA1328" s="160"/>
      <c r="AB1328" s="160"/>
    </row>
    <row r="1329">
      <c r="A1329" s="176"/>
      <c r="B1329" s="179"/>
      <c r="C1329" s="184">
        <v>44568.0</v>
      </c>
      <c r="D1329" s="101"/>
      <c r="E1329" s="61"/>
      <c r="F1329" s="61"/>
      <c r="G1329" s="128"/>
      <c r="H1329" s="39"/>
      <c r="I1329" s="39"/>
      <c r="J1329" s="61"/>
      <c r="K1329" s="8"/>
      <c r="L1329" s="8"/>
      <c r="M1329" s="8"/>
      <c r="N1329" s="8"/>
      <c r="O1329" s="8"/>
      <c r="P1329" s="8"/>
      <c r="Q1329" s="8"/>
      <c r="R1329" s="8"/>
      <c r="S1329" s="8"/>
      <c r="T1329" s="160"/>
      <c r="U1329" s="160"/>
      <c r="V1329" s="160"/>
      <c r="W1329" s="160"/>
      <c r="X1329" s="160"/>
      <c r="Y1329" s="160"/>
      <c r="Z1329" s="160"/>
      <c r="AA1329" s="160"/>
      <c r="AB1329" s="160"/>
    </row>
    <row r="1330">
      <c r="A1330" s="176"/>
      <c r="B1330" s="185" t="s">
        <v>1450</v>
      </c>
      <c r="C1330" s="181" t="s">
        <v>1609</v>
      </c>
      <c r="D1330" s="101"/>
      <c r="E1330" s="200" t="s">
        <v>2203</v>
      </c>
      <c r="F1330" s="11"/>
      <c r="G1330" s="128"/>
      <c r="H1330" s="39"/>
      <c r="I1330" s="39"/>
      <c r="J1330" s="61"/>
      <c r="K1330" s="8"/>
      <c r="L1330" s="8"/>
      <c r="M1330" s="8"/>
      <c r="N1330" s="8"/>
      <c r="O1330" s="8"/>
      <c r="P1330" s="8"/>
      <c r="Q1330" s="8"/>
      <c r="R1330" s="8"/>
      <c r="S1330" s="8"/>
      <c r="T1330" s="160"/>
      <c r="U1330" s="160"/>
      <c r="V1330" s="160"/>
      <c r="W1330" s="160"/>
      <c r="X1330" s="160"/>
      <c r="Y1330" s="160"/>
      <c r="Z1330" s="160"/>
      <c r="AA1330" s="160"/>
      <c r="AB1330" s="160"/>
    </row>
    <row r="1331">
      <c r="A1331" s="176"/>
      <c r="B1331" s="66"/>
      <c r="C1331" s="181" t="s">
        <v>1609</v>
      </c>
      <c r="D1331" s="195" t="s">
        <v>921</v>
      </c>
      <c r="E1331" s="212" t="s">
        <v>2330</v>
      </c>
      <c r="F1331" s="212" t="s">
        <v>2331</v>
      </c>
      <c r="G1331" s="213">
        <v>0.5</v>
      </c>
      <c r="H1331" s="212" t="s">
        <v>2306</v>
      </c>
      <c r="I1331" s="198" t="s">
        <v>2332</v>
      </c>
      <c r="J1331" s="212" t="s">
        <v>2333</v>
      </c>
      <c r="K1331" s="8"/>
      <c r="L1331" s="8"/>
      <c r="M1331" s="8"/>
      <c r="N1331" s="8"/>
      <c r="O1331" s="8"/>
      <c r="P1331" s="8"/>
      <c r="Q1331" s="8"/>
      <c r="R1331" s="8"/>
      <c r="S1331" s="8"/>
      <c r="T1331" s="160"/>
      <c r="U1331" s="160"/>
      <c r="V1331" s="160"/>
      <c r="W1331" s="160"/>
      <c r="X1331" s="160"/>
      <c r="Y1331" s="160"/>
      <c r="Z1331" s="160"/>
      <c r="AA1331" s="160"/>
      <c r="AB1331" s="160"/>
    </row>
    <row r="1332">
      <c r="A1332" s="176"/>
      <c r="B1332" s="66"/>
      <c r="C1332" s="181" t="s">
        <v>1609</v>
      </c>
      <c r="D1332" s="27" t="s">
        <v>2161</v>
      </c>
      <c r="E1332" s="62" t="s">
        <v>2299</v>
      </c>
      <c r="F1332" s="62" t="s">
        <v>2300</v>
      </c>
      <c r="G1332" s="22">
        <v>0.5833333333333334</v>
      </c>
      <c r="H1332" s="18" t="s">
        <v>576</v>
      </c>
      <c r="I1332" s="18" t="s">
        <v>2301</v>
      </c>
      <c r="J1332" s="62" t="s">
        <v>2302</v>
      </c>
      <c r="K1332" s="30"/>
      <c r="L1332" s="8"/>
      <c r="M1332" s="8"/>
      <c r="N1332" s="8"/>
      <c r="O1332" s="8"/>
      <c r="P1332" s="8"/>
      <c r="Q1332" s="8"/>
      <c r="R1332" s="8"/>
      <c r="S1332" s="8"/>
      <c r="T1332" s="160"/>
      <c r="U1332" s="160"/>
      <c r="V1332" s="160"/>
      <c r="W1332" s="160"/>
      <c r="X1332" s="160"/>
      <c r="Y1332" s="160"/>
      <c r="Z1332" s="160"/>
      <c r="AA1332" s="160"/>
      <c r="AB1332" s="160"/>
    </row>
    <row r="1333">
      <c r="A1333" s="176"/>
      <c r="B1333" s="66"/>
      <c r="C1333" s="181" t="s">
        <v>1609</v>
      </c>
      <c r="D1333" s="48" t="s">
        <v>1621</v>
      </c>
      <c r="E1333" s="73" t="s">
        <v>2334</v>
      </c>
      <c r="F1333" s="73" t="s">
        <v>2335</v>
      </c>
      <c r="G1333" s="43">
        <v>0.625</v>
      </c>
      <c r="H1333" s="73" t="s">
        <v>2306</v>
      </c>
      <c r="I1333" s="73" t="s">
        <v>2336</v>
      </c>
      <c r="J1333" s="73" t="s">
        <v>2337</v>
      </c>
      <c r="K1333" s="39" t="s">
        <v>2338</v>
      </c>
      <c r="L1333" s="8"/>
      <c r="M1333" s="8"/>
      <c r="N1333" s="8"/>
      <c r="O1333" s="8"/>
      <c r="P1333" s="8"/>
      <c r="Q1333" s="8"/>
      <c r="R1333" s="8"/>
      <c r="S1333" s="8"/>
      <c r="T1333" s="160"/>
      <c r="U1333" s="160"/>
      <c r="V1333" s="160"/>
      <c r="W1333" s="160"/>
      <c r="X1333" s="160"/>
      <c r="Y1333" s="160"/>
      <c r="Z1333" s="160"/>
      <c r="AA1333" s="160"/>
      <c r="AB1333" s="160"/>
    </row>
    <row r="1334">
      <c r="A1334" s="176"/>
      <c r="B1334" s="66"/>
      <c r="C1334" s="181" t="s">
        <v>1609</v>
      </c>
      <c r="D1334" s="48" t="s">
        <v>1621</v>
      </c>
      <c r="E1334" s="73" t="s">
        <v>2339</v>
      </c>
      <c r="F1334" s="73" t="s">
        <v>2340</v>
      </c>
      <c r="G1334" s="43">
        <v>0.625</v>
      </c>
      <c r="H1334" s="73" t="s">
        <v>2306</v>
      </c>
      <c r="I1334" s="73" t="s">
        <v>2336</v>
      </c>
      <c r="J1334" s="73" t="s">
        <v>2337</v>
      </c>
      <c r="K1334" s="39" t="s">
        <v>2338</v>
      </c>
      <c r="L1334" s="8"/>
      <c r="M1334" s="8"/>
      <c r="N1334" s="8"/>
      <c r="O1334" s="8"/>
      <c r="P1334" s="8"/>
      <c r="Q1334" s="8"/>
      <c r="R1334" s="8"/>
      <c r="S1334" s="8"/>
      <c r="T1334" s="160"/>
      <c r="U1334" s="160"/>
      <c r="V1334" s="160"/>
      <c r="W1334" s="160"/>
      <c r="X1334" s="160"/>
      <c r="Y1334" s="160"/>
      <c r="Z1334" s="160"/>
      <c r="AA1334" s="160"/>
      <c r="AB1334" s="160"/>
    </row>
    <row r="1335">
      <c r="A1335" s="176"/>
      <c r="B1335" s="66"/>
      <c r="C1335" s="181" t="s">
        <v>1609</v>
      </c>
      <c r="D1335" s="101"/>
      <c r="E1335" s="61"/>
      <c r="F1335" s="61"/>
      <c r="G1335" s="128"/>
      <c r="H1335" s="61"/>
      <c r="I1335" s="39"/>
      <c r="J1335" s="61"/>
      <c r="K1335" s="8"/>
      <c r="L1335" s="8"/>
      <c r="M1335" s="8"/>
      <c r="N1335" s="8"/>
      <c r="O1335" s="8"/>
      <c r="P1335" s="8"/>
      <c r="Q1335" s="8"/>
      <c r="R1335" s="8"/>
      <c r="S1335" s="8"/>
      <c r="T1335" s="160"/>
      <c r="U1335" s="160"/>
      <c r="V1335" s="160"/>
      <c r="W1335" s="160"/>
      <c r="X1335" s="160"/>
      <c r="Y1335" s="160"/>
      <c r="Z1335" s="160"/>
      <c r="AA1335" s="160"/>
      <c r="AB1335" s="160"/>
    </row>
    <row r="1336">
      <c r="A1336" s="176"/>
      <c r="B1336" s="67"/>
      <c r="C1336" s="181" t="s">
        <v>1609</v>
      </c>
      <c r="D1336" s="101"/>
      <c r="E1336" s="61"/>
      <c r="F1336" s="61"/>
      <c r="G1336" s="128"/>
      <c r="H1336" s="39"/>
      <c r="I1336" s="39"/>
      <c r="J1336" s="61"/>
      <c r="K1336" s="8"/>
      <c r="L1336" s="8"/>
      <c r="M1336" s="8"/>
      <c r="N1336" s="8"/>
      <c r="O1336" s="8"/>
      <c r="P1336" s="160"/>
      <c r="Q1336" s="160"/>
      <c r="R1336" s="160"/>
      <c r="S1336" s="160"/>
      <c r="T1336" s="160"/>
      <c r="U1336" s="160"/>
      <c r="V1336" s="160"/>
      <c r="W1336" s="160"/>
      <c r="X1336" s="160"/>
      <c r="Y1336" s="160"/>
      <c r="Z1336" s="160"/>
      <c r="AA1336" s="160"/>
      <c r="AB1336" s="160"/>
    </row>
    <row r="1337">
      <c r="A1337" s="176"/>
      <c r="B1337" s="179"/>
      <c r="C1337" s="184">
        <v>44571.0</v>
      </c>
      <c r="D1337" s="101"/>
      <c r="E1337" s="61"/>
      <c r="F1337" s="61"/>
      <c r="G1337" s="128"/>
      <c r="H1337" s="39"/>
      <c r="I1337" s="39"/>
      <c r="J1337" s="61"/>
      <c r="K1337" s="8"/>
      <c r="L1337" s="8"/>
      <c r="M1337" s="8"/>
      <c r="N1337" s="8"/>
      <c r="O1337" s="8"/>
      <c r="P1337" s="160"/>
      <c r="Q1337" s="160"/>
      <c r="R1337" s="160"/>
      <c r="S1337" s="160"/>
      <c r="T1337" s="160"/>
      <c r="U1337" s="160"/>
      <c r="V1337" s="160"/>
      <c r="W1337" s="160"/>
      <c r="X1337" s="160"/>
      <c r="Y1337" s="160"/>
      <c r="Z1337" s="160"/>
      <c r="AA1337" s="160"/>
      <c r="AB1337" s="160"/>
    </row>
    <row r="1338">
      <c r="A1338" s="176"/>
      <c r="B1338" s="185" t="s">
        <v>1450</v>
      </c>
      <c r="C1338" s="181" t="s">
        <v>1609</v>
      </c>
      <c r="D1338" s="101"/>
      <c r="E1338" s="200" t="s">
        <v>2203</v>
      </c>
      <c r="F1338" s="11"/>
      <c r="G1338" s="128"/>
      <c r="H1338" s="39"/>
      <c r="I1338" s="39"/>
      <c r="J1338" s="61"/>
      <c r="K1338" s="8"/>
      <c r="L1338" s="8"/>
      <c r="M1338" s="8"/>
      <c r="N1338" s="8"/>
      <c r="O1338" s="8"/>
      <c r="P1338" s="160"/>
      <c r="Q1338" s="160"/>
      <c r="R1338" s="160"/>
      <c r="S1338" s="160"/>
      <c r="T1338" s="160"/>
      <c r="U1338" s="160"/>
      <c r="V1338" s="160"/>
      <c r="W1338" s="160"/>
      <c r="X1338" s="160"/>
      <c r="Y1338" s="160"/>
      <c r="Z1338" s="160"/>
      <c r="AA1338" s="160"/>
      <c r="AB1338" s="160"/>
    </row>
    <row r="1339">
      <c r="A1339" s="176"/>
      <c r="B1339" s="66"/>
      <c r="C1339" s="181" t="s">
        <v>1609</v>
      </c>
      <c r="D1339" s="48" t="s">
        <v>1715</v>
      </c>
      <c r="E1339" s="155" t="s">
        <v>2341</v>
      </c>
      <c r="F1339" s="155" t="s">
        <v>2342</v>
      </c>
      <c r="G1339" s="70" t="s">
        <v>344</v>
      </c>
      <c r="H1339" s="201" t="s">
        <v>919</v>
      </c>
      <c r="I1339" s="44" t="s">
        <v>2343</v>
      </c>
      <c r="J1339" s="202" t="s">
        <v>2344</v>
      </c>
      <c r="K1339" s="8"/>
      <c r="L1339" s="8"/>
      <c r="M1339" s="8"/>
      <c r="N1339" s="8"/>
      <c r="O1339" s="8"/>
      <c r="P1339" s="160"/>
      <c r="Q1339" s="160"/>
      <c r="R1339" s="160"/>
      <c r="S1339" s="160"/>
      <c r="T1339" s="160"/>
      <c r="U1339" s="160"/>
      <c r="V1339" s="160"/>
      <c r="W1339" s="160"/>
      <c r="X1339" s="160"/>
      <c r="Y1339" s="160"/>
      <c r="Z1339" s="160"/>
      <c r="AA1339" s="160"/>
      <c r="AB1339" s="160"/>
    </row>
    <row r="1340">
      <c r="A1340" s="176"/>
      <c r="B1340" s="66"/>
      <c r="C1340" s="181" t="s">
        <v>1609</v>
      </c>
      <c r="D1340" s="27" t="s">
        <v>1715</v>
      </c>
      <c r="E1340" s="62" t="s">
        <v>2345</v>
      </c>
      <c r="F1340" s="62" t="s">
        <v>2346</v>
      </c>
      <c r="G1340" s="76" t="s">
        <v>366</v>
      </c>
      <c r="H1340" s="114" t="s">
        <v>72</v>
      </c>
      <c r="I1340" s="18" t="s">
        <v>2347</v>
      </c>
      <c r="J1340" s="75" t="s">
        <v>2348</v>
      </c>
      <c r="K1340" s="8"/>
      <c r="L1340" s="8"/>
      <c r="M1340" s="8"/>
      <c r="N1340" s="8"/>
      <c r="O1340" s="8"/>
      <c r="P1340" s="160"/>
      <c r="Q1340" s="160"/>
      <c r="R1340" s="160"/>
      <c r="S1340" s="160"/>
      <c r="T1340" s="160"/>
      <c r="U1340" s="160"/>
      <c r="V1340" s="160"/>
      <c r="W1340" s="160"/>
      <c r="X1340" s="160"/>
      <c r="Y1340" s="160"/>
      <c r="Z1340" s="160"/>
      <c r="AA1340" s="160"/>
      <c r="AB1340" s="160"/>
    </row>
    <row r="1341">
      <c r="A1341" s="176"/>
      <c r="B1341" s="66"/>
      <c r="C1341" s="181" t="s">
        <v>1609</v>
      </c>
      <c r="D1341" s="48" t="s">
        <v>1715</v>
      </c>
      <c r="E1341" s="42" t="s">
        <v>2349</v>
      </c>
      <c r="F1341" s="42" t="s">
        <v>2350</v>
      </c>
      <c r="G1341" s="70" t="s">
        <v>298</v>
      </c>
      <c r="H1341" s="226" t="s">
        <v>72</v>
      </c>
      <c r="I1341" s="44" t="s">
        <v>2351</v>
      </c>
      <c r="J1341" s="69" t="s">
        <v>2352</v>
      </c>
      <c r="K1341" s="39" t="s">
        <v>2353</v>
      </c>
      <c r="L1341" s="8"/>
      <c r="M1341" s="8"/>
      <c r="N1341" s="8"/>
      <c r="O1341" s="8"/>
      <c r="P1341" s="160"/>
      <c r="Q1341" s="160"/>
      <c r="R1341" s="160"/>
      <c r="S1341" s="160"/>
      <c r="T1341" s="160"/>
      <c r="U1341" s="160"/>
      <c r="V1341" s="160"/>
      <c r="W1341" s="160"/>
      <c r="X1341" s="160"/>
      <c r="Y1341" s="160"/>
      <c r="Z1341" s="160"/>
      <c r="AA1341" s="160"/>
      <c r="AB1341" s="160"/>
    </row>
    <row r="1342">
      <c r="A1342" s="176"/>
      <c r="B1342" s="66"/>
      <c r="C1342" s="181" t="s">
        <v>1609</v>
      </c>
      <c r="D1342" s="101"/>
      <c r="E1342" s="61"/>
      <c r="F1342" s="61"/>
      <c r="G1342" s="128"/>
      <c r="H1342" s="39"/>
      <c r="I1342" s="39"/>
      <c r="J1342" s="61"/>
      <c r="K1342" s="8"/>
      <c r="L1342" s="8"/>
      <c r="M1342" s="8"/>
      <c r="N1342" s="8"/>
      <c r="O1342" s="8"/>
      <c r="P1342" s="160"/>
      <c r="Q1342" s="160"/>
      <c r="R1342" s="160"/>
      <c r="S1342" s="160"/>
      <c r="T1342" s="160"/>
      <c r="U1342" s="160"/>
      <c r="V1342" s="160"/>
      <c r="W1342" s="160"/>
      <c r="X1342" s="160"/>
      <c r="Y1342" s="160"/>
      <c r="Z1342" s="160"/>
      <c r="AA1342" s="160"/>
      <c r="AB1342" s="160"/>
    </row>
    <row r="1343">
      <c r="A1343" s="176"/>
      <c r="B1343" s="66"/>
      <c r="C1343" s="181" t="s">
        <v>1609</v>
      </c>
      <c r="D1343" s="101"/>
      <c r="E1343" s="61"/>
      <c r="F1343" s="61"/>
      <c r="G1343" s="128"/>
      <c r="H1343" s="39"/>
      <c r="I1343" s="39"/>
      <c r="J1343" s="61"/>
      <c r="K1343" s="8"/>
      <c r="L1343" s="8"/>
      <c r="M1343" s="8"/>
      <c r="N1343" s="8"/>
      <c r="O1343" s="8"/>
      <c r="P1343" s="160"/>
      <c r="Q1343" s="160"/>
      <c r="R1343" s="160"/>
      <c r="S1343" s="160"/>
      <c r="T1343" s="160"/>
      <c r="U1343" s="160"/>
      <c r="V1343" s="160"/>
      <c r="W1343" s="160"/>
      <c r="X1343" s="160"/>
      <c r="Y1343" s="160"/>
      <c r="Z1343" s="160"/>
      <c r="AA1343" s="160"/>
      <c r="AB1343" s="160"/>
    </row>
    <row r="1344">
      <c r="A1344" s="176"/>
      <c r="B1344" s="67"/>
      <c r="C1344" s="181" t="s">
        <v>1609</v>
      </c>
      <c r="D1344" s="101"/>
      <c r="E1344" s="61"/>
      <c r="F1344" s="61"/>
      <c r="G1344" s="128"/>
      <c r="H1344" s="39"/>
      <c r="I1344" s="39"/>
      <c r="J1344" s="61"/>
      <c r="K1344" s="8"/>
      <c r="L1344" s="8"/>
      <c r="M1344" s="8"/>
      <c r="N1344" s="8"/>
      <c r="O1344" s="8"/>
      <c r="P1344" s="160"/>
      <c r="Q1344" s="160"/>
      <c r="R1344" s="160"/>
      <c r="S1344" s="160"/>
      <c r="T1344" s="160"/>
      <c r="U1344" s="160"/>
      <c r="V1344" s="160"/>
      <c r="W1344" s="160"/>
      <c r="X1344" s="160"/>
      <c r="Y1344" s="160"/>
      <c r="Z1344" s="160"/>
      <c r="AA1344" s="160"/>
      <c r="AB1344" s="160"/>
    </row>
    <row r="1345">
      <c r="A1345" s="176"/>
      <c r="B1345" s="179"/>
      <c r="C1345" s="184">
        <v>44572.0</v>
      </c>
      <c r="D1345" s="101"/>
      <c r="E1345" s="200" t="s">
        <v>2203</v>
      </c>
      <c r="F1345" s="11"/>
      <c r="G1345" s="128"/>
      <c r="H1345" s="39"/>
      <c r="I1345" s="39"/>
      <c r="J1345" s="61"/>
      <c r="K1345" s="8"/>
      <c r="L1345" s="8"/>
      <c r="M1345" s="8"/>
      <c r="N1345" s="8"/>
      <c r="O1345" s="8"/>
      <c r="P1345" s="160"/>
      <c r="Q1345" s="160"/>
      <c r="R1345" s="160"/>
      <c r="S1345" s="160"/>
      <c r="T1345" s="160"/>
      <c r="U1345" s="160"/>
      <c r="V1345" s="160"/>
      <c r="W1345" s="160"/>
      <c r="X1345" s="160"/>
      <c r="Y1345" s="160"/>
      <c r="Z1345" s="160"/>
      <c r="AA1345" s="160"/>
      <c r="AB1345" s="160"/>
    </row>
    <row r="1346">
      <c r="A1346" s="176"/>
      <c r="B1346" s="185" t="s">
        <v>1450</v>
      </c>
      <c r="C1346" s="181" t="s">
        <v>1609</v>
      </c>
      <c r="D1346" s="101"/>
      <c r="E1346" s="61"/>
      <c r="F1346" s="61"/>
      <c r="G1346" s="128"/>
      <c r="H1346" s="39"/>
      <c r="I1346" s="39"/>
      <c r="J1346" s="61"/>
      <c r="K1346" s="8"/>
      <c r="L1346" s="8"/>
      <c r="M1346" s="8"/>
      <c r="N1346" s="8"/>
      <c r="O1346" s="8"/>
      <c r="P1346" s="160"/>
      <c r="Q1346" s="160"/>
      <c r="R1346" s="160"/>
      <c r="S1346" s="160"/>
      <c r="T1346" s="160"/>
      <c r="U1346" s="160"/>
      <c r="V1346" s="160"/>
      <c r="W1346" s="160"/>
      <c r="X1346" s="160"/>
      <c r="Y1346" s="160"/>
      <c r="Z1346" s="160"/>
      <c r="AA1346" s="160"/>
      <c r="AB1346" s="160"/>
    </row>
    <row r="1347">
      <c r="A1347" s="176"/>
      <c r="B1347" s="66"/>
      <c r="C1347" s="181" t="s">
        <v>1609</v>
      </c>
      <c r="D1347" s="27" t="s">
        <v>1715</v>
      </c>
      <c r="E1347" s="175" t="s">
        <v>654</v>
      </c>
      <c r="F1347" s="175" t="s">
        <v>655</v>
      </c>
      <c r="G1347" s="76" t="s">
        <v>344</v>
      </c>
      <c r="H1347" s="182" t="s">
        <v>443</v>
      </c>
      <c r="I1347" s="18" t="s">
        <v>2354</v>
      </c>
      <c r="J1347" s="183" t="s">
        <v>657</v>
      </c>
      <c r="K1347" s="8"/>
      <c r="L1347" s="8"/>
      <c r="M1347" s="8"/>
      <c r="N1347" s="8"/>
      <c r="O1347" s="8"/>
      <c r="P1347" s="160"/>
      <c r="Q1347" s="160"/>
      <c r="R1347" s="160"/>
      <c r="S1347" s="160"/>
      <c r="T1347" s="160"/>
      <c r="U1347" s="160"/>
      <c r="V1347" s="160"/>
      <c r="W1347" s="160"/>
      <c r="X1347" s="160"/>
      <c r="Y1347" s="160"/>
      <c r="Z1347" s="160"/>
      <c r="AA1347" s="160"/>
      <c r="AB1347" s="160"/>
    </row>
    <row r="1348">
      <c r="A1348" s="176"/>
      <c r="B1348" s="66"/>
      <c r="C1348" s="181" t="s">
        <v>1609</v>
      </c>
      <c r="D1348" s="27" t="s">
        <v>1621</v>
      </c>
      <c r="E1348" s="62" t="s">
        <v>2334</v>
      </c>
      <c r="F1348" s="62" t="s">
        <v>2335</v>
      </c>
      <c r="G1348" s="22">
        <v>0.625</v>
      </c>
      <c r="H1348" s="62" t="s">
        <v>2306</v>
      </c>
      <c r="I1348" s="62" t="s">
        <v>2355</v>
      </c>
      <c r="J1348" s="62" t="s">
        <v>2337</v>
      </c>
      <c r="K1348" s="39" t="s">
        <v>2356</v>
      </c>
      <c r="L1348" s="8"/>
      <c r="M1348" s="8"/>
      <c r="N1348" s="8"/>
      <c r="O1348" s="8"/>
      <c r="P1348" s="160"/>
      <c r="Q1348" s="160"/>
      <c r="R1348" s="160"/>
      <c r="S1348" s="160"/>
      <c r="T1348" s="160"/>
      <c r="U1348" s="160"/>
      <c r="V1348" s="160"/>
      <c r="W1348" s="160"/>
      <c r="X1348" s="160"/>
      <c r="Y1348" s="160"/>
      <c r="Z1348" s="160"/>
      <c r="AA1348" s="160"/>
      <c r="AB1348" s="160"/>
    </row>
    <row r="1349">
      <c r="A1349" s="176"/>
      <c r="B1349" s="66"/>
      <c r="C1349" s="181" t="s">
        <v>1609</v>
      </c>
      <c r="D1349" s="27" t="s">
        <v>1621</v>
      </c>
      <c r="E1349" s="62" t="s">
        <v>2339</v>
      </c>
      <c r="F1349" s="62" t="s">
        <v>2340</v>
      </c>
      <c r="G1349" s="22">
        <v>0.625</v>
      </c>
      <c r="H1349" s="62" t="s">
        <v>2306</v>
      </c>
      <c r="I1349" s="62" t="s">
        <v>2355</v>
      </c>
      <c r="J1349" s="62" t="s">
        <v>2337</v>
      </c>
      <c r="K1349" s="8"/>
      <c r="L1349" s="8"/>
      <c r="M1349" s="8"/>
      <c r="N1349" s="8"/>
      <c r="O1349" s="8"/>
      <c r="P1349" s="160"/>
      <c r="Q1349" s="160"/>
      <c r="R1349" s="160"/>
      <c r="S1349" s="160"/>
      <c r="T1349" s="160"/>
      <c r="U1349" s="160"/>
      <c r="V1349" s="160"/>
      <c r="W1349" s="160"/>
      <c r="X1349" s="160"/>
      <c r="Y1349" s="160"/>
      <c r="Z1349" s="160"/>
      <c r="AA1349" s="160"/>
      <c r="AB1349" s="160"/>
    </row>
    <row r="1350">
      <c r="A1350" s="176"/>
      <c r="B1350" s="66"/>
      <c r="C1350" s="181" t="s">
        <v>1609</v>
      </c>
      <c r="D1350" s="101"/>
      <c r="E1350" s="61"/>
      <c r="F1350" s="61"/>
      <c r="G1350" s="128"/>
      <c r="H1350" s="39"/>
      <c r="I1350" s="39"/>
      <c r="J1350" s="61"/>
      <c r="K1350" s="8"/>
      <c r="L1350" s="8"/>
      <c r="M1350" s="8"/>
      <c r="N1350" s="8"/>
      <c r="O1350" s="8"/>
      <c r="P1350" s="160"/>
      <c r="Q1350" s="160"/>
      <c r="R1350" s="160"/>
      <c r="S1350" s="160"/>
      <c r="T1350" s="160"/>
      <c r="U1350" s="160"/>
      <c r="V1350" s="160"/>
      <c r="W1350" s="160"/>
      <c r="X1350" s="160"/>
      <c r="Y1350" s="160"/>
      <c r="Z1350" s="160"/>
      <c r="AA1350" s="160"/>
      <c r="AB1350" s="160"/>
    </row>
    <row r="1351">
      <c r="A1351" s="176"/>
      <c r="B1351" s="66"/>
      <c r="C1351" s="181" t="s">
        <v>1609</v>
      </c>
      <c r="D1351" s="101"/>
      <c r="E1351" s="61"/>
      <c r="F1351" s="61"/>
      <c r="G1351" s="128"/>
      <c r="H1351" s="39"/>
      <c r="I1351" s="39"/>
      <c r="J1351" s="61"/>
      <c r="K1351" s="8"/>
      <c r="L1351" s="8"/>
      <c r="M1351" s="8"/>
      <c r="N1351" s="8"/>
      <c r="O1351" s="8"/>
      <c r="P1351" s="160"/>
      <c r="Q1351" s="160"/>
      <c r="R1351" s="160"/>
      <c r="S1351" s="160"/>
      <c r="T1351" s="160"/>
      <c r="U1351" s="160"/>
      <c r="V1351" s="160"/>
      <c r="W1351" s="160"/>
      <c r="X1351" s="160"/>
      <c r="Y1351" s="160"/>
      <c r="Z1351" s="160"/>
      <c r="AA1351" s="160"/>
      <c r="AB1351" s="160"/>
    </row>
    <row r="1352">
      <c r="A1352" s="176"/>
      <c r="B1352" s="67"/>
      <c r="C1352" s="181" t="s">
        <v>1609</v>
      </c>
      <c r="D1352" s="101"/>
      <c r="E1352" s="61"/>
      <c r="F1352" s="61"/>
      <c r="G1352" s="128"/>
      <c r="H1352" s="39"/>
      <c r="I1352" s="39"/>
      <c r="J1352" s="61"/>
      <c r="K1352" s="8"/>
      <c r="L1352" s="8"/>
      <c r="M1352" s="8"/>
      <c r="N1352" s="8"/>
      <c r="O1352" s="8"/>
      <c r="P1352" s="160"/>
      <c r="Q1352" s="160"/>
      <c r="R1352" s="160"/>
      <c r="S1352" s="160"/>
      <c r="T1352" s="160"/>
      <c r="U1352" s="160"/>
      <c r="V1352" s="160"/>
      <c r="W1352" s="160"/>
      <c r="X1352" s="160"/>
      <c r="Y1352" s="160"/>
      <c r="Z1352" s="160"/>
      <c r="AA1352" s="160"/>
      <c r="AB1352" s="160"/>
    </row>
    <row r="1353">
      <c r="A1353" s="176"/>
      <c r="B1353" s="179"/>
      <c r="C1353" s="184">
        <v>44573.0</v>
      </c>
      <c r="D1353" s="101"/>
      <c r="E1353" s="200" t="s">
        <v>2203</v>
      </c>
      <c r="F1353" s="11"/>
      <c r="G1353" s="128"/>
      <c r="H1353" s="39"/>
      <c r="I1353" s="39"/>
      <c r="J1353" s="61"/>
      <c r="K1353" s="8"/>
      <c r="L1353" s="8"/>
      <c r="M1353" s="8"/>
      <c r="N1353" s="8"/>
      <c r="O1353" s="8"/>
      <c r="P1353" s="160"/>
      <c r="Q1353" s="160"/>
      <c r="R1353" s="160"/>
      <c r="S1353" s="160"/>
      <c r="T1353" s="160"/>
      <c r="U1353" s="160"/>
      <c r="V1353" s="160"/>
      <c r="W1353" s="160"/>
      <c r="X1353" s="160"/>
      <c r="Y1353" s="160"/>
      <c r="Z1353" s="160"/>
      <c r="AA1353" s="160"/>
      <c r="AB1353" s="160"/>
    </row>
    <row r="1354">
      <c r="A1354" s="176"/>
      <c r="B1354" s="185" t="s">
        <v>1450</v>
      </c>
      <c r="C1354" s="181" t="s">
        <v>1609</v>
      </c>
      <c r="D1354" s="27" t="s">
        <v>819</v>
      </c>
      <c r="E1354" s="62" t="s">
        <v>2357</v>
      </c>
      <c r="F1354" s="62" t="s">
        <v>2358</v>
      </c>
      <c r="G1354" s="22">
        <v>0.4583333333333333</v>
      </c>
      <c r="H1354" s="18" t="s">
        <v>35</v>
      </c>
      <c r="I1354" s="18" t="s">
        <v>2359</v>
      </c>
      <c r="J1354" s="162" t="s">
        <v>2360</v>
      </c>
      <c r="K1354" s="8"/>
      <c r="L1354" s="8"/>
      <c r="M1354" s="8"/>
      <c r="N1354" s="8"/>
      <c r="O1354" s="8"/>
      <c r="P1354" s="160"/>
      <c r="Q1354" s="160"/>
      <c r="R1354" s="160"/>
      <c r="S1354" s="160"/>
      <c r="T1354" s="160"/>
      <c r="U1354" s="160"/>
      <c r="V1354" s="160"/>
      <c r="W1354" s="160"/>
      <c r="X1354" s="160"/>
      <c r="Y1354" s="160"/>
      <c r="Z1354" s="160"/>
      <c r="AA1354" s="160"/>
      <c r="AB1354" s="160"/>
    </row>
    <row r="1355">
      <c r="A1355" s="176"/>
      <c r="B1355" s="66"/>
      <c r="C1355" s="181" t="s">
        <v>1609</v>
      </c>
      <c r="D1355" s="145" t="s">
        <v>819</v>
      </c>
      <c r="E1355" s="144" t="s">
        <v>1437</v>
      </c>
      <c r="F1355" s="144" t="s">
        <v>1438</v>
      </c>
      <c r="G1355" s="22">
        <v>0.5</v>
      </c>
      <c r="H1355" s="18" t="s">
        <v>35</v>
      </c>
      <c r="I1355" s="18" t="s">
        <v>2361</v>
      </c>
      <c r="J1355" s="144" t="s">
        <v>1441</v>
      </c>
      <c r="K1355" s="8"/>
      <c r="L1355" s="8"/>
      <c r="M1355" s="8"/>
      <c r="N1355" s="8"/>
      <c r="O1355" s="8"/>
      <c r="P1355" s="160"/>
      <c r="Q1355" s="160"/>
      <c r="R1355" s="160"/>
      <c r="S1355" s="160"/>
      <c r="T1355" s="160"/>
      <c r="U1355" s="160"/>
      <c r="V1355" s="160"/>
      <c r="W1355" s="160"/>
      <c r="X1355" s="160"/>
      <c r="Y1355" s="160"/>
      <c r="Z1355" s="160"/>
      <c r="AA1355" s="160"/>
      <c r="AB1355" s="160"/>
    </row>
    <row r="1356">
      <c r="A1356" s="176"/>
      <c r="B1356" s="66"/>
      <c r="C1356" s="181" t="s">
        <v>1609</v>
      </c>
      <c r="D1356" s="145" t="s">
        <v>1791</v>
      </c>
      <c r="E1356" s="144" t="s">
        <v>2175</v>
      </c>
      <c r="F1356" s="144" t="s">
        <v>2176</v>
      </c>
      <c r="G1356" s="22">
        <v>0.5416666666666666</v>
      </c>
      <c r="H1356" s="18" t="s">
        <v>35</v>
      </c>
      <c r="I1356" s="18" t="s">
        <v>2361</v>
      </c>
      <c r="J1356" s="145" t="s">
        <v>2362</v>
      </c>
      <c r="K1356" s="8"/>
      <c r="L1356" s="8"/>
      <c r="M1356" s="8"/>
      <c r="N1356" s="8"/>
      <c r="O1356" s="8"/>
      <c r="P1356" s="160"/>
      <c r="Q1356" s="160"/>
      <c r="R1356" s="160"/>
      <c r="S1356" s="160"/>
      <c r="T1356" s="160"/>
      <c r="U1356" s="160"/>
      <c r="V1356" s="160"/>
      <c r="W1356" s="160"/>
      <c r="X1356" s="160"/>
      <c r="Y1356" s="160"/>
      <c r="Z1356" s="160"/>
      <c r="AA1356" s="160"/>
      <c r="AB1356" s="160"/>
    </row>
    <row r="1357">
      <c r="A1357" s="176"/>
      <c r="B1357" s="66"/>
      <c r="C1357" s="181" t="s">
        <v>1609</v>
      </c>
      <c r="D1357" s="48" t="s">
        <v>1621</v>
      </c>
      <c r="E1357" s="73" t="s">
        <v>2363</v>
      </c>
      <c r="F1357" s="73" t="s">
        <v>2364</v>
      </c>
      <c r="G1357" s="43">
        <v>0.625</v>
      </c>
      <c r="H1357" s="73" t="s">
        <v>1311</v>
      </c>
      <c r="I1357" s="73" t="s">
        <v>2365</v>
      </c>
      <c r="J1357" s="155" t="s">
        <v>2366</v>
      </c>
      <c r="K1357" s="39" t="s">
        <v>2367</v>
      </c>
      <c r="L1357" s="8"/>
      <c r="M1357" s="8"/>
      <c r="N1357" s="8"/>
      <c r="O1357" s="8"/>
      <c r="P1357" s="160"/>
      <c r="Q1357" s="160"/>
      <c r="R1357" s="160"/>
      <c r="S1357" s="160"/>
      <c r="T1357" s="160"/>
      <c r="U1357" s="160"/>
      <c r="V1357" s="160"/>
      <c r="W1357" s="160"/>
      <c r="X1357" s="160"/>
      <c r="Y1357" s="160"/>
      <c r="Z1357" s="160"/>
      <c r="AA1357" s="160"/>
      <c r="AB1357" s="160"/>
    </row>
    <row r="1358">
      <c r="A1358" s="176"/>
      <c r="B1358" s="66"/>
      <c r="C1358" s="181" t="s">
        <v>1609</v>
      </c>
      <c r="D1358" s="101"/>
      <c r="E1358" s="61"/>
      <c r="F1358" s="61"/>
      <c r="G1358" s="128"/>
      <c r="H1358" s="39"/>
      <c r="I1358" s="39"/>
      <c r="J1358" s="61"/>
      <c r="K1358" s="8"/>
      <c r="L1358" s="8"/>
      <c r="M1358" s="8"/>
      <c r="N1358" s="8"/>
      <c r="O1358" s="8"/>
      <c r="P1358" s="160"/>
      <c r="Q1358" s="160"/>
      <c r="R1358" s="160"/>
      <c r="S1358" s="160"/>
      <c r="T1358" s="160"/>
      <c r="U1358" s="160"/>
      <c r="V1358" s="160"/>
      <c r="W1358" s="160"/>
      <c r="X1358" s="160"/>
      <c r="Y1358" s="160"/>
      <c r="Z1358" s="160"/>
      <c r="AA1358" s="160"/>
      <c r="AB1358" s="160"/>
    </row>
    <row r="1359">
      <c r="A1359" s="176"/>
      <c r="B1359" s="67"/>
      <c r="C1359" s="181" t="s">
        <v>1609</v>
      </c>
      <c r="D1359" s="101"/>
      <c r="E1359" s="61"/>
      <c r="F1359" s="61"/>
      <c r="G1359" s="128"/>
      <c r="H1359" s="39"/>
      <c r="I1359" s="39"/>
      <c r="J1359" s="61"/>
      <c r="K1359" s="8"/>
      <c r="L1359" s="8"/>
      <c r="M1359" s="8"/>
      <c r="N1359" s="8"/>
      <c r="O1359" s="8"/>
      <c r="P1359" s="160"/>
      <c r="Q1359" s="160"/>
      <c r="R1359" s="160"/>
      <c r="S1359" s="160"/>
      <c r="T1359" s="160"/>
      <c r="U1359" s="160"/>
      <c r="V1359" s="160"/>
      <c r="W1359" s="160"/>
      <c r="X1359" s="160"/>
      <c r="Y1359" s="160"/>
      <c r="Z1359" s="160"/>
      <c r="AA1359" s="160"/>
      <c r="AB1359" s="160"/>
    </row>
    <row r="1360">
      <c r="A1360" s="176"/>
      <c r="B1360" s="179"/>
      <c r="C1360" s="184">
        <v>44574.0</v>
      </c>
      <c r="D1360" s="101"/>
      <c r="E1360" s="200" t="s">
        <v>2203</v>
      </c>
      <c r="F1360" s="11"/>
      <c r="G1360" s="128"/>
      <c r="H1360" s="39"/>
      <c r="I1360" s="39"/>
      <c r="J1360" s="61"/>
      <c r="K1360" s="8"/>
      <c r="L1360" s="8"/>
      <c r="M1360" s="8"/>
      <c r="N1360" s="8"/>
      <c r="O1360" s="8"/>
      <c r="P1360" s="160"/>
      <c r="Q1360" s="160"/>
      <c r="R1360" s="160"/>
      <c r="S1360" s="160"/>
      <c r="T1360" s="160"/>
      <c r="U1360" s="160"/>
      <c r="V1360" s="160"/>
      <c r="W1360" s="160"/>
      <c r="X1360" s="160"/>
      <c r="Y1360" s="160"/>
      <c r="Z1360" s="160"/>
      <c r="AA1360" s="160"/>
      <c r="AB1360" s="160"/>
    </row>
    <row r="1361">
      <c r="A1361" s="176"/>
      <c r="B1361" s="185" t="s">
        <v>1450</v>
      </c>
      <c r="C1361" s="181" t="s">
        <v>1609</v>
      </c>
      <c r="D1361" s="27" t="s">
        <v>819</v>
      </c>
      <c r="E1361" s="162" t="s">
        <v>2368</v>
      </c>
      <c r="F1361" s="162" t="s">
        <v>2369</v>
      </c>
      <c r="G1361" s="22">
        <v>0.4583333333333333</v>
      </c>
      <c r="H1361" s="18" t="s">
        <v>87</v>
      </c>
      <c r="I1361" s="145" t="s">
        <v>2370</v>
      </c>
      <c r="J1361" s="162" t="s">
        <v>2371</v>
      </c>
      <c r="K1361" s="8"/>
      <c r="L1361" s="8"/>
      <c r="M1361" s="8"/>
      <c r="N1361" s="8"/>
      <c r="O1361" s="8"/>
      <c r="P1361" s="160"/>
      <c r="Q1361" s="160"/>
      <c r="R1361" s="160"/>
      <c r="S1361" s="160"/>
      <c r="T1361" s="160"/>
      <c r="U1361" s="160"/>
      <c r="V1361" s="160"/>
      <c r="W1361" s="160"/>
      <c r="X1361" s="160"/>
      <c r="Y1361" s="160"/>
      <c r="Z1361" s="160"/>
      <c r="AA1361" s="160"/>
      <c r="AB1361" s="160"/>
    </row>
    <row r="1362">
      <c r="A1362" s="176"/>
      <c r="B1362" s="66"/>
      <c r="C1362" s="181" t="s">
        <v>1609</v>
      </c>
      <c r="D1362" s="27" t="s">
        <v>1715</v>
      </c>
      <c r="E1362" s="15" t="s">
        <v>2349</v>
      </c>
      <c r="F1362" s="15" t="s">
        <v>2350</v>
      </c>
      <c r="G1362" s="76" t="s">
        <v>575</v>
      </c>
      <c r="H1362" s="114" t="s">
        <v>72</v>
      </c>
      <c r="I1362" s="18" t="s">
        <v>2351</v>
      </c>
      <c r="J1362" s="75" t="s">
        <v>2352</v>
      </c>
      <c r="K1362" s="8"/>
      <c r="L1362" s="8"/>
      <c r="M1362" s="8"/>
      <c r="N1362" s="8"/>
      <c r="O1362" s="8"/>
      <c r="P1362" s="160"/>
      <c r="Q1362" s="160"/>
      <c r="R1362" s="160"/>
      <c r="S1362" s="160"/>
      <c r="T1362" s="160"/>
      <c r="U1362" s="160"/>
      <c r="V1362" s="160"/>
      <c r="W1362" s="160"/>
      <c r="X1362" s="160"/>
      <c r="Y1362" s="160"/>
      <c r="Z1362" s="160"/>
      <c r="AA1362" s="160"/>
      <c r="AB1362" s="160"/>
    </row>
    <row r="1363">
      <c r="A1363" s="176"/>
      <c r="B1363" s="66"/>
      <c r="C1363" s="181" t="s">
        <v>1609</v>
      </c>
      <c r="D1363" s="27" t="s">
        <v>1715</v>
      </c>
      <c r="E1363" s="62" t="s">
        <v>2345</v>
      </c>
      <c r="F1363" s="62" t="s">
        <v>2346</v>
      </c>
      <c r="G1363" s="76" t="s">
        <v>298</v>
      </c>
      <c r="H1363" s="114" t="s">
        <v>72</v>
      </c>
      <c r="I1363" s="18" t="s">
        <v>2347</v>
      </c>
      <c r="J1363" s="75" t="s">
        <v>2348</v>
      </c>
      <c r="K1363" s="39" t="s">
        <v>1807</v>
      </c>
      <c r="L1363" s="8"/>
      <c r="M1363" s="8"/>
      <c r="N1363" s="8"/>
      <c r="O1363" s="8"/>
      <c r="P1363" s="160"/>
      <c r="Q1363" s="160"/>
      <c r="R1363" s="160"/>
      <c r="S1363" s="160"/>
      <c r="T1363" s="160"/>
      <c r="U1363" s="160"/>
      <c r="V1363" s="160"/>
      <c r="W1363" s="160"/>
      <c r="X1363" s="160"/>
      <c r="Y1363" s="160"/>
      <c r="Z1363" s="160"/>
      <c r="AA1363" s="160"/>
      <c r="AB1363" s="160"/>
    </row>
    <row r="1364">
      <c r="A1364" s="176"/>
      <c r="B1364" s="66"/>
      <c r="C1364" s="181" t="s">
        <v>1609</v>
      </c>
      <c r="D1364" s="101"/>
      <c r="E1364" s="61"/>
      <c r="F1364" s="61"/>
      <c r="G1364" s="128"/>
      <c r="H1364" s="39"/>
      <c r="I1364" s="39"/>
      <c r="J1364" s="61"/>
      <c r="K1364" s="8"/>
      <c r="L1364" s="8"/>
      <c r="M1364" s="8"/>
      <c r="N1364" s="8"/>
      <c r="O1364" s="8"/>
      <c r="P1364" s="160"/>
      <c r="Q1364" s="160"/>
      <c r="R1364" s="160"/>
      <c r="S1364" s="160"/>
      <c r="T1364" s="160"/>
      <c r="U1364" s="160"/>
      <c r="V1364" s="160"/>
      <c r="W1364" s="160"/>
      <c r="X1364" s="160"/>
      <c r="Y1364" s="160"/>
      <c r="Z1364" s="160"/>
      <c r="AA1364" s="160"/>
      <c r="AB1364" s="160"/>
    </row>
    <row r="1365">
      <c r="A1365" s="176"/>
      <c r="B1365" s="66"/>
      <c r="C1365" s="181" t="s">
        <v>1609</v>
      </c>
      <c r="D1365" s="101"/>
      <c r="E1365" s="61"/>
      <c r="F1365" s="61"/>
      <c r="G1365" s="128"/>
      <c r="H1365" s="39"/>
      <c r="I1365" s="39"/>
      <c r="J1365" s="61"/>
      <c r="K1365" s="8"/>
      <c r="L1365" s="8"/>
      <c r="M1365" s="8"/>
      <c r="N1365" s="8"/>
      <c r="O1365" s="8"/>
      <c r="P1365" s="160"/>
      <c r="Q1365" s="160"/>
      <c r="R1365" s="160"/>
      <c r="S1365" s="160"/>
      <c r="T1365" s="160"/>
      <c r="U1365" s="160"/>
      <c r="V1365" s="160"/>
      <c r="W1365" s="160"/>
      <c r="X1365" s="160"/>
      <c r="Y1365" s="160"/>
      <c r="Z1365" s="160"/>
      <c r="AA1365" s="160"/>
      <c r="AB1365" s="160"/>
    </row>
    <row r="1366">
      <c r="A1366" s="176"/>
      <c r="B1366" s="66"/>
      <c r="C1366" s="181" t="s">
        <v>1609</v>
      </c>
      <c r="D1366" s="101"/>
      <c r="E1366" s="61"/>
      <c r="F1366" s="61"/>
      <c r="G1366" s="128"/>
      <c r="H1366" s="39"/>
      <c r="I1366" s="39"/>
      <c r="J1366" s="61"/>
      <c r="K1366" s="8"/>
      <c r="L1366" s="8"/>
      <c r="M1366" s="8"/>
      <c r="N1366" s="8"/>
      <c r="O1366" s="8"/>
      <c r="P1366" s="160"/>
      <c r="Q1366" s="160"/>
      <c r="R1366" s="160"/>
      <c r="S1366" s="160"/>
      <c r="T1366" s="160"/>
      <c r="U1366" s="160"/>
      <c r="V1366" s="160"/>
      <c r="W1366" s="160"/>
      <c r="X1366" s="160"/>
      <c r="Y1366" s="160"/>
      <c r="Z1366" s="160"/>
      <c r="AA1366" s="160"/>
      <c r="AB1366" s="160"/>
    </row>
    <row r="1367">
      <c r="A1367" s="176"/>
      <c r="B1367" s="67"/>
      <c r="C1367" s="181" t="s">
        <v>1609</v>
      </c>
      <c r="D1367" s="101"/>
      <c r="E1367" s="61"/>
      <c r="F1367" s="61"/>
      <c r="G1367" s="128"/>
      <c r="H1367" s="39"/>
      <c r="I1367" s="39"/>
      <c r="J1367" s="61"/>
      <c r="K1367" s="8"/>
      <c r="L1367" s="8"/>
      <c r="M1367" s="8"/>
      <c r="N1367" s="8"/>
      <c r="O1367" s="8"/>
      <c r="P1367" s="160"/>
      <c r="Q1367" s="160"/>
      <c r="R1367" s="160"/>
      <c r="S1367" s="160"/>
      <c r="T1367" s="160"/>
      <c r="U1367" s="160"/>
      <c r="V1367" s="160"/>
      <c r="W1367" s="160"/>
      <c r="X1367" s="160"/>
      <c r="Y1367" s="160"/>
      <c r="Z1367" s="160"/>
      <c r="AA1367" s="160"/>
      <c r="AB1367" s="160"/>
    </row>
    <row r="1368">
      <c r="A1368" s="176"/>
      <c r="B1368" s="179"/>
      <c r="C1368" s="184">
        <v>44575.0</v>
      </c>
      <c r="D1368" s="101"/>
      <c r="E1368" s="61"/>
      <c r="F1368" s="61"/>
      <c r="G1368" s="128"/>
      <c r="H1368" s="39"/>
      <c r="I1368" s="39"/>
      <c r="J1368" s="61"/>
      <c r="K1368" s="8"/>
      <c r="L1368" s="8"/>
      <c r="M1368" s="8"/>
      <c r="N1368" s="8"/>
      <c r="O1368" s="8"/>
      <c r="P1368" s="160"/>
      <c r="Q1368" s="160"/>
      <c r="R1368" s="160"/>
      <c r="S1368" s="160"/>
      <c r="T1368" s="160"/>
      <c r="U1368" s="160"/>
      <c r="V1368" s="160"/>
      <c r="W1368" s="160"/>
      <c r="X1368" s="160"/>
      <c r="Y1368" s="160"/>
      <c r="Z1368" s="160"/>
      <c r="AA1368" s="160"/>
      <c r="AB1368" s="160"/>
    </row>
    <row r="1369">
      <c r="A1369" s="176"/>
      <c r="B1369" s="185" t="s">
        <v>1450</v>
      </c>
      <c r="C1369" s="181" t="s">
        <v>1609</v>
      </c>
      <c r="D1369" s="101"/>
      <c r="E1369" s="178" t="s">
        <v>1708</v>
      </c>
      <c r="F1369" s="52"/>
      <c r="G1369" s="128"/>
      <c r="H1369" s="39"/>
      <c r="I1369" s="39"/>
      <c r="J1369" s="61"/>
      <c r="K1369" s="8"/>
      <c r="L1369" s="8"/>
      <c r="M1369" s="8"/>
      <c r="N1369" s="8"/>
      <c r="O1369" s="8"/>
      <c r="P1369" s="160"/>
      <c r="Q1369" s="160"/>
      <c r="R1369" s="160"/>
      <c r="S1369" s="160"/>
      <c r="T1369" s="160"/>
      <c r="U1369" s="160"/>
      <c r="V1369" s="160"/>
      <c r="W1369" s="160"/>
      <c r="X1369" s="160"/>
      <c r="Y1369" s="160"/>
      <c r="Z1369" s="160"/>
      <c r="AA1369" s="160"/>
      <c r="AB1369" s="160"/>
    </row>
    <row r="1370">
      <c r="A1370" s="176"/>
      <c r="B1370" s="66"/>
      <c r="C1370" s="181" t="s">
        <v>1609</v>
      </c>
      <c r="D1370" s="101"/>
      <c r="E1370" s="53"/>
      <c r="F1370" s="54"/>
      <c r="G1370" s="128"/>
      <c r="H1370" s="39"/>
      <c r="I1370" s="39"/>
      <c r="J1370" s="61"/>
      <c r="K1370" s="8"/>
      <c r="L1370" s="8"/>
      <c r="M1370" s="8"/>
      <c r="N1370" s="8"/>
      <c r="O1370" s="8"/>
      <c r="P1370" s="160"/>
      <c r="Q1370" s="160"/>
      <c r="R1370" s="160"/>
      <c r="S1370" s="160"/>
      <c r="T1370" s="160"/>
      <c r="U1370" s="160"/>
      <c r="V1370" s="160"/>
      <c r="W1370" s="160"/>
      <c r="X1370" s="160"/>
      <c r="Y1370" s="160"/>
      <c r="Z1370" s="160"/>
      <c r="AA1370" s="160"/>
      <c r="AB1370" s="160"/>
    </row>
    <row r="1371">
      <c r="A1371" s="176"/>
      <c r="B1371" s="66"/>
      <c r="C1371" s="181" t="s">
        <v>1609</v>
      </c>
      <c r="D1371" s="101"/>
      <c r="E1371" s="55"/>
      <c r="F1371" s="57"/>
      <c r="G1371" s="128"/>
      <c r="H1371" s="39"/>
      <c r="I1371" s="39"/>
      <c r="J1371" s="61"/>
      <c r="K1371" s="8"/>
      <c r="L1371" s="8"/>
      <c r="M1371" s="8"/>
      <c r="N1371" s="8"/>
      <c r="O1371" s="8"/>
      <c r="P1371" s="160"/>
      <c r="Q1371" s="160"/>
      <c r="R1371" s="160"/>
      <c r="S1371" s="160"/>
      <c r="T1371" s="160"/>
      <c r="U1371" s="160"/>
      <c r="V1371" s="160"/>
      <c r="W1371" s="160"/>
      <c r="X1371" s="160"/>
      <c r="Y1371" s="160"/>
      <c r="Z1371" s="160"/>
      <c r="AA1371" s="160"/>
      <c r="AB1371" s="160"/>
    </row>
    <row r="1372">
      <c r="A1372" s="176"/>
      <c r="B1372" s="66"/>
      <c r="C1372" s="181" t="s">
        <v>1609</v>
      </c>
      <c r="D1372" s="101"/>
      <c r="E1372" s="61"/>
      <c r="F1372" s="61"/>
      <c r="G1372" s="128"/>
      <c r="H1372" s="39"/>
      <c r="I1372" s="39"/>
      <c r="J1372" s="61"/>
      <c r="K1372" s="8"/>
      <c r="L1372" s="8"/>
      <c r="M1372" s="8"/>
      <c r="N1372" s="8"/>
      <c r="O1372" s="8"/>
      <c r="P1372" s="160"/>
      <c r="Q1372" s="160"/>
      <c r="R1372" s="160"/>
      <c r="S1372" s="160"/>
      <c r="T1372" s="160"/>
      <c r="U1372" s="160"/>
      <c r="V1372" s="160"/>
      <c r="W1372" s="160"/>
      <c r="X1372" s="160"/>
      <c r="Y1372" s="160"/>
      <c r="Z1372" s="160"/>
      <c r="AA1372" s="160"/>
      <c r="AB1372" s="160"/>
    </row>
    <row r="1373">
      <c r="A1373" s="176"/>
      <c r="B1373" s="66"/>
      <c r="C1373" s="181" t="s">
        <v>1609</v>
      </c>
      <c r="D1373" s="101"/>
      <c r="E1373" s="61"/>
      <c r="F1373" s="61"/>
      <c r="G1373" s="128"/>
      <c r="H1373" s="39"/>
      <c r="I1373" s="39"/>
      <c r="J1373" s="61"/>
      <c r="K1373" s="8"/>
      <c r="L1373" s="8"/>
      <c r="M1373" s="8"/>
      <c r="N1373" s="8"/>
      <c r="O1373" s="8"/>
      <c r="P1373" s="160"/>
      <c r="Q1373" s="160"/>
      <c r="R1373" s="160"/>
      <c r="S1373" s="160"/>
      <c r="T1373" s="160"/>
      <c r="U1373" s="160"/>
      <c r="V1373" s="160"/>
      <c r="W1373" s="160"/>
      <c r="X1373" s="160"/>
      <c r="Y1373" s="160"/>
      <c r="Z1373" s="160"/>
      <c r="AA1373" s="160"/>
      <c r="AB1373" s="160"/>
    </row>
    <row r="1374">
      <c r="A1374" s="176"/>
      <c r="B1374" s="66"/>
      <c r="C1374" s="181" t="s">
        <v>1609</v>
      </c>
      <c r="D1374" s="101"/>
      <c r="E1374" s="61"/>
      <c r="F1374" s="61"/>
      <c r="G1374" s="128"/>
      <c r="H1374" s="39"/>
      <c r="I1374" s="39"/>
      <c r="J1374" s="61"/>
      <c r="K1374" s="8"/>
      <c r="L1374" s="8"/>
      <c r="M1374" s="8"/>
      <c r="N1374" s="8"/>
      <c r="O1374" s="8"/>
      <c r="P1374" s="160"/>
      <c r="Q1374" s="160"/>
      <c r="R1374" s="160"/>
      <c r="S1374" s="160"/>
      <c r="T1374" s="160"/>
      <c r="U1374" s="160"/>
      <c r="V1374" s="160"/>
      <c r="W1374" s="160"/>
      <c r="X1374" s="160"/>
      <c r="Y1374" s="160"/>
      <c r="Z1374" s="160"/>
      <c r="AA1374" s="160"/>
      <c r="AB1374" s="160"/>
    </row>
    <row r="1375">
      <c r="A1375" s="176"/>
      <c r="B1375" s="67"/>
      <c r="C1375" s="181" t="s">
        <v>1609</v>
      </c>
      <c r="D1375" s="101"/>
      <c r="E1375" s="61"/>
      <c r="F1375" s="61"/>
      <c r="G1375" s="128"/>
      <c r="H1375" s="39"/>
      <c r="I1375" s="39"/>
      <c r="J1375" s="61"/>
      <c r="K1375" s="8"/>
      <c r="L1375" s="8"/>
      <c r="M1375" s="8"/>
      <c r="N1375" s="8"/>
      <c r="O1375" s="8"/>
      <c r="P1375" s="160"/>
      <c r="Q1375" s="160"/>
      <c r="R1375" s="160"/>
      <c r="S1375" s="160"/>
      <c r="T1375" s="160"/>
      <c r="U1375" s="160"/>
      <c r="V1375" s="160"/>
      <c r="W1375" s="160"/>
      <c r="X1375" s="160"/>
      <c r="Y1375" s="160"/>
      <c r="Z1375" s="160"/>
      <c r="AA1375" s="160"/>
      <c r="AB1375" s="160"/>
    </row>
    <row r="1376">
      <c r="A1376" s="176"/>
      <c r="B1376" s="179"/>
      <c r="C1376" s="184">
        <v>44578.0</v>
      </c>
      <c r="D1376" s="101"/>
      <c r="E1376" s="61"/>
      <c r="F1376" s="61"/>
      <c r="G1376" s="128"/>
      <c r="H1376" s="39"/>
      <c r="I1376" s="39"/>
      <c r="J1376" s="61"/>
      <c r="K1376" s="8"/>
      <c r="L1376" s="8"/>
      <c r="M1376" s="8"/>
      <c r="N1376" s="8"/>
      <c r="O1376" s="8"/>
      <c r="P1376" s="160"/>
      <c r="Q1376" s="160"/>
      <c r="R1376" s="160"/>
      <c r="S1376" s="160"/>
      <c r="T1376" s="160"/>
      <c r="U1376" s="160"/>
      <c r="V1376" s="160"/>
      <c r="W1376" s="160"/>
      <c r="X1376" s="160"/>
      <c r="Y1376" s="160"/>
      <c r="Z1376" s="160"/>
      <c r="AA1376" s="160"/>
      <c r="AB1376" s="160"/>
    </row>
    <row r="1377">
      <c r="A1377" s="176"/>
      <c r="B1377" s="185" t="s">
        <v>1450</v>
      </c>
      <c r="C1377" s="181" t="s">
        <v>1609</v>
      </c>
      <c r="D1377" s="101"/>
      <c r="E1377" s="61"/>
      <c r="F1377" s="61"/>
      <c r="G1377" s="128"/>
      <c r="H1377" s="39"/>
      <c r="I1377" s="39"/>
      <c r="J1377" s="61"/>
      <c r="K1377" s="8"/>
      <c r="L1377" s="8"/>
      <c r="M1377" s="8"/>
      <c r="N1377" s="8"/>
      <c r="O1377" s="8"/>
      <c r="P1377" s="160"/>
      <c r="Q1377" s="160"/>
      <c r="R1377" s="160"/>
      <c r="S1377" s="160"/>
      <c r="T1377" s="160"/>
      <c r="U1377" s="160"/>
      <c r="V1377" s="160"/>
      <c r="W1377" s="160"/>
      <c r="X1377" s="160"/>
      <c r="Y1377" s="160"/>
      <c r="Z1377" s="160"/>
      <c r="AA1377" s="160"/>
      <c r="AB1377" s="160"/>
    </row>
    <row r="1378">
      <c r="A1378" s="176"/>
      <c r="B1378" s="66"/>
      <c r="C1378" s="181" t="s">
        <v>1609</v>
      </c>
      <c r="D1378" s="101"/>
      <c r="E1378" s="178" t="s">
        <v>1708</v>
      </c>
      <c r="F1378" s="52"/>
      <c r="G1378" s="128"/>
      <c r="H1378" s="39"/>
      <c r="I1378" s="39"/>
      <c r="J1378" s="61"/>
      <c r="K1378" s="8"/>
      <c r="L1378" s="8"/>
      <c r="M1378" s="8"/>
      <c r="N1378" s="8"/>
      <c r="O1378" s="8"/>
      <c r="P1378" s="160"/>
      <c r="Q1378" s="160"/>
      <c r="R1378" s="160"/>
      <c r="S1378" s="160"/>
      <c r="T1378" s="160"/>
      <c r="U1378" s="160"/>
      <c r="V1378" s="160"/>
      <c r="W1378" s="160"/>
      <c r="X1378" s="160"/>
      <c r="Y1378" s="160"/>
      <c r="Z1378" s="160"/>
      <c r="AA1378" s="160"/>
      <c r="AB1378" s="160"/>
    </row>
    <row r="1379">
      <c r="A1379" s="176"/>
      <c r="B1379" s="66"/>
      <c r="C1379" s="181" t="s">
        <v>1609</v>
      </c>
      <c r="D1379" s="101"/>
      <c r="E1379" s="53"/>
      <c r="F1379" s="54"/>
      <c r="G1379" s="128"/>
      <c r="H1379" s="39"/>
      <c r="I1379" s="39"/>
      <c r="J1379" s="61"/>
      <c r="K1379" s="8"/>
      <c r="L1379" s="8"/>
      <c r="M1379" s="8"/>
      <c r="N1379" s="8"/>
      <c r="O1379" s="8"/>
      <c r="P1379" s="160"/>
      <c r="Q1379" s="160"/>
      <c r="R1379" s="160"/>
      <c r="S1379" s="160"/>
      <c r="T1379" s="160"/>
      <c r="U1379" s="160"/>
      <c r="V1379" s="160"/>
      <c r="W1379" s="160"/>
      <c r="X1379" s="160"/>
      <c r="Y1379" s="160"/>
      <c r="Z1379" s="160"/>
      <c r="AA1379" s="160"/>
      <c r="AB1379" s="160"/>
    </row>
    <row r="1380">
      <c r="A1380" s="176"/>
      <c r="B1380" s="66"/>
      <c r="C1380" s="181" t="s">
        <v>1609</v>
      </c>
      <c r="D1380" s="101"/>
      <c r="E1380" s="55"/>
      <c r="F1380" s="57"/>
      <c r="G1380" s="128"/>
      <c r="H1380" s="39"/>
      <c r="I1380" s="39"/>
      <c r="J1380" s="61"/>
      <c r="K1380" s="8"/>
      <c r="L1380" s="8"/>
      <c r="M1380" s="8"/>
      <c r="N1380" s="8"/>
      <c r="O1380" s="8"/>
      <c r="P1380" s="160"/>
      <c r="Q1380" s="160"/>
      <c r="R1380" s="160"/>
      <c r="S1380" s="160"/>
      <c r="T1380" s="160"/>
      <c r="U1380" s="160"/>
      <c r="V1380" s="160"/>
      <c r="W1380" s="160"/>
      <c r="X1380" s="160"/>
      <c r="Y1380" s="160"/>
      <c r="Z1380" s="160"/>
      <c r="AA1380" s="160"/>
      <c r="AB1380" s="160"/>
    </row>
    <row r="1381">
      <c r="A1381" s="176"/>
      <c r="B1381" s="66"/>
      <c r="C1381" s="181" t="s">
        <v>1609</v>
      </c>
      <c r="D1381" s="101"/>
      <c r="E1381" s="61"/>
      <c r="F1381" s="61"/>
      <c r="G1381" s="128"/>
      <c r="H1381" s="39"/>
      <c r="I1381" s="39"/>
      <c r="J1381" s="61"/>
      <c r="K1381" s="8"/>
      <c r="L1381" s="8"/>
      <c r="M1381" s="8"/>
      <c r="N1381" s="8"/>
      <c r="O1381" s="8"/>
      <c r="P1381" s="160"/>
      <c r="Q1381" s="160"/>
      <c r="R1381" s="160"/>
      <c r="S1381" s="160"/>
      <c r="T1381" s="160"/>
      <c r="U1381" s="160"/>
      <c r="V1381" s="160"/>
      <c r="W1381" s="160"/>
      <c r="X1381" s="160"/>
      <c r="Y1381" s="160"/>
      <c r="Z1381" s="160"/>
      <c r="AA1381" s="160"/>
      <c r="AB1381" s="160"/>
    </row>
    <row r="1382">
      <c r="A1382" s="176"/>
      <c r="B1382" s="66"/>
      <c r="C1382" s="181" t="s">
        <v>1609</v>
      </c>
      <c r="D1382" s="101"/>
      <c r="E1382" s="61"/>
      <c r="F1382" s="61"/>
      <c r="G1382" s="128"/>
      <c r="H1382" s="39"/>
      <c r="I1382" s="39"/>
      <c r="J1382" s="61"/>
      <c r="K1382" s="8"/>
      <c r="L1382" s="8"/>
      <c r="M1382" s="8"/>
      <c r="N1382" s="8"/>
      <c r="O1382" s="8"/>
      <c r="P1382" s="160"/>
      <c r="Q1382" s="160"/>
      <c r="R1382" s="160"/>
      <c r="S1382" s="160"/>
      <c r="T1382" s="160"/>
      <c r="U1382" s="160"/>
      <c r="V1382" s="160"/>
      <c r="W1382" s="160"/>
      <c r="X1382" s="160"/>
      <c r="Y1382" s="160"/>
      <c r="Z1382" s="160"/>
      <c r="AA1382" s="160"/>
      <c r="AB1382" s="160"/>
    </row>
    <row r="1383">
      <c r="A1383" s="176"/>
      <c r="B1383" s="67"/>
      <c r="C1383" s="181" t="s">
        <v>1609</v>
      </c>
      <c r="D1383" s="101"/>
      <c r="E1383" s="61"/>
      <c r="F1383" s="61"/>
      <c r="G1383" s="128"/>
      <c r="H1383" s="39"/>
      <c r="I1383" s="39"/>
      <c r="J1383" s="61"/>
      <c r="K1383" s="8"/>
      <c r="L1383" s="8"/>
      <c r="M1383" s="8"/>
      <c r="N1383" s="8"/>
      <c r="O1383" s="8"/>
      <c r="P1383" s="160"/>
      <c r="Q1383" s="160"/>
      <c r="R1383" s="160"/>
      <c r="S1383" s="160"/>
      <c r="T1383" s="160"/>
      <c r="U1383" s="160"/>
      <c r="V1383" s="160"/>
      <c r="W1383" s="160"/>
      <c r="X1383" s="160"/>
      <c r="Y1383" s="160"/>
      <c r="Z1383" s="160"/>
      <c r="AA1383" s="160"/>
      <c r="AB1383" s="160"/>
    </row>
    <row r="1384">
      <c r="A1384" s="176"/>
      <c r="B1384" s="179"/>
      <c r="C1384" s="184">
        <v>44579.0</v>
      </c>
      <c r="D1384" s="101"/>
      <c r="E1384" s="61"/>
      <c r="F1384" s="61"/>
      <c r="G1384" s="128"/>
      <c r="H1384" s="39"/>
      <c r="I1384" s="39"/>
      <c r="J1384" s="61"/>
      <c r="K1384" s="8"/>
      <c r="L1384" s="8"/>
      <c r="M1384" s="8"/>
      <c r="N1384" s="8"/>
      <c r="O1384" s="8"/>
      <c r="P1384" s="160"/>
      <c r="Q1384" s="160"/>
      <c r="R1384" s="160"/>
      <c r="S1384" s="160"/>
      <c r="T1384" s="160"/>
      <c r="U1384" s="160"/>
      <c r="V1384" s="160"/>
      <c r="W1384" s="160"/>
      <c r="X1384" s="160"/>
      <c r="Y1384" s="160"/>
      <c r="Z1384" s="160"/>
      <c r="AA1384" s="160"/>
      <c r="AB1384" s="160"/>
    </row>
    <row r="1385">
      <c r="A1385" s="176"/>
      <c r="B1385" s="185" t="s">
        <v>1450</v>
      </c>
      <c r="C1385" s="181" t="s">
        <v>1609</v>
      </c>
      <c r="D1385" s="101"/>
      <c r="E1385" s="61"/>
      <c r="F1385" s="61"/>
      <c r="G1385" s="128"/>
      <c r="H1385" s="39"/>
      <c r="I1385" s="39"/>
      <c r="J1385" s="61"/>
      <c r="K1385" s="8"/>
      <c r="L1385" s="8"/>
      <c r="M1385" s="8"/>
      <c r="N1385" s="8"/>
      <c r="O1385" s="8"/>
      <c r="P1385" s="160"/>
      <c r="Q1385" s="160"/>
      <c r="R1385" s="160"/>
      <c r="S1385" s="160"/>
      <c r="T1385" s="160"/>
      <c r="U1385" s="160"/>
      <c r="V1385" s="160"/>
      <c r="W1385" s="160"/>
      <c r="X1385" s="160"/>
      <c r="Y1385" s="160"/>
      <c r="Z1385" s="160"/>
      <c r="AA1385" s="160"/>
      <c r="AB1385" s="160"/>
    </row>
    <row r="1386">
      <c r="A1386" s="176"/>
      <c r="B1386" s="66"/>
      <c r="C1386" s="181" t="s">
        <v>1609</v>
      </c>
      <c r="D1386" s="101"/>
      <c r="E1386" s="200" t="s">
        <v>2203</v>
      </c>
      <c r="F1386" s="11"/>
      <c r="G1386" s="128"/>
      <c r="H1386" s="252" t="s">
        <v>2372</v>
      </c>
      <c r="I1386" s="253"/>
      <c r="J1386" s="254"/>
      <c r="K1386" s="8"/>
      <c r="L1386" s="8"/>
      <c r="M1386" s="8"/>
      <c r="N1386" s="8"/>
      <c r="O1386" s="8"/>
      <c r="P1386" s="160"/>
      <c r="Q1386" s="160"/>
      <c r="R1386" s="160"/>
      <c r="S1386" s="160"/>
      <c r="T1386" s="160"/>
      <c r="U1386" s="160"/>
      <c r="V1386" s="160"/>
      <c r="W1386" s="160"/>
      <c r="X1386" s="160"/>
      <c r="Y1386" s="160"/>
      <c r="Z1386" s="160"/>
      <c r="AA1386" s="160"/>
      <c r="AB1386" s="160"/>
    </row>
    <row r="1387">
      <c r="A1387" s="176"/>
      <c r="B1387" s="66"/>
      <c r="C1387" s="181" t="s">
        <v>1609</v>
      </c>
      <c r="D1387" s="48" t="s">
        <v>819</v>
      </c>
      <c r="E1387" s="155" t="s">
        <v>2373</v>
      </c>
      <c r="F1387" s="155" t="s">
        <v>2374</v>
      </c>
      <c r="G1387" s="74">
        <v>0.4583333333333333</v>
      </c>
      <c r="H1387" s="48" t="s">
        <v>2375</v>
      </c>
      <c r="I1387" s="148" t="s">
        <v>2376</v>
      </c>
      <c r="J1387" s="155" t="s">
        <v>2377</v>
      </c>
      <c r="K1387" s="39" t="s">
        <v>2378</v>
      </c>
      <c r="L1387" s="8"/>
      <c r="M1387" s="8"/>
      <c r="N1387" s="8"/>
      <c r="O1387" s="8"/>
      <c r="P1387" s="160"/>
      <c r="Q1387" s="160"/>
      <c r="R1387" s="160"/>
      <c r="S1387" s="160"/>
      <c r="T1387" s="160"/>
      <c r="U1387" s="160"/>
      <c r="V1387" s="160"/>
      <c r="W1387" s="160"/>
      <c r="X1387" s="160"/>
      <c r="Y1387" s="160"/>
      <c r="Z1387" s="160"/>
      <c r="AA1387" s="160"/>
      <c r="AB1387" s="160"/>
    </row>
    <row r="1388">
      <c r="A1388" s="176"/>
      <c r="B1388" s="66"/>
      <c r="C1388" s="181" t="s">
        <v>1609</v>
      </c>
      <c r="D1388" s="48" t="s">
        <v>1791</v>
      </c>
      <c r="E1388" s="155" t="s">
        <v>2379</v>
      </c>
      <c r="F1388" s="155" t="s">
        <v>2380</v>
      </c>
      <c r="G1388" s="74">
        <v>0.5416666666666666</v>
      </c>
      <c r="H1388" s="48" t="s">
        <v>2381</v>
      </c>
      <c r="I1388" s="148" t="s">
        <v>2382</v>
      </c>
      <c r="J1388" s="155" t="s">
        <v>2383</v>
      </c>
      <c r="K1388" s="39" t="s">
        <v>2384</v>
      </c>
      <c r="L1388" s="8"/>
      <c r="M1388" s="8"/>
      <c r="N1388" s="8"/>
      <c r="O1388" s="8"/>
      <c r="P1388" s="160"/>
      <c r="Q1388" s="160"/>
      <c r="R1388" s="160"/>
      <c r="S1388" s="160"/>
      <c r="T1388" s="160"/>
      <c r="U1388" s="160"/>
      <c r="V1388" s="160"/>
      <c r="W1388" s="160"/>
      <c r="X1388" s="160"/>
      <c r="Y1388" s="160"/>
      <c r="Z1388" s="160"/>
      <c r="AA1388" s="160"/>
      <c r="AB1388" s="160"/>
    </row>
    <row r="1389">
      <c r="A1389" s="176"/>
      <c r="B1389" s="66"/>
      <c r="C1389" s="181" t="s">
        <v>1609</v>
      </c>
      <c r="D1389" s="48" t="s">
        <v>1791</v>
      </c>
      <c r="E1389" s="155" t="s">
        <v>2385</v>
      </c>
      <c r="F1389" s="155" t="s">
        <v>2386</v>
      </c>
      <c r="G1389" s="43">
        <v>0.625</v>
      </c>
      <c r="H1389" s="44" t="s">
        <v>2387</v>
      </c>
      <c r="I1389" s="44" t="s">
        <v>2388</v>
      </c>
      <c r="J1389" s="155" t="s">
        <v>2389</v>
      </c>
      <c r="K1389" s="39" t="s">
        <v>2390</v>
      </c>
      <c r="L1389" s="8"/>
      <c r="M1389" s="8"/>
      <c r="N1389" s="8"/>
      <c r="O1389" s="8"/>
      <c r="P1389" s="160"/>
      <c r="Q1389" s="160"/>
      <c r="R1389" s="160"/>
      <c r="S1389" s="160"/>
      <c r="T1389" s="160"/>
      <c r="U1389" s="160"/>
      <c r="V1389" s="160"/>
      <c r="W1389" s="160"/>
      <c r="X1389" s="160"/>
      <c r="Y1389" s="160"/>
      <c r="Z1389" s="160"/>
      <c r="AA1389" s="160"/>
      <c r="AB1389" s="160"/>
    </row>
    <row r="1390">
      <c r="A1390" s="176"/>
      <c r="B1390" s="66"/>
      <c r="C1390" s="181" t="s">
        <v>1609</v>
      </c>
      <c r="D1390" s="101"/>
      <c r="E1390" s="61"/>
      <c r="F1390" s="61"/>
      <c r="G1390" s="136" t="s">
        <v>702</v>
      </c>
      <c r="H1390" s="39"/>
      <c r="I1390" s="39"/>
      <c r="J1390" s="61"/>
      <c r="K1390" s="8"/>
      <c r="L1390" s="8"/>
      <c r="M1390" s="8"/>
      <c r="N1390" s="8"/>
      <c r="O1390" s="8"/>
      <c r="P1390" s="160"/>
      <c r="Q1390" s="160"/>
      <c r="R1390" s="160"/>
      <c r="S1390" s="160"/>
      <c r="T1390" s="160"/>
      <c r="U1390" s="160"/>
      <c r="V1390" s="160"/>
      <c r="W1390" s="160"/>
      <c r="X1390" s="160"/>
      <c r="Y1390" s="160"/>
      <c r="Z1390" s="160"/>
      <c r="AA1390" s="160"/>
      <c r="AB1390" s="160"/>
    </row>
    <row r="1391">
      <c r="A1391" s="176"/>
      <c r="B1391" s="67"/>
      <c r="C1391" s="181" t="s">
        <v>1609</v>
      </c>
      <c r="D1391" s="101"/>
      <c r="E1391" s="61"/>
      <c r="F1391" s="61"/>
      <c r="G1391" s="128"/>
      <c r="H1391" s="39"/>
      <c r="I1391" s="39"/>
      <c r="J1391" s="61"/>
      <c r="K1391" s="8"/>
      <c r="L1391" s="8"/>
      <c r="M1391" s="8"/>
      <c r="N1391" s="8"/>
      <c r="O1391" s="8"/>
      <c r="P1391" s="160"/>
      <c r="Q1391" s="160"/>
      <c r="R1391" s="160"/>
      <c r="S1391" s="160"/>
      <c r="T1391" s="160"/>
      <c r="U1391" s="160"/>
      <c r="V1391" s="160"/>
      <c r="W1391" s="160"/>
      <c r="X1391" s="160"/>
      <c r="Y1391" s="160"/>
      <c r="Z1391" s="160"/>
      <c r="AA1391" s="160"/>
      <c r="AB1391" s="160"/>
    </row>
    <row r="1392">
      <c r="A1392" s="176"/>
      <c r="B1392" s="179"/>
      <c r="C1392" s="184">
        <v>44580.0</v>
      </c>
      <c r="D1392" s="101"/>
      <c r="E1392" s="61"/>
      <c r="F1392" s="61"/>
      <c r="G1392" s="128"/>
      <c r="H1392" s="39"/>
      <c r="I1392" s="39"/>
      <c r="J1392" s="61"/>
      <c r="K1392" s="8"/>
      <c r="L1392" s="8"/>
      <c r="M1392" s="8"/>
      <c r="N1392" s="8"/>
      <c r="O1392" s="8"/>
      <c r="P1392" s="160"/>
      <c r="Q1392" s="160"/>
      <c r="R1392" s="160"/>
      <c r="S1392" s="160"/>
      <c r="T1392" s="160"/>
      <c r="U1392" s="160"/>
      <c r="V1392" s="160"/>
      <c r="W1392" s="160"/>
      <c r="X1392" s="160"/>
      <c r="Y1392" s="160"/>
      <c r="Z1392" s="160"/>
      <c r="AA1392" s="160"/>
      <c r="AB1392" s="160"/>
    </row>
    <row r="1393">
      <c r="A1393" s="176"/>
      <c r="B1393" s="185" t="s">
        <v>1450</v>
      </c>
      <c r="C1393" s="181" t="s">
        <v>1609</v>
      </c>
      <c r="D1393" s="101"/>
      <c r="E1393" s="200" t="s">
        <v>2203</v>
      </c>
      <c r="F1393" s="11"/>
      <c r="G1393" s="128"/>
      <c r="H1393" s="39"/>
      <c r="I1393" s="39"/>
      <c r="J1393" s="61"/>
      <c r="K1393" s="8"/>
      <c r="L1393" s="8"/>
      <c r="M1393" s="8"/>
      <c r="N1393" s="8"/>
      <c r="O1393" s="8"/>
      <c r="P1393" s="160"/>
      <c r="Q1393" s="160"/>
      <c r="R1393" s="160"/>
      <c r="S1393" s="160"/>
      <c r="T1393" s="160"/>
      <c r="U1393" s="160"/>
      <c r="V1393" s="160"/>
      <c r="W1393" s="160"/>
      <c r="X1393" s="160"/>
      <c r="Y1393" s="160"/>
      <c r="Z1393" s="160"/>
      <c r="AA1393" s="160"/>
      <c r="AB1393" s="160"/>
    </row>
    <row r="1394">
      <c r="A1394" s="176"/>
      <c r="B1394" s="66"/>
      <c r="C1394" s="181" t="s">
        <v>1609</v>
      </c>
      <c r="D1394" s="101"/>
      <c r="E1394" s="209"/>
      <c r="F1394" s="209"/>
      <c r="G1394" s="128"/>
      <c r="H1394" s="39"/>
      <c r="I1394" s="39"/>
      <c r="J1394" s="61"/>
      <c r="K1394" s="8"/>
      <c r="L1394" s="8"/>
      <c r="M1394" s="8"/>
      <c r="N1394" s="8"/>
      <c r="O1394" s="8"/>
      <c r="P1394" s="160"/>
      <c r="Q1394" s="160"/>
      <c r="R1394" s="160"/>
      <c r="S1394" s="160"/>
      <c r="T1394" s="160"/>
      <c r="U1394" s="160"/>
      <c r="V1394" s="160"/>
      <c r="W1394" s="160"/>
      <c r="X1394" s="160"/>
      <c r="Y1394" s="160"/>
      <c r="Z1394" s="160"/>
      <c r="AA1394" s="160"/>
      <c r="AB1394" s="160"/>
    </row>
    <row r="1395">
      <c r="A1395" s="176"/>
      <c r="B1395" s="66"/>
      <c r="C1395" s="181" t="s">
        <v>1609</v>
      </c>
      <c r="D1395" s="27" t="s">
        <v>943</v>
      </c>
      <c r="E1395" s="162" t="s">
        <v>2391</v>
      </c>
      <c r="F1395" s="162" t="s">
        <v>2392</v>
      </c>
      <c r="G1395" s="22">
        <v>0.5416666666666666</v>
      </c>
      <c r="H1395" s="18" t="s">
        <v>2393</v>
      </c>
      <c r="I1395" s="18" t="s">
        <v>2394</v>
      </c>
      <c r="J1395" s="62" t="s">
        <v>2395</v>
      </c>
      <c r="K1395" s="8"/>
      <c r="L1395" s="8"/>
      <c r="M1395" s="8"/>
      <c r="N1395" s="8"/>
      <c r="O1395" s="8"/>
      <c r="P1395" s="160"/>
      <c r="Q1395" s="160"/>
      <c r="R1395" s="160"/>
      <c r="S1395" s="160"/>
      <c r="T1395" s="160"/>
      <c r="U1395" s="160"/>
      <c r="V1395" s="160"/>
      <c r="W1395" s="160"/>
      <c r="X1395" s="160"/>
      <c r="Y1395" s="160"/>
      <c r="Z1395" s="160"/>
      <c r="AA1395" s="160"/>
      <c r="AB1395" s="160"/>
    </row>
    <row r="1396">
      <c r="A1396" s="176"/>
      <c r="B1396" s="66"/>
      <c r="C1396" s="181" t="s">
        <v>1609</v>
      </c>
      <c r="D1396" s="27" t="s">
        <v>943</v>
      </c>
      <c r="E1396" s="162" t="s">
        <v>2396</v>
      </c>
      <c r="F1396" s="162" t="s">
        <v>2397</v>
      </c>
      <c r="G1396" s="22">
        <v>0.6041666666666666</v>
      </c>
      <c r="H1396" s="18" t="s">
        <v>2398</v>
      </c>
      <c r="I1396" s="18" t="s">
        <v>2399</v>
      </c>
      <c r="J1396" s="62" t="s">
        <v>2400</v>
      </c>
      <c r="K1396" s="8"/>
      <c r="L1396" s="8"/>
      <c r="M1396" s="8"/>
      <c r="N1396" s="8"/>
      <c r="O1396" s="8"/>
      <c r="P1396" s="160"/>
      <c r="Q1396" s="160"/>
      <c r="R1396" s="160"/>
      <c r="S1396" s="160"/>
      <c r="T1396" s="160"/>
      <c r="U1396" s="160"/>
      <c r="V1396" s="160"/>
      <c r="W1396" s="160"/>
      <c r="X1396" s="160"/>
      <c r="Y1396" s="160"/>
      <c r="Z1396" s="160"/>
      <c r="AA1396" s="160"/>
      <c r="AB1396" s="160"/>
    </row>
    <row r="1397">
      <c r="A1397" s="176"/>
      <c r="B1397" s="66"/>
      <c r="C1397" s="181" t="s">
        <v>1609</v>
      </c>
      <c r="D1397" s="48" t="s">
        <v>943</v>
      </c>
      <c r="E1397" s="155" t="s">
        <v>2401</v>
      </c>
      <c r="F1397" s="155" t="s">
        <v>2402</v>
      </c>
      <c r="G1397" s="43">
        <v>0.6458333333333334</v>
      </c>
      <c r="H1397" s="44" t="s">
        <v>2398</v>
      </c>
      <c r="I1397" s="44" t="s">
        <v>2403</v>
      </c>
      <c r="J1397" s="73" t="s">
        <v>2404</v>
      </c>
      <c r="K1397" s="39" t="s">
        <v>2405</v>
      </c>
      <c r="L1397" s="8"/>
      <c r="M1397" s="8"/>
      <c r="N1397" s="8"/>
      <c r="O1397" s="8"/>
      <c r="P1397" s="160"/>
      <c r="Q1397" s="160"/>
      <c r="R1397" s="160"/>
      <c r="S1397" s="160"/>
      <c r="T1397" s="160"/>
      <c r="U1397" s="160"/>
      <c r="V1397" s="160"/>
      <c r="W1397" s="160"/>
      <c r="X1397" s="160"/>
      <c r="Y1397" s="160"/>
      <c r="Z1397" s="160"/>
      <c r="AA1397" s="160"/>
      <c r="AB1397" s="160"/>
    </row>
    <row r="1398">
      <c r="A1398" s="176"/>
      <c r="B1398" s="67"/>
      <c r="C1398" s="181" t="s">
        <v>1609</v>
      </c>
      <c r="D1398" s="101"/>
      <c r="E1398" s="61"/>
      <c r="F1398" s="61"/>
      <c r="G1398" s="128"/>
      <c r="H1398" s="39"/>
      <c r="I1398" s="39"/>
      <c r="J1398" s="61"/>
      <c r="K1398" s="8"/>
      <c r="L1398" s="8"/>
      <c r="M1398" s="8"/>
      <c r="N1398" s="8"/>
      <c r="O1398" s="8"/>
      <c r="P1398" s="160"/>
      <c r="Q1398" s="160"/>
      <c r="R1398" s="160"/>
      <c r="S1398" s="160"/>
      <c r="T1398" s="160"/>
      <c r="U1398" s="160"/>
      <c r="V1398" s="160"/>
      <c r="W1398" s="160"/>
      <c r="X1398" s="160"/>
      <c r="Y1398" s="160"/>
      <c r="Z1398" s="160"/>
      <c r="AA1398" s="160"/>
      <c r="AB1398" s="160"/>
    </row>
    <row r="1399">
      <c r="A1399" s="176"/>
      <c r="B1399" s="179"/>
      <c r="C1399" s="184">
        <v>44581.0</v>
      </c>
      <c r="D1399" s="101"/>
      <c r="E1399" s="61"/>
      <c r="F1399" s="61"/>
      <c r="G1399" s="128"/>
      <c r="H1399" s="39"/>
      <c r="I1399" s="39"/>
      <c r="J1399" s="61"/>
      <c r="K1399" s="8"/>
      <c r="L1399" s="8"/>
      <c r="M1399" s="8"/>
      <c r="N1399" s="8"/>
      <c r="O1399" s="8"/>
      <c r="P1399" s="160"/>
      <c r="Q1399" s="160"/>
      <c r="R1399" s="160"/>
      <c r="S1399" s="160"/>
      <c r="T1399" s="160"/>
      <c r="U1399" s="160"/>
      <c r="V1399" s="160"/>
      <c r="W1399" s="160"/>
      <c r="X1399" s="160"/>
      <c r="Y1399" s="160"/>
      <c r="Z1399" s="160"/>
      <c r="AA1399" s="160"/>
      <c r="AB1399" s="160"/>
    </row>
    <row r="1400">
      <c r="A1400" s="176"/>
      <c r="B1400" s="185" t="s">
        <v>1450</v>
      </c>
      <c r="C1400" s="181" t="s">
        <v>1609</v>
      </c>
      <c r="D1400" s="101"/>
      <c r="E1400" s="200" t="s">
        <v>2203</v>
      </c>
      <c r="F1400" s="11"/>
      <c r="G1400" s="128"/>
      <c r="H1400" s="39"/>
      <c r="I1400" s="39"/>
      <c r="J1400" s="61"/>
      <c r="K1400" s="8"/>
      <c r="L1400" s="8"/>
      <c r="M1400" s="8"/>
      <c r="N1400" s="8"/>
      <c r="O1400" s="8"/>
      <c r="P1400" s="160"/>
      <c r="Q1400" s="160"/>
      <c r="R1400" s="160"/>
      <c r="S1400" s="160"/>
      <c r="T1400" s="160"/>
      <c r="U1400" s="160"/>
      <c r="V1400" s="160"/>
      <c r="W1400" s="160"/>
      <c r="X1400" s="160"/>
      <c r="Y1400" s="160"/>
      <c r="Z1400" s="160"/>
      <c r="AA1400" s="160"/>
      <c r="AB1400" s="160"/>
    </row>
    <row r="1401">
      <c r="A1401" s="176"/>
      <c r="B1401" s="66"/>
      <c r="C1401" s="181" t="s">
        <v>1609</v>
      </c>
      <c r="D1401" s="101"/>
      <c r="E1401" s="61"/>
      <c r="F1401" s="61"/>
      <c r="G1401" s="128"/>
      <c r="H1401" s="39"/>
      <c r="I1401" s="39"/>
      <c r="J1401" s="61"/>
      <c r="K1401" s="8"/>
      <c r="L1401" s="8"/>
      <c r="M1401" s="8"/>
      <c r="N1401" s="8"/>
      <c r="O1401" s="8"/>
      <c r="P1401" s="160"/>
      <c r="Q1401" s="160"/>
      <c r="R1401" s="160"/>
      <c r="S1401" s="160"/>
      <c r="T1401" s="160"/>
      <c r="U1401" s="160"/>
      <c r="V1401" s="160"/>
      <c r="W1401" s="160"/>
      <c r="X1401" s="160"/>
      <c r="Y1401" s="160"/>
      <c r="Z1401" s="160"/>
      <c r="AA1401" s="160"/>
      <c r="AB1401" s="160"/>
    </row>
    <row r="1402">
      <c r="A1402" s="176"/>
      <c r="B1402" s="66"/>
      <c r="C1402" s="181" t="s">
        <v>1609</v>
      </c>
      <c r="D1402" s="101"/>
      <c r="E1402" s="61"/>
      <c r="F1402" s="61"/>
      <c r="G1402" s="128"/>
      <c r="H1402" s="39"/>
      <c r="I1402" s="39"/>
      <c r="J1402" s="61"/>
      <c r="K1402" s="8"/>
      <c r="L1402" s="8"/>
      <c r="M1402" s="8"/>
      <c r="N1402" s="8"/>
      <c r="O1402" s="8"/>
      <c r="P1402" s="160"/>
      <c r="Q1402" s="160"/>
      <c r="R1402" s="160"/>
      <c r="S1402" s="160"/>
      <c r="T1402" s="160"/>
      <c r="U1402" s="160"/>
      <c r="V1402" s="160"/>
      <c r="W1402" s="160"/>
      <c r="X1402" s="160"/>
      <c r="Y1402" s="160"/>
      <c r="Z1402" s="160"/>
      <c r="AA1402" s="160"/>
      <c r="AB1402" s="160"/>
    </row>
    <row r="1403">
      <c r="A1403" s="176"/>
      <c r="B1403" s="66"/>
      <c r="C1403" s="181" t="s">
        <v>1609</v>
      </c>
      <c r="D1403" s="27" t="s">
        <v>819</v>
      </c>
      <c r="E1403" s="62" t="s">
        <v>2406</v>
      </c>
      <c r="F1403" s="62" t="s">
        <v>2407</v>
      </c>
      <c r="G1403" s="76" t="s">
        <v>1366</v>
      </c>
      <c r="H1403" s="18" t="s">
        <v>536</v>
      </c>
      <c r="I1403" s="18" t="s">
        <v>2408</v>
      </c>
      <c r="J1403" s="162" t="s">
        <v>2409</v>
      </c>
      <c r="L1403" s="8"/>
      <c r="M1403" s="8"/>
      <c r="N1403" s="8"/>
      <c r="O1403" s="8"/>
      <c r="P1403" s="160"/>
      <c r="Q1403" s="160"/>
      <c r="R1403" s="160"/>
      <c r="S1403" s="160"/>
      <c r="T1403" s="160"/>
      <c r="U1403" s="160"/>
      <c r="V1403" s="160"/>
      <c r="W1403" s="160"/>
      <c r="X1403" s="160"/>
      <c r="Y1403" s="160"/>
      <c r="Z1403" s="160"/>
      <c r="AA1403" s="160"/>
      <c r="AB1403" s="160"/>
    </row>
    <row r="1404">
      <c r="A1404" s="176"/>
      <c r="B1404" s="66"/>
      <c r="C1404" s="181" t="s">
        <v>1609</v>
      </c>
      <c r="D1404" s="48" t="s">
        <v>1791</v>
      </c>
      <c r="E1404" s="73" t="s">
        <v>2410</v>
      </c>
      <c r="F1404" s="73" t="s">
        <v>2411</v>
      </c>
      <c r="G1404" s="43">
        <v>0.6041666666666666</v>
      </c>
      <c r="H1404" s="44" t="s">
        <v>2412</v>
      </c>
      <c r="I1404" s="44" t="s">
        <v>2413</v>
      </c>
      <c r="J1404" s="155" t="s">
        <v>2414</v>
      </c>
      <c r="K1404" s="39" t="s">
        <v>2415</v>
      </c>
      <c r="L1404" s="8"/>
      <c r="M1404" s="8"/>
      <c r="N1404" s="8"/>
      <c r="O1404" s="8"/>
      <c r="P1404" s="160"/>
      <c r="Q1404" s="160"/>
      <c r="R1404" s="160"/>
      <c r="S1404" s="160"/>
      <c r="T1404" s="160"/>
      <c r="U1404" s="160"/>
      <c r="V1404" s="160"/>
      <c r="W1404" s="160"/>
      <c r="X1404" s="160"/>
      <c r="Y1404" s="160"/>
      <c r="Z1404" s="160"/>
      <c r="AA1404" s="160"/>
      <c r="AB1404" s="160"/>
    </row>
    <row r="1405">
      <c r="A1405" s="176"/>
      <c r="B1405" s="66"/>
      <c r="C1405" s="181" t="s">
        <v>1609</v>
      </c>
      <c r="D1405" s="48" t="s">
        <v>1791</v>
      </c>
      <c r="E1405" s="155" t="s">
        <v>2138</v>
      </c>
      <c r="F1405" s="155" t="s">
        <v>2139</v>
      </c>
      <c r="G1405" s="74">
        <v>0.6458333333333334</v>
      </c>
      <c r="H1405" s="44" t="s">
        <v>2412</v>
      </c>
      <c r="I1405" s="148" t="s">
        <v>2416</v>
      </c>
      <c r="J1405" s="155" t="s">
        <v>2141</v>
      </c>
      <c r="K1405" s="8"/>
      <c r="L1405" s="8"/>
      <c r="M1405" s="8"/>
      <c r="N1405" s="8"/>
      <c r="O1405" s="8"/>
      <c r="P1405" s="160"/>
      <c r="Q1405" s="160"/>
      <c r="R1405" s="160"/>
      <c r="S1405" s="160"/>
      <c r="T1405" s="160"/>
      <c r="U1405" s="160"/>
      <c r="V1405" s="160"/>
      <c r="W1405" s="160"/>
      <c r="X1405" s="160"/>
      <c r="Y1405" s="160"/>
      <c r="Z1405" s="160"/>
      <c r="AA1405" s="160"/>
      <c r="AB1405" s="160"/>
    </row>
    <row r="1406">
      <c r="A1406" s="176"/>
      <c r="B1406" s="67"/>
      <c r="C1406" s="181" t="s">
        <v>1609</v>
      </c>
      <c r="D1406" s="101"/>
      <c r="E1406" s="61"/>
      <c r="F1406" s="61"/>
      <c r="G1406" s="128"/>
      <c r="H1406" s="39"/>
      <c r="I1406" s="39"/>
      <c r="J1406" s="61"/>
      <c r="K1406" s="8"/>
      <c r="L1406" s="8"/>
      <c r="M1406" s="8"/>
      <c r="N1406" s="8"/>
      <c r="O1406" s="8"/>
      <c r="P1406" s="160"/>
      <c r="Q1406" s="160"/>
      <c r="R1406" s="160"/>
      <c r="S1406" s="160"/>
      <c r="T1406" s="160"/>
      <c r="U1406" s="160"/>
      <c r="V1406" s="160"/>
      <c r="W1406" s="160"/>
      <c r="X1406" s="160"/>
      <c r="Y1406" s="160"/>
      <c r="Z1406" s="160"/>
      <c r="AA1406" s="160"/>
      <c r="AB1406" s="160"/>
    </row>
    <row r="1407">
      <c r="A1407" s="176"/>
      <c r="B1407" s="179"/>
      <c r="C1407" s="184">
        <v>44582.0</v>
      </c>
      <c r="D1407" s="101"/>
      <c r="E1407" s="61"/>
      <c r="F1407" s="61"/>
      <c r="G1407" s="128"/>
      <c r="H1407" s="39"/>
      <c r="I1407" s="39"/>
      <c r="J1407" s="61"/>
      <c r="K1407" s="8"/>
      <c r="L1407" s="8"/>
      <c r="M1407" s="8"/>
      <c r="N1407" s="8"/>
      <c r="O1407" s="8"/>
      <c r="P1407" s="160"/>
      <c r="Q1407" s="160"/>
      <c r="R1407" s="160"/>
      <c r="S1407" s="160"/>
      <c r="T1407" s="160"/>
      <c r="U1407" s="160"/>
      <c r="V1407" s="160"/>
      <c r="W1407" s="160"/>
      <c r="X1407" s="160"/>
      <c r="Y1407" s="160"/>
      <c r="Z1407" s="160"/>
      <c r="AA1407" s="160"/>
      <c r="AB1407" s="160"/>
    </row>
    <row r="1408">
      <c r="A1408" s="176"/>
      <c r="B1408" s="185" t="s">
        <v>1450</v>
      </c>
      <c r="C1408" s="181" t="s">
        <v>1609</v>
      </c>
      <c r="D1408" s="101"/>
      <c r="E1408" s="200" t="s">
        <v>2203</v>
      </c>
      <c r="F1408" s="11"/>
      <c r="G1408" s="128"/>
      <c r="H1408" s="39"/>
      <c r="I1408" s="39"/>
      <c r="J1408" s="61"/>
      <c r="K1408" s="8"/>
      <c r="L1408" s="8"/>
      <c r="M1408" s="8"/>
      <c r="N1408" s="8"/>
      <c r="O1408" s="8"/>
      <c r="P1408" s="160"/>
      <c r="Q1408" s="160"/>
      <c r="R1408" s="160"/>
      <c r="S1408" s="160"/>
      <c r="T1408" s="160"/>
      <c r="U1408" s="160"/>
      <c r="V1408" s="160"/>
      <c r="W1408" s="160"/>
      <c r="X1408" s="160"/>
      <c r="Y1408" s="160"/>
      <c r="Z1408" s="160"/>
      <c r="AA1408" s="160"/>
      <c r="AB1408" s="160"/>
    </row>
    <row r="1409">
      <c r="A1409" s="176"/>
      <c r="B1409" s="66"/>
      <c r="C1409" s="181" t="s">
        <v>1609</v>
      </c>
      <c r="D1409" s="101"/>
      <c r="E1409" s="61"/>
      <c r="F1409" s="61"/>
      <c r="G1409" s="136"/>
      <c r="H1409" s="39"/>
      <c r="I1409" s="39"/>
      <c r="J1409" s="61"/>
      <c r="K1409" s="8"/>
      <c r="L1409" s="8"/>
      <c r="M1409" s="8"/>
      <c r="N1409" s="8"/>
      <c r="O1409" s="8"/>
      <c r="P1409" s="160"/>
      <c r="Q1409" s="160"/>
      <c r="R1409" s="160"/>
      <c r="S1409" s="160"/>
      <c r="T1409" s="160"/>
      <c r="U1409" s="160"/>
      <c r="V1409" s="160"/>
      <c r="W1409" s="160"/>
      <c r="X1409" s="160"/>
      <c r="Y1409" s="160"/>
      <c r="Z1409" s="160"/>
      <c r="AA1409" s="160"/>
      <c r="AB1409" s="160"/>
    </row>
    <row r="1410">
      <c r="A1410" s="176"/>
      <c r="B1410" s="66"/>
      <c r="C1410" s="181" t="s">
        <v>1609</v>
      </c>
      <c r="D1410" s="48" t="s">
        <v>1791</v>
      </c>
      <c r="E1410" s="73" t="s">
        <v>2417</v>
      </c>
      <c r="F1410" s="73" t="s">
        <v>2418</v>
      </c>
      <c r="G1410" s="43">
        <v>0.5</v>
      </c>
      <c r="H1410" s="44" t="s">
        <v>2419</v>
      </c>
      <c r="I1410" s="44" t="s">
        <v>2420</v>
      </c>
      <c r="J1410" s="73" t="s">
        <v>2421</v>
      </c>
      <c r="K1410" s="39" t="s">
        <v>2422</v>
      </c>
      <c r="L1410" s="8"/>
      <c r="M1410" s="8"/>
      <c r="N1410" s="8"/>
      <c r="O1410" s="8"/>
      <c r="P1410" s="160"/>
      <c r="Q1410" s="160"/>
      <c r="R1410" s="160"/>
      <c r="S1410" s="160"/>
      <c r="T1410" s="160"/>
      <c r="U1410" s="160"/>
      <c r="V1410" s="160"/>
      <c r="W1410" s="160"/>
      <c r="X1410" s="160"/>
      <c r="Y1410" s="160"/>
      <c r="Z1410" s="160"/>
      <c r="AA1410" s="160"/>
      <c r="AB1410" s="160"/>
    </row>
    <row r="1411">
      <c r="A1411" s="176"/>
      <c r="B1411" s="66"/>
      <c r="C1411" s="181" t="s">
        <v>1609</v>
      </c>
      <c r="D1411" s="27" t="s">
        <v>819</v>
      </c>
      <c r="E1411" s="15" t="s">
        <v>2423</v>
      </c>
      <c r="F1411" s="15" t="s">
        <v>2424</v>
      </c>
      <c r="G1411" s="22">
        <v>0.4583333333333333</v>
      </c>
      <c r="H1411" s="18" t="s">
        <v>2412</v>
      </c>
      <c r="I1411" s="18" t="s">
        <v>2425</v>
      </c>
      <c r="J1411" s="15" t="s">
        <v>2426</v>
      </c>
      <c r="K1411" s="8"/>
      <c r="L1411" s="8"/>
      <c r="M1411" s="8"/>
      <c r="N1411" s="8"/>
      <c r="O1411" s="8"/>
      <c r="P1411" s="160"/>
      <c r="Q1411" s="160"/>
      <c r="R1411" s="160"/>
      <c r="S1411" s="160"/>
      <c r="T1411" s="160"/>
      <c r="U1411" s="160"/>
      <c r="V1411" s="160"/>
      <c r="W1411" s="160"/>
      <c r="X1411" s="160"/>
      <c r="Y1411" s="160"/>
      <c r="Z1411" s="160"/>
      <c r="AA1411" s="160"/>
      <c r="AB1411" s="160"/>
    </row>
    <row r="1412">
      <c r="A1412" s="176"/>
      <c r="B1412" s="66"/>
      <c r="C1412" s="181" t="s">
        <v>1609</v>
      </c>
      <c r="D1412" s="27" t="s">
        <v>1715</v>
      </c>
      <c r="E1412" s="62" t="s">
        <v>721</v>
      </c>
      <c r="F1412" s="62" t="s">
        <v>722</v>
      </c>
      <c r="G1412" s="76" t="s">
        <v>1366</v>
      </c>
      <c r="H1412" s="182" t="s">
        <v>72</v>
      </c>
      <c r="I1412" s="18" t="s">
        <v>2427</v>
      </c>
      <c r="J1412" s="75" t="s">
        <v>724</v>
      </c>
      <c r="K1412" s="8"/>
      <c r="L1412" s="8"/>
      <c r="M1412" s="8"/>
      <c r="N1412" s="8"/>
      <c r="O1412" s="8"/>
      <c r="P1412" s="160"/>
      <c r="Q1412" s="160"/>
      <c r="R1412" s="160"/>
      <c r="S1412" s="160"/>
      <c r="T1412" s="160"/>
      <c r="U1412" s="160"/>
      <c r="V1412" s="160"/>
      <c r="W1412" s="160"/>
      <c r="X1412" s="160"/>
      <c r="Y1412" s="160"/>
      <c r="Z1412" s="160"/>
      <c r="AA1412" s="160"/>
      <c r="AB1412" s="160"/>
    </row>
    <row r="1413">
      <c r="A1413" s="176"/>
      <c r="B1413" s="66"/>
      <c r="C1413" s="181" t="s">
        <v>1609</v>
      </c>
      <c r="D1413" s="48" t="s">
        <v>1715</v>
      </c>
      <c r="E1413" s="73" t="s">
        <v>2428</v>
      </c>
      <c r="F1413" s="73" t="s">
        <v>2429</v>
      </c>
      <c r="G1413" s="70" t="s">
        <v>298</v>
      </c>
      <c r="H1413" s="226" t="s">
        <v>924</v>
      </c>
      <c r="I1413" s="44" t="s">
        <v>2430</v>
      </c>
      <c r="J1413" s="69" t="s">
        <v>2431</v>
      </c>
      <c r="K1413" s="39" t="s">
        <v>2432</v>
      </c>
      <c r="L1413" s="8"/>
      <c r="M1413" s="8"/>
      <c r="N1413" s="8"/>
      <c r="O1413" s="8"/>
      <c r="P1413" s="160"/>
      <c r="Q1413" s="160"/>
      <c r="R1413" s="160"/>
      <c r="S1413" s="160"/>
      <c r="T1413" s="160"/>
      <c r="U1413" s="160"/>
      <c r="V1413" s="160"/>
      <c r="W1413" s="160"/>
      <c r="X1413" s="160"/>
      <c r="Y1413" s="160"/>
      <c r="Z1413" s="160"/>
      <c r="AA1413" s="160"/>
      <c r="AB1413" s="160"/>
    </row>
    <row r="1414">
      <c r="A1414" s="176"/>
      <c r="B1414" s="66"/>
      <c r="C1414" s="181" t="s">
        <v>1609</v>
      </c>
      <c r="D1414" s="101"/>
      <c r="E1414" s="61"/>
      <c r="F1414" s="61"/>
      <c r="G1414" s="128"/>
      <c r="H1414" s="39"/>
      <c r="I1414" s="39"/>
      <c r="J1414" s="61"/>
      <c r="K1414" s="8"/>
      <c r="L1414" s="8"/>
      <c r="M1414" s="8"/>
      <c r="N1414" s="8"/>
      <c r="O1414" s="8"/>
      <c r="P1414" s="160"/>
      <c r="Q1414" s="160"/>
      <c r="R1414" s="160"/>
      <c r="S1414" s="160"/>
      <c r="T1414" s="160"/>
      <c r="U1414" s="160"/>
      <c r="V1414" s="160"/>
      <c r="W1414" s="160"/>
      <c r="X1414" s="160"/>
      <c r="Y1414" s="160"/>
      <c r="Z1414" s="160"/>
      <c r="AA1414" s="160"/>
      <c r="AB1414" s="160"/>
    </row>
    <row r="1415">
      <c r="A1415" s="176"/>
      <c r="B1415" s="67"/>
      <c r="C1415" s="181" t="s">
        <v>1609</v>
      </c>
      <c r="D1415" s="101"/>
      <c r="E1415" s="61"/>
      <c r="F1415" s="61"/>
      <c r="G1415" s="128"/>
      <c r="H1415" s="39"/>
      <c r="I1415" s="39"/>
      <c r="J1415" s="61"/>
      <c r="K1415" s="8"/>
      <c r="L1415" s="8"/>
      <c r="M1415" s="8"/>
      <c r="N1415" s="8"/>
      <c r="O1415" s="8"/>
      <c r="P1415" s="160"/>
      <c r="Q1415" s="160"/>
      <c r="R1415" s="160"/>
      <c r="S1415" s="160"/>
      <c r="T1415" s="160"/>
      <c r="U1415" s="160"/>
      <c r="V1415" s="160"/>
      <c r="W1415" s="160"/>
      <c r="X1415" s="160"/>
      <c r="Y1415" s="160"/>
      <c r="Z1415" s="160"/>
      <c r="AA1415" s="160"/>
      <c r="AB1415" s="160"/>
    </row>
    <row r="1416">
      <c r="A1416" s="176"/>
      <c r="B1416" s="179"/>
      <c r="C1416" s="184">
        <v>44585.0</v>
      </c>
      <c r="D1416" s="101"/>
      <c r="E1416" s="61"/>
      <c r="F1416" s="61"/>
      <c r="G1416" s="128"/>
      <c r="H1416" s="39"/>
      <c r="I1416" s="39"/>
      <c r="J1416" s="61"/>
      <c r="K1416" s="8"/>
      <c r="L1416" s="8"/>
      <c r="M1416" s="8"/>
      <c r="N1416" s="8"/>
      <c r="O1416" s="8"/>
      <c r="P1416" s="160"/>
      <c r="Q1416" s="160"/>
      <c r="R1416" s="160"/>
      <c r="S1416" s="160"/>
      <c r="T1416" s="160"/>
      <c r="U1416" s="160"/>
      <c r="V1416" s="160"/>
      <c r="W1416" s="160"/>
      <c r="X1416" s="160"/>
      <c r="Y1416" s="160"/>
      <c r="Z1416" s="160"/>
      <c r="AA1416" s="160"/>
      <c r="AB1416" s="160"/>
    </row>
    <row r="1417">
      <c r="A1417" s="176"/>
      <c r="B1417" s="185" t="s">
        <v>1450</v>
      </c>
      <c r="C1417" s="181" t="s">
        <v>1609</v>
      </c>
      <c r="D1417" s="101"/>
      <c r="E1417" s="200" t="s">
        <v>2203</v>
      </c>
      <c r="F1417" s="11"/>
      <c r="G1417" s="128"/>
      <c r="H1417" s="128"/>
      <c r="I1417" s="128"/>
      <c r="J1417" s="128"/>
      <c r="K1417" s="8"/>
      <c r="L1417" s="8"/>
      <c r="M1417" s="8"/>
      <c r="N1417" s="8"/>
      <c r="O1417" s="8"/>
      <c r="P1417" s="160"/>
      <c r="Q1417" s="160"/>
      <c r="R1417" s="160"/>
      <c r="S1417" s="160"/>
      <c r="T1417" s="160"/>
      <c r="U1417" s="160"/>
      <c r="V1417" s="160"/>
      <c r="W1417" s="160"/>
      <c r="X1417" s="160"/>
      <c r="Y1417" s="160"/>
      <c r="Z1417" s="160"/>
      <c r="AA1417" s="160"/>
      <c r="AB1417" s="160"/>
    </row>
    <row r="1418">
      <c r="A1418" s="176"/>
      <c r="B1418" s="66"/>
      <c r="C1418" s="181" t="s">
        <v>1609</v>
      </c>
      <c r="D1418" s="48" t="s">
        <v>1791</v>
      </c>
      <c r="E1418" s="124" t="s">
        <v>2433</v>
      </c>
      <c r="F1418" s="124" t="s">
        <v>2434</v>
      </c>
      <c r="G1418" s="43">
        <v>0.5208333333333334</v>
      </c>
      <c r="H1418" s="44" t="s">
        <v>2435</v>
      </c>
      <c r="I1418" s="44" t="s">
        <v>2436</v>
      </c>
      <c r="J1418" s="124" t="s">
        <v>2437</v>
      </c>
      <c r="K1418" s="39" t="s">
        <v>2438</v>
      </c>
      <c r="L1418" s="8"/>
      <c r="M1418" s="8"/>
      <c r="N1418" s="8"/>
      <c r="O1418" s="8"/>
      <c r="P1418" s="160"/>
      <c r="Q1418" s="160"/>
      <c r="R1418" s="160"/>
      <c r="S1418" s="160"/>
      <c r="T1418" s="160"/>
      <c r="U1418" s="160"/>
      <c r="V1418" s="160"/>
      <c r="W1418" s="160"/>
      <c r="X1418" s="160"/>
      <c r="Y1418" s="160"/>
      <c r="Z1418" s="160"/>
      <c r="AA1418" s="160"/>
      <c r="AB1418" s="160"/>
    </row>
    <row r="1419">
      <c r="A1419" s="176"/>
      <c r="B1419" s="66"/>
      <c r="C1419" s="181" t="s">
        <v>1609</v>
      </c>
      <c r="D1419" s="27" t="s">
        <v>1791</v>
      </c>
      <c r="E1419" s="15" t="s">
        <v>814</v>
      </c>
      <c r="F1419" s="15" t="s">
        <v>815</v>
      </c>
      <c r="G1419" s="22">
        <v>0.5833333333333334</v>
      </c>
      <c r="H1419" s="195" t="s">
        <v>2387</v>
      </c>
      <c r="I1419" s="18" t="s">
        <v>2439</v>
      </c>
      <c r="J1419" s="62" t="s">
        <v>2440</v>
      </c>
      <c r="K1419" s="8"/>
      <c r="L1419" s="8"/>
      <c r="M1419" s="8"/>
      <c r="N1419" s="8"/>
      <c r="O1419" s="8"/>
      <c r="P1419" s="160"/>
      <c r="Q1419" s="160"/>
      <c r="R1419" s="160"/>
      <c r="S1419" s="160"/>
      <c r="T1419" s="160"/>
      <c r="U1419" s="160"/>
      <c r="V1419" s="160"/>
      <c r="W1419" s="160"/>
      <c r="X1419" s="160"/>
      <c r="Y1419" s="160"/>
      <c r="Z1419" s="160"/>
      <c r="AA1419" s="160"/>
      <c r="AB1419" s="160"/>
    </row>
    <row r="1420">
      <c r="A1420" s="176"/>
      <c r="B1420" s="66"/>
      <c r="C1420" s="181" t="s">
        <v>1609</v>
      </c>
      <c r="D1420" s="195" t="s">
        <v>1791</v>
      </c>
      <c r="E1420" s="196" t="s">
        <v>2385</v>
      </c>
      <c r="F1420" s="196" t="s">
        <v>2386</v>
      </c>
      <c r="G1420" s="255">
        <v>0.625</v>
      </c>
      <c r="H1420" s="195" t="s">
        <v>2387</v>
      </c>
      <c r="I1420" s="195" t="s">
        <v>2388</v>
      </c>
      <c r="J1420" s="256" t="s">
        <v>2389</v>
      </c>
      <c r="K1420" s="8"/>
      <c r="L1420" s="8"/>
      <c r="M1420" s="8"/>
      <c r="N1420" s="8"/>
      <c r="O1420" s="8"/>
      <c r="P1420" s="160"/>
      <c r="Q1420" s="160"/>
      <c r="R1420" s="160"/>
      <c r="S1420" s="160"/>
      <c r="T1420" s="160"/>
      <c r="U1420" s="160"/>
      <c r="V1420" s="160"/>
      <c r="W1420" s="160"/>
      <c r="X1420" s="160"/>
      <c r="Y1420" s="160"/>
      <c r="Z1420" s="160"/>
      <c r="AA1420" s="160"/>
      <c r="AB1420" s="160"/>
    </row>
    <row r="1421">
      <c r="A1421" s="176"/>
      <c r="B1421" s="67"/>
      <c r="C1421" s="181" t="s">
        <v>1609</v>
      </c>
      <c r="D1421" s="101"/>
      <c r="E1421" s="61"/>
      <c r="F1421" s="61"/>
      <c r="G1421" s="128"/>
      <c r="H1421" s="39"/>
      <c r="I1421" s="39"/>
      <c r="J1421" s="61"/>
      <c r="K1421" s="8"/>
      <c r="L1421" s="8"/>
      <c r="M1421" s="8"/>
      <c r="N1421" s="8"/>
      <c r="O1421" s="8"/>
      <c r="P1421" s="160"/>
      <c r="Q1421" s="160"/>
      <c r="R1421" s="160"/>
      <c r="S1421" s="160"/>
      <c r="T1421" s="160"/>
      <c r="U1421" s="160"/>
      <c r="V1421" s="160"/>
      <c r="W1421" s="160"/>
      <c r="X1421" s="160"/>
      <c r="Y1421" s="160"/>
      <c r="Z1421" s="160"/>
      <c r="AA1421" s="160"/>
      <c r="AB1421" s="160"/>
    </row>
    <row r="1422">
      <c r="A1422" s="176"/>
      <c r="B1422" s="179"/>
      <c r="C1422" s="184">
        <v>44588.0</v>
      </c>
      <c r="D1422" s="101"/>
      <c r="E1422" s="61"/>
      <c r="F1422" s="61"/>
      <c r="G1422" s="128"/>
      <c r="H1422" s="39"/>
      <c r="I1422" s="39"/>
      <c r="J1422" s="61"/>
      <c r="K1422" s="8"/>
      <c r="L1422" s="8"/>
      <c r="M1422" s="8"/>
      <c r="N1422" s="8"/>
      <c r="O1422" s="8"/>
      <c r="P1422" s="160"/>
      <c r="Q1422" s="160"/>
      <c r="R1422" s="160"/>
      <c r="S1422" s="160"/>
      <c r="T1422" s="160"/>
      <c r="U1422" s="160"/>
      <c r="V1422" s="160"/>
      <c r="W1422" s="160"/>
      <c r="X1422" s="160"/>
      <c r="Y1422" s="160"/>
      <c r="Z1422" s="160"/>
      <c r="AA1422" s="160"/>
      <c r="AB1422" s="160"/>
    </row>
    <row r="1423">
      <c r="A1423" s="176"/>
      <c r="B1423" s="257" t="s">
        <v>1450</v>
      </c>
      <c r="C1423" s="258" t="s">
        <v>1609</v>
      </c>
      <c r="D1423" s="101"/>
      <c r="E1423" s="200" t="s">
        <v>2203</v>
      </c>
      <c r="F1423" s="11"/>
      <c r="G1423" s="128"/>
      <c r="H1423" s="39"/>
      <c r="I1423" s="39"/>
      <c r="J1423" s="61"/>
      <c r="K1423" s="8"/>
      <c r="L1423" s="8"/>
      <c r="M1423" s="8"/>
      <c r="N1423" s="8"/>
      <c r="O1423" s="8"/>
      <c r="P1423" s="160"/>
      <c r="Q1423" s="160"/>
      <c r="R1423" s="160"/>
      <c r="S1423" s="160"/>
      <c r="T1423" s="160"/>
      <c r="U1423" s="160"/>
      <c r="V1423" s="160"/>
      <c r="W1423" s="160"/>
      <c r="X1423" s="160"/>
      <c r="Y1423" s="160"/>
      <c r="Z1423" s="160"/>
      <c r="AA1423" s="160"/>
      <c r="AB1423" s="160"/>
    </row>
    <row r="1424">
      <c r="A1424" s="176"/>
      <c r="B1424" s="66"/>
      <c r="C1424" s="181" t="s">
        <v>1609</v>
      </c>
      <c r="D1424" s="101"/>
      <c r="E1424" s="61"/>
      <c r="F1424" s="61"/>
      <c r="G1424" s="128"/>
      <c r="H1424" s="39"/>
      <c r="I1424" s="39"/>
      <c r="J1424" s="61"/>
      <c r="K1424" s="8"/>
      <c r="L1424" s="8"/>
      <c r="M1424" s="8"/>
      <c r="N1424" s="8"/>
      <c r="O1424" s="8"/>
      <c r="P1424" s="160"/>
      <c r="Q1424" s="160"/>
      <c r="R1424" s="160"/>
      <c r="S1424" s="160"/>
      <c r="T1424" s="160"/>
      <c r="U1424" s="160"/>
      <c r="V1424" s="160"/>
      <c r="W1424" s="160"/>
      <c r="X1424" s="160"/>
      <c r="Y1424" s="160"/>
      <c r="Z1424" s="160"/>
      <c r="AA1424" s="160"/>
      <c r="AB1424" s="160"/>
    </row>
    <row r="1425">
      <c r="A1425" s="176"/>
      <c r="B1425" s="66"/>
      <c r="C1425" s="181" t="s">
        <v>1609</v>
      </c>
      <c r="D1425" s="27" t="s">
        <v>819</v>
      </c>
      <c r="E1425" s="259" t="s">
        <v>2441</v>
      </c>
      <c r="F1425" s="259" t="s">
        <v>2442</v>
      </c>
      <c r="G1425" s="22">
        <v>0.4166666666666667</v>
      </c>
      <c r="H1425" s="18" t="s">
        <v>496</v>
      </c>
      <c r="I1425" s="18" t="s">
        <v>2443</v>
      </c>
      <c r="J1425" s="175" t="s">
        <v>2444</v>
      </c>
      <c r="K1425" s="8"/>
      <c r="L1425" s="8"/>
      <c r="M1425" s="8"/>
      <c r="N1425" s="8"/>
      <c r="O1425" s="8"/>
      <c r="P1425" s="160"/>
      <c r="Q1425" s="160"/>
      <c r="R1425" s="160"/>
      <c r="S1425" s="160"/>
      <c r="T1425" s="160"/>
      <c r="U1425" s="160"/>
      <c r="V1425" s="160"/>
      <c r="W1425" s="160"/>
      <c r="X1425" s="160"/>
      <c r="Y1425" s="160"/>
      <c r="Z1425" s="160"/>
      <c r="AA1425" s="160"/>
      <c r="AB1425" s="160"/>
    </row>
    <row r="1426">
      <c r="A1426" s="176"/>
      <c r="B1426" s="66"/>
      <c r="C1426" s="181" t="s">
        <v>1609</v>
      </c>
      <c r="D1426" s="195" t="s">
        <v>1715</v>
      </c>
      <c r="E1426" s="212" t="s">
        <v>2247</v>
      </c>
      <c r="F1426" s="212" t="s">
        <v>2248</v>
      </c>
      <c r="G1426" s="260" t="s">
        <v>366</v>
      </c>
      <c r="H1426" s="198" t="s">
        <v>2249</v>
      </c>
      <c r="I1426" s="225" t="s">
        <v>2445</v>
      </c>
      <c r="J1426" s="240" t="s">
        <v>2251</v>
      </c>
      <c r="K1426" s="8"/>
      <c r="L1426" s="8"/>
      <c r="M1426" s="8"/>
      <c r="N1426" s="8"/>
      <c r="O1426" s="8"/>
      <c r="P1426" s="160"/>
      <c r="Q1426" s="160"/>
      <c r="R1426" s="160"/>
      <c r="S1426" s="160"/>
      <c r="T1426" s="160"/>
      <c r="U1426" s="160"/>
      <c r="V1426" s="160"/>
      <c r="W1426" s="160"/>
      <c r="X1426" s="160"/>
      <c r="Y1426" s="160"/>
      <c r="Z1426" s="160"/>
      <c r="AA1426" s="160"/>
      <c r="AB1426" s="160"/>
    </row>
    <row r="1427">
      <c r="A1427" s="176"/>
      <c r="B1427" s="67"/>
      <c r="C1427" s="181" t="s">
        <v>1609</v>
      </c>
      <c r="D1427" s="27" t="s">
        <v>1791</v>
      </c>
      <c r="E1427" s="122" t="s">
        <v>2433</v>
      </c>
      <c r="F1427" s="122" t="s">
        <v>2434</v>
      </c>
      <c r="G1427" s="22">
        <v>0.6041666666666666</v>
      </c>
      <c r="H1427" s="18" t="s">
        <v>2435</v>
      </c>
      <c r="I1427" s="18" t="s">
        <v>2436</v>
      </c>
      <c r="J1427" s="122" t="s">
        <v>2437</v>
      </c>
      <c r="K1427" s="8"/>
      <c r="L1427" s="8"/>
      <c r="M1427" s="8"/>
      <c r="N1427" s="8"/>
      <c r="O1427" s="8"/>
      <c r="P1427" s="160"/>
      <c r="Q1427" s="160"/>
      <c r="R1427" s="160"/>
      <c r="S1427" s="160"/>
      <c r="T1427" s="160"/>
      <c r="U1427" s="160"/>
      <c r="V1427" s="160"/>
      <c r="W1427" s="160"/>
      <c r="X1427" s="160"/>
      <c r="Y1427" s="160"/>
      <c r="Z1427" s="160"/>
      <c r="AA1427" s="160"/>
      <c r="AB1427" s="160"/>
    </row>
    <row r="1428">
      <c r="A1428" s="176"/>
      <c r="B1428" s="179"/>
      <c r="C1428" s="184">
        <v>44599.0</v>
      </c>
      <c r="D1428" s="101"/>
      <c r="E1428" s="61"/>
      <c r="F1428" s="61"/>
      <c r="G1428" s="128"/>
      <c r="H1428" s="39"/>
      <c r="I1428" s="39"/>
      <c r="J1428" s="61"/>
      <c r="K1428" s="8"/>
      <c r="L1428" s="8"/>
      <c r="M1428" s="8"/>
      <c r="N1428" s="8"/>
      <c r="O1428" s="8"/>
      <c r="P1428" s="160"/>
      <c r="Q1428" s="160"/>
      <c r="R1428" s="160"/>
      <c r="S1428" s="160"/>
      <c r="T1428" s="160"/>
      <c r="U1428" s="160"/>
      <c r="V1428" s="160"/>
      <c r="W1428" s="160"/>
      <c r="X1428" s="160"/>
      <c r="Y1428" s="160"/>
      <c r="Z1428" s="160"/>
      <c r="AA1428" s="160"/>
      <c r="AB1428" s="160"/>
    </row>
    <row r="1429">
      <c r="A1429" s="176"/>
      <c r="B1429" s="185" t="s">
        <v>1450</v>
      </c>
      <c r="C1429" s="181" t="s">
        <v>1609</v>
      </c>
      <c r="D1429" s="101"/>
      <c r="E1429" s="61"/>
      <c r="F1429" s="200" t="s">
        <v>2203</v>
      </c>
      <c r="G1429" s="11"/>
      <c r="I1429" s="39"/>
      <c r="J1429" s="61"/>
      <c r="K1429" s="8"/>
      <c r="L1429" s="8"/>
      <c r="M1429" s="8"/>
      <c r="N1429" s="8"/>
      <c r="O1429" s="8"/>
      <c r="P1429" s="160"/>
      <c r="Q1429" s="160"/>
      <c r="R1429" s="160"/>
      <c r="S1429" s="160"/>
      <c r="T1429" s="160"/>
      <c r="U1429" s="160"/>
      <c r="V1429" s="160"/>
      <c r="W1429" s="160"/>
      <c r="X1429" s="160"/>
      <c r="Y1429" s="160"/>
      <c r="Z1429" s="160"/>
      <c r="AA1429" s="160"/>
      <c r="AB1429" s="160"/>
    </row>
    <row r="1430">
      <c r="A1430" s="176"/>
      <c r="B1430" s="66"/>
      <c r="C1430" s="181" t="s">
        <v>1609</v>
      </c>
      <c r="D1430" s="27" t="s">
        <v>819</v>
      </c>
      <c r="E1430" s="62" t="s">
        <v>2446</v>
      </c>
      <c r="F1430" s="62" t="s">
        <v>2447</v>
      </c>
      <c r="G1430" s="76" t="s">
        <v>344</v>
      </c>
      <c r="H1430" s="18" t="s">
        <v>2448</v>
      </c>
      <c r="I1430" s="18" t="s">
        <v>2449</v>
      </c>
      <c r="J1430" s="62" t="s">
        <v>2450</v>
      </c>
      <c r="K1430" s="8"/>
      <c r="L1430" s="8"/>
      <c r="M1430" s="8"/>
      <c r="N1430" s="8"/>
      <c r="O1430" s="8"/>
      <c r="P1430" s="160"/>
      <c r="Q1430" s="160"/>
      <c r="R1430" s="160"/>
      <c r="S1430" s="160"/>
      <c r="T1430" s="160"/>
      <c r="U1430" s="160"/>
      <c r="V1430" s="160"/>
      <c r="W1430" s="160"/>
      <c r="X1430" s="160"/>
      <c r="Y1430" s="160"/>
      <c r="Z1430" s="160"/>
      <c r="AA1430" s="160"/>
      <c r="AB1430" s="160"/>
    </row>
    <row r="1431">
      <c r="A1431" s="176"/>
      <c r="B1431" s="66"/>
      <c r="C1431" s="181" t="s">
        <v>1609</v>
      </c>
      <c r="D1431" s="27" t="s">
        <v>819</v>
      </c>
      <c r="E1431" s="62" t="s">
        <v>2451</v>
      </c>
      <c r="F1431" s="62" t="s">
        <v>2452</v>
      </c>
      <c r="G1431" s="76" t="s">
        <v>366</v>
      </c>
      <c r="H1431" s="18" t="s">
        <v>92</v>
      </c>
      <c r="I1431" s="18" t="s">
        <v>2453</v>
      </c>
      <c r="J1431" s="62" t="s">
        <v>2454</v>
      </c>
      <c r="K1431" s="8"/>
      <c r="L1431" s="8"/>
      <c r="M1431" s="8"/>
      <c r="N1431" s="8"/>
      <c r="O1431" s="8"/>
      <c r="P1431" s="160"/>
      <c r="Q1431" s="160"/>
      <c r="R1431" s="160"/>
      <c r="S1431" s="160"/>
      <c r="T1431" s="160"/>
      <c r="U1431" s="160"/>
      <c r="V1431" s="160"/>
      <c r="W1431" s="160"/>
      <c r="X1431" s="160"/>
      <c r="Y1431" s="160"/>
      <c r="Z1431" s="160"/>
      <c r="AA1431" s="160"/>
      <c r="AB1431" s="160"/>
    </row>
    <row r="1432">
      <c r="A1432" s="176"/>
      <c r="B1432" s="66"/>
      <c r="C1432" s="181" t="s">
        <v>1609</v>
      </c>
      <c r="D1432" s="27" t="s">
        <v>1791</v>
      </c>
      <c r="E1432" s="62" t="s">
        <v>2455</v>
      </c>
      <c r="F1432" s="62" t="s">
        <v>2456</v>
      </c>
      <c r="G1432" s="76" t="s">
        <v>298</v>
      </c>
      <c r="H1432" s="18" t="s">
        <v>2457</v>
      </c>
      <c r="I1432" s="18" t="s">
        <v>2458</v>
      </c>
      <c r="J1432" s="62" t="s">
        <v>2459</v>
      </c>
      <c r="K1432" s="8"/>
      <c r="L1432" s="8"/>
      <c r="M1432" s="8"/>
      <c r="N1432" s="8"/>
      <c r="O1432" s="8"/>
      <c r="P1432" s="160"/>
      <c r="Q1432" s="160"/>
      <c r="R1432" s="160"/>
      <c r="S1432" s="160"/>
      <c r="T1432" s="160"/>
      <c r="U1432" s="160"/>
      <c r="V1432" s="160"/>
      <c r="W1432" s="160"/>
      <c r="X1432" s="160"/>
      <c r="Y1432" s="160"/>
      <c r="Z1432" s="160"/>
      <c r="AA1432" s="160"/>
      <c r="AB1432" s="160"/>
    </row>
    <row r="1433">
      <c r="A1433" s="176"/>
      <c r="B1433" s="67"/>
      <c r="C1433" s="181" t="s">
        <v>1609</v>
      </c>
      <c r="D1433" s="101"/>
      <c r="F1433" s="150"/>
      <c r="G1433" s="128"/>
      <c r="H1433" s="39"/>
      <c r="I1433" s="39"/>
      <c r="J1433" s="61"/>
      <c r="K1433" s="8"/>
      <c r="L1433" s="8"/>
      <c r="M1433" s="8"/>
      <c r="N1433" s="8"/>
      <c r="O1433" s="8"/>
      <c r="P1433" s="160"/>
      <c r="Q1433" s="160"/>
      <c r="R1433" s="160"/>
      <c r="S1433" s="160"/>
      <c r="T1433" s="160"/>
      <c r="U1433" s="160"/>
      <c r="V1433" s="160"/>
      <c r="W1433" s="160"/>
      <c r="X1433" s="160"/>
      <c r="Y1433" s="160"/>
      <c r="Z1433" s="160"/>
      <c r="AA1433" s="160"/>
      <c r="AB1433" s="160"/>
    </row>
    <row r="1434">
      <c r="A1434" s="176"/>
      <c r="B1434" s="179"/>
      <c r="C1434" s="184">
        <v>44600.0</v>
      </c>
      <c r="D1434" s="101"/>
      <c r="E1434" s="61"/>
      <c r="F1434" s="61"/>
      <c r="G1434" s="128"/>
      <c r="H1434" s="39"/>
      <c r="I1434" s="39"/>
      <c r="J1434" s="61"/>
      <c r="K1434" s="8"/>
      <c r="L1434" s="8"/>
      <c r="M1434" s="8"/>
      <c r="N1434" s="8"/>
      <c r="O1434" s="8"/>
      <c r="P1434" s="160"/>
      <c r="Q1434" s="160"/>
      <c r="R1434" s="160"/>
      <c r="S1434" s="160"/>
      <c r="T1434" s="160"/>
      <c r="U1434" s="160"/>
      <c r="V1434" s="160"/>
      <c r="W1434" s="160"/>
      <c r="X1434" s="160"/>
      <c r="Y1434" s="160"/>
      <c r="Z1434" s="160"/>
      <c r="AA1434" s="160"/>
      <c r="AB1434" s="160"/>
    </row>
    <row r="1435">
      <c r="A1435" s="176"/>
      <c r="B1435" s="185" t="s">
        <v>1450</v>
      </c>
      <c r="C1435" s="181" t="s">
        <v>1609</v>
      </c>
      <c r="D1435" s="101"/>
      <c r="E1435" s="61"/>
      <c r="F1435" s="200" t="s">
        <v>2203</v>
      </c>
      <c r="G1435" s="11"/>
      <c r="I1435" s="39"/>
      <c r="J1435" s="61"/>
      <c r="K1435" s="8"/>
      <c r="L1435" s="8"/>
      <c r="M1435" s="8"/>
      <c r="N1435" s="8"/>
      <c r="O1435" s="8"/>
      <c r="P1435" s="160"/>
      <c r="Q1435" s="160"/>
      <c r="R1435" s="160"/>
      <c r="S1435" s="160"/>
      <c r="T1435" s="160"/>
      <c r="U1435" s="160"/>
      <c r="V1435" s="160"/>
      <c r="W1435" s="160"/>
      <c r="X1435" s="160"/>
      <c r="Y1435" s="160"/>
      <c r="Z1435" s="160"/>
      <c r="AA1435" s="160"/>
      <c r="AB1435" s="160"/>
    </row>
    <row r="1436">
      <c r="A1436" s="176"/>
      <c r="B1436" s="66"/>
      <c r="C1436" s="181" t="s">
        <v>1609</v>
      </c>
      <c r="D1436" s="27" t="s">
        <v>819</v>
      </c>
      <c r="E1436" s="62" t="s">
        <v>2460</v>
      </c>
      <c r="F1436" s="62" t="s">
        <v>2461</v>
      </c>
      <c r="G1436" s="22">
        <v>0.4166666666666667</v>
      </c>
      <c r="H1436" s="18" t="s">
        <v>384</v>
      </c>
      <c r="I1436" s="18" t="s">
        <v>2462</v>
      </c>
      <c r="J1436" s="62" t="s">
        <v>2463</v>
      </c>
      <c r="K1436" s="39" t="s">
        <v>2464</v>
      </c>
      <c r="L1436" s="8"/>
      <c r="M1436" s="8"/>
      <c r="N1436" s="8"/>
      <c r="O1436" s="8"/>
      <c r="P1436" s="160"/>
      <c r="Q1436" s="160"/>
      <c r="R1436" s="160"/>
      <c r="S1436" s="160"/>
      <c r="T1436" s="160"/>
      <c r="U1436" s="160"/>
      <c r="V1436" s="160"/>
      <c r="W1436" s="160"/>
      <c r="X1436" s="160"/>
      <c r="Y1436" s="160"/>
      <c r="Z1436" s="160"/>
      <c r="AA1436" s="160"/>
      <c r="AB1436" s="160"/>
    </row>
    <row r="1437">
      <c r="A1437" s="176"/>
      <c r="B1437" s="66"/>
      <c r="C1437" s="181" t="s">
        <v>1609</v>
      </c>
      <c r="D1437" s="27" t="s">
        <v>819</v>
      </c>
      <c r="E1437" s="62" t="s">
        <v>2465</v>
      </c>
      <c r="F1437" s="62" t="s">
        <v>2466</v>
      </c>
      <c r="G1437" s="22">
        <v>0.5</v>
      </c>
      <c r="H1437" s="18" t="s">
        <v>384</v>
      </c>
      <c r="I1437" s="18" t="s">
        <v>2467</v>
      </c>
      <c r="J1437" s="62" t="s">
        <v>2468</v>
      </c>
      <c r="K1437" s="8"/>
      <c r="L1437" s="8"/>
      <c r="M1437" s="8"/>
      <c r="N1437" s="8"/>
      <c r="O1437" s="8"/>
      <c r="P1437" s="160"/>
      <c r="Q1437" s="160"/>
      <c r="R1437" s="160"/>
      <c r="S1437" s="160"/>
      <c r="T1437" s="160"/>
      <c r="U1437" s="160"/>
      <c r="V1437" s="160"/>
      <c r="W1437" s="160"/>
      <c r="X1437" s="160"/>
      <c r="Y1437" s="160"/>
      <c r="Z1437" s="160"/>
      <c r="AA1437" s="160"/>
      <c r="AB1437" s="160"/>
    </row>
    <row r="1438">
      <c r="A1438" s="176"/>
      <c r="B1438" s="66"/>
      <c r="C1438" s="181" t="s">
        <v>1609</v>
      </c>
      <c r="D1438" s="27" t="s">
        <v>819</v>
      </c>
      <c r="E1438" s="162" t="s">
        <v>2469</v>
      </c>
      <c r="F1438" s="162" t="s">
        <v>2470</v>
      </c>
      <c r="G1438" s="22">
        <v>0.625</v>
      </c>
      <c r="H1438" s="18" t="s">
        <v>384</v>
      </c>
      <c r="I1438" s="18" t="s">
        <v>2471</v>
      </c>
      <c r="J1438" s="162" t="s">
        <v>2472</v>
      </c>
      <c r="K1438" s="39" t="s">
        <v>2473</v>
      </c>
      <c r="L1438" s="8"/>
      <c r="M1438" s="8"/>
      <c r="N1438" s="8"/>
      <c r="O1438" s="8"/>
      <c r="P1438" s="160"/>
      <c r="Q1438" s="160"/>
      <c r="R1438" s="160"/>
      <c r="S1438" s="160"/>
      <c r="T1438" s="160"/>
      <c r="U1438" s="160"/>
      <c r="V1438" s="160"/>
      <c r="W1438" s="160"/>
      <c r="X1438" s="160"/>
      <c r="Y1438" s="160"/>
      <c r="Z1438" s="160"/>
      <c r="AA1438" s="160"/>
      <c r="AB1438" s="160"/>
    </row>
    <row r="1439">
      <c r="A1439" s="176"/>
      <c r="B1439" s="66"/>
      <c r="C1439" s="181" t="s">
        <v>1609</v>
      </c>
      <c r="D1439" s="6"/>
      <c r="E1439" s="6"/>
      <c r="F1439" s="6"/>
      <c r="G1439" s="6"/>
      <c r="H1439" s="6"/>
      <c r="I1439" s="6"/>
      <c r="J1439" s="6"/>
      <c r="K1439" s="8"/>
      <c r="L1439" s="8"/>
      <c r="M1439" s="8"/>
      <c r="N1439" s="8"/>
      <c r="O1439" s="8"/>
      <c r="P1439" s="160"/>
      <c r="Q1439" s="160"/>
      <c r="R1439" s="160"/>
      <c r="S1439" s="160"/>
      <c r="T1439" s="160"/>
      <c r="U1439" s="160"/>
      <c r="V1439" s="160"/>
      <c r="W1439" s="160"/>
      <c r="X1439" s="160"/>
      <c r="Y1439" s="160"/>
      <c r="Z1439" s="160"/>
      <c r="AA1439" s="160"/>
      <c r="AB1439" s="160"/>
    </row>
    <row r="1440">
      <c r="A1440" s="176"/>
      <c r="B1440" s="67"/>
      <c r="C1440" s="181" t="s">
        <v>1609</v>
      </c>
      <c r="D1440" s="101"/>
      <c r="E1440" s="61"/>
      <c r="F1440" s="61"/>
      <c r="G1440" s="128"/>
      <c r="H1440" s="39"/>
      <c r="I1440" s="39"/>
      <c r="J1440" s="61"/>
      <c r="K1440" s="8"/>
      <c r="L1440" s="8"/>
      <c r="M1440" s="8"/>
      <c r="N1440" s="8"/>
      <c r="O1440" s="8"/>
      <c r="P1440" s="160"/>
      <c r="Q1440" s="160"/>
      <c r="R1440" s="160"/>
      <c r="S1440" s="160"/>
      <c r="T1440" s="160"/>
      <c r="U1440" s="160"/>
      <c r="V1440" s="160"/>
      <c r="W1440" s="160"/>
      <c r="X1440" s="160"/>
      <c r="Y1440" s="160"/>
      <c r="Z1440" s="160"/>
      <c r="AA1440" s="160"/>
      <c r="AB1440" s="160"/>
    </row>
    <row r="1441">
      <c r="A1441" s="176"/>
      <c r="B1441" s="179"/>
      <c r="C1441" s="184">
        <v>44602.0</v>
      </c>
      <c r="D1441" s="101"/>
      <c r="E1441" s="61"/>
      <c r="F1441" s="61"/>
      <c r="G1441" s="128"/>
      <c r="H1441" s="39"/>
      <c r="I1441" s="39"/>
      <c r="J1441" s="61"/>
      <c r="K1441" s="8"/>
      <c r="L1441" s="8"/>
      <c r="M1441" s="8"/>
      <c r="N1441" s="8"/>
      <c r="O1441" s="8"/>
      <c r="P1441" s="160"/>
      <c r="Q1441" s="160"/>
      <c r="R1441" s="160"/>
      <c r="S1441" s="160"/>
      <c r="T1441" s="160"/>
      <c r="U1441" s="160"/>
      <c r="V1441" s="160"/>
      <c r="W1441" s="160"/>
      <c r="X1441" s="160"/>
      <c r="Y1441" s="160"/>
      <c r="Z1441" s="160"/>
      <c r="AA1441" s="160"/>
      <c r="AB1441" s="160"/>
    </row>
    <row r="1442">
      <c r="A1442" s="176"/>
      <c r="B1442" s="185" t="s">
        <v>1450</v>
      </c>
      <c r="C1442" s="181" t="s">
        <v>1609</v>
      </c>
      <c r="D1442" s="101"/>
      <c r="E1442" s="61"/>
      <c r="F1442" s="200" t="s">
        <v>2203</v>
      </c>
      <c r="G1442" s="11"/>
      <c r="I1442" s="39"/>
      <c r="J1442" s="61"/>
      <c r="K1442" s="8"/>
      <c r="L1442" s="8"/>
      <c r="M1442" s="8"/>
      <c r="N1442" s="8"/>
      <c r="O1442" s="8"/>
      <c r="P1442" s="160"/>
      <c r="Q1442" s="160"/>
      <c r="R1442" s="160"/>
      <c r="S1442" s="160"/>
      <c r="T1442" s="160"/>
      <c r="U1442" s="160"/>
      <c r="V1442" s="160"/>
      <c r="W1442" s="160"/>
      <c r="X1442" s="160"/>
      <c r="Y1442" s="160"/>
      <c r="Z1442" s="160"/>
      <c r="AA1442" s="160"/>
      <c r="AB1442" s="160"/>
    </row>
    <row r="1443">
      <c r="A1443" s="176"/>
      <c r="B1443" s="66"/>
      <c r="C1443" s="181" t="s">
        <v>1609</v>
      </c>
      <c r="D1443" s="27" t="s">
        <v>2474</v>
      </c>
      <c r="E1443" s="144" t="s">
        <v>1455</v>
      </c>
      <c r="F1443" s="144" t="s">
        <v>1456</v>
      </c>
      <c r="G1443" s="76" t="s">
        <v>344</v>
      </c>
      <c r="H1443" s="18" t="s">
        <v>2475</v>
      </c>
      <c r="I1443" s="18" t="s">
        <v>2476</v>
      </c>
      <c r="J1443" s="62" t="s">
        <v>2477</v>
      </c>
      <c r="K1443" s="39" t="s">
        <v>1323</v>
      </c>
      <c r="L1443" s="39" t="s">
        <v>2478</v>
      </c>
      <c r="M1443" s="8"/>
      <c r="N1443" s="8"/>
      <c r="O1443" s="8"/>
      <c r="P1443" s="160"/>
      <c r="Q1443" s="160"/>
      <c r="R1443" s="160"/>
      <c r="S1443" s="160"/>
      <c r="T1443" s="160"/>
      <c r="U1443" s="160"/>
      <c r="V1443" s="160"/>
      <c r="W1443" s="160"/>
      <c r="X1443" s="160"/>
      <c r="Y1443" s="160"/>
      <c r="Z1443" s="160"/>
      <c r="AA1443" s="160"/>
      <c r="AB1443" s="160"/>
    </row>
    <row r="1444">
      <c r="A1444" s="176"/>
      <c r="B1444" s="66"/>
      <c r="C1444" s="181" t="s">
        <v>1609</v>
      </c>
      <c r="D1444" s="48" t="s">
        <v>2474</v>
      </c>
      <c r="E1444" s="155" t="s">
        <v>1976</v>
      </c>
      <c r="F1444" s="155" t="s">
        <v>1977</v>
      </c>
      <c r="G1444" s="43">
        <v>0.5625</v>
      </c>
      <c r="H1444" s="44" t="s">
        <v>2479</v>
      </c>
      <c r="I1444" s="44" t="s">
        <v>2480</v>
      </c>
      <c r="J1444" s="155" t="s">
        <v>1979</v>
      </c>
      <c r="K1444" s="39" t="s">
        <v>2481</v>
      </c>
      <c r="L1444" s="8"/>
      <c r="M1444" s="8"/>
      <c r="N1444" s="8"/>
      <c r="O1444" s="8"/>
      <c r="P1444" s="160"/>
      <c r="Q1444" s="160"/>
      <c r="R1444" s="160"/>
      <c r="S1444" s="160"/>
      <c r="T1444" s="160"/>
      <c r="U1444" s="160"/>
      <c r="V1444" s="160"/>
      <c r="W1444" s="160"/>
      <c r="X1444" s="160"/>
      <c r="Y1444" s="160"/>
      <c r="Z1444" s="160"/>
      <c r="AA1444" s="160"/>
      <c r="AB1444" s="160"/>
    </row>
    <row r="1445">
      <c r="A1445" s="176"/>
      <c r="B1445" s="66"/>
      <c r="C1445" s="181" t="s">
        <v>1609</v>
      </c>
      <c r="D1445" s="48" t="s">
        <v>2474</v>
      </c>
      <c r="E1445" s="248" t="s">
        <v>2482</v>
      </c>
      <c r="F1445" s="248" t="s">
        <v>2483</v>
      </c>
      <c r="G1445" s="70" t="s">
        <v>298</v>
      </c>
      <c r="H1445" s="44" t="s">
        <v>2479</v>
      </c>
      <c r="I1445" s="148" t="s">
        <v>2484</v>
      </c>
      <c r="J1445" s="261" t="s">
        <v>2485</v>
      </c>
      <c r="K1445" s="39" t="s">
        <v>2486</v>
      </c>
      <c r="L1445" s="8"/>
      <c r="M1445" s="8"/>
      <c r="N1445" s="8"/>
      <c r="O1445" s="8"/>
      <c r="P1445" s="160"/>
      <c r="Q1445" s="160"/>
      <c r="R1445" s="160"/>
      <c r="S1445" s="160"/>
      <c r="T1445" s="160"/>
      <c r="U1445" s="160"/>
      <c r="V1445" s="160"/>
      <c r="W1445" s="160"/>
      <c r="X1445" s="160"/>
      <c r="Y1445" s="160"/>
      <c r="Z1445" s="160"/>
      <c r="AA1445" s="160"/>
      <c r="AB1445" s="160"/>
    </row>
    <row r="1446">
      <c r="A1446" s="176"/>
      <c r="B1446" s="67"/>
      <c r="C1446" s="181" t="s">
        <v>1609</v>
      </c>
      <c r="D1446" s="101"/>
      <c r="E1446" s="6"/>
      <c r="F1446" s="6"/>
      <c r="H1446" s="39"/>
      <c r="I1446" s="39"/>
      <c r="J1446" s="61"/>
      <c r="K1446" s="8"/>
      <c r="L1446" s="8"/>
      <c r="M1446" s="8"/>
      <c r="N1446" s="8"/>
      <c r="O1446" s="8"/>
      <c r="P1446" s="160"/>
      <c r="Q1446" s="160"/>
      <c r="R1446" s="160"/>
      <c r="S1446" s="160"/>
      <c r="T1446" s="160"/>
      <c r="U1446" s="160"/>
      <c r="V1446" s="160"/>
      <c r="W1446" s="160"/>
      <c r="X1446" s="160"/>
      <c r="Y1446" s="160"/>
      <c r="Z1446" s="160"/>
      <c r="AA1446" s="160"/>
      <c r="AB1446" s="160"/>
    </row>
    <row r="1447">
      <c r="A1447" s="176"/>
      <c r="B1447" s="179"/>
      <c r="C1447" s="184">
        <v>44603.0</v>
      </c>
      <c r="D1447" s="101"/>
      <c r="E1447" s="61"/>
      <c r="F1447" s="61"/>
      <c r="G1447" s="128"/>
      <c r="H1447" s="39"/>
      <c r="I1447" s="39"/>
      <c r="J1447" s="61"/>
      <c r="K1447" s="8"/>
      <c r="L1447" s="8"/>
      <c r="M1447" s="8"/>
      <c r="N1447" s="8"/>
      <c r="O1447" s="8"/>
      <c r="P1447" s="160"/>
      <c r="Q1447" s="160"/>
      <c r="R1447" s="160"/>
      <c r="S1447" s="160"/>
      <c r="T1447" s="160"/>
      <c r="U1447" s="160"/>
      <c r="V1447" s="160"/>
      <c r="W1447" s="160"/>
      <c r="X1447" s="160"/>
      <c r="Y1447" s="160"/>
      <c r="Z1447" s="160"/>
      <c r="AA1447" s="160"/>
      <c r="AB1447" s="160"/>
    </row>
    <row r="1448">
      <c r="A1448" s="176"/>
      <c r="B1448" s="185" t="s">
        <v>1450</v>
      </c>
      <c r="C1448" s="181" t="s">
        <v>1609</v>
      </c>
      <c r="D1448" s="101"/>
      <c r="E1448" s="61"/>
      <c r="F1448" s="200" t="s">
        <v>2203</v>
      </c>
      <c r="G1448" s="11"/>
      <c r="H1448" s="262" t="s">
        <v>2487</v>
      </c>
      <c r="I1448" s="57"/>
      <c r="J1448" s="61"/>
      <c r="K1448" s="8"/>
      <c r="L1448" s="8"/>
      <c r="M1448" s="8"/>
      <c r="N1448" s="8"/>
      <c r="O1448" s="8"/>
      <c r="P1448" s="160"/>
      <c r="Q1448" s="160"/>
      <c r="R1448" s="160"/>
      <c r="S1448" s="160"/>
      <c r="T1448" s="160"/>
      <c r="U1448" s="160"/>
      <c r="V1448" s="160"/>
      <c r="W1448" s="160"/>
      <c r="X1448" s="160"/>
      <c r="Y1448" s="160"/>
      <c r="Z1448" s="160"/>
      <c r="AA1448" s="160"/>
      <c r="AB1448" s="160"/>
    </row>
    <row r="1449">
      <c r="A1449" s="176"/>
      <c r="B1449" s="66"/>
      <c r="C1449" s="181" t="s">
        <v>1609</v>
      </c>
      <c r="D1449" s="27" t="s">
        <v>2474</v>
      </c>
      <c r="E1449" s="259" t="s">
        <v>2488</v>
      </c>
      <c r="F1449" s="259" t="s">
        <v>2489</v>
      </c>
      <c r="G1449" s="76" t="s">
        <v>344</v>
      </c>
      <c r="H1449" s="18" t="s">
        <v>1633</v>
      </c>
      <c r="I1449" s="18" t="s">
        <v>2490</v>
      </c>
      <c r="J1449" s="259" t="s">
        <v>2491</v>
      </c>
      <c r="K1449" s="8"/>
      <c r="L1449" s="8"/>
      <c r="M1449" s="8"/>
      <c r="N1449" s="8"/>
      <c r="O1449" s="8"/>
      <c r="P1449" s="160"/>
      <c r="Q1449" s="160"/>
      <c r="R1449" s="160"/>
      <c r="S1449" s="160"/>
      <c r="T1449" s="160"/>
      <c r="U1449" s="160"/>
      <c r="V1449" s="160"/>
      <c r="W1449" s="160"/>
      <c r="X1449" s="160"/>
      <c r="Y1449" s="160"/>
      <c r="Z1449" s="160"/>
      <c r="AA1449" s="160"/>
      <c r="AB1449" s="160"/>
    </row>
    <row r="1450">
      <c r="A1450" s="176"/>
      <c r="B1450" s="66"/>
      <c r="C1450" s="181" t="s">
        <v>1609</v>
      </c>
      <c r="D1450" s="48" t="s">
        <v>2474</v>
      </c>
      <c r="E1450" s="263" t="s">
        <v>726</v>
      </c>
      <c r="F1450" s="263" t="s">
        <v>727</v>
      </c>
      <c r="G1450" s="70" t="s">
        <v>366</v>
      </c>
      <c r="H1450" s="44" t="s">
        <v>505</v>
      </c>
      <c r="I1450" s="44" t="s">
        <v>2492</v>
      </c>
      <c r="J1450" s="261" t="s">
        <v>730</v>
      </c>
      <c r="K1450" s="39" t="s">
        <v>2493</v>
      </c>
      <c r="L1450" s="8"/>
      <c r="M1450" s="8"/>
      <c r="N1450" s="8"/>
      <c r="O1450" s="8"/>
      <c r="P1450" s="160"/>
      <c r="Q1450" s="160"/>
      <c r="R1450" s="160"/>
      <c r="S1450" s="160"/>
      <c r="T1450" s="160"/>
      <c r="U1450" s="160"/>
      <c r="V1450" s="160"/>
      <c r="W1450" s="160"/>
      <c r="X1450" s="160"/>
      <c r="Y1450" s="160"/>
      <c r="Z1450" s="160"/>
      <c r="AA1450" s="160"/>
      <c r="AB1450" s="160"/>
    </row>
    <row r="1451">
      <c r="A1451" s="176"/>
      <c r="B1451" s="66"/>
      <c r="C1451" s="181" t="s">
        <v>1609</v>
      </c>
      <c r="D1451" s="27" t="s">
        <v>819</v>
      </c>
      <c r="E1451" s="62" t="s">
        <v>2494</v>
      </c>
      <c r="F1451" s="62" t="s">
        <v>2495</v>
      </c>
      <c r="G1451" s="22">
        <v>0.5833333333333334</v>
      </c>
      <c r="H1451" s="18" t="s">
        <v>2496</v>
      </c>
      <c r="I1451" s="18" t="s">
        <v>2497</v>
      </c>
      <c r="J1451" s="62" t="s">
        <v>2498</v>
      </c>
      <c r="K1451" s="8"/>
      <c r="L1451" s="8"/>
      <c r="M1451" s="8"/>
      <c r="N1451" s="8"/>
      <c r="O1451" s="8"/>
      <c r="P1451" s="160"/>
      <c r="Q1451" s="160"/>
      <c r="R1451" s="160"/>
      <c r="S1451" s="160"/>
      <c r="T1451" s="160"/>
      <c r="U1451" s="160"/>
      <c r="V1451" s="160"/>
      <c r="W1451" s="160"/>
      <c r="X1451" s="160"/>
      <c r="Y1451" s="160"/>
      <c r="Z1451" s="160"/>
      <c r="AA1451" s="160"/>
      <c r="AB1451" s="160"/>
    </row>
    <row r="1452">
      <c r="A1452" s="176"/>
      <c r="B1452" s="67"/>
      <c r="C1452" s="181" t="s">
        <v>1609</v>
      </c>
      <c r="D1452" s="101"/>
      <c r="H1452" s="264"/>
      <c r="I1452" s="264"/>
      <c r="K1452" s="8"/>
      <c r="L1452" s="8"/>
      <c r="M1452" s="8"/>
      <c r="N1452" s="8"/>
      <c r="O1452" s="8"/>
      <c r="P1452" s="160"/>
      <c r="Q1452" s="160"/>
      <c r="R1452" s="160"/>
      <c r="S1452" s="160"/>
      <c r="T1452" s="160"/>
      <c r="U1452" s="160"/>
      <c r="V1452" s="160"/>
      <c r="W1452" s="160"/>
      <c r="X1452" s="160"/>
      <c r="Y1452" s="160"/>
      <c r="Z1452" s="160"/>
      <c r="AA1452" s="160"/>
      <c r="AB1452" s="160"/>
    </row>
    <row r="1453">
      <c r="A1453" s="176"/>
      <c r="B1453" s="179"/>
      <c r="C1453" s="184">
        <v>44606.0</v>
      </c>
      <c r="D1453" s="101"/>
      <c r="E1453" s="61"/>
      <c r="F1453" s="61"/>
      <c r="G1453" s="128"/>
      <c r="H1453" s="39"/>
      <c r="I1453" s="39"/>
      <c r="J1453" s="61"/>
      <c r="K1453" s="8"/>
      <c r="L1453" s="8"/>
      <c r="M1453" s="8"/>
      <c r="N1453" s="8"/>
      <c r="O1453" s="8"/>
      <c r="P1453" s="160"/>
      <c r="Q1453" s="160"/>
      <c r="R1453" s="160"/>
      <c r="S1453" s="160"/>
      <c r="T1453" s="160"/>
      <c r="U1453" s="160"/>
      <c r="V1453" s="160"/>
      <c r="W1453" s="160"/>
      <c r="X1453" s="160"/>
      <c r="Y1453" s="160"/>
      <c r="Z1453" s="160"/>
      <c r="AA1453" s="160"/>
      <c r="AB1453" s="160"/>
    </row>
    <row r="1454">
      <c r="A1454" s="176"/>
      <c r="B1454" s="185" t="s">
        <v>1450</v>
      </c>
      <c r="C1454" s="181" t="s">
        <v>1609</v>
      </c>
      <c r="D1454" s="101"/>
      <c r="E1454" s="61"/>
      <c r="F1454" s="204" t="s">
        <v>2499</v>
      </c>
      <c r="G1454" s="128"/>
      <c r="H1454" s="39"/>
      <c r="I1454" s="39"/>
      <c r="J1454" s="61"/>
      <c r="K1454" s="8"/>
      <c r="L1454" s="8"/>
      <c r="M1454" s="8"/>
      <c r="N1454" s="8"/>
      <c r="O1454" s="8"/>
      <c r="P1454" s="160"/>
      <c r="Q1454" s="160"/>
      <c r="R1454" s="160"/>
      <c r="S1454" s="160"/>
      <c r="T1454" s="160"/>
      <c r="U1454" s="160"/>
      <c r="V1454" s="160"/>
      <c r="W1454" s="160"/>
      <c r="X1454" s="160"/>
      <c r="Y1454" s="160"/>
      <c r="Z1454" s="160"/>
      <c r="AA1454" s="160"/>
      <c r="AB1454" s="160"/>
    </row>
    <row r="1455">
      <c r="A1455" s="176"/>
      <c r="B1455" s="66"/>
      <c r="C1455" s="181" t="s">
        <v>1609</v>
      </c>
      <c r="D1455" s="101"/>
      <c r="E1455" s="61"/>
      <c r="F1455" s="61"/>
      <c r="G1455" s="128"/>
      <c r="H1455" s="39"/>
      <c r="I1455" s="39"/>
      <c r="J1455" s="61"/>
      <c r="K1455" s="8"/>
      <c r="L1455" s="8"/>
      <c r="M1455" s="8"/>
      <c r="N1455" s="8"/>
      <c r="O1455" s="8"/>
      <c r="P1455" s="160"/>
      <c r="Q1455" s="160"/>
      <c r="R1455" s="160"/>
      <c r="S1455" s="160"/>
      <c r="T1455" s="160"/>
      <c r="U1455" s="160"/>
      <c r="V1455" s="160"/>
      <c r="W1455" s="160"/>
      <c r="X1455" s="160"/>
      <c r="Y1455" s="160"/>
      <c r="Z1455" s="160"/>
      <c r="AA1455" s="160"/>
      <c r="AB1455" s="160"/>
    </row>
    <row r="1456">
      <c r="A1456" s="176"/>
      <c r="B1456" s="66"/>
      <c r="C1456" s="181" t="s">
        <v>1609</v>
      </c>
      <c r="D1456" s="48" t="s">
        <v>2474</v>
      </c>
      <c r="E1456" s="155" t="s">
        <v>1976</v>
      </c>
      <c r="F1456" s="155" t="s">
        <v>1977</v>
      </c>
      <c r="G1456" s="43">
        <v>0.625</v>
      </c>
      <c r="H1456" s="44" t="s">
        <v>2500</v>
      </c>
      <c r="I1456" s="44" t="s">
        <v>2501</v>
      </c>
      <c r="J1456" s="155" t="s">
        <v>1979</v>
      </c>
      <c r="K1456" s="39" t="s">
        <v>2502</v>
      </c>
      <c r="L1456" s="8"/>
      <c r="M1456" s="8"/>
      <c r="N1456" s="8"/>
      <c r="O1456" s="8"/>
      <c r="P1456" s="160"/>
      <c r="Q1456" s="160"/>
      <c r="R1456" s="160"/>
      <c r="S1456" s="160"/>
      <c r="T1456" s="160"/>
      <c r="U1456" s="160"/>
      <c r="V1456" s="160"/>
      <c r="W1456" s="160"/>
      <c r="X1456" s="160"/>
      <c r="Y1456" s="160"/>
      <c r="Z1456" s="160"/>
      <c r="AA1456" s="160"/>
      <c r="AB1456" s="160"/>
    </row>
    <row r="1457">
      <c r="A1457" s="176"/>
      <c r="B1457" s="66"/>
      <c r="C1457" s="181" t="s">
        <v>1609</v>
      </c>
      <c r="D1457" s="101"/>
      <c r="E1457" s="61"/>
      <c r="F1457" s="61"/>
      <c r="G1457" s="128"/>
      <c r="H1457" s="39"/>
      <c r="I1457" s="39"/>
      <c r="J1457" s="61"/>
      <c r="K1457" s="8"/>
      <c r="L1457" s="8"/>
      <c r="M1457" s="8"/>
      <c r="N1457" s="8"/>
      <c r="O1457" s="8"/>
      <c r="P1457" s="160"/>
      <c r="Q1457" s="160"/>
      <c r="R1457" s="160"/>
      <c r="S1457" s="160"/>
      <c r="T1457" s="160"/>
      <c r="U1457" s="160"/>
      <c r="V1457" s="160"/>
      <c r="W1457" s="160"/>
      <c r="X1457" s="160"/>
      <c r="Y1457" s="160"/>
      <c r="Z1457" s="160"/>
      <c r="AA1457" s="160"/>
      <c r="AB1457" s="160"/>
    </row>
    <row r="1458">
      <c r="A1458" s="176"/>
      <c r="B1458" s="67"/>
      <c r="C1458" s="181" t="s">
        <v>1609</v>
      </c>
      <c r="D1458" s="101"/>
      <c r="E1458" s="61"/>
      <c r="F1458" s="61"/>
      <c r="G1458" s="128"/>
      <c r="H1458" s="39"/>
      <c r="I1458" s="39"/>
      <c r="J1458" s="61"/>
      <c r="K1458" s="8"/>
      <c r="L1458" s="8"/>
      <c r="M1458" s="8"/>
      <c r="N1458" s="8"/>
      <c r="O1458" s="8"/>
      <c r="P1458" s="160"/>
      <c r="Q1458" s="160"/>
      <c r="R1458" s="160"/>
      <c r="S1458" s="160"/>
      <c r="T1458" s="160"/>
      <c r="U1458" s="160"/>
      <c r="V1458" s="160"/>
      <c r="W1458" s="160"/>
      <c r="X1458" s="160"/>
      <c r="Y1458" s="160"/>
      <c r="Z1458" s="160"/>
      <c r="AA1458" s="160"/>
      <c r="AB1458" s="160"/>
    </row>
    <row r="1459">
      <c r="A1459" s="176"/>
      <c r="B1459" s="179"/>
      <c r="C1459" s="184">
        <v>44621.0</v>
      </c>
      <c r="D1459" s="101"/>
      <c r="E1459" s="61"/>
      <c r="F1459" s="61"/>
      <c r="G1459" s="128"/>
      <c r="H1459" s="39"/>
      <c r="I1459" s="39"/>
      <c r="J1459" s="61"/>
      <c r="K1459" s="8"/>
      <c r="L1459" s="8"/>
      <c r="M1459" s="8"/>
      <c r="N1459" s="8"/>
      <c r="O1459" s="8"/>
      <c r="P1459" s="160"/>
      <c r="Q1459" s="160"/>
      <c r="R1459" s="160"/>
      <c r="S1459" s="160"/>
      <c r="T1459" s="160"/>
      <c r="U1459" s="160"/>
      <c r="V1459" s="160"/>
      <c r="W1459" s="160"/>
      <c r="X1459" s="160"/>
      <c r="Y1459" s="160"/>
      <c r="Z1459" s="160"/>
      <c r="AA1459" s="160"/>
      <c r="AB1459" s="160"/>
    </row>
    <row r="1460">
      <c r="A1460" s="176"/>
      <c r="B1460" s="185" t="s">
        <v>1450</v>
      </c>
      <c r="C1460" s="181" t="s">
        <v>1609</v>
      </c>
      <c r="D1460" s="101"/>
      <c r="E1460" s="200" t="s">
        <v>2203</v>
      </c>
      <c r="F1460" s="11"/>
      <c r="G1460" s="128"/>
      <c r="H1460" s="39"/>
      <c r="I1460" s="39"/>
      <c r="J1460" s="61"/>
      <c r="K1460" s="8"/>
      <c r="L1460" s="8"/>
      <c r="M1460" s="8"/>
      <c r="N1460" s="8"/>
      <c r="O1460" s="8"/>
      <c r="P1460" s="160"/>
      <c r="Q1460" s="160"/>
      <c r="R1460" s="160"/>
      <c r="S1460" s="160"/>
      <c r="T1460" s="160"/>
      <c r="U1460" s="160"/>
      <c r="V1460" s="160"/>
      <c r="W1460" s="160"/>
      <c r="X1460" s="160"/>
      <c r="Y1460" s="160"/>
      <c r="Z1460" s="160"/>
      <c r="AA1460" s="160"/>
      <c r="AB1460" s="160"/>
    </row>
    <row r="1461">
      <c r="A1461" s="176"/>
      <c r="B1461" s="66"/>
      <c r="C1461" s="181" t="s">
        <v>1609</v>
      </c>
      <c r="D1461" s="101"/>
      <c r="E1461" s="150"/>
      <c r="F1461" s="150"/>
      <c r="G1461" s="128"/>
      <c r="H1461" s="39"/>
      <c r="I1461" s="39"/>
      <c r="J1461" s="61"/>
      <c r="K1461" s="8"/>
      <c r="L1461" s="8"/>
      <c r="M1461" s="8"/>
      <c r="N1461" s="8"/>
      <c r="O1461" s="8"/>
      <c r="P1461" s="160"/>
      <c r="Q1461" s="160"/>
      <c r="R1461" s="160"/>
      <c r="S1461" s="160"/>
      <c r="T1461" s="160"/>
      <c r="U1461" s="160"/>
      <c r="V1461" s="160"/>
      <c r="W1461" s="160"/>
      <c r="X1461" s="160"/>
      <c r="Y1461" s="160"/>
      <c r="Z1461" s="160"/>
      <c r="AA1461" s="160"/>
      <c r="AB1461" s="160"/>
    </row>
    <row r="1462">
      <c r="A1462" s="176"/>
      <c r="B1462" s="66"/>
      <c r="C1462" s="181" t="s">
        <v>1609</v>
      </c>
      <c r="D1462" s="27" t="s">
        <v>819</v>
      </c>
      <c r="E1462" s="62" t="s">
        <v>2503</v>
      </c>
      <c r="F1462" s="62" t="s">
        <v>2504</v>
      </c>
      <c r="G1462" s="22">
        <v>0.5416666666666666</v>
      </c>
      <c r="H1462" s="18" t="s">
        <v>570</v>
      </c>
      <c r="I1462" s="18" t="s">
        <v>2505</v>
      </c>
      <c r="J1462" s="162" t="s">
        <v>2506</v>
      </c>
      <c r="K1462" s="8"/>
      <c r="L1462" s="8"/>
      <c r="M1462" s="8"/>
      <c r="N1462" s="8"/>
      <c r="O1462" s="8"/>
      <c r="P1462" s="160"/>
      <c r="Q1462" s="160"/>
      <c r="R1462" s="160"/>
      <c r="S1462" s="160"/>
      <c r="T1462" s="160"/>
      <c r="U1462" s="160"/>
      <c r="V1462" s="160"/>
      <c r="W1462" s="160"/>
      <c r="X1462" s="160"/>
      <c r="Y1462" s="160"/>
      <c r="Z1462" s="160"/>
      <c r="AA1462" s="160"/>
      <c r="AB1462" s="160"/>
    </row>
    <row r="1463">
      <c r="A1463" s="176"/>
      <c r="B1463" s="66"/>
      <c r="C1463" s="181" t="s">
        <v>1609</v>
      </c>
      <c r="D1463" s="27" t="s">
        <v>819</v>
      </c>
      <c r="E1463" s="62" t="s">
        <v>2507</v>
      </c>
      <c r="F1463" s="62" t="s">
        <v>2508</v>
      </c>
      <c r="G1463" s="22">
        <v>0.6041666666666666</v>
      </c>
      <c r="H1463" s="18" t="s">
        <v>570</v>
      </c>
      <c r="I1463" s="18" t="s">
        <v>2509</v>
      </c>
      <c r="J1463" s="162" t="s">
        <v>2510</v>
      </c>
      <c r="K1463" s="8"/>
      <c r="L1463" s="8"/>
      <c r="M1463" s="8"/>
      <c r="N1463" s="8"/>
      <c r="O1463" s="8"/>
      <c r="P1463" s="160"/>
      <c r="Q1463" s="160"/>
      <c r="R1463" s="160"/>
      <c r="S1463" s="160"/>
      <c r="T1463" s="160"/>
      <c r="U1463" s="160"/>
      <c r="V1463" s="160"/>
      <c r="W1463" s="160"/>
      <c r="X1463" s="160"/>
      <c r="Y1463" s="160"/>
      <c r="Z1463" s="160"/>
      <c r="AA1463" s="160"/>
      <c r="AB1463" s="160"/>
    </row>
    <row r="1464">
      <c r="A1464" s="176"/>
      <c r="B1464" s="67"/>
      <c r="C1464" s="181" t="s">
        <v>1609</v>
      </c>
      <c r="D1464" s="27" t="s">
        <v>819</v>
      </c>
      <c r="E1464" s="162" t="s">
        <v>2511</v>
      </c>
      <c r="F1464" s="162" t="s">
        <v>2512</v>
      </c>
      <c r="G1464" s="22">
        <v>0.625</v>
      </c>
      <c r="H1464" s="18" t="s">
        <v>570</v>
      </c>
      <c r="I1464" s="18" t="s">
        <v>2509</v>
      </c>
      <c r="J1464" s="162" t="s">
        <v>2510</v>
      </c>
      <c r="K1464" s="8"/>
      <c r="L1464" s="8"/>
      <c r="M1464" s="8"/>
      <c r="N1464" s="8"/>
      <c r="O1464" s="8"/>
      <c r="P1464" s="160"/>
      <c r="Q1464" s="160"/>
      <c r="R1464" s="160"/>
      <c r="S1464" s="160"/>
      <c r="T1464" s="160"/>
      <c r="U1464" s="160"/>
      <c r="V1464" s="160"/>
      <c r="W1464" s="160"/>
      <c r="X1464" s="160"/>
      <c r="Y1464" s="160"/>
      <c r="Z1464" s="160"/>
      <c r="AA1464" s="160"/>
      <c r="AB1464" s="160"/>
    </row>
    <row r="1465">
      <c r="A1465" s="176"/>
      <c r="B1465" s="179"/>
      <c r="C1465" s="184">
        <v>44622.0</v>
      </c>
      <c r="D1465" s="101"/>
      <c r="E1465" s="61"/>
      <c r="F1465" s="61"/>
      <c r="G1465" s="128"/>
      <c r="H1465" s="39"/>
      <c r="I1465" s="39"/>
      <c r="J1465" s="61"/>
      <c r="K1465" s="8"/>
      <c r="L1465" s="8"/>
      <c r="M1465" s="8"/>
      <c r="N1465" s="8"/>
      <c r="O1465" s="8"/>
      <c r="P1465" s="160"/>
      <c r="Q1465" s="160"/>
      <c r="R1465" s="160"/>
      <c r="S1465" s="160"/>
      <c r="T1465" s="160"/>
      <c r="U1465" s="160"/>
      <c r="V1465" s="160"/>
      <c r="W1465" s="160"/>
      <c r="X1465" s="160"/>
      <c r="Y1465" s="160"/>
      <c r="Z1465" s="160"/>
      <c r="AA1465" s="160"/>
      <c r="AB1465" s="160"/>
    </row>
    <row r="1466">
      <c r="A1466" s="176"/>
      <c r="B1466" s="185" t="s">
        <v>1450</v>
      </c>
      <c r="C1466" s="181" t="s">
        <v>1609</v>
      </c>
      <c r="D1466" s="101"/>
      <c r="E1466" s="200" t="s">
        <v>2203</v>
      </c>
      <c r="F1466" s="11"/>
      <c r="G1466" s="128"/>
      <c r="H1466" s="39"/>
      <c r="I1466" s="39"/>
      <c r="J1466" s="61"/>
      <c r="K1466" s="8"/>
      <c r="L1466" s="8"/>
      <c r="M1466" s="8"/>
      <c r="N1466" s="8"/>
      <c r="O1466" s="8"/>
      <c r="P1466" s="160"/>
      <c r="Q1466" s="160"/>
      <c r="R1466" s="160"/>
      <c r="S1466" s="160"/>
      <c r="T1466" s="160"/>
      <c r="U1466" s="160"/>
      <c r="V1466" s="160"/>
      <c r="W1466" s="160"/>
      <c r="X1466" s="160"/>
      <c r="Y1466" s="160"/>
      <c r="Z1466" s="160"/>
      <c r="AA1466" s="160"/>
      <c r="AB1466" s="160"/>
    </row>
    <row r="1467">
      <c r="A1467" s="176"/>
      <c r="B1467" s="66"/>
      <c r="C1467" s="181" t="s">
        <v>1609</v>
      </c>
      <c r="D1467" s="145" t="s">
        <v>1791</v>
      </c>
      <c r="E1467" s="162" t="s">
        <v>2513</v>
      </c>
      <c r="F1467" s="162" t="s">
        <v>2514</v>
      </c>
      <c r="G1467" s="22">
        <v>0.4583333333333333</v>
      </c>
      <c r="H1467" s="18" t="s">
        <v>2419</v>
      </c>
      <c r="I1467" s="18" t="s">
        <v>2515</v>
      </c>
      <c r="J1467" s="162" t="s">
        <v>2516</v>
      </c>
      <c r="K1467" s="8"/>
      <c r="L1467" s="8"/>
      <c r="M1467" s="8"/>
      <c r="N1467" s="8"/>
      <c r="O1467" s="8"/>
      <c r="P1467" s="160"/>
      <c r="Q1467" s="160"/>
      <c r="R1467" s="160"/>
      <c r="S1467" s="160"/>
      <c r="T1467" s="160"/>
      <c r="U1467" s="160"/>
      <c r="V1467" s="160"/>
      <c r="W1467" s="160"/>
      <c r="X1467" s="160"/>
      <c r="Y1467" s="160"/>
      <c r="Z1467" s="160"/>
      <c r="AA1467" s="160"/>
      <c r="AB1467" s="160"/>
    </row>
    <row r="1468">
      <c r="A1468" s="176"/>
      <c r="B1468" s="66"/>
      <c r="C1468" s="181" t="s">
        <v>1609</v>
      </c>
      <c r="D1468" s="145" t="s">
        <v>1791</v>
      </c>
      <c r="E1468" s="162" t="s">
        <v>2379</v>
      </c>
      <c r="F1468" s="162" t="s">
        <v>2380</v>
      </c>
      <c r="G1468" s="22">
        <v>0.5416666666666666</v>
      </c>
      <c r="H1468" s="18" t="s">
        <v>2517</v>
      </c>
      <c r="I1468" s="18" t="s">
        <v>2518</v>
      </c>
      <c r="J1468" s="162" t="s">
        <v>2383</v>
      </c>
      <c r="K1468" s="8"/>
      <c r="L1468" s="8"/>
      <c r="M1468" s="8"/>
      <c r="N1468" s="8"/>
      <c r="O1468" s="8"/>
      <c r="P1468" s="160"/>
      <c r="Q1468" s="160"/>
      <c r="R1468" s="160"/>
      <c r="S1468" s="160"/>
      <c r="T1468" s="160"/>
      <c r="U1468" s="160"/>
      <c r="V1468" s="160"/>
      <c r="W1468" s="160"/>
      <c r="X1468" s="160"/>
      <c r="Y1468" s="160"/>
      <c r="Z1468" s="160"/>
      <c r="AA1468" s="160"/>
      <c r="AB1468" s="160"/>
    </row>
    <row r="1469">
      <c r="A1469" s="176"/>
      <c r="B1469" s="66"/>
      <c r="C1469" s="181" t="s">
        <v>1609</v>
      </c>
      <c r="D1469" s="145" t="s">
        <v>1791</v>
      </c>
      <c r="E1469" s="162" t="s">
        <v>2519</v>
      </c>
      <c r="F1469" s="162" t="s">
        <v>2520</v>
      </c>
      <c r="G1469" s="22">
        <v>0.625</v>
      </c>
      <c r="H1469" s="18" t="s">
        <v>2521</v>
      </c>
      <c r="I1469" s="18" t="s">
        <v>2522</v>
      </c>
      <c r="J1469" s="162" t="s">
        <v>2523</v>
      </c>
      <c r="K1469" s="8"/>
      <c r="L1469" s="8"/>
      <c r="M1469" s="8"/>
      <c r="N1469" s="8"/>
      <c r="O1469" s="8"/>
      <c r="P1469" s="160"/>
      <c r="Q1469" s="160"/>
      <c r="R1469" s="160"/>
      <c r="S1469" s="160"/>
      <c r="T1469" s="160"/>
      <c r="U1469" s="160"/>
      <c r="V1469" s="160"/>
      <c r="W1469" s="160"/>
      <c r="X1469" s="160"/>
      <c r="Y1469" s="160"/>
      <c r="Z1469" s="160"/>
      <c r="AA1469" s="160"/>
      <c r="AB1469" s="160"/>
    </row>
    <row r="1470">
      <c r="A1470" s="176"/>
      <c r="B1470" s="67"/>
      <c r="C1470" s="181" t="s">
        <v>1609</v>
      </c>
      <c r="D1470" s="101"/>
      <c r="E1470" s="61"/>
      <c r="F1470" s="61"/>
      <c r="G1470" s="128"/>
      <c r="H1470" s="39"/>
      <c r="I1470" s="39"/>
      <c r="J1470" s="61"/>
      <c r="K1470" s="8"/>
      <c r="L1470" s="8"/>
      <c r="M1470" s="8"/>
      <c r="N1470" s="8"/>
      <c r="O1470" s="8"/>
      <c r="P1470" s="160"/>
      <c r="Q1470" s="160"/>
      <c r="R1470" s="160"/>
      <c r="S1470" s="160"/>
      <c r="T1470" s="160"/>
      <c r="U1470" s="160"/>
      <c r="V1470" s="160"/>
      <c r="W1470" s="160"/>
      <c r="X1470" s="160"/>
      <c r="Y1470" s="160"/>
      <c r="Z1470" s="160"/>
      <c r="AA1470" s="160"/>
      <c r="AB1470" s="160"/>
    </row>
    <row r="1471">
      <c r="A1471" s="176"/>
      <c r="B1471" s="179"/>
      <c r="C1471" s="184">
        <v>44623.0</v>
      </c>
      <c r="D1471" s="101"/>
      <c r="E1471" s="61"/>
      <c r="F1471" s="61"/>
      <c r="G1471" s="128"/>
      <c r="H1471" s="39"/>
      <c r="I1471" s="39"/>
      <c r="J1471" s="61"/>
      <c r="K1471" s="8"/>
      <c r="L1471" s="8"/>
      <c r="M1471" s="8"/>
      <c r="N1471" s="8"/>
      <c r="O1471" s="8"/>
      <c r="P1471" s="160"/>
      <c r="Q1471" s="160"/>
      <c r="R1471" s="160"/>
      <c r="S1471" s="160"/>
      <c r="T1471" s="160"/>
      <c r="U1471" s="160"/>
      <c r="V1471" s="160"/>
      <c r="W1471" s="160"/>
      <c r="X1471" s="160"/>
      <c r="Y1471" s="160"/>
      <c r="Z1471" s="160"/>
      <c r="AA1471" s="160"/>
      <c r="AB1471" s="160"/>
    </row>
    <row r="1472">
      <c r="A1472" s="176"/>
      <c r="B1472" s="185" t="s">
        <v>1450</v>
      </c>
      <c r="C1472" s="181" t="s">
        <v>1609</v>
      </c>
      <c r="D1472" s="101"/>
      <c r="E1472" s="200" t="s">
        <v>2203</v>
      </c>
      <c r="F1472" s="11"/>
      <c r="G1472" s="128"/>
      <c r="H1472" s="39"/>
      <c r="I1472" s="39"/>
      <c r="J1472" s="61"/>
      <c r="K1472" s="8"/>
      <c r="L1472" s="8"/>
      <c r="M1472" s="8"/>
      <c r="N1472" s="8"/>
      <c r="O1472" s="8"/>
      <c r="P1472" s="160"/>
      <c r="Q1472" s="160"/>
      <c r="R1472" s="160"/>
      <c r="S1472" s="160"/>
      <c r="T1472" s="160"/>
      <c r="U1472" s="160"/>
      <c r="V1472" s="160"/>
      <c r="W1472" s="160"/>
      <c r="X1472" s="160"/>
      <c r="Y1472" s="160"/>
      <c r="Z1472" s="160"/>
      <c r="AA1472" s="160"/>
      <c r="AB1472" s="160"/>
    </row>
    <row r="1473">
      <c r="A1473" s="176"/>
      <c r="B1473" s="66"/>
      <c r="C1473" s="181" t="s">
        <v>1609</v>
      </c>
      <c r="D1473" s="101"/>
      <c r="E1473" s="150"/>
      <c r="F1473" s="162"/>
      <c r="G1473" s="76" t="s">
        <v>2524</v>
      </c>
      <c r="H1473" s="18"/>
      <c r="I1473" s="39"/>
      <c r="J1473" s="61"/>
      <c r="K1473" s="8"/>
      <c r="L1473" s="8"/>
      <c r="M1473" s="8"/>
      <c r="N1473" s="8"/>
      <c r="O1473" s="8"/>
      <c r="P1473" s="160"/>
      <c r="Q1473" s="160"/>
      <c r="R1473" s="160"/>
      <c r="S1473" s="160"/>
      <c r="T1473" s="160"/>
      <c r="U1473" s="160"/>
      <c r="V1473" s="160"/>
      <c r="W1473" s="160"/>
      <c r="X1473" s="160"/>
      <c r="Y1473" s="160"/>
      <c r="Z1473" s="160"/>
      <c r="AA1473" s="160"/>
      <c r="AB1473" s="160"/>
    </row>
    <row r="1474">
      <c r="A1474" s="176"/>
      <c r="B1474" s="66"/>
      <c r="C1474" s="181" t="s">
        <v>1609</v>
      </c>
      <c r="D1474" s="265" t="s">
        <v>2161</v>
      </c>
      <c r="E1474" s="62" t="s">
        <v>2525</v>
      </c>
      <c r="F1474" s="62" t="s">
        <v>2526</v>
      </c>
      <c r="G1474" s="22">
        <v>0.5416666666666666</v>
      </c>
      <c r="H1474" s="18" t="s">
        <v>338</v>
      </c>
      <c r="I1474" s="18" t="s">
        <v>2527</v>
      </c>
      <c r="J1474" s="62" t="s">
        <v>2528</v>
      </c>
      <c r="K1474" s="8"/>
      <c r="L1474" s="8"/>
      <c r="M1474" s="8"/>
      <c r="N1474" s="8"/>
      <c r="O1474" s="8"/>
      <c r="P1474" s="160"/>
      <c r="Q1474" s="160"/>
      <c r="R1474" s="160"/>
      <c r="S1474" s="160"/>
      <c r="T1474" s="160"/>
      <c r="U1474" s="160"/>
      <c r="V1474" s="160"/>
      <c r="W1474" s="160"/>
      <c r="X1474" s="160"/>
      <c r="Y1474" s="160"/>
      <c r="Z1474" s="160"/>
      <c r="AA1474" s="160"/>
      <c r="AB1474" s="160"/>
    </row>
    <row r="1475">
      <c r="A1475" s="176"/>
      <c r="B1475" s="66"/>
      <c r="C1475" s="181" t="s">
        <v>1609</v>
      </c>
      <c r="D1475" s="265" t="s">
        <v>2161</v>
      </c>
      <c r="E1475" s="62" t="s">
        <v>2529</v>
      </c>
      <c r="F1475" s="62" t="s">
        <v>2530</v>
      </c>
      <c r="G1475" s="22">
        <v>0.625</v>
      </c>
      <c r="H1475" s="18" t="s">
        <v>367</v>
      </c>
      <c r="I1475" s="18" t="s">
        <v>2531</v>
      </c>
      <c r="J1475" s="62" t="s">
        <v>2532</v>
      </c>
      <c r="K1475" s="8"/>
      <c r="L1475" s="8"/>
      <c r="M1475" s="8"/>
      <c r="N1475" s="8"/>
      <c r="O1475" s="8"/>
      <c r="P1475" s="160"/>
      <c r="Q1475" s="160"/>
      <c r="R1475" s="160"/>
      <c r="S1475" s="160"/>
      <c r="T1475" s="160"/>
      <c r="U1475" s="160"/>
      <c r="V1475" s="160"/>
      <c r="W1475" s="160"/>
      <c r="X1475" s="160"/>
      <c r="Y1475" s="160"/>
      <c r="Z1475" s="160"/>
      <c r="AA1475" s="160"/>
      <c r="AB1475" s="160"/>
    </row>
    <row r="1476">
      <c r="A1476" s="176"/>
      <c r="B1476" s="67"/>
      <c r="C1476" s="181" t="s">
        <v>1609</v>
      </c>
      <c r="D1476" s="101"/>
      <c r="E1476" s="61"/>
      <c r="F1476" s="61"/>
      <c r="G1476" s="128"/>
      <c r="H1476" s="39"/>
      <c r="I1476" s="39"/>
      <c r="J1476" s="61"/>
      <c r="K1476" s="8"/>
      <c r="L1476" s="8"/>
      <c r="M1476" s="8"/>
      <c r="N1476" s="8"/>
      <c r="O1476" s="8"/>
      <c r="P1476" s="160"/>
      <c r="Q1476" s="160"/>
      <c r="R1476" s="160"/>
      <c r="S1476" s="160"/>
      <c r="T1476" s="160"/>
      <c r="U1476" s="160"/>
      <c r="V1476" s="160"/>
      <c r="W1476" s="160"/>
      <c r="X1476" s="160"/>
      <c r="Y1476" s="160"/>
      <c r="Z1476" s="160"/>
      <c r="AA1476" s="160"/>
      <c r="AB1476" s="160"/>
    </row>
    <row r="1477">
      <c r="A1477" s="176"/>
      <c r="B1477" s="179"/>
      <c r="C1477" s="184">
        <v>44624.0</v>
      </c>
      <c r="D1477" s="101"/>
      <c r="E1477" s="61"/>
      <c r="F1477" s="61"/>
      <c r="G1477" s="128"/>
      <c r="H1477" s="39"/>
      <c r="I1477" s="39"/>
      <c r="J1477" s="61"/>
      <c r="K1477" s="8"/>
      <c r="L1477" s="8"/>
      <c r="M1477" s="8"/>
      <c r="N1477" s="8"/>
      <c r="O1477" s="8"/>
      <c r="P1477" s="160"/>
      <c r="Q1477" s="160"/>
      <c r="R1477" s="160"/>
      <c r="S1477" s="160"/>
      <c r="T1477" s="160"/>
      <c r="U1477" s="160"/>
      <c r="V1477" s="160"/>
      <c r="W1477" s="160"/>
      <c r="X1477" s="160"/>
      <c r="Y1477" s="160"/>
      <c r="Z1477" s="160"/>
      <c r="AA1477" s="160"/>
      <c r="AB1477" s="160"/>
    </row>
    <row r="1478">
      <c r="A1478" s="176"/>
      <c r="B1478" s="185" t="s">
        <v>1450</v>
      </c>
      <c r="C1478" s="181" t="s">
        <v>1609</v>
      </c>
      <c r="D1478" s="101"/>
      <c r="E1478" s="200" t="s">
        <v>2203</v>
      </c>
      <c r="F1478" s="11"/>
      <c r="G1478" s="128"/>
      <c r="H1478" s="39"/>
      <c r="I1478" s="39"/>
      <c r="J1478" s="61"/>
      <c r="K1478" s="8"/>
      <c r="L1478" s="8"/>
      <c r="M1478" s="8"/>
      <c r="N1478" s="8"/>
      <c r="O1478" s="8"/>
      <c r="P1478" s="160"/>
      <c r="Q1478" s="160"/>
      <c r="R1478" s="160"/>
      <c r="S1478" s="160"/>
      <c r="T1478" s="160"/>
      <c r="U1478" s="160"/>
      <c r="V1478" s="160"/>
      <c r="W1478" s="160"/>
      <c r="X1478" s="160"/>
      <c r="Y1478" s="160"/>
      <c r="Z1478" s="160"/>
      <c r="AA1478" s="160"/>
      <c r="AB1478" s="160"/>
    </row>
    <row r="1479">
      <c r="A1479" s="176"/>
      <c r="B1479" s="66"/>
      <c r="C1479" s="181" t="s">
        <v>1609</v>
      </c>
      <c r="D1479" s="266" t="s">
        <v>2161</v>
      </c>
      <c r="E1479" s="73" t="s">
        <v>2533</v>
      </c>
      <c r="F1479" s="73" t="s">
        <v>2534</v>
      </c>
      <c r="G1479" s="43">
        <v>0.4583333333333333</v>
      </c>
      <c r="H1479" s="44" t="s">
        <v>434</v>
      </c>
      <c r="I1479" s="44" t="s">
        <v>2535</v>
      </c>
      <c r="J1479" s="73" t="s">
        <v>2536</v>
      </c>
      <c r="K1479" s="39" t="s">
        <v>2537</v>
      </c>
      <c r="L1479" s="8"/>
      <c r="M1479" s="8"/>
      <c r="N1479" s="8"/>
      <c r="O1479" s="8"/>
      <c r="P1479" s="160"/>
      <c r="Q1479" s="160"/>
      <c r="R1479" s="160"/>
      <c r="S1479" s="160"/>
      <c r="T1479" s="160"/>
      <c r="U1479" s="160"/>
      <c r="V1479" s="160"/>
      <c r="W1479" s="160"/>
      <c r="X1479" s="160"/>
      <c r="Y1479" s="160"/>
      <c r="Z1479" s="160"/>
      <c r="AA1479" s="160"/>
      <c r="AB1479" s="160"/>
    </row>
    <row r="1480">
      <c r="A1480" s="176"/>
      <c r="B1480" s="66"/>
      <c r="C1480" s="181" t="s">
        <v>1609</v>
      </c>
      <c r="D1480" s="265" t="s">
        <v>2161</v>
      </c>
      <c r="E1480" s="62" t="s">
        <v>2538</v>
      </c>
      <c r="F1480" s="62" t="s">
        <v>2539</v>
      </c>
      <c r="G1480" s="22">
        <v>0.5416666666666666</v>
      </c>
      <c r="H1480" s="18" t="s">
        <v>264</v>
      </c>
      <c r="I1480" s="36" t="s">
        <v>2540</v>
      </c>
      <c r="J1480" s="62" t="s">
        <v>2541</v>
      </c>
      <c r="K1480" s="8"/>
      <c r="L1480" s="8"/>
      <c r="M1480" s="8"/>
      <c r="N1480" s="8"/>
      <c r="O1480" s="8"/>
      <c r="P1480" s="160"/>
      <c r="Q1480" s="160"/>
      <c r="R1480" s="160"/>
      <c r="S1480" s="160"/>
      <c r="T1480" s="160"/>
      <c r="U1480" s="160"/>
      <c r="V1480" s="160"/>
      <c r="W1480" s="160"/>
      <c r="X1480" s="160"/>
      <c r="Y1480" s="160"/>
      <c r="Z1480" s="160"/>
      <c r="AA1480" s="160"/>
      <c r="AB1480" s="160"/>
    </row>
    <row r="1481">
      <c r="A1481" s="176"/>
      <c r="B1481" s="66"/>
      <c r="C1481" s="181" t="s">
        <v>1609</v>
      </c>
      <c r="D1481" s="265" t="s">
        <v>2161</v>
      </c>
      <c r="E1481" s="62" t="s">
        <v>2542</v>
      </c>
      <c r="F1481" s="62" t="s">
        <v>2543</v>
      </c>
      <c r="G1481" s="22">
        <v>0.625</v>
      </c>
      <c r="H1481" s="18" t="s">
        <v>2012</v>
      </c>
      <c r="I1481" s="18" t="s">
        <v>2544</v>
      </c>
      <c r="J1481" s="62" t="s">
        <v>2545</v>
      </c>
      <c r="K1481" s="8"/>
      <c r="L1481" s="8"/>
      <c r="M1481" s="8"/>
      <c r="N1481" s="8"/>
      <c r="O1481" s="8"/>
      <c r="P1481" s="160"/>
      <c r="Q1481" s="160"/>
      <c r="R1481" s="160"/>
      <c r="S1481" s="160"/>
      <c r="T1481" s="160"/>
      <c r="U1481" s="160"/>
      <c r="V1481" s="160"/>
      <c r="W1481" s="160"/>
      <c r="X1481" s="160"/>
      <c r="Y1481" s="160"/>
      <c r="Z1481" s="160"/>
      <c r="AA1481" s="160"/>
      <c r="AB1481" s="160"/>
    </row>
    <row r="1482">
      <c r="A1482" s="176"/>
      <c r="B1482" s="67"/>
      <c r="C1482" s="181" t="s">
        <v>1609</v>
      </c>
      <c r="D1482" s="101"/>
      <c r="E1482" s="61"/>
      <c r="F1482" s="61"/>
      <c r="G1482" s="128"/>
      <c r="H1482" s="39"/>
      <c r="I1482" s="39"/>
      <c r="J1482" s="61"/>
      <c r="K1482" s="8"/>
      <c r="L1482" s="8"/>
      <c r="M1482" s="8"/>
      <c r="N1482" s="8"/>
      <c r="O1482" s="8"/>
      <c r="P1482" s="160"/>
      <c r="Q1482" s="160"/>
      <c r="R1482" s="160"/>
      <c r="S1482" s="160"/>
      <c r="T1482" s="160"/>
      <c r="U1482" s="160"/>
      <c r="V1482" s="160"/>
      <c r="W1482" s="160"/>
      <c r="X1482" s="160"/>
      <c r="Y1482" s="160"/>
      <c r="Z1482" s="160"/>
      <c r="AA1482" s="160"/>
      <c r="AB1482" s="160"/>
    </row>
    <row r="1483">
      <c r="A1483" s="176"/>
      <c r="B1483" s="179"/>
      <c r="C1483" s="184">
        <v>44627.0</v>
      </c>
      <c r="D1483" s="101"/>
      <c r="E1483" s="61"/>
      <c r="F1483" s="61"/>
      <c r="G1483" s="128"/>
      <c r="H1483" s="39"/>
      <c r="I1483" s="39"/>
      <c r="J1483" s="61"/>
      <c r="K1483" s="8"/>
      <c r="L1483" s="8"/>
      <c r="M1483" s="8"/>
      <c r="N1483" s="8"/>
      <c r="O1483" s="8"/>
      <c r="P1483" s="160"/>
      <c r="Q1483" s="160"/>
      <c r="R1483" s="160"/>
      <c r="S1483" s="160"/>
      <c r="T1483" s="160"/>
      <c r="U1483" s="160"/>
      <c r="V1483" s="160"/>
      <c r="W1483" s="160"/>
      <c r="X1483" s="160"/>
      <c r="Y1483" s="160"/>
      <c r="Z1483" s="160"/>
      <c r="AA1483" s="160"/>
      <c r="AB1483" s="160"/>
    </row>
    <row r="1484">
      <c r="A1484" s="176"/>
      <c r="B1484" s="185" t="s">
        <v>1450</v>
      </c>
      <c r="C1484" s="181" t="s">
        <v>1609</v>
      </c>
      <c r="D1484" s="101"/>
      <c r="E1484" s="200" t="s">
        <v>2203</v>
      </c>
      <c r="F1484" s="11"/>
      <c r="G1484" s="128"/>
      <c r="H1484" s="39"/>
      <c r="I1484" s="39"/>
      <c r="J1484" s="61"/>
      <c r="K1484" s="8"/>
      <c r="L1484" s="8"/>
      <c r="M1484" s="8"/>
      <c r="N1484" s="8"/>
      <c r="O1484" s="8"/>
      <c r="P1484" s="160"/>
      <c r="Q1484" s="160"/>
      <c r="R1484" s="160"/>
      <c r="S1484" s="160"/>
      <c r="T1484" s="160"/>
      <c r="U1484" s="160"/>
      <c r="V1484" s="160"/>
      <c r="W1484" s="160"/>
      <c r="X1484" s="160"/>
      <c r="Y1484" s="160"/>
      <c r="Z1484" s="160"/>
      <c r="AA1484" s="160"/>
      <c r="AB1484" s="160"/>
    </row>
    <row r="1485">
      <c r="A1485" s="176"/>
      <c r="B1485" s="66"/>
      <c r="C1485" s="181" t="s">
        <v>1609</v>
      </c>
      <c r="D1485" s="101"/>
      <c r="E1485" s="61"/>
      <c r="F1485" s="183" t="s">
        <v>2524</v>
      </c>
      <c r="G1485" s="128"/>
      <c r="H1485" s="39"/>
      <c r="I1485" s="39"/>
      <c r="J1485" s="61"/>
      <c r="K1485" s="8"/>
      <c r="L1485" s="8"/>
      <c r="M1485" s="8"/>
      <c r="N1485" s="8"/>
      <c r="O1485" s="8"/>
      <c r="P1485" s="160"/>
      <c r="Q1485" s="160"/>
      <c r="R1485" s="160"/>
      <c r="S1485" s="160"/>
      <c r="T1485" s="160"/>
      <c r="U1485" s="160"/>
      <c r="V1485" s="160"/>
      <c r="W1485" s="160"/>
      <c r="X1485" s="160"/>
      <c r="Y1485" s="160"/>
      <c r="Z1485" s="160"/>
      <c r="AA1485" s="160"/>
      <c r="AB1485" s="160"/>
    </row>
    <row r="1486">
      <c r="A1486" s="176"/>
      <c r="B1486" s="66"/>
      <c r="C1486" s="181" t="s">
        <v>1609</v>
      </c>
      <c r="D1486" s="27" t="s">
        <v>921</v>
      </c>
      <c r="E1486" s="62" t="s">
        <v>2546</v>
      </c>
      <c r="F1486" s="62" t="s">
        <v>2547</v>
      </c>
      <c r="G1486" s="22">
        <v>0.4583333333333333</v>
      </c>
      <c r="H1486" s="18" t="s">
        <v>2283</v>
      </c>
      <c r="I1486" s="18" t="s">
        <v>2548</v>
      </c>
      <c r="J1486" s="62" t="s">
        <v>2549</v>
      </c>
      <c r="K1486" s="8"/>
      <c r="L1486" s="8"/>
      <c r="M1486" s="8"/>
      <c r="N1486" s="8"/>
      <c r="O1486" s="8"/>
      <c r="P1486" s="160"/>
      <c r="Q1486" s="160"/>
      <c r="R1486" s="160"/>
      <c r="S1486" s="160"/>
      <c r="T1486" s="160"/>
      <c r="U1486" s="160"/>
      <c r="V1486" s="160"/>
      <c r="W1486" s="160"/>
      <c r="X1486" s="160"/>
      <c r="Y1486" s="160"/>
      <c r="Z1486" s="160"/>
      <c r="AA1486" s="160"/>
      <c r="AB1486" s="160"/>
    </row>
    <row r="1487">
      <c r="A1487" s="176"/>
      <c r="B1487" s="66"/>
      <c r="C1487" s="181" t="s">
        <v>1609</v>
      </c>
      <c r="D1487" s="27" t="s">
        <v>1791</v>
      </c>
      <c r="E1487" s="62" t="s">
        <v>2550</v>
      </c>
      <c r="F1487" s="62" t="s">
        <v>2551</v>
      </c>
      <c r="G1487" s="22">
        <v>0.5416666666666666</v>
      </c>
      <c r="H1487" s="18" t="s">
        <v>2283</v>
      </c>
      <c r="I1487" s="18" t="s">
        <v>2552</v>
      </c>
      <c r="J1487" s="62" t="s">
        <v>174</v>
      </c>
      <c r="K1487" s="8"/>
      <c r="L1487" s="8"/>
      <c r="M1487" s="8"/>
      <c r="N1487" s="8"/>
      <c r="O1487" s="8"/>
      <c r="P1487" s="160"/>
      <c r="Q1487" s="160"/>
      <c r="R1487" s="160"/>
      <c r="S1487" s="160"/>
      <c r="T1487" s="160"/>
      <c r="U1487" s="160"/>
      <c r="V1487" s="160"/>
      <c r="W1487" s="160"/>
      <c r="X1487" s="160"/>
      <c r="Y1487" s="160"/>
      <c r="Z1487" s="160"/>
      <c r="AA1487" s="160"/>
      <c r="AB1487" s="160"/>
    </row>
    <row r="1488">
      <c r="A1488" s="176"/>
      <c r="B1488" s="67"/>
      <c r="C1488" s="181" t="s">
        <v>1609</v>
      </c>
      <c r="D1488" s="101"/>
      <c r="E1488" s="61"/>
      <c r="F1488" s="61"/>
      <c r="G1488" s="128"/>
      <c r="H1488" s="39"/>
      <c r="I1488" s="39"/>
      <c r="J1488" s="61"/>
      <c r="K1488" s="8"/>
      <c r="L1488" s="8"/>
      <c r="M1488" s="8"/>
      <c r="N1488" s="8"/>
      <c r="O1488" s="8"/>
      <c r="P1488" s="160"/>
      <c r="Q1488" s="160"/>
      <c r="R1488" s="160"/>
      <c r="S1488" s="160"/>
      <c r="T1488" s="160"/>
      <c r="U1488" s="160"/>
      <c r="V1488" s="160"/>
      <c r="W1488" s="160"/>
      <c r="X1488" s="160"/>
      <c r="Y1488" s="160"/>
      <c r="Z1488" s="160"/>
      <c r="AA1488" s="160"/>
      <c r="AB1488" s="160"/>
    </row>
    <row r="1489">
      <c r="A1489" s="176"/>
      <c r="B1489" s="179"/>
      <c r="C1489" s="184">
        <v>44628.0</v>
      </c>
      <c r="D1489" s="101"/>
      <c r="E1489" s="61"/>
      <c r="F1489" s="61"/>
      <c r="G1489" s="128"/>
      <c r="H1489" s="39"/>
      <c r="I1489" s="39"/>
      <c r="J1489" s="61"/>
      <c r="K1489" s="8"/>
      <c r="L1489" s="8"/>
      <c r="M1489" s="8"/>
      <c r="N1489" s="8"/>
      <c r="O1489" s="8"/>
      <c r="P1489" s="160"/>
      <c r="Q1489" s="160"/>
      <c r="R1489" s="160"/>
      <c r="S1489" s="160"/>
      <c r="T1489" s="160"/>
      <c r="U1489" s="160"/>
      <c r="V1489" s="160"/>
      <c r="W1489" s="160"/>
      <c r="X1489" s="160"/>
      <c r="Y1489" s="160"/>
      <c r="Z1489" s="160"/>
      <c r="AA1489" s="160"/>
      <c r="AB1489" s="160"/>
    </row>
    <row r="1490">
      <c r="A1490" s="176"/>
      <c r="B1490" s="185" t="s">
        <v>1450</v>
      </c>
      <c r="C1490" s="181" t="s">
        <v>1609</v>
      </c>
      <c r="D1490" s="101"/>
      <c r="E1490" s="200" t="s">
        <v>2203</v>
      </c>
      <c r="F1490" s="11"/>
      <c r="G1490" s="128"/>
      <c r="H1490" s="39"/>
      <c r="I1490" s="39"/>
      <c r="J1490" s="61"/>
      <c r="K1490" s="8"/>
      <c r="L1490" s="8"/>
      <c r="M1490" s="8"/>
      <c r="N1490" s="8"/>
      <c r="O1490" s="8"/>
      <c r="P1490" s="160"/>
      <c r="Q1490" s="160"/>
      <c r="R1490" s="160"/>
      <c r="S1490" s="160"/>
      <c r="T1490" s="160"/>
      <c r="U1490" s="160"/>
      <c r="V1490" s="160"/>
      <c r="W1490" s="160"/>
      <c r="X1490" s="160"/>
      <c r="Y1490" s="160"/>
      <c r="Z1490" s="160"/>
      <c r="AA1490" s="160"/>
      <c r="AB1490" s="160"/>
    </row>
    <row r="1491">
      <c r="A1491" s="176"/>
      <c r="B1491" s="66"/>
      <c r="C1491" s="181" t="s">
        <v>1609</v>
      </c>
      <c r="D1491" s="101"/>
      <c r="E1491" s="61"/>
      <c r="F1491" s="183" t="s">
        <v>2524</v>
      </c>
      <c r="G1491" s="128"/>
      <c r="H1491" s="39"/>
      <c r="I1491" s="39"/>
      <c r="J1491" s="61"/>
      <c r="K1491" s="8"/>
      <c r="L1491" s="8"/>
      <c r="M1491" s="8"/>
      <c r="N1491" s="8"/>
      <c r="O1491" s="8"/>
      <c r="P1491" s="160"/>
      <c r="Q1491" s="160"/>
      <c r="R1491" s="160"/>
      <c r="S1491" s="160"/>
      <c r="T1491" s="160"/>
      <c r="U1491" s="160"/>
      <c r="V1491" s="160"/>
      <c r="W1491" s="160"/>
      <c r="X1491" s="160"/>
      <c r="Y1491" s="160"/>
      <c r="Z1491" s="160"/>
      <c r="AA1491" s="160"/>
      <c r="AB1491" s="160"/>
    </row>
    <row r="1492">
      <c r="A1492" s="176"/>
      <c r="B1492" s="66"/>
      <c r="C1492" s="181" t="s">
        <v>1609</v>
      </c>
      <c r="D1492" s="265" t="s">
        <v>2161</v>
      </c>
      <c r="E1492" s="162" t="s">
        <v>1976</v>
      </c>
      <c r="F1492" s="162" t="s">
        <v>1977</v>
      </c>
      <c r="G1492" s="22">
        <v>0.5416666666666666</v>
      </c>
      <c r="H1492" s="18" t="s">
        <v>2500</v>
      </c>
      <c r="I1492" s="18" t="s">
        <v>2501</v>
      </c>
      <c r="J1492" s="162" t="s">
        <v>1979</v>
      </c>
      <c r="K1492" s="8"/>
      <c r="L1492" s="8"/>
      <c r="M1492" s="8"/>
      <c r="N1492" s="8"/>
      <c r="O1492" s="8"/>
      <c r="P1492" s="160"/>
      <c r="Q1492" s="160"/>
      <c r="R1492" s="160"/>
      <c r="S1492" s="160"/>
      <c r="T1492" s="160"/>
      <c r="U1492" s="160"/>
      <c r="V1492" s="160"/>
      <c r="W1492" s="160"/>
      <c r="X1492" s="160"/>
      <c r="Y1492" s="160"/>
      <c r="Z1492" s="160"/>
      <c r="AA1492" s="160"/>
      <c r="AB1492" s="160"/>
    </row>
    <row r="1493">
      <c r="A1493" s="176"/>
      <c r="B1493" s="66"/>
      <c r="C1493" s="181" t="s">
        <v>1609</v>
      </c>
      <c r="D1493" s="195" t="s">
        <v>921</v>
      </c>
      <c r="E1493" s="212" t="s">
        <v>2553</v>
      </c>
      <c r="F1493" s="212" t="s">
        <v>2554</v>
      </c>
      <c r="G1493" s="260">
        <v>0.625</v>
      </c>
      <c r="H1493" s="198" t="s">
        <v>2555</v>
      </c>
      <c r="I1493" s="198" t="s">
        <v>2556</v>
      </c>
      <c r="J1493" s="267" t="s">
        <v>2557</v>
      </c>
      <c r="K1493" s="8"/>
      <c r="L1493" s="8"/>
      <c r="M1493" s="8"/>
      <c r="N1493" s="8"/>
      <c r="O1493" s="8"/>
      <c r="P1493" s="160"/>
      <c r="Q1493" s="160"/>
      <c r="R1493" s="160"/>
      <c r="S1493" s="160"/>
      <c r="T1493" s="160"/>
      <c r="U1493" s="160"/>
      <c r="V1493" s="160"/>
      <c r="W1493" s="160"/>
      <c r="X1493" s="160"/>
      <c r="Y1493" s="160"/>
      <c r="Z1493" s="160"/>
      <c r="AA1493" s="160"/>
      <c r="AB1493" s="160"/>
    </row>
    <row r="1494">
      <c r="A1494" s="176"/>
      <c r="B1494" s="67"/>
      <c r="C1494" s="181" t="s">
        <v>1609</v>
      </c>
      <c r="D1494" s="101"/>
      <c r="E1494" s="61"/>
      <c r="F1494" s="61"/>
      <c r="G1494" s="128"/>
      <c r="H1494" s="39"/>
      <c r="I1494" s="39"/>
      <c r="J1494" s="61"/>
      <c r="K1494" s="8"/>
      <c r="L1494" s="8"/>
      <c r="M1494" s="8"/>
      <c r="N1494" s="8"/>
      <c r="O1494" s="8"/>
      <c r="P1494" s="160"/>
      <c r="Q1494" s="160"/>
      <c r="R1494" s="160"/>
      <c r="S1494" s="160"/>
      <c r="T1494" s="160"/>
      <c r="U1494" s="160"/>
      <c r="V1494" s="160"/>
      <c r="W1494" s="160"/>
      <c r="X1494" s="160"/>
      <c r="Y1494" s="160"/>
      <c r="Z1494" s="160"/>
      <c r="AA1494" s="160"/>
      <c r="AB1494" s="160"/>
    </row>
    <row r="1495">
      <c r="A1495" s="176"/>
      <c r="B1495" s="179"/>
      <c r="C1495" s="184">
        <v>44629.0</v>
      </c>
      <c r="D1495" s="101"/>
      <c r="E1495" s="61"/>
      <c r="F1495" s="61"/>
      <c r="G1495" s="128"/>
      <c r="H1495" s="39"/>
      <c r="I1495" s="39"/>
      <c r="J1495" s="61"/>
      <c r="K1495" s="8"/>
      <c r="L1495" s="8"/>
      <c r="M1495" s="8"/>
      <c r="N1495" s="8"/>
      <c r="O1495" s="8"/>
      <c r="P1495" s="160"/>
      <c r="Q1495" s="160"/>
      <c r="R1495" s="160"/>
      <c r="S1495" s="160"/>
      <c r="T1495" s="160"/>
      <c r="U1495" s="160"/>
      <c r="V1495" s="160"/>
      <c r="W1495" s="160"/>
      <c r="X1495" s="160"/>
      <c r="Y1495" s="160"/>
      <c r="Z1495" s="160"/>
      <c r="AA1495" s="160"/>
      <c r="AB1495" s="160"/>
    </row>
    <row r="1496">
      <c r="A1496" s="176"/>
      <c r="B1496" s="185" t="s">
        <v>1450</v>
      </c>
      <c r="C1496" s="181" t="s">
        <v>1609</v>
      </c>
      <c r="D1496" s="101"/>
      <c r="E1496" s="200" t="s">
        <v>2203</v>
      </c>
      <c r="F1496" s="11"/>
      <c r="G1496" s="128"/>
      <c r="H1496" s="39"/>
      <c r="I1496" s="39"/>
      <c r="J1496" s="61"/>
      <c r="K1496" s="8"/>
      <c r="L1496" s="8"/>
      <c r="M1496" s="8"/>
      <c r="N1496" s="8"/>
      <c r="O1496" s="8"/>
      <c r="P1496" s="160"/>
      <c r="Q1496" s="160"/>
      <c r="R1496" s="160"/>
      <c r="S1496" s="160"/>
      <c r="T1496" s="160"/>
      <c r="U1496" s="160"/>
      <c r="V1496" s="160"/>
      <c r="W1496" s="160"/>
      <c r="X1496" s="160"/>
      <c r="Y1496" s="160"/>
      <c r="Z1496" s="160"/>
      <c r="AA1496" s="160"/>
      <c r="AB1496" s="160"/>
    </row>
    <row r="1497">
      <c r="A1497" s="176"/>
      <c r="B1497" s="66"/>
      <c r="C1497" s="181" t="s">
        <v>1609</v>
      </c>
      <c r="D1497" s="101"/>
      <c r="E1497" s="61"/>
      <c r="F1497" s="183" t="s">
        <v>2524</v>
      </c>
      <c r="G1497" s="128"/>
      <c r="H1497" s="39"/>
      <c r="I1497" s="39"/>
      <c r="J1497" s="61"/>
      <c r="K1497" s="8"/>
      <c r="L1497" s="8"/>
      <c r="M1497" s="8"/>
      <c r="N1497" s="8"/>
      <c r="O1497" s="8"/>
      <c r="P1497" s="160"/>
      <c r="Q1497" s="160"/>
      <c r="R1497" s="160"/>
      <c r="S1497" s="160"/>
      <c r="T1497" s="160"/>
      <c r="U1497" s="160"/>
      <c r="V1497" s="160"/>
      <c r="W1497" s="160"/>
      <c r="X1497" s="160"/>
      <c r="Y1497" s="160"/>
      <c r="Z1497" s="160"/>
      <c r="AA1497" s="160"/>
      <c r="AB1497" s="160"/>
    </row>
    <row r="1498">
      <c r="A1498" s="176"/>
      <c r="B1498" s="66"/>
      <c r="C1498" s="181" t="s">
        <v>1609</v>
      </c>
      <c r="D1498" s="27" t="s">
        <v>1717</v>
      </c>
      <c r="E1498" s="62" t="s">
        <v>2558</v>
      </c>
      <c r="F1498" s="62" t="s">
        <v>2559</v>
      </c>
      <c r="G1498" s="22">
        <v>0.5208333333333334</v>
      </c>
      <c r="H1498" s="18" t="s">
        <v>1638</v>
      </c>
      <c r="I1498" s="18" t="s">
        <v>2560</v>
      </c>
      <c r="J1498" s="162" t="s">
        <v>2561</v>
      </c>
      <c r="K1498" s="8"/>
      <c r="L1498" s="8"/>
      <c r="M1498" s="8"/>
      <c r="N1498" s="8"/>
      <c r="O1498" s="8"/>
      <c r="P1498" s="160"/>
      <c r="Q1498" s="160"/>
      <c r="R1498" s="160"/>
      <c r="S1498" s="160"/>
      <c r="T1498" s="160"/>
      <c r="U1498" s="160"/>
      <c r="V1498" s="160"/>
      <c r="W1498" s="160"/>
      <c r="X1498" s="160"/>
      <c r="Y1498" s="160"/>
      <c r="Z1498" s="160"/>
      <c r="AA1498" s="160"/>
      <c r="AB1498" s="160"/>
    </row>
    <row r="1499">
      <c r="A1499" s="176"/>
      <c r="B1499" s="66"/>
      <c r="C1499" s="181" t="s">
        <v>1609</v>
      </c>
      <c r="D1499" s="48" t="s">
        <v>819</v>
      </c>
      <c r="E1499" s="73" t="s">
        <v>2562</v>
      </c>
      <c r="F1499" s="73" t="s">
        <v>2563</v>
      </c>
      <c r="G1499" s="43">
        <v>0.6041666666666666</v>
      </c>
      <c r="H1499" s="44" t="s">
        <v>2564</v>
      </c>
      <c r="I1499" s="44" t="s">
        <v>2565</v>
      </c>
      <c r="J1499" s="155" t="s">
        <v>2566</v>
      </c>
      <c r="K1499" s="39" t="s">
        <v>2567</v>
      </c>
      <c r="L1499" s="8"/>
      <c r="M1499" s="8"/>
      <c r="N1499" s="8"/>
      <c r="O1499" s="8"/>
      <c r="P1499" s="160"/>
      <c r="Q1499" s="160"/>
      <c r="R1499" s="160"/>
      <c r="S1499" s="160"/>
      <c r="T1499" s="160"/>
      <c r="U1499" s="160"/>
      <c r="V1499" s="160"/>
      <c r="W1499" s="160"/>
      <c r="X1499" s="160"/>
      <c r="Y1499" s="160"/>
      <c r="Z1499" s="160"/>
      <c r="AA1499" s="160"/>
      <c r="AB1499" s="160"/>
    </row>
    <row r="1500">
      <c r="A1500" s="176"/>
      <c r="B1500" s="67"/>
      <c r="C1500" s="181" t="s">
        <v>1609</v>
      </c>
      <c r="D1500" s="101"/>
      <c r="E1500" s="61"/>
      <c r="F1500" s="61"/>
      <c r="G1500" s="128"/>
      <c r="H1500" s="39"/>
      <c r="I1500" s="39"/>
      <c r="J1500" s="61"/>
      <c r="K1500" s="8"/>
      <c r="L1500" s="8"/>
      <c r="M1500" s="8"/>
      <c r="N1500" s="8"/>
      <c r="O1500" s="8"/>
      <c r="P1500" s="160"/>
      <c r="Q1500" s="160"/>
      <c r="R1500" s="160"/>
      <c r="S1500" s="160"/>
      <c r="T1500" s="160"/>
      <c r="U1500" s="160"/>
      <c r="V1500" s="160"/>
      <c r="W1500" s="160"/>
      <c r="X1500" s="160"/>
      <c r="Y1500" s="160"/>
      <c r="Z1500" s="160"/>
      <c r="AA1500" s="160"/>
      <c r="AB1500" s="160"/>
    </row>
    <row r="1501">
      <c r="A1501" s="176"/>
      <c r="B1501" s="179"/>
      <c r="C1501" s="184">
        <v>44642.0</v>
      </c>
      <c r="D1501" s="101"/>
      <c r="E1501" s="61"/>
      <c r="F1501" s="61"/>
      <c r="G1501" s="128"/>
      <c r="H1501" s="39"/>
      <c r="I1501" s="39"/>
      <c r="J1501" s="61"/>
      <c r="K1501" s="8"/>
      <c r="L1501" s="8"/>
      <c r="M1501" s="8"/>
      <c r="N1501" s="8"/>
      <c r="O1501" s="8"/>
      <c r="P1501" s="160"/>
      <c r="Q1501" s="160"/>
      <c r="R1501" s="160"/>
      <c r="S1501" s="160"/>
      <c r="T1501" s="160"/>
      <c r="U1501" s="160"/>
      <c r="V1501" s="160"/>
      <c r="W1501" s="160"/>
      <c r="X1501" s="160"/>
      <c r="Y1501" s="160"/>
      <c r="Z1501" s="160"/>
      <c r="AA1501" s="160"/>
      <c r="AB1501" s="160"/>
    </row>
    <row r="1502">
      <c r="A1502" s="176"/>
      <c r="B1502" s="185" t="s">
        <v>1450</v>
      </c>
      <c r="C1502" s="181" t="s">
        <v>1609</v>
      </c>
      <c r="D1502" s="101"/>
      <c r="E1502" s="61" t="s">
        <v>2568</v>
      </c>
      <c r="F1502" s="268"/>
      <c r="G1502" s="200" t="s">
        <v>2203</v>
      </c>
      <c r="H1502" s="10"/>
      <c r="I1502" s="11"/>
      <c r="J1502" s="61"/>
      <c r="K1502" s="8"/>
      <c r="L1502" s="8"/>
      <c r="M1502" s="8"/>
      <c r="N1502" s="8"/>
      <c r="O1502" s="8"/>
      <c r="P1502" s="160"/>
      <c r="Q1502" s="160"/>
      <c r="R1502" s="160"/>
      <c r="S1502" s="160"/>
      <c r="T1502" s="160"/>
      <c r="U1502" s="160"/>
      <c r="V1502" s="160"/>
      <c r="W1502" s="160"/>
      <c r="X1502" s="160"/>
      <c r="Y1502" s="160"/>
      <c r="Z1502" s="160"/>
      <c r="AA1502" s="160"/>
      <c r="AB1502" s="160"/>
    </row>
    <row r="1503">
      <c r="A1503" s="176"/>
      <c r="B1503" s="66"/>
      <c r="C1503" s="181" t="s">
        <v>1609</v>
      </c>
      <c r="D1503" s="101"/>
      <c r="E1503" s="61"/>
      <c r="F1503" s="61"/>
      <c r="G1503" s="128"/>
      <c r="H1503" s="39"/>
      <c r="I1503" s="39"/>
      <c r="J1503" s="61"/>
      <c r="K1503" s="8"/>
      <c r="L1503" s="8"/>
      <c r="M1503" s="8"/>
      <c r="N1503" s="8"/>
      <c r="O1503" s="8"/>
      <c r="P1503" s="160"/>
      <c r="Q1503" s="160"/>
      <c r="R1503" s="160"/>
      <c r="S1503" s="160"/>
      <c r="T1503" s="160"/>
      <c r="U1503" s="160"/>
      <c r="V1503" s="160"/>
      <c r="W1503" s="160"/>
      <c r="X1503" s="160"/>
      <c r="Y1503" s="160"/>
      <c r="Z1503" s="160"/>
      <c r="AA1503" s="160"/>
      <c r="AB1503" s="160"/>
    </row>
    <row r="1504">
      <c r="A1504" s="176"/>
      <c r="B1504" s="66"/>
      <c r="C1504" s="181" t="s">
        <v>1609</v>
      </c>
      <c r="D1504" s="27" t="s">
        <v>1791</v>
      </c>
      <c r="E1504" s="122" t="s">
        <v>2569</v>
      </c>
      <c r="F1504" s="144" t="s">
        <v>2570</v>
      </c>
      <c r="G1504" s="22">
        <v>0.5208333333333334</v>
      </c>
      <c r="H1504" s="18" t="s">
        <v>384</v>
      </c>
      <c r="I1504" s="18" t="s">
        <v>2571</v>
      </c>
      <c r="J1504" s="122" t="s">
        <v>2572</v>
      </c>
      <c r="K1504" s="23"/>
      <c r="L1504" s="8"/>
      <c r="M1504" s="8"/>
      <c r="N1504" s="8"/>
      <c r="O1504" s="8"/>
      <c r="P1504" s="160"/>
      <c r="Q1504" s="160"/>
      <c r="R1504" s="160"/>
      <c r="S1504" s="160"/>
      <c r="T1504" s="160"/>
      <c r="U1504" s="160"/>
      <c r="V1504" s="160"/>
      <c r="W1504" s="160"/>
      <c r="X1504" s="160"/>
      <c r="Y1504" s="160"/>
      <c r="Z1504" s="160"/>
      <c r="AA1504" s="160"/>
      <c r="AB1504" s="160"/>
    </row>
    <row r="1505">
      <c r="A1505" s="176"/>
      <c r="B1505" s="66"/>
      <c r="C1505" s="181" t="s">
        <v>1609</v>
      </c>
      <c r="D1505" s="27" t="s">
        <v>1791</v>
      </c>
      <c r="E1505" s="62" t="s">
        <v>2573</v>
      </c>
      <c r="F1505" s="62" t="s">
        <v>2574</v>
      </c>
      <c r="G1505" s="22">
        <v>0.5833333333333334</v>
      </c>
      <c r="H1505" s="18" t="s">
        <v>384</v>
      </c>
      <c r="I1505" s="18" t="s">
        <v>2575</v>
      </c>
      <c r="J1505" s="62" t="s">
        <v>2576</v>
      </c>
      <c r="K1505" s="23"/>
      <c r="L1505" s="8"/>
      <c r="M1505" s="8"/>
      <c r="N1505" s="8"/>
      <c r="O1505" s="8"/>
      <c r="P1505" s="160"/>
      <c r="Q1505" s="160"/>
      <c r="R1505" s="160"/>
      <c r="S1505" s="160"/>
      <c r="T1505" s="160"/>
      <c r="U1505" s="160"/>
      <c r="V1505" s="160"/>
      <c r="W1505" s="160"/>
      <c r="X1505" s="160"/>
      <c r="Y1505" s="160"/>
      <c r="Z1505" s="160"/>
      <c r="AA1505" s="160"/>
      <c r="AB1505" s="160"/>
    </row>
    <row r="1506">
      <c r="A1506" s="176"/>
      <c r="B1506" s="67"/>
      <c r="C1506" s="181" t="s">
        <v>1609</v>
      </c>
      <c r="D1506" s="48" t="s">
        <v>1791</v>
      </c>
      <c r="E1506" s="73" t="s">
        <v>2577</v>
      </c>
      <c r="F1506" s="73" t="s">
        <v>2091</v>
      </c>
      <c r="G1506" s="43">
        <v>0.625</v>
      </c>
      <c r="H1506" s="44" t="s">
        <v>384</v>
      </c>
      <c r="I1506" s="44" t="s">
        <v>2578</v>
      </c>
      <c r="J1506" s="73" t="s">
        <v>2579</v>
      </c>
      <c r="K1506" s="39" t="s">
        <v>2580</v>
      </c>
      <c r="L1506" s="8"/>
      <c r="M1506" s="8"/>
      <c r="N1506" s="8"/>
      <c r="O1506" s="8"/>
      <c r="P1506" s="160"/>
      <c r="Q1506" s="160"/>
      <c r="R1506" s="160"/>
      <c r="S1506" s="160"/>
      <c r="T1506" s="160"/>
      <c r="U1506" s="160"/>
      <c r="V1506" s="160"/>
      <c r="W1506" s="160"/>
      <c r="X1506" s="160"/>
      <c r="Y1506" s="160"/>
      <c r="Z1506" s="160"/>
      <c r="AA1506" s="160"/>
      <c r="AB1506" s="160"/>
    </row>
    <row r="1507">
      <c r="A1507" s="176"/>
      <c r="B1507" s="179"/>
      <c r="C1507" s="184">
        <v>44643.0</v>
      </c>
      <c r="D1507" s="101"/>
      <c r="E1507" s="61"/>
      <c r="F1507" s="61"/>
      <c r="G1507" s="128"/>
      <c r="H1507" s="39"/>
      <c r="I1507" s="39"/>
      <c r="J1507" s="61"/>
      <c r="K1507" s="8"/>
      <c r="L1507" s="8"/>
      <c r="M1507" s="8"/>
      <c r="N1507" s="8"/>
      <c r="O1507" s="8"/>
      <c r="P1507" s="160"/>
      <c r="Q1507" s="160"/>
      <c r="R1507" s="160"/>
      <c r="S1507" s="160"/>
      <c r="T1507" s="160"/>
      <c r="U1507" s="160"/>
      <c r="V1507" s="160"/>
      <c r="W1507" s="160"/>
      <c r="X1507" s="160"/>
      <c r="Y1507" s="160"/>
      <c r="Z1507" s="160"/>
      <c r="AA1507" s="160"/>
      <c r="AB1507" s="160"/>
    </row>
    <row r="1508">
      <c r="A1508" s="176"/>
      <c r="B1508" s="185" t="s">
        <v>1450</v>
      </c>
      <c r="C1508" s="181" t="s">
        <v>1609</v>
      </c>
      <c r="D1508" s="101"/>
      <c r="E1508" s="61" t="s">
        <v>2581</v>
      </c>
      <c r="F1508" s="61"/>
      <c r="G1508" s="200" t="s">
        <v>2203</v>
      </c>
      <c r="H1508" s="10"/>
      <c r="I1508" s="11"/>
      <c r="J1508" s="61"/>
      <c r="K1508" s="8"/>
      <c r="L1508" s="8"/>
      <c r="M1508" s="8"/>
      <c r="N1508" s="8"/>
      <c r="O1508" s="8"/>
      <c r="P1508" s="160"/>
      <c r="Q1508" s="160"/>
      <c r="R1508" s="160"/>
      <c r="S1508" s="160"/>
      <c r="T1508" s="160"/>
      <c r="U1508" s="160"/>
      <c r="V1508" s="160"/>
      <c r="W1508" s="160"/>
      <c r="X1508" s="160"/>
      <c r="Y1508" s="160"/>
      <c r="Z1508" s="160"/>
      <c r="AA1508" s="160"/>
      <c r="AB1508" s="160"/>
    </row>
    <row r="1509">
      <c r="A1509" s="176"/>
      <c r="B1509" s="66"/>
      <c r="C1509" s="181" t="s">
        <v>1609</v>
      </c>
      <c r="D1509" s="101"/>
      <c r="E1509" s="61"/>
      <c r="F1509" s="61"/>
      <c r="G1509" s="128"/>
      <c r="H1509" s="39"/>
      <c r="I1509" s="39"/>
      <c r="J1509" s="61"/>
      <c r="K1509" s="8"/>
      <c r="L1509" s="8"/>
      <c r="M1509" s="8"/>
      <c r="N1509" s="8"/>
      <c r="O1509" s="8"/>
      <c r="P1509" s="160"/>
      <c r="Q1509" s="160"/>
      <c r="R1509" s="160"/>
      <c r="S1509" s="160"/>
      <c r="T1509" s="160"/>
      <c r="U1509" s="160"/>
      <c r="V1509" s="160"/>
      <c r="W1509" s="160"/>
      <c r="X1509" s="160"/>
      <c r="Y1509" s="160"/>
      <c r="Z1509" s="160"/>
      <c r="AA1509" s="160"/>
      <c r="AB1509" s="160"/>
    </row>
    <row r="1510">
      <c r="A1510" s="176"/>
      <c r="B1510" s="66"/>
      <c r="C1510" s="181" t="s">
        <v>1609</v>
      </c>
      <c r="D1510" s="101"/>
      <c r="E1510" s="61"/>
      <c r="F1510" s="61"/>
      <c r="G1510" s="136"/>
      <c r="H1510" s="39"/>
      <c r="I1510" s="39"/>
      <c r="J1510" s="61"/>
      <c r="K1510" s="8"/>
      <c r="L1510" s="8"/>
      <c r="M1510" s="8"/>
      <c r="N1510" s="8"/>
      <c r="O1510" s="8"/>
      <c r="P1510" s="160"/>
      <c r="Q1510" s="160"/>
      <c r="R1510" s="160"/>
      <c r="S1510" s="160"/>
      <c r="T1510" s="160"/>
      <c r="U1510" s="160"/>
      <c r="V1510" s="160"/>
      <c r="W1510" s="160"/>
      <c r="X1510" s="160"/>
      <c r="Y1510" s="160"/>
      <c r="Z1510" s="160"/>
      <c r="AA1510" s="160"/>
      <c r="AB1510" s="160"/>
    </row>
    <row r="1511">
      <c r="A1511" s="176"/>
      <c r="B1511" s="66"/>
      <c r="C1511" s="181" t="s">
        <v>1609</v>
      </c>
      <c r="D1511" s="27" t="s">
        <v>1791</v>
      </c>
      <c r="E1511" s="175" t="s">
        <v>517</v>
      </c>
      <c r="F1511" s="175" t="s">
        <v>518</v>
      </c>
      <c r="G1511" s="22">
        <v>0.5416666666666666</v>
      </c>
      <c r="H1511" s="27" t="s">
        <v>2375</v>
      </c>
      <c r="I1511" s="18" t="s">
        <v>2582</v>
      </c>
      <c r="J1511" s="175" t="s">
        <v>2583</v>
      </c>
      <c r="K1511" s="39" t="s">
        <v>1096</v>
      </c>
      <c r="L1511" s="8"/>
      <c r="M1511" s="8"/>
      <c r="N1511" s="8"/>
      <c r="O1511" s="8"/>
      <c r="P1511" s="160"/>
      <c r="Q1511" s="160"/>
      <c r="R1511" s="160"/>
      <c r="S1511" s="160"/>
      <c r="T1511" s="160"/>
      <c r="U1511" s="160"/>
      <c r="V1511" s="160"/>
      <c r="W1511" s="160"/>
      <c r="X1511" s="160"/>
      <c r="Y1511" s="160"/>
      <c r="Z1511" s="160"/>
      <c r="AA1511" s="160"/>
      <c r="AB1511" s="160"/>
    </row>
    <row r="1512">
      <c r="A1512" s="176"/>
      <c r="B1512" s="67"/>
      <c r="C1512" s="181" t="s">
        <v>1609</v>
      </c>
      <c r="D1512" s="48" t="s">
        <v>1791</v>
      </c>
      <c r="E1512" s="155" t="s">
        <v>2373</v>
      </c>
      <c r="F1512" s="155" t="s">
        <v>2374</v>
      </c>
      <c r="G1512" s="74">
        <v>0.625</v>
      </c>
      <c r="H1512" s="48" t="s">
        <v>2375</v>
      </c>
      <c r="I1512" s="148" t="s">
        <v>2376</v>
      </c>
      <c r="J1512" s="155" t="s">
        <v>2377</v>
      </c>
      <c r="K1512" s="39" t="s">
        <v>2584</v>
      </c>
      <c r="L1512" s="8"/>
      <c r="M1512" s="8"/>
      <c r="N1512" s="8"/>
      <c r="O1512" s="8"/>
      <c r="P1512" s="160"/>
      <c r="Q1512" s="160"/>
      <c r="R1512" s="160"/>
      <c r="S1512" s="160"/>
      <c r="T1512" s="160"/>
      <c r="U1512" s="160"/>
      <c r="V1512" s="160"/>
      <c r="W1512" s="160"/>
      <c r="X1512" s="160"/>
      <c r="Y1512" s="160"/>
      <c r="Z1512" s="160"/>
      <c r="AA1512" s="160"/>
      <c r="AB1512" s="160"/>
    </row>
    <row r="1513">
      <c r="A1513" s="176"/>
      <c r="B1513" s="179"/>
      <c r="C1513" s="184">
        <v>44644.0</v>
      </c>
      <c r="D1513" s="101"/>
      <c r="E1513" s="61"/>
      <c r="F1513" s="61"/>
      <c r="G1513" s="128"/>
      <c r="H1513" s="39"/>
      <c r="I1513" s="39"/>
      <c r="J1513" s="61"/>
      <c r="K1513" s="8"/>
      <c r="L1513" s="8"/>
      <c r="M1513" s="8"/>
      <c r="N1513" s="8"/>
      <c r="O1513" s="8"/>
      <c r="P1513" s="160"/>
      <c r="Q1513" s="160"/>
      <c r="R1513" s="160"/>
      <c r="S1513" s="160"/>
      <c r="T1513" s="160"/>
      <c r="U1513" s="160"/>
      <c r="V1513" s="160"/>
      <c r="W1513" s="160"/>
      <c r="X1513" s="160"/>
      <c r="Y1513" s="160"/>
      <c r="Z1513" s="160"/>
      <c r="AA1513" s="160"/>
      <c r="AB1513" s="160"/>
    </row>
    <row r="1514">
      <c r="A1514" s="176"/>
      <c r="B1514" s="185" t="s">
        <v>1450</v>
      </c>
      <c r="C1514" s="181" t="s">
        <v>1609</v>
      </c>
      <c r="D1514" s="101"/>
      <c r="E1514" s="61" t="s">
        <v>2585</v>
      </c>
      <c r="F1514" s="61"/>
      <c r="G1514" s="200" t="s">
        <v>2203</v>
      </c>
      <c r="H1514" s="10"/>
      <c r="I1514" s="11"/>
      <c r="J1514" s="61"/>
      <c r="K1514" s="8"/>
      <c r="L1514" s="8"/>
      <c r="M1514" s="8"/>
      <c r="N1514" s="8"/>
      <c r="O1514" s="8"/>
      <c r="P1514" s="160"/>
      <c r="Q1514" s="160"/>
      <c r="R1514" s="160"/>
      <c r="S1514" s="160"/>
      <c r="T1514" s="160"/>
      <c r="U1514" s="160"/>
      <c r="V1514" s="160"/>
      <c r="W1514" s="160"/>
      <c r="X1514" s="160"/>
      <c r="Y1514" s="160"/>
      <c r="Z1514" s="160"/>
      <c r="AA1514" s="160"/>
      <c r="AB1514" s="160"/>
    </row>
    <row r="1515">
      <c r="A1515" s="176"/>
      <c r="B1515" s="66"/>
      <c r="C1515" s="181" t="s">
        <v>1609</v>
      </c>
      <c r="D1515" s="101"/>
      <c r="E1515" s="61"/>
      <c r="F1515" s="61"/>
      <c r="G1515" s="128"/>
      <c r="H1515" s="39"/>
      <c r="I1515" s="39"/>
      <c r="J1515" s="61"/>
      <c r="K1515" s="8"/>
      <c r="L1515" s="8"/>
      <c r="M1515" s="8"/>
      <c r="N1515" s="8"/>
      <c r="O1515" s="8"/>
      <c r="P1515" s="160"/>
      <c r="Q1515" s="160"/>
      <c r="R1515" s="160"/>
      <c r="S1515" s="160"/>
      <c r="T1515" s="160"/>
      <c r="U1515" s="160"/>
      <c r="V1515" s="160"/>
      <c r="W1515" s="160"/>
      <c r="X1515" s="160"/>
      <c r="Y1515" s="160"/>
      <c r="Z1515" s="160"/>
      <c r="AA1515" s="160"/>
      <c r="AB1515" s="160"/>
    </row>
    <row r="1516">
      <c r="A1516" s="176"/>
      <c r="B1516" s="66"/>
      <c r="C1516" s="181" t="s">
        <v>1609</v>
      </c>
      <c r="D1516" s="266" t="s">
        <v>2161</v>
      </c>
      <c r="E1516" s="73" t="s">
        <v>2586</v>
      </c>
      <c r="F1516" s="73" t="s">
        <v>2587</v>
      </c>
      <c r="G1516" s="43">
        <v>0.5416666666666666</v>
      </c>
      <c r="H1516" s="44" t="s">
        <v>2588</v>
      </c>
      <c r="I1516" s="44" t="s">
        <v>2589</v>
      </c>
      <c r="J1516" s="73" t="s">
        <v>2590</v>
      </c>
      <c r="K1516" s="39" t="s">
        <v>2591</v>
      </c>
      <c r="L1516" s="8"/>
      <c r="M1516" s="8"/>
      <c r="N1516" s="8"/>
      <c r="O1516" s="8"/>
      <c r="P1516" s="160"/>
      <c r="Q1516" s="160"/>
      <c r="R1516" s="160"/>
      <c r="S1516" s="160"/>
      <c r="T1516" s="160"/>
      <c r="U1516" s="160"/>
      <c r="V1516" s="160"/>
      <c r="W1516" s="160"/>
      <c r="X1516" s="160"/>
      <c r="Y1516" s="160"/>
      <c r="Z1516" s="160"/>
      <c r="AA1516" s="160"/>
      <c r="AB1516" s="160"/>
    </row>
    <row r="1517">
      <c r="A1517" s="176"/>
      <c r="B1517" s="66"/>
      <c r="C1517" s="181" t="s">
        <v>1609</v>
      </c>
      <c r="D1517" s="265" t="s">
        <v>2161</v>
      </c>
      <c r="E1517" s="62" t="s">
        <v>2592</v>
      </c>
      <c r="F1517" s="62" t="s">
        <v>2593</v>
      </c>
      <c r="G1517" s="22">
        <v>0.625</v>
      </c>
      <c r="H1517" s="18" t="s">
        <v>72</v>
      </c>
      <c r="I1517" s="18" t="s">
        <v>2594</v>
      </c>
      <c r="J1517" s="62" t="s">
        <v>2595</v>
      </c>
      <c r="K1517" s="8"/>
      <c r="L1517" s="8"/>
      <c r="M1517" s="8"/>
      <c r="N1517" s="8"/>
      <c r="O1517" s="8"/>
      <c r="P1517" s="160"/>
      <c r="Q1517" s="160"/>
      <c r="R1517" s="160"/>
      <c r="S1517" s="160"/>
      <c r="T1517" s="160"/>
      <c r="U1517" s="160"/>
      <c r="V1517" s="160"/>
      <c r="W1517" s="160"/>
      <c r="X1517" s="160"/>
      <c r="Y1517" s="160"/>
      <c r="Z1517" s="160"/>
      <c r="AA1517" s="160"/>
      <c r="AB1517" s="160"/>
    </row>
    <row r="1518">
      <c r="A1518" s="176"/>
      <c r="B1518" s="67"/>
      <c r="C1518" s="181" t="s">
        <v>1609</v>
      </c>
      <c r="D1518" s="101"/>
      <c r="E1518" s="61"/>
      <c r="F1518" s="61"/>
      <c r="G1518" s="128"/>
      <c r="H1518" s="39"/>
      <c r="I1518" s="39"/>
      <c r="J1518" s="61"/>
      <c r="K1518" s="8"/>
      <c r="L1518" s="8"/>
      <c r="M1518" s="8"/>
      <c r="N1518" s="8"/>
      <c r="O1518" s="8"/>
      <c r="P1518" s="160"/>
      <c r="Q1518" s="160"/>
      <c r="R1518" s="160"/>
      <c r="S1518" s="160"/>
      <c r="T1518" s="160"/>
      <c r="U1518" s="160"/>
      <c r="V1518" s="160"/>
      <c r="W1518" s="160"/>
      <c r="X1518" s="160"/>
      <c r="Y1518" s="160"/>
      <c r="Z1518" s="160"/>
      <c r="AA1518" s="160"/>
      <c r="AB1518" s="160"/>
    </row>
    <row r="1519">
      <c r="A1519" s="176"/>
      <c r="B1519" s="179"/>
      <c r="C1519" s="184">
        <v>44650.0</v>
      </c>
      <c r="D1519" s="101"/>
      <c r="E1519" s="61"/>
      <c r="F1519" s="61"/>
      <c r="G1519" s="128"/>
      <c r="H1519" s="39"/>
      <c r="I1519" s="39"/>
      <c r="J1519" s="61"/>
      <c r="K1519" s="8"/>
      <c r="L1519" s="8"/>
      <c r="M1519" s="8"/>
      <c r="N1519" s="8"/>
      <c r="O1519" s="8"/>
      <c r="P1519" s="160"/>
      <c r="Q1519" s="160"/>
      <c r="R1519" s="160"/>
      <c r="S1519" s="160"/>
      <c r="T1519" s="160"/>
      <c r="U1519" s="160"/>
      <c r="V1519" s="160"/>
      <c r="W1519" s="160"/>
      <c r="X1519" s="160"/>
      <c r="Y1519" s="160"/>
      <c r="Z1519" s="160"/>
      <c r="AA1519" s="160"/>
      <c r="AB1519" s="160"/>
    </row>
    <row r="1520">
      <c r="A1520" s="176"/>
      <c r="B1520" s="185" t="s">
        <v>1450</v>
      </c>
      <c r="C1520" s="181" t="s">
        <v>1609</v>
      </c>
      <c r="D1520" s="101"/>
      <c r="E1520" s="61"/>
      <c r="F1520" s="61"/>
      <c r="G1520" s="128"/>
      <c r="H1520" s="39"/>
      <c r="I1520" s="39"/>
      <c r="J1520" s="61"/>
      <c r="K1520" s="8"/>
      <c r="L1520" s="8"/>
      <c r="M1520" s="8"/>
      <c r="N1520" s="8"/>
      <c r="O1520" s="8"/>
      <c r="P1520" s="160"/>
      <c r="Q1520" s="160"/>
      <c r="R1520" s="160"/>
      <c r="S1520" s="160"/>
      <c r="T1520" s="160"/>
      <c r="U1520" s="160"/>
      <c r="V1520" s="160"/>
      <c r="W1520" s="160"/>
      <c r="X1520" s="160"/>
      <c r="Y1520" s="160"/>
      <c r="Z1520" s="160"/>
      <c r="AA1520" s="160"/>
      <c r="AB1520" s="160"/>
    </row>
    <row r="1521">
      <c r="A1521" s="176"/>
      <c r="B1521" s="66"/>
      <c r="C1521" s="181" t="s">
        <v>1609</v>
      </c>
      <c r="D1521" s="48" t="s">
        <v>1791</v>
      </c>
      <c r="E1521" s="155" t="s">
        <v>2596</v>
      </c>
      <c r="F1521" s="155" t="s">
        <v>2597</v>
      </c>
      <c r="G1521" s="43">
        <v>0.5</v>
      </c>
      <c r="H1521" s="44" t="s">
        <v>2598</v>
      </c>
      <c r="I1521" s="44" t="s">
        <v>2599</v>
      </c>
      <c r="J1521" s="155" t="s">
        <v>2600</v>
      </c>
      <c r="K1521" s="39" t="s">
        <v>2601</v>
      </c>
      <c r="L1521" s="8"/>
      <c r="M1521" s="8"/>
      <c r="N1521" s="8"/>
      <c r="O1521" s="8"/>
      <c r="P1521" s="160"/>
      <c r="Q1521" s="160"/>
      <c r="R1521" s="160"/>
      <c r="S1521" s="160"/>
      <c r="T1521" s="160"/>
      <c r="U1521" s="160"/>
      <c r="V1521" s="160"/>
      <c r="W1521" s="160"/>
      <c r="X1521" s="160"/>
      <c r="Y1521" s="160"/>
      <c r="Z1521" s="160"/>
      <c r="AA1521" s="160"/>
      <c r="AB1521" s="160"/>
    </row>
    <row r="1522">
      <c r="A1522" s="176"/>
      <c r="B1522" s="66"/>
      <c r="C1522" s="181" t="s">
        <v>1609</v>
      </c>
      <c r="D1522" s="48" t="s">
        <v>1791</v>
      </c>
      <c r="E1522" s="155" t="s">
        <v>2602</v>
      </c>
      <c r="F1522" s="155" t="s">
        <v>2603</v>
      </c>
      <c r="G1522" s="43">
        <v>0.5416666666666666</v>
      </c>
      <c r="H1522" s="44" t="s">
        <v>2598</v>
      </c>
      <c r="I1522" s="44" t="s">
        <v>2604</v>
      </c>
      <c r="J1522" s="155" t="s">
        <v>2605</v>
      </c>
      <c r="K1522" s="39" t="s">
        <v>2606</v>
      </c>
      <c r="L1522" s="8"/>
      <c r="M1522" s="8"/>
      <c r="N1522" s="8"/>
      <c r="O1522" s="8"/>
      <c r="P1522" s="160"/>
      <c r="Q1522" s="160"/>
      <c r="R1522" s="160"/>
      <c r="S1522" s="160"/>
      <c r="T1522" s="160"/>
      <c r="U1522" s="160"/>
      <c r="V1522" s="160"/>
      <c r="W1522" s="160"/>
      <c r="X1522" s="160"/>
      <c r="Y1522" s="160"/>
      <c r="Z1522" s="160"/>
      <c r="AA1522" s="160"/>
      <c r="AB1522" s="160"/>
    </row>
    <row r="1523">
      <c r="A1523" s="176"/>
      <c r="B1523" s="66"/>
      <c r="C1523" s="181" t="s">
        <v>1609</v>
      </c>
      <c r="D1523" s="101"/>
      <c r="E1523" s="61"/>
      <c r="F1523" s="61"/>
      <c r="G1523" s="128">
        <v>0.625</v>
      </c>
      <c r="H1523" s="39"/>
      <c r="I1523" s="39"/>
      <c r="J1523" s="61"/>
      <c r="K1523" s="8"/>
      <c r="L1523" s="8"/>
      <c r="M1523" s="8"/>
      <c r="N1523" s="8"/>
      <c r="O1523" s="8"/>
      <c r="P1523" s="160"/>
      <c r="Q1523" s="160"/>
      <c r="R1523" s="160"/>
      <c r="S1523" s="160"/>
      <c r="T1523" s="160"/>
      <c r="U1523" s="160"/>
      <c r="V1523" s="160"/>
      <c r="W1523" s="160"/>
      <c r="X1523" s="160"/>
      <c r="Y1523" s="160"/>
      <c r="Z1523" s="160"/>
      <c r="AA1523" s="160"/>
      <c r="AB1523" s="160"/>
    </row>
    <row r="1524">
      <c r="A1524" s="176"/>
      <c r="B1524" s="67"/>
      <c r="C1524" s="181" t="s">
        <v>1609</v>
      </c>
      <c r="D1524" s="101"/>
      <c r="E1524" s="61"/>
      <c r="F1524" s="61"/>
      <c r="G1524" s="128"/>
      <c r="H1524" s="39"/>
      <c r="I1524" s="39"/>
      <c r="J1524" s="61"/>
      <c r="K1524" s="8"/>
      <c r="L1524" s="8"/>
      <c r="M1524" s="8"/>
      <c r="N1524" s="8"/>
      <c r="O1524" s="8"/>
      <c r="P1524" s="160"/>
      <c r="Q1524" s="160"/>
      <c r="R1524" s="160"/>
      <c r="S1524" s="160"/>
      <c r="T1524" s="160"/>
      <c r="U1524" s="160"/>
      <c r="V1524" s="160"/>
      <c r="W1524" s="160"/>
      <c r="X1524" s="160"/>
      <c r="Y1524" s="160"/>
      <c r="Z1524" s="160"/>
      <c r="AA1524" s="160"/>
      <c r="AB1524" s="160"/>
    </row>
    <row r="1525">
      <c r="A1525" s="176"/>
      <c r="B1525" s="179"/>
      <c r="C1525" s="184">
        <v>44656.0</v>
      </c>
      <c r="D1525" s="101"/>
      <c r="E1525" s="61"/>
      <c r="F1525" s="61"/>
      <c r="G1525" s="128"/>
      <c r="H1525" s="39"/>
      <c r="I1525" s="39"/>
      <c r="J1525" s="61"/>
      <c r="K1525" s="8"/>
      <c r="L1525" s="8"/>
      <c r="M1525" s="8"/>
      <c r="N1525" s="8"/>
      <c r="O1525" s="8"/>
      <c r="P1525" s="160"/>
      <c r="Q1525" s="160"/>
      <c r="R1525" s="160"/>
      <c r="S1525" s="160"/>
      <c r="T1525" s="160"/>
      <c r="U1525" s="160"/>
      <c r="V1525" s="160"/>
      <c r="W1525" s="160"/>
      <c r="X1525" s="160"/>
      <c r="Y1525" s="160"/>
      <c r="Z1525" s="160"/>
      <c r="AA1525" s="160"/>
      <c r="AB1525" s="160"/>
    </row>
    <row r="1526">
      <c r="A1526" s="176"/>
      <c r="B1526" s="185" t="s">
        <v>1450</v>
      </c>
      <c r="C1526" s="181" t="s">
        <v>1609</v>
      </c>
      <c r="D1526" s="101"/>
      <c r="E1526" s="61"/>
      <c r="F1526" s="61"/>
      <c r="G1526" s="128"/>
      <c r="H1526" s="39"/>
      <c r="I1526" s="39"/>
      <c r="J1526" s="61"/>
      <c r="K1526" s="8"/>
      <c r="L1526" s="8"/>
      <c r="M1526" s="8"/>
      <c r="N1526" s="8"/>
      <c r="O1526" s="8"/>
      <c r="P1526" s="160"/>
      <c r="Q1526" s="160"/>
      <c r="R1526" s="160"/>
      <c r="S1526" s="160"/>
      <c r="T1526" s="160"/>
      <c r="U1526" s="160"/>
      <c r="V1526" s="160"/>
      <c r="W1526" s="160"/>
      <c r="X1526" s="160"/>
      <c r="Y1526" s="160"/>
      <c r="Z1526" s="160"/>
      <c r="AA1526" s="160"/>
      <c r="AB1526" s="160"/>
    </row>
    <row r="1527">
      <c r="A1527" s="176"/>
      <c r="B1527" s="66"/>
      <c r="C1527" s="181" t="s">
        <v>1609</v>
      </c>
      <c r="D1527" s="27" t="s">
        <v>1791</v>
      </c>
      <c r="E1527" s="62" t="s">
        <v>2596</v>
      </c>
      <c r="F1527" s="62" t="s">
        <v>2597</v>
      </c>
      <c r="G1527" s="22">
        <v>0.5</v>
      </c>
      <c r="H1527" s="18" t="s">
        <v>2598</v>
      </c>
      <c r="I1527" s="18" t="s">
        <v>2599</v>
      </c>
      <c r="J1527" s="162" t="s">
        <v>2600</v>
      </c>
      <c r="K1527" s="8"/>
      <c r="L1527" s="8"/>
      <c r="M1527" s="8"/>
      <c r="N1527" s="8"/>
      <c r="O1527" s="8"/>
      <c r="P1527" s="160"/>
      <c r="Q1527" s="160"/>
      <c r="R1527" s="160"/>
      <c r="S1527" s="160"/>
      <c r="T1527" s="160"/>
      <c r="U1527" s="160"/>
      <c r="V1527" s="160"/>
      <c r="W1527" s="160"/>
      <c r="X1527" s="160"/>
      <c r="Y1527" s="160"/>
      <c r="Z1527" s="160"/>
      <c r="AA1527" s="160"/>
      <c r="AB1527" s="160"/>
    </row>
    <row r="1528">
      <c r="A1528" s="176"/>
      <c r="B1528" s="66"/>
      <c r="C1528" s="181" t="s">
        <v>1609</v>
      </c>
      <c r="D1528" s="189"/>
      <c r="E1528" s="209"/>
      <c r="F1528" s="209"/>
      <c r="G1528" s="236"/>
      <c r="H1528" s="192"/>
      <c r="I1528" s="192"/>
      <c r="J1528" s="215"/>
      <c r="K1528" s="8"/>
      <c r="L1528" s="8"/>
      <c r="M1528" s="8"/>
      <c r="N1528" s="8"/>
      <c r="O1528" s="8"/>
      <c r="P1528" s="160"/>
      <c r="Q1528" s="160"/>
      <c r="R1528" s="160"/>
      <c r="S1528" s="160"/>
      <c r="T1528" s="160"/>
      <c r="U1528" s="160"/>
      <c r="V1528" s="160"/>
      <c r="W1528" s="160"/>
      <c r="X1528" s="160"/>
      <c r="Y1528" s="160"/>
      <c r="Z1528" s="160"/>
      <c r="AA1528" s="160"/>
      <c r="AB1528" s="160"/>
    </row>
    <row r="1529">
      <c r="A1529" s="176"/>
      <c r="B1529" s="66"/>
      <c r="C1529" s="181" t="s">
        <v>1609</v>
      </c>
      <c r="D1529" s="101"/>
      <c r="E1529" s="61"/>
      <c r="F1529" s="61"/>
      <c r="G1529" s="128"/>
      <c r="H1529" s="39"/>
      <c r="I1529" s="39"/>
      <c r="J1529" s="61"/>
      <c r="K1529" s="8"/>
      <c r="L1529" s="8"/>
      <c r="M1529" s="8"/>
      <c r="N1529" s="8"/>
      <c r="O1529" s="8"/>
      <c r="P1529" s="160"/>
      <c r="Q1529" s="160"/>
      <c r="R1529" s="160"/>
      <c r="S1529" s="160"/>
      <c r="T1529" s="160"/>
      <c r="U1529" s="160"/>
      <c r="V1529" s="160"/>
      <c r="W1529" s="160"/>
      <c r="X1529" s="160"/>
      <c r="Y1529" s="160"/>
      <c r="Z1529" s="160"/>
      <c r="AA1529" s="160"/>
      <c r="AB1529" s="160"/>
    </row>
    <row r="1530">
      <c r="A1530" s="176"/>
      <c r="B1530" s="67"/>
      <c r="C1530" s="181" t="s">
        <v>1609</v>
      </c>
      <c r="D1530" s="101"/>
      <c r="E1530" s="61"/>
      <c r="F1530" s="61"/>
      <c r="G1530" s="128"/>
      <c r="H1530" s="39"/>
      <c r="I1530" s="39"/>
      <c r="J1530" s="61"/>
      <c r="K1530" s="8"/>
      <c r="L1530" s="8"/>
      <c r="M1530" s="8"/>
      <c r="N1530" s="8"/>
      <c r="O1530" s="8"/>
      <c r="P1530" s="160"/>
      <c r="Q1530" s="160"/>
      <c r="R1530" s="160"/>
      <c r="S1530" s="160"/>
      <c r="T1530" s="160"/>
      <c r="U1530" s="160"/>
      <c r="V1530" s="160"/>
      <c r="W1530" s="160"/>
      <c r="X1530" s="160"/>
      <c r="Y1530" s="160"/>
      <c r="Z1530" s="160"/>
      <c r="AA1530" s="160"/>
      <c r="AB1530" s="160"/>
    </row>
    <row r="1531">
      <c r="A1531" s="176"/>
      <c r="B1531" s="179"/>
      <c r="C1531" s="184">
        <v>44657.0</v>
      </c>
      <c r="D1531" s="101"/>
      <c r="E1531" s="61"/>
      <c r="F1531" s="61"/>
      <c r="G1531" s="128"/>
      <c r="H1531" s="39"/>
      <c r="I1531" s="39"/>
      <c r="J1531" s="61"/>
      <c r="K1531" s="8"/>
      <c r="L1531" s="8"/>
      <c r="M1531" s="8"/>
      <c r="N1531" s="8"/>
      <c r="O1531" s="8"/>
      <c r="P1531" s="160"/>
      <c r="Q1531" s="160"/>
      <c r="R1531" s="160"/>
      <c r="S1531" s="160"/>
      <c r="T1531" s="160"/>
      <c r="U1531" s="160"/>
      <c r="V1531" s="160"/>
      <c r="W1531" s="160"/>
      <c r="X1531" s="160"/>
      <c r="Y1531" s="160"/>
      <c r="Z1531" s="160"/>
      <c r="AA1531" s="160"/>
      <c r="AB1531" s="160"/>
    </row>
    <row r="1532">
      <c r="A1532" s="176"/>
      <c r="B1532" s="185" t="s">
        <v>1450</v>
      </c>
      <c r="C1532" s="181" t="s">
        <v>1609</v>
      </c>
      <c r="D1532" s="266" t="s">
        <v>2161</v>
      </c>
      <c r="E1532" s="155" t="s">
        <v>2607</v>
      </c>
      <c r="F1532" s="155" t="s">
        <v>2608</v>
      </c>
      <c r="G1532" s="43">
        <v>0.5</v>
      </c>
      <c r="H1532" s="44" t="s">
        <v>443</v>
      </c>
      <c r="I1532" s="44" t="s">
        <v>2609</v>
      </c>
      <c r="J1532" s="155" t="s">
        <v>2610</v>
      </c>
      <c r="K1532" s="39" t="s">
        <v>2611</v>
      </c>
      <c r="L1532" s="8"/>
      <c r="M1532" s="8"/>
      <c r="N1532" s="8"/>
      <c r="O1532" s="8"/>
      <c r="P1532" s="160"/>
      <c r="Q1532" s="160"/>
      <c r="R1532" s="160"/>
      <c r="S1532" s="160"/>
      <c r="T1532" s="160"/>
      <c r="U1532" s="160"/>
      <c r="V1532" s="160"/>
      <c r="W1532" s="160"/>
      <c r="X1532" s="160"/>
      <c r="Y1532" s="160"/>
      <c r="Z1532" s="160"/>
      <c r="AA1532" s="160"/>
      <c r="AB1532" s="160"/>
    </row>
    <row r="1533">
      <c r="A1533" s="176"/>
      <c r="B1533" s="66"/>
      <c r="C1533" s="181" t="s">
        <v>1609</v>
      </c>
      <c r="D1533" s="48" t="s">
        <v>819</v>
      </c>
      <c r="E1533" s="155" t="s">
        <v>2602</v>
      </c>
      <c r="F1533" s="155" t="s">
        <v>2603</v>
      </c>
      <c r="G1533" s="43">
        <v>0.5625</v>
      </c>
      <c r="H1533" s="44" t="s">
        <v>2598</v>
      </c>
      <c r="I1533" s="44" t="s">
        <v>2604</v>
      </c>
      <c r="J1533" s="155" t="s">
        <v>2605</v>
      </c>
      <c r="K1533" s="39" t="s">
        <v>2612</v>
      </c>
      <c r="L1533" s="8"/>
      <c r="M1533" s="8"/>
      <c r="N1533" s="8"/>
      <c r="O1533" s="8"/>
      <c r="P1533" s="160"/>
      <c r="Q1533" s="160"/>
      <c r="R1533" s="160"/>
      <c r="S1533" s="160"/>
      <c r="T1533" s="160"/>
      <c r="U1533" s="160"/>
      <c r="V1533" s="160"/>
      <c r="W1533" s="160"/>
      <c r="X1533" s="160"/>
      <c r="Y1533" s="160"/>
      <c r="Z1533" s="160"/>
      <c r="AA1533" s="160"/>
      <c r="AB1533" s="160"/>
    </row>
    <row r="1534">
      <c r="A1534" s="176"/>
      <c r="B1534" s="66"/>
      <c r="C1534" s="181" t="s">
        <v>1609</v>
      </c>
      <c r="D1534" s="265" t="s">
        <v>2161</v>
      </c>
      <c r="E1534" s="162" t="s">
        <v>2613</v>
      </c>
      <c r="F1534" s="162" t="s">
        <v>2614</v>
      </c>
      <c r="G1534" s="22">
        <v>0.625</v>
      </c>
      <c r="H1534" s="18" t="s">
        <v>803</v>
      </c>
      <c r="I1534" s="18" t="s">
        <v>2615</v>
      </c>
      <c r="J1534" s="162" t="s">
        <v>2616</v>
      </c>
      <c r="K1534" s="8"/>
      <c r="L1534" s="8"/>
      <c r="M1534" s="8"/>
      <c r="N1534" s="8"/>
      <c r="O1534" s="8"/>
      <c r="P1534" s="160"/>
      <c r="Q1534" s="160"/>
      <c r="R1534" s="160"/>
      <c r="S1534" s="160"/>
      <c r="T1534" s="160"/>
      <c r="U1534" s="160"/>
      <c r="V1534" s="160"/>
      <c r="W1534" s="160"/>
      <c r="X1534" s="160"/>
      <c r="Y1534" s="160"/>
      <c r="Z1534" s="160"/>
      <c r="AA1534" s="160"/>
      <c r="AB1534" s="160"/>
    </row>
    <row r="1535">
      <c r="A1535" s="176"/>
      <c r="B1535" s="66"/>
      <c r="C1535" s="181" t="s">
        <v>1609</v>
      </c>
      <c r="D1535" s="101"/>
      <c r="E1535" s="61"/>
      <c r="F1535" s="61"/>
      <c r="G1535" s="128"/>
      <c r="H1535" s="39"/>
      <c r="I1535" s="39"/>
      <c r="J1535" s="61"/>
      <c r="K1535" s="8"/>
      <c r="L1535" s="8"/>
      <c r="M1535" s="8"/>
      <c r="N1535" s="8"/>
      <c r="O1535" s="8"/>
      <c r="P1535" s="160"/>
      <c r="Q1535" s="160"/>
      <c r="R1535" s="160"/>
      <c r="S1535" s="160"/>
      <c r="T1535" s="160"/>
      <c r="U1535" s="160"/>
      <c r="V1535" s="160"/>
      <c r="W1535" s="160"/>
      <c r="X1535" s="160"/>
      <c r="Y1535" s="160"/>
      <c r="Z1535" s="160"/>
      <c r="AA1535" s="160"/>
      <c r="AB1535" s="160"/>
    </row>
    <row r="1536">
      <c r="A1536" s="176"/>
      <c r="B1536" s="67"/>
      <c r="C1536" s="181" t="s">
        <v>1609</v>
      </c>
      <c r="D1536" s="101"/>
      <c r="E1536" s="61"/>
      <c r="F1536" s="61"/>
      <c r="G1536" s="128"/>
      <c r="H1536" s="39"/>
      <c r="I1536" s="39"/>
      <c r="J1536" s="61"/>
      <c r="K1536" s="8"/>
      <c r="L1536" s="8"/>
      <c r="M1536" s="8"/>
      <c r="N1536" s="8"/>
      <c r="O1536" s="8"/>
      <c r="P1536" s="160"/>
      <c r="Q1536" s="160"/>
      <c r="R1536" s="160"/>
      <c r="S1536" s="160"/>
      <c r="T1536" s="160"/>
      <c r="U1536" s="160"/>
      <c r="V1536" s="160"/>
      <c r="W1536" s="160"/>
      <c r="X1536" s="160"/>
      <c r="Y1536" s="160"/>
      <c r="Z1536" s="160"/>
      <c r="AA1536" s="160"/>
      <c r="AB1536" s="160"/>
    </row>
    <row r="1537">
      <c r="A1537" s="176"/>
      <c r="B1537" s="269"/>
      <c r="C1537" s="269"/>
      <c r="D1537" s="101"/>
      <c r="E1537" s="61"/>
      <c r="F1537" s="61"/>
      <c r="G1537" s="128"/>
      <c r="H1537" s="39"/>
      <c r="I1537" s="39"/>
      <c r="J1537" s="61"/>
      <c r="K1537" s="8"/>
      <c r="L1537" s="8"/>
      <c r="M1537" s="8"/>
      <c r="N1537" s="8"/>
      <c r="O1537" s="8"/>
      <c r="P1537" s="160"/>
      <c r="Q1537" s="160"/>
      <c r="R1537" s="160"/>
      <c r="S1537" s="160"/>
      <c r="T1537" s="160"/>
      <c r="U1537" s="160"/>
      <c r="V1537" s="160"/>
      <c r="W1537" s="160"/>
      <c r="X1537" s="160"/>
      <c r="Y1537" s="160"/>
      <c r="Z1537" s="160"/>
      <c r="AA1537" s="160"/>
      <c r="AB1537" s="160"/>
    </row>
    <row r="1538">
      <c r="A1538" s="176"/>
      <c r="B1538" s="269"/>
      <c r="C1538" s="269"/>
      <c r="D1538" s="101"/>
      <c r="E1538" s="61"/>
      <c r="F1538" s="61"/>
      <c r="G1538" s="128"/>
      <c r="H1538" s="39"/>
      <c r="I1538" s="39"/>
      <c r="J1538" s="61"/>
      <c r="K1538" s="8"/>
      <c r="L1538" s="8"/>
      <c r="M1538" s="8"/>
      <c r="N1538" s="8"/>
      <c r="O1538" s="8"/>
      <c r="P1538" s="160"/>
      <c r="Q1538" s="160"/>
      <c r="R1538" s="160"/>
      <c r="S1538" s="160"/>
      <c r="T1538" s="160"/>
      <c r="U1538" s="160"/>
      <c r="V1538" s="160"/>
      <c r="W1538" s="160"/>
      <c r="X1538" s="160"/>
      <c r="Y1538" s="160"/>
      <c r="Z1538" s="160"/>
      <c r="AA1538" s="160"/>
      <c r="AB1538" s="160"/>
    </row>
    <row r="1539">
      <c r="A1539" s="176"/>
      <c r="B1539" s="269"/>
      <c r="C1539" s="269"/>
      <c r="D1539" s="101"/>
      <c r="E1539" s="61"/>
      <c r="F1539" s="61"/>
      <c r="G1539" s="128"/>
      <c r="H1539" s="39"/>
      <c r="I1539" s="39"/>
      <c r="J1539" s="61"/>
      <c r="K1539" s="8"/>
      <c r="L1539" s="8"/>
      <c r="M1539" s="8"/>
      <c r="N1539" s="8"/>
      <c r="O1539" s="8"/>
      <c r="P1539" s="160"/>
      <c r="Q1539" s="160"/>
      <c r="R1539" s="160"/>
      <c r="S1539" s="160"/>
      <c r="T1539" s="160"/>
      <c r="U1539" s="160"/>
      <c r="V1539" s="160"/>
      <c r="W1539" s="160"/>
      <c r="X1539" s="160"/>
      <c r="Y1539" s="160"/>
      <c r="Z1539" s="160"/>
      <c r="AA1539" s="160"/>
      <c r="AB1539" s="160"/>
    </row>
    <row r="1540">
      <c r="A1540" s="176"/>
      <c r="B1540" s="269"/>
      <c r="C1540" s="269"/>
      <c r="D1540" s="101"/>
      <c r="E1540" s="61"/>
      <c r="F1540" s="61"/>
      <c r="G1540" s="128"/>
      <c r="H1540" s="39"/>
      <c r="I1540" s="39"/>
      <c r="J1540" s="61"/>
      <c r="K1540" s="8"/>
      <c r="L1540" s="8"/>
      <c r="M1540" s="8"/>
      <c r="N1540" s="8"/>
      <c r="O1540" s="8"/>
      <c r="P1540" s="160"/>
      <c r="Q1540" s="160"/>
      <c r="R1540" s="160"/>
      <c r="S1540" s="160"/>
      <c r="T1540" s="160"/>
      <c r="U1540" s="160"/>
      <c r="V1540" s="160"/>
      <c r="W1540" s="160"/>
      <c r="X1540" s="160"/>
      <c r="Y1540" s="160"/>
      <c r="Z1540" s="160"/>
      <c r="AA1540" s="160"/>
      <c r="AB1540" s="160"/>
    </row>
    <row r="1541">
      <c r="A1541" s="176"/>
      <c r="B1541" s="269"/>
      <c r="C1541" s="269"/>
      <c r="D1541" s="101"/>
      <c r="E1541" s="61"/>
      <c r="F1541" s="61"/>
      <c r="G1541" s="128"/>
      <c r="H1541" s="39"/>
      <c r="I1541" s="39"/>
      <c r="J1541" s="61"/>
      <c r="K1541" s="8"/>
      <c r="L1541" s="8"/>
      <c r="M1541" s="8"/>
      <c r="N1541" s="8"/>
      <c r="O1541" s="8"/>
      <c r="P1541" s="160"/>
      <c r="Q1541" s="160"/>
      <c r="R1541" s="160"/>
      <c r="S1541" s="160"/>
      <c r="T1541" s="160"/>
      <c r="U1541" s="160"/>
      <c r="V1541" s="160"/>
      <c r="W1541" s="160"/>
      <c r="X1541" s="160"/>
      <c r="Y1541" s="160"/>
      <c r="Z1541" s="160"/>
      <c r="AA1541" s="160"/>
      <c r="AB1541" s="160"/>
    </row>
    <row r="1542">
      <c r="A1542" s="176"/>
      <c r="B1542" s="269"/>
      <c r="C1542" s="269"/>
      <c r="D1542" s="101"/>
      <c r="E1542" s="61"/>
      <c r="F1542" s="61"/>
      <c r="G1542" s="128"/>
      <c r="H1542" s="39"/>
      <c r="I1542" s="39"/>
      <c r="J1542" s="61"/>
      <c r="K1542" s="8"/>
      <c r="L1542" s="8"/>
      <c r="M1542" s="8"/>
      <c r="N1542" s="8"/>
      <c r="O1542" s="8"/>
      <c r="P1542" s="160"/>
      <c r="Q1542" s="160"/>
      <c r="R1542" s="160"/>
      <c r="S1542" s="160"/>
      <c r="T1542" s="160"/>
      <c r="U1542" s="160"/>
      <c r="V1542" s="160"/>
      <c r="W1542" s="160"/>
      <c r="X1542" s="160"/>
      <c r="Y1542" s="160"/>
      <c r="Z1542" s="160"/>
      <c r="AA1542" s="160"/>
      <c r="AB1542" s="160"/>
    </row>
    <row r="1543">
      <c r="A1543" s="176"/>
      <c r="B1543" s="269"/>
      <c r="C1543" s="269"/>
      <c r="D1543" s="101"/>
      <c r="E1543" s="61"/>
      <c r="F1543" s="61"/>
      <c r="G1543" s="128"/>
      <c r="H1543" s="39"/>
      <c r="I1543" s="39"/>
      <c r="J1543" s="61"/>
      <c r="K1543" s="8"/>
      <c r="L1543" s="8"/>
      <c r="M1543" s="8"/>
      <c r="N1543" s="8"/>
      <c r="O1543" s="8"/>
      <c r="P1543" s="160"/>
      <c r="Q1543" s="160"/>
      <c r="R1543" s="160"/>
      <c r="S1543" s="160"/>
      <c r="T1543" s="160"/>
      <c r="U1543" s="160"/>
      <c r="V1543" s="160"/>
      <c r="W1543" s="160"/>
      <c r="X1543" s="160"/>
      <c r="Y1543" s="160"/>
      <c r="Z1543" s="160"/>
      <c r="AA1543" s="160"/>
      <c r="AB1543" s="160"/>
    </row>
    <row r="1544">
      <c r="A1544" s="176"/>
      <c r="B1544" s="269"/>
      <c r="C1544" s="269"/>
      <c r="D1544" s="101"/>
      <c r="E1544" s="61"/>
      <c r="F1544" s="61"/>
      <c r="G1544" s="128"/>
      <c r="H1544" s="39"/>
      <c r="I1544" s="39"/>
      <c r="J1544" s="61"/>
      <c r="K1544" s="8"/>
      <c r="L1544" s="8"/>
      <c r="M1544" s="8"/>
      <c r="N1544" s="8"/>
      <c r="O1544" s="8"/>
      <c r="P1544" s="160"/>
      <c r="Q1544" s="160"/>
      <c r="R1544" s="160"/>
      <c r="S1544" s="160"/>
      <c r="T1544" s="160"/>
      <c r="U1544" s="160"/>
      <c r="V1544" s="160"/>
      <c r="W1544" s="160"/>
      <c r="X1544" s="160"/>
      <c r="Y1544" s="160"/>
      <c r="Z1544" s="160"/>
      <c r="AA1544" s="160"/>
      <c r="AB1544" s="160"/>
    </row>
    <row r="1545">
      <c r="A1545" s="176"/>
      <c r="B1545" s="269"/>
      <c r="C1545" s="269"/>
      <c r="D1545" s="149"/>
      <c r="E1545" s="150"/>
      <c r="F1545" s="150"/>
      <c r="G1545" s="270"/>
      <c r="H1545" s="165"/>
      <c r="I1545" s="165"/>
      <c r="J1545" s="150"/>
      <c r="K1545" s="160"/>
      <c r="L1545" s="160"/>
      <c r="M1545" s="160"/>
      <c r="N1545" s="160"/>
      <c r="O1545" s="160"/>
      <c r="P1545" s="160"/>
      <c r="Q1545" s="160"/>
      <c r="R1545" s="160"/>
      <c r="S1545" s="160"/>
      <c r="T1545" s="160"/>
      <c r="U1545" s="160"/>
      <c r="V1545" s="160"/>
      <c r="W1545" s="160"/>
      <c r="X1545" s="160"/>
      <c r="Y1545" s="160"/>
      <c r="Z1545" s="160"/>
      <c r="AA1545" s="160"/>
      <c r="AB1545" s="160"/>
    </row>
    <row r="1546">
      <c r="A1546" s="176"/>
      <c r="B1546" s="269"/>
      <c r="C1546" s="269"/>
      <c r="D1546" s="149"/>
      <c r="E1546" s="150"/>
      <c r="F1546" s="150"/>
      <c r="G1546" s="270"/>
      <c r="H1546" s="165"/>
      <c r="I1546" s="165"/>
      <c r="J1546" s="150"/>
      <c r="K1546" s="160"/>
      <c r="L1546" s="160"/>
      <c r="M1546" s="160"/>
      <c r="N1546" s="160"/>
      <c r="O1546" s="160"/>
      <c r="P1546" s="160"/>
      <c r="Q1546" s="160"/>
      <c r="R1546" s="160"/>
      <c r="S1546" s="160"/>
      <c r="T1546" s="160"/>
      <c r="U1546" s="160"/>
      <c r="V1546" s="160"/>
      <c r="W1546" s="160"/>
      <c r="X1546" s="160"/>
      <c r="Y1546" s="160"/>
      <c r="Z1546" s="160"/>
      <c r="AA1546" s="160"/>
      <c r="AB1546" s="160"/>
    </row>
    <row r="1547">
      <c r="A1547" s="176"/>
      <c r="B1547" s="269"/>
      <c r="C1547" s="269"/>
      <c r="D1547" s="149"/>
      <c r="E1547" s="150"/>
      <c r="F1547" s="150"/>
      <c r="G1547" s="270"/>
      <c r="H1547" s="165"/>
      <c r="I1547" s="165"/>
      <c r="J1547" s="150"/>
      <c r="K1547" s="160"/>
      <c r="L1547" s="160"/>
      <c r="M1547" s="160"/>
      <c r="N1547" s="160"/>
      <c r="O1547" s="160"/>
      <c r="P1547" s="160"/>
      <c r="Q1547" s="160"/>
      <c r="R1547" s="160"/>
      <c r="S1547" s="160"/>
      <c r="T1547" s="160"/>
      <c r="U1547" s="160"/>
      <c r="V1547" s="160"/>
      <c r="W1547" s="160"/>
      <c r="X1547" s="160"/>
      <c r="Y1547" s="160"/>
      <c r="Z1547" s="160"/>
      <c r="AA1547" s="160"/>
      <c r="AB1547" s="160"/>
    </row>
    <row r="1548">
      <c r="A1548" s="176"/>
      <c r="B1548" s="269"/>
      <c r="C1548" s="269"/>
      <c r="D1548" s="149"/>
      <c r="E1548" s="150"/>
      <c r="F1548" s="150"/>
      <c r="G1548" s="270"/>
      <c r="H1548" s="165"/>
      <c r="I1548" s="165"/>
      <c r="J1548" s="150"/>
      <c r="K1548" s="160"/>
      <c r="L1548" s="160"/>
      <c r="M1548" s="160"/>
      <c r="N1548" s="160"/>
      <c r="O1548" s="160"/>
      <c r="P1548" s="160"/>
      <c r="Q1548" s="160"/>
      <c r="R1548" s="160"/>
      <c r="S1548" s="160"/>
      <c r="T1548" s="160"/>
      <c r="U1548" s="160"/>
      <c r="V1548" s="160"/>
      <c r="W1548" s="160"/>
      <c r="X1548" s="160"/>
      <c r="Y1548" s="160"/>
      <c r="Z1548" s="160"/>
      <c r="AA1548" s="160"/>
      <c r="AB1548" s="160"/>
    </row>
    <row r="1549">
      <c r="A1549" s="176"/>
      <c r="B1549" s="269"/>
      <c r="C1549" s="269"/>
      <c r="D1549" s="149"/>
      <c r="E1549" s="150"/>
      <c r="F1549" s="150"/>
      <c r="G1549" s="270"/>
      <c r="H1549" s="165"/>
      <c r="I1549" s="165"/>
      <c r="J1549" s="150"/>
      <c r="K1549" s="160"/>
      <c r="L1549" s="160"/>
      <c r="M1549" s="160"/>
      <c r="N1549" s="160"/>
      <c r="O1549" s="160"/>
      <c r="P1549" s="160"/>
      <c r="Q1549" s="160"/>
      <c r="R1549" s="160"/>
      <c r="S1549" s="160"/>
      <c r="T1549" s="160"/>
      <c r="U1549" s="160"/>
      <c r="V1549" s="160"/>
      <c r="W1549" s="160"/>
      <c r="X1549" s="160"/>
      <c r="Y1549" s="160"/>
      <c r="Z1549" s="160"/>
      <c r="AA1549" s="160"/>
      <c r="AB1549" s="160"/>
    </row>
    <row r="1550">
      <c r="A1550" s="176"/>
      <c r="B1550" s="269"/>
      <c r="C1550" s="269"/>
      <c r="D1550" s="149"/>
      <c r="E1550" s="150"/>
      <c r="F1550" s="150"/>
      <c r="G1550" s="270"/>
      <c r="H1550" s="165"/>
      <c r="I1550" s="165"/>
      <c r="J1550" s="150"/>
      <c r="K1550" s="160"/>
      <c r="L1550" s="160"/>
      <c r="M1550" s="160"/>
      <c r="N1550" s="160"/>
      <c r="O1550" s="160"/>
      <c r="P1550" s="160"/>
      <c r="Q1550" s="160"/>
      <c r="R1550" s="160"/>
      <c r="S1550" s="160"/>
      <c r="T1550" s="160"/>
      <c r="U1550" s="160"/>
      <c r="V1550" s="160"/>
      <c r="W1550" s="160"/>
      <c r="X1550" s="160"/>
      <c r="Y1550" s="160"/>
      <c r="Z1550" s="160"/>
      <c r="AA1550" s="160"/>
      <c r="AB1550" s="160"/>
    </row>
    <row r="1551">
      <c r="A1551" s="176"/>
      <c r="B1551" s="269"/>
      <c r="C1551" s="269"/>
      <c r="D1551" s="149"/>
      <c r="E1551" s="150"/>
      <c r="F1551" s="150"/>
      <c r="G1551" s="270"/>
      <c r="H1551" s="165"/>
      <c r="I1551" s="165"/>
      <c r="J1551" s="150"/>
      <c r="K1551" s="160"/>
      <c r="L1551" s="160"/>
      <c r="M1551" s="160"/>
      <c r="N1551" s="160"/>
      <c r="O1551" s="160"/>
      <c r="P1551" s="160"/>
      <c r="Q1551" s="160"/>
      <c r="R1551" s="160"/>
      <c r="S1551" s="160"/>
      <c r="T1551" s="160"/>
      <c r="U1551" s="160"/>
      <c r="V1551" s="160"/>
      <c r="W1551" s="160"/>
      <c r="X1551" s="160"/>
      <c r="Y1551" s="160"/>
      <c r="Z1551" s="160"/>
      <c r="AA1551" s="160"/>
      <c r="AB1551" s="160"/>
    </row>
    <row r="1552">
      <c r="A1552" s="176"/>
      <c r="B1552" s="269"/>
      <c r="C1552" s="269"/>
      <c r="D1552" s="149"/>
      <c r="E1552" s="150"/>
      <c r="F1552" s="150"/>
      <c r="G1552" s="270"/>
      <c r="H1552" s="165"/>
      <c r="I1552" s="165"/>
      <c r="J1552" s="150"/>
      <c r="K1552" s="160"/>
      <c r="L1552" s="160"/>
      <c r="M1552" s="160"/>
      <c r="N1552" s="160"/>
      <c r="O1552" s="160"/>
      <c r="P1552" s="160"/>
      <c r="Q1552" s="160"/>
      <c r="R1552" s="160"/>
      <c r="S1552" s="160"/>
      <c r="T1552" s="160"/>
      <c r="U1552" s="160"/>
      <c r="V1552" s="160"/>
      <c r="W1552" s="160"/>
      <c r="X1552" s="160"/>
      <c r="Y1552" s="160"/>
      <c r="Z1552" s="160"/>
      <c r="AA1552" s="160"/>
      <c r="AB1552" s="160"/>
    </row>
    <row r="1553">
      <c r="A1553" s="176"/>
      <c r="B1553" s="269"/>
      <c r="C1553" s="269"/>
      <c r="D1553" s="149"/>
      <c r="E1553" s="150"/>
      <c r="F1553" s="150"/>
      <c r="G1553" s="270"/>
      <c r="H1553" s="165"/>
      <c r="I1553" s="165"/>
      <c r="J1553" s="150"/>
      <c r="K1553" s="160"/>
      <c r="L1553" s="160"/>
      <c r="M1553" s="160"/>
      <c r="N1553" s="160"/>
      <c r="O1553" s="160"/>
      <c r="P1553" s="160"/>
      <c r="Q1553" s="160"/>
      <c r="R1553" s="160"/>
      <c r="S1553" s="160"/>
      <c r="T1553" s="160"/>
      <c r="U1553" s="160"/>
      <c r="V1553" s="160"/>
      <c r="W1553" s="160"/>
      <c r="X1553" s="160"/>
      <c r="Y1553" s="160"/>
      <c r="Z1553" s="160"/>
      <c r="AA1553" s="160"/>
      <c r="AB1553" s="160"/>
    </row>
    <row r="1554">
      <c r="A1554" s="176"/>
      <c r="B1554" s="269"/>
      <c r="C1554" s="269"/>
      <c r="D1554" s="149"/>
      <c r="E1554" s="150"/>
      <c r="F1554" s="150"/>
      <c r="G1554" s="270"/>
      <c r="H1554" s="165"/>
      <c r="I1554" s="165"/>
      <c r="J1554" s="150"/>
      <c r="K1554" s="160"/>
      <c r="L1554" s="160"/>
      <c r="M1554" s="160"/>
      <c r="N1554" s="160"/>
      <c r="O1554" s="160"/>
      <c r="P1554" s="160"/>
      <c r="Q1554" s="160"/>
      <c r="R1554" s="160"/>
      <c r="S1554" s="160"/>
      <c r="T1554" s="160"/>
      <c r="U1554" s="160"/>
      <c r="V1554" s="160"/>
      <c r="W1554" s="160"/>
      <c r="X1554" s="160"/>
      <c r="Y1554" s="160"/>
      <c r="Z1554" s="160"/>
      <c r="AA1554" s="160"/>
      <c r="AB1554" s="160"/>
    </row>
    <row r="1555">
      <c r="A1555" s="176"/>
      <c r="B1555" s="269"/>
      <c r="C1555" s="269"/>
      <c r="D1555" s="149"/>
      <c r="E1555" s="150"/>
      <c r="F1555" s="150"/>
      <c r="G1555" s="270"/>
      <c r="H1555" s="165"/>
      <c r="I1555" s="165"/>
      <c r="J1555" s="150"/>
      <c r="K1555" s="160"/>
      <c r="L1555" s="160"/>
      <c r="M1555" s="160"/>
      <c r="N1555" s="160"/>
      <c r="O1555" s="160"/>
      <c r="P1555" s="160"/>
      <c r="Q1555" s="160"/>
      <c r="R1555" s="160"/>
      <c r="S1555" s="160"/>
      <c r="T1555" s="160"/>
      <c r="U1555" s="160"/>
      <c r="V1555" s="160"/>
      <c r="W1555" s="160"/>
      <c r="X1555" s="160"/>
      <c r="Y1555" s="160"/>
      <c r="Z1555" s="160"/>
      <c r="AA1555" s="160"/>
      <c r="AB1555" s="160"/>
    </row>
    <row r="1556">
      <c r="A1556" s="176"/>
      <c r="B1556" s="269"/>
      <c r="C1556" s="269"/>
      <c r="D1556" s="149"/>
      <c r="E1556" s="150"/>
      <c r="F1556" s="150"/>
      <c r="G1556" s="270"/>
      <c r="H1556" s="165"/>
      <c r="I1556" s="165"/>
      <c r="J1556" s="150"/>
      <c r="K1556" s="160"/>
      <c r="L1556" s="160"/>
      <c r="M1556" s="160"/>
      <c r="N1556" s="160"/>
      <c r="O1556" s="160"/>
      <c r="P1556" s="160"/>
      <c r="Q1556" s="160"/>
      <c r="R1556" s="160"/>
      <c r="S1556" s="160"/>
      <c r="T1556" s="160"/>
      <c r="U1556" s="160"/>
      <c r="V1556" s="160"/>
      <c r="W1556" s="160"/>
      <c r="X1556" s="160"/>
      <c r="Y1556" s="160"/>
      <c r="Z1556" s="160"/>
      <c r="AA1556" s="160"/>
      <c r="AB1556" s="160"/>
    </row>
    <row r="1557">
      <c r="A1557" s="176"/>
      <c r="B1557" s="269"/>
      <c r="C1557" s="269"/>
      <c r="D1557" s="149"/>
      <c r="E1557" s="150"/>
      <c r="F1557" s="150"/>
      <c r="G1557" s="270"/>
      <c r="H1557" s="165"/>
      <c r="I1557" s="165"/>
      <c r="J1557" s="150"/>
      <c r="K1557" s="160"/>
      <c r="L1557" s="160"/>
      <c r="M1557" s="160"/>
      <c r="N1557" s="160"/>
      <c r="O1557" s="160"/>
      <c r="P1557" s="160"/>
      <c r="Q1557" s="160"/>
      <c r="R1557" s="160"/>
      <c r="S1557" s="160"/>
      <c r="T1557" s="160"/>
      <c r="U1557" s="160"/>
      <c r="V1557" s="160"/>
      <c r="W1557" s="160"/>
      <c r="X1557" s="160"/>
      <c r="Y1557" s="160"/>
      <c r="Z1557" s="160"/>
      <c r="AA1557" s="160"/>
      <c r="AB1557" s="160"/>
    </row>
    <row r="1558">
      <c r="A1558" s="176"/>
      <c r="B1558" s="269"/>
      <c r="C1558" s="269"/>
      <c r="D1558" s="149"/>
      <c r="E1558" s="150"/>
      <c r="F1558" s="150"/>
      <c r="G1558" s="270"/>
      <c r="H1558" s="165"/>
      <c r="I1558" s="165"/>
      <c r="J1558" s="150"/>
      <c r="K1558" s="160"/>
      <c r="L1558" s="160"/>
      <c r="M1558" s="160"/>
      <c r="N1558" s="160"/>
      <c r="O1558" s="160"/>
      <c r="P1558" s="160"/>
      <c r="Q1558" s="160"/>
      <c r="R1558" s="160"/>
      <c r="S1558" s="160"/>
      <c r="T1558" s="160"/>
      <c r="U1558" s="160"/>
      <c r="V1558" s="160"/>
      <c r="W1558" s="160"/>
      <c r="X1558" s="160"/>
      <c r="Y1558" s="160"/>
      <c r="Z1558" s="160"/>
      <c r="AA1558" s="160"/>
      <c r="AB1558" s="160"/>
    </row>
    <row r="1559">
      <c r="A1559" s="176"/>
      <c r="B1559" s="269"/>
      <c r="C1559" s="269"/>
      <c r="D1559" s="149"/>
      <c r="E1559" s="150"/>
      <c r="F1559" s="150"/>
      <c r="G1559" s="270"/>
      <c r="H1559" s="165"/>
      <c r="I1559" s="165"/>
      <c r="J1559" s="150"/>
      <c r="K1559" s="160"/>
      <c r="L1559" s="160"/>
      <c r="M1559" s="160"/>
      <c r="N1559" s="160"/>
      <c r="O1559" s="160"/>
      <c r="P1559" s="160"/>
      <c r="Q1559" s="160"/>
      <c r="R1559" s="160"/>
      <c r="S1559" s="160"/>
      <c r="T1559" s="160"/>
      <c r="U1559" s="160"/>
      <c r="V1559" s="160"/>
      <c r="W1559" s="160"/>
      <c r="X1559" s="160"/>
      <c r="Y1559" s="160"/>
      <c r="Z1559" s="160"/>
      <c r="AA1559" s="160"/>
      <c r="AB1559" s="160"/>
    </row>
    <row r="1560">
      <c r="A1560" s="176"/>
      <c r="B1560" s="269"/>
      <c r="C1560" s="269"/>
      <c r="D1560" s="149"/>
      <c r="E1560" s="150"/>
      <c r="F1560" s="150"/>
      <c r="G1560" s="270"/>
      <c r="H1560" s="165"/>
      <c r="I1560" s="165"/>
      <c r="J1560" s="150"/>
      <c r="K1560" s="160"/>
      <c r="L1560" s="160"/>
      <c r="M1560" s="160"/>
      <c r="N1560" s="160"/>
      <c r="O1560" s="160"/>
      <c r="P1560" s="160"/>
      <c r="Q1560" s="160"/>
      <c r="R1560" s="160"/>
      <c r="S1560" s="160"/>
      <c r="T1560" s="160"/>
      <c r="U1560" s="160"/>
      <c r="V1560" s="160"/>
      <c r="W1560" s="160"/>
      <c r="X1560" s="160"/>
      <c r="Y1560" s="160"/>
      <c r="Z1560" s="160"/>
      <c r="AA1560" s="160"/>
      <c r="AB1560" s="160"/>
    </row>
    <row r="1561">
      <c r="A1561" s="176"/>
      <c r="B1561" s="269"/>
      <c r="C1561" s="269"/>
      <c r="D1561" s="149"/>
      <c r="E1561" s="150"/>
      <c r="F1561" s="150"/>
      <c r="G1561" s="270"/>
      <c r="H1561" s="165"/>
      <c r="I1561" s="165"/>
      <c r="J1561" s="150"/>
      <c r="K1561" s="160"/>
      <c r="L1561" s="160"/>
      <c r="M1561" s="160"/>
      <c r="N1561" s="160"/>
      <c r="O1561" s="160"/>
      <c r="P1561" s="160"/>
      <c r="Q1561" s="160"/>
      <c r="R1561" s="160"/>
      <c r="S1561" s="160"/>
      <c r="T1561" s="160"/>
      <c r="U1561" s="160"/>
      <c r="V1561" s="160"/>
      <c r="W1561" s="160"/>
      <c r="X1561" s="160"/>
      <c r="Y1561" s="160"/>
      <c r="Z1561" s="160"/>
      <c r="AA1561" s="160"/>
      <c r="AB1561" s="160"/>
    </row>
    <row r="1562">
      <c r="A1562" s="176"/>
      <c r="B1562" s="269"/>
      <c r="C1562" s="269"/>
      <c r="D1562" s="149"/>
      <c r="E1562" s="150"/>
      <c r="F1562" s="150"/>
      <c r="G1562" s="270"/>
      <c r="H1562" s="165"/>
      <c r="I1562" s="165"/>
      <c r="J1562" s="150"/>
      <c r="K1562" s="160"/>
      <c r="L1562" s="160"/>
      <c r="M1562" s="160"/>
      <c r="N1562" s="160"/>
      <c r="O1562" s="160"/>
      <c r="P1562" s="160"/>
      <c r="Q1562" s="160"/>
      <c r="R1562" s="160"/>
      <c r="S1562" s="160"/>
      <c r="T1562" s="160"/>
      <c r="U1562" s="160"/>
      <c r="V1562" s="160"/>
      <c r="W1562" s="160"/>
      <c r="X1562" s="160"/>
      <c r="Y1562" s="160"/>
      <c r="Z1562" s="160"/>
      <c r="AA1562" s="160"/>
      <c r="AB1562" s="160"/>
    </row>
    <row r="1563">
      <c r="A1563" s="176"/>
      <c r="B1563" s="269"/>
      <c r="C1563" s="269"/>
      <c r="D1563" s="149"/>
      <c r="E1563" s="150"/>
      <c r="F1563" s="150"/>
      <c r="G1563" s="270"/>
      <c r="H1563" s="165"/>
      <c r="I1563" s="165"/>
      <c r="J1563" s="150"/>
      <c r="K1563" s="160"/>
      <c r="L1563" s="160"/>
      <c r="M1563" s="160"/>
      <c r="N1563" s="160"/>
      <c r="O1563" s="160"/>
      <c r="P1563" s="160"/>
      <c r="Q1563" s="160"/>
      <c r="R1563" s="160"/>
      <c r="S1563" s="160"/>
      <c r="T1563" s="160"/>
      <c r="U1563" s="160"/>
      <c r="V1563" s="160"/>
      <c r="W1563" s="160"/>
      <c r="X1563" s="160"/>
      <c r="Y1563" s="160"/>
      <c r="Z1563" s="160"/>
      <c r="AA1563" s="160"/>
      <c r="AB1563" s="160"/>
    </row>
    <row r="1564">
      <c r="A1564" s="176"/>
      <c r="B1564" s="269"/>
      <c r="C1564" s="269"/>
      <c r="D1564" s="149"/>
      <c r="E1564" s="150"/>
      <c r="F1564" s="150"/>
      <c r="G1564" s="270"/>
      <c r="H1564" s="165"/>
      <c r="I1564" s="165"/>
      <c r="J1564" s="150"/>
      <c r="K1564" s="160"/>
      <c r="L1564" s="160"/>
      <c r="M1564" s="160"/>
      <c r="N1564" s="160"/>
      <c r="O1564" s="160"/>
      <c r="P1564" s="160"/>
      <c r="Q1564" s="160"/>
      <c r="R1564" s="160"/>
      <c r="S1564" s="160"/>
      <c r="T1564" s="160"/>
      <c r="U1564" s="160"/>
      <c r="V1564" s="160"/>
      <c r="W1564" s="160"/>
      <c r="X1564" s="160"/>
      <c r="Y1564" s="160"/>
      <c r="Z1564" s="160"/>
      <c r="AA1564" s="160"/>
      <c r="AB1564" s="160"/>
    </row>
    <row r="1565">
      <c r="A1565" s="176"/>
      <c r="B1565" s="269"/>
      <c r="C1565" s="269"/>
      <c r="D1565" s="149"/>
      <c r="E1565" s="150"/>
      <c r="F1565" s="150"/>
      <c r="G1565" s="270"/>
      <c r="H1565" s="165"/>
      <c r="I1565" s="165"/>
      <c r="J1565" s="150"/>
      <c r="K1565" s="160"/>
      <c r="L1565" s="160"/>
      <c r="M1565" s="160"/>
      <c r="N1565" s="160"/>
      <c r="O1565" s="160"/>
      <c r="P1565" s="160"/>
      <c r="Q1565" s="160"/>
      <c r="R1565" s="160"/>
      <c r="S1565" s="160"/>
      <c r="T1565" s="160"/>
      <c r="U1565" s="160"/>
      <c r="V1565" s="160"/>
      <c r="W1565" s="160"/>
      <c r="X1565" s="160"/>
      <c r="Y1565" s="160"/>
      <c r="Z1565" s="160"/>
      <c r="AA1565" s="160"/>
      <c r="AB1565" s="160"/>
    </row>
    <row r="1566">
      <c r="A1566" s="176"/>
      <c r="B1566" s="269"/>
      <c r="C1566" s="269"/>
      <c r="D1566" s="149"/>
      <c r="E1566" s="150"/>
      <c r="F1566" s="150"/>
      <c r="G1566" s="270"/>
      <c r="H1566" s="165"/>
      <c r="I1566" s="165"/>
      <c r="J1566" s="150"/>
      <c r="K1566" s="160"/>
      <c r="L1566" s="160"/>
      <c r="M1566" s="160"/>
      <c r="N1566" s="160"/>
      <c r="O1566" s="160"/>
      <c r="P1566" s="160"/>
      <c r="Q1566" s="160"/>
      <c r="R1566" s="160"/>
      <c r="S1566" s="160"/>
      <c r="T1566" s="160"/>
      <c r="U1566" s="160"/>
      <c r="V1566" s="160"/>
      <c r="W1566" s="160"/>
      <c r="X1566" s="160"/>
      <c r="Y1566" s="160"/>
      <c r="Z1566" s="160"/>
      <c r="AA1566" s="160"/>
      <c r="AB1566" s="160"/>
    </row>
    <row r="1567">
      <c r="A1567" s="176"/>
      <c r="B1567" s="269"/>
      <c r="C1567" s="269"/>
      <c r="D1567" s="149"/>
      <c r="E1567" s="150"/>
      <c r="F1567" s="150"/>
      <c r="G1567" s="270"/>
      <c r="H1567" s="165"/>
      <c r="I1567" s="165"/>
      <c r="J1567" s="150"/>
      <c r="K1567" s="160"/>
      <c r="L1567" s="160"/>
      <c r="M1567" s="160"/>
      <c r="N1567" s="160"/>
      <c r="O1567" s="160"/>
      <c r="P1567" s="160"/>
      <c r="Q1567" s="160"/>
      <c r="R1567" s="160"/>
      <c r="S1567" s="160"/>
      <c r="T1567" s="160"/>
      <c r="U1567" s="160"/>
      <c r="V1567" s="160"/>
      <c r="W1567" s="160"/>
      <c r="X1567" s="160"/>
      <c r="Y1567" s="160"/>
      <c r="Z1567" s="160"/>
      <c r="AA1567" s="160"/>
      <c r="AB1567" s="160"/>
    </row>
    <row r="1568">
      <c r="A1568" s="176"/>
      <c r="B1568" s="269"/>
      <c r="C1568" s="269"/>
      <c r="D1568" s="149"/>
      <c r="E1568" s="150"/>
      <c r="F1568" s="150"/>
      <c r="G1568" s="270"/>
      <c r="H1568" s="165"/>
      <c r="I1568" s="165"/>
      <c r="J1568" s="150"/>
      <c r="K1568" s="160"/>
      <c r="L1568" s="160"/>
      <c r="M1568" s="160"/>
      <c r="N1568" s="160"/>
      <c r="O1568" s="160"/>
      <c r="P1568" s="160"/>
      <c r="Q1568" s="160"/>
      <c r="R1568" s="160"/>
      <c r="S1568" s="160"/>
      <c r="T1568" s="160"/>
      <c r="U1568" s="160"/>
      <c r="V1568" s="160"/>
      <c r="W1568" s="160"/>
      <c r="X1568" s="160"/>
      <c r="Y1568" s="160"/>
      <c r="Z1568" s="160"/>
      <c r="AA1568" s="160"/>
      <c r="AB1568" s="160"/>
    </row>
    <row r="1569">
      <c r="A1569" s="176"/>
      <c r="B1569" s="269"/>
      <c r="C1569" s="269"/>
      <c r="D1569" s="149"/>
      <c r="E1569" s="150"/>
      <c r="F1569" s="150"/>
      <c r="G1569" s="270"/>
      <c r="H1569" s="165"/>
      <c r="I1569" s="165"/>
      <c r="J1569" s="150"/>
      <c r="K1569" s="160"/>
      <c r="L1569" s="160"/>
      <c r="M1569" s="160"/>
      <c r="N1569" s="160"/>
      <c r="O1569" s="160"/>
      <c r="P1569" s="160"/>
      <c r="Q1569" s="160"/>
      <c r="R1569" s="160"/>
      <c r="S1569" s="160"/>
      <c r="T1569" s="160"/>
      <c r="U1569" s="160"/>
      <c r="V1569" s="160"/>
      <c r="W1569" s="160"/>
      <c r="X1569" s="160"/>
      <c r="Y1569" s="160"/>
      <c r="Z1569" s="160"/>
      <c r="AA1569" s="160"/>
      <c r="AB1569" s="160"/>
    </row>
    <row r="1570">
      <c r="A1570" s="176"/>
      <c r="B1570" s="269"/>
      <c r="C1570" s="269"/>
      <c r="D1570" s="149"/>
      <c r="E1570" s="150"/>
      <c r="F1570" s="150"/>
      <c r="G1570" s="270"/>
      <c r="H1570" s="165"/>
      <c r="I1570" s="165"/>
      <c r="J1570" s="150"/>
      <c r="K1570" s="160"/>
      <c r="L1570" s="160"/>
      <c r="M1570" s="160"/>
      <c r="N1570" s="160"/>
      <c r="O1570" s="160"/>
      <c r="P1570" s="160"/>
      <c r="Q1570" s="160"/>
      <c r="R1570" s="160"/>
      <c r="S1570" s="160"/>
      <c r="T1570" s="160"/>
      <c r="U1570" s="160"/>
      <c r="V1570" s="160"/>
      <c r="W1570" s="160"/>
      <c r="X1570" s="160"/>
      <c r="Y1570" s="160"/>
      <c r="Z1570" s="160"/>
      <c r="AA1570" s="160"/>
      <c r="AB1570" s="160"/>
    </row>
    <row r="1571">
      <c r="A1571" s="176"/>
      <c r="B1571" s="269"/>
      <c r="C1571" s="269"/>
      <c r="D1571" s="149"/>
      <c r="E1571" s="150"/>
      <c r="F1571" s="150"/>
      <c r="G1571" s="270"/>
      <c r="H1571" s="165"/>
      <c r="I1571" s="165"/>
      <c r="J1571" s="150"/>
      <c r="K1571" s="160"/>
      <c r="L1571" s="160"/>
      <c r="M1571" s="160"/>
      <c r="N1571" s="160"/>
      <c r="O1571" s="160"/>
      <c r="P1571" s="160"/>
      <c r="Q1571" s="160"/>
      <c r="R1571" s="160"/>
      <c r="S1571" s="160"/>
      <c r="T1571" s="160"/>
      <c r="U1571" s="160"/>
      <c r="V1571" s="160"/>
      <c r="W1571" s="160"/>
      <c r="X1571" s="160"/>
      <c r="Y1571" s="160"/>
      <c r="Z1571" s="160"/>
      <c r="AA1571" s="160"/>
      <c r="AB1571" s="160"/>
    </row>
    <row r="1572">
      <c r="A1572" s="176"/>
      <c r="B1572" s="269"/>
      <c r="C1572" s="269"/>
      <c r="D1572" s="149"/>
      <c r="E1572" s="150"/>
      <c r="F1572" s="150"/>
      <c r="G1572" s="270"/>
      <c r="H1572" s="165"/>
      <c r="I1572" s="165"/>
      <c r="J1572" s="150"/>
      <c r="K1572" s="160"/>
      <c r="L1572" s="160"/>
      <c r="M1572" s="160"/>
      <c r="N1572" s="160"/>
      <c r="O1572" s="160"/>
      <c r="P1572" s="160"/>
      <c r="Q1572" s="160"/>
      <c r="R1572" s="160"/>
      <c r="S1572" s="160"/>
      <c r="T1572" s="160"/>
      <c r="U1572" s="160"/>
      <c r="V1572" s="160"/>
      <c r="W1572" s="160"/>
      <c r="X1572" s="160"/>
      <c r="Y1572" s="160"/>
      <c r="Z1572" s="160"/>
      <c r="AA1572" s="160"/>
      <c r="AB1572" s="160"/>
    </row>
    <row r="1573">
      <c r="A1573" s="176"/>
      <c r="B1573" s="269"/>
      <c r="C1573" s="269"/>
      <c r="D1573" s="149"/>
      <c r="E1573" s="150"/>
      <c r="F1573" s="150"/>
      <c r="G1573" s="270"/>
      <c r="H1573" s="165"/>
      <c r="I1573" s="165"/>
      <c r="J1573" s="150"/>
      <c r="K1573" s="160"/>
      <c r="L1573" s="160"/>
      <c r="M1573" s="160"/>
      <c r="N1573" s="160"/>
      <c r="O1573" s="160"/>
      <c r="P1573" s="160"/>
      <c r="Q1573" s="160"/>
      <c r="R1573" s="160"/>
      <c r="S1573" s="160"/>
      <c r="T1573" s="160"/>
      <c r="U1573" s="160"/>
      <c r="V1573" s="160"/>
      <c r="W1573" s="160"/>
      <c r="X1573" s="160"/>
      <c r="Y1573" s="160"/>
      <c r="Z1573" s="160"/>
      <c r="AA1573" s="160"/>
      <c r="AB1573" s="160"/>
    </row>
    <row r="1574">
      <c r="A1574" s="176"/>
      <c r="B1574" s="269"/>
      <c r="C1574" s="269"/>
      <c r="D1574" s="149"/>
      <c r="E1574" s="150"/>
      <c r="F1574" s="150"/>
      <c r="G1574" s="270"/>
      <c r="H1574" s="165"/>
      <c r="I1574" s="165"/>
      <c r="J1574" s="150"/>
      <c r="K1574" s="160"/>
      <c r="L1574" s="160"/>
      <c r="M1574" s="160"/>
      <c r="N1574" s="160"/>
      <c r="O1574" s="160"/>
      <c r="P1574" s="160"/>
      <c r="Q1574" s="160"/>
      <c r="R1574" s="160"/>
      <c r="S1574" s="160"/>
      <c r="T1574" s="160"/>
      <c r="U1574" s="160"/>
      <c r="V1574" s="160"/>
      <c r="W1574" s="160"/>
      <c r="X1574" s="160"/>
      <c r="Y1574" s="160"/>
      <c r="Z1574" s="160"/>
      <c r="AA1574" s="160"/>
      <c r="AB1574" s="160"/>
    </row>
    <row r="1575">
      <c r="A1575" s="176"/>
      <c r="B1575" s="269"/>
      <c r="C1575" s="269"/>
      <c r="D1575" s="149"/>
      <c r="E1575" s="150"/>
      <c r="F1575" s="150"/>
      <c r="G1575" s="270"/>
      <c r="H1575" s="165"/>
      <c r="I1575" s="165"/>
      <c r="J1575" s="150"/>
      <c r="K1575" s="160"/>
      <c r="L1575" s="160"/>
      <c r="M1575" s="160"/>
      <c r="N1575" s="160"/>
      <c r="O1575" s="160"/>
      <c r="P1575" s="160"/>
      <c r="Q1575" s="160"/>
      <c r="R1575" s="160"/>
      <c r="S1575" s="160"/>
      <c r="T1575" s="160"/>
      <c r="U1575" s="160"/>
      <c r="V1575" s="160"/>
      <c r="W1575" s="160"/>
      <c r="X1575" s="160"/>
      <c r="Y1575" s="160"/>
      <c r="Z1575" s="160"/>
      <c r="AA1575" s="160"/>
      <c r="AB1575" s="160"/>
    </row>
    <row r="1576">
      <c r="A1576" s="176"/>
      <c r="B1576" s="269"/>
      <c r="C1576" s="269"/>
      <c r="D1576" s="149"/>
      <c r="E1576" s="150"/>
      <c r="F1576" s="150"/>
      <c r="G1576" s="270"/>
      <c r="H1576" s="165"/>
      <c r="I1576" s="165"/>
      <c r="J1576" s="150"/>
      <c r="K1576" s="160"/>
      <c r="L1576" s="160"/>
      <c r="M1576" s="160"/>
      <c r="N1576" s="160"/>
      <c r="O1576" s="160"/>
      <c r="P1576" s="160"/>
      <c r="Q1576" s="160"/>
      <c r="R1576" s="160"/>
      <c r="S1576" s="160"/>
      <c r="T1576" s="160"/>
      <c r="U1576" s="160"/>
      <c r="V1576" s="160"/>
      <c r="W1576" s="160"/>
      <c r="X1576" s="160"/>
      <c r="Y1576" s="160"/>
      <c r="Z1576" s="160"/>
      <c r="AA1576" s="160"/>
      <c r="AB1576" s="160"/>
    </row>
    <row r="1577">
      <c r="A1577" s="176"/>
      <c r="B1577" s="269"/>
      <c r="C1577" s="269"/>
      <c r="D1577" s="149"/>
      <c r="E1577" s="150"/>
      <c r="F1577" s="150"/>
      <c r="G1577" s="270"/>
      <c r="H1577" s="165"/>
      <c r="I1577" s="165"/>
      <c r="J1577" s="150"/>
      <c r="K1577" s="160"/>
      <c r="L1577" s="160"/>
      <c r="M1577" s="160"/>
      <c r="N1577" s="160"/>
      <c r="O1577" s="160"/>
      <c r="P1577" s="160"/>
      <c r="Q1577" s="160"/>
      <c r="R1577" s="160"/>
      <c r="S1577" s="160"/>
      <c r="T1577" s="160"/>
      <c r="U1577" s="160"/>
      <c r="V1577" s="160"/>
      <c r="W1577" s="160"/>
      <c r="X1577" s="160"/>
      <c r="Y1577" s="160"/>
      <c r="Z1577" s="160"/>
      <c r="AA1577" s="160"/>
      <c r="AB1577" s="160"/>
    </row>
    <row r="1578">
      <c r="A1578" s="176"/>
      <c r="B1578" s="269"/>
      <c r="C1578" s="269"/>
      <c r="D1578" s="149"/>
      <c r="E1578" s="150"/>
      <c r="F1578" s="150"/>
      <c r="G1578" s="270"/>
      <c r="H1578" s="165"/>
      <c r="I1578" s="165"/>
      <c r="J1578" s="150"/>
      <c r="K1578" s="160"/>
      <c r="L1578" s="160"/>
      <c r="M1578" s="160"/>
      <c r="N1578" s="160"/>
      <c r="O1578" s="160"/>
      <c r="P1578" s="160"/>
      <c r="Q1578" s="160"/>
      <c r="R1578" s="160"/>
      <c r="S1578" s="160"/>
      <c r="T1578" s="160"/>
      <c r="U1578" s="160"/>
      <c r="V1578" s="160"/>
      <c r="W1578" s="160"/>
      <c r="X1578" s="160"/>
      <c r="Y1578" s="160"/>
      <c r="Z1578" s="160"/>
      <c r="AA1578" s="160"/>
      <c r="AB1578" s="160"/>
    </row>
    <row r="1579">
      <c r="A1579" s="176"/>
      <c r="B1579" s="269"/>
      <c r="C1579" s="269"/>
      <c r="D1579" s="149"/>
      <c r="E1579" s="150"/>
      <c r="F1579" s="150"/>
      <c r="G1579" s="270"/>
      <c r="H1579" s="165"/>
      <c r="I1579" s="165"/>
      <c r="J1579" s="150"/>
      <c r="K1579" s="160"/>
      <c r="L1579" s="160"/>
      <c r="M1579" s="160"/>
      <c r="N1579" s="160"/>
      <c r="O1579" s="160"/>
      <c r="P1579" s="160"/>
      <c r="Q1579" s="160"/>
      <c r="R1579" s="160"/>
      <c r="S1579" s="160"/>
      <c r="T1579" s="160"/>
      <c r="U1579" s="160"/>
      <c r="V1579" s="160"/>
      <c r="W1579" s="160"/>
      <c r="X1579" s="160"/>
      <c r="Y1579" s="160"/>
      <c r="Z1579" s="160"/>
      <c r="AA1579" s="160"/>
      <c r="AB1579" s="160"/>
    </row>
    <row r="1580">
      <c r="A1580" s="176"/>
      <c r="B1580" s="269"/>
      <c r="C1580" s="269"/>
      <c r="D1580" s="149"/>
      <c r="E1580" s="150"/>
      <c r="F1580" s="150"/>
      <c r="G1580" s="270"/>
      <c r="H1580" s="165"/>
      <c r="I1580" s="165"/>
      <c r="J1580" s="150"/>
      <c r="K1580" s="160"/>
      <c r="L1580" s="160"/>
      <c r="M1580" s="160"/>
      <c r="N1580" s="160"/>
      <c r="O1580" s="160"/>
      <c r="P1580" s="160"/>
      <c r="Q1580" s="160"/>
      <c r="R1580" s="160"/>
      <c r="S1580" s="160"/>
      <c r="T1580" s="160"/>
      <c r="U1580" s="160"/>
      <c r="V1580" s="160"/>
      <c r="W1580" s="160"/>
      <c r="X1580" s="160"/>
      <c r="Y1580" s="160"/>
      <c r="Z1580" s="160"/>
      <c r="AA1580" s="160"/>
      <c r="AB1580" s="160"/>
    </row>
    <row r="1581">
      <c r="A1581" s="176"/>
      <c r="B1581" s="269"/>
      <c r="C1581" s="269"/>
      <c r="D1581" s="149"/>
      <c r="E1581" s="150"/>
      <c r="F1581" s="150"/>
      <c r="G1581" s="270"/>
      <c r="H1581" s="165"/>
      <c r="I1581" s="165"/>
      <c r="J1581" s="150"/>
      <c r="K1581" s="160"/>
      <c r="L1581" s="160"/>
      <c r="M1581" s="160"/>
      <c r="N1581" s="160"/>
      <c r="O1581" s="160"/>
      <c r="P1581" s="160"/>
      <c r="Q1581" s="160"/>
      <c r="R1581" s="160"/>
      <c r="S1581" s="160"/>
      <c r="T1581" s="160"/>
      <c r="U1581" s="160"/>
      <c r="V1581" s="160"/>
      <c r="W1581" s="160"/>
      <c r="X1581" s="160"/>
      <c r="Y1581" s="160"/>
      <c r="Z1581" s="160"/>
      <c r="AA1581" s="160"/>
      <c r="AB1581" s="160"/>
    </row>
    <row r="1582">
      <c r="A1582" s="176"/>
      <c r="B1582" s="269"/>
      <c r="C1582" s="269"/>
      <c r="D1582" s="149"/>
      <c r="E1582" s="150"/>
      <c r="F1582" s="150"/>
      <c r="G1582" s="270"/>
      <c r="H1582" s="165"/>
      <c r="I1582" s="165"/>
      <c r="J1582" s="150"/>
      <c r="K1582" s="160"/>
      <c r="L1582" s="160"/>
      <c r="M1582" s="160"/>
      <c r="N1582" s="160"/>
      <c r="O1582" s="160"/>
      <c r="P1582" s="160"/>
      <c r="Q1582" s="160"/>
      <c r="R1582" s="160"/>
      <c r="S1582" s="160"/>
      <c r="T1582" s="160"/>
      <c r="U1582" s="160"/>
      <c r="V1582" s="160"/>
      <c r="W1582" s="160"/>
      <c r="X1582" s="160"/>
      <c r="Y1582" s="160"/>
      <c r="Z1582" s="160"/>
      <c r="AA1582" s="160"/>
      <c r="AB1582" s="160"/>
    </row>
    <row r="1583">
      <c r="A1583" s="176"/>
      <c r="B1583" s="269"/>
      <c r="C1583" s="269"/>
      <c r="D1583" s="149"/>
      <c r="E1583" s="150"/>
      <c r="F1583" s="150"/>
      <c r="G1583" s="270"/>
      <c r="H1583" s="165"/>
      <c r="I1583" s="165"/>
      <c r="J1583" s="150"/>
      <c r="K1583" s="160"/>
      <c r="L1583" s="160"/>
      <c r="M1583" s="160"/>
      <c r="N1583" s="160"/>
      <c r="O1583" s="160"/>
      <c r="P1583" s="160"/>
      <c r="Q1583" s="160"/>
      <c r="R1583" s="160"/>
      <c r="S1583" s="160"/>
      <c r="T1583" s="160"/>
      <c r="U1583" s="160"/>
      <c r="V1583" s="160"/>
      <c r="W1583" s="160"/>
      <c r="X1583" s="160"/>
      <c r="Y1583" s="160"/>
      <c r="Z1583" s="160"/>
      <c r="AA1583" s="160"/>
      <c r="AB1583" s="160"/>
    </row>
    <row r="1584">
      <c r="A1584" s="176"/>
      <c r="B1584" s="269"/>
      <c r="C1584" s="269"/>
      <c r="D1584" s="149"/>
      <c r="E1584" s="150"/>
      <c r="F1584" s="150"/>
      <c r="G1584" s="270"/>
      <c r="H1584" s="165"/>
      <c r="I1584" s="165"/>
      <c r="J1584" s="150"/>
      <c r="K1584" s="160"/>
      <c r="L1584" s="160"/>
      <c r="M1584" s="160"/>
      <c r="N1584" s="160"/>
      <c r="O1584" s="160"/>
      <c r="P1584" s="160"/>
      <c r="Q1584" s="160"/>
      <c r="R1584" s="160"/>
      <c r="S1584" s="160"/>
      <c r="T1584" s="160"/>
      <c r="U1584" s="160"/>
      <c r="V1584" s="160"/>
      <c r="W1584" s="160"/>
      <c r="X1584" s="160"/>
      <c r="Y1584" s="160"/>
      <c r="Z1584" s="160"/>
      <c r="AA1584" s="160"/>
      <c r="AB1584" s="160"/>
    </row>
    <row r="1585">
      <c r="A1585" s="176"/>
      <c r="B1585" s="269"/>
      <c r="C1585" s="269"/>
      <c r="D1585" s="149"/>
      <c r="E1585" s="150"/>
      <c r="F1585" s="150"/>
      <c r="G1585" s="270"/>
      <c r="H1585" s="165"/>
      <c r="I1585" s="165"/>
      <c r="J1585" s="150"/>
      <c r="K1585" s="160"/>
      <c r="L1585" s="160"/>
      <c r="M1585" s="160"/>
      <c r="N1585" s="160"/>
      <c r="O1585" s="160"/>
      <c r="P1585" s="160"/>
      <c r="Q1585" s="160"/>
      <c r="R1585" s="160"/>
      <c r="S1585" s="160"/>
      <c r="T1585" s="160"/>
      <c r="U1585" s="160"/>
      <c r="V1585" s="160"/>
      <c r="W1585" s="160"/>
      <c r="X1585" s="160"/>
      <c r="Y1585" s="160"/>
      <c r="Z1585" s="160"/>
      <c r="AA1585" s="160"/>
      <c r="AB1585" s="160"/>
    </row>
    <row r="1586">
      <c r="A1586" s="176"/>
      <c r="B1586" s="269"/>
      <c r="C1586" s="269"/>
      <c r="D1586" s="149"/>
      <c r="E1586" s="150"/>
      <c r="F1586" s="150"/>
      <c r="G1586" s="270"/>
      <c r="H1586" s="165"/>
      <c r="I1586" s="165"/>
      <c r="J1586" s="150"/>
      <c r="K1586" s="160"/>
      <c r="L1586" s="160"/>
      <c r="M1586" s="160"/>
      <c r="N1586" s="160"/>
      <c r="O1586" s="160"/>
      <c r="P1586" s="160"/>
      <c r="Q1586" s="160"/>
      <c r="R1586" s="160"/>
      <c r="S1586" s="160"/>
      <c r="T1586" s="160"/>
      <c r="U1586" s="160"/>
      <c r="V1586" s="160"/>
      <c r="W1586" s="160"/>
      <c r="X1586" s="160"/>
      <c r="Y1586" s="160"/>
      <c r="Z1586" s="160"/>
      <c r="AA1586" s="160"/>
      <c r="AB1586" s="160"/>
    </row>
    <row r="1587">
      <c r="A1587" s="176"/>
      <c r="B1587" s="269"/>
      <c r="C1587" s="269"/>
      <c r="D1587" s="149"/>
      <c r="E1587" s="150"/>
      <c r="F1587" s="150"/>
      <c r="G1587" s="270"/>
      <c r="H1587" s="165"/>
      <c r="I1587" s="165"/>
      <c r="J1587" s="150"/>
      <c r="K1587" s="160"/>
      <c r="L1587" s="160"/>
      <c r="M1587" s="160"/>
      <c r="N1587" s="160"/>
      <c r="O1587" s="160"/>
      <c r="P1587" s="160"/>
      <c r="Q1587" s="160"/>
      <c r="R1587" s="160"/>
      <c r="S1587" s="160"/>
      <c r="T1587" s="160"/>
      <c r="U1587" s="160"/>
      <c r="V1587" s="160"/>
      <c r="W1587" s="160"/>
      <c r="X1587" s="160"/>
      <c r="Y1587" s="160"/>
      <c r="Z1587" s="160"/>
      <c r="AA1587" s="160"/>
      <c r="AB1587" s="160"/>
    </row>
    <row r="1588">
      <c r="A1588" s="176"/>
      <c r="B1588" s="269"/>
      <c r="C1588" s="269"/>
      <c r="D1588" s="149"/>
      <c r="E1588" s="150"/>
      <c r="F1588" s="150"/>
      <c r="G1588" s="270"/>
      <c r="H1588" s="165"/>
      <c r="I1588" s="165"/>
      <c r="J1588" s="150"/>
      <c r="K1588" s="160"/>
      <c r="L1588" s="160"/>
      <c r="M1588" s="160"/>
      <c r="N1588" s="160"/>
      <c r="O1588" s="160"/>
      <c r="P1588" s="160"/>
      <c r="Q1588" s="160"/>
      <c r="R1588" s="160"/>
      <c r="S1588" s="160"/>
      <c r="T1588" s="160"/>
      <c r="U1588" s="160"/>
      <c r="V1588" s="160"/>
      <c r="W1588" s="160"/>
      <c r="X1588" s="160"/>
      <c r="Y1588" s="160"/>
      <c r="Z1588" s="160"/>
      <c r="AA1588" s="160"/>
      <c r="AB1588" s="160"/>
    </row>
    <row r="1589">
      <c r="A1589" s="176"/>
      <c r="B1589" s="269"/>
      <c r="C1589" s="269"/>
      <c r="D1589" s="149"/>
      <c r="E1589" s="150"/>
      <c r="F1589" s="150"/>
      <c r="G1589" s="270"/>
      <c r="H1589" s="165"/>
      <c r="I1589" s="165"/>
      <c r="J1589" s="150"/>
      <c r="K1589" s="160"/>
      <c r="L1589" s="160"/>
      <c r="M1589" s="160"/>
      <c r="N1589" s="160"/>
      <c r="O1589" s="160"/>
      <c r="P1589" s="160"/>
      <c r="Q1589" s="160"/>
      <c r="R1589" s="160"/>
      <c r="S1589" s="160"/>
      <c r="T1589" s="160"/>
      <c r="U1589" s="160"/>
      <c r="V1589" s="160"/>
      <c r="W1589" s="160"/>
      <c r="X1589" s="160"/>
      <c r="Y1589" s="160"/>
      <c r="Z1589" s="160"/>
      <c r="AA1589" s="160"/>
      <c r="AB1589" s="160"/>
    </row>
    <row r="1590">
      <c r="A1590" s="176"/>
      <c r="B1590" s="269"/>
      <c r="C1590" s="269"/>
      <c r="D1590" s="149"/>
      <c r="E1590" s="150"/>
      <c r="F1590" s="150"/>
      <c r="G1590" s="270"/>
      <c r="H1590" s="165"/>
      <c r="I1590" s="165"/>
      <c r="J1590" s="150"/>
      <c r="K1590" s="160"/>
      <c r="L1590" s="160"/>
      <c r="M1590" s="160"/>
      <c r="N1590" s="160"/>
      <c r="O1590" s="160"/>
      <c r="P1590" s="160"/>
      <c r="Q1590" s="160"/>
      <c r="R1590" s="160"/>
      <c r="S1590" s="160"/>
      <c r="T1590" s="160"/>
      <c r="U1590" s="160"/>
      <c r="V1590" s="160"/>
      <c r="W1590" s="160"/>
      <c r="X1590" s="160"/>
      <c r="Y1590" s="160"/>
      <c r="Z1590" s="160"/>
      <c r="AA1590" s="160"/>
      <c r="AB1590" s="160"/>
    </row>
    <row r="1591">
      <c r="A1591" s="176"/>
      <c r="B1591" s="269"/>
      <c r="C1591" s="269"/>
      <c r="D1591" s="149"/>
      <c r="E1591" s="150"/>
      <c r="F1591" s="150"/>
      <c r="G1591" s="270"/>
      <c r="H1591" s="165"/>
      <c r="I1591" s="165"/>
      <c r="J1591" s="150"/>
      <c r="K1591" s="160"/>
      <c r="L1591" s="160"/>
      <c r="M1591" s="160"/>
      <c r="N1591" s="160"/>
      <c r="O1591" s="160"/>
      <c r="P1591" s="160"/>
      <c r="Q1591" s="160"/>
      <c r="R1591" s="160"/>
      <c r="S1591" s="160"/>
      <c r="T1591" s="160"/>
      <c r="U1591" s="160"/>
      <c r="V1591" s="160"/>
      <c r="W1591" s="160"/>
      <c r="X1591" s="160"/>
      <c r="Y1591" s="160"/>
      <c r="Z1591" s="160"/>
      <c r="AA1591" s="160"/>
      <c r="AB1591" s="160"/>
    </row>
    <row r="1592">
      <c r="A1592" s="176"/>
      <c r="B1592" s="269"/>
      <c r="C1592" s="269"/>
      <c r="D1592" s="149"/>
      <c r="E1592" s="150"/>
      <c r="F1592" s="150"/>
      <c r="G1592" s="270"/>
      <c r="H1592" s="165"/>
      <c r="I1592" s="165"/>
      <c r="J1592" s="150"/>
      <c r="K1592" s="160"/>
      <c r="L1592" s="160"/>
      <c r="M1592" s="160"/>
      <c r="N1592" s="160"/>
      <c r="O1592" s="160"/>
      <c r="P1592" s="160"/>
      <c r="Q1592" s="160"/>
      <c r="R1592" s="160"/>
      <c r="S1592" s="160"/>
      <c r="T1592" s="160"/>
      <c r="U1592" s="160"/>
      <c r="V1592" s="160"/>
      <c r="W1592" s="160"/>
      <c r="X1592" s="160"/>
      <c r="Y1592" s="160"/>
      <c r="Z1592" s="160"/>
      <c r="AA1592" s="160"/>
      <c r="AB1592" s="160"/>
    </row>
    <row r="1593">
      <c r="A1593" s="176"/>
      <c r="B1593" s="269"/>
      <c r="C1593" s="269"/>
      <c r="D1593" s="149"/>
      <c r="E1593" s="150"/>
      <c r="F1593" s="150"/>
      <c r="G1593" s="270"/>
      <c r="H1593" s="165"/>
      <c r="I1593" s="165"/>
      <c r="J1593" s="150"/>
      <c r="K1593" s="160"/>
      <c r="L1593" s="160"/>
      <c r="M1593" s="160"/>
      <c r="N1593" s="160"/>
      <c r="O1593" s="160"/>
      <c r="P1593" s="160"/>
      <c r="Q1593" s="160"/>
      <c r="R1593" s="160"/>
      <c r="S1593" s="160"/>
      <c r="T1593" s="160"/>
      <c r="U1593" s="160"/>
      <c r="V1593" s="160"/>
      <c r="W1593" s="160"/>
      <c r="X1593" s="160"/>
      <c r="Y1593" s="160"/>
      <c r="Z1593" s="160"/>
      <c r="AA1593" s="160"/>
      <c r="AB1593" s="160"/>
    </row>
    <row r="1594">
      <c r="A1594" s="176"/>
      <c r="B1594" s="269"/>
      <c r="C1594" s="269"/>
      <c r="D1594" s="149"/>
      <c r="E1594" s="150"/>
      <c r="F1594" s="150"/>
      <c r="G1594" s="270"/>
      <c r="H1594" s="165"/>
      <c r="I1594" s="165"/>
      <c r="J1594" s="150"/>
      <c r="K1594" s="160"/>
      <c r="L1594" s="160"/>
      <c r="M1594" s="160"/>
      <c r="N1594" s="160"/>
      <c r="O1594" s="160"/>
      <c r="P1594" s="160"/>
      <c r="Q1594" s="160"/>
      <c r="R1594" s="160"/>
      <c r="S1594" s="160"/>
      <c r="T1594" s="160"/>
      <c r="U1594" s="160"/>
      <c r="V1594" s="160"/>
      <c r="W1594" s="160"/>
      <c r="X1594" s="160"/>
      <c r="Y1594" s="160"/>
      <c r="Z1594" s="160"/>
      <c r="AA1594" s="160"/>
      <c r="AB1594" s="160"/>
    </row>
    <row r="1595">
      <c r="A1595" s="176"/>
      <c r="B1595" s="269"/>
      <c r="C1595" s="269"/>
      <c r="D1595" s="149"/>
      <c r="E1595" s="150"/>
      <c r="F1595" s="150"/>
      <c r="G1595" s="270"/>
      <c r="H1595" s="165"/>
      <c r="I1595" s="165"/>
      <c r="J1595" s="150"/>
      <c r="K1595" s="160"/>
      <c r="L1595" s="160"/>
      <c r="M1595" s="160"/>
      <c r="N1595" s="160"/>
      <c r="O1595" s="160"/>
      <c r="P1595" s="160"/>
      <c r="Q1595" s="160"/>
      <c r="R1595" s="160"/>
      <c r="S1595" s="160"/>
      <c r="T1595" s="160"/>
      <c r="U1595" s="160"/>
      <c r="V1595" s="160"/>
      <c r="W1595" s="160"/>
      <c r="X1595" s="160"/>
      <c r="Y1595" s="160"/>
      <c r="Z1595" s="160"/>
      <c r="AA1595" s="160"/>
      <c r="AB1595" s="160"/>
    </row>
    <row r="1596">
      <c r="A1596" s="176"/>
      <c r="B1596" s="269"/>
      <c r="C1596" s="269"/>
      <c r="D1596" s="149"/>
      <c r="E1596" s="150"/>
      <c r="F1596" s="150"/>
      <c r="G1596" s="270"/>
      <c r="H1596" s="165"/>
      <c r="I1596" s="165"/>
      <c r="J1596" s="150"/>
      <c r="K1596" s="160"/>
      <c r="L1596" s="160"/>
      <c r="M1596" s="160"/>
      <c r="N1596" s="160"/>
      <c r="O1596" s="160"/>
      <c r="P1596" s="160"/>
      <c r="Q1596" s="160"/>
      <c r="R1596" s="160"/>
      <c r="S1596" s="160"/>
      <c r="T1596" s="160"/>
      <c r="U1596" s="160"/>
      <c r="V1596" s="160"/>
      <c r="W1596" s="160"/>
      <c r="X1596" s="160"/>
      <c r="Y1596" s="160"/>
      <c r="Z1596" s="160"/>
      <c r="AA1596" s="160"/>
      <c r="AB1596" s="160"/>
    </row>
    <row r="1597">
      <c r="A1597" s="176"/>
      <c r="B1597" s="269"/>
      <c r="C1597" s="269"/>
      <c r="D1597" s="149"/>
      <c r="E1597" s="150"/>
      <c r="F1597" s="150"/>
      <c r="G1597" s="270"/>
      <c r="H1597" s="165"/>
      <c r="I1597" s="165"/>
      <c r="J1597" s="150"/>
      <c r="K1597" s="160"/>
      <c r="L1597" s="160"/>
      <c r="M1597" s="160"/>
      <c r="N1597" s="160"/>
      <c r="O1597" s="160"/>
      <c r="P1597" s="160"/>
      <c r="Q1597" s="160"/>
      <c r="R1597" s="160"/>
      <c r="S1597" s="160"/>
      <c r="T1597" s="160"/>
      <c r="U1597" s="160"/>
      <c r="V1597" s="160"/>
      <c r="W1597" s="160"/>
      <c r="X1597" s="160"/>
      <c r="Y1597" s="160"/>
      <c r="Z1597" s="160"/>
      <c r="AA1597" s="160"/>
      <c r="AB1597" s="160"/>
    </row>
    <row r="1598">
      <c r="A1598" s="176"/>
      <c r="B1598" s="269"/>
      <c r="C1598" s="269"/>
      <c r="D1598" s="149"/>
      <c r="E1598" s="150"/>
      <c r="F1598" s="150"/>
      <c r="G1598" s="270"/>
      <c r="H1598" s="165"/>
      <c r="I1598" s="165"/>
      <c r="J1598" s="150"/>
      <c r="K1598" s="160"/>
      <c r="L1598" s="160"/>
      <c r="M1598" s="160"/>
      <c r="N1598" s="160"/>
      <c r="O1598" s="160"/>
      <c r="P1598" s="160"/>
      <c r="Q1598" s="160"/>
      <c r="R1598" s="160"/>
      <c r="S1598" s="160"/>
      <c r="T1598" s="160"/>
      <c r="U1598" s="160"/>
      <c r="V1598" s="160"/>
      <c r="W1598" s="160"/>
      <c r="X1598" s="160"/>
      <c r="Y1598" s="160"/>
      <c r="Z1598" s="160"/>
      <c r="AA1598" s="160"/>
      <c r="AB1598" s="160"/>
    </row>
    <row r="1599">
      <c r="A1599" s="176"/>
      <c r="B1599" s="269"/>
      <c r="C1599" s="269"/>
      <c r="D1599" s="149"/>
      <c r="E1599" s="150"/>
      <c r="F1599" s="150"/>
      <c r="G1599" s="270"/>
      <c r="H1599" s="165"/>
      <c r="I1599" s="165"/>
      <c r="J1599" s="150"/>
      <c r="K1599" s="160"/>
      <c r="L1599" s="160"/>
      <c r="M1599" s="160"/>
      <c r="N1599" s="160"/>
      <c r="O1599" s="160"/>
      <c r="P1599" s="160"/>
      <c r="Q1599" s="160"/>
      <c r="R1599" s="160"/>
      <c r="S1599" s="160"/>
      <c r="T1599" s="160"/>
      <c r="U1599" s="160"/>
      <c r="V1599" s="160"/>
      <c r="W1599" s="160"/>
      <c r="X1599" s="160"/>
      <c r="Y1599" s="160"/>
      <c r="Z1599" s="160"/>
      <c r="AA1599" s="160"/>
      <c r="AB1599" s="160"/>
    </row>
    <row r="1600">
      <c r="A1600" s="176"/>
      <c r="B1600" s="269"/>
      <c r="C1600" s="269"/>
      <c r="D1600" s="149"/>
      <c r="E1600" s="150"/>
      <c r="F1600" s="150"/>
      <c r="G1600" s="270"/>
      <c r="H1600" s="165"/>
      <c r="I1600" s="165"/>
      <c r="J1600" s="150"/>
      <c r="K1600" s="160"/>
      <c r="L1600" s="160"/>
      <c r="M1600" s="160"/>
      <c r="N1600" s="160"/>
      <c r="O1600" s="160"/>
      <c r="P1600" s="160"/>
      <c r="Q1600" s="160"/>
      <c r="R1600" s="160"/>
      <c r="S1600" s="160"/>
      <c r="T1600" s="160"/>
      <c r="U1600" s="160"/>
      <c r="V1600" s="160"/>
      <c r="W1600" s="160"/>
      <c r="X1600" s="160"/>
      <c r="Y1600" s="160"/>
      <c r="Z1600" s="160"/>
      <c r="AA1600" s="160"/>
      <c r="AB1600" s="160"/>
    </row>
    <row r="1601">
      <c r="A1601" s="176"/>
      <c r="B1601" s="269"/>
      <c r="C1601" s="269"/>
      <c r="D1601" s="149"/>
      <c r="E1601" s="150"/>
      <c r="F1601" s="150"/>
      <c r="G1601" s="270"/>
      <c r="H1601" s="165"/>
      <c r="I1601" s="165"/>
      <c r="J1601" s="150"/>
      <c r="K1601" s="160"/>
      <c r="L1601" s="160"/>
      <c r="M1601" s="160"/>
      <c r="N1601" s="160"/>
      <c r="O1601" s="160"/>
      <c r="P1601" s="160"/>
      <c r="Q1601" s="160"/>
      <c r="R1601" s="160"/>
      <c r="S1601" s="160"/>
      <c r="T1601" s="160"/>
      <c r="U1601" s="160"/>
      <c r="V1601" s="160"/>
      <c r="W1601" s="160"/>
      <c r="X1601" s="160"/>
      <c r="Y1601" s="160"/>
      <c r="Z1601" s="160"/>
      <c r="AA1601" s="160"/>
      <c r="AB1601" s="160"/>
    </row>
    <row r="1602">
      <c r="A1602" s="176"/>
      <c r="B1602" s="269"/>
      <c r="C1602" s="269"/>
      <c r="D1602" s="149"/>
      <c r="E1602" s="150"/>
      <c r="F1602" s="150"/>
      <c r="G1602" s="270"/>
      <c r="H1602" s="165"/>
      <c r="I1602" s="165"/>
      <c r="J1602" s="150"/>
      <c r="K1602" s="160"/>
      <c r="L1602" s="160"/>
      <c r="M1602" s="160"/>
      <c r="N1602" s="160"/>
      <c r="O1602" s="160"/>
      <c r="P1602" s="160"/>
      <c r="Q1602" s="160"/>
      <c r="R1602" s="160"/>
      <c r="S1602" s="160"/>
      <c r="T1602" s="160"/>
      <c r="U1602" s="160"/>
      <c r="V1602" s="160"/>
      <c r="W1602" s="160"/>
      <c r="X1602" s="160"/>
      <c r="Y1602" s="160"/>
      <c r="Z1602" s="160"/>
      <c r="AA1602" s="160"/>
      <c r="AB1602" s="160"/>
    </row>
    <row r="1603">
      <c r="A1603" s="176"/>
      <c r="B1603" s="269"/>
      <c r="C1603" s="269"/>
      <c r="D1603" s="149"/>
      <c r="E1603" s="150"/>
      <c r="F1603" s="150"/>
      <c r="G1603" s="270"/>
      <c r="H1603" s="165"/>
      <c r="I1603" s="165"/>
      <c r="J1603" s="150"/>
      <c r="K1603" s="160"/>
      <c r="L1603" s="160"/>
      <c r="M1603" s="160"/>
      <c r="N1603" s="160"/>
      <c r="O1603" s="160"/>
      <c r="P1603" s="160"/>
      <c r="Q1603" s="160"/>
      <c r="R1603" s="160"/>
      <c r="S1603" s="160"/>
      <c r="T1603" s="160"/>
      <c r="U1603" s="160"/>
      <c r="V1603" s="160"/>
      <c r="W1603" s="160"/>
      <c r="X1603" s="160"/>
      <c r="Y1603" s="160"/>
      <c r="Z1603" s="160"/>
      <c r="AA1603" s="160"/>
      <c r="AB1603" s="160"/>
    </row>
    <row r="1604">
      <c r="A1604" s="176"/>
      <c r="B1604" s="269"/>
      <c r="C1604" s="269"/>
      <c r="D1604" s="149"/>
      <c r="E1604" s="150"/>
      <c r="F1604" s="150"/>
      <c r="G1604" s="270"/>
      <c r="H1604" s="165"/>
      <c r="I1604" s="165"/>
      <c r="J1604" s="150"/>
      <c r="K1604" s="160"/>
      <c r="L1604" s="160"/>
      <c r="M1604" s="160"/>
      <c r="N1604" s="160"/>
      <c r="O1604" s="160"/>
      <c r="P1604" s="160"/>
      <c r="Q1604" s="160"/>
      <c r="R1604" s="160"/>
      <c r="S1604" s="160"/>
      <c r="T1604" s="160"/>
      <c r="U1604" s="160"/>
      <c r="V1604" s="160"/>
      <c r="W1604" s="160"/>
      <c r="X1604" s="160"/>
      <c r="Y1604" s="160"/>
      <c r="Z1604" s="160"/>
      <c r="AA1604" s="160"/>
      <c r="AB1604" s="160"/>
    </row>
    <row r="1605">
      <c r="A1605" s="176"/>
      <c r="B1605" s="269"/>
      <c r="C1605" s="269"/>
      <c r="D1605" s="149"/>
      <c r="E1605" s="150"/>
      <c r="F1605" s="150"/>
      <c r="G1605" s="270"/>
      <c r="H1605" s="165"/>
      <c r="I1605" s="165"/>
      <c r="J1605" s="150"/>
      <c r="K1605" s="160"/>
      <c r="L1605" s="160"/>
      <c r="M1605" s="160"/>
      <c r="N1605" s="160"/>
      <c r="O1605" s="160"/>
      <c r="P1605" s="160"/>
      <c r="Q1605" s="160"/>
      <c r="R1605" s="160"/>
      <c r="S1605" s="160"/>
      <c r="T1605" s="160"/>
      <c r="U1605" s="160"/>
      <c r="V1605" s="160"/>
      <c r="W1605" s="160"/>
      <c r="X1605" s="160"/>
      <c r="Y1605" s="160"/>
      <c r="Z1605" s="160"/>
      <c r="AA1605" s="160"/>
      <c r="AB1605" s="160"/>
    </row>
    <row r="1606">
      <c r="A1606" s="176"/>
      <c r="B1606" s="269"/>
      <c r="C1606" s="269"/>
      <c r="D1606" s="149"/>
      <c r="E1606" s="150"/>
      <c r="F1606" s="150"/>
      <c r="G1606" s="270"/>
      <c r="H1606" s="165"/>
      <c r="I1606" s="165"/>
      <c r="J1606" s="150"/>
      <c r="K1606" s="160"/>
      <c r="L1606" s="160"/>
      <c r="M1606" s="160"/>
      <c r="N1606" s="160"/>
      <c r="O1606" s="160"/>
      <c r="P1606" s="160"/>
      <c r="Q1606" s="160"/>
      <c r="R1606" s="160"/>
      <c r="S1606" s="160"/>
      <c r="T1606" s="160"/>
      <c r="U1606" s="160"/>
      <c r="V1606" s="160"/>
      <c r="W1606" s="160"/>
      <c r="X1606" s="160"/>
      <c r="Y1606" s="160"/>
      <c r="Z1606" s="160"/>
      <c r="AA1606" s="160"/>
      <c r="AB1606" s="160"/>
    </row>
    <row r="1607">
      <c r="A1607" s="176"/>
      <c r="B1607" s="269"/>
      <c r="C1607" s="269"/>
      <c r="D1607" s="149"/>
      <c r="E1607" s="150"/>
      <c r="F1607" s="150"/>
      <c r="G1607" s="270"/>
      <c r="H1607" s="165"/>
      <c r="I1607" s="165"/>
      <c r="J1607" s="150"/>
      <c r="K1607" s="160"/>
      <c r="L1607" s="160"/>
      <c r="M1607" s="160"/>
      <c r="N1607" s="160"/>
      <c r="O1607" s="160"/>
      <c r="P1607" s="160"/>
      <c r="Q1607" s="160"/>
      <c r="R1607" s="160"/>
      <c r="S1607" s="160"/>
      <c r="T1607" s="160"/>
      <c r="U1607" s="160"/>
      <c r="V1607" s="160"/>
      <c r="W1607" s="160"/>
      <c r="X1607" s="160"/>
      <c r="Y1607" s="160"/>
      <c r="Z1607" s="160"/>
      <c r="AA1607" s="160"/>
      <c r="AB1607" s="160"/>
    </row>
    <row r="1608">
      <c r="A1608" s="176"/>
      <c r="B1608" s="269"/>
      <c r="C1608" s="269"/>
      <c r="D1608" s="149"/>
      <c r="E1608" s="150"/>
      <c r="F1608" s="150"/>
      <c r="G1608" s="270"/>
      <c r="H1608" s="165"/>
      <c r="I1608" s="165"/>
      <c r="J1608" s="150"/>
      <c r="K1608" s="160"/>
      <c r="L1608" s="160"/>
      <c r="M1608" s="160"/>
      <c r="N1608" s="160"/>
      <c r="O1608" s="160"/>
      <c r="P1608" s="160"/>
      <c r="Q1608" s="160"/>
      <c r="R1608" s="160"/>
      <c r="S1608" s="160"/>
      <c r="T1608" s="160"/>
      <c r="U1608" s="160"/>
      <c r="V1608" s="160"/>
      <c r="W1608" s="160"/>
      <c r="X1608" s="160"/>
      <c r="Y1608" s="160"/>
      <c r="Z1608" s="160"/>
      <c r="AA1608" s="160"/>
      <c r="AB1608" s="160"/>
    </row>
    <row r="1609">
      <c r="A1609" s="176"/>
      <c r="B1609" s="269"/>
      <c r="C1609" s="269"/>
      <c r="D1609" s="149"/>
      <c r="E1609" s="150"/>
      <c r="F1609" s="150"/>
      <c r="G1609" s="270"/>
      <c r="H1609" s="165"/>
      <c r="I1609" s="165"/>
      <c r="J1609" s="150"/>
      <c r="K1609" s="160"/>
      <c r="L1609" s="160"/>
      <c r="M1609" s="160"/>
      <c r="N1609" s="160"/>
      <c r="O1609" s="160"/>
      <c r="P1609" s="160"/>
      <c r="Q1609" s="160"/>
      <c r="R1609" s="160"/>
      <c r="S1609" s="160"/>
      <c r="T1609" s="160"/>
      <c r="U1609" s="160"/>
      <c r="V1609" s="160"/>
      <c r="W1609" s="160"/>
      <c r="X1609" s="160"/>
      <c r="Y1609" s="160"/>
      <c r="Z1609" s="160"/>
      <c r="AA1609" s="160"/>
      <c r="AB1609" s="160"/>
    </row>
    <row r="1610">
      <c r="A1610" s="176"/>
      <c r="B1610" s="269"/>
      <c r="C1610" s="269"/>
      <c r="D1610" s="149"/>
      <c r="E1610" s="150"/>
      <c r="F1610" s="150"/>
      <c r="G1610" s="270"/>
      <c r="H1610" s="165"/>
      <c r="I1610" s="165"/>
      <c r="J1610" s="150"/>
      <c r="K1610" s="160"/>
      <c r="L1610" s="160"/>
      <c r="M1610" s="160"/>
      <c r="N1610" s="160"/>
      <c r="O1610" s="160"/>
      <c r="P1610" s="160"/>
      <c r="Q1610" s="160"/>
      <c r="R1610" s="160"/>
      <c r="S1610" s="160"/>
      <c r="T1610" s="160"/>
      <c r="U1610" s="160"/>
      <c r="V1610" s="160"/>
      <c r="W1610" s="160"/>
      <c r="X1610" s="160"/>
      <c r="Y1610" s="160"/>
      <c r="Z1610" s="160"/>
      <c r="AA1610" s="160"/>
      <c r="AB1610" s="160"/>
    </row>
    <row r="1611">
      <c r="A1611" s="176"/>
      <c r="B1611" s="269"/>
      <c r="C1611" s="269"/>
      <c r="D1611" s="149"/>
      <c r="E1611" s="150"/>
      <c r="F1611" s="150"/>
      <c r="G1611" s="270"/>
      <c r="H1611" s="165"/>
      <c r="I1611" s="165"/>
      <c r="J1611" s="150"/>
      <c r="K1611" s="160"/>
      <c r="L1611" s="160"/>
      <c r="M1611" s="160"/>
      <c r="N1611" s="160"/>
      <c r="O1611" s="160"/>
      <c r="P1611" s="160"/>
      <c r="Q1611" s="160"/>
      <c r="R1611" s="160"/>
      <c r="S1611" s="160"/>
      <c r="T1611" s="160"/>
      <c r="U1611" s="160"/>
      <c r="V1611" s="160"/>
      <c r="W1611" s="160"/>
      <c r="X1611" s="160"/>
      <c r="Y1611" s="160"/>
      <c r="Z1611" s="160"/>
      <c r="AA1611" s="160"/>
      <c r="AB1611" s="160"/>
    </row>
    <row r="1612">
      <c r="A1612" s="176"/>
      <c r="B1612" s="269"/>
      <c r="C1612" s="269"/>
      <c r="D1612" s="149"/>
      <c r="E1612" s="150"/>
      <c r="F1612" s="150"/>
      <c r="G1612" s="270"/>
      <c r="H1612" s="165"/>
      <c r="I1612" s="165"/>
      <c r="J1612" s="150"/>
      <c r="K1612" s="160"/>
      <c r="L1612" s="160"/>
      <c r="M1612" s="160"/>
      <c r="N1612" s="160"/>
      <c r="O1612" s="160"/>
      <c r="P1612" s="160"/>
      <c r="Q1612" s="160"/>
      <c r="R1612" s="160"/>
      <c r="S1612" s="160"/>
      <c r="T1612" s="160"/>
      <c r="U1612" s="160"/>
      <c r="V1612" s="160"/>
      <c r="W1612" s="160"/>
      <c r="X1612" s="160"/>
      <c r="Y1612" s="160"/>
      <c r="Z1612" s="160"/>
      <c r="AA1612" s="160"/>
      <c r="AB1612" s="160"/>
    </row>
    <row r="1613">
      <c r="A1613" s="176"/>
      <c r="B1613" s="269"/>
      <c r="C1613" s="269"/>
      <c r="D1613" s="149"/>
      <c r="E1613" s="150"/>
      <c r="F1613" s="150"/>
      <c r="G1613" s="270"/>
      <c r="H1613" s="165"/>
      <c r="I1613" s="165"/>
      <c r="J1613" s="150"/>
      <c r="K1613" s="160"/>
      <c r="L1613" s="160"/>
      <c r="M1613" s="160"/>
      <c r="N1613" s="160"/>
      <c r="O1613" s="160"/>
      <c r="P1613" s="160"/>
      <c r="Q1613" s="160"/>
      <c r="R1613" s="160"/>
      <c r="S1613" s="160"/>
      <c r="T1613" s="160"/>
      <c r="U1613" s="160"/>
      <c r="V1613" s="160"/>
      <c r="W1613" s="160"/>
      <c r="X1613" s="160"/>
      <c r="Y1613" s="160"/>
      <c r="Z1613" s="160"/>
      <c r="AA1613" s="160"/>
      <c r="AB1613" s="160"/>
    </row>
    <row r="1614">
      <c r="A1614" s="176"/>
      <c r="B1614" s="269"/>
      <c r="C1614" s="269"/>
      <c r="D1614" s="149"/>
      <c r="E1614" s="150"/>
      <c r="F1614" s="150"/>
      <c r="G1614" s="270"/>
      <c r="H1614" s="165"/>
      <c r="I1614" s="165"/>
      <c r="J1614" s="150"/>
      <c r="K1614" s="160"/>
      <c r="L1614" s="160"/>
      <c r="M1614" s="160"/>
      <c r="N1614" s="160"/>
      <c r="O1614" s="160"/>
      <c r="P1614" s="160"/>
      <c r="Q1614" s="160"/>
      <c r="R1614" s="160"/>
      <c r="S1614" s="160"/>
      <c r="T1614" s="160"/>
      <c r="U1614" s="160"/>
      <c r="V1614" s="160"/>
      <c r="W1614" s="160"/>
      <c r="X1614" s="160"/>
      <c r="Y1614" s="160"/>
      <c r="Z1614" s="160"/>
      <c r="AA1614" s="160"/>
      <c r="AB1614" s="160"/>
    </row>
    <row r="1615">
      <c r="A1615" s="176"/>
      <c r="B1615" s="269"/>
      <c r="C1615" s="269"/>
      <c r="D1615" s="149"/>
      <c r="E1615" s="150"/>
      <c r="F1615" s="150"/>
      <c r="G1615" s="270"/>
      <c r="H1615" s="165"/>
      <c r="I1615" s="165"/>
      <c r="J1615" s="150"/>
      <c r="K1615" s="160"/>
      <c r="L1615" s="160"/>
      <c r="M1615" s="160"/>
      <c r="N1615" s="160"/>
      <c r="O1615" s="160"/>
      <c r="P1615" s="160"/>
      <c r="Q1615" s="160"/>
      <c r="R1615" s="160"/>
      <c r="S1615" s="160"/>
      <c r="T1615" s="160"/>
      <c r="U1615" s="160"/>
      <c r="V1615" s="160"/>
      <c r="W1615" s="160"/>
      <c r="X1615" s="160"/>
      <c r="Y1615" s="160"/>
      <c r="Z1615" s="160"/>
      <c r="AA1615" s="160"/>
      <c r="AB1615" s="160"/>
    </row>
    <row r="1616">
      <c r="A1616" s="176"/>
      <c r="B1616" s="269"/>
      <c r="C1616" s="269"/>
      <c r="D1616" s="149"/>
      <c r="E1616" s="150"/>
      <c r="F1616" s="150"/>
      <c r="G1616" s="270"/>
      <c r="H1616" s="165"/>
      <c r="I1616" s="165"/>
      <c r="J1616" s="150"/>
      <c r="K1616" s="160"/>
      <c r="L1616" s="160"/>
      <c r="M1616" s="160"/>
      <c r="N1616" s="160"/>
      <c r="O1616" s="160"/>
      <c r="P1616" s="160"/>
      <c r="Q1616" s="160"/>
      <c r="R1616" s="160"/>
      <c r="S1616" s="160"/>
      <c r="T1616" s="160"/>
      <c r="U1616" s="160"/>
      <c r="V1616" s="160"/>
      <c r="W1616" s="160"/>
      <c r="X1616" s="160"/>
      <c r="Y1616" s="160"/>
      <c r="Z1616" s="160"/>
      <c r="AA1616" s="160"/>
      <c r="AB1616" s="160"/>
    </row>
    <row r="1617">
      <c r="A1617" s="176"/>
      <c r="B1617" s="269"/>
      <c r="C1617" s="269"/>
      <c r="D1617" s="149"/>
      <c r="E1617" s="150"/>
      <c r="F1617" s="150"/>
      <c r="G1617" s="270"/>
      <c r="H1617" s="165"/>
      <c r="I1617" s="165"/>
      <c r="J1617" s="150"/>
      <c r="K1617" s="160"/>
      <c r="L1617" s="160"/>
      <c r="M1617" s="160"/>
      <c r="N1617" s="160"/>
      <c r="O1617" s="160"/>
      <c r="P1617" s="160"/>
      <c r="Q1617" s="160"/>
      <c r="R1617" s="160"/>
      <c r="S1617" s="160"/>
      <c r="T1617" s="160"/>
      <c r="U1617" s="160"/>
      <c r="V1617" s="160"/>
      <c r="W1617" s="160"/>
      <c r="X1617" s="160"/>
      <c r="Y1617" s="160"/>
      <c r="Z1617" s="160"/>
      <c r="AA1617" s="160"/>
      <c r="AB1617" s="160"/>
    </row>
    <row r="1618">
      <c r="A1618" s="176"/>
      <c r="B1618" s="269"/>
      <c r="C1618" s="269"/>
      <c r="D1618" s="149"/>
      <c r="E1618" s="150"/>
      <c r="F1618" s="150"/>
      <c r="G1618" s="270"/>
      <c r="H1618" s="165"/>
      <c r="I1618" s="165"/>
      <c r="J1618" s="150"/>
      <c r="K1618" s="160"/>
      <c r="L1618" s="160"/>
      <c r="M1618" s="160"/>
      <c r="N1618" s="160"/>
      <c r="O1618" s="160"/>
      <c r="P1618" s="160"/>
      <c r="Q1618" s="160"/>
      <c r="R1618" s="160"/>
      <c r="S1618" s="160"/>
      <c r="T1618" s="160"/>
      <c r="U1618" s="160"/>
      <c r="V1618" s="160"/>
      <c r="W1618" s="160"/>
      <c r="X1618" s="160"/>
      <c r="Y1618" s="160"/>
      <c r="Z1618" s="160"/>
      <c r="AA1618" s="160"/>
      <c r="AB1618" s="160"/>
    </row>
    <row r="1619">
      <c r="A1619" s="176"/>
      <c r="B1619" s="269"/>
      <c r="C1619" s="269"/>
      <c r="D1619" s="149"/>
      <c r="E1619" s="150"/>
      <c r="F1619" s="150"/>
      <c r="G1619" s="270"/>
      <c r="H1619" s="165"/>
      <c r="I1619" s="165"/>
      <c r="J1619" s="150"/>
      <c r="K1619" s="160"/>
      <c r="L1619" s="160"/>
      <c r="M1619" s="160"/>
      <c r="N1619" s="160"/>
      <c r="O1619" s="160"/>
      <c r="P1619" s="160"/>
      <c r="Q1619" s="160"/>
      <c r="R1619" s="160"/>
      <c r="S1619" s="160"/>
      <c r="T1619" s="160"/>
      <c r="U1619" s="160"/>
      <c r="V1619" s="160"/>
      <c r="W1619" s="160"/>
      <c r="X1619" s="160"/>
      <c r="Y1619" s="160"/>
      <c r="Z1619" s="160"/>
      <c r="AA1619" s="160"/>
      <c r="AB1619" s="160"/>
    </row>
    <row r="1620">
      <c r="A1620" s="176"/>
      <c r="B1620" s="269"/>
      <c r="C1620" s="269"/>
      <c r="D1620" s="149"/>
      <c r="E1620" s="150"/>
      <c r="F1620" s="150"/>
      <c r="G1620" s="270"/>
      <c r="H1620" s="165"/>
      <c r="I1620" s="165"/>
      <c r="J1620" s="150"/>
      <c r="K1620" s="160"/>
      <c r="L1620" s="160"/>
      <c r="M1620" s="160"/>
      <c r="N1620" s="160"/>
      <c r="O1620" s="160"/>
      <c r="P1620" s="160"/>
      <c r="Q1620" s="160"/>
      <c r="R1620" s="160"/>
      <c r="S1620" s="160"/>
      <c r="T1620" s="160"/>
      <c r="U1620" s="160"/>
      <c r="V1620" s="160"/>
      <c r="W1620" s="160"/>
      <c r="X1620" s="160"/>
      <c r="Y1620" s="160"/>
      <c r="Z1620" s="160"/>
      <c r="AA1620" s="160"/>
      <c r="AB1620" s="160"/>
    </row>
    <row r="1621">
      <c r="A1621" s="176"/>
      <c r="B1621" s="269"/>
      <c r="C1621" s="269"/>
      <c r="D1621" s="149"/>
      <c r="E1621" s="150"/>
      <c r="F1621" s="150"/>
      <c r="G1621" s="270"/>
      <c r="H1621" s="165"/>
      <c r="I1621" s="165"/>
      <c r="J1621" s="150"/>
      <c r="K1621" s="160"/>
      <c r="L1621" s="160"/>
      <c r="M1621" s="160"/>
      <c r="N1621" s="160"/>
      <c r="O1621" s="160"/>
      <c r="P1621" s="160"/>
      <c r="Q1621" s="160"/>
      <c r="R1621" s="160"/>
      <c r="S1621" s="160"/>
      <c r="T1621" s="160"/>
      <c r="U1621" s="160"/>
      <c r="V1621" s="160"/>
      <c r="W1621" s="160"/>
      <c r="X1621" s="160"/>
      <c r="Y1621" s="160"/>
      <c r="Z1621" s="160"/>
      <c r="AA1621" s="160"/>
      <c r="AB1621" s="160"/>
    </row>
    <row r="1622">
      <c r="A1622" s="176"/>
      <c r="B1622" s="269"/>
      <c r="C1622" s="269"/>
      <c r="D1622" s="149"/>
      <c r="E1622" s="150"/>
      <c r="F1622" s="150"/>
      <c r="G1622" s="270"/>
      <c r="H1622" s="165"/>
      <c r="I1622" s="165"/>
      <c r="J1622" s="150"/>
      <c r="K1622" s="160"/>
      <c r="L1622" s="160"/>
      <c r="M1622" s="160"/>
      <c r="N1622" s="160"/>
      <c r="O1622" s="160"/>
      <c r="P1622" s="160"/>
      <c r="Q1622" s="160"/>
      <c r="R1622" s="160"/>
      <c r="S1622" s="160"/>
      <c r="T1622" s="160"/>
      <c r="U1622" s="160"/>
      <c r="V1622" s="160"/>
      <c r="W1622" s="160"/>
      <c r="X1622" s="160"/>
      <c r="Y1622" s="160"/>
      <c r="Z1622" s="160"/>
      <c r="AA1622" s="160"/>
      <c r="AB1622" s="160"/>
    </row>
    <row r="1623">
      <c r="A1623" s="176"/>
      <c r="B1623" s="269"/>
      <c r="C1623" s="269"/>
      <c r="D1623" s="149"/>
      <c r="E1623" s="150"/>
      <c r="F1623" s="150"/>
      <c r="G1623" s="270"/>
      <c r="H1623" s="165"/>
      <c r="I1623" s="165"/>
      <c r="J1623" s="150"/>
      <c r="K1623" s="160"/>
      <c r="L1623" s="160"/>
      <c r="M1623" s="160"/>
      <c r="N1623" s="160"/>
      <c r="O1623" s="160"/>
      <c r="P1623" s="160"/>
      <c r="Q1623" s="160"/>
      <c r="R1623" s="160"/>
      <c r="S1623" s="160"/>
      <c r="T1623" s="160"/>
      <c r="U1623" s="160"/>
      <c r="V1623" s="160"/>
      <c r="W1623" s="160"/>
      <c r="X1623" s="160"/>
      <c r="Y1623" s="160"/>
      <c r="Z1623" s="160"/>
      <c r="AA1623" s="160"/>
      <c r="AB1623" s="160"/>
    </row>
    <row r="1624">
      <c r="A1624" s="176"/>
      <c r="B1624" s="269"/>
      <c r="C1624" s="269"/>
      <c r="D1624" s="149"/>
      <c r="E1624" s="150"/>
      <c r="F1624" s="150"/>
      <c r="G1624" s="270"/>
      <c r="H1624" s="165"/>
      <c r="I1624" s="165"/>
      <c r="J1624" s="150"/>
      <c r="K1624" s="160"/>
      <c r="L1624" s="160"/>
      <c r="M1624" s="160"/>
      <c r="N1624" s="160"/>
      <c r="O1624" s="160"/>
      <c r="P1624" s="160"/>
      <c r="Q1624" s="160"/>
      <c r="R1624" s="160"/>
      <c r="S1624" s="160"/>
      <c r="T1624" s="160"/>
      <c r="U1624" s="160"/>
      <c r="V1624" s="160"/>
      <c r="W1624" s="160"/>
      <c r="X1624" s="160"/>
      <c r="Y1624" s="160"/>
      <c r="Z1624" s="160"/>
      <c r="AA1624" s="160"/>
      <c r="AB1624" s="160"/>
    </row>
    <row r="1625">
      <c r="A1625" s="176"/>
      <c r="B1625" s="269"/>
      <c r="C1625" s="269"/>
      <c r="D1625" s="149"/>
      <c r="E1625" s="150"/>
      <c r="F1625" s="150"/>
      <c r="G1625" s="270"/>
      <c r="H1625" s="165"/>
      <c r="I1625" s="165"/>
      <c r="J1625" s="150"/>
      <c r="K1625" s="160"/>
      <c r="L1625" s="160"/>
      <c r="M1625" s="160"/>
      <c r="N1625" s="160"/>
      <c r="O1625" s="160"/>
      <c r="P1625" s="160"/>
      <c r="Q1625" s="160"/>
      <c r="R1625" s="160"/>
      <c r="S1625" s="160"/>
      <c r="T1625" s="160"/>
      <c r="U1625" s="160"/>
      <c r="V1625" s="160"/>
      <c r="W1625" s="160"/>
      <c r="X1625" s="160"/>
      <c r="Y1625" s="160"/>
      <c r="Z1625" s="160"/>
      <c r="AA1625" s="160"/>
      <c r="AB1625" s="160"/>
    </row>
    <row r="1626">
      <c r="A1626" s="176"/>
      <c r="B1626" s="269"/>
      <c r="C1626" s="269"/>
      <c r="D1626" s="149"/>
      <c r="E1626" s="150"/>
      <c r="F1626" s="150"/>
      <c r="G1626" s="270"/>
      <c r="H1626" s="165"/>
      <c r="I1626" s="165"/>
      <c r="J1626" s="150"/>
      <c r="K1626" s="160"/>
      <c r="L1626" s="160"/>
      <c r="M1626" s="160"/>
      <c r="N1626" s="160"/>
      <c r="O1626" s="160"/>
      <c r="P1626" s="160"/>
      <c r="Q1626" s="160"/>
      <c r="R1626" s="160"/>
      <c r="S1626" s="160"/>
      <c r="T1626" s="160"/>
      <c r="U1626" s="160"/>
      <c r="V1626" s="160"/>
      <c r="W1626" s="160"/>
      <c r="X1626" s="160"/>
      <c r="Y1626" s="160"/>
      <c r="Z1626" s="160"/>
      <c r="AA1626" s="160"/>
      <c r="AB1626" s="160"/>
    </row>
    <row r="1627">
      <c r="A1627" s="176"/>
      <c r="B1627" s="269"/>
      <c r="C1627" s="269"/>
      <c r="D1627" s="149"/>
      <c r="E1627" s="150"/>
      <c r="F1627" s="150"/>
      <c r="G1627" s="270"/>
      <c r="H1627" s="165"/>
      <c r="I1627" s="165"/>
      <c r="J1627" s="150"/>
      <c r="K1627" s="160"/>
      <c r="L1627" s="160"/>
      <c r="M1627" s="160"/>
      <c r="N1627" s="160"/>
      <c r="O1627" s="160"/>
      <c r="P1627" s="160"/>
      <c r="Q1627" s="160"/>
      <c r="R1627" s="160"/>
      <c r="S1627" s="160"/>
      <c r="T1627" s="160"/>
      <c r="U1627" s="160"/>
      <c r="V1627" s="160"/>
      <c r="W1627" s="160"/>
      <c r="X1627" s="160"/>
      <c r="Y1627" s="160"/>
      <c r="Z1627" s="160"/>
      <c r="AA1627" s="160"/>
      <c r="AB1627" s="160"/>
    </row>
    <row r="1628">
      <c r="A1628" s="176"/>
      <c r="B1628" s="269"/>
      <c r="C1628" s="269"/>
      <c r="D1628" s="149"/>
      <c r="E1628" s="150"/>
      <c r="F1628" s="150"/>
      <c r="G1628" s="270"/>
      <c r="H1628" s="165"/>
      <c r="I1628" s="165"/>
      <c r="J1628" s="150"/>
      <c r="K1628" s="160"/>
      <c r="L1628" s="160"/>
      <c r="M1628" s="160"/>
      <c r="N1628" s="160"/>
      <c r="O1628" s="160"/>
      <c r="P1628" s="160"/>
      <c r="Q1628" s="160"/>
      <c r="R1628" s="160"/>
      <c r="S1628" s="160"/>
      <c r="T1628" s="160"/>
      <c r="U1628" s="160"/>
      <c r="V1628" s="160"/>
      <c r="W1628" s="160"/>
      <c r="X1628" s="160"/>
      <c r="Y1628" s="160"/>
      <c r="Z1628" s="160"/>
      <c r="AA1628" s="160"/>
      <c r="AB1628" s="160"/>
    </row>
    <row r="1629">
      <c r="A1629" s="176"/>
      <c r="B1629" s="269"/>
      <c r="C1629" s="269"/>
      <c r="D1629" s="149"/>
      <c r="E1629" s="150"/>
      <c r="F1629" s="150"/>
      <c r="G1629" s="270"/>
      <c r="H1629" s="165"/>
      <c r="I1629" s="165"/>
      <c r="J1629" s="150"/>
      <c r="K1629" s="160"/>
      <c r="L1629" s="160"/>
      <c r="M1629" s="160"/>
      <c r="N1629" s="160"/>
      <c r="O1629" s="160"/>
      <c r="P1629" s="160"/>
      <c r="Q1629" s="160"/>
      <c r="R1629" s="160"/>
      <c r="S1629" s="160"/>
      <c r="T1629" s="160"/>
      <c r="U1629" s="160"/>
      <c r="V1629" s="160"/>
      <c r="W1629" s="160"/>
      <c r="X1629" s="160"/>
      <c r="Y1629" s="160"/>
      <c r="Z1629" s="160"/>
      <c r="AA1629" s="160"/>
      <c r="AB1629" s="160"/>
    </row>
    <row r="1630">
      <c r="A1630" s="176"/>
      <c r="B1630" s="269"/>
      <c r="C1630" s="269"/>
      <c r="D1630" s="149"/>
      <c r="E1630" s="150"/>
      <c r="F1630" s="150"/>
      <c r="G1630" s="270"/>
      <c r="H1630" s="165"/>
      <c r="I1630" s="165"/>
      <c r="J1630" s="150"/>
      <c r="K1630" s="160"/>
      <c r="L1630" s="160"/>
      <c r="M1630" s="160"/>
      <c r="N1630" s="160"/>
      <c r="O1630" s="160"/>
      <c r="P1630" s="160"/>
      <c r="Q1630" s="160"/>
      <c r="R1630" s="160"/>
      <c r="S1630" s="160"/>
      <c r="T1630" s="160"/>
      <c r="U1630" s="160"/>
      <c r="V1630" s="160"/>
      <c r="W1630" s="160"/>
      <c r="X1630" s="160"/>
      <c r="Y1630" s="160"/>
      <c r="Z1630" s="160"/>
      <c r="AA1630" s="160"/>
      <c r="AB1630" s="160"/>
    </row>
    <row r="1631">
      <c r="A1631" s="176"/>
      <c r="B1631" s="269"/>
      <c r="C1631" s="269"/>
      <c r="D1631" s="149"/>
      <c r="E1631" s="150"/>
      <c r="F1631" s="150"/>
      <c r="G1631" s="270"/>
      <c r="H1631" s="165"/>
      <c r="I1631" s="165"/>
      <c r="J1631" s="150"/>
      <c r="K1631" s="160"/>
      <c r="L1631" s="160"/>
      <c r="M1631" s="160"/>
      <c r="N1631" s="160"/>
      <c r="O1631" s="160"/>
      <c r="P1631" s="160"/>
      <c r="Q1631" s="160"/>
      <c r="R1631" s="160"/>
      <c r="S1631" s="160"/>
      <c r="T1631" s="160"/>
      <c r="U1631" s="160"/>
      <c r="V1631" s="160"/>
      <c r="W1631" s="160"/>
      <c r="X1631" s="160"/>
      <c r="Y1631" s="160"/>
      <c r="Z1631" s="160"/>
      <c r="AA1631" s="160"/>
      <c r="AB1631" s="160"/>
    </row>
    <row r="1632">
      <c r="A1632" s="176"/>
      <c r="B1632" s="269"/>
      <c r="C1632" s="269"/>
      <c r="D1632" s="149"/>
      <c r="E1632" s="150"/>
      <c r="F1632" s="150"/>
      <c r="G1632" s="270"/>
      <c r="H1632" s="165"/>
      <c r="I1632" s="165"/>
      <c r="J1632" s="150"/>
      <c r="K1632" s="160"/>
      <c r="L1632" s="160"/>
      <c r="M1632" s="160"/>
      <c r="N1632" s="160"/>
      <c r="O1632" s="160"/>
      <c r="P1632" s="160"/>
      <c r="Q1632" s="160"/>
      <c r="R1632" s="160"/>
      <c r="S1632" s="160"/>
      <c r="T1632" s="160"/>
      <c r="U1632" s="160"/>
      <c r="V1632" s="160"/>
      <c r="W1632" s="160"/>
      <c r="X1632" s="160"/>
      <c r="Y1632" s="160"/>
      <c r="Z1632" s="160"/>
      <c r="AA1632" s="160"/>
      <c r="AB1632" s="160"/>
    </row>
    <row r="1633">
      <c r="A1633" s="176"/>
      <c r="B1633" s="269"/>
      <c r="C1633" s="269"/>
      <c r="D1633" s="149"/>
      <c r="E1633" s="150"/>
      <c r="F1633" s="150"/>
      <c r="G1633" s="270"/>
      <c r="H1633" s="165"/>
      <c r="I1633" s="165"/>
      <c r="J1633" s="150"/>
      <c r="K1633" s="160"/>
      <c r="L1633" s="160"/>
      <c r="M1633" s="160"/>
      <c r="N1633" s="160"/>
      <c r="O1633" s="160"/>
      <c r="P1633" s="160"/>
      <c r="Q1633" s="160"/>
      <c r="R1633" s="160"/>
      <c r="S1633" s="160"/>
      <c r="T1633" s="160"/>
      <c r="U1633" s="160"/>
      <c r="V1633" s="160"/>
      <c r="W1633" s="160"/>
      <c r="X1633" s="160"/>
      <c r="Y1633" s="160"/>
      <c r="Z1633" s="160"/>
      <c r="AA1633" s="160"/>
      <c r="AB1633" s="160"/>
    </row>
    <row r="1634">
      <c r="A1634" s="176"/>
      <c r="B1634" s="269"/>
      <c r="C1634" s="269"/>
      <c r="D1634" s="149"/>
      <c r="E1634" s="150"/>
      <c r="F1634" s="150"/>
      <c r="G1634" s="270"/>
      <c r="H1634" s="165"/>
      <c r="I1634" s="165"/>
      <c r="J1634" s="150"/>
      <c r="K1634" s="160"/>
      <c r="L1634" s="160"/>
      <c r="M1634" s="160"/>
      <c r="N1634" s="160"/>
      <c r="O1634" s="160"/>
      <c r="P1634" s="160"/>
      <c r="Q1634" s="160"/>
      <c r="R1634" s="160"/>
      <c r="S1634" s="160"/>
      <c r="T1634" s="160"/>
      <c r="U1634" s="160"/>
      <c r="V1634" s="160"/>
      <c r="W1634" s="160"/>
      <c r="X1634" s="160"/>
      <c r="Y1634" s="160"/>
      <c r="Z1634" s="160"/>
      <c r="AA1634" s="160"/>
      <c r="AB1634" s="160"/>
    </row>
    <row r="1635">
      <c r="A1635" s="176"/>
      <c r="B1635" s="269"/>
      <c r="C1635" s="269"/>
      <c r="D1635" s="149"/>
      <c r="E1635" s="150"/>
      <c r="F1635" s="150"/>
      <c r="G1635" s="270"/>
      <c r="H1635" s="165"/>
      <c r="I1635" s="165"/>
      <c r="J1635" s="150"/>
      <c r="K1635" s="160"/>
      <c r="L1635" s="160"/>
      <c r="M1635" s="160"/>
      <c r="N1635" s="160"/>
      <c r="O1635" s="160"/>
      <c r="P1635" s="160"/>
      <c r="Q1635" s="160"/>
      <c r="R1635" s="160"/>
      <c r="S1635" s="160"/>
      <c r="T1635" s="160"/>
      <c r="U1635" s="160"/>
      <c r="V1635" s="160"/>
      <c r="W1635" s="160"/>
      <c r="X1635" s="160"/>
      <c r="Y1635" s="160"/>
      <c r="Z1635" s="160"/>
      <c r="AA1635" s="160"/>
      <c r="AB1635" s="160"/>
    </row>
    <row r="1636">
      <c r="A1636" s="176"/>
      <c r="B1636" s="269"/>
      <c r="C1636" s="269"/>
      <c r="D1636" s="149"/>
      <c r="E1636" s="150"/>
      <c r="F1636" s="150"/>
      <c r="G1636" s="270"/>
      <c r="H1636" s="165"/>
      <c r="I1636" s="165"/>
      <c r="J1636" s="150"/>
      <c r="K1636" s="160"/>
      <c r="L1636" s="160"/>
      <c r="M1636" s="160"/>
      <c r="N1636" s="160"/>
      <c r="O1636" s="160"/>
      <c r="P1636" s="160"/>
      <c r="Q1636" s="160"/>
      <c r="R1636" s="160"/>
      <c r="S1636" s="160"/>
      <c r="T1636" s="160"/>
      <c r="U1636" s="160"/>
      <c r="V1636" s="160"/>
      <c r="W1636" s="160"/>
      <c r="X1636" s="160"/>
      <c r="Y1636" s="160"/>
      <c r="Z1636" s="160"/>
      <c r="AA1636" s="160"/>
      <c r="AB1636" s="160"/>
    </row>
    <row r="1637">
      <c r="A1637" s="176"/>
      <c r="B1637" s="269"/>
      <c r="C1637" s="269"/>
      <c r="D1637" s="149"/>
      <c r="E1637" s="150"/>
      <c r="F1637" s="150"/>
      <c r="G1637" s="270"/>
      <c r="H1637" s="165"/>
      <c r="I1637" s="165"/>
      <c r="J1637" s="150"/>
      <c r="K1637" s="160"/>
      <c r="L1637" s="160"/>
      <c r="M1637" s="160"/>
      <c r="N1637" s="160"/>
      <c r="O1637" s="160"/>
      <c r="P1637" s="160"/>
      <c r="Q1637" s="160"/>
      <c r="R1637" s="160"/>
      <c r="S1637" s="160"/>
      <c r="T1637" s="160"/>
      <c r="U1637" s="160"/>
      <c r="V1637" s="160"/>
      <c r="W1637" s="160"/>
      <c r="X1637" s="160"/>
      <c r="Y1637" s="160"/>
      <c r="Z1637" s="160"/>
      <c r="AA1637" s="160"/>
      <c r="AB1637" s="160"/>
    </row>
    <row r="1638">
      <c r="A1638" s="176"/>
      <c r="B1638" s="269"/>
      <c r="C1638" s="269"/>
      <c r="D1638" s="149"/>
      <c r="E1638" s="150"/>
      <c r="F1638" s="150"/>
      <c r="G1638" s="270"/>
      <c r="H1638" s="165"/>
      <c r="I1638" s="165"/>
      <c r="J1638" s="150"/>
      <c r="K1638" s="160"/>
      <c r="L1638" s="160"/>
      <c r="M1638" s="160"/>
      <c r="N1638" s="160"/>
      <c r="O1638" s="160"/>
      <c r="P1638" s="160"/>
      <c r="Q1638" s="160"/>
      <c r="R1638" s="160"/>
      <c r="S1638" s="160"/>
      <c r="T1638" s="160"/>
      <c r="U1638" s="160"/>
      <c r="V1638" s="160"/>
      <c r="W1638" s="160"/>
      <c r="X1638" s="160"/>
      <c r="Y1638" s="160"/>
      <c r="Z1638" s="160"/>
      <c r="AA1638" s="160"/>
      <c r="AB1638" s="160"/>
    </row>
    <row r="1639">
      <c r="A1639" s="176"/>
      <c r="B1639" s="269"/>
      <c r="C1639" s="269"/>
      <c r="D1639" s="149"/>
      <c r="E1639" s="150"/>
      <c r="F1639" s="150"/>
      <c r="G1639" s="270"/>
      <c r="H1639" s="165"/>
      <c r="I1639" s="165"/>
      <c r="J1639" s="150"/>
      <c r="K1639" s="160"/>
      <c r="L1639" s="160"/>
      <c r="M1639" s="160"/>
      <c r="N1639" s="160"/>
      <c r="O1639" s="160"/>
      <c r="P1639" s="160"/>
      <c r="Q1639" s="160"/>
      <c r="R1639" s="160"/>
      <c r="S1639" s="160"/>
      <c r="T1639" s="160"/>
      <c r="U1639" s="160"/>
      <c r="V1639" s="160"/>
      <c r="W1639" s="160"/>
      <c r="X1639" s="160"/>
      <c r="Y1639" s="160"/>
      <c r="Z1639" s="160"/>
      <c r="AA1639" s="160"/>
      <c r="AB1639" s="160"/>
    </row>
    <row r="1640">
      <c r="A1640" s="176"/>
      <c r="B1640" s="269"/>
      <c r="C1640" s="269"/>
      <c r="D1640" s="149"/>
      <c r="E1640" s="150"/>
      <c r="F1640" s="150"/>
      <c r="G1640" s="270"/>
      <c r="H1640" s="165"/>
      <c r="I1640" s="165"/>
      <c r="J1640" s="150"/>
      <c r="K1640" s="160"/>
      <c r="L1640" s="160"/>
      <c r="M1640" s="160"/>
      <c r="N1640" s="160"/>
      <c r="O1640" s="160"/>
      <c r="P1640" s="160"/>
      <c r="Q1640" s="160"/>
      <c r="R1640" s="160"/>
      <c r="S1640" s="160"/>
      <c r="T1640" s="160"/>
      <c r="U1640" s="160"/>
      <c r="V1640" s="160"/>
      <c r="W1640" s="160"/>
      <c r="X1640" s="160"/>
      <c r="Y1640" s="160"/>
      <c r="Z1640" s="160"/>
      <c r="AA1640" s="160"/>
      <c r="AB1640" s="160"/>
    </row>
    <row r="1641">
      <c r="A1641" s="176"/>
      <c r="B1641" s="269"/>
      <c r="C1641" s="269"/>
      <c r="D1641" s="149"/>
      <c r="E1641" s="150"/>
      <c r="F1641" s="150"/>
      <c r="G1641" s="270"/>
      <c r="H1641" s="165"/>
      <c r="I1641" s="165"/>
      <c r="J1641" s="150"/>
      <c r="K1641" s="160"/>
      <c r="L1641" s="160"/>
      <c r="M1641" s="160"/>
      <c r="N1641" s="160"/>
      <c r="O1641" s="160"/>
      <c r="P1641" s="160"/>
      <c r="Q1641" s="160"/>
      <c r="R1641" s="160"/>
      <c r="S1641" s="160"/>
      <c r="T1641" s="160"/>
      <c r="U1641" s="160"/>
      <c r="V1641" s="160"/>
      <c r="W1641" s="160"/>
      <c r="X1641" s="160"/>
      <c r="Y1641" s="160"/>
      <c r="Z1641" s="160"/>
      <c r="AA1641" s="160"/>
      <c r="AB1641" s="160"/>
    </row>
    <row r="1642">
      <c r="A1642" s="176"/>
      <c r="B1642" s="269"/>
      <c r="C1642" s="269"/>
      <c r="D1642" s="149"/>
      <c r="E1642" s="150"/>
      <c r="F1642" s="150"/>
      <c r="G1642" s="270"/>
      <c r="H1642" s="165"/>
      <c r="I1642" s="165"/>
      <c r="J1642" s="150"/>
      <c r="K1642" s="160"/>
      <c r="L1642" s="160"/>
      <c r="M1642" s="160"/>
      <c r="N1642" s="160"/>
      <c r="O1642" s="160"/>
      <c r="P1642" s="160"/>
      <c r="Q1642" s="160"/>
      <c r="R1642" s="160"/>
      <c r="S1642" s="160"/>
      <c r="T1642" s="160"/>
      <c r="U1642" s="160"/>
      <c r="V1642" s="160"/>
      <c r="W1642" s="160"/>
      <c r="X1642" s="160"/>
      <c r="Y1642" s="160"/>
      <c r="Z1642" s="160"/>
      <c r="AA1642" s="160"/>
      <c r="AB1642" s="160"/>
    </row>
    <row r="1643">
      <c r="A1643" s="176"/>
      <c r="B1643" s="269"/>
      <c r="C1643" s="269"/>
      <c r="D1643" s="149"/>
      <c r="E1643" s="150"/>
      <c r="F1643" s="150"/>
      <c r="G1643" s="270"/>
      <c r="H1643" s="165"/>
      <c r="I1643" s="165"/>
      <c r="J1643" s="150"/>
      <c r="K1643" s="160"/>
      <c r="L1643" s="160"/>
      <c r="M1643" s="160"/>
      <c r="N1643" s="160"/>
      <c r="O1643" s="160"/>
      <c r="P1643" s="160"/>
      <c r="Q1643" s="160"/>
      <c r="R1643" s="160"/>
      <c r="S1643" s="160"/>
      <c r="T1643" s="160"/>
      <c r="U1643" s="160"/>
      <c r="V1643" s="160"/>
      <c r="W1643" s="160"/>
      <c r="X1643" s="160"/>
      <c r="Y1643" s="160"/>
      <c r="Z1643" s="160"/>
      <c r="AA1643" s="160"/>
      <c r="AB1643" s="160"/>
    </row>
    <row r="1644">
      <c r="A1644" s="176"/>
      <c r="B1644" s="269"/>
      <c r="C1644" s="269"/>
      <c r="D1644" s="149"/>
      <c r="E1644" s="150"/>
      <c r="F1644" s="150"/>
      <c r="G1644" s="270"/>
      <c r="H1644" s="165"/>
      <c r="I1644" s="165"/>
      <c r="J1644" s="150"/>
      <c r="K1644" s="160"/>
      <c r="L1644" s="160"/>
      <c r="M1644" s="160"/>
      <c r="N1644" s="160"/>
      <c r="O1644" s="160"/>
      <c r="P1644" s="160"/>
      <c r="Q1644" s="160"/>
      <c r="R1644" s="160"/>
      <c r="S1644" s="160"/>
      <c r="T1644" s="160"/>
      <c r="U1644" s="160"/>
      <c r="V1644" s="160"/>
      <c r="W1644" s="160"/>
      <c r="X1644" s="160"/>
      <c r="Y1644" s="160"/>
      <c r="Z1644" s="160"/>
      <c r="AA1644" s="160"/>
      <c r="AB1644" s="160"/>
    </row>
    <row r="1645">
      <c r="A1645" s="176"/>
      <c r="B1645" s="269"/>
      <c r="C1645" s="269"/>
      <c r="D1645" s="149"/>
      <c r="E1645" s="150"/>
      <c r="F1645" s="150"/>
      <c r="G1645" s="270"/>
      <c r="H1645" s="165"/>
      <c r="I1645" s="165"/>
      <c r="J1645" s="150"/>
      <c r="K1645" s="160"/>
      <c r="L1645" s="160"/>
      <c r="M1645" s="160"/>
      <c r="N1645" s="160"/>
      <c r="O1645" s="160"/>
      <c r="P1645" s="160"/>
      <c r="Q1645" s="160"/>
      <c r="R1645" s="160"/>
      <c r="S1645" s="160"/>
      <c r="T1645" s="160"/>
      <c r="U1645" s="160"/>
      <c r="V1645" s="160"/>
      <c r="W1645" s="160"/>
      <c r="X1645" s="160"/>
      <c r="Y1645" s="160"/>
      <c r="Z1645" s="160"/>
      <c r="AA1645" s="160"/>
      <c r="AB1645" s="160"/>
    </row>
    <row r="1646">
      <c r="A1646" s="176"/>
      <c r="B1646" s="269"/>
      <c r="C1646" s="269"/>
      <c r="D1646" s="149"/>
      <c r="E1646" s="150"/>
      <c r="F1646" s="150"/>
      <c r="G1646" s="270"/>
      <c r="H1646" s="165"/>
      <c r="I1646" s="165"/>
      <c r="J1646" s="150"/>
      <c r="K1646" s="160"/>
      <c r="L1646" s="160"/>
      <c r="M1646" s="160"/>
      <c r="N1646" s="160"/>
      <c r="O1646" s="160"/>
      <c r="P1646" s="160"/>
      <c r="Q1646" s="160"/>
      <c r="R1646" s="160"/>
      <c r="S1646" s="160"/>
      <c r="T1646" s="160"/>
      <c r="U1646" s="160"/>
      <c r="V1646" s="160"/>
      <c r="W1646" s="160"/>
      <c r="X1646" s="160"/>
      <c r="Y1646" s="160"/>
      <c r="Z1646" s="160"/>
      <c r="AA1646" s="160"/>
      <c r="AB1646" s="160"/>
    </row>
    <row r="1647">
      <c r="A1647" s="176"/>
      <c r="B1647" s="269"/>
      <c r="C1647" s="269"/>
      <c r="D1647" s="149"/>
      <c r="E1647" s="150"/>
      <c r="F1647" s="150"/>
      <c r="G1647" s="270"/>
      <c r="H1647" s="165"/>
      <c r="I1647" s="165"/>
      <c r="J1647" s="150"/>
      <c r="K1647" s="160"/>
      <c r="L1647" s="160"/>
      <c r="M1647" s="160"/>
      <c r="N1647" s="160"/>
      <c r="O1647" s="160"/>
      <c r="P1647" s="160"/>
      <c r="Q1647" s="160"/>
      <c r="R1647" s="160"/>
      <c r="S1647" s="160"/>
      <c r="T1647" s="160"/>
      <c r="U1647" s="160"/>
      <c r="V1647" s="160"/>
      <c r="W1647" s="160"/>
      <c r="X1647" s="160"/>
      <c r="Y1647" s="160"/>
      <c r="Z1647" s="160"/>
      <c r="AA1647" s="160"/>
      <c r="AB1647" s="160"/>
    </row>
    <row r="1648">
      <c r="A1648" s="176"/>
      <c r="B1648" s="269"/>
      <c r="C1648" s="269"/>
      <c r="D1648" s="149"/>
      <c r="E1648" s="150"/>
      <c r="F1648" s="150"/>
      <c r="G1648" s="270"/>
      <c r="H1648" s="165"/>
      <c r="I1648" s="165"/>
      <c r="J1648" s="150"/>
      <c r="K1648" s="160"/>
      <c r="L1648" s="160"/>
      <c r="M1648" s="160"/>
      <c r="N1648" s="160"/>
      <c r="O1648" s="160"/>
      <c r="P1648" s="160"/>
      <c r="Q1648" s="160"/>
      <c r="R1648" s="160"/>
      <c r="S1648" s="160"/>
      <c r="T1648" s="160"/>
      <c r="U1648" s="160"/>
      <c r="V1648" s="160"/>
      <c r="W1648" s="160"/>
      <c r="X1648" s="160"/>
      <c r="Y1648" s="160"/>
      <c r="Z1648" s="160"/>
      <c r="AA1648" s="160"/>
      <c r="AB1648" s="160"/>
    </row>
    <row r="1649">
      <c r="A1649" s="176"/>
      <c r="B1649" s="269"/>
      <c r="C1649" s="269"/>
      <c r="D1649" s="149"/>
      <c r="E1649" s="150"/>
      <c r="F1649" s="150"/>
      <c r="G1649" s="270"/>
      <c r="H1649" s="165"/>
      <c r="I1649" s="165"/>
      <c r="J1649" s="150"/>
      <c r="K1649" s="160"/>
      <c r="L1649" s="160"/>
      <c r="M1649" s="160"/>
      <c r="N1649" s="160"/>
      <c r="O1649" s="160"/>
      <c r="P1649" s="160"/>
      <c r="Q1649" s="160"/>
      <c r="R1649" s="160"/>
      <c r="S1649" s="160"/>
      <c r="T1649" s="160"/>
      <c r="U1649" s="160"/>
      <c r="V1649" s="160"/>
      <c r="W1649" s="160"/>
      <c r="X1649" s="160"/>
      <c r="Y1649" s="160"/>
      <c r="Z1649" s="160"/>
      <c r="AA1649" s="160"/>
      <c r="AB1649" s="160"/>
    </row>
    <row r="1650">
      <c r="A1650" s="176"/>
      <c r="B1650" s="269"/>
      <c r="C1650" s="269"/>
      <c r="D1650" s="149"/>
      <c r="E1650" s="150"/>
      <c r="F1650" s="150"/>
      <c r="G1650" s="270"/>
      <c r="H1650" s="165"/>
      <c r="I1650" s="165"/>
      <c r="J1650" s="150"/>
      <c r="K1650" s="160"/>
      <c r="L1650" s="160"/>
      <c r="M1650" s="160"/>
      <c r="N1650" s="160"/>
      <c r="O1650" s="160"/>
      <c r="P1650" s="160"/>
      <c r="Q1650" s="160"/>
      <c r="R1650" s="160"/>
      <c r="S1650" s="160"/>
      <c r="T1650" s="160"/>
      <c r="U1650" s="160"/>
      <c r="V1650" s="160"/>
      <c r="W1650" s="160"/>
      <c r="X1650" s="160"/>
      <c r="Y1650" s="160"/>
      <c r="Z1650" s="160"/>
      <c r="AA1650" s="160"/>
      <c r="AB1650" s="160"/>
    </row>
    <row r="1651">
      <c r="A1651" s="176"/>
      <c r="B1651" s="269"/>
      <c r="C1651" s="269"/>
      <c r="D1651" s="149"/>
      <c r="E1651" s="150"/>
      <c r="F1651" s="150"/>
      <c r="G1651" s="270"/>
      <c r="H1651" s="165"/>
      <c r="I1651" s="165"/>
      <c r="J1651" s="150"/>
      <c r="K1651" s="160"/>
      <c r="L1651" s="160"/>
      <c r="M1651" s="160"/>
      <c r="N1651" s="160"/>
      <c r="O1651" s="160"/>
      <c r="P1651" s="160"/>
      <c r="Q1651" s="160"/>
      <c r="R1651" s="160"/>
      <c r="S1651" s="160"/>
      <c r="T1651" s="160"/>
      <c r="U1651" s="160"/>
      <c r="V1651" s="160"/>
      <c r="W1651" s="160"/>
      <c r="X1651" s="160"/>
      <c r="Y1651" s="160"/>
      <c r="Z1651" s="160"/>
      <c r="AA1651" s="160"/>
      <c r="AB1651" s="160"/>
    </row>
    <row r="1652">
      <c r="A1652" s="176"/>
      <c r="B1652" s="269"/>
      <c r="C1652" s="269"/>
      <c r="D1652" s="149"/>
      <c r="E1652" s="150"/>
      <c r="F1652" s="150"/>
      <c r="G1652" s="270"/>
      <c r="H1652" s="165"/>
      <c r="I1652" s="165"/>
      <c r="J1652" s="150"/>
      <c r="K1652" s="160"/>
      <c r="L1652" s="160"/>
      <c r="M1652" s="160"/>
      <c r="N1652" s="160"/>
      <c r="O1652" s="160"/>
      <c r="P1652" s="160"/>
      <c r="Q1652" s="160"/>
      <c r="R1652" s="160"/>
      <c r="S1652" s="160"/>
      <c r="T1652" s="160"/>
      <c r="U1652" s="160"/>
      <c r="V1652" s="160"/>
      <c r="W1652" s="160"/>
      <c r="X1652" s="160"/>
      <c r="Y1652" s="160"/>
      <c r="Z1652" s="160"/>
      <c r="AA1652" s="160"/>
      <c r="AB1652" s="160"/>
    </row>
    <row r="1653">
      <c r="A1653" s="176"/>
      <c r="B1653" s="269"/>
      <c r="C1653" s="269"/>
      <c r="D1653" s="149"/>
      <c r="E1653" s="150"/>
      <c r="F1653" s="150"/>
      <c r="G1653" s="270"/>
      <c r="H1653" s="165"/>
      <c r="I1653" s="165"/>
      <c r="J1653" s="150"/>
      <c r="K1653" s="160"/>
      <c r="L1653" s="160"/>
      <c r="M1653" s="160"/>
      <c r="N1653" s="160"/>
      <c r="O1653" s="160"/>
      <c r="P1653" s="160"/>
      <c r="Q1653" s="160"/>
      <c r="R1653" s="160"/>
      <c r="S1653" s="160"/>
      <c r="T1653" s="160"/>
      <c r="U1653" s="160"/>
      <c r="V1653" s="160"/>
      <c r="W1653" s="160"/>
      <c r="X1653" s="160"/>
      <c r="Y1653" s="160"/>
      <c r="Z1653" s="160"/>
      <c r="AA1653" s="160"/>
      <c r="AB1653" s="160"/>
    </row>
    <row r="1654">
      <c r="A1654" s="176"/>
      <c r="B1654" s="269"/>
      <c r="C1654" s="269"/>
      <c r="D1654" s="149"/>
      <c r="E1654" s="150"/>
      <c r="F1654" s="150"/>
      <c r="G1654" s="270"/>
      <c r="H1654" s="165"/>
      <c r="I1654" s="165"/>
      <c r="J1654" s="150"/>
      <c r="K1654" s="160"/>
      <c r="L1654" s="160"/>
      <c r="M1654" s="160"/>
      <c r="N1654" s="160"/>
      <c r="O1654" s="160"/>
      <c r="P1654" s="160"/>
      <c r="Q1654" s="160"/>
      <c r="R1654" s="160"/>
      <c r="S1654" s="160"/>
      <c r="T1654" s="160"/>
      <c r="U1654" s="160"/>
      <c r="V1654" s="160"/>
      <c r="W1654" s="160"/>
      <c r="X1654" s="160"/>
      <c r="Y1654" s="160"/>
      <c r="Z1654" s="160"/>
      <c r="AA1654" s="160"/>
      <c r="AB1654" s="160"/>
    </row>
    <row r="1655">
      <c r="A1655" s="176"/>
      <c r="B1655" s="269"/>
      <c r="C1655" s="269"/>
      <c r="D1655" s="149"/>
      <c r="E1655" s="150"/>
      <c r="F1655" s="150"/>
      <c r="G1655" s="270"/>
      <c r="H1655" s="165"/>
      <c r="I1655" s="165"/>
      <c r="J1655" s="150"/>
      <c r="K1655" s="160"/>
      <c r="L1655" s="160"/>
      <c r="M1655" s="160"/>
      <c r="N1655" s="160"/>
      <c r="O1655" s="160"/>
      <c r="P1655" s="160"/>
      <c r="Q1655" s="160"/>
      <c r="R1655" s="160"/>
      <c r="S1655" s="160"/>
      <c r="T1655" s="160"/>
      <c r="U1655" s="160"/>
      <c r="V1655" s="160"/>
      <c r="W1655" s="160"/>
      <c r="X1655" s="160"/>
      <c r="Y1655" s="160"/>
      <c r="Z1655" s="160"/>
      <c r="AA1655" s="160"/>
      <c r="AB1655" s="160"/>
    </row>
    <row r="1656">
      <c r="A1656" s="176"/>
      <c r="B1656" s="269"/>
      <c r="C1656" s="269"/>
      <c r="D1656" s="149"/>
      <c r="E1656" s="150"/>
      <c r="F1656" s="150"/>
      <c r="G1656" s="270"/>
      <c r="H1656" s="165"/>
      <c r="I1656" s="165"/>
      <c r="J1656" s="150"/>
      <c r="K1656" s="160"/>
      <c r="L1656" s="160"/>
      <c r="M1656" s="160"/>
      <c r="N1656" s="160"/>
      <c r="O1656" s="160"/>
      <c r="P1656" s="160"/>
      <c r="Q1656" s="160"/>
      <c r="R1656" s="160"/>
      <c r="S1656" s="160"/>
      <c r="T1656" s="160"/>
      <c r="U1656" s="160"/>
      <c r="V1656" s="160"/>
      <c r="W1656" s="160"/>
      <c r="X1656" s="160"/>
      <c r="Y1656" s="160"/>
      <c r="Z1656" s="160"/>
      <c r="AA1656" s="160"/>
      <c r="AB1656" s="160"/>
    </row>
    <row r="1657">
      <c r="A1657" s="176"/>
      <c r="B1657" s="269"/>
      <c r="C1657" s="269"/>
      <c r="D1657" s="149"/>
      <c r="E1657" s="150"/>
      <c r="F1657" s="150"/>
      <c r="G1657" s="270"/>
      <c r="H1657" s="165"/>
      <c r="I1657" s="165"/>
      <c r="J1657" s="150"/>
      <c r="K1657" s="160"/>
      <c r="L1657" s="160"/>
      <c r="M1657" s="160"/>
      <c r="N1657" s="160"/>
      <c r="O1657" s="160"/>
      <c r="P1657" s="160"/>
      <c r="Q1657" s="160"/>
      <c r="R1657" s="160"/>
      <c r="S1657" s="160"/>
      <c r="T1657" s="160"/>
      <c r="U1657" s="160"/>
      <c r="V1657" s="160"/>
      <c r="W1657" s="160"/>
      <c r="X1657" s="160"/>
      <c r="Y1657" s="160"/>
      <c r="Z1657" s="160"/>
      <c r="AA1657" s="160"/>
      <c r="AB1657" s="160"/>
    </row>
    <row r="1658">
      <c r="A1658" s="176"/>
      <c r="B1658" s="269"/>
      <c r="C1658" s="269"/>
      <c r="D1658" s="149"/>
      <c r="E1658" s="150"/>
      <c r="F1658" s="150"/>
      <c r="G1658" s="270"/>
      <c r="H1658" s="165"/>
      <c r="I1658" s="165"/>
      <c r="J1658" s="150"/>
      <c r="K1658" s="160"/>
      <c r="L1658" s="160"/>
      <c r="M1658" s="160"/>
      <c r="N1658" s="160"/>
      <c r="O1658" s="160"/>
      <c r="P1658" s="160"/>
      <c r="Q1658" s="160"/>
      <c r="R1658" s="160"/>
      <c r="S1658" s="160"/>
      <c r="T1658" s="160"/>
      <c r="U1658" s="160"/>
      <c r="V1658" s="160"/>
      <c r="W1658" s="160"/>
      <c r="X1658" s="160"/>
      <c r="Y1658" s="160"/>
      <c r="Z1658" s="160"/>
      <c r="AA1658" s="160"/>
      <c r="AB1658" s="160"/>
    </row>
    <row r="1659">
      <c r="A1659" s="176"/>
      <c r="B1659" s="269"/>
      <c r="C1659" s="269"/>
      <c r="D1659" s="149"/>
      <c r="E1659" s="150"/>
      <c r="F1659" s="150"/>
      <c r="G1659" s="270"/>
      <c r="H1659" s="165"/>
      <c r="I1659" s="165"/>
      <c r="J1659" s="150"/>
      <c r="K1659" s="160"/>
      <c r="L1659" s="160"/>
      <c r="M1659" s="160"/>
      <c r="N1659" s="160"/>
      <c r="O1659" s="160"/>
      <c r="P1659" s="160"/>
      <c r="Q1659" s="160"/>
      <c r="R1659" s="160"/>
      <c r="S1659" s="160"/>
      <c r="T1659" s="160"/>
      <c r="U1659" s="160"/>
      <c r="V1659" s="160"/>
      <c r="W1659" s="160"/>
      <c r="X1659" s="160"/>
      <c r="Y1659" s="160"/>
      <c r="Z1659" s="160"/>
      <c r="AA1659" s="160"/>
      <c r="AB1659" s="160"/>
    </row>
    <row r="1660">
      <c r="A1660" s="176"/>
      <c r="B1660" s="269"/>
      <c r="C1660" s="269"/>
      <c r="D1660" s="149"/>
      <c r="E1660" s="150"/>
      <c r="F1660" s="150"/>
      <c r="G1660" s="270"/>
      <c r="H1660" s="165"/>
      <c r="I1660" s="165"/>
      <c r="J1660" s="150"/>
      <c r="K1660" s="160"/>
      <c r="L1660" s="160"/>
      <c r="M1660" s="160"/>
      <c r="N1660" s="160"/>
      <c r="O1660" s="160"/>
      <c r="P1660" s="160"/>
      <c r="Q1660" s="160"/>
      <c r="R1660" s="160"/>
      <c r="S1660" s="160"/>
      <c r="T1660" s="160"/>
      <c r="U1660" s="160"/>
      <c r="V1660" s="160"/>
      <c r="W1660" s="160"/>
      <c r="X1660" s="160"/>
      <c r="Y1660" s="160"/>
      <c r="Z1660" s="160"/>
      <c r="AA1660" s="160"/>
      <c r="AB1660" s="160"/>
    </row>
    <row r="1661">
      <c r="A1661" s="176"/>
      <c r="B1661" s="269"/>
      <c r="C1661" s="269"/>
      <c r="D1661" s="149"/>
      <c r="E1661" s="150"/>
      <c r="F1661" s="150"/>
      <c r="G1661" s="270"/>
      <c r="H1661" s="165"/>
      <c r="I1661" s="165"/>
      <c r="J1661" s="150"/>
      <c r="K1661" s="160"/>
      <c r="L1661" s="160"/>
      <c r="M1661" s="160"/>
      <c r="N1661" s="160"/>
      <c r="O1661" s="160"/>
      <c r="P1661" s="160"/>
      <c r="Q1661" s="160"/>
      <c r="R1661" s="160"/>
      <c r="S1661" s="160"/>
      <c r="T1661" s="160"/>
      <c r="U1661" s="160"/>
      <c r="V1661" s="160"/>
      <c r="W1661" s="160"/>
      <c r="X1661" s="160"/>
      <c r="Y1661" s="160"/>
      <c r="Z1661" s="160"/>
      <c r="AA1661" s="160"/>
      <c r="AB1661" s="160"/>
    </row>
    <row r="1662">
      <c r="A1662" s="176"/>
      <c r="B1662" s="269"/>
      <c r="C1662" s="269"/>
      <c r="D1662" s="149"/>
      <c r="E1662" s="150"/>
      <c r="F1662" s="150"/>
      <c r="G1662" s="270"/>
      <c r="H1662" s="165"/>
      <c r="I1662" s="165"/>
      <c r="J1662" s="150"/>
      <c r="K1662" s="160"/>
      <c r="L1662" s="160"/>
      <c r="M1662" s="160"/>
      <c r="N1662" s="160"/>
      <c r="O1662" s="160"/>
      <c r="P1662" s="160"/>
      <c r="Q1662" s="160"/>
      <c r="R1662" s="160"/>
      <c r="S1662" s="160"/>
      <c r="T1662" s="160"/>
      <c r="U1662" s="160"/>
      <c r="V1662" s="160"/>
      <c r="W1662" s="160"/>
      <c r="X1662" s="160"/>
      <c r="Y1662" s="160"/>
      <c r="Z1662" s="160"/>
      <c r="AA1662" s="160"/>
      <c r="AB1662" s="160"/>
    </row>
    <row r="1663">
      <c r="A1663" s="176"/>
      <c r="B1663" s="269"/>
      <c r="C1663" s="269"/>
      <c r="D1663" s="149"/>
      <c r="E1663" s="150"/>
      <c r="F1663" s="150"/>
      <c r="G1663" s="270"/>
      <c r="H1663" s="165"/>
      <c r="I1663" s="165"/>
      <c r="J1663" s="150"/>
      <c r="K1663" s="160"/>
      <c r="L1663" s="160"/>
      <c r="M1663" s="160"/>
      <c r="N1663" s="160"/>
      <c r="O1663" s="160"/>
      <c r="P1663" s="160"/>
      <c r="Q1663" s="160"/>
      <c r="R1663" s="160"/>
      <c r="S1663" s="160"/>
      <c r="T1663" s="160"/>
      <c r="U1663" s="160"/>
      <c r="V1663" s="160"/>
      <c r="W1663" s="160"/>
      <c r="X1663" s="160"/>
      <c r="Y1663" s="160"/>
      <c r="Z1663" s="160"/>
      <c r="AA1663" s="160"/>
      <c r="AB1663" s="160"/>
    </row>
    <row r="1664">
      <c r="A1664" s="176"/>
      <c r="B1664" s="269"/>
      <c r="C1664" s="269"/>
      <c r="D1664" s="149"/>
      <c r="E1664" s="150"/>
      <c r="F1664" s="150"/>
      <c r="G1664" s="270"/>
      <c r="H1664" s="165"/>
      <c r="I1664" s="165"/>
      <c r="J1664" s="150"/>
      <c r="K1664" s="160"/>
      <c r="L1664" s="160"/>
      <c r="M1664" s="160"/>
      <c r="N1664" s="160"/>
      <c r="O1664" s="160"/>
      <c r="P1664" s="160"/>
      <c r="Q1664" s="160"/>
      <c r="R1664" s="160"/>
      <c r="S1664" s="160"/>
      <c r="T1664" s="160"/>
      <c r="U1664" s="160"/>
      <c r="V1664" s="160"/>
      <c r="W1664" s="160"/>
      <c r="X1664" s="160"/>
      <c r="Y1664" s="160"/>
      <c r="Z1664" s="160"/>
      <c r="AA1664" s="160"/>
      <c r="AB1664" s="160"/>
    </row>
    <row r="1665">
      <c r="A1665" s="176"/>
      <c r="B1665" s="269"/>
      <c r="C1665" s="269"/>
      <c r="D1665" s="149"/>
      <c r="E1665" s="150"/>
      <c r="F1665" s="150"/>
      <c r="G1665" s="270"/>
      <c r="H1665" s="165"/>
      <c r="I1665" s="165"/>
      <c r="J1665" s="150"/>
      <c r="K1665" s="160"/>
      <c r="L1665" s="160"/>
      <c r="M1665" s="160"/>
      <c r="N1665" s="160"/>
      <c r="O1665" s="160"/>
      <c r="P1665" s="160"/>
      <c r="Q1665" s="160"/>
      <c r="R1665" s="160"/>
      <c r="S1665" s="160"/>
      <c r="T1665" s="160"/>
      <c r="U1665" s="160"/>
      <c r="V1665" s="160"/>
      <c r="W1665" s="160"/>
      <c r="X1665" s="160"/>
      <c r="Y1665" s="160"/>
      <c r="Z1665" s="160"/>
      <c r="AA1665" s="160"/>
      <c r="AB1665" s="160"/>
    </row>
    <row r="1666">
      <c r="A1666" s="176"/>
      <c r="B1666" s="269"/>
      <c r="C1666" s="269"/>
      <c r="D1666" s="149"/>
      <c r="E1666" s="150"/>
      <c r="F1666" s="150"/>
      <c r="G1666" s="270"/>
      <c r="H1666" s="165"/>
      <c r="I1666" s="165"/>
      <c r="J1666" s="150"/>
      <c r="K1666" s="160"/>
      <c r="L1666" s="160"/>
      <c r="M1666" s="160"/>
      <c r="N1666" s="160"/>
      <c r="O1666" s="160"/>
      <c r="P1666" s="160"/>
      <c r="Q1666" s="160"/>
      <c r="R1666" s="160"/>
      <c r="S1666" s="160"/>
      <c r="T1666" s="160"/>
      <c r="U1666" s="160"/>
      <c r="V1666" s="160"/>
      <c r="W1666" s="160"/>
      <c r="X1666" s="160"/>
      <c r="Y1666" s="160"/>
      <c r="Z1666" s="160"/>
      <c r="AA1666" s="160"/>
      <c r="AB1666" s="160"/>
    </row>
    <row r="1667">
      <c r="A1667" s="176"/>
      <c r="B1667" s="269"/>
      <c r="C1667" s="269"/>
      <c r="D1667" s="149"/>
      <c r="E1667" s="150"/>
      <c r="F1667" s="150"/>
      <c r="G1667" s="270"/>
      <c r="H1667" s="165"/>
      <c r="I1667" s="165"/>
      <c r="J1667" s="150"/>
      <c r="K1667" s="160"/>
      <c r="L1667" s="160"/>
      <c r="M1667" s="160"/>
      <c r="N1667" s="160"/>
      <c r="O1667" s="160"/>
      <c r="P1667" s="160"/>
      <c r="Q1667" s="160"/>
      <c r="R1667" s="160"/>
      <c r="S1667" s="160"/>
      <c r="T1667" s="160"/>
      <c r="U1667" s="160"/>
      <c r="V1667" s="160"/>
      <c r="W1667" s="160"/>
      <c r="X1667" s="160"/>
      <c r="Y1667" s="160"/>
      <c r="Z1667" s="160"/>
      <c r="AA1667" s="160"/>
      <c r="AB1667" s="160"/>
    </row>
    <row r="1668">
      <c r="A1668" s="176"/>
      <c r="B1668" s="269"/>
      <c r="C1668" s="269"/>
      <c r="D1668" s="149"/>
      <c r="E1668" s="150"/>
      <c r="F1668" s="150"/>
      <c r="G1668" s="270"/>
      <c r="H1668" s="165"/>
      <c r="I1668" s="165"/>
      <c r="J1668" s="150"/>
      <c r="K1668" s="160"/>
      <c r="L1668" s="160"/>
      <c r="M1668" s="160"/>
      <c r="N1668" s="160"/>
      <c r="O1668" s="160"/>
      <c r="P1668" s="160"/>
      <c r="Q1668" s="160"/>
      <c r="R1668" s="160"/>
      <c r="S1668" s="160"/>
      <c r="T1668" s="160"/>
      <c r="U1668" s="160"/>
      <c r="V1668" s="160"/>
      <c r="W1668" s="160"/>
      <c r="X1668" s="160"/>
      <c r="Y1668" s="160"/>
      <c r="Z1668" s="160"/>
      <c r="AA1668" s="160"/>
      <c r="AB1668" s="160"/>
    </row>
    <row r="1669">
      <c r="A1669" s="176"/>
      <c r="B1669" s="269"/>
      <c r="C1669" s="269"/>
      <c r="D1669" s="149"/>
      <c r="E1669" s="150"/>
      <c r="F1669" s="150"/>
      <c r="G1669" s="270"/>
      <c r="H1669" s="165"/>
      <c r="I1669" s="165"/>
      <c r="J1669" s="150"/>
      <c r="K1669" s="160"/>
      <c r="L1669" s="160"/>
      <c r="M1669" s="160"/>
      <c r="N1669" s="160"/>
      <c r="O1669" s="160"/>
      <c r="P1669" s="160"/>
      <c r="Q1669" s="160"/>
      <c r="R1669" s="160"/>
      <c r="S1669" s="160"/>
      <c r="T1669" s="160"/>
      <c r="U1669" s="160"/>
      <c r="V1669" s="160"/>
      <c r="W1669" s="160"/>
      <c r="X1669" s="160"/>
      <c r="Y1669" s="160"/>
      <c r="Z1669" s="160"/>
      <c r="AA1669" s="160"/>
      <c r="AB1669" s="160"/>
    </row>
    <row r="1670">
      <c r="A1670" s="176"/>
      <c r="B1670" s="269"/>
      <c r="C1670" s="269"/>
      <c r="D1670" s="149"/>
      <c r="E1670" s="150"/>
      <c r="F1670" s="150"/>
      <c r="G1670" s="270"/>
      <c r="H1670" s="165"/>
      <c r="I1670" s="165"/>
      <c r="J1670" s="150"/>
      <c r="K1670" s="160"/>
      <c r="L1670" s="160"/>
      <c r="M1670" s="160"/>
      <c r="N1670" s="160"/>
      <c r="O1670" s="160"/>
      <c r="P1670" s="160"/>
      <c r="Q1670" s="160"/>
      <c r="R1670" s="160"/>
      <c r="S1670" s="160"/>
      <c r="T1670" s="160"/>
      <c r="U1670" s="160"/>
      <c r="V1670" s="160"/>
      <c r="W1670" s="160"/>
      <c r="X1670" s="160"/>
      <c r="Y1670" s="160"/>
      <c r="Z1670" s="160"/>
      <c r="AA1670" s="160"/>
      <c r="AB1670" s="160"/>
    </row>
    <row r="1671">
      <c r="A1671" s="176"/>
      <c r="B1671" s="269"/>
      <c r="C1671" s="269"/>
      <c r="D1671" s="149"/>
      <c r="E1671" s="150"/>
      <c r="F1671" s="150"/>
      <c r="G1671" s="270"/>
      <c r="H1671" s="165"/>
      <c r="I1671" s="165"/>
      <c r="J1671" s="150"/>
      <c r="K1671" s="160"/>
      <c r="L1671" s="160"/>
      <c r="M1671" s="160"/>
      <c r="N1671" s="160"/>
      <c r="O1671" s="160"/>
      <c r="P1671" s="160"/>
      <c r="Q1671" s="160"/>
      <c r="R1671" s="160"/>
      <c r="S1671" s="160"/>
      <c r="T1671" s="160"/>
      <c r="U1671" s="160"/>
      <c r="V1671" s="160"/>
      <c r="W1671" s="160"/>
      <c r="X1671" s="160"/>
      <c r="Y1671" s="160"/>
      <c r="Z1671" s="160"/>
      <c r="AA1671" s="160"/>
      <c r="AB1671" s="160"/>
    </row>
    <row r="1672">
      <c r="A1672" s="176"/>
      <c r="B1672" s="269"/>
      <c r="C1672" s="269"/>
      <c r="D1672" s="149"/>
      <c r="E1672" s="150"/>
      <c r="F1672" s="150"/>
      <c r="G1672" s="270"/>
      <c r="H1672" s="165"/>
      <c r="I1672" s="165"/>
      <c r="J1672" s="150"/>
      <c r="K1672" s="160"/>
      <c r="L1672" s="160"/>
      <c r="M1672" s="160"/>
      <c r="N1672" s="160"/>
      <c r="O1672" s="160"/>
      <c r="P1672" s="160"/>
      <c r="Q1672" s="160"/>
      <c r="R1672" s="160"/>
      <c r="S1672" s="160"/>
      <c r="T1672" s="160"/>
      <c r="U1672" s="160"/>
      <c r="V1672" s="160"/>
      <c r="W1672" s="160"/>
      <c r="X1672" s="160"/>
      <c r="Y1672" s="160"/>
      <c r="Z1672" s="160"/>
      <c r="AA1672" s="160"/>
      <c r="AB1672" s="160"/>
    </row>
    <row r="1673">
      <c r="A1673" s="176"/>
      <c r="B1673" s="269"/>
      <c r="C1673" s="269"/>
      <c r="D1673" s="149"/>
      <c r="E1673" s="150"/>
      <c r="F1673" s="150"/>
      <c r="G1673" s="270"/>
      <c r="H1673" s="165"/>
      <c r="I1673" s="165"/>
      <c r="J1673" s="150"/>
      <c r="K1673" s="160"/>
      <c r="L1673" s="160"/>
      <c r="M1673" s="160"/>
      <c r="N1673" s="160"/>
      <c r="O1673" s="160"/>
      <c r="P1673" s="160"/>
      <c r="Q1673" s="160"/>
      <c r="R1673" s="160"/>
      <c r="S1673" s="160"/>
      <c r="T1673" s="160"/>
      <c r="U1673" s="160"/>
      <c r="V1673" s="160"/>
      <c r="W1673" s="160"/>
      <c r="X1673" s="160"/>
      <c r="Y1673" s="160"/>
      <c r="Z1673" s="160"/>
      <c r="AA1673" s="160"/>
      <c r="AB1673" s="160"/>
    </row>
    <row r="1674">
      <c r="A1674" s="176"/>
      <c r="B1674" s="269"/>
      <c r="C1674" s="269"/>
      <c r="D1674" s="149"/>
      <c r="E1674" s="150"/>
      <c r="F1674" s="150"/>
      <c r="G1674" s="270"/>
      <c r="H1674" s="165"/>
      <c r="I1674" s="165"/>
      <c r="J1674" s="150"/>
      <c r="K1674" s="160"/>
      <c r="L1674" s="160"/>
      <c r="M1674" s="160"/>
      <c r="N1674" s="160"/>
      <c r="O1674" s="160"/>
      <c r="P1674" s="160"/>
      <c r="Q1674" s="160"/>
      <c r="R1674" s="160"/>
      <c r="S1674" s="160"/>
      <c r="T1674" s="160"/>
      <c r="U1674" s="160"/>
      <c r="V1674" s="160"/>
      <c r="W1674" s="160"/>
      <c r="X1674" s="160"/>
      <c r="Y1674" s="160"/>
      <c r="Z1674" s="160"/>
      <c r="AA1674" s="160"/>
      <c r="AB1674" s="160"/>
    </row>
    <row r="1675">
      <c r="A1675" s="176"/>
      <c r="B1675" s="269"/>
      <c r="C1675" s="269"/>
      <c r="D1675" s="149"/>
      <c r="E1675" s="150"/>
      <c r="F1675" s="150"/>
      <c r="G1675" s="270"/>
      <c r="H1675" s="165"/>
      <c r="I1675" s="165"/>
      <c r="J1675" s="150"/>
      <c r="K1675" s="160"/>
      <c r="L1675" s="160"/>
      <c r="M1675" s="160"/>
      <c r="N1675" s="160"/>
      <c r="O1675" s="160"/>
      <c r="P1675" s="160"/>
      <c r="Q1675" s="160"/>
      <c r="R1675" s="160"/>
      <c r="S1675" s="160"/>
      <c r="T1675" s="160"/>
      <c r="U1675" s="160"/>
      <c r="V1675" s="160"/>
      <c r="W1675" s="160"/>
      <c r="X1675" s="160"/>
      <c r="Y1675" s="160"/>
      <c r="Z1675" s="160"/>
      <c r="AA1675" s="160"/>
      <c r="AB1675" s="160"/>
    </row>
    <row r="1676">
      <c r="A1676" s="176"/>
      <c r="B1676" s="269"/>
      <c r="C1676" s="269"/>
      <c r="D1676" s="149"/>
      <c r="E1676" s="150"/>
      <c r="F1676" s="150"/>
      <c r="G1676" s="270"/>
      <c r="H1676" s="165"/>
      <c r="I1676" s="165"/>
      <c r="J1676" s="150"/>
      <c r="K1676" s="160"/>
      <c r="L1676" s="160"/>
      <c r="M1676" s="160"/>
      <c r="N1676" s="160"/>
      <c r="O1676" s="160"/>
      <c r="P1676" s="160"/>
      <c r="Q1676" s="160"/>
      <c r="R1676" s="160"/>
      <c r="S1676" s="160"/>
      <c r="T1676" s="160"/>
      <c r="U1676" s="160"/>
      <c r="V1676" s="160"/>
      <c r="W1676" s="160"/>
      <c r="X1676" s="160"/>
      <c r="Y1676" s="160"/>
      <c r="Z1676" s="160"/>
      <c r="AA1676" s="160"/>
      <c r="AB1676" s="160"/>
    </row>
    <row r="1677">
      <c r="A1677" s="176"/>
      <c r="B1677" s="269"/>
      <c r="C1677" s="269"/>
      <c r="D1677" s="149"/>
      <c r="E1677" s="150"/>
      <c r="F1677" s="150"/>
      <c r="G1677" s="270"/>
      <c r="H1677" s="165"/>
      <c r="I1677" s="165"/>
      <c r="J1677" s="150"/>
      <c r="K1677" s="160"/>
      <c r="L1677" s="160"/>
      <c r="M1677" s="160"/>
      <c r="N1677" s="160"/>
      <c r="O1677" s="160"/>
      <c r="P1677" s="160"/>
      <c r="Q1677" s="160"/>
      <c r="R1677" s="160"/>
      <c r="S1677" s="160"/>
      <c r="T1677" s="160"/>
      <c r="U1677" s="160"/>
      <c r="V1677" s="160"/>
      <c r="W1677" s="160"/>
      <c r="X1677" s="160"/>
      <c r="Y1677" s="160"/>
      <c r="Z1677" s="160"/>
      <c r="AA1677" s="160"/>
      <c r="AB1677" s="160"/>
    </row>
    <row r="1678">
      <c r="A1678" s="176"/>
      <c r="B1678" s="269"/>
      <c r="C1678" s="269"/>
      <c r="D1678" s="149"/>
      <c r="E1678" s="150"/>
      <c r="F1678" s="150"/>
      <c r="G1678" s="270"/>
      <c r="H1678" s="165"/>
      <c r="I1678" s="165"/>
      <c r="J1678" s="150"/>
      <c r="K1678" s="160"/>
      <c r="L1678" s="160"/>
      <c r="M1678" s="160"/>
      <c r="N1678" s="160"/>
      <c r="O1678" s="160"/>
      <c r="P1678" s="160"/>
      <c r="Q1678" s="160"/>
      <c r="R1678" s="160"/>
      <c r="S1678" s="160"/>
      <c r="T1678" s="160"/>
      <c r="U1678" s="160"/>
      <c r="V1678" s="160"/>
      <c r="W1678" s="160"/>
      <c r="X1678" s="160"/>
      <c r="Y1678" s="160"/>
      <c r="Z1678" s="160"/>
      <c r="AA1678" s="160"/>
      <c r="AB1678" s="160"/>
    </row>
    <row r="1679">
      <c r="A1679" s="176"/>
      <c r="B1679" s="269"/>
      <c r="C1679" s="269"/>
      <c r="D1679" s="149"/>
      <c r="E1679" s="150"/>
      <c r="F1679" s="150"/>
      <c r="G1679" s="270"/>
      <c r="H1679" s="165"/>
      <c r="I1679" s="165"/>
      <c r="J1679" s="150"/>
      <c r="K1679" s="160"/>
      <c r="L1679" s="160"/>
      <c r="M1679" s="160"/>
      <c r="N1679" s="160"/>
      <c r="O1679" s="160"/>
      <c r="P1679" s="160"/>
      <c r="Q1679" s="160"/>
      <c r="R1679" s="160"/>
      <c r="S1679" s="160"/>
      <c r="T1679" s="160"/>
      <c r="U1679" s="160"/>
      <c r="V1679" s="160"/>
      <c r="W1679" s="160"/>
      <c r="X1679" s="160"/>
      <c r="Y1679" s="160"/>
      <c r="Z1679" s="160"/>
      <c r="AA1679" s="160"/>
      <c r="AB1679" s="160"/>
    </row>
    <row r="1680">
      <c r="A1680" s="176"/>
      <c r="B1680" s="269"/>
      <c r="C1680" s="269"/>
      <c r="D1680" s="149"/>
      <c r="E1680" s="150"/>
      <c r="F1680" s="150"/>
      <c r="G1680" s="270"/>
      <c r="H1680" s="165"/>
      <c r="I1680" s="165"/>
      <c r="J1680" s="150"/>
      <c r="K1680" s="160"/>
      <c r="L1680" s="160"/>
      <c r="M1680" s="160"/>
      <c r="N1680" s="160"/>
      <c r="O1680" s="160"/>
      <c r="P1680" s="160"/>
      <c r="Q1680" s="160"/>
      <c r="R1680" s="160"/>
      <c r="S1680" s="160"/>
      <c r="T1680" s="160"/>
      <c r="U1680" s="160"/>
      <c r="V1680" s="160"/>
      <c r="W1680" s="160"/>
      <c r="X1680" s="160"/>
      <c r="Y1680" s="160"/>
      <c r="Z1680" s="160"/>
      <c r="AA1680" s="160"/>
      <c r="AB1680" s="160"/>
    </row>
    <row r="1681">
      <c r="A1681" s="176"/>
      <c r="B1681" s="269"/>
      <c r="C1681" s="269"/>
      <c r="D1681" s="149"/>
      <c r="E1681" s="150"/>
      <c r="F1681" s="150"/>
      <c r="G1681" s="270"/>
      <c r="H1681" s="165"/>
      <c r="I1681" s="165"/>
      <c r="J1681" s="150"/>
      <c r="K1681" s="160"/>
      <c r="L1681" s="160"/>
      <c r="M1681" s="160"/>
      <c r="N1681" s="160"/>
      <c r="O1681" s="160"/>
      <c r="P1681" s="160"/>
      <c r="Q1681" s="160"/>
      <c r="R1681" s="160"/>
      <c r="S1681" s="160"/>
      <c r="T1681" s="160"/>
      <c r="U1681" s="160"/>
      <c r="V1681" s="160"/>
      <c r="W1681" s="160"/>
      <c r="X1681" s="160"/>
      <c r="Y1681" s="160"/>
      <c r="Z1681" s="160"/>
      <c r="AA1681" s="160"/>
      <c r="AB1681" s="160"/>
    </row>
    <row r="1682">
      <c r="A1682" s="176"/>
      <c r="B1682" s="269"/>
      <c r="C1682" s="269"/>
      <c r="D1682" s="149"/>
      <c r="E1682" s="150"/>
      <c r="F1682" s="150"/>
      <c r="G1682" s="270"/>
      <c r="H1682" s="165"/>
      <c r="I1682" s="165"/>
      <c r="J1682" s="150"/>
      <c r="K1682" s="160"/>
      <c r="L1682" s="160"/>
      <c r="M1682" s="160"/>
      <c r="N1682" s="160"/>
      <c r="O1682" s="160"/>
      <c r="P1682" s="160"/>
      <c r="Q1682" s="160"/>
      <c r="R1682" s="160"/>
      <c r="S1682" s="160"/>
      <c r="T1682" s="160"/>
      <c r="U1682" s="160"/>
      <c r="V1682" s="160"/>
      <c r="W1682" s="160"/>
      <c r="X1682" s="160"/>
      <c r="Y1682" s="160"/>
      <c r="Z1682" s="160"/>
      <c r="AA1682" s="160"/>
      <c r="AB1682" s="160"/>
    </row>
    <row r="1683">
      <c r="A1683" s="176"/>
      <c r="B1683" s="269"/>
      <c r="C1683" s="269"/>
      <c r="D1683" s="149"/>
      <c r="E1683" s="150"/>
      <c r="F1683" s="150"/>
      <c r="G1683" s="270"/>
      <c r="H1683" s="165"/>
      <c r="I1683" s="165"/>
      <c r="J1683" s="150"/>
      <c r="K1683" s="160"/>
      <c r="L1683" s="160"/>
      <c r="M1683" s="160"/>
      <c r="N1683" s="160"/>
      <c r="O1683" s="160"/>
      <c r="P1683" s="160"/>
      <c r="Q1683" s="160"/>
      <c r="R1683" s="160"/>
      <c r="S1683" s="160"/>
      <c r="T1683" s="160"/>
      <c r="U1683" s="160"/>
      <c r="V1683" s="160"/>
      <c r="W1683" s="160"/>
      <c r="X1683" s="160"/>
      <c r="Y1683" s="160"/>
      <c r="Z1683" s="160"/>
      <c r="AA1683" s="160"/>
      <c r="AB1683" s="160"/>
    </row>
    <row r="1684">
      <c r="A1684" s="176"/>
      <c r="B1684" s="269"/>
      <c r="C1684" s="269"/>
      <c r="D1684" s="149"/>
      <c r="E1684" s="150"/>
      <c r="F1684" s="150"/>
      <c r="G1684" s="270"/>
      <c r="H1684" s="165"/>
      <c r="I1684" s="165"/>
      <c r="J1684" s="150"/>
      <c r="K1684" s="160"/>
      <c r="L1684" s="160"/>
      <c r="M1684" s="160"/>
      <c r="N1684" s="160"/>
      <c r="O1684" s="160"/>
      <c r="P1684" s="160"/>
      <c r="Q1684" s="160"/>
      <c r="R1684" s="160"/>
      <c r="S1684" s="160"/>
      <c r="T1684" s="160"/>
      <c r="U1684" s="160"/>
      <c r="V1684" s="160"/>
      <c r="W1684" s="160"/>
      <c r="X1684" s="160"/>
      <c r="Y1684" s="160"/>
      <c r="Z1684" s="160"/>
      <c r="AA1684" s="160"/>
      <c r="AB1684" s="160"/>
    </row>
    <row r="1685">
      <c r="A1685" s="176"/>
      <c r="B1685" s="269"/>
      <c r="C1685" s="269"/>
      <c r="D1685" s="149"/>
      <c r="E1685" s="150"/>
      <c r="F1685" s="150"/>
      <c r="G1685" s="270"/>
      <c r="H1685" s="165"/>
      <c r="I1685" s="165"/>
      <c r="J1685" s="150"/>
      <c r="K1685" s="160"/>
      <c r="L1685" s="160"/>
      <c r="M1685" s="160"/>
      <c r="N1685" s="160"/>
      <c r="O1685" s="160"/>
      <c r="P1685" s="160"/>
      <c r="Q1685" s="160"/>
      <c r="R1685" s="160"/>
      <c r="S1685" s="160"/>
      <c r="T1685" s="160"/>
      <c r="U1685" s="160"/>
      <c r="V1685" s="160"/>
      <c r="W1685" s="160"/>
      <c r="X1685" s="160"/>
      <c r="Y1685" s="160"/>
      <c r="Z1685" s="160"/>
      <c r="AA1685" s="160"/>
      <c r="AB1685" s="160"/>
    </row>
    <row r="1686">
      <c r="A1686" s="176"/>
      <c r="B1686" s="269"/>
      <c r="C1686" s="269"/>
      <c r="D1686" s="149"/>
      <c r="E1686" s="150"/>
      <c r="F1686" s="150"/>
      <c r="G1686" s="270"/>
      <c r="H1686" s="165"/>
      <c r="I1686" s="165"/>
      <c r="J1686" s="150"/>
      <c r="K1686" s="160"/>
      <c r="L1686" s="160"/>
      <c r="M1686" s="160"/>
      <c r="N1686" s="160"/>
      <c r="O1686" s="160"/>
      <c r="P1686" s="160"/>
      <c r="Q1686" s="160"/>
      <c r="R1686" s="160"/>
      <c r="S1686" s="160"/>
      <c r="T1686" s="160"/>
      <c r="U1686" s="160"/>
      <c r="V1686" s="160"/>
      <c r="W1686" s="160"/>
      <c r="X1686" s="160"/>
      <c r="Y1686" s="160"/>
      <c r="Z1686" s="160"/>
      <c r="AA1686" s="160"/>
      <c r="AB1686" s="160"/>
    </row>
    <row r="1687">
      <c r="A1687" s="176"/>
      <c r="B1687" s="269"/>
      <c r="C1687" s="269"/>
      <c r="D1687" s="149"/>
      <c r="E1687" s="150"/>
      <c r="F1687" s="150"/>
      <c r="G1687" s="270"/>
      <c r="H1687" s="165"/>
      <c r="I1687" s="165"/>
      <c r="J1687" s="150"/>
      <c r="K1687" s="160"/>
      <c r="L1687" s="160"/>
      <c r="M1687" s="160"/>
      <c r="N1687" s="160"/>
      <c r="O1687" s="160"/>
      <c r="P1687" s="160"/>
      <c r="Q1687" s="160"/>
      <c r="R1687" s="160"/>
      <c r="S1687" s="160"/>
      <c r="T1687" s="160"/>
      <c r="U1687" s="160"/>
      <c r="V1687" s="160"/>
      <c r="W1687" s="160"/>
      <c r="X1687" s="160"/>
      <c r="Y1687" s="160"/>
      <c r="Z1687" s="160"/>
      <c r="AA1687" s="160"/>
      <c r="AB1687" s="160"/>
    </row>
    <row r="1688">
      <c r="A1688" s="176"/>
      <c r="B1688" s="269"/>
      <c r="C1688" s="269"/>
      <c r="D1688" s="149"/>
      <c r="E1688" s="150"/>
      <c r="F1688" s="150"/>
      <c r="G1688" s="270"/>
      <c r="H1688" s="165"/>
      <c r="I1688" s="165"/>
      <c r="J1688" s="150"/>
      <c r="K1688" s="160"/>
      <c r="L1688" s="160"/>
      <c r="M1688" s="160"/>
      <c r="N1688" s="160"/>
      <c r="O1688" s="160"/>
      <c r="P1688" s="160"/>
      <c r="Q1688" s="160"/>
      <c r="R1688" s="160"/>
      <c r="S1688" s="160"/>
      <c r="T1688" s="160"/>
      <c r="U1688" s="160"/>
      <c r="V1688" s="160"/>
      <c r="W1688" s="160"/>
      <c r="X1688" s="160"/>
      <c r="Y1688" s="160"/>
      <c r="Z1688" s="160"/>
      <c r="AA1688" s="160"/>
      <c r="AB1688" s="160"/>
    </row>
    <row r="1689">
      <c r="A1689" s="176"/>
      <c r="B1689" s="269"/>
      <c r="C1689" s="269"/>
      <c r="D1689" s="149"/>
      <c r="E1689" s="150"/>
      <c r="F1689" s="150"/>
      <c r="G1689" s="270"/>
      <c r="H1689" s="165"/>
      <c r="I1689" s="165"/>
      <c r="J1689" s="150"/>
      <c r="K1689" s="160"/>
      <c r="L1689" s="160"/>
      <c r="M1689" s="160"/>
      <c r="N1689" s="160"/>
      <c r="O1689" s="160"/>
      <c r="P1689" s="160"/>
      <c r="Q1689" s="160"/>
      <c r="R1689" s="160"/>
      <c r="S1689" s="160"/>
      <c r="T1689" s="160"/>
      <c r="U1689" s="160"/>
      <c r="V1689" s="160"/>
      <c r="W1689" s="160"/>
      <c r="X1689" s="160"/>
      <c r="Y1689" s="160"/>
      <c r="Z1689" s="160"/>
      <c r="AA1689" s="160"/>
      <c r="AB1689" s="160"/>
    </row>
    <row r="1690">
      <c r="A1690" s="176"/>
      <c r="B1690" s="269"/>
      <c r="C1690" s="269"/>
      <c r="D1690" s="149"/>
      <c r="E1690" s="150"/>
      <c r="F1690" s="150"/>
      <c r="G1690" s="270"/>
      <c r="H1690" s="165"/>
      <c r="I1690" s="165"/>
      <c r="J1690" s="150"/>
      <c r="K1690" s="160"/>
      <c r="L1690" s="160"/>
      <c r="M1690" s="160"/>
      <c r="N1690" s="160"/>
      <c r="O1690" s="160"/>
      <c r="P1690" s="160"/>
      <c r="Q1690" s="160"/>
      <c r="R1690" s="160"/>
      <c r="S1690" s="160"/>
      <c r="T1690" s="160"/>
      <c r="U1690" s="160"/>
      <c r="V1690" s="160"/>
      <c r="W1690" s="160"/>
      <c r="X1690" s="160"/>
      <c r="Y1690" s="160"/>
      <c r="Z1690" s="160"/>
      <c r="AA1690" s="160"/>
      <c r="AB1690" s="160"/>
    </row>
    <row r="1691">
      <c r="A1691" s="176"/>
      <c r="B1691" s="269"/>
      <c r="C1691" s="269"/>
      <c r="D1691" s="149"/>
      <c r="E1691" s="150"/>
      <c r="F1691" s="150"/>
      <c r="G1691" s="270"/>
      <c r="H1691" s="165"/>
      <c r="I1691" s="165"/>
      <c r="J1691" s="150"/>
      <c r="K1691" s="160"/>
      <c r="L1691" s="160"/>
      <c r="M1691" s="160"/>
      <c r="N1691" s="160"/>
      <c r="O1691" s="160"/>
      <c r="P1691" s="160"/>
      <c r="Q1691" s="160"/>
      <c r="R1691" s="160"/>
      <c r="S1691" s="160"/>
      <c r="T1691" s="160"/>
      <c r="U1691" s="160"/>
      <c r="V1691" s="160"/>
      <c r="W1691" s="160"/>
      <c r="X1691" s="160"/>
      <c r="Y1691" s="160"/>
      <c r="Z1691" s="160"/>
      <c r="AA1691" s="160"/>
      <c r="AB1691" s="160"/>
    </row>
    <row r="1692">
      <c r="A1692" s="176"/>
      <c r="B1692" s="269"/>
      <c r="C1692" s="269"/>
      <c r="D1692" s="149"/>
      <c r="E1692" s="150"/>
      <c r="F1692" s="150"/>
      <c r="G1692" s="270"/>
      <c r="H1692" s="165"/>
      <c r="I1692" s="165"/>
      <c r="J1692" s="150"/>
      <c r="K1692" s="160"/>
      <c r="L1692" s="160"/>
      <c r="M1692" s="160"/>
      <c r="N1692" s="160"/>
      <c r="O1692" s="160"/>
      <c r="P1692" s="160"/>
      <c r="Q1692" s="160"/>
      <c r="R1692" s="160"/>
      <c r="S1692" s="160"/>
      <c r="T1692" s="160"/>
      <c r="U1692" s="160"/>
      <c r="V1692" s="160"/>
      <c r="W1692" s="160"/>
      <c r="X1692" s="160"/>
      <c r="Y1692" s="160"/>
      <c r="Z1692" s="160"/>
      <c r="AA1692" s="160"/>
      <c r="AB1692" s="160"/>
    </row>
    <row r="1693">
      <c r="A1693" s="176"/>
      <c r="B1693" s="269"/>
      <c r="C1693" s="269"/>
      <c r="D1693" s="149"/>
      <c r="E1693" s="150"/>
      <c r="F1693" s="150"/>
      <c r="G1693" s="270"/>
      <c r="H1693" s="165"/>
      <c r="I1693" s="165"/>
      <c r="J1693" s="150"/>
      <c r="K1693" s="160"/>
      <c r="L1693" s="160"/>
      <c r="M1693" s="160"/>
      <c r="N1693" s="160"/>
      <c r="O1693" s="160"/>
      <c r="P1693" s="160"/>
      <c r="Q1693" s="160"/>
      <c r="R1693" s="160"/>
      <c r="S1693" s="160"/>
      <c r="T1693" s="160"/>
      <c r="U1693" s="160"/>
      <c r="V1693" s="160"/>
      <c r="W1693" s="160"/>
      <c r="X1693" s="160"/>
      <c r="Y1693" s="160"/>
      <c r="Z1693" s="160"/>
      <c r="AA1693" s="160"/>
      <c r="AB1693" s="160"/>
    </row>
    <row r="1694">
      <c r="A1694" s="176"/>
      <c r="B1694" s="269"/>
      <c r="C1694" s="269"/>
      <c r="D1694" s="149"/>
      <c r="E1694" s="150"/>
      <c r="F1694" s="150"/>
      <c r="G1694" s="270"/>
      <c r="H1694" s="165"/>
      <c r="I1694" s="165"/>
      <c r="J1694" s="150"/>
      <c r="K1694" s="160"/>
      <c r="L1694" s="160"/>
      <c r="M1694" s="160"/>
      <c r="N1694" s="160"/>
      <c r="O1694" s="160"/>
      <c r="P1694" s="160"/>
      <c r="Q1694" s="160"/>
      <c r="R1694" s="160"/>
      <c r="S1694" s="160"/>
      <c r="T1694" s="160"/>
      <c r="U1694" s="160"/>
      <c r="V1694" s="160"/>
      <c r="W1694" s="160"/>
      <c r="X1694" s="160"/>
      <c r="Y1694" s="160"/>
      <c r="Z1694" s="160"/>
      <c r="AA1694" s="160"/>
      <c r="AB1694" s="160"/>
    </row>
    <row r="1695">
      <c r="A1695" s="176"/>
      <c r="B1695" s="269"/>
      <c r="C1695" s="269"/>
      <c r="D1695" s="149"/>
      <c r="E1695" s="150"/>
      <c r="F1695" s="150"/>
      <c r="G1695" s="270"/>
      <c r="H1695" s="165"/>
      <c r="I1695" s="165"/>
      <c r="J1695" s="150"/>
      <c r="K1695" s="160"/>
      <c r="L1695" s="160"/>
      <c r="M1695" s="160"/>
      <c r="N1695" s="160"/>
      <c r="O1695" s="160"/>
      <c r="P1695" s="160"/>
      <c r="Q1695" s="160"/>
      <c r="R1695" s="160"/>
      <c r="S1695" s="160"/>
      <c r="T1695" s="160"/>
      <c r="U1695" s="160"/>
      <c r="V1695" s="160"/>
      <c r="W1695" s="160"/>
      <c r="X1695" s="160"/>
      <c r="Y1695" s="160"/>
      <c r="Z1695" s="160"/>
      <c r="AA1695" s="160"/>
      <c r="AB1695" s="160"/>
    </row>
    <row r="1696">
      <c r="A1696" s="176"/>
      <c r="B1696" s="269"/>
      <c r="C1696" s="269"/>
      <c r="D1696" s="149"/>
      <c r="E1696" s="150"/>
      <c r="F1696" s="150"/>
      <c r="G1696" s="270"/>
      <c r="H1696" s="165"/>
      <c r="I1696" s="165"/>
      <c r="J1696" s="150"/>
      <c r="K1696" s="160"/>
      <c r="L1696" s="160"/>
      <c r="M1696" s="160"/>
      <c r="N1696" s="160"/>
      <c r="O1696" s="160"/>
      <c r="P1696" s="160"/>
      <c r="Q1696" s="160"/>
      <c r="R1696" s="160"/>
      <c r="S1696" s="160"/>
      <c r="T1696" s="160"/>
      <c r="U1696" s="160"/>
      <c r="V1696" s="160"/>
      <c r="W1696" s="160"/>
      <c r="X1696" s="160"/>
      <c r="Y1696" s="160"/>
      <c r="Z1696" s="160"/>
      <c r="AA1696" s="160"/>
      <c r="AB1696" s="160"/>
    </row>
    <row r="1697">
      <c r="A1697" s="176"/>
      <c r="B1697" s="269"/>
      <c r="C1697" s="269"/>
      <c r="D1697" s="149"/>
      <c r="E1697" s="150"/>
      <c r="F1697" s="150"/>
      <c r="G1697" s="270"/>
      <c r="H1697" s="165"/>
      <c r="I1697" s="165"/>
      <c r="J1697" s="150"/>
      <c r="K1697" s="160"/>
      <c r="L1697" s="160"/>
      <c r="M1697" s="160"/>
      <c r="N1697" s="160"/>
      <c r="O1697" s="160"/>
      <c r="P1697" s="160"/>
      <c r="Q1697" s="160"/>
      <c r="R1697" s="160"/>
      <c r="S1697" s="160"/>
      <c r="T1697" s="160"/>
      <c r="U1697" s="160"/>
      <c r="V1697" s="160"/>
      <c r="W1697" s="160"/>
      <c r="X1697" s="160"/>
      <c r="Y1697" s="160"/>
      <c r="Z1697" s="160"/>
      <c r="AA1697" s="160"/>
      <c r="AB1697" s="160"/>
    </row>
    <row r="1698">
      <c r="A1698" s="176"/>
      <c r="B1698" s="269"/>
      <c r="C1698" s="269"/>
      <c r="D1698" s="149"/>
      <c r="E1698" s="150"/>
      <c r="F1698" s="150"/>
      <c r="G1698" s="270"/>
      <c r="H1698" s="165"/>
      <c r="I1698" s="165"/>
      <c r="J1698" s="150"/>
      <c r="K1698" s="160"/>
      <c r="L1698" s="160"/>
      <c r="M1698" s="160"/>
      <c r="N1698" s="160"/>
      <c r="O1698" s="160"/>
      <c r="P1698" s="160"/>
      <c r="Q1698" s="160"/>
      <c r="R1698" s="160"/>
      <c r="S1698" s="160"/>
      <c r="T1698" s="160"/>
      <c r="U1698" s="160"/>
      <c r="V1698" s="160"/>
      <c r="W1698" s="160"/>
      <c r="X1698" s="160"/>
      <c r="Y1698" s="160"/>
      <c r="Z1698" s="160"/>
      <c r="AA1698" s="160"/>
      <c r="AB1698" s="160"/>
    </row>
    <row r="1699">
      <c r="A1699" s="176"/>
      <c r="B1699" s="269"/>
      <c r="C1699" s="269"/>
      <c r="D1699" s="149"/>
      <c r="E1699" s="150"/>
      <c r="F1699" s="150"/>
      <c r="G1699" s="270"/>
      <c r="H1699" s="165"/>
      <c r="I1699" s="165"/>
      <c r="J1699" s="150"/>
      <c r="K1699" s="160"/>
      <c r="L1699" s="160"/>
      <c r="M1699" s="160"/>
      <c r="N1699" s="160"/>
      <c r="O1699" s="160"/>
      <c r="P1699" s="160"/>
      <c r="Q1699" s="160"/>
      <c r="R1699" s="160"/>
      <c r="S1699" s="160"/>
      <c r="T1699" s="160"/>
      <c r="U1699" s="160"/>
      <c r="V1699" s="160"/>
      <c r="W1699" s="160"/>
      <c r="X1699" s="160"/>
      <c r="Y1699" s="160"/>
      <c r="Z1699" s="160"/>
      <c r="AA1699" s="160"/>
      <c r="AB1699" s="160"/>
    </row>
    <row r="1700">
      <c r="A1700" s="176"/>
      <c r="B1700" s="269"/>
      <c r="C1700" s="269"/>
      <c r="D1700" s="149"/>
      <c r="E1700" s="150"/>
      <c r="F1700" s="150"/>
      <c r="G1700" s="270"/>
      <c r="H1700" s="165"/>
      <c r="I1700" s="165"/>
      <c r="J1700" s="150"/>
      <c r="K1700" s="160"/>
      <c r="L1700" s="160"/>
      <c r="M1700" s="160"/>
      <c r="N1700" s="160"/>
      <c r="O1700" s="160"/>
      <c r="P1700" s="160"/>
      <c r="Q1700" s="160"/>
      <c r="R1700" s="160"/>
      <c r="S1700" s="160"/>
      <c r="T1700" s="160"/>
      <c r="U1700" s="160"/>
      <c r="V1700" s="160"/>
      <c r="W1700" s="160"/>
      <c r="X1700" s="160"/>
      <c r="Y1700" s="160"/>
      <c r="Z1700" s="160"/>
      <c r="AA1700" s="160"/>
      <c r="AB1700" s="160"/>
    </row>
    <row r="1701">
      <c r="A1701" s="176"/>
      <c r="B1701" s="269"/>
      <c r="C1701" s="269"/>
      <c r="D1701" s="149"/>
      <c r="E1701" s="150"/>
      <c r="F1701" s="150"/>
      <c r="G1701" s="270"/>
      <c r="H1701" s="165"/>
      <c r="I1701" s="165"/>
      <c r="J1701" s="150"/>
      <c r="K1701" s="160"/>
      <c r="L1701" s="160"/>
      <c r="M1701" s="160"/>
      <c r="N1701" s="160"/>
      <c r="O1701" s="160"/>
      <c r="P1701" s="160"/>
      <c r="Q1701" s="160"/>
      <c r="R1701" s="160"/>
      <c r="S1701" s="160"/>
      <c r="T1701" s="160"/>
      <c r="U1701" s="160"/>
      <c r="V1701" s="160"/>
      <c r="W1701" s="160"/>
      <c r="X1701" s="160"/>
      <c r="Y1701" s="160"/>
      <c r="Z1701" s="160"/>
      <c r="AA1701" s="160"/>
      <c r="AB1701" s="160"/>
    </row>
    <row r="1702">
      <c r="A1702" s="176"/>
      <c r="B1702" s="269"/>
      <c r="C1702" s="269"/>
      <c r="D1702" s="149"/>
      <c r="E1702" s="150"/>
      <c r="F1702" s="150"/>
      <c r="G1702" s="270"/>
      <c r="H1702" s="165"/>
      <c r="I1702" s="165"/>
      <c r="J1702" s="150"/>
      <c r="K1702" s="160"/>
      <c r="L1702" s="160"/>
      <c r="M1702" s="160"/>
      <c r="N1702" s="160"/>
      <c r="O1702" s="160"/>
      <c r="P1702" s="160"/>
      <c r="Q1702" s="160"/>
      <c r="R1702" s="160"/>
      <c r="S1702" s="160"/>
      <c r="T1702" s="160"/>
      <c r="U1702" s="160"/>
      <c r="V1702" s="160"/>
      <c r="W1702" s="160"/>
      <c r="X1702" s="160"/>
      <c r="Y1702" s="160"/>
      <c r="Z1702" s="160"/>
      <c r="AA1702" s="160"/>
      <c r="AB1702" s="160"/>
    </row>
    <row r="1703">
      <c r="A1703" s="176"/>
      <c r="B1703" s="269"/>
      <c r="C1703" s="269"/>
      <c r="D1703" s="149"/>
      <c r="E1703" s="150"/>
      <c r="F1703" s="150"/>
      <c r="G1703" s="270"/>
      <c r="H1703" s="165"/>
      <c r="I1703" s="165"/>
      <c r="J1703" s="150"/>
      <c r="K1703" s="160"/>
      <c r="L1703" s="160"/>
      <c r="M1703" s="160"/>
      <c r="N1703" s="160"/>
      <c r="O1703" s="160"/>
      <c r="P1703" s="160"/>
      <c r="Q1703" s="160"/>
      <c r="R1703" s="160"/>
      <c r="S1703" s="160"/>
      <c r="T1703" s="160"/>
      <c r="U1703" s="160"/>
      <c r="V1703" s="160"/>
      <c r="W1703" s="160"/>
      <c r="X1703" s="160"/>
      <c r="Y1703" s="160"/>
      <c r="Z1703" s="160"/>
      <c r="AA1703" s="160"/>
      <c r="AB1703" s="160"/>
    </row>
    <row r="1704">
      <c r="A1704" s="176"/>
      <c r="B1704" s="269"/>
      <c r="C1704" s="269"/>
      <c r="D1704" s="149"/>
      <c r="E1704" s="150"/>
      <c r="F1704" s="150"/>
      <c r="G1704" s="270"/>
      <c r="H1704" s="165"/>
      <c r="I1704" s="165"/>
      <c r="J1704" s="150"/>
      <c r="K1704" s="160"/>
      <c r="L1704" s="160"/>
      <c r="M1704" s="160"/>
      <c r="N1704" s="160"/>
      <c r="O1704" s="160"/>
      <c r="P1704" s="160"/>
      <c r="Q1704" s="160"/>
      <c r="R1704" s="160"/>
      <c r="S1704" s="160"/>
      <c r="T1704" s="160"/>
      <c r="U1704" s="160"/>
      <c r="V1704" s="160"/>
      <c r="W1704" s="160"/>
      <c r="X1704" s="160"/>
      <c r="Y1704" s="160"/>
      <c r="Z1704" s="160"/>
      <c r="AA1704" s="160"/>
      <c r="AB1704" s="160"/>
    </row>
    <row r="1705">
      <c r="A1705" s="176"/>
      <c r="B1705" s="269"/>
      <c r="C1705" s="269"/>
      <c r="D1705" s="149"/>
      <c r="E1705" s="150"/>
      <c r="F1705" s="150"/>
      <c r="G1705" s="270"/>
      <c r="H1705" s="165"/>
      <c r="I1705" s="165"/>
      <c r="J1705" s="150"/>
      <c r="K1705" s="160"/>
      <c r="L1705" s="160"/>
      <c r="M1705" s="160"/>
      <c r="N1705" s="160"/>
      <c r="O1705" s="160"/>
      <c r="P1705" s="160"/>
      <c r="Q1705" s="160"/>
      <c r="R1705" s="160"/>
      <c r="S1705" s="160"/>
      <c r="T1705" s="160"/>
      <c r="U1705" s="160"/>
      <c r="V1705" s="160"/>
      <c r="W1705" s="160"/>
      <c r="X1705" s="160"/>
      <c r="Y1705" s="160"/>
      <c r="Z1705" s="160"/>
      <c r="AA1705" s="160"/>
      <c r="AB1705" s="160"/>
    </row>
    <row r="1706">
      <c r="A1706" s="176"/>
      <c r="B1706" s="269"/>
      <c r="C1706" s="269"/>
      <c r="D1706" s="149"/>
      <c r="E1706" s="150"/>
      <c r="F1706" s="150"/>
      <c r="G1706" s="270"/>
      <c r="H1706" s="165"/>
      <c r="I1706" s="165"/>
      <c r="J1706" s="150"/>
      <c r="K1706" s="160"/>
      <c r="L1706" s="160"/>
      <c r="M1706" s="160"/>
      <c r="N1706" s="160"/>
      <c r="O1706" s="160"/>
      <c r="P1706" s="160"/>
      <c r="Q1706" s="160"/>
      <c r="R1706" s="160"/>
      <c r="S1706" s="160"/>
      <c r="T1706" s="160"/>
      <c r="U1706" s="160"/>
      <c r="V1706" s="160"/>
      <c r="W1706" s="160"/>
      <c r="X1706" s="160"/>
      <c r="Y1706" s="160"/>
      <c r="Z1706" s="160"/>
      <c r="AA1706" s="160"/>
      <c r="AB1706" s="160"/>
    </row>
    <row r="1707">
      <c r="A1707" s="176"/>
      <c r="B1707" s="269"/>
      <c r="C1707" s="269"/>
      <c r="D1707" s="149"/>
      <c r="E1707" s="150"/>
      <c r="F1707" s="150"/>
      <c r="G1707" s="270"/>
      <c r="H1707" s="165"/>
      <c r="I1707" s="165"/>
      <c r="J1707" s="150"/>
      <c r="K1707" s="160"/>
      <c r="L1707" s="160"/>
      <c r="M1707" s="160"/>
      <c r="N1707" s="160"/>
      <c r="O1707" s="160"/>
      <c r="P1707" s="160"/>
      <c r="Q1707" s="160"/>
      <c r="R1707" s="160"/>
      <c r="S1707" s="160"/>
      <c r="T1707" s="160"/>
      <c r="U1707" s="160"/>
      <c r="V1707" s="160"/>
      <c r="W1707" s="160"/>
      <c r="X1707" s="160"/>
      <c r="Y1707" s="160"/>
      <c r="Z1707" s="160"/>
      <c r="AA1707" s="160"/>
      <c r="AB1707" s="160"/>
    </row>
    <row r="1708">
      <c r="A1708" s="176"/>
      <c r="B1708" s="269"/>
      <c r="C1708" s="269"/>
      <c r="D1708" s="149"/>
      <c r="E1708" s="150"/>
      <c r="F1708" s="150"/>
      <c r="G1708" s="270"/>
      <c r="H1708" s="165"/>
      <c r="I1708" s="165"/>
      <c r="J1708" s="150"/>
      <c r="K1708" s="160"/>
      <c r="L1708" s="160"/>
      <c r="M1708" s="160"/>
      <c r="N1708" s="160"/>
      <c r="O1708" s="160"/>
      <c r="P1708" s="160"/>
      <c r="Q1708" s="160"/>
      <c r="R1708" s="160"/>
      <c r="S1708" s="160"/>
      <c r="T1708" s="160"/>
      <c r="U1708" s="160"/>
      <c r="V1708" s="160"/>
      <c r="W1708" s="160"/>
      <c r="X1708" s="160"/>
      <c r="Y1708" s="160"/>
      <c r="Z1708" s="160"/>
      <c r="AA1708" s="160"/>
      <c r="AB1708" s="160"/>
    </row>
    <row r="1709">
      <c r="A1709" s="176"/>
      <c r="B1709" s="269"/>
      <c r="C1709" s="269"/>
      <c r="D1709" s="149"/>
      <c r="E1709" s="150"/>
      <c r="F1709" s="150"/>
      <c r="G1709" s="270"/>
      <c r="H1709" s="165"/>
      <c r="I1709" s="165"/>
      <c r="J1709" s="150"/>
      <c r="K1709" s="160"/>
      <c r="L1709" s="160"/>
      <c r="M1709" s="160"/>
      <c r="N1709" s="160"/>
      <c r="O1709" s="160"/>
      <c r="P1709" s="160"/>
      <c r="Q1709" s="160"/>
      <c r="R1709" s="160"/>
      <c r="S1709" s="160"/>
      <c r="T1709" s="160"/>
      <c r="U1709" s="160"/>
      <c r="V1709" s="160"/>
      <c r="W1709" s="160"/>
      <c r="X1709" s="160"/>
      <c r="Y1709" s="160"/>
      <c r="Z1709" s="160"/>
      <c r="AA1709" s="160"/>
      <c r="AB1709" s="160"/>
    </row>
    <row r="1710">
      <c r="A1710" s="176"/>
      <c r="B1710" s="269"/>
      <c r="C1710" s="269"/>
      <c r="D1710" s="149"/>
      <c r="E1710" s="150"/>
      <c r="F1710" s="150"/>
      <c r="G1710" s="270"/>
      <c r="H1710" s="165"/>
      <c r="I1710" s="165"/>
      <c r="J1710" s="150"/>
      <c r="K1710" s="160"/>
      <c r="L1710" s="160"/>
      <c r="M1710" s="160"/>
      <c r="N1710" s="160"/>
      <c r="O1710" s="160"/>
      <c r="P1710" s="160"/>
      <c r="Q1710" s="160"/>
      <c r="R1710" s="160"/>
      <c r="S1710" s="160"/>
      <c r="T1710" s="160"/>
      <c r="U1710" s="160"/>
      <c r="V1710" s="160"/>
      <c r="W1710" s="160"/>
      <c r="X1710" s="160"/>
      <c r="Y1710" s="160"/>
      <c r="Z1710" s="160"/>
      <c r="AA1710" s="160"/>
      <c r="AB1710" s="160"/>
    </row>
    <row r="1711">
      <c r="A1711" s="176"/>
      <c r="B1711" s="269"/>
      <c r="C1711" s="269"/>
      <c r="D1711" s="149"/>
      <c r="E1711" s="150"/>
      <c r="F1711" s="150"/>
      <c r="G1711" s="270"/>
      <c r="H1711" s="165"/>
      <c r="I1711" s="165"/>
      <c r="J1711" s="150"/>
      <c r="K1711" s="160"/>
      <c r="L1711" s="160"/>
      <c r="M1711" s="160"/>
      <c r="N1711" s="160"/>
      <c r="O1711" s="160"/>
      <c r="P1711" s="160"/>
      <c r="Q1711" s="160"/>
      <c r="R1711" s="160"/>
      <c r="S1711" s="160"/>
      <c r="T1711" s="160"/>
      <c r="U1711" s="160"/>
      <c r="V1711" s="160"/>
      <c r="W1711" s="160"/>
      <c r="X1711" s="160"/>
      <c r="Y1711" s="160"/>
      <c r="Z1711" s="160"/>
      <c r="AA1711" s="160"/>
      <c r="AB1711" s="160"/>
    </row>
    <row r="1712">
      <c r="A1712" s="176"/>
      <c r="B1712" s="269"/>
      <c r="C1712" s="269"/>
      <c r="D1712" s="149"/>
      <c r="E1712" s="150"/>
      <c r="F1712" s="150"/>
      <c r="G1712" s="270"/>
      <c r="H1712" s="165"/>
      <c r="I1712" s="165"/>
      <c r="J1712" s="150"/>
      <c r="K1712" s="160"/>
      <c r="L1712" s="160"/>
      <c r="M1712" s="160"/>
      <c r="N1712" s="160"/>
      <c r="O1712" s="160"/>
      <c r="P1712" s="160"/>
      <c r="Q1712" s="160"/>
      <c r="R1712" s="160"/>
      <c r="S1712" s="160"/>
      <c r="T1712" s="160"/>
      <c r="U1712" s="160"/>
      <c r="V1712" s="160"/>
      <c r="W1712" s="160"/>
      <c r="X1712" s="160"/>
      <c r="Y1712" s="160"/>
      <c r="Z1712" s="160"/>
      <c r="AA1712" s="160"/>
      <c r="AB1712" s="160"/>
    </row>
    <row r="1713">
      <c r="A1713" s="176"/>
      <c r="B1713" s="269"/>
      <c r="C1713" s="269"/>
      <c r="D1713" s="149"/>
      <c r="E1713" s="150"/>
      <c r="F1713" s="150"/>
      <c r="G1713" s="270"/>
      <c r="H1713" s="165"/>
      <c r="I1713" s="165"/>
      <c r="J1713" s="150"/>
      <c r="K1713" s="160"/>
      <c r="L1713" s="160"/>
      <c r="M1713" s="160"/>
      <c r="N1713" s="160"/>
      <c r="O1713" s="160"/>
      <c r="P1713" s="160"/>
      <c r="Q1713" s="160"/>
      <c r="R1713" s="160"/>
      <c r="S1713" s="160"/>
      <c r="T1713" s="160"/>
      <c r="U1713" s="160"/>
      <c r="V1713" s="160"/>
      <c r="W1713" s="160"/>
      <c r="X1713" s="160"/>
      <c r="Y1713" s="160"/>
      <c r="Z1713" s="160"/>
      <c r="AA1713" s="160"/>
      <c r="AB1713" s="160"/>
    </row>
    <row r="1714">
      <c r="A1714" s="176"/>
      <c r="B1714" s="269"/>
      <c r="C1714" s="269"/>
      <c r="D1714" s="149"/>
      <c r="E1714" s="150"/>
      <c r="F1714" s="150"/>
      <c r="G1714" s="270"/>
      <c r="H1714" s="165"/>
      <c r="I1714" s="165"/>
      <c r="J1714" s="150"/>
      <c r="K1714" s="160"/>
      <c r="L1714" s="160"/>
      <c r="M1714" s="160"/>
      <c r="N1714" s="160"/>
      <c r="O1714" s="160"/>
      <c r="P1714" s="160"/>
      <c r="Q1714" s="160"/>
      <c r="R1714" s="160"/>
      <c r="S1714" s="160"/>
      <c r="T1714" s="160"/>
      <c r="U1714" s="160"/>
      <c r="V1714" s="160"/>
      <c r="W1714" s="160"/>
      <c r="X1714" s="160"/>
      <c r="Y1714" s="160"/>
      <c r="Z1714" s="160"/>
      <c r="AA1714" s="160"/>
      <c r="AB1714" s="160"/>
    </row>
    <row r="1715">
      <c r="A1715" s="176"/>
      <c r="B1715" s="269"/>
      <c r="C1715" s="269"/>
      <c r="D1715" s="149"/>
      <c r="E1715" s="150"/>
      <c r="F1715" s="150"/>
      <c r="G1715" s="270"/>
      <c r="H1715" s="165"/>
      <c r="I1715" s="165"/>
      <c r="J1715" s="150"/>
      <c r="K1715" s="160"/>
      <c r="L1715" s="160"/>
      <c r="M1715" s="160"/>
      <c r="N1715" s="160"/>
      <c r="O1715" s="160"/>
      <c r="P1715" s="160"/>
      <c r="Q1715" s="160"/>
      <c r="R1715" s="160"/>
      <c r="S1715" s="160"/>
      <c r="T1715" s="160"/>
      <c r="U1715" s="160"/>
      <c r="V1715" s="160"/>
      <c r="W1715" s="160"/>
      <c r="X1715" s="160"/>
      <c r="Y1715" s="160"/>
      <c r="Z1715" s="160"/>
      <c r="AA1715" s="160"/>
      <c r="AB1715" s="160"/>
    </row>
    <row r="1716">
      <c r="A1716" s="176"/>
      <c r="B1716" s="269"/>
      <c r="C1716" s="269"/>
      <c r="D1716" s="149"/>
      <c r="E1716" s="150"/>
      <c r="F1716" s="150"/>
      <c r="G1716" s="270"/>
      <c r="H1716" s="165"/>
      <c r="I1716" s="165"/>
      <c r="J1716" s="150"/>
      <c r="K1716" s="160"/>
      <c r="L1716" s="160"/>
      <c r="M1716" s="160"/>
      <c r="N1716" s="160"/>
      <c r="O1716" s="160"/>
      <c r="P1716" s="160"/>
      <c r="Q1716" s="160"/>
      <c r="R1716" s="160"/>
      <c r="S1716" s="160"/>
      <c r="T1716" s="160"/>
      <c r="U1716" s="160"/>
      <c r="V1716" s="160"/>
      <c r="W1716" s="160"/>
      <c r="X1716" s="160"/>
      <c r="Y1716" s="160"/>
      <c r="Z1716" s="160"/>
      <c r="AA1716" s="160"/>
      <c r="AB1716" s="160"/>
    </row>
    <row r="1717">
      <c r="A1717" s="176"/>
      <c r="B1717" s="269"/>
      <c r="C1717" s="269"/>
      <c r="D1717" s="149"/>
      <c r="E1717" s="150"/>
      <c r="F1717" s="150"/>
      <c r="G1717" s="270"/>
      <c r="H1717" s="165"/>
      <c r="I1717" s="165"/>
      <c r="J1717" s="150"/>
      <c r="K1717" s="160"/>
      <c r="L1717" s="160"/>
      <c r="M1717" s="160"/>
      <c r="N1717" s="160"/>
      <c r="O1717" s="160"/>
      <c r="P1717" s="160"/>
      <c r="Q1717" s="160"/>
      <c r="R1717" s="160"/>
      <c r="S1717" s="160"/>
      <c r="T1717" s="160"/>
      <c r="U1717" s="160"/>
      <c r="V1717" s="160"/>
      <c r="W1717" s="160"/>
      <c r="X1717" s="160"/>
      <c r="Y1717" s="160"/>
      <c r="Z1717" s="160"/>
      <c r="AA1717" s="160"/>
      <c r="AB1717" s="160"/>
    </row>
    <row r="1718">
      <c r="A1718" s="176"/>
      <c r="B1718" s="269"/>
      <c r="C1718" s="269"/>
      <c r="D1718" s="149"/>
      <c r="E1718" s="150"/>
      <c r="F1718" s="150"/>
      <c r="G1718" s="270"/>
      <c r="H1718" s="165"/>
      <c r="I1718" s="165"/>
      <c r="J1718" s="150"/>
      <c r="K1718" s="160"/>
      <c r="L1718" s="160"/>
      <c r="M1718" s="160"/>
      <c r="N1718" s="160"/>
      <c r="O1718" s="160"/>
      <c r="P1718" s="160"/>
      <c r="Q1718" s="160"/>
      <c r="R1718" s="160"/>
      <c r="S1718" s="160"/>
      <c r="T1718" s="160"/>
      <c r="U1718" s="160"/>
      <c r="V1718" s="160"/>
      <c r="W1718" s="160"/>
      <c r="X1718" s="160"/>
      <c r="Y1718" s="160"/>
      <c r="Z1718" s="160"/>
      <c r="AA1718" s="160"/>
      <c r="AB1718" s="160"/>
    </row>
    <row r="1719">
      <c r="A1719" s="176"/>
      <c r="B1719" s="269"/>
      <c r="C1719" s="269"/>
      <c r="D1719" s="149"/>
      <c r="E1719" s="150"/>
      <c r="F1719" s="150"/>
      <c r="G1719" s="270"/>
      <c r="H1719" s="165"/>
      <c r="I1719" s="165"/>
      <c r="J1719" s="150"/>
      <c r="K1719" s="160"/>
      <c r="L1719" s="160"/>
      <c r="M1719" s="160"/>
      <c r="N1719" s="160"/>
      <c r="O1719" s="160"/>
      <c r="P1719" s="160"/>
      <c r="Q1719" s="160"/>
      <c r="R1719" s="160"/>
      <c r="S1719" s="160"/>
      <c r="T1719" s="160"/>
      <c r="U1719" s="160"/>
      <c r="V1719" s="160"/>
      <c r="W1719" s="160"/>
      <c r="X1719" s="160"/>
      <c r="Y1719" s="160"/>
      <c r="Z1719" s="160"/>
      <c r="AA1719" s="160"/>
      <c r="AB1719" s="160"/>
    </row>
    <row r="1720">
      <c r="A1720" s="176"/>
      <c r="B1720" s="269"/>
      <c r="C1720" s="269"/>
      <c r="D1720" s="149"/>
      <c r="E1720" s="150"/>
      <c r="F1720" s="150"/>
      <c r="G1720" s="270"/>
      <c r="H1720" s="165"/>
      <c r="I1720" s="165"/>
      <c r="J1720" s="150"/>
      <c r="K1720" s="160"/>
      <c r="L1720" s="160"/>
      <c r="M1720" s="160"/>
      <c r="N1720" s="160"/>
      <c r="O1720" s="160"/>
      <c r="P1720" s="160"/>
      <c r="Q1720" s="160"/>
      <c r="R1720" s="160"/>
      <c r="S1720" s="160"/>
      <c r="T1720" s="160"/>
      <c r="U1720" s="160"/>
      <c r="V1720" s="160"/>
      <c r="W1720" s="160"/>
      <c r="X1720" s="160"/>
      <c r="Y1720" s="160"/>
      <c r="Z1720" s="160"/>
      <c r="AA1720" s="160"/>
      <c r="AB1720" s="160"/>
    </row>
    <row r="1721">
      <c r="A1721" s="176"/>
      <c r="B1721" s="269"/>
      <c r="C1721" s="269"/>
      <c r="D1721" s="149"/>
      <c r="E1721" s="150"/>
      <c r="F1721" s="150"/>
      <c r="G1721" s="270"/>
      <c r="H1721" s="165"/>
      <c r="I1721" s="165"/>
      <c r="J1721" s="150"/>
      <c r="K1721" s="160"/>
      <c r="L1721" s="160"/>
      <c r="M1721" s="160"/>
      <c r="N1721" s="160"/>
      <c r="O1721" s="160"/>
      <c r="P1721" s="160"/>
      <c r="Q1721" s="160"/>
      <c r="R1721" s="160"/>
      <c r="S1721" s="160"/>
      <c r="T1721" s="160"/>
      <c r="U1721" s="160"/>
      <c r="V1721" s="160"/>
      <c r="W1721" s="160"/>
      <c r="X1721" s="160"/>
      <c r="Y1721" s="160"/>
      <c r="Z1721" s="160"/>
      <c r="AA1721" s="160"/>
      <c r="AB1721" s="160"/>
    </row>
    <row r="1722">
      <c r="A1722" s="176"/>
      <c r="B1722" s="269"/>
      <c r="C1722" s="269"/>
      <c r="D1722" s="149"/>
      <c r="E1722" s="150"/>
      <c r="F1722" s="150"/>
      <c r="G1722" s="270"/>
      <c r="H1722" s="165"/>
      <c r="I1722" s="165"/>
      <c r="J1722" s="150"/>
      <c r="K1722" s="160"/>
      <c r="L1722" s="160"/>
      <c r="M1722" s="160"/>
      <c r="N1722" s="160"/>
      <c r="O1722" s="160"/>
      <c r="P1722" s="160"/>
      <c r="Q1722" s="160"/>
      <c r="R1722" s="160"/>
      <c r="S1722" s="160"/>
      <c r="T1722" s="160"/>
      <c r="U1722" s="160"/>
      <c r="V1722" s="160"/>
      <c r="W1722" s="160"/>
      <c r="X1722" s="160"/>
      <c r="Y1722" s="160"/>
      <c r="Z1722" s="160"/>
      <c r="AA1722" s="160"/>
      <c r="AB1722" s="160"/>
    </row>
    <row r="1723">
      <c r="A1723" s="176"/>
      <c r="B1723" s="269"/>
      <c r="C1723" s="269"/>
      <c r="D1723" s="149"/>
      <c r="E1723" s="150"/>
      <c r="F1723" s="150"/>
      <c r="G1723" s="270"/>
      <c r="H1723" s="165"/>
      <c r="I1723" s="165"/>
      <c r="J1723" s="150"/>
      <c r="K1723" s="160"/>
      <c r="L1723" s="160"/>
      <c r="M1723" s="160"/>
      <c r="N1723" s="160"/>
      <c r="O1723" s="160"/>
      <c r="P1723" s="160"/>
      <c r="Q1723" s="160"/>
      <c r="R1723" s="160"/>
      <c r="S1723" s="160"/>
      <c r="T1723" s="160"/>
      <c r="U1723" s="160"/>
      <c r="V1723" s="160"/>
      <c r="W1723" s="160"/>
      <c r="X1723" s="160"/>
      <c r="Y1723" s="160"/>
      <c r="Z1723" s="160"/>
      <c r="AA1723" s="160"/>
      <c r="AB1723" s="160"/>
    </row>
    <row r="1724">
      <c r="A1724" s="176"/>
      <c r="B1724" s="269"/>
      <c r="C1724" s="269"/>
      <c r="D1724" s="149"/>
      <c r="E1724" s="150"/>
      <c r="F1724" s="150"/>
      <c r="G1724" s="270"/>
      <c r="H1724" s="165"/>
      <c r="I1724" s="165"/>
      <c r="J1724" s="150"/>
      <c r="K1724" s="160"/>
      <c r="L1724" s="160"/>
      <c r="M1724" s="160"/>
      <c r="N1724" s="160"/>
      <c r="O1724" s="160"/>
      <c r="P1724" s="160"/>
      <c r="Q1724" s="160"/>
      <c r="R1724" s="160"/>
      <c r="S1724" s="160"/>
      <c r="T1724" s="160"/>
      <c r="U1724" s="160"/>
      <c r="V1724" s="160"/>
      <c r="W1724" s="160"/>
      <c r="X1724" s="160"/>
      <c r="Y1724" s="160"/>
      <c r="Z1724" s="160"/>
      <c r="AA1724" s="160"/>
      <c r="AB1724" s="160"/>
    </row>
    <row r="1725">
      <c r="A1725" s="176"/>
      <c r="B1725" s="269"/>
      <c r="C1725" s="269"/>
      <c r="D1725" s="149"/>
      <c r="E1725" s="150"/>
      <c r="F1725" s="150"/>
      <c r="G1725" s="270"/>
      <c r="H1725" s="165"/>
      <c r="I1725" s="165"/>
      <c r="J1725" s="150"/>
      <c r="K1725" s="160"/>
      <c r="L1725" s="160"/>
      <c r="M1725" s="160"/>
      <c r="N1725" s="160"/>
      <c r="O1725" s="160"/>
      <c r="P1725" s="160"/>
      <c r="Q1725" s="160"/>
      <c r="R1725" s="160"/>
      <c r="S1725" s="160"/>
      <c r="T1725" s="160"/>
      <c r="U1725" s="160"/>
      <c r="V1725" s="160"/>
      <c r="W1725" s="160"/>
      <c r="X1725" s="160"/>
      <c r="Y1725" s="160"/>
      <c r="Z1725" s="160"/>
      <c r="AA1725" s="160"/>
      <c r="AB1725" s="160"/>
    </row>
    <row r="1726">
      <c r="A1726" s="176"/>
      <c r="B1726" s="269"/>
      <c r="C1726" s="269"/>
      <c r="D1726" s="149"/>
      <c r="E1726" s="150"/>
      <c r="F1726" s="150"/>
      <c r="G1726" s="270"/>
      <c r="H1726" s="165"/>
      <c r="I1726" s="165"/>
      <c r="J1726" s="150"/>
      <c r="K1726" s="160"/>
      <c r="L1726" s="160"/>
      <c r="M1726" s="160"/>
      <c r="N1726" s="160"/>
      <c r="O1726" s="160"/>
      <c r="P1726" s="160"/>
      <c r="Q1726" s="160"/>
      <c r="R1726" s="160"/>
      <c r="S1726" s="160"/>
      <c r="T1726" s="160"/>
      <c r="U1726" s="160"/>
      <c r="V1726" s="160"/>
      <c r="W1726" s="160"/>
      <c r="X1726" s="160"/>
      <c r="Y1726" s="160"/>
      <c r="Z1726" s="160"/>
      <c r="AA1726" s="160"/>
      <c r="AB1726" s="160"/>
    </row>
    <row r="1727">
      <c r="A1727" s="176"/>
      <c r="B1727" s="269"/>
      <c r="C1727" s="269"/>
      <c r="D1727" s="149"/>
      <c r="E1727" s="150"/>
      <c r="F1727" s="150"/>
      <c r="G1727" s="270"/>
      <c r="H1727" s="165"/>
      <c r="I1727" s="165"/>
      <c r="J1727" s="150"/>
      <c r="K1727" s="160"/>
      <c r="L1727" s="160"/>
      <c r="M1727" s="160"/>
      <c r="N1727" s="160"/>
      <c r="O1727" s="160"/>
      <c r="P1727" s="160"/>
      <c r="Q1727" s="160"/>
      <c r="R1727" s="160"/>
      <c r="S1727" s="160"/>
      <c r="T1727" s="160"/>
      <c r="U1727" s="160"/>
      <c r="V1727" s="160"/>
      <c r="W1727" s="160"/>
      <c r="X1727" s="160"/>
      <c r="Y1727" s="160"/>
      <c r="Z1727" s="160"/>
      <c r="AA1727" s="160"/>
      <c r="AB1727" s="160"/>
    </row>
    <row r="1728">
      <c r="A1728" s="176"/>
      <c r="B1728" s="269"/>
      <c r="C1728" s="269"/>
      <c r="D1728" s="149"/>
      <c r="E1728" s="150"/>
      <c r="F1728" s="150"/>
      <c r="G1728" s="270"/>
      <c r="H1728" s="165"/>
      <c r="I1728" s="165"/>
      <c r="J1728" s="150"/>
      <c r="K1728" s="160"/>
      <c r="L1728" s="160"/>
      <c r="M1728" s="160"/>
      <c r="N1728" s="160"/>
      <c r="O1728" s="160"/>
      <c r="P1728" s="160"/>
      <c r="Q1728" s="160"/>
      <c r="R1728" s="160"/>
      <c r="S1728" s="160"/>
      <c r="T1728" s="160"/>
      <c r="U1728" s="160"/>
      <c r="V1728" s="160"/>
      <c r="W1728" s="160"/>
      <c r="X1728" s="160"/>
      <c r="Y1728" s="160"/>
      <c r="Z1728" s="160"/>
      <c r="AA1728" s="160"/>
      <c r="AB1728" s="160"/>
    </row>
    <row r="1729">
      <c r="A1729" s="176"/>
      <c r="B1729" s="269"/>
      <c r="C1729" s="269"/>
      <c r="D1729" s="149"/>
      <c r="E1729" s="150"/>
      <c r="F1729" s="150"/>
      <c r="G1729" s="270"/>
      <c r="H1729" s="165"/>
      <c r="I1729" s="165"/>
      <c r="J1729" s="150"/>
      <c r="K1729" s="160"/>
      <c r="L1729" s="160"/>
      <c r="M1729" s="160"/>
      <c r="N1729" s="160"/>
      <c r="O1729" s="160"/>
      <c r="P1729" s="160"/>
      <c r="Q1729" s="160"/>
      <c r="R1729" s="160"/>
      <c r="S1729" s="160"/>
      <c r="T1729" s="160"/>
      <c r="U1729" s="160"/>
      <c r="V1729" s="160"/>
      <c r="W1729" s="160"/>
      <c r="X1729" s="160"/>
      <c r="Y1729" s="160"/>
      <c r="Z1729" s="160"/>
      <c r="AA1729" s="160"/>
      <c r="AB1729" s="160"/>
    </row>
    <row r="1730">
      <c r="A1730" s="176"/>
      <c r="B1730" s="269"/>
      <c r="C1730" s="269"/>
      <c r="D1730" s="149"/>
      <c r="E1730" s="150"/>
      <c r="F1730" s="150"/>
      <c r="G1730" s="270"/>
      <c r="H1730" s="165"/>
      <c r="I1730" s="165"/>
      <c r="J1730" s="150"/>
      <c r="K1730" s="160"/>
      <c r="L1730" s="160"/>
      <c r="M1730" s="160"/>
      <c r="N1730" s="160"/>
      <c r="O1730" s="160"/>
      <c r="P1730" s="160"/>
      <c r="Q1730" s="160"/>
      <c r="R1730" s="160"/>
      <c r="S1730" s="160"/>
      <c r="T1730" s="160"/>
      <c r="U1730" s="160"/>
      <c r="V1730" s="160"/>
      <c r="W1730" s="160"/>
      <c r="X1730" s="160"/>
      <c r="Y1730" s="160"/>
      <c r="Z1730" s="160"/>
      <c r="AA1730" s="160"/>
      <c r="AB1730" s="160"/>
    </row>
    <row r="1731">
      <c r="A1731" s="176"/>
      <c r="B1731" s="269"/>
      <c r="C1731" s="269"/>
      <c r="D1731" s="149"/>
      <c r="E1731" s="150"/>
      <c r="F1731" s="150"/>
      <c r="G1731" s="270"/>
      <c r="H1731" s="165"/>
      <c r="I1731" s="165"/>
      <c r="J1731" s="150"/>
      <c r="K1731" s="160"/>
      <c r="L1731" s="160"/>
      <c r="M1731" s="160"/>
      <c r="N1731" s="160"/>
      <c r="O1731" s="160"/>
      <c r="P1731" s="160"/>
      <c r="Q1731" s="160"/>
      <c r="R1731" s="160"/>
      <c r="S1731" s="160"/>
      <c r="T1731" s="160"/>
      <c r="U1731" s="160"/>
      <c r="V1731" s="160"/>
      <c r="W1731" s="160"/>
      <c r="X1731" s="160"/>
      <c r="Y1731" s="160"/>
      <c r="Z1731" s="160"/>
      <c r="AA1731" s="160"/>
      <c r="AB1731" s="160"/>
    </row>
    <row r="1732">
      <c r="A1732" s="176"/>
      <c r="B1732" s="269"/>
      <c r="C1732" s="269"/>
      <c r="D1732" s="149"/>
      <c r="E1732" s="150"/>
      <c r="F1732" s="150"/>
      <c r="G1732" s="270"/>
      <c r="H1732" s="165"/>
      <c r="I1732" s="165"/>
      <c r="J1732" s="150"/>
      <c r="K1732" s="160"/>
      <c r="L1732" s="160"/>
      <c r="M1732" s="160"/>
      <c r="N1732" s="160"/>
      <c r="O1732" s="160"/>
      <c r="P1732" s="160"/>
      <c r="Q1732" s="160"/>
      <c r="R1732" s="160"/>
      <c r="S1732" s="160"/>
      <c r="T1732" s="160"/>
      <c r="U1732" s="160"/>
      <c r="V1732" s="160"/>
      <c r="W1732" s="160"/>
      <c r="X1732" s="160"/>
      <c r="Y1732" s="160"/>
      <c r="Z1732" s="160"/>
      <c r="AA1732" s="160"/>
      <c r="AB1732" s="160"/>
    </row>
    <row r="1733">
      <c r="A1733" s="176"/>
      <c r="B1733" s="269"/>
      <c r="C1733" s="269"/>
      <c r="D1733" s="149"/>
      <c r="E1733" s="150"/>
      <c r="F1733" s="150"/>
      <c r="G1733" s="270"/>
      <c r="H1733" s="165"/>
      <c r="I1733" s="165"/>
      <c r="J1733" s="150"/>
      <c r="K1733" s="160"/>
      <c r="L1733" s="160"/>
      <c r="M1733" s="160"/>
      <c r="N1733" s="160"/>
      <c r="O1733" s="160"/>
      <c r="P1733" s="160"/>
      <c r="Q1733" s="160"/>
      <c r="R1733" s="160"/>
      <c r="S1733" s="160"/>
      <c r="T1733" s="160"/>
      <c r="U1733" s="160"/>
      <c r="V1733" s="160"/>
      <c r="W1733" s="160"/>
      <c r="X1733" s="160"/>
      <c r="Y1733" s="160"/>
      <c r="Z1733" s="160"/>
      <c r="AA1733" s="160"/>
      <c r="AB1733" s="160"/>
    </row>
    <row r="1734">
      <c r="A1734" s="176"/>
      <c r="B1734" s="269"/>
      <c r="C1734" s="269"/>
      <c r="D1734" s="149"/>
      <c r="E1734" s="150"/>
      <c r="F1734" s="150"/>
      <c r="G1734" s="270"/>
      <c r="H1734" s="165"/>
      <c r="I1734" s="165"/>
      <c r="J1734" s="150"/>
      <c r="K1734" s="160"/>
      <c r="L1734" s="160"/>
      <c r="M1734" s="160"/>
      <c r="N1734" s="160"/>
      <c r="O1734" s="160"/>
      <c r="P1734" s="160"/>
      <c r="Q1734" s="160"/>
      <c r="R1734" s="160"/>
      <c r="S1734" s="160"/>
      <c r="T1734" s="160"/>
      <c r="U1734" s="160"/>
      <c r="V1734" s="160"/>
      <c r="W1734" s="160"/>
      <c r="X1734" s="160"/>
      <c r="Y1734" s="160"/>
      <c r="Z1734" s="160"/>
      <c r="AA1734" s="160"/>
      <c r="AB1734" s="160"/>
    </row>
    <row r="1735">
      <c r="A1735" s="176"/>
      <c r="B1735" s="269"/>
      <c r="C1735" s="269"/>
      <c r="D1735" s="149"/>
      <c r="E1735" s="150"/>
      <c r="F1735" s="150"/>
      <c r="G1735" s="270"/>
      <c r="H1735" s="165"/>
      <c r="I1735" s="165"/>
      <c r="J1735" s="150"/>
      <c r="K1735" s="160"/>
      <c r="L1735" s="160"/>
      <c r="M1735" s="160"/>
      <c r="N1735" s="160"/>
      <c r="O1735" s="160"/>
      <c r="P1735" s="160"/>
      <c r="Q1735" s="160"/>
      <c r="R1735" s="160"/>
      <c r="S1735" s="160"/>
      <c r="T1735" s="160"/>
      <c r="U1735" s="160"/>
      <c r="V1735" s="160"/>
      <c r="W1735" s="160"/>
      <c r="X1735" s="160"/>
      <c r="Y1735" s="160"/>
      <c r="Z1735" s="160"/>
      <c r="AA1735" s="160"/>
      <c r="AB1735" s="160"/>
    </row>
    <row r="1736">
      <c r="A1736" s="176"/>
      <c r="B1736" s="269"/>
      <c r="C1736" s="269"/>
      <c r="D1736" s="149"/>
      <c r="E1736" s="150"/>
      <c r="F1736" s="150"/>
      <c r="G1736" s="270"/>
      <c r="H1736" s="165"/>
      <c r="I1736" s="165"/>
      <c r="J1736" s="150"/>
      <c r="K1736" s="160"/>
      <c r="L1736" s="160"/>
      <c r="M1736" s="160"/>
      <c r="N1736" s="160"/>
      <c r="O1736" s="160"/>
      <c r="P1736" s="160"/>
      <c r="Q1736" s="160"/>
      <c r="R1736" s="160"/>
      <c r="S1736" s="160"/>
      <c r="T1736" s="160"/>
      <c r="U1736" s="160"/>
      <c r="V1736" s="160"/>
      <c r="W1736" s="160"/>
      <c r="X1736" s="160"/>
      <c r="Y1736" s="160"/>
      <c r="Z1736" s="160"/>
      <c r="AA1736" s="160"/>
      <c r="AB1736" s="160"/>
    </row>
    <row r="1737">
      <c r="A1737" s="176"/>
      <c r="B1737" s="269"/>
      <c r="C1737" s="269"/>
      <c r="D1737" s="149"/>
      <c r="E1737" s="150"/>
      <c r="F1737" s="150"/>
      <c r="G1737" s="270"/>
      <c r="H1737" s="165"/>
      <c r="I1737" s="165"/>
      <c r="J1737" s="150"/>
      <c r="K1737" s="160"/>
      <c r="L1737" s="160"/>
      <c r="M1737" s="160"/>
      <c r="N1737" s="160"/>
      <c r="O1737" s="160"/>
      <c r="P1737" s="160"/>
      <c r="Q1737" s="160"/>
      <c r="R1737" s="160"/>
      <c r="S1737" s="160"/>
      <c r="T1737" s="160"/>
      <c r="U1737" s="160"/>
      <c r="V1737" s="160"/>
      <c r="W1737" s="160"/>
      <c r="X1737" s="160"/>
      <c r="Y1737" s="160"/>
      <c r="Z1737" s="160"/>
      <c r="AA1737" s="160"/>
      <c r="AB1737" s="160"/>
    </row>
    <row r="1738">
      <c r="A1738" s="176"/>
      <c r="B1738" s="269"/>
      <c r="C1738" s="269"/>
      <c r="D1738" s="149"/>
      <c r="E1738" s="150"/>
      <c r="F1738" s="150"/>
      <c r="G1738" s="270"/>
      <c r="H1738" s="165"/>
      <c r="I1738" s="165"/>
      <c r="J1738" s="150"/>
      <c r="K1738" s="160"/>
      <c r="L1738" s="160"/>
      <c r="M1738" s="160"/>
      <c r="N1738" s="160"/>
      <c r="O1738" s="160"/>
      <c r="P1738" s="160"/>
      <c r="Q1738" s="160"/>
      <c r="R1738" s="160"/>
      <c r="S1738" s="160"/>
      <c r="T1738" s="160"/>
      <c r="U1738" s="160"/>
      <c r="V1738" s="160"/>
      <c r="W1738" s="160"/>
      <c r="X1738" s="160"/>
      <c r="Y1738" s="160"/>
      <c r="Z1738" s="160"/>
      <c r="AA1738" s="160"/>
      <c r="AB1738" s="160"/>
    </row>
    <row r="1739">
      <c r="A1739" s="176"/>
      <c r="B1739" s="269"/>
      <c r="C1739" s="269"/>
      <c r="D1739" s="149"/>
      <c r="E1739" s="150"/>
      <c r="F1739" s="150"/>
      <c r="G1739" s="270"/>
      <c r="H1739" s="165"/>
      <c r="I1739" s="165"/>
      <c r="J1739" s="150"/>
      <c r="K1739" s="160"/>
      <c r="L1739" s="160"/>
      <c r="M1739" s="160"/>
      <c r="N1739" s="160"/>
      <c r="O1739" s="160"/>
      <c r="P1739" s="160"/>
      <c r="Q1739" s="160"/>
      <c r="R1739" s="160"/>
      <c r="S1739" s="160"/>
      <c r="T1739" s="160"/>
      <c r="U1739" s="160"/>
      <c r="V1739" s="160"/>
      <c r="W1739" s="160"/>
      <c r="X1739" s="160"/>
      <c r="Y1739" s="160"/>
      <c r="Z1739" s="160"/>
      <c r="AA1739" s="160"/>
      <c r="AB1739" s="160"/>
    </row>
    <row r="1740">
      <c r="A1740" s="176"/>
      <c r="B1740" s="269"/>
      <c r="C1740" s="269"/>
      <c r="D1740" s="149"/>
      <c r="E1740" s="150"/>
      <c r="F1740" s="150"/>
      <c r="G1740" s="270"/>
      <c r="H1740" s="165"/>
      <c r="I1740" s="165"/>
      <c r="J1740" s="150"/>
      <c r="K1740" s="160"/>
      <c r="L1740" s="160"/>
      <c r="M1740" s="160"/>
      <c r="N1740" s="160"/>
      <c r="O1740" s="160"/>
      <c r="P1740" s="160"/>
      <c r="Q1740" s="160"/>
      <c r="R1740" s="160"/>
      <c r="S1740" s="160"/>
      <c r="T1740" s="160"/>
      <c r="U1740" s="160"/>
      <c r="V1740" s="160"/>
      <c r="W1740" s="160"/>
      <c r="X1740" s="160"/>
      <c r="Y1740" s="160"/>
      <c r="Z1740" s="160"/>
      <c r="AA1740" s="160"/>
      <c r="AB1740" s="160"/>
    </row>
    <row r="1741">
      <c r="A1741" s="176"/>
      <c r="B1741" s="269"/>
      <c r="C1741" s="269"/>
      <c r="D1741" s="149"/>
      <c r="E1741" s="150"/>
      <c r="F1741" s="150"/>
      <c r="G1741" s="270"/>
      <c r="H1741" s="165"/>
      <c r="I1741" s="165"/>
      <c r="J1741" s="150"/>
      <c r="K1741" s="160"/>
      <c r="L1741" s="160"/>
      <c r="M1741" s="160"/>
      <c r="N1741" s="160"/>
      <c r="O1741" s="160"/>
      <c r="P1741" s="160"/>
      <c r="Q1741" s="160"/>
      <c r="R1741" s="160"/>
      <c r="S1741" s="160"/>
      <c r="T1741" s="160"/>
      <c r="U1741" s="160"/>
      <c r="V1741" s="160"/>
      <c r="W1741" s="160"/>
      <c r="X1741" s="160"/>
      <c r="Y1741" s="160"/>
      <c r="Z1741" s="160"/>
      <c r="AA1741" s="160"/>
      <c r="AB1741" s="160"/>
    </row>
    <row r="1742">
      <c r="A1742" s="176"/>
      <c r="B1742" s="269"/>
      <c r="C1742" s="269"/>
      <c r="D1742" s="149"/>
      <c r="E1742" s="150"/>
      <c r="F1742" s="150"/>
      <c r="G1742" s="270"/>
      <c r="H1742" s="165"/>
      <c r="I1742" s="165"/>
      <c r="J1742" s="150"/>
      <c r="K1742" s="160"/>
      <c r="L1742" s="160"/>
      <c r="M1742" s="160"/>
      <c r="N1742" s="160"/>
      <c r="O1742" s="160"/>
      <c r="P1742" s="160"/>
      <c r="Q1742" s="160"/>
      <c r="R1742" s="160"/>
      <c r="S1742" s="160"/>
      <c r="T1742" s="160"/>
      <c r="U1742" s="160"/>
      <c r="V1742" s="160"/>
      <c r="W1742" s="160"/>
      <c r="X1742" s="160"/>
      <c r="Y1742" s="160"/>
      <c r="Z1742" s="160"/>
      <c r="AA1742" s="160"/>
      <c r="AB1742" s="160"/>
    </row>
    <row r="1743">
      <c r="A1743" s="176"/>
      <c r="B1743" s="269"/>
      <c r="C1743" s="269"/>
      <c r="D1743" s="149"/>
      <c r="E1743" s="150"/>
      <c r="F1743" s="150"/>
      <c r="G1743" s="270"/>
      <c r="H1743" s="165"/>
      <c r="I1743" s="165"/>
      <c r="J1743" s="150"/>
      <c r="K1743" s="160"/>
      <c r="L1743" s="160"/>
      <c r="M1743" s="160"/>
      <c r="N1743" s="160"/>
      <c r="O1743" s="160"/>
      <c r="P1743" s="160"/>
      <c r="Q1743" s="160"/>
      <c r="R1743" s="160"/>
      <c r="S1743" s="160"/>
      <c r="T1743" s="160"/>
      <c r="U1743" s="160"/>
      <c r="V1743" s="160"/>
      <c r="W1743" s="160"/>
      <c r="X1743" s="160"/>
      <c r="Y1743" s="160"/>
      <c r="Z1743" s="160"/>
      <c r="AA1743" s="160"/>
      <c r="AB1743" s="160"/>
    </row>
    <row r="1744">
      <c r="A1744" s="176"/>
      <c r="B1744" s="269"/>
      <c r="C1744" s="269"/>
      <c r="D1744" s="149"/>
      <c r="E1744" s="150"/>
      <c r="F1744" s="150"/>
      <c r="G1744" s="270"/>
      <c r="H1744" s="165"/>
      <c r="I1744" s="165"/>
      <c r="J1744" s="150"/>
      <c r="K1744" s="160"/>
      <c r="L1744" s="160"/>
      <c r="M1744" s="160"/>
      <c r="N1744" s="160"/>
      <c r="O1744" s="160"/>
      <c r="P1744" s="160"/>
      <c r="Q1744" s="160"/>
      <c r="R1744" s="160"/>
      <c r="S1744" s="160"/>
      <c r="T1744" s="160"/>
      <c r="U1744" s="160"/>
      <c r="V1744" s="160"/>
      <c r="W1744" s="160"/>
      <c r="X1744" s="160"/>
      <c r="Y1744" s="160"/>
      <c r="Z1744" s="160"/>
      <c r="AA1744" s="160"/>
      <c r="AB1744" s="160"/>
    </row>
    <row r="1745">
      <c r="A1745" s="176"/>
      <c r="B1745" s="269"/>
      <c r="C1745" s="269"/>
      <c r="D1745" s="149"/>
      <c r="E1745" s="150"/>
      <c r="F1745" s="150"/>
      <c r="G1745" s="270"/>
      <c r="H1745" s="165"/>
      <c r="I1745" s="165"/>
      <c r="J1745" s="150"/>
      <c r="K1745" s="160"/>
      <c r="L1745" s="160"/>
      <c r="M1745" s="160"/>
      <c r="N1745" s="160"/>
      <c r="O1745" s="160"/>
      <c r="P1745" s="160"/>
      <c r="Q1745" s="160"/>
      <c r="R1745" s="160"/>
      <c r="S1745" s="160"/>
      <c r="T1745" s="160"/>
      <c r="U1745" s="160"/>
      <c r="V1745" s="160"/>
      <c r="W1745" s="160"/>
      <c r="X1745" s="160"/>
      <c r="Y1745" s="160"/>
      <c r="Z1745" s="160"/>
      <c r="AA1745" s="160"/>
      <c r="AB1745" s="160"/>
    </row>
    <row r="1746">
      <c r="A1746" s="176"/>
      <c r="B1746" s="269"/>
      <c r="C1746" s="269"/>
      <c r="D1746" s="149"/>
      <c r="E1746" s="150"/>
      <c r="F1746" s="150"/>
      <c r="G1746" s="270"/>
      <c r="H1746" s="165"/>
      <c r="I1746" s="165"/>
      <c r="J1746" s="150"/>
      <c r="K1746" s="160"/>
      <c r="L1746" s="160"/>
      <c r="M1746" s="160"/>
      <c r="N1746" s="160"/>
      <c r="O1746" s="160"/>
      <c r="P1746" s="160"/>
      <c r="Q1746" s="160"/>
      <c r="R1746" s="160"/>
      <c r="S1746" s="160"/>
      <c r="T1746" s="160"/>
      <c r="U1746" s="160"/>
      <c r="V1746" s="160"/>
      <c r="W1746" s="160"/>
      <c r="X1746" s="160"/>
      <c r="Y1746" s="160"/>
      <c r="Z1746" s="160"/>
      <c r="AA1746" s="160"/>
      <c r="AB1746" s="160"/>
    </row>
    <row r="1747">
      <c r="A1747" s="176"/>
      <c r="B1747" s="269"/>
      <c r="C1747" s="269"/>
      <c r="D1747" s="149"/>
      <c r="E1747" s="150"/>
      <c r="F1747" s="150"/>
      <c r="G1747" s="270"/>
      <c r="H1747" s="165"/>
      <c r="I1747" s="165"/>
      <c r="J1747" s="150"/>
      <c r="K1747" s="160"/>
      <c r="L1747" s="160"/>
      <c r="M1747" s="160"/>
      <c r="N1747" s="160"/>
      <c r="O1747" s="160"/>
      <c r="P1747" s="160"/>
      <c r="Q1747" s="160"/>
      <c r="R1747" s="160"/>
      <c r="S1747" s="160"/>
      <c r="T1747" s="160"/>
      <c r="U1747" s="160"/>
      <c r="V1747" s="160"/>
      <c r="W1747" s="160"/>
      <c r="X1747" s="160"/>
      <c r="Y1747" s="160"/>
      <c r="Z1747" s="160"/>
      <c r="AA1747" s="160"/>
      <c r="AB1747" s="160"/>
    </row>
    <row r="1748">
      <c r="A1748" s="176"/>
      <c r="B1748" s="269"/>
      <c r="C1748" s="269"/>
      <c r="D1748" s="149"/>
      <c r="E1748" s="150"/>
      <c r="F1748" s="150"/>
      <c r="G1748" s="270"/>
      <c r="H1748" s="165"/>
      <c r="I1748" s="165"/>
      <c r="J1748" s="150"/>
      <c r="K1748" s="160"/>
      <c r="L1748" s="160"/>
      <c r="M1748" s="160"/>
      <c r="N1748" s="160"/>
      <c r="O1748" s="160"/>
      <c r="P1748" s="160"/>
      <c r="Q1748" s="160"/>
      <c r="R1748" s="160"/>
      <c r="S1748" s="160"/>
      <c r="T1748" s="160"/>
      <c r="U1748" s="160"/>
      <c r="V1748" s="160"/>
      <c r="W1748" s="160"/>
      <c r="X1748" s="160"/>
      <c r="Y1748" s="160"/>
      <c r="Z1748" s="160"/>
      <c r="AA1748" s="160"/>
      <c r="AB1748" s="160"/>
    </row>
    <row r="1749">
      <c r="A1749" s="176"/>
      <c r="B1749" s="269"/>
      <c r="C1749" s="269"/>
      <c r="D1749" s="149"/>
      <c r="E1749" s="150"/>
      <c r="F1749" s="150"/>
      <c r="G1749" s="270"/>
      <c r="H1749" s="165"/>
      <c r="I1749" s="165"/>
      <c r="J1749" s="150"/>
      <c r="K1749" s="160"/>
      <c r="L1749" s="160"/>
      <c r="M1749" s="160"/>
      <c r="N1749" s="160"/>
      <c r="O1749" s="160"/>
      <c r="P1749" s="160"/>
      <c r="Q1749" s="160"/>
      <c r="R1749" s="160"/>
      <c r="S1749" s="160"/>
      <c r="T1749" s="160"/>
      <c r="U1749" s="160"/>
      <c r="V1749" s="160"/>
      <c r="W1749" s="160"/>
      <c r="X1749" s="160"/>
      <c r="Y1749" s="160"/>
      <c r="Z1749" s="160"/>
      <c r="AA1749" s="160"/>
      <c r="AB1749" s="160"/>
    </row>
    <row r="1750">
      <c r="A1750" s="176"/>
      <c r="B1750" s="269"/>
      <c r="C1750" s="269"/>
      <c r="D1750" s="149"/>
      <c r="E1750" s="150"/>
      <c r="F1750" s="150"/>
      <c r="G1750" s="270"/>
      <c r="H1750" s="165"/>
      <c r="I1750" s="165"/>
      <c r="J1750" s="150"/>
      <c r="K1750" s="160"/>
      <c r="L1750" s="160"/>
      <c r="M1750" s="160"/>
      <c r="N1750" s="160"/>
      <c r="O1750" s="160"/>
      <c r="P1750" s="160"/>
      <c r="Q1750" s="160"/>
      <c r="R1750" s="160"/>
      <c r="S1750" s="160"/>
      <c r="T1750" s="160"/>
      <c r="U1750" s="160"/>
      <c r="V1750" s="160"/>
      <c r="W1750" s="160"/>
      <c r="X1750" s="160"/>
      <c r="Y1750" s="160"/>
      <c r="Z1750" s="160"/>
      <c r="AA1750" s="160"/>
      <c r="AB1750" s="160"/>
    </row>
    <row r="1751">
      <c r="A1751" s="176"/>
      <c r="B1751" s="269"/>
      <c r="C1751" s="269"/>
      <c r="D1751" s="149"/>
      <c r="E1751" s="150"/>
      <c r="F1751" s="150"/>
      <c r="G1751" s="270"/>
      <c r="H1751" s="165"/>
      <c r="I1751" s="165"/>
      <c r="J1751" s="150"/>
      <c r="K1751" s="160"/>
      <c r="L1751" s="160"/>
      <c r="M1751" s="160"/>
      <c r="N1751" s="160"/>
      <c r="O1751" s="160"/>
      <c r="P1751" s="160"/>
      <c r="Q1751" s="160"/>
      <c r="R1751" s="160"/>
      <c r="S1751" s="160"/>
      <c r="T1751" s="160"/>
      <c r="U1751" s="160"/>
      <c r="V1751" s="160"/>
      <c r="W1751" s="160"/>
      <c r="X1751" s="160"/>
      <c r="Y1751" s="160"/>
      <c r="Z1751" s="160"/>
      <c r="AA1751" s="160"/>
      <c r="AB1751" s="160"/>
    </row>
    <row r="1752">
      <c r="A1752" s="176"/>
      <c r="B1752" s="269"/>
      <c r="C1752" s="269"/>
      <c r="D1752" s="149"/>
      <c r="E1752" s="150"/>
      <c r="F1752" s="150"/>
      <c r="G1752" s="270"/>
      <c r="H1752" s="165"/>
      <c r="I1752" s="165"/>
      <c r="J1752" s="150"/>
      <c r="K1752" s="160"/>
      <c r="L1752" s="160"/>
      <c r="M1752" s="160"/>
      <c r="N1752" s="160"/>
      <c r="O1752" s="160"/>
      <c r="P1752" s="160"/>
      <c r="Q1752" s="160"/>
      <c r="R1752" s="160"/>
      <c r="S1752" s="160"/>
      <c r="T1752" s="160"/>
      <c r="U1752" s="160"/>
      <c r="V1752" s="160"/>
      <c r="W1752" s="160"/>
      <c r="X1752" s="160"/>
      <c r="Y1752" s="160"/>
      <c r="Z1752" s="160"/>
      <c r="AA1752" s="160"/>
      <c r="AB1752" s="160"/>
    </row>
    <row r="1753">
      <c r="A1753" s="176"/>
      <c r="B1753" s="269"/>
      <c r="C1753" s="269"/>
      <c r="D1753" s="149"/>
      <c r="E1753" s="150"/>
      <c r="F1753" s="150"/>
      <c r="G1753" s="270"/>
      <c r="H1753" s="165"/>
      <c r="I1753" s="165"/>
      <c r="J1753" s="150"/>
      <c r="K1753" s="160"/>
      <c r="L1753" s="160"/>
      <c r="M1753" s="160"/>
      <c r="N1753" s="160"/>
      <c r="O1753" s="160"/>
      <c r="P1753" s="160"/>
      <c r="Q1753" s="160"/>
      <c r="R1753" s="160"/>
      <c r="S1753" s="160"/>
      <c r="T1753" s="160"/>
      <c r="U1753" s="160"/>
      <c r="V1753" s="160"/>
      <c r="W1753" s="160"/>
      <c r="X1753" s="160"/>
      <c r="Y1753" s="160"/>
      <c r="Z1753" s="160"/>
      <c r="AA1753" s="160"/>
      <c r="AB1753" s="160"/>
    </row>
    <row r="1754">
      <c r="A1754" s="176"/>
      <c r="B1754" s="269"/>
      <c r="C1754" s="269"/>
      <c r="D1754" s="149"/>
      <c r="E1754" s="150"/>
      <c r="F1754" s="150"/>
      <c r="G1754" s="270"/>
      <c r="H1754" s="165"/>
      <c r="I1754" s="165"/>
      <c r="J1754" s="150"/>
      <c r="K1754" s="160"/>
      <c r="L1754" s="160"/>
      <c r="M1754" s="160"/>
      <c r="N1754" s="160"/>
      <c r="O1754" s="160"/>
      <c r="P1754" s="160"/>
      <c r="Q1754" s="160"/>
      <c r="R1754" s="160"/>
      <c r="S1754" s="160"/>
      <c r="T1754" s="160"/>
      <c r="U1754" s="160"/>
      <c r="V1754" s="160"/>
      <c r="W1754" s="160"/>
      <c r="X1754" s="160"/>
      <c r="Y1754" s="160"/>
      <c r="Z1754" s="160"/>
      <c r="AA1754" s="160"/>
      <c r="AB1754" s="160"/>
    </row>
    <row r="1755">
      <c r="A1755" s="176"/>
      <c r="B1755" s="269"/>
      <c r="C1755" s="269"/>
      <c r="D1755" s="149"/>
      <c r="E1755" s="150"/>
      <c r="F1755" s="150"/>
      <c r="G1755" s="270"/>
      <c r="H1755" s="165"/>
      <c r="I1755" s="165"/>
      <c r="J1755" s="150"/>
      <c r="K1755" s="160"/>
      <c r="L1755" s="160"/>
      <c r="M1755" s="160"/>
      <c r="N1755" s="160"/>
      <c r="O1755" s="160"/>
      <c r="P1755" s="160"/>
      <c r="Q1755" s="160"/>
      <c r="R1755" s="160"/>
      <c r="S1755" s="160"/>
      <c r="T1755" s="160"/>
      <c r="U1755" s="160"/>
      <c r="V1755" s="160"/>
      <c r="W1755" s="160"/>
      <c r="X1755" s="160"/>
      <c r="Y1755" s="160"/>
      <c r="Z1755" s="160"/>
      <c r="AA1755" s="160"/>
      <c r="AB1755" s="160"/>
    </row>
    <row r="1756">
      <c r="A1756" s="176"/>
      <c r="B1756" s="269"/>
      <c r="C1756" s="269"/>
      <c r="D1756" s="149"/>
      <c r="E1756" s="150"/>
      <c r="F1756" s="150"/>
      <c r="G1756" s="270"/>
      <c r="H1756" s="165"/>
      <c r="I1756" s="165"/>
      <c r="J1756" s="150"/>
      <c r="K1756" s="160"/>
      <c r="L1756" s="160"/>
      <c r="M1756" s="160"/>
      <c r="N1756" s="160"/>
      <c r="O1756" s="160"/>
      <c r="P1756" s="160"/>
      <c r="Q1756" s="160"/>
      <c r="R1756" s="160"/>
      <c r="S1756" s="160"/>
      <c r="T1756" s="160"/>
      <c r="U1756" s="160"/>
      <c r="V1756" s="160"/>
      <c r="W1756" s="160"/>
      <c r="X1756" s="160"/>
      <c r="Y1756" s="160"/>
      <c r="Z1756" s="160"/>
      <c r="AA1756" s="160"/>
      <c r="AB1756" s="160"/>
    </row>
    <row r="1757">
      <c r="A1757" s="176"/>
      <c r="B1757" s="269"/>
      <c r="C1757" s="269"/>
      <c r="D1757" s="149"/>
      <c r="E1757" s="150"/>
      <c r="F1757" s="150"/>
      <c r="G1757" s="270"/>
      <c r="H1757" s="165"/>
      <c r="I1757" s="165"/>
      <c r="J1757" s="150"/>
      <c r="K1757" s="160"/>
      <c r="L1757" s="160"/>
      <c r="M1757" s="160"/>
      <c r="N1757" s="160"/>
      <c r="O1757" s="160"/>
      <c r="P1757" s="160"/>
      <c r="Q1757" s="160"/>
      <c r="R1757" s="160"/>
      <c r="S1757" s="160"/>
      <c r="T1757" s="160"/>
      <c r="U1757" s="160"/>
      <c r="V1757" s="160"/>
      <c r="W1757" s="160"/>
      <c r="X1757" s="160"/>
      <c r="Y1757" s="160"/>
      <c r="Z1757" s="160"/>
      <c r="AA1757" s="160"/>
      <c r="AB1757" s="160"/>
    </row>
    <row r="1758">
      <c r="A1758" s="176"/>
      <c r="B1758" s="269"/>
      <c r="C1758" s="269"/>
      <c r="D1758" s="149"/>
      <c r="E1758" s="150"/>
      <c r="F1758" s="150"/>
      <c r="G1758" s="270"/>
      <c r="H1758" s="165"/>
      <c r="I1758" s="165"/>
      <c r="J1758" s="150"/>
      <c r="K1758" s="160"/>
      <c r="L1758" s="160"/>
      <c r="M1758" s="160"/>
      <c r="N1758" s="160"/>
      <c r="O1758" s="160"/>
      <c r="P1758" s="160"/>
      <c r="Q1758" s="160"/>
      <c r="R1758" s="160"/>
      <c r="S1758" s="160"/>
      <c r="T1758" s="160"/>
      <c r="U1758" s="160"/>
      <c r="V1758" s="160"/>
      <c r="W1758" s="160"/>
      <c r="X1758" s="160"/>
      <c r="Y1758" s="160"/>
      <c r="Z1758" s="160"/>
      <c r="AA1758" s="160"/>
      <c r="AB1758" s="160"/>
    </row>
    <row r="1759">
      <c r="A1759" s="176"/>
      <c r="B1759" s="269"/>
      <c r="C1759" s="269"/>
      <c r="D1759" s="149"/>
      <c r="E1759" s="150"/>
      <c r="F1759" s="150"/>
      <c r="G1759" s="270"/>
      <c r="H1759" s="165"/>
      <c r="I1759" s="165"/>
      <c r="J1759" s="150"/>
      <c r="K1759" s="160"/>
      <c r="L1759" s="160"/>
      <c r="M1759" s="160"/>
      <c r="N1759" s="160"/>
      <c r="O1759" s="160"/>
      <c r="P1759" s="160"/>
      <c r="Q1759" s="160"/>
      <c r="R1759" s="160"/>
      <c r="S1759" s="160"/>
      <c r="T1759" s="160"/>
      <c r="U1759" s="160"/>
      <c r="V1759" s="160"/>
      <c r="W1759" s="160"/>
      <c r="X1759" s="160"/>
      <c r="Y1759" s="160"/>
      <c r="Z1759" s="160"/>
      <c r="AA1759" s="160"/>
      <c r="AB1759" s="160"/>
    </row>
    <row r="1760">
      <c r="A1760" s="176"/>
      <c r="B1760" s="269"/>
      <c r="C1760" s="269"/>
      <c r="D1760" s="149"/>
      <c r="E1760" s="150"/>
      <c r="F1760" s="150"/>
      <c r="G1760" s="270"/>
      <c r="H1760" s="165"/>
      <c r="I1760" s="165"/>
      <c r="J1760" s="150"/>
      <c r="K1760" s="160"/>
      <c r="L1760" s="160"/>
      <c r="M1760" s="160"/>
      <c r="N1760" s="160"/>
      <c r="O1760" s="160"/>
      <c r="P1760" s="160"/>
      <c r="Q1760" s="160"/>
      <c r="R1760" s="160"/>
      <c r="S1760" s="160"/>
      <c r="T1760" s="160"/>
      <c r="U1760" s="160"/>
      <c r="V1760" s="160"/>
      <c r="W1760" s="160"/>
      <c r="X1760" s="160"/>
      <c r="Y1760" s="160"/>
      <c r="Z1760" s="160"/>
      <c r="AA1760" s="160"/>
      <c r="AB1760" s="160"/>
    </row>
    <row r="1761">
      <c r="A1761" s="176"/>
      <c r="B1761" s="269"/>
      <c r="C1761" s="269"/>
      <c r="D1761" s="149"/>
      <c r="E1761" s="150"/>
      <c r="F1761" s="150"/>
      <c r="G1761" s="270"/>
      <c r="H1761" s="165"/>
      <c r="I1761" s="165"/>
      <c r="J1761" s="150"/>
      <c r="K1761" s="160"/>
      <c r="L1761" s="160"/>
      <c r="M1761" s="160"/>
      <c r="N1761" s="160"/>
      <c r="O1761" s="160"/>
      <c r="P1761" s="160"/>
      <c r="Q1761" s="160"/>
      <c r="R1761" s="160"/>
      <c r="S1761" s="160"/>
      <c r="T1761" s="160"/>
      <c r="U1761" s="160"/>
      <c r="V1761" s="160"/>
      <c r="W1761" s="160"/>
      <c r="X1761" s="160"/>
      <c r="Y1761" s="160"/>
      <c r="Z1761" s="160"/>
      <c r="AA1761" s="160"/>
      <c r="AB1761" s="160"/>
    </row>
    <row r="1762">
      <c r="A1762" s="176"/>
      <c r="B1762" s="269"/>
      <c r="C1762" s="269"/>
      <c r="D1762" s="149"/>
      <c r="E1762" s="150"/>
      <c r="F1762" s="150"/>
      <c r="G1762" s="270"/>
      <c r="H1762" s="165"/>
      <c r="I1762" s="165"/>
      <c r="J1762" s="150"/>
      <c r="K1762" s="160"/>
      <c r="L1762" s="160"/>
      <c r="M1762" s="160"/>
      <c r="N1762" s="160"/>
      <c r="O1762" s="160"/>
      <c r="P1762" s="160"/>
      <c r="Q1762" s="160"/>
      <c r="R1762" s="160"/>
      <c r="S1762" s="160"/>
      <c r="T1762" s="160"/>
      <c r="U1762" s="160"/>
      <c r="V1762" s="160"/>
      <c r="W1762" s="160"/>
      <c r="X1762" s="160"/>
      <c r="Y1762" s="160"/>
      <c r="Z1762" s="160"/>
      <c r="AA1762" s="160"/>
      <c r="AB1762" s="160"/>
    </row>
    <row r="1763">
      <c r="A1763" s="176"/>
      <c r="B1763" s="269"/>
      <c r="C1763" s="269"/>
      <c r="D1763" s="149"/>
      <c r="E1763" s="150"/>
      <c r="F1763" s="150"/>
      <c r="G1763" s="270"/>
      <c r="H1763" s="165"/>
      <c r="I1763" s="165"/>
      <c r="J1763" s="150"/>
      <c r="K1763" s="160"/>
      <c r="L1763" s="160"/>
      <c r="M1763" s="160"/>
      <c r="N1763" s="160"/>
      <c r="O1763" s="160"/>
      <c r="P1763" s="160"/>
      <c r="Q1763" s="160"/>
      <c r="R1763" s="160"/>
      <c r="S1763" s="160"/>
      <c r="T1763" s="160"/>
      <c r="U1763" s="160"/>
      <c r="V1763" s="160"/>
      <c r="W1763" s="160"/>
      <c r="X1763" s="160"/>
      <c r="Y1763" s="160"/>
      <c r="Z1763" s="160"/>
      <c r="AA1763" s="160"/>
      <c r="AB1763" s="160"/>
    </row>
    <row r="1764">
      <c r="A1764" s="176"/>
      <c r="B1764" s="269"/>
      <c r="C1764" s="269"/>
      <c r="D1764" s="149"/>
      <c r="E1764" s="150"/>
      <c r="F1764" s="150"/>
      <c r="G1764" s="270"/>
      <c r="H1764" s="165"/>
      <c r="I1764" s="165"/>
      <c r="J1764" s="150"/>
      <c r="K1764" s="160"/>
      <c r="L1764" s="160"/>
      <c r="M1764" s="160"/>
      <c r="N1764" s="160"/>
      <c r="O1764" s="160"/>
      <c r="P1764" s="160"/>
      <c r="Q1764" s="160"/>
      <c r="R1764" s="160"/>
      <c r="S1764" s="160"/>
      <c r="T1764" s="160"/>
      <c r="U1764" s="160"/>
      <c r="V1764" s="160"/>
      <c r="W1764" s="160"/>
      <c r="X1764" s="160"/>
      <c r="Y1764" s="160"/>
      <c r="Z1764" s="160"/>
      <c r="AA1764" s="160"/>
      <c r="AB1764" s="160"/>
    </row>
    <row r="1765">
      <c r="A1765" s="176"/>
      <c r="B1765" s="269"/>
      <c r="C1765" s="269"/>
      <c r="D1765" s="149"/>
      <c r="E1765" s="150"/>
      <c r="F1765" s="150"/>
      <c r="G1765" s="270"/>
      <c r="H1765" s="165"/>
      <c r="I1765" s="165"/>
      <c r="J1765" s="150"/>
      <c r="K1765" s="160"/>
      <c r="L1765" s="160"/>
      <c r="M1765" s="160"/>
      <c r="N1765" s="160"/>
      <c r="O1765" s="160"/>
      <c r="P1765" s="160"/>
      <c r="Q1765" s="160"/>
      <c r="R1765" s="160"/>
      <c r="S1765" s="160"/>
      <c r="T1765" s="160"/>
      <c r="U1765" s="160"/>
      <c r="V1765" s="160"/>
      <c r="W1765" s="160"/>
      <c r="X1765" s="160"/>
      <c r="Y1765" s="160"/>
      <c r="Z1765" s="160"/>
      <c r="AA1765" s="160"/>
      <c r="AB1765" s="160"/>
    </row>
    <row r="1766">
      <c r="A1766" s="176"/>
      <c r="B1766" s="269"/>
      <c r="C1766" s="269"/>
      <c r="D1766" s="149"/>
      <c r="E1766" s="150"/>
      <c r="F1766" s="150"/>
      <c r="G1766" s="270"/>
      <c r="H1766" s="165"/>
      <c r="I1766" s="165"/>
      <c r="J1766" s="150"/>
      <c r="K1766" s="160"/>
      <c r="L1766" s="160"/>
      <c r="M1766" s="160"/>
      <c r="N1766" s="160"/>
      <c r="O1766" s="160"/>
      <c r="P1766" s="160"/>
      <c r="Q1766" s="160"/>
      <c r="R1766" s="160"/>
      <c r="S1766" s="160"/>
      <c r="T1766" s="160"/>
      <c r="U1766" s="160"/>
      <c r="V1766" s="160"/>
      <c r="W1766" s="160"/>
      <c r="X1766" s="160"/>
      <c r="Y1766" s="160"/>
      <c r="Z1766" s="160"/>
      <c r="AA1766" s="160"/>
      <c r="AB1766" s="160"/>
    </row>
    <row r="1767">
      <c r="A1767" s="176"/>
      <c r="B1767" s="269"/>
      <c r="C1767" s="269"/>
      <c r="D1767" s="149"/>
      <c r="E1767" s="150"/>
      <c r="F1767" s="150"/>
      <c r="G1767" s="270"/>
      <c r="H1767" s="165"/>
      <c r="I1767" s="165"/>
      <c r="J1767" s="150"/>
      <c r="K1767" s="160"/>
      <c r="L1767" s="160"/>
      <c r="M1767" s="160"/>
      <c r="N1767" s="160"/>
      <c r="O1767" s="160"/>
      <c r="P1767" s="160"/>
      <c r="Q1767" s="160"/>
      <c r="R1767" s="160"/>
      <c r="S1767" s="160"/>
      <c r="T1767" s="160"/>
      <c r="U1767" s="160"/>
      <c r="V1767" s="160"/>
      <c r="W1767" s="160"/>
      <c r="X1767" s="160"/>
      <c r="Y1767" s="160"/>
      <c r="Z1767" s="160"/>
      <c r="AA1767" s="160"/>
      <c r="AB1767" s="160"/>
    </row>
    <row r="1768">
      <c r="A1768" s="176"/>
      <c r="B1768" s="269"/>
      <c r="C1768" s="269"/>
      <c r="D1768" s="149"/>
      <c r="E1768" s="150"/>
      <c r="F1768" s="150"/>
      <c r="G1768" s="270"/>
      <c r="H1768" s="165"/>
      <c r="I1768" s="165"/>
      <c r="J1768" s="150"/>
      <c r="K1768" s="160"/>
      <c r="L1768" s="160"/>
      <c r="M1768" s="160"/>
      <c r="N1768" s="160"/>
      <c r="O1768" s="160"/>
      <c r="P1768" s="160"/>
      <c r="Q1768" s="160"/>
      <c r="R1768" s="160"/>
      <c r="S1768" s="160"/>
      <c r="T1768" s="160"/>
      <c r="U1768" s="160"/>
      <c r="V1768" s="160"/>
      <c r="W1768" s="160"/>
      <c r="X1768" s="160"/>
      <c r="Y1768" s="160"/>
      <c r="Z1768" s="160"/>
      <c r="AA1768" s="160"/>
      <c r="AB1768" s="160"/>
    </row>
    <row r="1769">
      <c r="A1769" s="176"/>
      <c r="B1769" s="269"/>
      <c r="C1769" s="269"/>
      <c r="D1769" s="149"/>
      <c r="E1769" s="150"/>
      <c r="F1769" s="150"/>
      <c r="G1769" s="270"/>
      <c r="H1769" s="165"/>
      <c r="I1769" s="165"/>
      <c r="J1769" s="150"/>
      <c r="K1769" s="160"/>
      <c r="L1769" s="160"/>
      <c r="M1769" s="160"/>
      <c r="N1769" s="160"/>
      <c r="O1769" s="160"/>
      <c r="P1769" s="160"/>
      <c r="Q1769" s="160"/>
      <c r="R1769" s="160"/>
      <c r="S1769" s="160"/>
      <c r="T1769" s="160"/>
      <c r="U1769" s="160"/>
      <c r="V1769" s="160"/>
      <c r="W1769" s="160"/>
      <c r="X1769" s="160"/>
      <c r="Y1769" s="160"/>
      <c r="Z1769" s="160"/>
      <c r="AA1769" s="160"/>
      <c r="AB1769" s="160"/>
    </row>
    <row r="1770">
      <c r="A1770" s="176"/>
      <c r="B1770" s="269"/>
      <c r="C1770" s="269"/>
      <c r="D1770" s="149"/>
      <c r="E1770" s="150"/>
      <c r="F1770" s="150"/>
      <c r="G1770" s="270"/>
      <c r="H1770" s="165"/>
      <c r="I1770" s="165"/>
      <c r="J1770" s="150"/>
      <c r="K1770" s="160"/>
      <c r="L1770" s="160"/>
      <c r="M1770" s="160"/>
      <c r="N1770" s="160"/>
      <c r="O1770" s="160"/>
      <c r="P1770" s="160"/>
      <c r="Q1770" s="160"/>
      <c r="R1770" s="160"/>
      <c r="S1770" s="160"/>
      <c r="T1770" s="160"/>
      <c r="U1770" s="160"/>
      <c r="V1770" s="160"/>
      <c r="W1770" s="160"/>
      <c r="X1770" s="160"/>
      <c r="Y1770" s="160"/>
      <c r="Z1770" s="160"/>
      <c r="AA1770" s="160"/>
      <c r="AB1770" s="160"/>
    </row>
    <row r="1771">
      <c r="A1771" s="176"/>
      <c r="B1771" s="269"/>
      <c r="C1771" s="269"/>
      <c r="D1771" s="149"/>
      <c r="E1771" s="150"/>
      <c r="F1771" s="150"/>
      <c r="G1771" s="270"/>
      <c r="H1771" s="165"/>
      <c r="I1771" s="165"/>
      <c r="J1771" s="150"/>
      <c r="K1771" s="160"/>
      <c r="L1771" s="160"/>
      <c r="M1771" s="160"/>
      <c r="N1771" s="160"/>
      <c r="O1771" s="160"/>
      <c r="P1771" s="160"/>
      <c r="Q1771" s="160"/>
      <c r="R1771" s="160"/>
      <c r="S1771" s="160"/>
      <c r="T1771" s="160"/>
      <c r="U1771" s="160"/>
      <c r="V1771" s="160"/>
      <c r="W1771" s="160"/>
      <c r="X1771" s="160"/>
      <c r="Y1771" s="160"/>
      <c r="Z1771" s="160"/>
      <c r="AA1771" s="160"/>
      <c r="AB1771" s="160"/>
    </row>
    <row r="1772">
      <c r="A1772" s="176"/>
      <c r="B1772" s="269"/>
      <c r="C1772" s="269"/>
      <c r="D1772" s="149"/>
      <c r="E1772" s="150"/>
      <c r="F1772" s="150"/>
      <c r="G1772" s="270"/>
      <c r="H1772" s="165"/>
      <c r="I1772" s="165"/>
      <c r="J1772" s="150"/>
      <c r="K1772" s="160"/>
      <c r="L1772" s="160"/>
      <c r="M1772" s="160"/>
      <c r="N1772" s="160"/>
      <c r="O1772" s="160"/>
      <c r="P1772" s="160"/>
      <c r="Q1772" s="160"/>
      <c r="R1772" s="160"/>
      <c r="S1772" s="160"/>
      <c r="T1772" s="160"/>
      <c r="U1772" s="160"/>
      <c r="V1772" s="160"/>
      <c r="W1772" s="160"/>
      <c r="X1772" s="160"/>
      <c r="Y1772" s="160"/>
      <c r="Z1772" s="160"/>
      <c r="AA1772" s="160"/>
      <c r="AB1772" s="160"/>
    </row>
    <row r="1773">
      <c r="A1773" s="176"/>
      <c r="B1773" s="269"/>
      <c r="C1773" s="269"/>
      <c r="D1773" s="149"/>
      <c r="E1773" s="150"/>
      <c r="F1773" s="150"/>
      <c r="G1773" s="270"/>
      <c r="H1773" s="165"/>
      <c r="I1773" s="165"/>
      <c r="J1773" s="150"/>
      <c r="K1773" s="160"/>
      <c r="L1773" s="160"/>
      <c r="M1773" s="160"/>
      <c r="N1773" s="160"/>
      <c r="O1773" s="160"/>
      <c r="P1773" s="160"/>
      <c r="Q1773" s="160"/>
      <c r="R1773" s="160"/>
      <c r="S1773" s="160"/>
      <c r="T1773" s="160"/>
      <c r="U1773" s="160"/>
      <c r="V1773" s="160"/>
      <c r="W1773" s="160"/>
      <c r="X1773" s="160"/>
      <c r="Y1773" s="160"/>
      <c r="Z1773" s="160"/>
      <c r="AA1773" s="160"/>
      <c r="AB1773" s="160"/>
    </row>
    <row r="1774">
      <c r="A1774" s="176"/>
      <c r="B1774" s="269"/>
      <c r="C1774" s="269"/>
      <c r="D1774" s="149"/>
      <c r="E1774" s="150"/>
      <c r="F1774" s="150"/>
      <c r="G1774" s="270"/>
      <c r="H1774" s="165"/>
      <c r="I1774" s="165"/>
      <c r="J1774" s="150"/>
      <c r="K1774" s="160"/>
      <c r="L1774" s="160"/>
      <c r="M1774" s="160"/>
      <c r="N1774" s="160"/>
      <c r="O1774" s="160"/>
      <c r="P1774" s="160"/>
      <c r="Q1774" s="160"/>
      <c r="R1774" s="160"/>
      <c r="S1774" s="160"/>
      <c r="T1774" s="160"/>
      <c r="U1774" s="160"/>
      <c r="V1774" s="160"/>
      <c r="W1774" s="160"/>
      <c r="X1774" s="160"/>
      <c r="Y1774" s="160"/>
      <c r="Z1774" s="160"/>
      <c r="AA1774" s="160"/>
      <c r="AB1774" s="160"/>
    </row>
    <row r="1775">
      <c r="A1775" s="176"/>
      <c r="B1775" s="269"/>
      <c r="C1775" s="269"/>
      <c r="D1775" s="149"/>
      <c r="E1775" s="150"/>
      <c r="F1775" s="150"/>
      <c r="G1775" s="270"/>
      <c r="H1775" s="165"/>
      <c r="I1775" s="165"/>
      <c r="J1775" s="150"/>
      <c r="K1775" s="160"/>
      <c r="L1775" s="160"/>
      <c r="M1775" s="160"/>
      <c r="N1775" s="160"/>
      <c r="O1775" s="160"/>
      <c r="P1775" s="160"/>
      <c r="Q1775" s="160"/>
      <c r="R1775" s="160"/>
      <c r="S1775" s="160"/>
      <c r="T1775" s="160"/>
      <c r="U1775" s="160"/>
      <c r="V1775" s="160"/>
      <c r="W1775" s="160"/>
      <c r="X1775" s="160"/>
      <c r="Y1775" s="160"/>
      <c r="Z1775" s="160"/>
      <c r="AA1775" s="160"/>
      <c r="AB1775" s="160"/>
    </row>
    <row r="1776">
      <c r="A1776" s="176"/>
      <c r="B1776" s="269"/>
      <c r="C1776" s="269"/>
      <c r="D1776" s="149"/>
      <c r="E1776" s="150"/>
      <c r="F1776" s="150"/>
      <c r="G1776" s="270"/>
      <c r="H1776" s="165"/>
      <c r="I1776" s="165"/>
      <c r="J1776" s="150"/>
      <c r="K1776" s="160"/>
      <c r="L1776" s="160"/>
      <c r="M1776" s="160"/>
      <c r="N1776" s="160"/>
      <c r="O1776" s="160"/>
      <c r="P1776" s="160"/>
      <c r="Q1776" s="160"/>
      <c r="R1776" s="160"/>
      <c r="S1776" s="160"/>
      <c r="T1776" s="160"/>
      <c r="U1776" s="160"/>
      <c r="V1776" s="160"/>
      <c r="W1776" s="160"/>
      <c r="X1776" s="160"/>
      <c r="Y1776" s="160"/>
      <c r="Z1776" s="160"/>
      <c r="AA1776" s="160"/>
      <c r="AB1776" s="160"/>
    </row>
    <row r="1777">
      <c r="A1777" s="176"/>
      <c r="B1777" s="269"/>
      <c r="C1777" s="269"/>
      <c r="D1777" s="149"/>
      <c r="E1777" s="150"/>
      <c r="F1777" s="150"/>
      <c r="G1777" s="270"/>
      <c r="H1777" s="165"/>
      <c r="I1777" s="165"/>
      <c r="J1777" s="150"/>
      <c r="K1777" s="160"/>
      <c r="L1777" s="160"/>
      <c r="M1777" s="160"/>
      <c r="N1777" s="160"/>
      <c r="O1777" s="160"/>
      <c r="P1777" s="160"/>
      <c r="Q1777" s="160"/>
      <c r="R1777" s="160"/>
      <c r="S1777" s="160"/>
      <c r="T1777" s="160"/>
      <c r="U1777" s="160"/>
      <c r="V1777" s="160"/>
      <c r="W1777" s="160"/>
      <c r="X1777" s="160"/>
      <c r="Y1777" s="160"/>
      <c r="Z1777" s="160"/>
      <c r="AA1777" s="160"/>
      <c r="AB1777" s="160"/>
    </row>
    <row r="1778">
      <c r="A1778" s="176"/>
      <c r="B1778" s="269"/>
      <c r="C1778" s="269"/>
      <c r="D1778" s="149"/>
      <c r="E1778" s="150"/>
      <c r="F1778" s="150"/>
      <c r="G1778" s="270"/>
      <c r="H1778" s="165"/>
      <c r="I1778" s="165"/>
      <c r="J1778" s="150"/>
      <c r="K1778" s="160"/>
      <c r="L1778" s="160"/>
      <c r="M1778" s="160"/>
      <c r="N1778" s="160"/>
      <c r="O1778" s="160"/>
      <c r="P1778" s="160"/>
      <c r="Q1778" s="160"/>
      <c r="R1778" s="160"/>
      <c r="S1778" s="160"/>
      <c r="T1778" s="160"/>
      <c r="U1778" s="160"/>
      <c r="V1778" s="160"/>
      <c r="W1778" s="160"/>
      <c r="X1778" s="160"/>
      <c r="Y1778" s="160"/>
      <c r="Z1778" s="160"/>
      <c r="AA1778" s="160"/>
      <c r="AB1778" s="160"/>
    </row>
    <row r="1779">
      <c r="A1779" s="176"/>
      <c r="B1779" s="269"/>
      <c r="C1779" s="269"/>
      <c r="D1779" s="149"/>
      <c r="E1779" s="150"/>
      <c r="F1779" s="150"/>
      <c r="G1779" s="270"/>
      <c r="H1779" s="165"/>
      <c r="I1779" s="165"/>
      <c r="J1779" s="150"/>
      <c r="K1779" s="160"/>
      <c r="L1779" s="160"/>
      <c r="M1779" s="160"/>
      <c r="N1779" s="160"/>
      <c r="O1779" s="160"/>
      <c r="P1779" s="160"/>
      <c r="Q1779" s="160"/>
      <c r="R1779" s="160"/>
      <c r="S1779" s="160"/>
      <c r="T1779" s="160"/>
      <c r="U1779" s="160"/>
      <c r="V1779" s="160"/>
      <c r="W1779" s="160"/>
      <c r="X1779" s="160"/>
      <c r="Y1779" s="160"/>
      <c r="Z1779" s="160"/>
      <c r="AA1779" s="160"/>
      <c r="AB1779" s="160"/>
    </row>
    <row r="1780">
      <c r="A1780" s="176"/>
      <c r="B1780" s="269"/>
      <c r="C1780" s="269"/>
      <c r="D1780" s="149"/>
      <c r="E1780" s="150"/>
      <c r="F1780" s="150"/>
      <c r="G1780" s="270"/>
      <c r="H1780" s="165"/>
      <c r="I1780" s="165"/>
      <c r="J1780" s="150"/>
      <c r="K1780" s="160"/>
      <c r="L1780" s="160"/>
      <c r="M1780" s="160"/>
      <c r="N1780" s="160"/>
      <c r="O1780" s="160"/>
      <c r="P1780" s="160"/>
      <c r="Q1780" s="160"/>
      <c r="R1780" s="160"/>
      <c r="S1780" s="160"/>
      <c r="T1780" s="160"/>
      <c r="U1780" s="160"/>
      <c r="V1780" s="160"/>
      <c r="W1780" s="160"/>
      <c r="X1780" s="160"/>
      <c r="Y1780" s="160"/>
      <c r="Z1780" s="160"/>
      <c r="AA1780" s="160"/>
      <c r="AB1780" s="160"/>
    </row>
    <row r="1781">
      <c r="A1781" s="176"/>
      <c r="B1781" s="269"/>
      <c r="C1781" s="269"/>
      <c r="D1781" s="149"/>
      <c r="E1781" s="150"/>
      <c r="F1781" s="150"/>
      <c r="G1781" s="270"/>
      <c r="H1781" s="165"/>
      <c r="I1781" s="165"/>
      <c r="J1781" s="150"/>
      <c r="K1781" s="160"/>
      <c r="L1781" s="160"/>
      <c r="M1781" s="160"/>
      <c r="N1781" s="160"/>
      <c r="O1781" s="160"/>
      <c r="P1781" s="160"/>
      <c r="Q1781" s="160"/>
      <c r="R1781" s="160"/>
      <c r="S1781" s="160"/>
      <c r="T1781" s="160"/>
      <c r="U1781" s="160"/>
      <c r="V1781" s="160"/>
      <c r="W1781" s="160"/>
      <c r="X1781" s="160"/>
      <c r="Y1781" s="160"/>
      <c r="Z1781" s="160"/>
      <c r="AA1781" s="160"/>
      <c r="AB1781" s="160"/>
    </row>
    <row r="1782">
      <c r="A1782" s="176"/>
      <c r="B1782" s="269"/>
      <c r="C1782" s="269"/>
      <c r="D1782" s="149"/>
      <c r="E1782" s="150"/>
      <c r="F1782" s="150"/>
      <c r="G1782" s="270"/>
      <c r="H1782" s="165"/>
      <c r="I1782" s="165"/>
      <c r="J1782" s="150"/>
      <c r="K1782" s="160"/>
      <c r="L1782" s="160"/>
      <c r="M1782" s="160"/>
      <c r="N1782" s="160"/>
      <c r="O1782" s="160"/>
      <c r="P1782" s="160"/>
      <c r="Q1782" s="160"/>
      <c r="R1782" s="160"/>
      <c r="S1782" s="160"/>
      <c r="T1782" s="160"/>
      <c r="U1782" s="160"/>
      <c r="V1782" s="160"/>
      <c r="W1782" s="160"/>
      <c r="X1782" s="160"/>
      <c r="Y1782" s="160"/>
      <c r="Z1782" s="160"/>
      <c r="AA1782" s="160"/>
      <c r="AB1782" s="160"/>
    </row>
    <row r="1783">
      <c r="A1783" s="176"/>
      <c r="B1783" s="269"/>
      <c r="C1783" s="269"/>
      <c r="D1783" s="149"/>
      <c r="E1783" s="150"/>
      <c r="F1783" s="150"/>
      <c r="G1783" s="270"/>
      <c r="H1783" s="165"/>
      <c r="I1783" s="165"/>
      <c r="J1783" s="150"/>
      <c r="K1783" s="160"/>
      <c r="L1783" s="160"/>
      <c r="M1783" s="160"/>
      <c r="N1783" s="160"/>
      <c r="O1783" s="160"/>
      <c r="P1783" s="160"/>
      <c r="Q1783" s="160"/>
      <c r="R1783" s="160"/>
      <c r="S1783" s="160"/>
      <c r="T1783" s="160"/>
      <c r="U1783" s="160"/>
      <c r="V1783" s="160"/>
      <c r="W1783" s="160"/>
      <c r="X1783" s="160"/>
      <c r="Y1783" s="160"/>
      <c r="Z1783" s="160"/>
      <c r="AA1783" s="160"/>
      <c r="AB1783" s="160"/>
    </row>
    <row r="1784">
      <c r="A1784" s="176"/>
      <c r="B1784" s="269"/>
      <c r="C1784" s="269"/>
      <c r="D1784" s="149"/>
      <c r="E1784" s="150"/>
      <c r="F1784" s="150"/>
      <c r="G1784" s="270"/>
      <c r="H1784" s="165"/>
      <c r="I1784" s="165"/>
      <c r="J1784" s="150"/>
      <c r="K1784" s="160"/>
      <c r="L1784" s="160"/>
      <c r="M1784" s="160"/>
      <c r="N1784" s="160"/>
      <c r="O1784" s="160"/>
      <c r="P1784" s="160"/>
      <c r="Q1784" s="160"/>
      <c r="R1784" s="160"/>
      <c r="S1784" s="160"/>
      <c r="T1784" s="160"/>
      <c r="U1784" s="160"/>
      <c r="V1784" s="160"/>
      <c r="W1784" s="160"/>
      <c r="X1784" s="160"/>
      <c r="Y1784" s="160"/>
      <c r="Z1784" s="160"/>
      <c r="AA1784" s="160"/>
      <c r="AB1784" s="160"/>
    </row>
    <row r="1785">
      <c r="A1785" s="176"/>
      <c r="B1785" s="269"/>
      <c r="C1785" s="269"/>
      <c r="D1785" s="149"/>
      <c r="E1785" s="150"/>
      <c r="F1785" s="150"/>
      <c r="G1785" s="270"/>
      <c r="H1785" s="165"/>
      <c r="I1785" s="165"/>
      <c r="J1785" s="150"/>
      <c r="K1785" s="160"/>
      <c r="L1785" s="160"/>
      <c r="M1785" s="160"/>
      <c r="N1785" s="160"/>
      <c r="O1785" s="160"/>
      <c r="P1785" s="160"/>
      <c r="Q1785" s="160"/>
      <c r="R1785" s="160"/>
      <c r="S1785" s="160"/>
      <c r="T1785" s="160"/>
      <c r="U1785" s="160"/>
      <c r="V1785" s="160"/>
      <c r="W1785" s="160"/>
      <c r="X1785" s="160"/>
      <c r="Y1785" s="160"/>
      <c r="Z1785" s="160"/>
      <c r="AA1785" s="160"/>
      <c r="AB1785" s="160"/>
    </row>
    <row r="1786">
      <c r="A1786" s="176"/>
      <c r="B1786" s="269"/>
      <c r="C1786" s="269"/>
      <c r="D1786" s="149"/>
      <c r="E1786" s="150"/>
      <c r="F1786" s="150"/>
      <c r="G1786" s="270"/>
      <c r="H1786" s="165"/>
      <c r="I1786" s="165"/>
      <c r="J1786" s="150"/>
      <c r="K1786" s="160"/>
      <c r="L1786" s="160"/>
      <c r="M1786" s="160"/>
      <c r="N1786" s="160"/>
      <c r="O1786" s="160"/>
      <c r="P1786" s="160"/>
      <c r="Q1786" s="160"/>
      <c r="R1786" s="160"/>
      <c r="S1786" s="160"/>
      <c r="T1786" s="160"/>
      <c r="U1786" s="160"/>
      <c r="V1786" s="160"/>
      <c r="W1786" s="160"/>
      <c r="X1786" s="160"/>
      <c r="Y1786" s="160"/>
      <c r="Z1786" s="160"/>
      <c r="AA1786" s="160"/>
      <c r="AB1786" s="160"/>
    </row>
    <row r="1787">
      <c r="A1787" s="176"/>
      <c r="B1787" s="269"/>
      <c r="C1787" s="269"/>
      <c r="D1787" s="149"/>
      <c r="E1787" s="150"/>
      <c r="F1787" s="150"/>
      <c r="G1787" s="270"/>
      <c r="H1787" s="165"/>
      <c r="I1787" s="165"/>
      <c r="J1787" s="150"/>
      <c r="K1787" s="160"/>
      <c r="L1787" s="160"/>
      <c r="M1787" s="160"/>
      <c r="N1787" s="160"/>
      <c r="O1787" s="160"/>
      <c r="P1787" s="160"/>
      <c r="Q1787" s="160"/>
      <c r="R1787" s="160"/>
      <c r="S1787" s="160"/>
      <c r="T1787" s="160"/>
      <c r="U1787" s="160"/>
      <c r="V1787" s="160"/>
      <c r="W1787" s="160"/>
      <c r="X1787" s="160"/>
      <c r="Y1787" s="160"/>
      <c r="Z1787" s="160"/>
      <c r="AA1787" s="160"/>
      <c r="AB1787" s="160"/>
    </row>
    <row r="1788">
      <c r="A1788" s="176"/>
      <c r="B1788" s="269"/>
      <c r="C1788" s="269"/>
      <c r="D1788" s="149"/>
      <c r="E1788" s="150"/>
      <c r="F1788" s="150"/>
      <c r="G1788" s="270"/>
      <c r="H1788" s="165"/>
      <c r="I1788" s="165"/>
      <c r="J1788" s="150"/>
      <c r="K1788" s="160"/>
      <c r="L1788" s="160"/>
      <c r="M1788" s="160"/>
      <c r="N1788" s="160"/>
      <c r="O1788" s="160"/>
      <c r="P1788" s="160"/>
      <c r="Q1788" s="160"/>
      <c r="R1788" s="160"/>
      <c r="S1788" s="160"/>
      <c r="T1788" s="160"/>
      <c r="U1788" s="160"/>
      <c r="V1788" s="160"/>
      <c r="W1788" s="160"/>
      <c r="X1788" s="160"/>
      <c r="Y1788" s="160"/>
      <c r="Z1788" s="160"/>
      <c r="AA1788" s="160"/>
      <c r="AB1788" s="160"/>
    </row>
    <row r="1789">
      <c r="A1789" s="176"/>
      <c r="B1789" s="269"/>
      <c r="C1789" s="269"/>
      <c r="D1789" s="149"/>
      <c r="E1789" s="150"/>
      <c r="F1789" s="150"/>
      <c r="G1789" s="270"/>
      <c r="H1789" s="165"/>
      <c r="I1789" s="165"/>
      <c r="J1789" s="150"/>
      <c r="K1789" s="160"/>
      <c r="L1789" s="160"/>
      <c r="M1789" s="160"/>
      <c r="N1789" s="160"/>
      <c r="O1789" s="160"/>
      <c r="P1789" s="160"/>
      <c r="Q1789" s="160"/>
      <c r="R1789" s="160"/>
      <c r="S1789" s="160"/>
      <c r="T1789" s="160"/>
      <c r="U1789" s="160"/>
      <c r="V1789" s="160"/>
      <c r="W1789" s="160"/>
      <c r="X1789" s="160"/>
      <c r="Y1789" s="160"/>
      <c r="Z1789" s="160"/>
      <c r="AA1789" s="160"/>
      <c r="AB1789" s="160"/>
    </row>
    <row r="1790">
      <c r="A1790" s="176"/>
      <c r="B1790" s="269"/>
      <c r="C1790" s="269"/>
      <c r="D1790" s="149"/>
      <c r="E1790" s="150"/>
      <c r="F1790" s="150"/>
      <c r="G1790" s="270"/>
      <c r="H1790" s="165"/>
      <c r="I1790" s="165"/>
      <c r="J1790" s="150"/>
      <c r="K1790" s="160"/>
      <c r="L1790" s="160"/>
      <c r="M1790" s="160"/>
      <c r="N1790" s="160"/>
      <c r="O1790" s="160"/>
      <c r="P1790" s="160"/>
      <c r="Q1790" s="160"/>
      <c r="R1790" s="160"/>
      <c r="S1790" s="160"/>
      <c r="T1790" s="160"/>
      <c r="U1790" s="160"/>
      <c r="V1790" s="160"/>
      <c r="W1790" s="160"/>
      <c r="X1790" s="160"/>
      <c r="Y1790" s="160"/>
      <c r="Z1790" s="160"/>
      <c r="AA1790" s="160"/>
      <c r="AB1790" s="160"/>
    </row>
    <row r="1791">
      <c r="A1791" s="176"/>
      <c r="B1791" s="269"/>
      <c r="C1791" s="269"/>
      <c r="D1791" s="149"/>
      <c r="E1791" s="150"/>
      <c r="F1791" s="150"/>
      <c r="G1791" s="270"/>
      <c r="H1791" s="165"/>
      <c r="I1791" s="165"/>
      <c r="J1791" s="150"/>
      <c r="K1791" s="160"/>
      <c r="L1791" s="160"/>
      <c r="M1791" s="160"/>
      <c r="N1791" s="160"/>
      <c r="O1791" s="160"/>
      <c r="P1791" s="160"/>
      <c r="Q1791" s="160"/>
      <c r="R1791" s="160"/>
      <c r="S1791" s="160"/>
      <c r="T1791" s="160"/>
      <c r="U1791" s="160"/>
      <c r="V1791" s="160"/>
      <c r="W1791" s="160"/>
      <c r="X1791" s="160"/>
      <c r="Y1791" s="160"/>
      <c r="Z1791" s="160"/>
      <c r="AA1791" s="160"/>
      <c r="AB1791" s="160"/>
    </row>
    <row r="1792">
      <c r="A1792" s="176"/>
      <c r="B1792" s="269"/>
      <c r="C1792" s="269"/>
      <c r="D1792" s="149"/>
      <c r="E1792" s="150"/>
      <c r="F1792" s="150"/>
      <c r="G1792" s="270"/>
      <c r="H1792" s="165"/>
      <c r="I1792" s="165"/>
      <c r="J1792" s="150"/>
      <c r="K1792" s="160"/>
      <c r="L1792" s="160"/>
      <c r="M1792" s="160"/>
      <c r="N1792" s="160"/>
      <c r="O1792" s="160"/>
      <c r="P1792" s="160"/>
      <c r="Q1792" s="160"/>
      <c r="R1792" s="160"/>
      <c r="S1792" s="160"/>
      <c r="T1792" s="160"/>
      <c r="U1792" s="160"/>
      <c r="V1792" s="160"/>
      <c r="W1792" s="160"/>
      <c r="X1792" s="160"/>
      <c r="Y1792" s="160"/>
      <c r="Z1792" s="160"/>
      <c r="AA1792" s="160"/>
      <c r="AB1792" s="160"/>
    </row>
    <row r="1793">
      <c r="A1793" s="176"/>
      <c r="B1793" s="269"/>
      <c r="C1793" s="269"/>
      <c r="D1793" s="149"/>
      <c r="E1793" s="150"/>
      <c r="F1793" s="150"/>
      <c r="G1793" s="270"/>
      <c r="H1793" s="165"/>
      <c r="I1793" s="165"/>
      <c r="J1793" s="150"/>
      <c r="K1793" s="160"/>
      <c r="L1793" s="160"/>
      <c r="M1793" s="160"/>
      <c r="N1793" s="160"/>
      <c r="O1793" s="160"/>
      <c r="P1793" s="160"/>
      <c r="Q1793" s="160"/>
      <c r="R1793" s="160"/>
      <c r="S1793" s="160"/>
      <c r="T1793" s="160"/>
      <c r="U1793" s="160"/>
      <c r="V1793" s="160"/>
      <c r="W1793" s="160"/>
      <c r="X1793" s="160"/>
      <c r="Y1793" s="160"/>
      <c r="Z1793" s="160"/>
      <c r="AA1793" s="160"/>
      <c r="AB1793" s="160"/>
    </row>
    <row r="1794">
      <c r="A1794" s="176"/>
      <c r="B1794" s="269"/>
      <c r="C1794" s="269"/>
      <c r="D1794" s="149"/>
      <c r="E1794" s="150"/>
      <c r="F1794" s="150"/>
      <c r="G1794" s="270"/>
      <c r="H1794" s="165"/>
      <c r="I1794" s="165"/>
      <c r="J1794" s="150"/>
      <c r="K1794" s="160"/>
      <c r="L1794" s="160"/>
      <c r="M1794" s="160"/>
      <c r="N1794" s="160"/>
      <c r="O1794" s="160"/>
      <c r="P1794" s="160"/>
      <c r="Q1794" s="160"/>
      <c r="R1794" s="160"/>
      <c r="S1794" s="160"/>
      <c r="T1794" s="160"/>
      <c r="U1794" s="160"/>
      <c r="V1794" s="160"/>
      <c r="W1794" s="160"/>
      <c r="X1794" s="160"/>
      <c r="Y1794" s="160"/>
      <c r="Z1794" s="160"/>
      <c r="AA1794" s="160"/>
      <c r="AB1794" s="160"/>
    </row>
    <row r="1795">
      <c r="A1795" s="176"/>
      <c r="B1795" s="269"/>
      <c r="C1795" s="269"/>
      <c r="D1795" s="149"/>
      <c r="E1795" s="150"/>
      <c r="F1795" s="150"/>
      <c r="G1795" s="270"/>
      <c r="H1795" s="165"/>
      <c r="I1795" s="165"/>
      <c r="J1795" s="150"/>
      <c r="K1795" s="160"/>
      <c r="L1795" s="160"/>
      <c r="M1795" s="160"/>
      <c r="N1795" s="160"/>
      <c r="O1795" s="160"/>
      <c r="P1795" s="160"/>
      <c r="Q1795" s="160"/>
      <c r="R1795" s="160"/>
      <c r="S1795" s="160"/>
      <c r="T1795" s="160"/>
      <c r="U1795" s="160"/>
      <c r="V1795" s="160"/>
      <c r="W1795" s="160"/>
      <c r="X1795" s="160"/>
      <c r="Y1795" s="160"/>
      <c r="Z1795" s="160"/>
      <c r="AA1795" s="160"/>
      <c r="AB1795" s="160"/>
    </row>
    <row r="1796">
      <c r="A1796" s="176"/>
      <c r="B1796" s="269"/>
      <c r="C1796" s="269"/>
      <c r="D1796" s="149"/>
      <c r="E1796" s="150"/>
      <c r="F1796" s="150"/>
      <c r="G1796" s="270"/>
      <c r="H1796" s="165"/>
      <c r="I1796" s="165"/>
      <c r="J1796" s="150"/>
      <c r="K1796" s="160"/>
      <c r="L1796" s="160"/>
      <c r="M1796" s="160"/>
      <c r="N1796" s="160"/>
      <c r="O1796" s="160"/>
      <c r="P1796" s="160"/>
      <c r="Q1796" s="160"/>
      <c r="R1796" s="160"/>
      <c r="S1796" s="160"/>
      <c r="T1796" s="160"/>
      <c r="U1796" s="160"/>
      <c r="V1796" s="160"/>
      <c r="W1796" s="160"/>
      <c r="X1796" s="160"/>
      <c r="Y1796" s="160"/>
      <c r="Z1796" s="160"/>
      <c r="AA1796" s="160"/>
      <c r="AB1796" s="160"/>
    </row>
    <row r="1797">
      <c r="A1797" s="176"/>
      <c r="B1797" s="269"/>
      <c r="C1797" s="269"/>
      <c r="D1797" s="149"/>
      <c r="E1797" s="150"/>
      <c r="F1797" s="150"/>
      <c r="G1797" s="270"/>
      <c r="H1797" s="165"/>
      <c r="I1797" s="165"/>
      <c r="J1797" s="150"/>
      <c r="K1797" s="160"/>
      <c r="L1797" s="160"/>
      <c r="M1797" s="160"/>
      <c r="N1797" s="160"/>
      <c r="O1797" s="160"/>
      <c r="P1797" s="160"/>
      <c r="Q1797" s="160"/>
      <c r="R1797" s="160"/>
      <c r="S1797" s="160"/>
      <c r="T1797" s="160"/>
      <c r="U1797" s="160"/>
      <c r="V1797" s="160"/>
      <c r="W1797" s="160"/>
      <c r="X1797" s="160"/>
      <c r="Y1797" s="160"/>
      <c r="Z1797" s="160"/>
      <c r="AA1797" s="160"/>
      <c r="AB1797" s="160"/>
    </row>
    <row r="1798">
      <c r="A1798" s="176"/>
      <c r="B1798" s="269"/>
      <c r="C1798" s="269"/>
      <c r="D1798" s="149"/>
      <c r="E1798" s="150"/>
      <c r="F1798" s="150"/>
      <c r="G1798" s="270"/>
      <c r="H1798" s="165"/>
      <c r="I1798" s="165"/>
      <c r="J1798" s="150"/>
      <c r="K1798" s="160"/>
      <c r="L1798" s="160"/>
      <c r="M1798" s="160"/>
      <c r="N1798" s="160"/>
      <c r="O1798" s="160"/>
      <c r="P1798" s="160"/>
      <c r="Q1798" s="160"/>
      <c r="R1798" s="160"/>
      <c r="S1798" s="160"/>
      <c r="T1798" s="160"/>
      <c r="U1798" s="160"/>
      <c r="V1798" s="160"/>
      <c r="W1798" s="160"/>
      <c r="X1798" s="160"/>
      <c r="Y1798" s="160"/>
      <c r="Z1798" s="160"/>
      <c r="AA1798" s="160"/>
      <c r="AB1798" s="160"/>
    </row>
    <row r="1799">
      <c r="A1799" s="176"/>
      <c r="B1799" s="269"/>
      <c r="C1799" s="269"/>
      <c r="D1799" s="149"/>
      <c r="E1799" s="150"/>
      <c r="F1799" s="150"/>
      <c r="G1799" s="270"/>
      <c r="H1799" s="165"/>
      <c r="I1799" s="165"/>
      <c r="J1799" s="150"/>
      <c r="K1799" s="160"/>
      <c r="L1799" s="160"/>
      <c r="M1799" s="160"/>
      <c r="N1799" s="160"/>
      <c r="O1799" s="160"/>
      <c r="P1799" s="160"/>
      <c r="Q1799" s="160"/>
      <c r="R1799" s="160"/>
      <c r="S1799" s="160"/>
      <c r="T1799" s="160"/>
      <c r="U1799" s="160"/>
      <c r="V1799" s="160"/>
      <c r="W1799" s="160"/>
      <c r="X1799" s="160"/>
      <c r="Y1799" s="160"/>
      <c r="Z1799" s="160"/>
      <c r="AA1799" s="160"/>
      <c r="AB1799" s="160"/>
    </row>
    <row r="1800">
      <c r="A1800" s="176"/>
      <c r="B1800" s="269"/>
      <c r="C1800" s="269"/>
      <c r="D1800" s="149"/>
      <c r="E1800" s="150"/>
      <c r="F1800" s="150"/>
      <c r="G1800" s="270"/>
      <c r="H1800" s="165"/>
      <c r="I1800" s="165"/>
      <c r="J1800" s="150"/>
      <c r="K1800" s="160"/>
      <c r="L1800" s="160"/>
      <c r="M1800" s="160"/>
      <c r="N1800" s="160"/>
      <c r="O1800" s="160"/>
      <c r="P1800" s="160"/>
      <c r="Q1800" s="160"/>
      <c r="R1800" s="160"/>
      <c r="S1800" s="160"/>
      <c r="T1800" s="160"/>
      <c r="U1800" s="160"/>
      <c r="V1800" s="160"/>
      <c r="W1800" s="160"/>
      <c r="X1800" s="160"/>
      <c r="Y1800" s="160"/>
      <c r="Z1800" s="160"/>
      <c r="AA1800" s="160"/>
      <c r="AB1800" s="160"/>
    </row>
    <row r="1801">
      <c r="A1801" s="176"/>
      <c r="B1801" s="269"/>
      <c r="C1801" s="269"/>
      <c r="D1801" s="149"/>
      <c r="E1801" s="150"/>
      <c r="F1801" s="150"/>
      <c r="G1801" s="270"/>
      <c r="H1801" s="165"/>
      <c r="I1801" s="165"/>
      <c r="J1801" s="150"/>
      <c r="K1801" s="160"/>
      <c r="L1801" s="160"/>
      <c r="M1801" s="160"/>
      <c r="N1801" s="160"/>
      <c r="O1801" s="160"/>
      <c r="P1801" s="160"/>
      <c r="Q1801" s="160"/>
      <c r="R1801" s="160"/>
      <c r="S1801" s="160"/>
      <c r="T1801" s="160"/>
      <c r="U1801" s="160"/>
      <c r="V1801" s="160"/>
      <c r="W1801" s="160"/>
      <c r="X1801" s="160"/>
      <c r="Y1801" s="160"/>
      <c r="Z1801" s="160"/>
      <c r="AA1801" s="160"/>
      <c r="AB1801" s="160"/>
    </row>
    <row r="1802">
      <c r="A1802" s="176"/>
      <c r="B1802" s="269"/>
      <c r="C1802" s="269"/>
      <c r="D1802" s="149"/>
      <c r="E1802" s="150"/>
      <c r="F1802" s="150"/>
      <c r="G1802" s="270"/>
      <c r="H1802" s="165"/>
      <c r="I1802" s="165"/>
      <c r="J1802" s="150"/>
      <c r="K1802" s="160"/>
      <c r="L1802" s="160"/>
      <c r="M1802" s="160"/>
      <c r="N1802" s="160"/>
      <c r="O1802" s="160"/>
      <c r="P1802" s="160"/>
      <c r="Q1802" s="160"/>
      <c r="R1802" s="160"/>
      <c r="S1802" s="160"/>
      <c r="T1802" s="160"/>
      <c r="U1802" s="160"/>
      <c r="V1802" s="160"/>
      <c r="W1802" s="160"/>
      <c r="X1802" s="160"/>
      <c r="Y1802" s="160"/>
      <c r="Z1802" s="160"/>
      <c r="AA1802" s="160"/>
      <c r="AB1802" s="160"/>
    </row>
    <row r="1803">
      <c r="A1803" s="176"/>
      <c r="B1803" s="269"/>
      <c r="C1803" s="269"/>
      <c r="D1803" s="149"/>
      <c r="E1803" s="150"/>
      <c r="F1803" s="150"/>
      <c r="G1803" s="270"/>
      <c r="H1803" s="165"/>
      <c r="I1803" s="165"/>
      <c r="J1803" s="150"/>
      <c r="K1803" s="160"/>
      <c r="L1803" s="160"/>
      <c r="M1803" s="160"/>
      <c r="N1803" s="160"/>
      <c r="O1803" s="160"/>
      <c r="P1803" s="160"/>
      <c r="Q1803" s="160"/>
      <c r="R1803" s="160"/>
      <c r="S1803" s="160"/>
      <c r="T1803" s="160"/>
      <c r="U1803" s="160"/>
      <c r="V1803" s="160"/>
      <c r="W1803" s="160"/>
      <c r="X1803" s="160"/>
      <c r="Y1803" s="160"/>
      <c r="Z1803" s="160"/>
      <c r="AA1803" s="160"/>
      <c r="AB1803" s="160"/>
    </row>
    <row r="1804">
      <c r="A1804" s="176"/>
      <c r="B1804" s="269"/>
      <c r="C1804" s="269"/>
      <c r="D1804" s="149"/>
      <c r="E1804" s="150"/>
      <c r="F1804" s="150"/>
      <c r="G1804" s="270"/>
      <c r="H1804" s="165"/>
      <c r="I1804" s="165"/>
      <c r="J1804" s="150"/>
      <c r="K1804" s="160"/>
      <c r="L1804" s="160"/>
      <c r="M1804" s="160"/>
      <c r="N1804" s="160"/>
      <c r="O1804" s="160"/>
      <c r="P1804" s="160"/>
      <c r="Q1804" s="160"/>
      <c r="R1804" s="160"/>
      <c r="S1804" s="160"/>
      <c r="T1804" s="160"/>
      <c r="U1804" s="160"/>
      <c r="V1804" s="160"/>
      <c r="W1804" s="160"/>
      <c r="X1804" s="160"/>
      <c r="Y1804" s="160"/>
      <c r="Z1804" s="160"/>
      <c r="AA1804" s="160"/>
      <c r="AB1804" s="160"/>
    </row>
    <row r="1805">
      <c r="A1805" s="176"/>
      <c r="B1805" s="269"/>
      <c r="C1805" s="269"/>
      <c r="D1805" s="149"/>
      <c r="E1805" s="150"/>
      <c r="F1805" s="150"/>
      <c r="G1805" s="270"/>
      <c r="H1805" s="165"/>
      <c r="I1805" s="165"/>
      <c r="J1805" s="150"/>
      <c r="K1805" s="160"/>
      <c r="L1805" s="160"/>
      <c r="M1805" s="160"/>
      <c r="N1805" s="160"/>
      <c r="O1805" s="160"/>
      <c r="P1805" s="160"/>
      <c r="Q1805" s="160"/>
      <c r="R1805" s="160"/>
      <c r="S1805" s="160"/>
      <c r="T1805" s="160"/>
      <c r="U1805" s="160"/>
      <c r="V1805" s="160"/>
      <c r="W1805" s="160"/>
      <c r="X1805" s="160"/>
      <c r="Y1805" s="160"/>
      <c r="Z1805" s="160"/>
      <c r="AA1805" s="160"/>
      <c r="AB1805" s="160"/>
    </row>
    <row r="1806">
      <c r="A1806" s="176"/>
      <c r="B1806" s="269"/>
      <c r="C1806" s="269"/>
      <c r="D1806" s="149"/>
      <c r="E1806" s="150"/>
      <c r="F1806" s="150"/>
      <c r="G1806" s="270"/>
      <c r="H1806" s="165"/>
      <c r="I1806" s="165"/>
      <c r="J1806" s="150"/>
      <c r="K1806" s="160"/>
      <c r="L1806" s="160"/>
      <c r="M1806" s="160"/>
      <c r="N1806" s="160"/>
      <c r="O1806" s="160"/>
      <c r="P1806" s="160"/>
      <c r="Q1806" s="160"/>
      <c r="R1806" s="160"/>
      <c r="S1806" s="160"/>
      <c r="T1806" s="160"/>
      <c r="U1806" s="160"/>
      <c r="V1806" s="160"/>
      <c r="W1806" s="160"/>
      <c r="X1806" s="160"/>
      <c r="Y1806" s="160"/>
      <c r="Z1806" s="160"/>
      <c r="AA1806" s="160"/>
      <c r="AB1806" s="160"/>
    </row>
    <row r="1807">
      <c r="A1807" s="176"/>
      <c r="B1807" s="269"/>
      <c r="C1807" s="269"/>
      <c r="D1807" s="149"/>
      <c r="E1807" s="150"/>
      <c r="F1807" s="150"/>
      <c r="G1807" s="270"/>
      <c r="H1807" s="165"/>
      <c r="I1807" s="165"/>
      <c r="J1807" s="150"/>
      <c r="K1807" s="160"/>
      <c r="L1807" s="160"/>
      <c r="M1807" s="160"/>
      <c r="N1807" s="160"/>
      <c r="O1807" s="160"/>
      <c r="P1807" s="160"/>
      <c r="Q1807" s="160"/>
      <c r="R1807" s="160"/>
      <c r="S1807" s="160"/>
      <c r="T1807" s="160"/>
      <c r="U1807" s="160"/>
      <c r="V1807" s="160"/>
      <c r="W1807" s="160"/>
      <c r="X1807" s="160"/>
      <c r="Y1807" s="160"/>
      <c r="Z1807" s="160"/>
      <c r="AA1807" s="160"/>
      <c r="AB1807" s="160"/>
    </row>
    <row r="1808">
      <c r="A1808" s="176"/>
      <c r="B1808" s="269"/>
      <c r="C1808" s="269"/>
      <c r="D1808" s="149"/>
      <c r="E1808" s="150"/>
      <c r="F1808" s="150"/>
      <c r="G1808" s="270"/>
      <c r="H1808" s="165"/>
      <c r="I1808" s="165"/>
      <c r="J1808" s="150"/>
      <c r="K1808" s="160"/>
      <c r="L1808" s="160"/>
      <c r="M1808" s="160"/>
      <c r="N1808" s="160"/>
      <c r="O1808" s="160"/>
      <c r="P1808" s="160"/>
      <c r="Q1808" s="160"/>
      <c r="R1808" s="160"/>
      <c r="S1808" s="160"/>
      <c r="T1808" s="160"/>
      <c r="U1808" s="160"/>
      <c r="V1808" s="160"/>
      <c r="W1808" s="160"/>
      <c r="X1808" s="160"/>
      <c r="Y1808" s="160"/>
      <c r="Z1808" s="160"/>
      <c r="AA1808" s="160"/>
      <c r="AB1808" s="160"/>
    </row>
    <row r="1809">
      <c r="A1809" s="176"/>
      <c r="B1809" s="269"/>
      <c r="C1809" s="269"/>
      <c r="D1809" s="149"/>
      <c r="E1809" s="150"/>
      <c r="F1809" s="150"/>
      <c r="G1809" s="270"/>
      <c r="H1809" s="165"/>
      <c r="I1809" s="165"/>
      <c r="J1809" s="150"/>
      <c r="K1809" s="160"/>
      <c r="L1809" s="160"/>
      <c r="M1809" s="160"/>
      <c r="N1809" s="160"/>
      <c r="O1809" s="160"/>
      <c r="P1809" s="160"/>
      <c r="Q1809" s="160"/>
      <c r="R1809" s="160"/>
      <c r="S1809" s="160"/>
      <c r="T1809" s="160"/>
      <c r="U1809" s="160"/>
      <c r="V1809" s="160"/>
      <c r="W1809" s="160"/>
      <c r="X1809" s="160"/>
      <c r="Y1809" s="160"/>
      <c r="Z1809" s="160"/>
      <c r="AA1809" s="160"/>
      <c r="AB1809" s="160"/>
    </row>
    <row r="1810">
      <c r="A1810" s="176"/>
      <c r="B1810" s="269"/>
      <c r="C1810" s="269"/>
      <c r="D1810" s="149"/>
      <c r="E1810" s="150"/>
      <c r="F1810" s="150"/>
      <c r="G1810" s="270"/>
      <c r="H1810" s="165"/>
      <c r="I1810" s="165"/>
      <c r="J1810" s="150"/>
      <c r="K1810" s="160"/>
      <c r="L1810" s="160"/>
      <c r="M1810" s="160"/>
      <c r="N1810" s="160"/>
      <c r="O1810" s="160"/>
      <c r="P1810" s="160"/>
      <c r="Q1810" s="160"/>
      <c r="R1810" s="160"/>
      <c r="S1810" s="160"/>
      <c r="T1810" s="160"/>
      <c r="U1810" s="160"/>
      <c r="V1810" s="160"/>
      <c r="W1810" s="160"/>
      <c r="X1810" s="160"/>
      <c r="Y1810" s="160"/>
      <c r="Z1810" s="160"/>
      <c r="AA1810" s="160"/>
      <c r="AB1810" s="160"/>
    </row>
    <row r="1811">
      <c r="A1811" s="176"/>
      <c r="B1811" s="269"/>
      <c r="C1811" s="269"/>
      <c r="D1811" s="149"/>
      <c r="E1811" s="150"/>
      <c r="F1811" s="150"/>
      <c r="G1811" s="270"/>
      <c r="H1811" s="165"/>
      <c r="I1811" s="165"/>
      <c r="J1811" s="150"/>
      <c r="K1811" s="160"/>
      <c r="L1811" s="160"/>
      <c r="M1811" s="160"/>
      <c r="N1811" s="160"/>
      <c r="O1811" s="160"/>
      <c r="P1811" s="160"/>
      <c r="Q1811" s="160"/>
      <c r="R1811" s="160"/>
      <c r="S1811" s="160"/>
      <c r="T1811" s="160"/>
      <c r="U1811" s="160"/>
      <c r="V1811" s="160"/>
      <c r="W1811" s="160"/>
      <c r="X1811" s="160"/>
      <c r="Y1811" s="160"/>
      <c r="Z1811" s="160"/>
      <c r="AA1811" s="160"/>
      <c r="AB1811" s="160"/>
    </row>
    <row r="1812">
      <c r="A1812" s="176"/>
      <c r="B1812" s="269"/>
      <c r="C1812" s="269"/>
      <c r="D1812" s="149"/>
      <c r="E1812" s="150"/>
      <c r="F1812" s="150"/>
      <c r="G1812" s="270"/>
      <c r="H1812" s="165"/>
      <c r="I1812" s="165"/>
      <c r="J1812" s="150"/>
      <c r="K1812" s="160"/>
      <c r="L1812" s="160"/>
      <c r="M1812" s="160"/>
      <c r="N1812" s="160"/>
      <c r="O1812" s="160"/>
      <c r="P1812" s="160"/>
      <c r="Q1812" s="160"/>
      <c r="R1812" s="160"/>
      <c r="S1812" s="160"/>
      <c r="T1812" s="160"/>
      <c r="U1812" s="160"/>
      <c r="V1812" s="160"/>
      <c r="W1812" s="160"/>
      <c r="X1812" s="160"/>
      <c r="Y1812" s="160"/>
      <c r="Z1812" s="160"/>
      <c r="AA1812" s="160"/>
      <c r="AB1812" s="160"/>
    </row>
    <row r="1813">
      <c r="A1813" s="176"/>
      <c r="B1813" s="269"/>
      <c r="C1813" s="269"/>
      <c r="D1813" s="149"/>
      <c r="E1813" s="150"/>
      <c r="F1813" s="150"/>
      <c r="G1813" s="270"/>
      <c r="H1813" s="165"/>
      <c r="I1813" s="165"/>
      <c r="J1813" s="150"/>
      <c r="K1813" s="160"/>
      <c r="L1813" s="160"/>
      <c r="M1813" s="160"/>
      <c r="N1813" s="160"/>
      <c r="O1813" s="160"/>
      <c r="P1813" s="160"/>
      <c r="Q1813" s="160"/>
      <c r="R1813" s="160"/>
      <c r="S1813" s="160"/>
      <c r="T1813" s="160"/>
      <c r="U1813" s="160"/>
      <c r="V1813" s="160"/>
      <c r="W1813" s="160"/>
      <c r="X1813" s="160"/>
      <c r="Y1813" s="160"/>
      <c r="Z1813" s="160"/>
      <c r="AA1813" s="160"/>
      <c r="AB1813" s="160"/>
    </row>
    <row r="1814">
      <c r="A1814" s="176"/>
      <c r="B1814" s="269"/>
      <c r="C1814" s="269"/>
      <c r="D1814" s="149"/>
      <c r="E1814" s="150"/>
      <c r="F1814" s="150"/>
      <c r="G1814" s="270"/>
      <c r="H1814" s="165"/>
      <c r="I1814" s="165"/>
      <c r="J1814" s="150"/>
      <c r="K1814" s="160"/>
      <c r="L1814" s="160"/>
      <c r="M1814" s="160"/>
      <c r="N1814" s="160"/>
      <c r="O1814" s="160"/>
      <c r="P1814" s="160"/>
      <c r="Q1814" s="160"/>
      <c r="R1814" s="160"/>
      <c r="S1814" s="160"/>
      <c r="T1814" s="160"/>
      <c r="U1814" s="160"/>
      <c r="V1814" s="160"/>
      <c r="W1814" s="160"/>
      <c r="X1814" s="160"/>
      <c r="Y1814" s="160"/>
      <c r="Z1814" s="160"/>
      <c r="AA1814" s="160"/>
      <c r="AB1814" s="160"/>
    </row>
    <row r="1815">
      <c r="A1815" s="176"/>
      <c r="B1815" s="269"/>
      <c r="C1815" s="269"/>
      <c r="D1815" s="149"/>
      <c r="E1815" s="150"/>
      <c r="F1815" s="150"/>
      <c r="G1815" s="270"/>
      <c r="H1815" s="165"/>
      <c r="I1815" s="165"/>
      <c r="J1815" s="150"/>
      <c r="K1815" s="160"/>
      <c r="L1815" s="160"/>
      <c r="M1815" s="160"/>
      <c r="N1815" s="160"/>
      <c r="O1815" s="160"/>
      <c r="P1815" s="160"/>
      <c r="Q1815" s="160"/>
      <c r="R1815" s="160"/>
      <c r="S1815" s="160"/>
      <c r="T1815" s="160"/>
      <c r="U1815" s="160"/>
      <c r="V1815" s="160"/>
      <c r="W1815" s="160"/>
      <c r="X1815" s="160"/>
      <c r="Y1815" s="160"/>
      <c r="Z1815" s="160"/>
      <c r="AA1815" s="160"/>
      <c r="AB1815" s="160"/>
    </row>
    <row r="1816">
      <c r="A1816" s="176"/>
      <c r="B1816" s="269"/>
      <c r="C1816" s="269"/>
      <c r="D1816" s="149"/>
      <c r="E1816" s="150"/>
      <c r="F1816" s="150"/>
      <c r="G1816" s="270"/>
      <c r="H1816" s="165"/>
      <c r="I1816" s="165"/>
      <c r="J1816" s="150"/>
      <c r="K1816" s="160"/>
      <c r="L1816" s="160"/>
      <c r="M1816" s="160"/>
      <c r="N1816" s="160"/>
      <c r="O1816" s="160"/>
      <c r="P1816" s="160"/>
      <c r="Q1816" s="160"/>
      <c r="R1816" s="160"/>
      <c r="S1816" s="160"/>
      <c r="T1816" s="160"/>
      <c r="U1816" s="160"/>
      <c r="V1816" s="160"/>
      <c r="W1816" s="160"/>
      <c r="X1816" s="160"/>
      <c r="Y1816" s="160"/>
      <c r="Z1816" s="160"/>
      <c r="AA1816" s="160"/>
      <c r="AB1816" s="160"/>
    </row>
    <row r="1817">
      <c r="A1817" s="176"/>
      <c r="B1817" s="269"/>
      <c r="C1817" s="269"/>
      <c r="D1817" s="149"/>
      <c r="E1817" s="150"/>
      <c r="F1817" s="150"/>
      <c r="G1817" s="270"/>
      <c r="H1817" s="165"/>
      <c r="I1817" s="165"/>
      <c r="J1817" s="150"/>
      <c r="K1817" s="160"/>
      <c r="L1817" s="160"/>
      <c r="M1817" s="160"/>
      <c r="N1817" s="160"/>
      <c r="O1817" s="160"/>
      <c r="P1817" s="160"/>
      <c r="Q1817" s="160"/>
      <c r="R1817" s="160"/>
      <c r="S1817" s="160"/>
      <c r="T1817" s="160"/>
      <c r="U1817" s="160"/>
      <c r="V1817" s="160"/>
      <c r="W1817" s="160"/>
      <c r="X1817" s="160"/>
      <c r="Y1817" s="160"/>
      <c r="Z1817" s="160"/>
      <c r="AA1817" s="160"/>
      <c r="AB1817" s="160"/>
    </row>
    <row r="1818">
      <c r="A1818" s="176"/>
      <c r="B1818" s="269"/>
      <c r="C1818" s="269"/>
      <c r="D1818" s="149"/>
      <c r="E1818" s="150"/>
      <c r="F1818" s="150"/>
      <c r="G1818" s="270"/>
      <c r="H1818" s="165"/>
      <c r="I1818" s="165"/>
      <c r="J1818" s="150"/>
      <c r="K1818" s="160"/>
      <c r="L1818" s="160"/>
      <c r="M1818" s="160"/>
      <c r="N1818" s="160"/>
      <c r="O1818" s="160"/>
      <c r="P1818" s="160"/>
      <c r="Q1818" s="160"/>
      <c r="R1818" s="160"/>
      <c r="S1818" s="160"/>
      <c r="T1818" s="160"/>
      <c r="U1818" s="160"/>
      <c r="V1818" s="160"/>
      <c r="W1818" s="160"/>
      <c r="X1818" s="160"/>
      <c r="Y1818" s="160"/>
      <c r="Z1818" s="160"/>
      <c r="AA1818" s="160"/>
      <c r="AB1818" s="160"/>
    </row>
    <row r="1819">
      <c r="A1819" s="176"/>
      <c r="B1819" s="269"/>
      <c r="C1819" s="269"/>
      <c r="D1819" s="149"/>
      <c r="E1819" s="150"/>
      <c r="F1819" s="150"/>
      <c r="G1819" s="270"/>
      <c r="H1819" s="165"/>
      <c r="I1819" s="165"/>
      <c r="J1819" s="150"/>
      <c r="K1819" s="160"/>
      <c r="L1819" s="160"/>
      <c r="M1819" s="160"/>
      <c r="N1819" s="160"/>
      <c r="O1819" s="160"/>
      <c r="P1819" s="160"/>
      <c r="Q1819" s="160"/>
      <c r="R1819" s="160"/>
      <c r="S1819" s="160"/>
      <c r="T1819" s="160"/>
      <c r="U1819" s="160"/>
      <c r="V1819" s="160"/>
      <c r="W1819" s="160"/>
      <c r="X1819" s="160"/>
      <c r="Y1819" s="160"/>
      <c r="Z1819" s="160"/>
      <c r="AA1819" s="160"/>
      <c r="AB1819" s="160"/>
    </row>
    <row r="1820">
      <c r="A1820" s="176"/>
      <c r="B1820" s="269"/>
      <c r="C1820" s="269"/>
      <c r="D1820" s="149"/>
      <c r="E1820" s="150"/>
      <c r="F1820" s="150"/>
      <c r="G1820" s="270"/>
      <c r="H1820" s="165"/>
      <c r="I1820" s="165"/>
      <c r="J1820" s="150"/>
      <c r="K1820" s="160"/>
      <c r="L1820" s="160"/>
      <c r="M1820" s="160"/>
      <c r="N1820" s="160"/>
      <c r="O1820" s="160"/>
      <c r="P1820" s="160"/>
      <c r="Q1820" s="160"/>
      <c r="R1820" s="160"/>
      <c r="S1820" s="160"/>
      <c r="T1820" s="160"/>
      <c r="U1820" s="160"/>
      <c r="V1820" s="160"/>
      <c r="W1820" s="160"/>
      <c r="X1820" s="160"/>
      <c r="Y1820" s="160"/>
      <c r="Z1820" s="160"/>
      <c r="AA1820" s="160"/>
      <c r="AB1820" s="160"/>
    </row>
    <row r="1821">
      <c r="A1821" s="176"/>
      <c r="B1821" s="269"/>
      <c r="C1821" s="269"/>
      <c r="D1821" s="149"/>
      <c r="E1821" s="150"/>
      <c r="F1821" s="150"/>
      <c r="G1821" s="270"/>
      <c r="H1821" s="165"/>
      <c r="I1821" s="165"/>
      <c r="J1821" s="150"/>
      <c r="K1821" s="160"/>
      <c r="L1821" s="160"/>
      <c r="M1821" s="160"/>
      <c r="N1821" s="160"/>
      <c r="O1821" s="160"/>
      <c r="P1821" s="160"/>
      <c r="Q1821" s="160"/>
      <c r="R1821" s="160"/>
      <c r="S1821" s="160"/>
      <c r="T1821" s="160"/>
      <c r="U1821" s="160"/>
      <c r="V1821" s="160"/>
      <c r="W1821" s="160"/>
      <c r="X1821" s="160"/>
      <c r="Y1821" s="160"/>
      <c r="Z1821" s="160"/>
      <c r="AA1821" s="160"/>
      <c r="AB1821" s="160"/>
    </row>
    <row r="1822">
      <c r="A1822" s="176"/>
      <c r="B1822" s="269"/>
      <c r="C1822" s="269"/>
      <c r="D1822" s="149"/>
      <c r="E1822" s="150"/>
      <c r="F1822" s="150"/>
      <c r="G1822" s="270"/>
      <c r="H1822" s="165"/>
      <c r="I1822" s="165"/>
      <c r="J1822" s="150"/>
      <c r="K1822" s="160"/>
      <c r="L1822" s="160"/>
      <c r="M1822" s="160"/>
      <c r="N1822" s="160"/>
      <c r="O1822" s="160"/>
      <c r="P1822" s="160"/>
      <c r="Q1822" s="160"/>
      <c r="R1822" s="160"/>
      <c r="S1822" s="160"/>
      <c r="T1822" s="160"/>
      <c r="U1822" s="160"/>
      <c r="V1822" s="160"/>
      <c r="W1822" s="160"/>
      <c r="X1822" s="160"/>
      <c r="Y1822" s="160"/>
      <c r="Z1822" s="160"/>
      <c r="AA1822" s="160"/>
      <c r="AB1822" s="160"/>
    </row>
    <row r="1823">
      <c r="A1823" s="176"/>
      <c r="B1823" s="269"/>
      <c r="C1823" s="269"/>
      <c r="D1823" s="149"/>
      <c r="E1823" s="150"/>
      <c r="F1823" s="150"/>
      <c r="G1823" s="270"/>
      <c r="H1823" s="165"/>
      <c r="I1823" s="165"/>
      <c r="J1823" s="150"/>
      <c r="K1823" s="160"/>
      <c r="L1823" s="160"/>
      <c r="M1823" s="160"/>
      <c r="N1823" s="160"/>
      <c r="O1823" s="160"/>
      <c r="P1823" s="160"/>
      <c r="Q1823" s="160"/>
      <c r="R1823" s="160"/>
      <c r="S1823" s="160"/>
      <c r="T1823" s="160"/>
      <c r="U1823" s="160"/>
      <c r="V1823" s="160"/>
      <c r="W1823" s="160"/>
      <c r="X1823" s="160"/>
      <c r="Y1823" s="160"/>
      <c r="Z1823" s="160"/>
      <c r="AA1823" s="160"/>
      <c r="AB1823" s="160"/>
    </row>
    <row r="1824">
      <c r="A1824" s="176"/>
      <c r="B1824" s="269"/>
      <c r="C1824" s="269"/>
      <c r="D1824" s="149"/>
      <c r="E1824" s="150"/>
      <c r="F1824" s="150"/>
      <c r="G1824" s="270"/>
      <c r="H1824" s="165"/>
      <c r="I1824" s="165"/>
      <c r="J1824" s="150"/>
      <c r="K1824" s="160"/>
      <c r="L1824" s="160"/>
      <c r="M1824" s="160"/>
      <c r="N1824" s="160"/>
      <c r="O1824" s="160"/>
      <c r="P1824" s="160"/>
      <c r="Q1824" s="160"/>
      <c r="R1824" s="160"/>
      <c r="S1824" s="160"/>
      <c r="T1824" s="160"/>
      <c r="U1824" s="160"/>
      <c r="V1824" s="160"/>
      <c r="W1824" s="160"/>
      <c r="X1824" s="160"/>
      <c r="Y1824" s="160"/>
      <c r="Z1824" s="160"/>
      <c r="AA1824" s="160"/>
      <c r="AB1824" s="160"/>
    </row>
    <row r="1825">
      <c r="A1825" s="176"/>
      <c r="B1825" s="269"/>
      <c r="C1825" s="269"/>
      <c r="D1825" s="149"/>
      <c r="E1825" s="150"/>
      <c r="F1825" s="150"/>
      <c r="G1825" s="270"/>
      <c r="H1825" s="165"/>
      <c r="I1825" s="165"/>
      <c r="J1825" s="150"/>
      <c r="K1825" s="160"/>
      <c r="L1825" s="160"/>
      <c r="M1825" s="160"/>
      <c r="N1825" s="160"/>
      <c r="O1825" s="160"/>
      <c r="P1825" s="160"/>
      <c r="Q1825" s="160"/>
      <c r="R1825" s="160"/>
      <c r="S1825" s="160"/>
      <c r="T1825" s="160"/>
      <c r="U1825" s="160"/>
      <c r="V1825" s="160"/>
      <c r="W1825" s="160"/>
      <c r="X1825" s="160"/>
      <c r="Y1825" s="160"/>
      <c r="Z1825" s="160"/>
      <c r="AA1825" s="160"/>
      <c r="AB1825" s="160"/>
    </row>
    <row r="1826">
      <c r="A1826" s="176"/>
      <c r="B1826" s="269"/>
      <c r="C1826" s="269"/>
      <c r="D1826" s="149"/>
      <c r="E1826" s="150"/>
      <c r="F1826" s="150"/>
      <c r="G1826" s="270"/>
      <c r="H1826" s="165"/>
      <c r="I1826" s="165"/>
      <c r="J1826" s="150"/>
      <c r="K1826" s="160"/>
      <c r="L1826" s="160"/>
      <c r="M1826" s="160"/>
      <c r="N1826" s="160"/>
      <c r="O1826" s="160"/>
      <c r="P1826" s="160"/>
      <c r="Q1826" s="160"/>
      <c r="R1826" s="160"/>
      <c r="S1826" s="160"/>
      <c r="T1826" s="160"/>
      <c r="U1826" s="160"/>
      <c r="V1826" s="160"/>
      <c r="W1826" s="160"/>
      <c r="X1826" s="160"/>
      <c r="Y1826" s="160"/>
      <c r="Z1826" s="160"/>
      <c r="AA1826" s="160"/>
      <c r="AB1826" s="160"/>
    </row>
    <row r="1827">
      <c r="A1827" s="176"/>
      <c r="B1827" s="269"/>
      <c r="C1827" s="269"/>
      <c r="D1827" s="149"/>
      <c r="E1827" s="150"/>
      <c r="F1827" s="150"/>
      <c r="G1827" s="270"/>
      <c r="H1827" s="165"/>
      <c r="I1827" s="165"/>
      <c r="J1827" s="150"/>
      <c r="K1827" s="160"/>
      <c r="L1827" s="160"/>
      <c r="M1827" s="160"/>
      <c r="N1827" s="160"/>
      <c r="O1827" s="160"/>
      <c r="P1827" s="160"/>
      <c r="Q1827" s="160"/>
      <c r="R1827" s="160"/>
      <c r="S1827" s="160"/>
      <c r="T1827" s="160"/>
      <c r="U1827" s="160"/>
      <c r="V1827" s="160"/>
      <c r="W1827" s="160"/>
      <c r="X1827" s="160"/>
      <c r="Y1827" s="160"/>
      <c r="Z1827" s="160"/>
      <c r="AA1827" s="160"/>
      <c r="AB1827" s="160"/>
    </row>
    <row r="1828">
      <c r="A1828" s="176"/>
      <c r="B1828" s="269"/>
      <c r="C1828" s="269"/>
      <c r="D1828" s="149"/>
      <c r="E1828" s="150"/>
      <c r="F1828" s="150"/>
      <c r="G1828" s="270"/>
      <c r="H1828" s="165"/>
      <c r="I1828" s="165"/>
      <c r="J1828" s="150"/>
      <c r="K1828" s="160"/>
      <c r="L1828" s="160"/>
      <c r="M1828" s="160"/>
      <c r="N1828" s="160"/>
      <c r="O1828" s="160"/>
      <c r="P1828" s="160"/>
      <c r="Q1828" s="160"/>
      <c r="R1828" s="160"/>
      <c r="S1828" s="160"/>
      <c r="T1828" s="160"/>
      <c r="U1828" s="160"/>
      <c r="V1828" s="160"/>
      <c r="W1828" s="160"/>
      <c r="X1828" s="160"/>
      <c r="Y1828" s="160"/>
      <c r="Z1828" s="160"/>
      <c r="AA1828" s="160"/>
      <c r="AB1828" s="160"/>
    </row>
    <row r="1829">
      <c r="A1829" s="176"/>
      <c r="B1829" s="269"/>
      <c r="C1829" s="269"/>
      <c r="D1829" s="149"/>
      <c r="E1829" s="150"/>
      <c r="F1829" s="150"/>
      <c r="G1829" s="270"/>
      <c r="H1829" s="165"/>
      <c r="I1829" s="165"/>
      <c r="J1829" s="150"/>
      <c r="K1829" s="160"/>
      <c r="L1829" s="160"/>
      <c r="M1829" s="160"/>
      <c r="N1829" s="160"/>
      <c r="O1829" s="160"/>
      <c r="P1829" s="160"/>
      <c r="Q1829" s="160"/>
      <c r="R1829" s="160"/>
      <c r="S1829" s="160"/>
      <c r="T1829" s="160"/>
      <c r="U1829" s="160"/>
      <c r="V1829" s="160"/>
      <c r="W1829" s="160"/>
      <c r="X1829" s="160"/>
      <c r="Y1829" s="160"/>
      <c r="Z1829" s="160"/>
      <c r="AA1829" s="160"/>
      <c r="AB1829" s="160"/>
    </row>
    <row r="1830">
      <c r="A1830" s="176"/>
      <c r="B1830" s="269"/>
      <c r="C1830" s="269"/>
      <c r="D1830" s="149"/>
      <c r="E1830" s="150"/>
      <c r="F1830" s="150"/>
      <c r="G1830" s="270"/>
      <c r="H1830" s="165"/>
      <c r="I1830" s="165"/>
      <c r="J1830" s="150"/>
      <c r="K1830" s="160"/>
      <c r="L1830" s="160"/>
      <c r="M1830" s="160"/>
      <c r="N1830" s="160"/>
      <c r="O1830" s="160"/>
      <c r="P1830" s="160"/>
      <c r="Q1830" s="160"/>
      <c r="R1830" s="160"/>
      <c r="S1830" s="160"/>
      <c r="T1830" s="160"/>
      <c r="U1830" s="160"/>
      <c r="V1830" s="160"/>
      <c r="W1830" s="160"/>
      <c r="X1830" s="160"/>
      <c r="Y1830" s="160"/>
      <c r="Z1830" s="160"/>
      <c r="AA1830" s="160"/>
      <c r="AB1830" s="160"/>
    </row>
    <row r="1831">
      <c r="A1831" s="176"/>
      <c r="B1831" s="269"/>
      <c r="C1831" s="269"/>
      <c r="D1831" s="149"/>
      <c r="E1831" s="150"/>
      <c r="F1831" s="150"/>
      <c r="G1831" s="270"/>
      <c r="H1831" s="165"/>
      <c r="I1831" s="165"/>
      <c r="J1831" s="150"/>
      <c r="K1831" s="160"/>
      <c r="L1831" s="160"/>
      <c r="M1831" s="160"/>
      <c r="N1831" s="160"/>
      <c r="O1831" s="160"/>
      <c r="P1831" s="160"/>
      <c r="Q1831" s="160"/>
      <c r="R1831" s="160"/>
      <c r="S1831" s="160"/>
      <c r="T1831" s="160"/>
      <c r="U1831" s="160"/>
      <c r="V1831" s="160"/>
      <c r="W1831" s="160"/>
      <c r="X1831" s="160"/>
      <c r="Y1831" s="160"/>
      <c r="Z1831" s="160"/>
      <c r="AA1831" s="160"/>
      <c r="AB1831" s="160"/>
    </row>
    <row r="1832">
      <c r="A1832" s="176"/>
      <c r="B1832" s="269"/>
      <c r="C1832" s="269"/>
      <c r="D1832" s="149"/>
      <c r="E1832" s="150"/>
      <c r="F1832" s="150"/>
      <c r="G1832" s="270"/>
      <c r="H1832" s="165"/>
      <c r="I1832" s="165"/>
      <c r="J1832" s="150"/>
      <c r="K1832" s="160"/>
      <c r="L1832" s="160"/>
      <c r="M1832" s="160"/>
      <c r="N1832" s="160"/>
      <c r="O1832" s="160"/>
      <c r="P1832" s="160"/>
      <c r="Q1832" s="160"/>
      <c r="R1832" s="160"/>
      <c r="S1832" s="160"/>
      <c r="T1832" s="160"/>
      <c r="U1832" s="160"/>
      <c r="V1832" s="160"/>
      <c r="W1832" s="160"/>
      <c r="X1832" s="160"/>
      <c r="Y1832" s="160"/>
      <c r="Z1832" s="160"/>
      <c r="AA1832" s="160"/>
      <c r="AB1832" s="160"/>
    </row>
    <row r="1833">
      <c r="A1833" s="176"/>
      <c r="B1833" s="269"/>
      <c r="C1833" s="269"/>
      <c r="D1833" s="149"/>
      <c r="E1833" s="150"/>
      <c r="F1833" s="150"/>
      <c r="G1833" s="270"/>
      <c r="H1833" s="165"/>
      <c r="I1833" s="165"/>
      <c r="J1833" s="150"/>
      <c r="K1833" s="160"/>
      <c r="L1833" s="160"/>
      <c r="M1833" s="160"/>
      <c r="N1833" s="160"/>
      <c r="O1833" s="160"/>
      <c r="P1833" s="160"/>
      <c r="Q1833" s="160"/>
      <c r="R1833" s="160"/>
      <c r="S1833" s="160"/>
      <c r="T1833" s="160"/>
      <c r="U1833" s="160"/>
      <c r="V1833" s="160"/>
      <c r="W1833" s="160"/>
      <c r="X1833" s="160"/>
      <c r="Y1833" s="160"/>
      <c r="Z1833" s="160"/>
      <c r="AA1833" s="160"/>
      <c r="AB1833" s="160"/>
    </row>
    <row r="1834">
      <c r="A1834" s="176"/>
      <c r="B1834" s="269"/>
      <c r="C1834" s="269"/>
      <c r="D1834" s="149"/>
      <c r="E1834" s="150"/>
      <c r="F1834" s="150"/>
      <c r="G1834" s="270"/>
      <c r="H1834" s="165"/>
      <c r="I1834" s="165"/>
      <c r="J1834" s="150"/>
      <c r="K1834" s="160"/>
      <c r="L1834" s="160"/>
      <c r="M1834" s="160"/>
      <c r="N1834" s="160"/>
      <c r="O1834" s="160"/>
      <c r="P1834" s="160"/>
      <c r="Q1834" s="160"/>
      <c r="R1834" s="160"/>
      <c r="S1834" s="160"/>
      <c r="T1834" s="160"/>
      <c r="U1834" s="160"/>
      <c r="V1834" s="160"/>
      <c r="W1834" s="160"/>
      <c r="X1834" s="160"/>
      <c r="Y1834" s="160"/>
      <c r="Z1834" s="160"/>
      <c r="AA1834" s="160"/>
      <c r="AB1834" s="160"/>
    </row>
    <row r="1835">
      <c r="A1835" s="176"/>
      <c r="B1835" s="269"/>
      <c r="C1835" s="269"/>
      <c r="D1835" s="149"/>
      <c r="E1835" s="150"/>
      <c r="F1835" s="150"/>
      <c r="G1835" s="270"/>
      <c r="H1835" s="165"/>
      <c r="I1835" s="165"/>
      <c r="J1835" s="150"/>
      <c r="K1835" s="160"/>
      <c r="L1835" s="160"/>
      <c r="M1835" s="160"/>
      <c r="N1835" s="160"/>
      <c r="O1835" s="160"/>
      <c r="P1835" s="160"/>
      <c r="Q1835" s="160"/>
      <c r="R1835" s="160"/>
      <c r="S1835" s="160"/>
      <c r="T1835" s="160"/>
      <c r="U1835" s="160"/>
      <c r="V1835" s="160"/>
      <c r="W1835" s="160"/>
      <c r="X1835" s="160"/>
      <c r="Y1835" s="160"/>
      <c r="Z1835" s="160"/>
      <c r="AA1835" s="160"/>
      <c r="AB1835" s="160"/>
    </row>
    <row r="1836">
      <c r="A1836" s="176"/>
      <c r="B1836" s="269"/>
      <c r="C1836" s="269"/>
      <c r="D1836" s="149"/>
      <c r="E1836" s="150"/>
      <c r="F1836" s="150"/>
      <c r="G1836" s="270"/>
      <c r="H1836" s="165"/>
      <c r="I1836" s="165"/>
      <c r="J1836" s="150"/>
      <c r="K1836" s="160"/>
      <c r="L1836" s="160"/>
      <c r="M1836" s="160"/>
      <c r="N1836" s="160"/>
      <c r="O1836" s="160"/>
      <c r="P1836" s="160"/>
      <c r="Q1836" s="160"/>
      <c r="R1836" s="160"/>
      <c r="S1836" s="160"/>
      <c r="T1836" s="160"/>
      <c r="U1836" s="160"/>
      <c r="V1836" s="160"/>
      <c r="W1836" s="160"/>
      <c r="X1836" s="160"/>
      <c r="Y1836" s="160"/>
      <c r="Z1836" s="160"/>
      <c r="AA1836" s="160"/>
      <c r="AB1836" s="160"/>
    </row>
    <row r="1837">
      <c r="A1837" s="176"/>
      <c r="B1837" s="269"/>
      <c r="C1837" s="269"/>
      <c r="D1837" s="149"/>
      <c r="E1837" s="150"/>
      <c r="F1837" s="150"/>
      <c r="G1837" s="270"/>
      <c r="H1837" s="165"/>
      <c r="I1837" s="165"/>
      <c r="J1837" s="150"/>
      <c r="K1837" s="160"/>
      <c r="L1837" s="160"/>
      <c r="M1837" s="160"/>
      <c r="N1837" s="160"/>
      <c r="O1837" s="160"/>
      <c r="P1837" s="160"/>
      <c r="Q1837" s="160"/>
      <c r="R1837" s="160"/>
      <c r="S1837" s="160"/>
      <c r="T1837" s="160"/>
      <c r="U1837" s="160"/>
      <c r="V1837" s="160"/>
      <c r="W1837" s="160"/>
      <c r="X1837" s="160"/>
      <c r="Y1837" s="160"/>
      <c r="Z1837" s="160"/>
      <c r="AA1837" s="160"/>
      <c r="AB1837" s="160"/>
    </row>
    <row r="1838">
      <c r="A1838" s="176"/>
      <c r="B1838" s="269"/>
      <c r="C1838" s="269"/>
      <c r="D1838" s="149"/>
      <c r="E1838" s="150"/>
      <c r="F1838" s="150"/>
      <c r="G1838" s="270"/>
      <c r="H1838" s="165"/>
      <c r="I1838" s="165"/>
      <c r="J1838" s="150"/>
      <c r="K1838" s="160"/>
      <c r="L1838" s="160"/>
      <c r="M1838" s="160"/>
      <c r="N1838" s="160"/>
      <c r="O1838" s="160"/>
      <c r="P1838" s="160"/>
      <c r="Q1838" s="160"/>
      <c r="R1838" s="160"/>
      <c r="S1838" s="160"/>
      <c r="T1838" s="160"/>
      <c r="U1838" s="160"/>
      <c r="V1838" s="160"/>
      <c r="W1838" s="160"/>
      <c r="X1838" s="160"/>
      <c r="Y1838" s="160"/>
      <c r="Z1838" s="160"/>
      <c r="AA1838" s="160"/>
      <c r="AB1838" s="160"/>
    </row>
    <row r="1839">
      <c r="A1839" s="176"/>
      <c r="B1839" s="269"/>
      <c r="C1839" s="269"/>
      <c r="D1839" s="149"/>
      <c r="E1839" s="150"/>
      <c r="F1839" s="150"/>
      <c r="G1839" s="270"/>
      <c r="H1839" s="165"/>
      <c r="I1839" s="165"/>
      <c r="J1839" s="150"/>
      <c r="K1839" s="160"/>
      <c r="L1839" s="160"/>
      <c r="M1839" s="160"/>
      <c r="N1839" s="160"/>
      <c r="O1839" s="160"/>
      <c r="P1839" s="160"/>
      <c r="Q1839" s="160"/>
      <c r="R1839" s="160"/>
      <c r="S1839" s="160"/>
      <c r="T1839" s="160"/>
      <c r="U1839" s="160"/>
      <c r="V1839" s="160"/>
      <c r="W1839" s="160"/>
      <c r="X1839" s="160"/>
      <c r="Y1839" s="160"/>
      <c r="Z1839" s="160"/>
      <c r="AA1839" s="160"/>
      <c r="AB1839" s="160"/>
    </row>
    <row r="1840">
      <c r="A1840" s="176"/>
      <c r="B1840" s="269"/>
      <c r="C1840" s="269"/>
      <c r="D1840" s="149"/>
      <c r="E1840" s="150"/>
      <c r="F1840" s="150"/>
      <c r="G1840" s="270"/>
      <c r="H1840" s="165"/>
      <c r="I1840" s="165"/>
      <c r="J1840" s="150"/>
      <c r="K1840" s="160"/>
      <c r="L1840" s="160"/>
      <c r="M1840" s="160"/>
      <c r="N1840" s="160"/>
      <c r="O1840" s="160"/>
      <c r="P1840" s="160"/>
      <c r="Q1840" s="160"/>
      <c r="R1840" s="160"/>
      <c r="S1840" s="160"/>
      <c r="T1840" s="160"/>
      <c r="U1840" s="160"/>
      <c r="V1840" s="160"/>
      <c r="W1840" s="160"/>
      <c r="X1840" s="160"/>
      <c r="Y1840" s="160"/>
      <c r="Z1840" s="160"/>
      <c r="AA1840" s="160"/>
      <c r="AB1840" s="160"/>
    </row>
    <row r="1841">
      <c r="A1841" s="176"/>
      <c r="B1841" s="269"/>
      <c r="C1841" s="269"/>
      <c r="D1841" s="149"/>
      <c r="E1841" s="150"/>
      <c r="F1841" s="150"/>
      <c r="G1841" s="270"/>
      <c r="H1841" s="165"/>
      <c r="I1841" s="165"/>
      <c r="J1841" s="150"/>
      <c r="K1841" s="160"/>
      <c r="L1841" s="160"/>
      <c r="M1841" s="160"/>
      <c r="N1841" s="160"/>
      <c r="O1841" s="160"/>
      <c r="P1841" s="160"/>
      <c r="Q1841" s="160"/>
      <c r="R1841" s="160"/>
      <c r="S1841" s="160"/>
      <c r="T1841" s="160"/>
      <c r="U1841" s="160"/>
      <c r="V1841" s="160"/>
      <c r="W1841" s="160"/>
      <c r="X1841" s="160"/>
      <c r="Y1841" s="160"/>
      <c r="Z1841" s="160"/>
      <c r="AA1841" s="160"/>
      <c r="AB1841" s="160"/>
    </row>
    <row r="1842">
      <c r="A1842" s="176"/>
      <c r="B1842" s="269"/>
      <c r="C1842" s="269"/>
      <c r="D1842" s="149"/>
      <c r="E1842" s="150"/>
      <c r="F1842" s="150"/>
      <c r="G1842" s="270"/>
      <c r="H1842" s="165"/>
      <c r="I1842" s="165"/>
      <c r="J1842" s="150"/>
      <c r="K1842" s="160"/>
      <c r="L1842" s="160"/>
      <c r="M1842" s="160"/>
      <c r="N1842" s="160"/>
      <c r="O1842" s="160"/>
      <c r="P1842" s="160"/>
      <c r="Q1842" s="160"/>
      <c r="R1842" s="160"/>
      <c r="S1842" s="160"/>
      <c r="T1842" s="160"/>
      <c r="U1842" s="160"/>
      <c r="V1842" s="160"/>
      <c r="W1842" s="160"/>
      <c r="X1842" s="160"/>
      <c r="Y1842" s="160"/>
      <c r="Z1842" s="160"/>
      <c r="AA1842" s="160"/>
      <c r="AB1842" s="160"/>
    </row>
    <row r="1843">
      <c r="A1843" s="176"/>
      <c r="B1843" s="269"/>
      <c r="C1843" s="269"/>
      <c r="D1843" s="149"/>
      <c r="E1843" s="150"/>
      <c r="F1843" s="150"/>
      <c r="G1843" s="270"/>
      <c r="H1843" s="165"/>
      <c r="I1843" s="165"/>
      <c r="J1843" s="150"/>
      <c r="K1843" s="160"/>
      <c r="L1843" s="160"/>
      <c r="M1843" s="160"/>
      <c r="N1843" s="160"/>
      <c r="O1843" s="160"/>
      <c r="P1843" s="160"/>
      <c r="Q1843" s="160"/>
      <c r="R1843" s="160"/>
      <c r="S1843" s="160"/>
      <c r="T1843" s="160"/>
      <c r="U1843" s="160"/>
      <c r="V1843" s="160"/>
      <c r="W1843" s="160"/>
      <c r="X1843" s="160"/>
      <c r="Y1843" s="160"/>
      <c r="Z1843" s="160"/>
      <c r="AA1843" s="160"/>
      <c r="AB1843" s="160"/>
    </row>
    <row r="1844">
      <c r="A1844" s="176"/>
      <c r="B1844" s="269"/>
      <c r="C1844" s="269"/>
      <c r="D1844" s="149"/>
      <c r="E1844" s="150"/>
      <c r="F1844" s="150"/>
      <c r="G1844" s="270"/>
      <c r="H1844" s="165"/>
      <c r="I1844" s="165"/>
      <c r="J1844" s="150"/>
      <c r="K1844" s="160"/>
      <c r="L1844" s="160"/>
      <c r="M1844" s="160"/>
      <c r="N1844" s="160"/>
      <c r="O1844" s="160"/>
      <c r="P1844" s="160"/>
      <c r="Q1844" s="160"/>
      <c r="R1844" s="160"/>
      <c r="S1844" s="160"/>
      <c r="T1844" s="160"/>
      <c r="U1844" s="160"/>
      <c r="V1844" s="160"/>
      <c r="W1844" s="160"/>
      <c r="X1844" s="160"/>
      <c r="Y1844" s="160"/>
      <c r="Z1844" s="160"/>
      <c r="AA1844" s="160"/>
      <c r="AB1844" s="160"/>
    </row>
    <row r="1845">
      <c r="A1845" s="176"/>
      <c r="B1845" s="269"/>
      <c r="C1845" s="269"/>
      <c r="D1845" s="149"/>
      <c r="E1845" s="150"/>
      <c r="F1845" s="150"/>
      <c r="G1845" s="270"/>
      <c r="H1845" s="165"/>
      <c r="I1845" s="165"/>
      <c r="J1845" s="150"/>
      <c r="K1845" s="160"/>
      <c r="L1845" s="160"/>
      <c r="M1845" s="160"/>
      <c r="N1845" s="160"/>
      <c r="O1845" s="160"/>
      <c r="P1845" s="160"/>
      <c r="Q1845" s="160"/>
      <c r="R1845" s="160"/>
      <c r="S1845" s="160"/>
      <c r="T1845" s="160"/>
      <c r="U1845" s="160"/>
      <c r="V1845" s="160"/>
      <c r="W1845" s="160"/>
      <c r="X1845" s="160"/>
      <c r="Y1845" s="160"/>
      <c r="Z1845" s="160"/>
      <c r="AA1845" s="160"/>
      <c r="AB1845" s="160"/>
    </row>
    <row r="1846">
      <c r="A1846" s="176"/>
      <c r="B1846" s="269"/>
      <c r="C1846" s="269"/>
      <c r="D1846" s="149"/>
      <c r="E1846" s="150"/>
      <c r="F1846" s="150"/>
      <c r="G1846" s="270"/>
      <c r="H1846" s="165"/>
      <c r="I1846" s="165"/>
      <c r="J1846" s="150"/>
      <c r="K1846" s="160"/>
      <c r="L1846" s="160"/>
      <c r="M1846" s="160"/>
      <c r="N1846" s="160"/>
      <c r="O1846" s="160"/>
      <c r="P1846" s="160"/>
      <c r="Q1846" s="160"/>
      <c r="R1846" s="160"/>
      <c r="S1846" s="160"/>
      <c r="T1846" s="160"/>
      <c r="U1846" s="160"/>
      <c r="V1846" s="160"/>
      <c r="W1846" s="160"/>
      <c r="X1846" s="160"/>
      <c r="Y1846" s="160"/>
      <c r="Z1846" s="160"/>
      <c r="AA1846" s="160"/>
      <c r="AB1846" s="160"/>
    </row>
    <row r="1847">
      <c r="A1847" s="176"/>
      <c r="B1847" s="269"/>
      <c r="C1847" s="269"/>
      <c r="D1847" s="149"/>
      <c r="E1847" s="150"/>
      <c r="F1847" s="150"/>
      <c r="G1847" s="270"/>
      <c r="H1847" s="165"/>
      <c r="I1847" s="165"/>
      <c r="J1847" s="150"/>
      <c r="K1847" s="160"/>
      <c r="L1847" s="160"/>
      <c r="M1847" s="160"/>
      <c r="N1847" s="160"/>
      <c r="O1847" s="160"/>
      <c r="P1847" s="160"/>
      <c r="Q1847" s="160"/>
      <c r="R1847" s="160"/>
      <c r="S1847" s="160"/>
      <c r="T1847" s="160"/>
      <c r="U1847" s="160"/>
      <c r="V1847" s="160"/>
      <c r="W1847" s="160"/>
      <c r="X1847" s="160"/>
      <c r="Y1847" s="160"/>
      <c r="Z1847" s="160"/>
      <c r="AA1847" s="160"/>
      <c r="AB1847" s="160"/>
    </row>
    <row r="1848">
      <c r="A1848" s="176"/>
      <c r="B1848" s="269"/>
      <c r="C1848" s="269"/>
      <c r="D1848" s="149"/>
      <c r="E1848" s="150"/>
      <c r="F1848" s="150"/>
      <c r="G1848" s="270"/>
      <c r="H1848" s="165"/>
      <c r="I1848" s="165"/>
      <c r="J1848" s="150"/>
      <c r="K1848" s="160"/>
      <c r="L1848" s="160"/>
      <c r="M1848" s="160"/>
      <c r="N1848" s="160"/>
      <c r="O1848" s="160"/>
      <c r="P1848" s="160"/>
      <c r="Q1848" s="160"/>
      <c r="R1848" s="160"/>
      <c r="S1848" s="160"/>
      <c r="T1848" s="160"/>
      <c r="U1848" s="160"/>
      <c r="V1848" s="160"/>
      <c r="W1848" s="160"/>
      <c r="X1848" s="160"/>
      <c r="Y1848" s="160"/>
      <c r="Z1848" s="160"/>
      <c r="AA1848" s="160"/>
      <c r="AB1848" s="160"/>
    </row>
    <row r="1849">
      <c r="A1849" s="176"/>
      <c r="B1849" s="269"/>
      <c r="C1849" s="269"/>
      <c r="D1849" s="149"/>
      <c r="E1849" s="150"/>
      <c r="F1849" s="150"/>
      <c r="G1849" s="270"/>
      <c r="H1849" s="165"/>
      <c r="I1849" s="165"/>
      <c r="J1849" s="150"/>
      <c r="K1849" s="160"/>
      <c r="L1849" s="160"/>
      <c r="M1849" s="160"/>
      <c r="N1849" s="160"/>
      <c r="O1849" s="160"/>
      <c r="P1849" s="160"/>
      <c r="Q1849" s="160"/>
      <c r="R1849" s="160"/>
      <c r="S1849" s="160"/>
      <c r="T1849" s="160"/>
      <c r="U1849" s="160"/>
      <c r="V1849" s="160"/>
      <c r="W1849" s="160"/>
      <c r="X1849" s="160"/>
      <c r="Y1849" s="160"/>
      <c r="Z1849" s="160"/>
      <c r="AA1849" s="160"/>
      <c r="AB1849" s="160"/>
    </row>
    <row r="1850">
      <c r="A1850" s="176"/>
      <c r="B1850" s="269"/>
      <c r="C1850" s="269"/>
      <c r="D1850" s="149"/>
      <c r="E1850" s="150"/>
      <c r="F1850" s="150"/>
      <c r="G1850" s="270"/>
      <c r="H1850" s="165"/>
      <c r="I1850" s="165"/>
      <c r="J1850" s="150"/>
      <c r="K1850" s="160"/>
      <c r="L1850" s="160"/>
      <c r="M1850" s="160"/>
      <c r="N1850" s="160"/>
      <c r="O1850" s="160"/>
      <c r="P1850" s="160"/>
      <c r="Q1850" s="160"/>
      <c r="R1850" s="160"/>
      <c r="S1850" s="160"/>
      <c r="T1850" s="160"/>
      <c r="U1850" s="160"/>
      <c r="V1850" s="160"/>
      <c r="W1850" s="160"/>
      <c r="X1850" s="160"/>
      <c r="Y1850" s="160"/>
      <c r="Z1850" s="160"/>
      <c r="AA1850" s="160"/>
      <c r="AB1850" s="160"/>
    </row>
    <row r="1851">
      <c r="A1851" s="176"/>
      <c r="B1851" s="269"/>
      <c r="C1851" s="269"/>
      <c r="D1851" s="149"/>
      <c r="E1851" s="150"/>
      <c r="F1851" s="150"/>
      <c r="G1851" s="270"/>
      <c r="H1851" s="165"/>
      <c r="I1851" s="165"/>
      <c r="J1851" s="150"/>
      <c r="K1851" s="160"/>
      <c r="L1851" s="160"/>
      <c r="M1851" s="160"/>
      <c r="N1851" s="160"/>
      <c r="O1851" s="160"/>
      <c r="P1851" s="160"/>
      <c r="Q1851" s="160"/>
      <c r="R1851" s="160"/>
      <c r="S1851" s="160"/>
      <c r="T1851" s="160"/>
      <c r="U1851" s="160"/>
      <c r="V1851" s="160"/>
      <c r="W1851" s="160"/>
      <c r="X1851" s="160"/>
      <c r="Y1851" s="160"/>
      <c r="Z1851" s="160"/>
      <c r="AA1851" s="160"/>
      <c r="AB1851" s="160"/>
    </row>
    <row r="1852">
      <c r="A1852" s="176"/>
      <c r="B1852" s="269"/>
      <c r="C1852" s="269"/>
      <c r="D1852" s="149"/>
      <c r="E1852" s="150"/>
      <c r="F1852" s="150"/>
      <c r="G1852" s="270"/>
      <c r="H1852" s="165"/>
      <c r="I1852" s="165"/>
      <c r="J1852" s="150"/>
      <c r="K1852" s="160"/>
      <c r="L1852" s="160"/>
      <c r="M1852" s="160"/>
      <c r="N1852" s="160"/>
      <c r="O1852" s="160"/>
      <c r="P1852" s="160"/>
      <c r="Q1852" s="160"/>
      <c r="R1852" s="160"/>
      <c r="S1852" s="160"/>
      <c r="T1852" s="160"/>
      <c r="U1852" s="160"/>
      <c r="V1852" s="160"/>
      <c r="W1852" s="160"/>
      <c r="X1852" s="160"/>
      <c r="Y1852" s="160"/>
      <c r="Z1852" s="160"/>
      <c r="AA1852" s="160"/>
      <c r="AB1852" s="160"/>
    </row>
    <row r="1853">
      <c r="A1853" s="176"/>
      <c r="B1853" s="269"/>
      <c r="C1853" s="269"/>
      <c r="D1853" s="149"/>
      <c r="E1853" s="150"/>
      <c r="F1853" s="150"/>
      <c r="G1853" s="270"/>
      <c r="H1853" s="165"/>
      <c r="I1853" s="165"/>
      <c r="J1853" s="150"/>
      <c r="K1853" s="160"/>
      <c r="L1853" s="160"/>
      <c r="M1853" s="160"/>
      <c r="N1853" s="160"/>
      <c r="O1853" s="160"/>
      <c r="P1853" s="160"/>
      <c r="Q1853" s="160"/>
      <c r="R1853" s="160"/>
      <c r="S1853" s="160"/>
      <c r="T1853" s="160"/>
      <c r="U1853" s="160"/>
      <c r="V1853" s="160"/>
      <c r="W1853" s="160"/>
      <c r="X1853" s="160"/>
      <c r="Y1853" s="160"/>
      <c r="Z1853" s="160"/>
      <c r="AA1853" s="160"/>
      <c r="AB1853" s="160"/>
    </row>
    <row r="1854">
      <c r="A1854" s="176"/>
      <c r="B1854" s="269"/>
      <c r="C1854" s="269"/>
      <c r="D1854" s="149"/>
      <c r="E1854" s="150"/>
      <c r="F1854" s="150"/>
      <c r="G1854" s="270"/>
      <c r="H1854" s="165"/>
      <c r="I1854" s="165"/>
      <c r="J1854" s="150"/>
      <c r="K1854" s="160"/>
      <c r="L1854" s="160"/>
      <c r="M1854" s="160"/>
      <c r="N1854" s="160"/>
      <c r="O1854" s="160"/>
      <c r="P1854" s="160"/>
      <c r="Q1854" s="160"/>
      <c r="R1854" s="160"/>
      <c r="S1854" s="160"/>
      <c r="T1854" s="160"/>
      <c r="U1854" s="160"/>
      <c r="V1854" s="160"/>
      <c r="W1854" s="160"/>
      <c r="X1854" s="160"/>
      <c r="Y1854" s="160"/>
      <c r="Z1854" s="160"/>
      <c r="AA1854" s="160"/>
      <c r="AB1854" s="160"/>
    </row>
    <row r="1855">
      <c r="A1855" s="176"/>
      <c r="B1855" s="269"/>
      <c r="C1855" s="269"/>
      <c r="D1855" s="149"/>
      <c r="E1855" s="150"/>
      <c r="F1855" s="150"/>
      <c r="G1855" s="270"/>
      <c r="H1855" s="165"/>
      <c r="I1855" s="165"/>
      <c r="J1855" s="150"/>
      <c r="K1855" s="160"/>
      <c r="L1855" s="160"/>
      <c r="M1855" s="160"/>
      <c r="N1855" s="160"/>
      <c r="O1855" s="160"/>
      <c r="P1855" s="160"/>
      <c r="Q1855" s="160"/>
      <c r="R1855" s="160"/>
      <c r="S1855" s="160"/>
      <c r="T1855" s="160"/>
      <c r="U1855" s="160"/>
      <c r="V1855" s="160"/>
      <c r="W1855" s="160"/>
      <c r="X1855" s="160"/>
      <c r="Y1855" s="160"/>
      <c r="Z1855" s="160"/>
      <c r="AA1855" s="160"/>
      <c r="AB1855" s="160"/>
    </row>
    <row r="1856">
      <c r="A1856" s="176"/>
      <c r="B1856" s="269"/>
      <c r="C1856" s="269"/>
      <c r="D1856" s="149"/>
      <c r="E1856" s="150"/>
      <c r="F1856" s="150"/>
      <c r="G1856" s="270"/>
      <c r="H1856" s="165"/>
      <c r="I1856" s="165"/>
      <c r="J1856" s="150"/>
      <c r="K1856" s="160"/>
      <c r="L1856" s="160"/>
      <c r="M1856" s="160"/>
      <c r="N1856" s="160"/>
      <c r="O1856" s="160"/>
      <c r="P1856" s="160"/>
      <c r="Q1856" s="160"/>
      <c r="R1856" s="160"/>
      <c r="S1856" s="160"/>
      <c r="T1856" s="160"/>
      <c r="U1856" s="160"/>
      <c r="V1856" s="160"/>
      <c r="W1856" s="160"/>
      <c r="X1856" s="160"/>
      <c r="Y1856" s="160"/>
      <c r="Z1856" s="160"/>
      <c r="AA1856" s="160"/>
      <c r="AB1856" s="160"/>
    </row>
    <row r="1857">
      <c r="A1857" s="176"/>
      <c r="B1857" s="269"/>
      <c r="C1857" s="269"/>
      <c r="D1857" s="149"/>
      <c r="E1857" s="150"/>
      <c r="F1857" s="150"/>
      <c r="G1857" s="270"/>
      <c r="H1857" s="165"/>
      <c r="I1857" s="165"/>
      <c r="J1857" s="150"/>
      <c r="K1857" s="160"/>
      <c r="L1857" s="160"/>
      <c r="M1857" s="160"/>
      <c r="N1857" s="160"/>
      <c r="O1857" s="160"/>
      <c r="P1857" s="160"/>
      <c r="Q1857" s="160"/>
      <c r="R1857" s="160"/>
      <c r="S1857" s="160"/>
      <c r="T1857" s="160"/>
      <c r="U1857" s="160"/>
      <c r="V1857" s="160"/>
      <c r="W1857" s="160"/>
      <c r="X1857" s="160"/>
      <c r="Y1857" s="160"/>
      <c r="Z1857" s="160"/>
      <c r="AA1857" s="160"/>
      <c r="AB1857" s="160"/>
    </row>
    <row r="1858">
      <c r="A1858" s="176"/>
      <c r="B1858" s="269"/>
      <c r="C1858" s="269"/>
      <c r="D1858" s="149"/>
      <c r="E1858" s="150"/>
      <c r="F1858" s="150"/>
      <c r="G1858" s="270"/>
      <c r="H1858" s="165"/>
      <c r="I1858" s="165"/>
      <c r="J1858" s="150"/>
      <c r="K1858" s="160"/>
      <c r="L1858" s="160"/>
      <c r="M1858" s="160"/>
      <c r="N1858" s="160"/>
      <c r="O1858" s="160"/>
      <c r="P1858" s="160"/>
      <c r="Q1858" s="160"/>
      <c r="R1858" s="160"/>
      <c r="S1858" s="160"/>
      <c r="T1858" s="160"/>
      <c r="U1858" s="160"/>
      <c r="V1858" s="160"/>
      <c r="W1858" s="160"/>
      <c r="X1858" s="160"/>
      <c r="Y1858" s="160"/>
      <c r="Z1858" s="160"/>
      <c r="AA1858" s="160"/>
      <c r="AB1858" s="160"/>
    </row>
    <row r="1859">
      <c r="A1859" s="176"/>
      <c r="B1859" s="269"/>
      <c r="C1859" s="269"/>
      <c r="D1859" s="149"/>
      <c r="E1859" s="150"/>
      <c r="F1859" s="150"/>
      <c r="G1859" s="270"/>
      <c r="H1859" s="165"/>
      <c r="I1859" s="165"/>
      <c r="J1859" s="150"/>
      <c r="K1859" s="160"/>
      <c r="L1859" s="160"/>
      <c r="M1859" s="160"/>
      <c r="N1859" s="160"/>
      <c r="O1859" s="160"/>
      <c r="P1859" s="160"/>
      <c r="Q1859" s="160"/>
      <c r="R1859" s="160"/>
      <c r="S1859" s="160"/>
      <c r="T1859" s="160"/>
      <c r="U1859" s="160"/>
      <c r="V1859" s="160"/>
      <c r="W1859" s="160"/>
      <c r="X1859" s="160"/>
      <c r="Y1859" s="160"/>
      <c r="Z1859" s="160"/>
      <c r="AA1859" s="160"/>
      <c r="AB1859" s="160"/>
    </row>
    <row r="1860">
      <c r="A1860" s="176"/>
      <c r="B1860" s="269"/>
      <c r="C1860" s="269"/>
      <c r="D1860" s="149"/>
      <c r="E1860" s="150"/>
      <c r="F1860" s="150"/>
      <c r="G1860" s="270"/>
      <c r="H1860" s="165"/>
      <c r="I1860" s="165"/>
      <c r="J1860" s="150"/>
      <c r="K1860" s="160"/>
      <c r="L1860" s="160"/>
      <c r="M1860" s="160"/>
      <c r="N1860" s="160"/>
      <c r="O1860" s="160"/>
      <c r="P1860" s="160"/>
      <c r="Q1860" s="160"/>
      <c r="R1860" s="160"/>
      <c r="S1860" s="160"/>
      <c r="T1860" s="160"/>
      <c r="U1860" s="160"/>
      <c r="V1860" s="160"/>
      <c r="W1860" s="160"/>
      <c r="X1860" s="160"/>
      <c r="Y1860" s="160"/>
      <c r="Z1860" s="160"/>
      <c r="AA1860" s="160"/>
      <c r="AB1860" s="160"/>
    </row>
    <row r="1861">
      <c r="A1861" s="176"/>
      <c r="B1861" s="269"/>
      <c r="C1861" s="269"/>
      <c r="D1861" s="149"/>
      <c r="E1861" s="150"/>
      <c r="F1861" s="150"/>
      <c r="G1861" s="270"/>
      <c r="H1861" s="165"/>
      <c r="I1861" s="165"/>
      <c r="J1861" s="150"/>
      <c r="K1861" s="160"/>
      <c r="L1861" s="160"/>
      <c r="M1861" s="160"/>
      <c r="N1861" s="160"/>
      <c r="O1861" s="160"/>
      <c r="P1861" s="160"/>
      <c r="Q1861" s="160"/>
      <c r="R1861" s="160"/>
      <c r="S1861" s="160"/>
      <c r="T1861" s="160"/>
      <c r="U1861" s="160"/>
      <c r="V1861" s="160"/>
      <c r="W1861" s="160"/>
      <c r="X1861" s="160"/>
      <c r="Y1861" s="160"/>
      <c r="Z1861" s="160"/>
      <c r="AA1861" s="160"/>
      <c r="AB1861" s="160"/>
    </row>
    <row r="1862">
      <c r="A1862" s="176"/>
      <c r="B1862" s="269"/>
      <c r="C1862" s="269"/>
      <c r="D1862" s="149"/>
      <c r="E1862" s="150"/>
      <c r="F1862" s="150"/>
      <c r="G1862" s="270"/>
      <c r="H1862" s="165"/>
      <c r="I1862" s="165"/>
      <c r="J1862" s="150"/>
      <c r="K1862" s="160"/>
      <c r="L1862" s="160"/>
      <c r="M1862" s="160"/>
      <c r="N1862" s="160"/>
      <c r="O1862" s="160"/>
      <c r="P1862" s="160"/>
      <c r="Q1862" s="160"/>
      <c r="R1862" s="160"/>
      <c r="S1862" s="160"/>
      <c r="T1862" s="160"/>
      <c r="U1862" s="160"/>
      <c r="V1862" s="160"/>
      <c r="W1862" s="160"/>
      <c r="X1862" s="160"/>
      <c r="Y1862" s="160"/>
      <c r="Z1862" s="160"/>
      <c r="AA1862" s="160"/>
      <c r="AB1862" s="160"/>
    </row>
    <row r="1863">
      <c r="A1863" s="176"/>
      <c r="B1863" s="269"/>
      <c r="C1863" s="269"/>
      <c r="D1863" s="149"/>
      <c r="E1863" s="150"/>
      <c r="F1863" s="150"/>
      <c r="G1863" s="270"/>
      <c r="H1863" s="165"/>
      <c r="I1863" s="165"/>
      <c r="J1863" s="150"/>
      <c r="K1863" s="160"/>
      <c r="L1863" s="160"/>
      <c r="M1863" s="160"/>
      <c r="N1863" s="160"/>
      <c r="O1863" s="160"/>
      <c r="P1863" s="160"/>
      <c r="Q1863" s="160"/>
      <c r="R1863" s="160"/>
      <c r="S1863" s="160"/>
      <c r="T1863" s="160"/>
      <c r="U1863" s="160"/>
      <c r="V1863" s="160"/>
      <c r="W1863" s="160"/>
      <c r="X1863" s="160"/>
      <c r="Y1863" s="160"/>
      <c r="Z1863" s="160"/>
      <c r="AA1863" s="160"/>
      <c r="AB1863" s="160"/>
    </row>
    <row r="1864">
      <c r="A1864" s="176"/>
      <c r="B1864" s="269"/>
      <c r="C1864" s="269"/>
      <c r="D1864" s="149"/>
      <c r="E1864" s="150"/>
      <c r="F1864" s="150"/>
      <c r="G1864" s="270"/>
      <c r="H1864" s="165"/>
      <c r="I1864" s="165"/>
      <c r="J1864" s="150"/>
      <c r="K1864" s="160"/>
      <c r="L1864" s="160"/>
      <c r="M1864" s="160"/>
      <c r="N1864" s="160"/>
      <c r="O1864" s="160"/>
      <c r="P1864" s="160"/>
      <c r="Q1864" s="160"/>
      <c r="R1864" s="160"/>
      <c r="S1864" s="160"/>
      <c r="T1864" s="160"/>
      <c r="U1864" s="160"/>
      <c r="V1864" s="160"/>
      <c r="W1864" s="160"/>
      <c r="X1864" s="160"/>
      <c r="Y1864" s="160"/>
      <c r="Z1864" s="160"/>
      <c r="AA1864" s="160"/>
      <c r="AB1864" s="160"/>
    </row>
    <row r="1865">
      <c r="A1865" s="176"/>
      <c r="B1865" s="269"/>
      <c r="C1865" s="269"/>
      <c r="D1865" s="149"/>
      <c r="E1865" s="150"/>
      <c r="F1865" s="150"/>
      <c r="G1865" s="270"/>
      <c r="H1865" s="165"/>
      <c r="I1865" s="165"/>
      <c r="J1865" s="150"/>
      <c r="K1865" s="160"/>
      <c r="L1865" s="160"/>
      <c r="M1865" s="160"/>
      <c r="N1865" s="160"/>
      <c r="O1865" s="160"/>
      <c r="P1865" s="160"/>
      <c r="Q1865" s="160"/>
      <c r="R1865" s="160"/>
      <c r="S1865" s="160"/>
      <c r="T1865" s="160"/>
      <c r="U1865" s="160"/>
      <c r="V1865" s="160"/>
      <c r="W1865" s="160"/>
      <c r="X1865" s="160"/>
      <c r="Y1865" s="160"/>
      <c r="Z1865" s="160"/>
      <c r="AA1865" s="160"/>
      <c r="AB1865" s="160"/>
    </row>
    <row r="1866">
      <c r="A1866" s="176"/>
      <c r="B1866" s="269"/>
      <c r="C1866" s="269"/>
      <c r="D1866" s="149"/>
      <c r="E1866" s="150"/>
      <c r="F1866" s="150"/>
      <c r="G1866" s="270"/>
      <c r="H1866" s="165"/>
      <c r="I1866" s="165"/>
      <c r="J1866" s="150"/>
      <c r="K1866" s="160"/>
      <c r="L1866" s="160"/>
      <c r="M1866" s="160"/>
      <c r="N1866" s="160"/>
      <c r="O1866" s="160"/>
      <c r="P1866" s="160"/>
      <c r="Q1866" s="160"/>
      <c r="R1866" s="160"/>
      <c r="S1866" s="160"/>
      <c r="T1866" s="160"/>
      <c r="U1866" s="160"/>
      <c r="V1866" s="160"/>
      <c r="W1866" s="160"/>
      <c r="X1866" s="160"/>
      <c r="Y1866" s="160"/>
      <c r="Z1866" s="160"/>
      <c r="AA1866" s="160"/>
      <c r="AB1866" s="160"/>
    </row>
    <row r="1867">
      <c r="A1867" s="176"/>
      <c r="B1867" s="269"/>
      <c r="C1867" s="269"/>
      <c r="D1867" s="149"/>
      <c r="E1867" s="150"/>
      <c r="F1867" s="150"/>
      <c r="G1867" s="270"/>
      <c r="H1867" s="165"/>
      <c r="I1867" s="165"/>
      <c r="J1867" s="150"/>
      <c r="K1867" s="160"/>
      <c r="L1867" s="160"/>
      <c r="M1867" s="160"/>
      <c r="N1867" s="160"/>
      <c r="O1867" s="160"/>
      <c r="P1867" s="160"/>
      <c r="Q1867" s="160"/>
      <c r="R1867" s="160"/>
      <c r="S1867" s="160"/>
      <c r="T1867" s="160"/>
      <c r="U1867" s="160"/>
      <c r="V1867" s="160"/>
      <c r="W1867" s="160"/>
      <c r="X1867" s="160"/>
      <c r="Y1867" s="160"/>
      <c r="Z1867" s="160"/>
      <c r="AA1867" s="160"/>
      <c r="AB1867" s="160"/>
    </row>
    <row r="1868">
      <c r="A1868" s="176"/>
      <c r="B1868" s="269"/>
      <c r="C1868" s="269"/>
      <c r="D1868" s="149"/>
      <c r="E1868" s="150"/>
      <c r="F1868" s="150"/>
      <c r="G1868" s="270"/>
      <c r="H1868" s="165"/>
      <c r="I1868" s="165"/>
      <c r="J1868" s="150"/>
      <c r="K1868" s="160"/>
      <c r="L1868" s="160"/>
      <c r="M1868" s="160"/>
      <c r="N1868" s="160"/>
      <c r="O1868" s="160"/>
      <c r="P1868" s="160"/>
      <c r="Q1868" s="160"/>
      <c r="R1868" s="160"/>
      <c r="S1868" s="160"/>
      <c r="T1868" s="160"/>
      <c r="U1868" s="160"/>
      <c r="V1868" s="160"/>
      <c r="W1868" s="160"/>
      <c r="X1868" s="160"/>
      <c r="Y1868" s="160"/>
      <c r="Z1868" s="160"/>
      <c r="AA1868" s="160"/>
      <c r="AB1868" s="160"/>
    </row>
    <row r="1869">
      <c r="A1869" s="176"/>
      <c r="B1869" s="269"/>
      <c r="C1869" s="269"/>
      <c r="D1869" s="149"/>
      <c r="E1869" s="150"/>
      <c r="F1869" s="150"/>
      <c r="G1869" s="270"/>
      <c r="H1869" s="165"/>
      <c r="I1869" s="165"/>
      <c r="J1869" s="150"/>
      <c r="K1869" s="160"/>
      <c r="L1869" s="160"/>
      <c r="M1869" s="160"/>
      <c r="N1869" s="160"/>
      <c r="O1869" s="160"/>
      <c r="P1869" s="160"/>
      <c r="Q1869" s="160"/>
      <c r="R1869" s="160"/>
      <c r="S1869" s="160"/>
      <c r="T1869" s="160"/>
      <c r="U1869" s="160"/>
      <c r="V1869" s="160"/>
      <c r="W1869" s="160"/>
      <c r="X1869" s="160"/>
      <c r="Y1869" s="160"/>
      <c r="Z1869" s="160"/>
      <c r="AA1869" s="160"/>
      <c r="AB1869" s="160"/>
    </row>
    <row r="1870">
      <c r="A1870" s="176"/>
      <c r="B1870" s="269"/>
      <c r="C1870" s="269"/>
      <c r="D1870" s="149"/>
      <c r="E1870" s="150"/>
      <c r="F1870" s="150"/>
      <c r="G1870" s="270"/>
      <c r="H1870" s="165"/>
      <c r="I1870" s="165"/>
      <c r="J1870" s="150"/>
      <c r="K1870" s="160"/>
      <c r="L1870" s="160"/>
      <c r="M1870" s="160"/>
      <c r="N1870" s="160"/>
      <c r="O1870" s="160"/>
      <c r="P1870" s="160"/>
      <c r="Q1870" s="160"/>
      <c r="R1870" s="160"/>
      <c r="S1870" s="160"/>
      <c r="T1870" s="160"/>
      <c r="U1870" s="160"/>
      <c r="V1870" s="160"/>
      <c r="W1870" s="160"/>
      <c r="X1870" s="160"/>
      <c r="Y1870" s="160"/>
      <c r="Z1870" s="160"/>
      <c r="AA1870" s="160"/>
      <c r="AB1870" s="160"/>
    </row>
    <row r="1871">
      <c r="A1871" s="176"/>
      <c r="B1871" s="269"/>
      <c r="C1871" s="269"/>
      <c r="D1871" s="149"/>
      <c r="E1871" s="150"/>
      <c r="F1871" s="150"/>
      <c r="G1871" s="270"/>
      <c r="H1871" s="165"/>
      <c r="I1871" s="165"/>
      <c r="J1871" s="150"/>
      <c r="K1871" s="160"/>
      <c r="L1871" s="160"/>
      <c r="M1871" s="160"/>
      <c r="N1871" s="160"/>
      <c r="O1871" s="160"/>
      <c r="P1871" s="160"/>
      <c r="Q1871" s="160"/>
      <c r="R1871" s="160"/>
      <c r="S1871" s="160"/>
      <c r="T1871" s="160"/>
      <c r="U1871" s="160"/>
      <c r="V1871" s="160"/>
      <c r="W1871" s="160"/>
      <c r="X1871" s="160"/>
      <c r="Y1871" s="160"/>
      <c r="Z1871" s="160"/>
      <c r="AA1871" s="160"/>
      <c r="AB1871" s="160"/>
    </row>
    <row r="1872">
      <c r="A1872" s="176"/>
      <c r="B1872" s="269"/>
      <c r="C1872" s="269"/>
      <c r="D1872" s="149"/>
      <c r="E1872" s="150"/>
      <c r="F1872" s="150"/>
      <c r="G1872" s="270"/>
      <c r="H1872" s="165"/>
      <c r="I1872" s="165"/>
      <c r="J1872" s="150"/>
      <c r="K1872" s="160"/>
      <c r="L1872" s="160"/>
      <c r="M1872" s="160"/>
      <c r="N1872" s="160"/>
      <c r="O1872" s="160"/>
      <c r="P1872" s="160"/>
      <c r="Q1872" s="160"/>
      <c r="R1872" s="160"/>
      <c r="S1872" s="160"/>
      <c r="T1872" s="160"/>
      <c r="U1872" s="160"/>
      <c r="V1872" s="160"/>
      <c r="W1872" s="160"/>
      <c r="X1872" s="160"/>
      <c r="Y1872" s="160"/>
      <c r="Z1872" s="160"/>
      <c r="AA1872" s="160"/>
      <c r="AB1872" s="160"/>
    </row>
    <row r="1873">
      <c r="A1873" s="176"/>
      <c r="B1873" s="269"/>
      <c r="C1873" s="269"/>
      <c r="D1873" s="149"/>
      <c r="E1873" s="150"/>
      <c r="F1873" s="150"/>
      <c r="G1873" s="270"/>
      <c r="H1873" s="165"/>
      <c r="I1873" s="165"/>
      <c r="J1873" s="150"/>
      <c r="K1873" s="160"/>
      <c r="L1873" s="160"/>
      <c r="M1873" s="160"/>
      <c r="N1873" s="160"/>
      <c r="O1873" s="160"/>
      <c r="P1873" s="160"/>
      <c r="Q1873" s="160"/>
      <c r="R1873" s="160"/>
      <c r="S1873" s="160"/>
      <c r="T1873" s="160"/>
      <c r="U1873" s="160"/>
      <c r="V1873" s="160"/>
      <c r="W1873" s="160"/>
      <c r="X1873" s="160"/>
      <c r="Y1873" s="160"/>
      <c r="Z1873" s="160"/>
      <c r="AA1873" s="160"/>
      <c r="AB1873" s="160"/>
    </row>
    <row r="1874">
      <c r="A1874" s="176"/>
      <c r="B1874" s="269"/>
      <c r="C1874" s="269"/>
      <c r="D1874" s="149"/>
      <c r="E1874" s="150"/>
      <c r="F1874" s="150"/>
      <c r="G1874" s="270"/>
      <c r="H1874" s="165"/>
      <c r="I1874" s="165"/>
      <c r="J1874" s="150"/>
      <c r="K1874" s="160"/>
      <c r="L1874" s="160"/>
      <c r="M1874" s="160"/>
      <c r="N1874" s="160"/>
      <c r="O1874" s="160"/>
      <c r="P1874" s="160"/>
      <c r="Q1874" s="160"/>
      <c r="R1874" s="160"/>
      <c r="S1874" s="160"/>
      <c r="T1874" s="160"/>
      <c r="U1874" s="160"/>
      <c r="V1874" s="160"/>
      <c r="W1874" s="160"/>
      <c r="X1874" s="160"/>
      <c r="Y1874" s="160"/>
      <c r="Z1874" s="160"/>
      <c r="AA1874" s="160"/>
      <c r="AB1874" s="160"/>
    </row>
    <row r="1875">
      <c r="A1875" s="176"/>
      <c r="B1875" s="269"/>
      <c r="C1875" s="269"/>
      <c r="D1875" s="149"/>
      <c r="E1875" s="150"/>
      <c r="F1875" s="150"/>
      <c r="G1875" s="270"/>
      <c r="H1875" s="165"/>
      <c r="I1875" s="165"/>
      <c r="J1875" s="150"/>
      <c r="K1875" s="160"/>
      <c r="L1875" s="160"/>
      <c r="M1875" s="160"/>
      <c r="N1875" s="160"/>
      <c r="O1875" s="160"/>
      <c r="P1875" s="160"/>
      <c r="Q1875" s="160"/>
      <c r="R1875" s="160"/>
      <c r="S1875" s="160"/>
      <c r="T1875" s="160"/>
      <c r="U1875" s="160"/>
      <c r="V1875" s="160"/>
      <c r="W1875" s="160"/>
      <c r="X1875" s="160"/>
      <c r="Y1875" s="160"/>
      <c r="Z1875" s="160"/>
      <c r="AA1875" s="160"/>
      <c r="AB1875" s="160"/>
    </row>
    <row r="1876">
      <c r="A1876" s="176"/>
      <c r="B1876" s="269"/>
      <c r="C1876" s="269"/>
      <c r="D1876" s="149"/>
      <c r="E1876" s="150"/>
      <c r="F1876" s="150"/>
      <c r="G1876" s="270"/>
      <c r="H1876" s="165"/>
      <c r="I1876" s="165"/>
      <c r="J1876" s="150"/>
      <c r="K1876" s="160"/>
      <c r="L1876" s="160"/>
      <c r="M1876" s="160"/>
      <c r="N1876" s="160"/>
      <c r="O1876" s="160"/>
      <c r="P1876" s="160"/>
      <c r="Q1876" s="160"/>
      <c r="R1876" s="160"/>
      <c r="S1876" s="160"/>
      <c r="T1876" s="160"/>
      <c r="U1876" s="160"/>
      <c r="V1876" s="160"/>
      <c r="W1876" s="160"/>
      <c r="X1876" s="160"/>
      <c r="Y1876" s="160"/>
      <c r="Z1876" s="160"/>
      <c r="AA1876" s="160"/>
      <c r="AB1876" s="160"/>
    </row>
    <row r="1877">
      <c r="A1877" s="176"/>
      <c r="B1877" s="269"/>
      <c r="C1877" s="269"/>
      <c r="D1877" s="149"/>
      <c r="E1877" s="150"/>
      <c r="F1877" s="150"/>
      <c r="G1877" s="270"/>
      <c r="H1877" s="165"/>
      <c r="I1877" s="165"/>
      <c r="J1877" s="150"/>
      <c r="K1877" s="160"/>
      <c r="L1877" s="160"/>
      <c r="M1877" s="160"/>
      <c r="N1877" s="160"/>
      <c r="O1877" s="160"/>
      <c r="P1877" s="160"/>
      <c r="Q1877" s="160"/>
      <c r="R1877" s="160"/>
      <c r="S1877" s="160"/>
      <c r="T1877" s="160"/>
      <c r="U1877" s="160"/>
      <c r="V1877" s="160"/>
      <c r="W1877" s="160"/>
      <c r="X1877" s="160"/>
      <c r="Y1877" s="160"/>
      <c r="Z1877" s="160"/>
      <c r="AA1877" s="160"/>
      <c r="AB1877" s="160"/>
    </row>
    <row r="1878">
      <c r="A1878" s="176"/>
      <c r="B1878" s="269"/>
      <c r="C1878" s="269"/>
      <c r="D1878" s="149"/>
      <c r="E1878" s="150"/>
      <c r="F1878" s="150"/>
      <c r="G1878" s="270"/>
      <c r="H1878" s="165"/>
      <c r="I1878" s="165"/>
      <c r="J1878" s="150"/>
      <c r="K1878" s="160"/>
      <c r="L1878" s="160"/>
      <c r="M1878" s="160"/>
      <c r="N1878" s="160"/>
      <c r="O1878" s="160"/>
      <c r="P1878" s="160"/>
      <c r="Q1878" s="160"/>
      <c r="R1878" s="160"/>
      <c r="S1878" s="160"/>
      <c r="T1878" s="160"/>
      <c r="U1878" s="160"/>
      <c r="V1878" s="160"/>
      <c r="W1878" s="160"/>
      <c r="X1878" s="160"/>
      <c r="Y1878" s="160"/>
      <c r="Z1878" s="160"/>
      <c r="AA1878" s="160"/>
      <c r="AB1878" s="160"/>
    </row>
    <row r="1879">
      <c r="A1879" s="176"/>
      <c r="B1879" s="269"/>
      <c r="C1879" s="269"/>
      <c r="D1879" s="149"/>
      <c r="E1879" s="150"/>
      <c r="F1879" s="150"/>
      <c r="G1879" s="270"/>
      <c r="H1879" s="165"/>
      <c r="I1879" s="165"/>
      <c r="J1879" s="150"/>
      <c r="K1879" s="160"/>
      <c r="L1879" s="160"/>
      <c r="M1879" s="160"/>
      <c r="N1879" s="160"/>
      <c r="O1879" s="160"/>
      <c r="P1879" s="160"/>
      <c r="Q1879" s="160"/>
      <c r="R1879" s="160"/>
      <c r="S1879" s="160"/>
      <c r="T1879" s="160"/>
      <c r="U1879" s="160"/>
      <c r="V1879" s="160"/>
      <c r="W1879" s="160"/>
      <c r="X1879" s="160"/>
      <c r="Y1879" s="160"/>
      <c r="Z1879" s="160"/>
      <c r="AA1879" s="160"/>
      <c r="AB1879" s="160"/>
    </row>
    <row r="1880">
      <c r="A1880" s="176"/>
      <c r="B1880" s="269"/>
      <c r="C1880" s="269"/>
      <c r="D1880" s="149"/>
      <c r="E1880" s="150"/>
      <c r="F1880" s="150"/>
      <c r="G1880" s="270"/>
      <c r="H1880" s="165"/>
      <c r="I1880" s="165"/>
      <c r="J1880" s="150"/>
      <c r="K1880" s="160"/>
      <c r="L1880" s="160"/>
      <c r="M1880" s="160"/>
      <c r="N1880" s="160"/>
      <c r="O1880" s="160"/>
      <c r="P1880" s="160"/>
      <c r="Q1880" s="160"/>
      <c r="R1880" s="160"/>
      <c r="S1880" s="160"/>
      <c r="T1880" s="160"/>
      <c r="U1880" s="160"/>
      <c r="V1880" s="160"/>
      <c r="W1880" s="160"/>
      <c r="X1880" s="160"/>
      <c r="Y1880" s="160"/>
      <c r="Z1880" s="160"/>
      <c r="AA1880" s="160"/>
      <c r="AB1880" s="160"/>
    </row>
    <row r="1881">
      <c r="A1881" s="176"/>
      <c r="B1881" s="269"/>
      <c r="C1881" s="269"/>
      <c r="D1881" s="149"/>
      <c r="E1881" s="150"/>
      <c r="F1881" s="150"/>
      <c r="G1881" s="270"/>
      <c r="H1881" s="165"/>
      <c r="I1881" s="165"/>
      <c r="J1881" s="150"/>
      <c r="K1881" s="160"/>
      <c r="L1881" s="160"/>
      <c r="M1881" s="160"/>
      <c r="N1881" s="160"/>
      <c r="O1881" s="160"/>
      <c r="P1881" s="160"/>
      <c r="Q1881" s="160"/>
      <c r="R1881" s="160"/>
      <c r="S1881" s="160"/>
      <c r="T1881" s="160"/>
      <c r="U1881" s="160"/>
      <c r="V1881" s="160"/>
      <c r="W1881" s="160"/>
      <c r="X1881" s="160"/>
      <c r="Y1881" s="160"/>
      <c r="Z1881" s="160"/>
      <c r="AA1881" s="160"/>
      <c r="AB1881" s="160"/>
    </row>
    <row r="1882">
      <c r="A1882" s="176"/>
      <c r="B1882" s="269"/>
      <c r="C1882" s="269"/>
      <c r="D1882" s="149"/>
      <c r="E1882" s="150"/>
      <c r="F1882" s="150"/>
      <c r="G1882" s="270"/>
      <c r="H1882" s="165"/>
      <c r="I1882" s="165"/>
      <c r="J1882" s="150"/>
      <c r="K1882" s="160"/>
      <c r="L1882" s="160"/>
      <c r="M1882" s="160"/>
      <c r="N1882" s="160"/>
      <c r="O1882" s="160"/>
      <c r="P1882" s="160"/>
      <c r="Q1882" s="160"/>
      <c r="R1882" s="160"/>
      <c r="S1882" s="160"/>
      <c r="T1882" s="160"/>
      <c r="U1882" s="160"/>
      <c r="V1882" s="160"/>
      <c r="W1882" s="160"/>
      <c r="X1882" s="160"/>
      <c r="Y1882" s="160"/>
      <c r="Z1882" s="160"/>
      <c r="AA1882" s="160"/>
      <c r="AB1882" s="160"/>
    </row>
    <row r="1883">
      <c r="A1883" s="176"/>
      <c r="B1883" s="269"/>
      <c r="C1883" s="269"/>
      <c r="D1883" s="149"/>
      <c r="E1883" s="150"/>
      <c r="F1883" s="150"/>
      <c r="G1883" s="270"/>
      <c r="H1883" s="165"/>
      <c r="I1883" s="165"/>
      <c r="J1883" s="150"/>
      <c r="K1883" s="160"/>
      <c r="L1883" s="160"/>
      <c r="M1883" s="160"/>
      <c r="N1883" s="160"/>
      <c r="O1883" s="160"/>
      <c r="P1883" s="160"/>
      <c r="Q1883" s="160"/>
      <c r="R1883" s="160"/>
      <c r="S1883" s="160"/>
      <c r="T1883" s="160"/>
      <c r="U1883" s="160"/>
      <c r="V1883" s="160"/>
      <c r="W1883" s="160"/>
      <c r="X1883" s="160"/>
      <c r="Y1883" s="160"/>
      <c r="Z1883" s="160"/>
      <c r="AA1883" s="160"/>
      <c r="AB1883" s="160"/>
    </row>
    <row r="1884">
      <c r="A1884" s="176"/>
      <c r="B1884" s="269"/>
      <c r="C1884" s="269"/>
      <c r="D1884" s="149"/>
      <c r="E1884" s="150"/>
      <c r="F1884" s="150"/>
      <c r="G1884" s="270"/>
      <c r="H1884" s="165"/>
      <c r="I1884" s="165"/>
      <c r="J1884" s="150"/>
      <c r="K1884" s="160"/>
      <c r="L1884" s="160"/>
      <c r="M1884" s="160"/>
      <c r="N1884" s="160"/>
      <c r="O1884" s="160"/>
      <c r="P1884" s="160"/>
      <c r="Q1884" s="160"/>
      <c r="R1884" s="160"/>
      <c r="S1884" s="160"/>
      <c r="T1884" s="160"/>
      <c r="U1884" s="160"/>
      <c r="V1884" s="160"/>
      <c r="W1884" s="160"/>
      <c r="X1884" s="160"/>
      <c r="Y1884" s="160"/>
      <c r="Z1884" s="160"/>
      <c r="AA1884" s="160"/>
      <c r="AB1884" s="160"/>
    </row>
    <row r="1885">
      <c r="A1885" s="176"/>
      <c r="B1885" s="269"/>
      <c r="C1885" s="269"/>
      <c r="D1885" s="149"/>
      <c r="E1885" s="150"/>
      <c r="F1885" s="150"/>
      <c r="G1885" s="270"/>
      <c r="H1885" s="165"/>
      <c r="I1885" s="165"/>
      <c r="J1885" s="150"/>
      <c r="K1885" s="160"/>
      <c r="L1885" s="160"/>
      <c r="M1885" s="160"/>
      <c r="N1885" s="160"/>
      <c r="O1885" s="160"/>
      <c r="P1885" s="160"/>
      <c r="Q1885" s="160"/>
      <c r="R1885" s="160"/>
      <c r="S1885" s="160"/>
      <c r="T1885" s="160"/>
      <c r="U1885" s="160"/>
      <c r="V1885" s="160"/>
      <c r="W1885" s="160"/>
      <c r="X1885" s="160"/>
      <c r="Y1885" s="160"/>
      <c r="Z1885" s="160"/>
      <c r="AA1885" s="160"/>
      <c r="AB1885" s="160"/>
    </row>
    <row r="1886">
      <c r="A1886" s="176"/>
      <c r="B1886" s="269"/>
      <c r="C1886" s="269"/>
      <c r="D1886" s="149"/>
      <c r="E1886" s="150"/>
      <c r="F1886" s="150"/>
      <c r="G1886" s="270"/>
      <c r="H1886" s="165"/>
      <c r="I1886" s="165"/>
      <c r="J1886" s="150"/>
      <c r="K1886" s="160"/>
      <c r="L1886" s="160"/>
      <c r="M1886" s="160"/>
      <c r="N1886" s="160"/>
      <c r="O1886" s="160"/>
      <c r="P1886" s="160"/>
      <c r="Q1886" s="160"/>
      <c r="R1886" s="160"/>
      <c r="S1886" s="160"/>
      <c r="T1886" s="160"/>
      <c r="U1886" s="160"/>
      <c r="V1886" s="160"/>
      <c r="W1886" s="160"/>
      <c r="X1886" s="160"/>
      <c r="Y1886" s="160"/>
      <c r="Z1886" s="160"/>
      <c r="AA1886" s="160"/>
      <c r="AB1886" s="160"/>
    </row>
    <row r="1887">
      <c r="A1887" s="176"/>
      <c r="B1887" s="269"/>
      <c r="C1887" s="269"/>
      <c r="D1887" s="149"/>
      <c r="E1887" s="150"/>
      <c r="F1887" s="150"/>
      <c r="G1887" s="270"/>
      <c r="H1887" s="165"/>
      <c r="I1887" s="165"/>
      <c r="J1887" s="150"/>
      <c r="K1887" s="160"/>
      <c r="L1887" s="160"/>
      <c r="M1887" s="160"/>
      <c r="N1887" s="160"/>
      <c r="O1887" s="160"/>
      <c r="P1887" s="160"/>
      <c r="Q1887" s="160"/>
      <c r="R1887" s="160"/>
      <c r="S1887" s="160"/>
      <c r="T1887" s="160"/>
      <c r="U1887" s="160"/>
      <c r="V1887" s="160"/>
      <c r="W1887" s="160"/>
      <c r="X1887" s="160"/>
      <c r="Y1887" s="160"/>
      <c r="Z1887" s="160"/>
      <c r="AA1887" s="160"/>
      <c r="AB1887" s="160"/>
    </row>
    <row r="1888">
      <c r="A1888" s="176"/>
      <c r="B1888" s="269"/>
      <c r="C1888" s="269"/>
      <c r="D1888" s="149"/>
      <c r="E1888" s="150"/>
      <c r="F1888" s="150"/>
      <c r="G1888" s="270"/>
      <c r="H1888" s="165"/>
      <c r="I1888" s="165"/>
      <c r="J1888" s="150"/>
      <c r="K1888" s="160"/>
      <c r="L1888" s="160"/>
      <c r="M1888" s="160"/>
      <c r="N1888" s="160"/>
      <c r="O1888" s="160"/>
      <c r="P1888" s="160"/>
      <c r="Q1888" s="160"/>
      <c r="R1888" s="160"/>
      <c r="S1888" s="160"/>
      <c r="T1888" s="160"/>
      <c r="U1888" s="160"/>
      <c r="V1888" s="160"/>
      <c r="W1888" s="160"/>
      <c r="X1888" s="160"/>
      <c r="Y1888" s="160"/>
      <c r="Z1888" s="160"/>
      <c r="AA1888" s="160"/>
      <c r="AB1888" s="160"/>
    </row>
    <row r="1889">
      <c r="A1889" s="176"/>
      <c r="B1889" s="269"/>
      <c r="C1889" s="269"/>
      <c r="D1889" s="149"/>
      <c r="E1889" s="150"/>
      <c r="F1889" s="150"/>
      <c r="G1889" s="270"/>
      <c r="H1889" s="165"/>
      <c r="I1889" s="165"/>
      <c r="J1889" s="150"/>
      <c r="K1889" s="160"/>
      <c r="L1889" s="160"/>
      <c r="M1889" s="160"/>
      <c r="N1889" s="160"/>
      <c r="O1889" s="160"/>
      <c r="P1889" s="160"/>
      <c r="Q1889" s="160"/>
      <c r="R1889" s="160"/>
      <c r="S1889" s="160"/>
      <c r="T1889" s="160"/>
      <c r="U1889" s="160"/>
      <c r="V1889" s="160"/>
      <c r="W1889" s="160"/>
      <c r="X1889" s="160"/>
      <c r="Y1889" s="160"/>
      <c r="Z1889" s="160"/>
      <c r="AA1889" s="160"/>
      <c r="AB1889" s="160"/>
    </row>
    <row r="1890">
      <c r="A1890" s="176"/>
      <c r="B1890" s="269"/>
      <c r="C1890" s="269"/>
      <c r="D1890" s="149"/>
      <c r="E1890" s="150"/>
      <c r="F1890" s="150"/>
      <c r="G1890" s="270"/>
      <c r="H1890" s="165"/>
      <c r="I1890" s="165"/>
      <c r="J1890" s="150"/>
      <c r="K1890" s="160"/>
      <c r="L1890" s="160"/>
      <c r="M1890" s="160"/>
      <c r="N1890" s="160"/>
      <c r="O1890" s="160"/>
      <c r="P1890" s="160"/>
      <c r="Q1890" s="160"/>
      <c r="R1890" s="160"/>
      <c r="S1890" s="160"/>
      <c r="T1890" s="160"/>
      <c r="U1890" s="160"/>
      <c r="V1890" s="160"/>
      <c r="W1890" s="160"/>
      <c r="X1890" s="160"/>
      <c r="Y1890" s="160"/>
      <c r="Z1890" s="160"/>
      <c r="AA1890" s="160"/>
      <c r="AB1890" s="160"/>
    </row>
    <row r="1891">
      <c r="A1891" s="176"/>
      <c r="B1891" s="269"/>
      <c r="C1891" s="269"/>
      <c r="D1891" s="149"/>
      <c r="E1891" s="150"/>
      <c r="F1891" s="150"/>
      <c r="G1891" s="270"/>
      <c r="H1891" s="165"/>
      <c r="I1891" s="165"/>
      <c r="J1891" s="150"/>
      <c r="K1891" s="160"/>
      <c r="L1891" s="160"/>
      <c r="M1891" s="160"/>
      <c r="N1891" s="160"/>
      <c r="O1891" s="160"/>
      <c r="P1891" s="160"/>
      <c r="Q1891" s="160"/>
      <c r="R1891" s="160"/>
      <c r="S1891" s="160"/>
      <c r="T1891" s="160"/>
      <c r="U1891" s="160"/>
      <c r="V1891" s="160"/>
      <c r="W1891" s="160"/>
      <c r="X1891" s="160"/>
      <c r="Y1891" s="160"/>
      <c r="Z1891" s="160"/>
      <c r="AA1891" s="160"/>
      <c r="AB1891" s="160"/>
    </row>
    <row r="1892">
      <c r="A1892" s="176"/>
      <c r="B1892" s="269"/>
      <c r="C1892" s="269"/>
      <c r="D1892" s="149"/>
      <c r="E1892" s="150"/>
      <c r="F1892" s="150"/>
      <c r="G1892" s="270"/>
      <c r="H1892" s="165"/>
      <c r="I1892" s="165"/>
      <c r="J1892" s="150"/>
      <c r="K1892" s="160"/>
      <c r="L1892" s="160"/>
      <c r="M1892" s="160"/>
      <c r="N1892" s="160"/>
      <c r="O1892" s="160"/>
      <c r="P1892" s="160"/>
      <c r="Q1892" s="160"/>
      <c r="R1892" s="160"/>
      <c r="S1892" s="160"/>
      <c r="T1892" s="160"/>
      <c r="U1892" s="160"/>
      <c r="V1892" s="160"/>
      <c r="W1892" s="160"/>
      <c r="X1892" s="160"/>
      <c r="Y1892" s="160"/>
      <c r="Z1892" s="160"/>
      <c r="AA1892" s="160"/>
      <c r="AB1892" s="160"/>
    </row>
    <row r="1893">
      <c r="A1893" s="176"/>
      <c r="B1893" s="269"/>
      <c r="C1893" s="269"/>
      <c r="D1893" s="149"/>
      <c r="E1893" s="150"/>
      <c r="F1893" s="150"/>
      <c r="G1893" s="270"/>
      <c r="H1893" s="165"/>
      <c r="I1893" s="165"/>
      <c r="J1893" s="150"/>
      <c r="K1893" s="160"/>
      <c r="L1893" s="160"/>
      <c r="M1893" s="160"/>
      <c r="N1893" s="160"/>
      <c r="O1893" s="160"/>
      <c r="P1893" s="160"/>
      <c r="Q1893" s="160"/>
      <c r="R1893" s="160"/>
      <c r="S1893" s="160"/>
      <c r="T1893" s="160"/>
      <c r="U1893" s="160"/>
      <c r="V1893" s="160"/>
      <c r="W1893" s="160"/>
      <c r="X1893" s="160"/>
      <c r="Y1893" s="160"/>
      <c r="Z1893" s="160"/>
      <c r="AA1893" s="160"/>
      <c r="AB1893" s="160"/>
    </row>
    <row r="1894">
      <c r="A1894" s="176"/>
      <c r="B1894" s="269"/>
      <c r="C1894" s="269"/>
      <c r="D1894" s="149"/>
      <c r="E1894" s="150"/>
      <c r="F1894" s="150"/>
      <c r="G1894" s="270"/>
      <c r="H1894" s="165"/>
      <c r="I1894" s="165"/>
      <c r="J1894" s="150"/>
      <c r="K1894" s="160"/>
      <c r="L1894" s="160"/>
      <c r="M1894" s="160"/>
      <c r="N1894" s="160"/>
      <c r="O1894" s="160"/>
      <c r="P1894" s="160"/>
      <c r="Q1894" s="160"/>
      <c r="R1894" s="160"/>
      <c r="S1894" s="160"/>
      <c r="T1894" s="160"/>
      <c r="U1894" s="160"/>
      <c r="V1894" s="160"/>
      <c r="W1894" s="160"/>
      <c r="X1894" s="160"/>
      <c r="Y1894" s="160"/>
      <c r="Z1894" s="160"/>
      <c r="AA1894" s="160"/>
      <c r="AB1894" s="160"/>
    </row>
    <row r="1895">
      <c r="A1895" s="176"/>
      <c r="B1895" s="269"/>
      <c r="C1895" s="269"/>
      <c r="D1895" s="149"/>
      <c r="E1895" s="150"/>
      <c r="F1895" s="150"/>
      <c r="G1895" s="270"/>
      <c r="H1895" s="165"/>
      <c r="I1895" s="165"/>
      <c r="J1895" s="150"/>
      <c r="K1895" s="160"/>
      <c r="L1895" s="160"/>
      <c r="M1895" s="160"/>
      <c r="N1895" s="160"/>
      <c r="O1895" s="160"/>
      <c r="P1895" s="160"/>
      <c r="Q1895" s="160"/>
      <c r="R1895" s="160"/>
      <c r="S1895" s="160"/>
      <c r="T1895" s="160"/>
      <c r="U1895" s="160"/>
      <c r="V1895" s="160"/>
      <c r="W1895" s="160"/>
      <c r="X1895" s="160"/>
      <c r="Y1895" s="160"/>
      <c r="Z1895" s="160"/>
      <c r="AA1895" s="160"/>
      <c r="AB1895" s="160"/>
    </row>
    <row r="1896">
      <c r="A1896" s="176"/>
      <c r="B1896" s="269"/>
      <c r="C1896" s="269"/>
      <c r="D1896" s="149"/>
      <c r="E1896" s="150"/>
      <c r="F1896" s="150"/>
      <c r="G1896" s="270"/>
      <c r="H1896" s="165"/>
      <c r="I1896" s="165"/>
      <c r="J1896" s="150"/>
      <c r="K1896" s="160"/>
      <c r="L1896" s="160"/>
      <c r="M1896" s="160"/>
      <c r="N1896" s="160"/>
      <c r="O1896" s="160"/>
      <c r="P1896" s="160"/>
      <c r="Q1896" s="160"/>
      <c r="R1896" s="160"/>
      <c r="S1896" s="160"/>
      <c r="T1896" s="160"/>
      <c r="U1896" s="160"/>
      <c r="V1896" s="160"/>
      <c r="W1896" s="160"/>
      <c r="X1896" s="160"/>
      <c r="Y1896" s="160"/>
      <c r="Z1896" s="160"/>
      <c r="AA1896" s="160"/>
      <c r="AB1896" s="160"/>
    </row>
    <row r="1897">
      <c r="A1897" s="176"/>
      <c r="B1897" s="269"/>
      <c r="C1897" s="269"/>
      <c r="D1897" s="149"/>
      <c r="E1897" s="150"/>
      <c r="F1897" s="150"/>
      <c r="G1897" s="270"/>
      <c r="H1897" s="165"/>
      <c r="I1897" s="165"/>
      <c r="J1897" s="150"/>
      <c r="K1897" s="160"/>
      <c r="L1897" s="160"/>
      <c r="M1897" s="160"/>
      <c r="N1897" s="160"/>
      <c r="O1897" s="160"/>
      <c r="P1897" s="160"/>
      <c r="Q1897" s="160"/>
      <c r="R1897" s="160"/>
      <c r="S1897" s="160"/>
      <c r="T1897" s="160"/>
      <c r="U1897" s="160"/>
      <c r="V1897" s="160"/>
      <c r="W1897" s="160"/>
      <c r="X1897" s="160"/>
      <c r="Y1897" s="160"/>
      <c r="Z1897" s="160"/>
      <c r="AA1897" s="160"/>
      <c r="AB1897" s="160"/>
    </row>
    <row r="1898">
      <c r="A1898" s="176"/>
      <c r="B1898" s="269"/>
      <c r="C1898" s="269"/>
      <c r="D1898" s="149"/>
      <c r="E1898" s="150"/>
      <c r="F1898" s="150"/>
      <c r="G1898" s="270"/>
      <c r="H1898" s="165"/>
      <c r="I1898" s="165"/>
      <c r="J1898" s="150"/>
      <c r="K1898" s="160"/>
      <c r="L1898" s="160"/>
      <c r="M1898" s="160"/>
      <c r="N1898" s="160"/>
      <c r="O1898" s="160"/>
      <c r="P1898" s="160"/>
      <c r="Q1898" s="160"/>
      <c r="R1898" s="160"/>
      <c r="S1898" s="160"/>
      <c r="T1898" s="160"/>
      <c r="U1898" s="160"/>
      <c r="V1898" s="160"/>
      <c r="W1898" s="160"/>
      <c r="X1898" s="160"/>
      <c r="Y1898" s="160"/>
      <c r="Z1898" s="160"/>
      <c r="AA1898" s="160"/>
      <c r="AB1898" s="160"/>
    </row>
    <row r="1899">
      <c r="A1899" s="176"/>
      <c r="B1899" s="269"/>
      <c r="C1899" s="269"/>
      <c r="D1899" s="149"/>
      <c r="E1899" s="150"/>
      <c r="F1899" s="150"/>
      <c r="G1899" s="270"/>
      <c r="H1899" s="165"/>
      <c r="I1899" s="165"/>
      <c r="J1899" s="150"/>
      <c r="K1899" s="160"/>
      <c r="L1899" s="160"/>
      <c r="M1899" s="160"/>
      <c r="N1899" s="160"/>
      <c r="O1899" s="160"/>
      <c r="P1899" s="160"/>
      <c r="Q1899" s="160"/>
      <c r="R1899" s="160"/>
      <c r="S1899" s="160"/>
      <c r="T1899" s="160"/>
      <c r="U1899" s="160"/>
      <c r="V1899" s="160"/>
      <c r="W1899" s="160"/>
      <c r="X1899" s="160"/>
      <c r="Y1899" s="160"/>
      <c r="Z1899" s="160"/>
      <c r="AA1899" s="160"/>
      <c r="AB1899" s="160"/>
    </row>
    <row r="1900">
      <c r="A1900" s="176"/>
      <c r="B1900" s="269"/>
      <c r="C1900" s="269"/>
      <c r="D1900" s="149"/>
      <c r="E1900" s="150"/>
      <c r="F1900" s="150"/>
      <c r="G1900" s="270"/>
      <c r="H1900" s="165"/>
      <c r="I1900" s="165"/>
      <c r="J1900" s="150"/>
      <c r="K1900" s="160"/>
      <c r="L1900" s="160"/>
      <c r="M1900" s="160"/>
      <c r="N1900" s="160"/>
      <c r="O1900" s="160"/>
      <c r="P1900" s="160"/>
      <c r="Q1900" s="160"/>
      <c r="R1900" s="160"/>
      <c r="S1900" s="160"/>
      <c r="T1900" s="160"/>
      <c r="U1900" s="160"/>
      <c r="V1900" s="160"/>
      <c r="W1900" s="160"/>
      <c r="X1900" s="160"/>
      <c r="Y1900" s="160"/>
      <c r="Z1900" s="160"/>
      <c r="AA1900" s="160"/>
      <c r="AB1900" s="160"/>
    </row>
    <row r="1901">
      <c r="A1901" s="176"/>
      <c r="B1901" s="269"/>
      <c r="C1901" s="269"/>
      <c r="D1901" s="149"/>
      <c r="E1901" s="150"/>
      <c r="F1901" s="150"/>
      <c r="G1901" s="270"/>
      <c r="H1901" s="165"/>
      <c r="I1901" s="165"/>
      <c r="J1901" s="150"/>
      <c r="K1901" s="160"/>
      <c r="L1901" s="160"/>
      <c r="M1901" s="160"/>
      <c r="N1901" s="160"/>
      <c r="O1901" s="160"/>
      <c r="P1901" s="160"/>
      <c r="Q1901" s="160"/>
      <c r="R1901" s="160"/>
      <c r="S1901" s="160"/>
      <c r="T1901" s="160"/>
      <c r="U1901" s="160"/>
      <c r="V1901" s="160"/>
      <c r="W1901" s="160"/>
      <c r="X1901" s="160"/>
      <c r="Y1901" s="160"/>
      <c r="Z1901" s="160"/>
      <c r="AA1901" s="160"/>
      <c r="AB1901" s="160"/>
    </row>
    <row r="1902">
      <c r="A1902" s="176"/>
      <c r="B1902" s="269"/>
      <c r="C1902" s="269"/>
      <c r="D1902" s="149"/>
      <c r="E1902" s="150"/>
      <c r="F1902" s="150"/>
      <c r="G1902" s="270"/>
      <c r="H1902" s="165"/>
      <c r="I1902" s="165"/>
      <c r="J1902" s="150"/>
      <c r="K1902" s="160"/>
      <c r="L1902" s="160"/>
      <c r="M1902" s="160"/>
      <c r="N1902" s="160"/>
      <c r="O1902" s="160"/>
      <c r="P1902" s="160"/>
      <c r="Q1902" s="160"/>
      <c r="R1902" s="160"/>
      <c r="S1902" s="160"/>
      <c r="T1902" s="160"/>
      <c r="U1902" s="160"/>
      <c r="V1902" s="160"/>
      <c r="W1902" s="160"/>
      <c r="X1902" s="160"/>
      <c r="Y1902" s="160"/>
      <c r="Z1902" s="160"/>
      <c r="AA1902" s="160"/>
      <c r="AB1902" s="160"/>
    </row>
    <row r="1903">
      <c r="A1903" s="176"/>
      <c r="B1903" s="269"/>
      <c r="C1903" s="269"/>
      <c r="D1903" s="149"/>
      <c r="E1903" s="150"/>
      <c r="F1903" s="150"/>
      <c r="G1903" s="270"/>
      <c r="H1903" s="165"/>
      <c r="I1903" s="165"/>
      <c r="J1903" s="150"/>
      <c r="K1903" s="160"/>
      <c r="L1903" s="160"/>
      <c r="M1903" s="160"/>
      <c r="N1903" s="160"/>
      <c r="O1903" s="160"/>
      <c r="P1903" s="160"/>
      <c r="Q1903" s="160"/>
      <c r="R1903" s="160"/>
      <c r="S1903" s="160"/>
      <c r="T1903" s="160"/>
      <c r="U1903" s="160"/>
      <c r="V1903" s="160"/>
      <c r="W1903" s="160"/>
      <c r="X1903" s="160"/>
      <c r="Y1903" s="160"/>
      <c r="Z1903" s="160"/>
      <c r="AA1903" s="160"/>
      <c r="AB1903" s="160"/>
    </row>
  </sheetData>
  <mergeCells count="214">
    <mergeCell ref="E2:L2"/>
    <mergeCell ref="E26:L26"/>
    <mergeCell ref="E45:L50"/>
    <mergeCell ref="E51:L51"/>
    <mergeCell ref="C70:C75"/>
    <mergeCell ref="E70:L75"/>
    <mergeCell ref="E76:L76"/>
    <mergeCell ref="E95:L100"/>
    <mergeCell ref="E101:L101"/>
    <mergeCell ref="E120:L125"/>
    <mergeCell ref="E126:L126"/>
    <mergeCell ref="E151:L151"/>
    <mergeCell ref="E176:L176"/>
    <mergeCell ref="M198:M199"/>
    <mergeCell ref="L198:L199"/>
    <mergeCell ref="E201:L201"/>
    <mergeCell ref="E226:L226"/>
    <mergeCell ref="E251:L251"/>
    <mergeCell ref="E270:L270"/>
    <mergeCell ref="E289:L289"/>
    <mergeCell ref="E308:L308"/>
    <mergeCell ref="E327:L327"/>
    <mergeCell ref="E346:L346"/>
    <mergeCell ref="E384:L384"/>
    <mergeCell ref="E403:L403"/>
    <mergeCell ref="E422:L422"/>
    <mergeCell ref="E441:L441"/>
    <mergeCell ref="E460:L460"/>
    <mergeCell ref="E480:L480"/>
    <mergeCell ref="E499:L499"/>
    <mergeCell ref="E518:L518"/>
    <mergeCell ref="E537:L537"/>
    <mergeCell ref="E556:L556"/>
    <mergeCell ref="E575:L575"/>
    <mergeCell ref="F733:F736"/>
    <mergeCell ref="B867:B874"/>
    <mergeCell ref="B876:B880"/>
    <mergeCell ref="E876:F876"/>
    <mergeCell ref="F882:H884"/>
    <mergeCell ref="B882:B886"/>
    <mergeCell ref="B888:B892"/>
    <mergeCell ref="E904:F904"/>
    <mergeCell ref="F919:H921"/>
    <mergeCell ref="E944:F944"/>
    <mergeCell ref="E950:F950"/>
    <mergeCell ref="E958:F958"/>
    <mergeCell ref="B1165:B1170"/>
    <mergeCell ref="B1172:B1177"/>
    <mergeCell ref="B1179:B1184"/>
    <mergeCell ref="B1186:B1191"/>
    <mergeCell ref="B1193:B1200"/>
    <mergeCell ref="B1202:B1208"/>
    <mergeCell ref="B1210:B1215"/>
    <mergeCell ref="B1217:B1222"/>
    <mergeCell ref="B1224:B1230"/>
    <mergeCell ref="B1232:B1238"/>
    <mergeCell ref="B1240:B1246"/>
    <mergeCell ref="B1248:B1253"/>
    <mergeCell ref="B1255:B1260"/>
    <mergeCell ref="B1262:B1269"/>
    <mergeCell ref="B1271:B1277"/>
    <mergeCell ref="B1279:B1287"/>
    <mergeCell ref="B1289:B1295"/>
    <mergeCell ref="B1297:B1303"/>
    <mergeCell ref="B1305:B1311"/>
    <mergeCell ref="B1313:B1319"/>
    <mergeCell ref="B1321:B1328"/>
    <mergeCell ref="B1330:B1336"/>
    <mergeCell ref="B1338:B1344"/>
    <mergeCell ref="B1346:B1352"/>
    <mergeCell ref="B1354:B1359"/>
    <mergeCell ref="B1361:B1367"/>
    <mergeCell ref="B1369:B1375"/>
    <mergeCell ref="B1377:B1383"/>
    <mergeCell ref="B1385:B1391"/>
    <mergeCell ref="B1393:B1398"/>
    <mergeCell ref="B1400:B1406"/>
    <mergeCell ref="B1408:B1415"/>
    <mergeCell ref="B1417:B1421"/>
    <mergeCell ref="B1423:B1427"/>
    <mergeCell ref="B1429:B1433"/>
    <mergeCell ref="B1435:B1440"/>
    <mergeCell ref="B1442:B1446"/>
    <mergeCell ref="B1448:B1452"/>
    <mergeCell ref="B1454:B1458"/>
    <mergeCell ref="B1460:B1464"/>
    <mergeCell ref="B1466:B1470"/>
    <mergeCell ref="B1472:B1476"/>
    <mergeCell ref="B1520:B1524"/>
    <mergeCell ref="B1526:B1530"/>
    <mergeCell ref="B1532:B1536"/>
    <mergeCell ref="B1478:B1482"/>
    <mergeCell ref="B1484:B1488"/>
    <mergeCell ref="B1490:B1494"/>
    <mergeCell ref="B1496:B1500"/>
    <mergeCell ref="B1502:B1506"/>
    <mergeCell ref="B1508:B1512"/>
    <mergeCell ref="B1514:B1518"/>
    <mergeCell ref="B775:B779"/>
    <mergeCell ref="B781:B785"/>
    <mergeCell ref="B787:B791"/>
    <mergeCell ref="B793:B797"/>
    <mergeCell ref="B799:B803"/>
    <mergeCell ref="B805:B809"/>
    <mergeCell ref="B811:B816"/>
    <mergeCell ref="B818:B822"/>
    <mergeCell ref="B824:B827"/>
    <mergeCell ref="B830:B834"/>
    <mergeCell ref="B838:B842"/>
    <mergeCell ref="B847:B852"/>
    <mergeCell ref="B854:B859"/>
    <mergeCell ref="B861:B865"/>
    <mergeCell ref="B894:B902"/>
    <mergeCell ref="B904:B908"/>
    <mergeCell ref="B911:B917"/>
    <mergeCell ref="B919:B923"/>
    <mergeCell ref="B925:B929"/>
    <mergeCell ref="B932:B936"/>
    <mergeCell ref="B938:B942"/>
    <mergeCell ref="B944:B949"/>
    <mergeCell ref="B951:B956"/>
    <mergeCell ref="B958:B963"/>
    <mergeCell ref="B965:B971"/>
    <mergeCell ref="B973:B977"/>
    <mergeCell ref="B979:B984"/>
    <mergeCell ref="B986:B991"/>
    <mergeCell ref="B993:B999"/>
    <mergeCell ref="B1001:B1006"/>
    <mergeCell ref="B1008:B1013"/>
    <mergeCell ref="B1015:B1020"/>
    <mergeCell ref="B1022:B1027"/>
    <mergeCell ref="B1029:B1036"/>
    <mergeCell ref="B1038:B1043"/>
    <mergeCell ref="B1045:B1050"/>
    <mergeCell ref="B1052:B1057"/>
    <mergeCell ref="B1059:B1067"/>
    <mergeCell ref="B1069:B1075"/>
    <mergeCell ref="B1077:B1082"/>
    <mergeCell ref="B1085:B1094"/>
    <mergeCell ref="B1096:B1101"/>
    <mergeCell ref="B1103:B1110"/>
    <mergeCell ref="B1112:B1117"/>
    <mergeCell ref="B1119:B1125"/>
    <mergeCell ref="B1127:B1133"/>
    <mergeCell ref="B1135:B1141"/>
    <mergeCell ref="B1143:B1154"/>
    <mergeCell ref="B1156:B1163"/>
    <mergeCell ref="E1408:F1408"/>
    <mergeCell ref="E1417:F1417"/>
    <mergeCell ref="E1423:F1423"/>
    <mergeCell ref="F1429:G1429"/>
    <mergeCell ref="F1435:G1435"/>
    <mergeCell ref="F1442:G1442"/>
    <mergeCell ref="H1448:I1448"/>
    <mergeCell ref="E1496:F1496"/>
    <mergeCell ref="G1502:I1502"/>
    <mergeCell ref="G1508:I1508"/>
    <mergeCell ref="G1514:I1514"/>
    <mergeCell ref="F1448:G1448"/>
    <mergeCell ref="E1460:F1460"/>
    <mergeCell ref="E1466:F1466"/>
    <mergeCell ref="E1472:F1472"/>
    <mergeCell ref="E1478:F1478"/>
    <mergeCell ref="E1484:F1484"/>
    <mergeCell ref="E1490:F1490"/>
    <mergeCell ref="E965:F965"/>
    <mergeCell ref="E973:F973"/>
    <mergeCell ref="E979:F979"/>
    <mergeCell ref="E986:F988"/>
    <mergeCell ref="E992:F992"/>
    <mergeCell ref="E999:F999"/>
    <mergeCell ref="E1008:F1008"/>
    <mergeCell ref="E1015:F1015"/>
    <mergeCell ref="E1022:F1022"/>
    <mergeCell ref="E1029:F1029"/>
    <mergeCell ref="E1038:F1038"/>
    <mergeCell ref="E1045:F1045"/>
    <mergeCell ref="E1059:F1059"/>
    <mergeCell ref="F1069:G1069"/>
    <mergeCell ref="E1078:F1080"/>
    <mergeCell ref="E1097:F1099"/>
    <mergeCell ref="E1104:F1104"/>
    <mergeCell ref="E1112:F1112"/>
    <mergeCell ref="E1120:F1120"/>
    <mergeCell ref="E1128:F1128"/>
    <mergeCell ref="E1135:F1135"/>
    <mergeCell ref="E1143:F1143"/>
    <mergeCell ref="E1155:F1155"/>
    <mergeCell ref="E1166:F1168"/>
    <mergeCell ref="E1173:F1175"/>
    <mergeCell ref="E1180:F1180"/>
    <mergeCell ref="F1212:G1214"/>
    <mergeCell ref="E1224:F1224"/>
    <mergeCell ref="E1232:F1232"/>
    <mergeCell ref="E1240:F1240"/>
    <mergeCell ref="E1248:F1248"/>
    <mergeCell ref="E1255:F1255"/>
    <mergeCell ref="E1262:F1262"/>
    <mergeCell ref="E1271:F1273"/>
    <mergeCell ref="E1289:F1289"/>
    <mergeCell ref="E1298:F1300"/>
    <mergeCell ref="E1305:F1305"/>
    <mergeCell ref="E1313:F1313"/>
    <mergeCell ref="E1321:F1321"/>
    <mergeCell ref="E1330:F1330"/>
    <mergeCell ref="E1338:F1338"/>
    <mergeCell ref="E1345:F1345"/>
    <mergeCell ref="E1353:F1353"/>
    <mergeCell ref="E1360:F1360"/>
    <mergeCell ref="E1369:F1371"/>
    <mergeCell ref="E1378:F1380"/>
    <mergeCell ref="E1386:F1386"/>
    <mergeCell ref="E1393:F1393"/>
    <mergeCell ref="E1400:F1400"/>
  </mergeCells>
  <dataValidations>
    <dataValidation type="list" allowBlank="1" showErrorMessage="1" sqref="D1210:D1211 D1217:D1218 D1256:D1257 D1272 D1280 D1282">
      <formula1>'Durum Parametreler'!$F$9:$F$33</formula1>
    </dataValidation>
    <dataValidation type="list" allowBlank="1" showErrorMessage="1" sqref="D892 D896:D902 D906:D909 D926:D997 D999:D1065 D1067:D1192 D1194:D1200 D1202:D1208 D1214:D1216 D1219:D1255 D1258:D1271 D1273:D1279 D1281 D1283:D1438 D1440:D1903">
      <formula1>'Durum Parametreler'!$F$9:$F$43</formula1>
    </dataValidation>
    <dataValidation type="list" allowBlank="1" showErrorMessage="1" sqref="D2:D453 D455:D474 D476:D505 D507:D612 D614:D675 D677:D686 D688:D724 D726:D750 G760 D752:D800 D802:D847 D850 D853:D891 D893:D895 D903:D904 D910:D925">
      <formula1>'Durum Parametreler'!$H$2:$H$15</formula1>
    </dataValidation>
  </dataValidations>
  <hyperlinks>
    <hyperlink r:id="rId1" ref="J7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9.75"/>
    <col customWidth="1" min="5" max="5" width="10.0"/>
    <col customWidth="1" min="6" max="6" width="13.5"/>
    <col customWidth="1" min="7" max="7" width="10.13"/>
    <col customWidth="1" min="8" max="8" width="8.5"/>
    <col customWidth="1" min="9" max="9" width="7.5"/>
    <col customWidth="1" min="10" max="10" width="7.13"/>
    <col customWidth="1" min="11" max="11" width="19.63"/>
    <col customWidth="1" min="15" max="15" width="23.63"/>
    <col customWidth="1" min="16" max="16" width="9.38"/>
    <col customWidth="1" min="17" max="17" width="16.5"/>
  </cols>
  <sheetData>
    <row r="1">
      <c r="A1" s="271" t="s">
        <v>2617</v>
      </c>
      <c r="B1" s="272" t="s">
        <v>2618</v>
      </c>
      <c r="C1" s="272" t="s">
        <v>2619</v>
      </c>
      <c r="D1" s="271" t="s">
        <v>2620</v>
      </c>
      <c r="E1" s="271" t="s">
        <v>2621</v>
      </c>
      <c r="F1" s="271" t="s">
        <v>2622</v>
      </c>
      <c r="G1" s="273" t="s">
        <v>2623</v>
      </c>
      <c r="H1" s="273" t="s">
        <v>2624</v>
      </c>
      <c r="I1" s="273" t="s">
        <v>2625</v>
      </c>
      <c r="J1" s="271" t="s">
        <v>2626</v>
      </c>
      <c r="K1" s="271" t="s">
        <v>2627</v>
      </c>
      <c r="L1" s="271" t="s">
        <v>2628</v>
      </c>
      <c r="M1" s="271" t="s">
        <v>2629</v>
      </c>
      <c r="N1" s="271" t="s">
        <v>2630</v>
      </c>
      <c r="O1" s="271" t="s">
        <v>7</v>
      </c>
      <c r="P1" s="271" t="s">
        <v>2631</v>
      </c>
      <c r="Q1" s="274" t="s">
        <v>2632</v>
      </c>
      <c r="R1" s="275" t="s">
        <v>2633</v>
      </c>
      <c r="S1" s="276" t="s">
        <v>2634</v>
      </c>
      <c r="T1" s="275" t="s">
        <v>2635</v>
      </c>
      <c r="U1" s="275" t="s">
        <v>1</v>
      </c>
      <c r="V1" s="275" t="s">
        <v>2636</v>
      </c>
      <c r="W1" s="275" t="s">
        <v>2637</v>
      </c>
      <c r="X1" s="277" t="s">
        <v>2638</v>
      </c>
      <c r="Y1" s="277" t="s">
        <v>2639</v>
      </c>
      <c r="Z1" s="278" t="s">
        <v>2640</v>
      </c>
      <c r="AA1" s="279" t="s">
        <v>2641</v>
      </c>
      <c r="AB1" s="278" t="s">
        <v>2642</v>
      </c>
      <c r="AC1" s="279" t="s">
        <v>2643</v>
      </c>
      <c r="AD1" s="278" t="s">
        <v>2644</v>
      </c>
      <c r="AE1" s="279" t="s">
        <v>2645</v>
      </c>
      <c r="AF1" s="278" t="s">
        <v>2646</v>
      </c>
      <c r="AG1" s="279" t="s">
        <v>2647</v>
      </c>
      <c r="AH1" s="278" t="s">
        <v>2648</v>
      </c>
      <c r="AI1" s="279" t="s">
        <v>2649</v>
      </c>
      <c r="AJ1" s="278" t="s">
        <v>2650</v>
      </c>
      <c r="AK1" s="278" t="s">
        <v>2651</v>
      </c>
      <c r="AL1" s="278" t="s">
        <v>2652</v>
      </c>
      <c r="AM1" s="278" t="s">
        <v>2653</v>
      </c>
      <c r="AN1" s="278" t="s">
        <v>2654</v>
      </c>
      <c r="AO1" s="278" t="s">
        <v>2655</v>
      </c>
      <c r="AP1" s="278" t="s">
        <v>2656</v>
      </c>
      <c r="AQ1" s="278" t="s">
        <v>2657</v>
      </c>
    </row>
    <row r="2">
      <c r="A2" s="244" t="s">
        <v>65</v>
      </c>
      <c r="B2" s="244" t="s">
        <v>66</v>
      </c>
      <c r="C2" s="175" t="str">
        <f>VLOOKUP(A2,Import!A:C,3,false)</f>
        <v>DOĞRU</v>
      </c>
      <c r="D2" s="175" t="s">
        <v>2658</v>
      </c>
      <c r="E2" s="280">
        <f>VLOOKUP(A2,Import!A:J,5,0)</f>
        <v>1515</v>
      </c>
      <c r="F2" s="280">
        <f>VLOOKUP(A2,Import!A:J,6,0)</f>
        <v>18</v>
      </c>
      <c r="G2" s="281">
        <f>VLOOKUP(A2,Import!A:J,7,0)</f>
        <v>2</v>
      </c>
      <c r="H2" s="281">
        <f>VLOOKUP(A2,Import!A:J,8,0)</f>
        <v>5</v>
      </c>
      <c r="I2" s="281">
        <f>VLOOKUP(A2,Import!A:J,9,0)</f>
        <v>7</v>
      </c>
      <c r="J2" s="282">
        <f>VLOOKUP(A2,Import!A:J,10,0)</f>
        <v>0.29</v>
      </c>
      <c r="K2" s="175" t="str">
        <f>VLOOKUP(A2,Import!A:P,11,0)</f>
        <v>CEMİL AYAZ</v>
      </c>
      <c r="L2" s="283">
        <v>2.2223201E9</v>
      </c>
      <c r="M2" s="175" t="s">
        <v>1450</v>
      </c>
      <c r="N2" s="175" t="s">
        <v>2659</v>
      </c>
      <c r="O2" s="175" t="s">
        <v>69</v>
      </c>
      <c r="P2" s="244" t="str">
        <f>VLOOKUP(A2,Import!A:P,16,0)</f>
        <v>Geleneksel</v>
      </c>
      <c r="Q2" s="284" t="s">
        <v>2660</v>
      </c>
      <c r="R2" s="285" t="b">
        <v>1</v>
      </c>
      <c r="S2" s="286" t="b">
        <v>0</v>
      </c>
      <c r="T2" s="171" t="s">
        <v>2661</v>
      </c>
      <c r="U2" s="171"/>
      <c r="V2" s="171" t="s">
        <v>13</v>
      </c>
      <c r="W2" s="171" t="s">
        <v>2662</v>
      </c>
      <c r="X2" s="287">
        <v>44232.0</v>
      </c>
      <c r="Y2" s="287">
        <v>44236.0</v>
      </c>
      <c r="Z2" s="288"/>
      <c r="AA2" s="288"/>
      <c r="AB2" s="288"/>
      <c r="AC2" s="288"/>
      <c r="AD2" s="288"/>
      <c r="AE2" s="160"/>
      <c r="AF2" s="288"/>
      <c r="AG2" s="160"/>
      <c r="AH2" s="288"/>
      <c r="AI2" s="288"/>
      <c r="AJ2" s="288"/>
      <c r="AK2" s="288"/>
      <c r="AL2" s="288"/>
      <c r="AM2" s="288"/>
      <c r="AN2" s="288"/>
      <c r="AO2" s="288"/>
      <c r="AP2" s="150" t="s">
        <v>2663</v>
      </c>
      <c r="AQ2" s="288"/>
    </row>
    <row r="3">
      <c r="A3" s="150" t="s">
        <v>2373</v>
      </c>
      <c r="B3" s="150" t="s">
        <v>2374</v>
      </c>
      <c r="C3" s="175" t="str">
        <f>VLOOKUP(A3,Import!A:C,3,false)</f>
        <v>YANLIŞ</v>
      </c>
      <c r="D3" s="150" t="s">
        <v>2664</v>
      </c>
      <c r="E3" s="280" t="str">
        <f>VLOOKUP(A3,Import!A:J,5,0)</f>
        <v/>
      </c>
      <c r="F3" s="280" t="str">
        <f>VLOOKUP(A3,Import!A:J,6,0)</f>
        <v/>
      </c>
      <c r="G3" s="289">
        <f>VLOOKUP(A3,Import!A:J,7,0)</f>
        <v>0</v>
      </c>
      <c r="H3" s="289">
        <f>VLOOKUP(A3,Import!A:J,8,0)</f>
        <v>16</v>
      </c>
      <c r="I3" s="289">
        <f>VLOOKUP(A3,Import!A:J,9,0)</f>
        <v>16</v>
      </c>
      <c r="J3" s="282">
        <f>VLOOKUP(A3,Import!A:J,10,0)</f>
        <v>0</v>
      </c>
      <c r="K3" s="290" t="s">
        <v>2665</v>
      </c>
      <c r="L3" s="150">
        <v>5.523763838E9</v>
      </c>
      <c r="M3" s="150" t="s">
        <v>2666</v>
      </c>
      <c r="N3" s="150" t="s">
        <v>2667</v>
      </c>
      <c r="O3" s="150" t="s">
        <v>2377</v>
      </c>
      <c r="P3" s="244" t="str">
        <f>VLOOKUP(A3,Import!A:P,16,0)</f>
        <v>Geleneksel</v>
      </c>
      <c r="Q3" s="291"/>
      <c r="R3" s="292" t="b">
        <v>1</v>
      </c>
      <c r="S3" s="293" t="b">
        <v>0</v>
      </c>
      <c r="T3" s="149" t="s">
        <v>2668</v>
      </c>
      <c r="U3" s="149" t="s">
        <v>1791</v>
      </c>
      <c r="V3" s="149" t="s">
        <v>1609</v>
      </c>
      <c r="W3" s="149"/>
      <c r="X3" s="294">
        <v>44641.0</v>
      </c>
      <c r="Y3" s="294">
        <v>44643.0</v>
      </c>
      <c r="Z3" s="288"/>
      <c r="AA3" s="165" t="s">
        <v>2669</v>
      </c>
      <c r="AB3" s="295">
        <v>44578.0</v>
      </c>
      <c r="AC3" s="165" t="s">
        <v>2669</v>
      </c>
      <c r="AD3" s="295">
        <v>44641.0</v>
      </c>
      <c r="AE3" s="160"/>
      <c r="AF3" s="288"/>
      <c r="AG3" s="160"/>
      <c r="AH3" s="288"/>
      <c r="AI3" s="288"/>
      <c r="AJ3" s="288"/>
      <c r="AK3" s="165" t="s">
        <v>819</v>
      </c>
      <c r="AL3" s="165" t="s">
        <v>1791</v>
      </c>
      <c r="AM3" s="288"/>
      <c r="AN3" s="288"/>
      <c r="AO3" s="165"/>
      <c r="AP3" s="150"/>
      <c r="AQ3" s="165"/>
    </row>
    <row r="4">
      <c r="A4" s="150" t="s">
        <v>2670</v>
      </c>
      <c r="B4" s="150" t="s">
        <v>2671</v>
      </c>
      <c r="C4" s="175" t="str">
        <f>VLOOKUP(A4,Import!A:C,3,false)</f>
        <v>DOĞRU</v>
      </c>
      <c r="D4" s="150" t="s">
        <v>2672</v>
      </c>
      <c r="E4" s="280" t="str">
        <f>VLOOKUP(A4,Import!A:J,5,0)</f>
        <v/>
      </c>
      <c r="F4" s="280" t="str">
        <f>VLOOKUP(A4,Import!A:J,6,0)</f>
        <v/>
      </c>
      <c r="G4" s="289">
        <f>VLOOKUP(A4,Import!A:J,7,0)</f>
        <v>0</v>
      </c>
      <c r="H4" s="289">
        <f>VLOOKUP(A4,Import!A:J,8,0)</f>
        <v>11</v>
      </c>
      <c r="I4" s="289">
        <f>VLOOKUP(A4,Import!A:J,9,0)</f>
        <v>11</v>
      </c>
      <c r="J4" s="282">
        <f>VLOOKUP(A4,Import!A:J,10,0)</f>
        <v>0</v>
      </c>
      <c r="K4" s="290" t="s">
        <v>2673</v>
      </c>
      <c r="L4" s="150">
        <v>5.441602676E9</v>
      </c>
      <c r="M4" s="150" t="s">
        <v>1450</v>
      </c>
      <c r="N4" s="150" t="s">
        <v>2674</v>
      </c>
      <c r="O4" s="150" t="s">
        <v>2675</v>
      </c>
      <c r="P4" s="244" t="str">
        <f>VLOOKUP(A4,Import!A:P,16,0)</f>
        <v>Geleneksel</v>
      </c>
      <c r="Q4" s="291"/>
      <c r="R4" s="292" t="b">
        <v>0</v>
      </c>
      <c r="S4" s="293" t="b">
        <v>0</v>
      </c>
      <c r="T4" s="149"/>
      <c r="U4" s="296"/>
      <c r="V4" s="296"/>
      <c r="W4" s="149"/>
      <c r="X4" s="297"/>
      <c r="Y4" s="297"/>
      <c r="Z4" s="288"/>
      <c r="AA4" s="165"/>
      <c r="AB4" s="295"/>
      <c r="AC4" s="288"/>
      <c r="AD4" s="288"/>
      <c r="AE4" s="160"/>
      <c r="AF4" s="288"/>
      <c r="AG4" s="160"/>
      <c r="AH4" s="288"/>
      <c r="AI4" s="288"/>
      <c r="AJ4" s="288"/>
      <c r="AK4" s="165"/>
      <c r="AL4" s="288"/>
      <c r="AM4" s="288"/>
      <c r="AN4" s="288"/>
      <c r="AO4" s="165"/>
      <c r="AP4" s="150"/>
      <c r="AQ4" s="165"/>
    </row>
    <row r="5">
      <c r="A5" s="244" t="s">
        <v>2676</v>
      </c>
      <c r="B5" s="244" t="s">
        <v>2677</v>
      </c>
      <c r="C5" s="175" t="str">
        <f>VLOOKUP(A5,Import!A:C,3,false)</f>
        <v>DOĞRU</v>
      </c>
      <c r="D5" s="175" t="s">
        <v>2658</v>
      </c>
      <c r="E5" s="280">
        <f>VLOOKUP(A5,Import!A:J,5,0)</f>
        <v>1646</v>
      </c>
      <c r="F5" s="280" t="str">
        <f>VLOOKUP(A5,Import!A:J,6,0)</f>
        <v/>
      </c>
      <c r="G5" s="289">
        <f>VLOOKUP(A5,Import!A:J,7,0)</f>
        <v>6</v>
      </c>
      <c r="H5" s="289">
        <f>VLOOKUP(A5,Import!A:J,8,0)</f>
        <v>15</v>
      </c>
      <c r="I5" s="289">
        <f>VLOOKUP(A5,Import!A:J,9,0)</f>
        <v>21</v>
      </c>
      <c r="J5" s="282">
        <f>VLOOKUP(A5,Import!A:J,10,0)</f>
        <v>0.29</v>
      </c>
      <c r="K5" s="244" t="str">
        <f>VLOOKUP(A5,Import!A:P,11,0)</f>
        <v>NİHAL PEKÇOLAKLAR</v>
      </c>
      <c r="L5" s="283">
        <v>8.508404512E9</v>
      </c>
      <c r="M5" s="175" t="s">
        <v>2666</v>
      </c>
      <c r="N5" s="175" t="s">
        <v>2667</v>
      </c>
      <c r="O5" s="175" t="s">
        <v>2678</v>
      </c>
      <c r="P5" s="244" t="str">
        <f>VLOOKUP(A5,Import!A:P,16,0)</f>
        <v>Geleneksel</v>
      </c>
      <c r="Q5" s="284" t="s">
        <v>2660</v>
      </c>
      <c r="R5" s="285" t="b">
        <v>1</v>
      </c>
      <c r="S5" s="285" t="b">
        <v>0</v>
      </c>
      <c r="T5" s="298"/>
      <c r="U5" s="298"/>
      <c r="V5" s="298"/>
      <c r="W5" s="171" t="s">
        <v>2679</v>
      </c>
      <c r="X5" s="299"/>
      <c r="Y5" s="299"/>
      <c r="Z5" s="288"/>
      <c r="AA5" s="165" t="s">
        <v>2669</v>
      </c>
      <c r="AB5" s="295">
        <v>44517.0</v>
      </c>
      <c r="AC5" s="165" t="s">
        <v>2669</v>
      </c>
      <c r="AD5" s="295">
        <v>44525.0</v>
      </c>
      <c r="AE5" s="160"/>
      <c r="AF5" s="288"/>
      <c r="AG5" s="160"/>
      <c r="AH5" s="288"/>
      <c r="AI5" s="288"/>
      <c r="AJ5" s="288"/>
      <c r="AK5" s="165" t="s">
        <v>1971</v>
      </c>
      <c r="AL5" s="165" t="s">
        <v>1911</v>
      </c>
      <c r="AM5" s="288"/>
      <c r="AN5" s="288"/>
      <c r="AO5" s="288"/>
      <c r="AP5" s="150" t="s">
        <v>2663</v>
      </c>
      <c r="AQ5" s="288"/>
    </row>
    <row r="6">
      <c r="A6" s="244" t="s">
        <v>2680</v>
      </c>
      <c r="B6" s="244" t="s">
        <v>2681</v>
      </c>
      <c r="C6" s="175" t="str">
        <f>VLOOKUP(A6,Import!A:C,3,false)</f>
        <v>DOĞRU</v>
      </c>
      <c r="D6" s="175" t="s">
        <v>2658</v>
      </c>
      <c r="E6" s="280">
        <f>VLOOKUP(A6,Import!A:J,5,0)</f>
        <v>5391</v>
      </c>
      <c r="F6" s="280">
        <f>VLOOKUP(A6,Import!A:J,6,0)</f>
        <v>157</v>
      </c>
      <c r="G6" s="289">
        <f>VLOOKUP(A6,Import!A:J,7,0)</f>
        <v>6</v>
      </c>
      <c r="H6" s="289">
        <f>VLOOKUP(A6,Import!A:J,8,0)</f>
        <v>1</v>
      </c>
      <c r="I6" s="289">
        <f>VLOOKUP(A6,Import!A:J,9,0)</f>
        <v>7</v>
      </c>
      <c r="J6" s="282">
        <f>VLOOKUP(A6,Import!A:J,10,0)</f>
        <v>0.86</v>
      </c>
      <c r="K6" s="244" t="str">
        <f>VLOOKUP(A6,Import!A:P,11,0)</f>
        <v>EBRU SÖNMEZ</v>
      </c>
      <c r="L6" s="283">
        <v>5.44262614E9</v>
      </c>
      <c r="M6" s="175" t="s">
        <v>2666</v>
      </c>
      <c r="N6" s="175" t="s">
        <v>2682</v>
      </c>
      <c r="O6" s="175" t="s">
        <v>2683</v>
      </c>
      <c r="P6" s="244" t="str">
        <f>VLOOKUP(A6,Import!A:P,16,0)</f>
        <v>Geleneksel</v>
      </c>
      <c r="Q6" s="300" t="s">
        <v>2660</v>
      </c>
      <c r="R6" s="285" t="b">
        <v>1</v>
      </c>
      <c r="S6" s="285" t="b">
        <v>1</v>
      </c>
      <c r="T6" s="298"/>
      <c r="U6" s="298"/>
      <c r="V6" s="298"/>
      <c r="W6" s="298"/>
      <c r="X6" s="299"/>
      <c r="Y6" s="299"/>
      <c r="Z6" s="288"/>
      <c r="AA6" s="288"/>
      <c r="AB6" s="288"/>
      <c r="AC6" s="288"/>
      <c r="AD6" s="288"/>
      <c r="AE6" s="160"/>
      <c r="AF6" s="288"/>
      <c r="AG6" s="160"/>
      <c r="AH6" s="288"/>
      <c r="AI6" s="288"/>
      <c r="AJ6" s="288"/>
      <c r="AK6" s="288"/>
      <c r="AL6" s="288"/>
      <c r="AM6" s="288"/>
      <c r="AN6" s="288"/>
      <c r="AO6" s="288"/>
      <c r="AP6" s="150" t="s">
        <v>2663</v>
      </c>
      <c r="AQ6" s="288"/>
    </row>
    <row r="7">
      <c r="A7" s="150" t="s">
        <v>2330</v>
      </c>
      <c r="B7" s="150" t="s">
        <v>2331</v>
      </c>
      <c r="C7" s="175" t="str">
        <f>VLOOKUP(A7,Import!A:C,3,false)</f>
        <v>DOĞRU</v>
      </c>
      <c r="D7" s="150" t="s">
        <v>2684</v>
      </c>
      <c r="E7" s="280">
        <f>VLOOKUP(A7,Import!A:J,5,0)</f>
        <v>6197</v>
      </c>
      <c r="F7" s="280">
        <f>VLOOKUP(A7,Import!A:J,6,0)</f>
        <v>121</v>
      </c>
      <c r="G7" s="289">
        <f>VLOOKUP(A7,Import!A:J,7,0)</f>
        <v>35</v>
      </c>
      <c r="H7" s="289">
        <f>VLOOKUP(A7,Import!A:J,8,0)</f>
        <v>37</v>
      </c>
      <c r="I7" s="289">
        <f>VLOOKUP(A7,Import!A:J,9,0)</f>
        <v>72</v>
      </c>
      <c r="J7" s="282">
        <f>VLOOKUP(A7,Import!A:J,10,0)</f>
        <v>0.49</v>
      </c>
      <c r="K7" s="244" t="str">
        <f>VLOOKUP(A7,Import!A:P,11,0)</f>
        <v>Gökhan Demircan</v>
      </c>
      <c r="L7" s="150">
        <v>5.380933426E9</v>
      </c>
      <c r="M7" s="150" t="s">
        <v>2666</v>
      </c>
      <c r="N7" s="150" t="s">
        <v>2685</v>
      </c>
      <c r="O7" s="150" t="s">
        <v>2333</v>
      </c>
      <c r="P7" s="244" t="str">
        <f>VLOOKUP(A7,Import!A:P,16,0)</f>
        <v>Geleneksel</v>
      </c>
      <c r="Q7" s="291" t="s">
        <v>2686</v>
      </c>
      <c r="R7" s="292" t="b">
        <v>1</v>
      </c>
      <c r="S7" s="292" t="b">
        <v>0</v>
      </c>
      <c r="T7" s="149" t="s">
        <v>2661</v>
      </c>
      <c r="U7" s="149" t="s">
        <v>921</v>
      </c>
      <c r="V7" s="301" t="s">
        <v>1609</v>
      </c>
      <c r="W7" s="302" t="s">
        <v>2687</v>
      </c>
      <c r="X7" s="294">
        <v>44566.0</v>
      </c>
      <c r="Y7" s="294">
        <v>44568.0</v>
      </c>
      <c r="Z7" s="288"/>
      <c r="AA7" s="165" t="s">
        <v>2669</v>
      </c>
      <c r="AB7" s="295">
        <v>44525.0</v>
      </c>
      <c r="AC7" s="165" t="s">
        <v>2688</v>
      </c>
      <c r="AD7" s="295">
        <v>44565.0</v>
      </c>
      <c r="AE7" s="165" t="s">
        <v>2669</v>
      </c>
      <c r="AF7" s="295">
        <v>44566.0</v>
      </c>
      <c r="AG7" s="160"/>
      <c r="AH7" s="288"/>
      <c r="AI7" s="288"/>
      <c r="AJ7" s="288"/>
      <c r="AK7" s="165" t="s">
        <v>1911</v>
      </c>
      <c r="AL7" s="165" t="s">
        <v>1791</v>
      </c>
      <c r="AM7" s="165" t="s">
        <v>921</v>
      </c>
      <c r="AN7" s="288"/>
      <c r="AO7" s="288"/>
      <c r="AP7" s="150" t="s">
        <v>2663</v>
      </c>
      <c r="AQ7" s="288"/>
    </row>
    <row r="8">
      <c r="A8" s="150" t="s">
        <v>2689</v>
      </c>
      <c r="B8" s="150" t="s">
        <v>2690</v>
      </c>
      <c r="C8" s="175" t="str">
        <f>VLOOKUP(A8,Import!A:C,3,false)</f>
        <v>DOĞRU</v>
      </c>
      <c r="D8" s="150" t="s">
        <v>2664</v>
      </c>
      <c r="E8" s="280">
        <f>VLOOKUP(A8,Import!A:J,5,0)</f>
        <v>1560</v>
      </c>
      <c r="F8" s="280">
        <f>VLOOKUP(A8,Import!A:J,6,0)</f>
        <v>20</v>
      </c>
      <c r="G8" s="289">
        <f>VLOOKUP(A8,Import!A:J,7,0)</f>
        <v>0</v>
      </c>
      <c r="H8" s="289">
        <f>VLOOKUP(A8,Import!A:J,8,0)</f>
        <v>55</v>
      </c>
      <c r="I8" s="289">
        <f>VLOOKUP(A8,Import!A:J,9,0)</f>
        <v>55</v>
      </c>
      <c r="J8" s="282">
        <f>VLOOKUP(A8,Import!A:J,10,0)</f>
        <v>0</v>
      </c>
      <c r="K8" s="244" t="str">
        <f>VLOOKUP(A8,Import!A:P,11,0)</f>
        <v>HOSSEIN DELAVANDANI</v>
      </c>
      <c r="L8" s="150">
        <v>5.377449269E9</v>
      </c>
      <c r="M8" s="150" t="s">
        <v>2666</v>
      </c>
      <c r="N8" s="150" t="s">
        <v>2667</v>
      </c>
      <c r="O8" s="150" t="s">
        <v>2691</v>
      </c>
      <c r="P8" s="244" t="str">
        <f>VLOOKUP(A8,Import!A:P,16,0)</f>
        <v>Geleneksel</v>
      </c>
      <c r="Q8" s="291" t="s">
        <v>2686</v>
      </c>
      <c r="R8" s="292" t="b">
        <v>1</v>
      </c>
      <c r="S8" s="293" t="b">
        <v>0</v>
      </c>
      <c r="T8" s="149" t="s">
        <v>2688</v>
      </c>
      <c r="U8" s="296"/>
      <c r="V8" s="296"/>
      <c r="W8" s="149" t="s">
        <v>2692</v>
      </c>
      <c r="X8" s="294"/>
      <c r="Y8" s="294"/>
      <c r="Z8" s="288"/>
      <c r="AA8" s="165" t="s">
        <v>2669</v>
      </c>
      <c r="AB8" s="295">
        <v>44515.0</v>
      </c>
      <c r="AC8" s="165" t="s">
        <v>2693</v>
      </c>
      <c r="AD8" s="295">
        <v>44525.0</v>
      </c>
      <c r="AE8" s="165" t="s">
        <v>2688</v>
      </c>
      <c r="AF8" s="295">
        <v>44547.0</v>
      </c>
      <c r="AG8" s="160"/>
      <c r="AH8" s="288"/>
      <c r="AI8" s="288"/>
      <c r="AJ8" s="288"/>
      <c r="AK8" s="165" t="s">
        <v>1791</v>
      </c>
      <c r="AL8" s="165" t="s">
        <v>819</v>
      </c>
      <c r="AM8" s="165" t="s">
        <v>819</v>
      </c>
      <c r="AN8" s="288"/>
      <c r="AO8" s="288"/>
      <c r="AP8" s="150" t="s">
        <v>2663</v>
      </c>
      <c r="AQ8" s="288"/>
    </row>
    <row r="9">
      <c r="A9" s="150" t="s">
        <v>2694</v>
      </c>
      <c r="B9" s="150" t="s">
        <v>2695</v>
      </c>
      <c r="C9" s="175" t="str">
        <f>VLOOKUP(A9,Import!A:C,3,false)</f>
        <v>DOĞRU</v>
      </c>
      <c r="D9" s="150" t="s">
        <v>2696</v>
      </c>
      <c r="E9" s="280">
        <f>VLOOKUP(A9,Import!A:J,5,0)</f>
        <v>2481</v>
      </c>
      <c r="F9" s="280">
        <f>VLOOKUP(A9,Import!A:J,6,0)</f>
        <v>495</v>
      </c>
      <c r="G9" s="289">
        <f>VLOOKUP(A9,Import!A:J,7,0)</f>
        <v>0</v>
      </c>
      <c r="H9" s="289">
        <f>VLOOKUP(A9,Import!A:J,8,0)</f>
        <v>47</v>
      </c>
      <c r="I9" s="289">
        <f>VLOOKUP(A9,Import!A:J,9,0)</f>
        <v>47</v>
      </c>
      <c r="J9" s="282">
        <f>VLOOKUP(A9,Import!A:J,10,0)</f>
        <v>0</v>
      </c>
      <c r="K9" s="244" t="str">
        <f>VLOOKUP(A9,Import!A:P,11,0)</f>
        <v>Mehmet Önal</v>
      </c>
      <c r="L9" s="150">
        <v>2.222342312E9</v>
      </c>
      <c r="M9" s="150" t="s">
        <v>2666</v>
      </c>
      <c r="N9" s="150" t="s">
        <v>2667</v>
      </c>
      <c r="O9" s="150" t="s">
        <v>2697</v>
      </c>
      <c r="P9" s="244" t="str">
        <f>VLOOKUP(A9,Import!A:P,16,0)</f>
        <v>Geleneksel</v>
      </c>
      <c r="Q9" s="291" t="s">
        <v>2686</v>
      </c>
      <c r="R9" s="292" t="b">
        <v>1</v>
      </c>
      <c r="S9" s="292" t="b">
        <v>1</v>
      </c>
      <c r="T9" s="296"/>
      <c r="U9" s="296"/>
      <c r="V9" s="296"/>
      <c r="W9" s="149" t="s">
        <v>2698</v>
      </c>
      <c r="X9" s="297"/>
      <c r="Y9" s="297"/>
      <c r="Z9" s="288"/>
      <c r="AA9" s="165" t="s">
        <v>2699</v>
      </c>
      <c r="AB9" s="295">
        <v>44525.0</v>
      </c>
      <c r="AC9" s="165"/>
      <c r="AD9" s="295"/>
      <c r="AE9" s="160"/>
      <c r="AF9" s="288"/>
      <c r="AG9" s="160"/>
      <c r="AH9" s="288"/>
      <c r="AI9" s="288"/>
      <c r="AJ9" s="288"/>
      <c r="AK9" s="165" t="s">
        <v>1911</v>
      </c>
      <c r="AL9" s="165"/>
      <c r="AM9" s="288"/>
      <c r="AN9" s="288"/>
      <c r="AO9" s="288"/>
      <c r="AP9" s="150" t="s">
        <v>2663</v>
      </c>
      <c r="AQ9" s="288"/>
    </row>
    <row r="10">
      <c r="A10" s="244" t="s">
        <v>528</v>
      </c>
      <c r="B10" s="244" t="s">
        <v>529</v>
      </c>
      <c r="C10" s="175" t="str">
        <f>VLOOKUP(A10,Import!A:C,3,false)</f>
        <v>DOĞRU</v>
      </c>
      <c r="D10" s="303" t="s">
        <v>2658</v>
      </c>
      <c r="E10" s="280">
        <f>VLOOKUP(A10,Import!A:J,5,0)</f>
        <v>1297</v>
      </c>
      <c r="F10" s="280">
        <f>VLOOKUP(A10,Import!A:J,6,0)</f>
        <v>30</v>
      </c>
      <c r="G10" s="289">
        <f>VLOOKUP(A10,Import!A:J,7,0)</f>
        <v>8</v>
      </c>
      <c r="H10" s="289">
        <f>VLOOKUP(A10,Import!A:J,8,0)</f>
        <v>1</v>
      </c>
      <c r="I10" s="289">
        <f>VLOOKUP(A10,Import!A:J,9,0)</f>
        <v>9</v>
      </c>
      <c r="J10" s="282">
        <f>VLOOKUP(A10,Import!A:J,10,0)</f>
        <v>0.89</v>
      </c>
      <c r="K10" s="244" t="str">
        <f>VLOOKUP(A10,Import!A:P,11,0)</f>
        <v>AHMET SERTKAL</v>
      </c>
      <c r="L10" s="304">
        <v>5.35911202E9</v>
      </c>
      <c r="M10" s="303" t="s">
        <v>1450</v>
      </c>
      <c r="N10" s="303" t="s">
        <v>2700</v>
      </c>
      <c r="O10" s="303" t="s">
        <v>531</v>
      </c>
      <c r="P10" s="244" t="str">
        <f>VLOOKUP(A10,Import!A:P,16,0)</f>
        <v>Geleneksel</v>
      </c>
      <c r="Q10" s="305" t="s">
        <v>2686</v>
      </c>
      <c r="R10" s="306" t="b">
        <v>1</v>
      </c>
      <c r="S10" s="307" t="b">
        <v>0</v>
      </c>
      <c r="T10" s="308"/>
      <c r="U10" s="309"/>
      <c r="V10" s="309" t="s">
        <v>13</v>
      </c>
      <c r="W10" s="309"/>
      <c r="X10" s="310">
        <v>44232.0</v>
      </c>
      <c r="Y10" s="310">
        <v>44246.0</v>
      </c>
      <c r="Z10" s="288"/>
      <c r="AA10" s="288"/>
      <c r="AB10" s="288"/>
      <c r="AC10" s="288"/>
      <c r="AD10" s="288"/>
      <c r="AE10" s="160"/>
      <c r="AF10" s="288"/>
      <c r="AG10" s="160"/>
      <c r="AH10" s="288"/>
      <c r="AI10" s="288"/>
      <c r="AJ10" s="288"/>
      <c r="AK10" s="288"/>
      <c r="AL10" s="288"/>
      <c r="AM10" s="288"/>
      <c r="AN10" s="288"/>
      <c r="AO10" s="288"/>
      <c r="AP10" s="150" t="s">
        <v>2663</v>
      </c>
      <c r="AQ10" s="288"/>
    </row>
    <row r="11">
      <c r="A11" s="150" t="s">
        <v>2406</v>
      </c>
      <c r="B11" s="150" t="s">
        <v>2407</v>
      </c>
      <c r="C11" s="175" t="str">
        <f>VLOOKUP(A11,Import!A:C,3,false)</f>
        <v>DOĞRU</v>
      </c>
      <c r="D11" s="150" t="s">
        <v>2701</v>
      </c>
      <c r="E11" s="280">
        <f>VLOOKUP(A11,Import!A:J,5,0)</f>
        <v>47</v>
      </c>
      <c r="F11" s="280" t="str">
        <f>VLOOKUP(A11,Import!A:J,6,0)</f>
        <v/>
      </c>
      <c r="G11" s="289">
        <f>VLOOKUP(A11,Import!A:J,7,0)</f>
        <v>11</v>
      </c>
      <c r="H11" s="289">
        <f>VLOOKUP(A11,Import!A:J,8,0)</f>
        <v>5</v>
      </c>
      <c r="I11" s="289">
        <f>VLOOKUP(A11,Import!A:J,9,0)</f>
        <v>16</v>
      </c>
      <c r="J11" s="282">
        <f>VLOOKUP(A11,Import!A:J,10,0)</f>
        <v>0.69</v>
      </c>
      <c r="K11" s="290" t="s">
        <v>2702</v>
      </c>
      <c r="L11" s="150">
        <v>5.458789294E9</v>
      </c>
      <c r="M11" s="150" t="s">
        <v>1450</v>
      </c>
      <c r="N11" s="150" t="s">
        <v>2703</v>
      </c>
      <c r="O11" s="150" t="s">
        <v>2409</v>
      </c>
      <c r="P11" s="244" t="str">
        <f>VLOOKUP(A11,Import!A:P,16,0)</f>
        <v>Geleneksel</v>
      </c>
      <c r="Q11" s="291"/>
      <c r="R11" s="292" t="b">
        <v>1</v>
      </c>
      <c r="S11" s="293" t="b">
        <v>0</v>
      </c>
      <c r="T11" s="149" t="s">
        <v>2661</v>
      </c>
      <c r="U11" s="149" t="s">
        <v>819</v>
      </c>
      <c r="V11" s="311" t="s">
        <v>1609</v>
      </c>
      <c r="W11" s="149"/>
      <c r="X11" s="294">
        <v>44572.0</v>
      </c>
      <c r="Y11" s="294">
        <v>44581.0</v>
      </c>
      <c r="Z11" s="288"/>
      <c r="AA11" s="165" t="s">
        <v>2669</v>
      </c>
      <c r="AB11" s="295">
        <v>44572.0</v>
      </c>
      <c r="AC11" s="288"/>
      <c r="AD11" s="288"/>
      <c r="AE11" s="160"/>
      <c r="AF11" s="288"/>
      <c r="AG11" s="160"/>
      <c r="AH11" s="288"/>
      <c r="AI11" s="288"/>
      <c r="AJ11" s="288"/>
      <c r="AK11" s="165" t="s">
        <v>819</v>
      </c>
      <c r="AL11" s="288"/>
      <c r="AM11" s="288"/>
      <c r="AN11" s="288"/>
      <c r="AO11" s="165"/>
      <c r="AP11" s="150"/>
      <c r="AQ11" s="165"/>
    </row>
    <row r="12">
      <c r="A12" s="150" t="s">
        <v>2379</v>
      </c>
      <c r="B12" s="150" t="s">
        <v>2380</v>
      </c>
      <c r="C12" s="175" t="str">
        <f>VLOOKUP(A12,Import!A:C,3,false)</f>
        <v>DOĞRU</v>
      </c>
      <c r="D12" s="150" t="s">
        <v>2701</v>
      </c>
      <c r="E12" s="280">
        <f>VLOOKUP(A12,Import!A:J,5,0)</f>
        <v>195</v>
      </c>
      <c r="F12" s="280">
        <f>VLOOKUP(A12,Import!A:J,6,0)</f>
        <v>62</v>
      </c>
      <c r="G12" s="289">
        <f>VLOOKUP(A12,Import!A:J,7,0)</f>
        <v>28</v>
      </c>
      <c r="H12" s="289">
        <f>VLOOKUP(A12,Import!A:J,8,0)</f>
        <v>9</v>
      </c>
      <c r="I12" s="289">
        <f>VLOOKUP(A12,Import!A:J,9,0)</f>
        <v>37</v>
      </c>
      <c r="J12" s="282">
        <f>VLOOKUP(A12,Import!A:J,10,0)</f>
        <v>0.76</v>
      </c>
      <c r="K12" s="290" t="s">
        <v>2704</v>
      </c>
      <c r="L12" s="150">
        <v>5.461962025E9</v>
      </c>
      <c r="M12" s="150" t="s">
        <v>1450</v>
      </c>
      <c r="N12" s="150" t="s">
        <v>2705</v>
      </c>
      <c r="O12" s="150" t="s">
        <v>2383</v>
      </c>
      <c r="P12" s="244" t="str">
        <f>VLOOKUP(A12,Import!A:P,16,0)</f>
        <v>Geleneksel</v>
      </c>
      <c r="Q12" s="291"/>
      <c r="R12" s="292" t="b">
        <v>1</v>
      </c>
      <c r="S12" s="293" t="b">
        <v>0</v>
      </c>
      <c r="T12" s="149" t="s">
        <v>2661</v>
      </c>
      <c r="U12" s="149" t="s">
        <v>1791</v>
      </c>
      <c r="V12" s="269" t="s">
        <v>1609</v>
      </c>
      <c r="W12" s="149"/>
      <c r="X12" s="294">
        <v>44621.0</v>
      </c>
      <c r="Y12" s="294">
        <v>44622.0</v>
      </c>
      <c r="Z12" s="288"/>
      <c r="AA12" s="165" t="s">
        <v>2669</v>
      </c>
      <c r="AB12" s="295">
        <v>44578.0</v>
      </c>
      <c r="AC12" s="165" t="s">
        <v>2669</v>
      </c>
      <c r="AD12" s="295">
        <v>44621.0</v>
      </c>
      <c r="AE12" s="160"/>
      <c r="AF12" s="288"/>
      <c r="AG12" s="160"/>
      <c r="AH12" s="288"/>
      <c r="AI12" s="288"/>
      <c r="AJ12" s="288"/>
      <c r="AK12" s="165" t="s">
        <v>1791</v>
      </c>
      <c r="AL12" s="165" t="s">
        <v>1791</v>
      </c>
      <c r="AM12" s="288"/>
      <c r="AN12" s="288"/>
      <c r="AO12" s="165"/>
      <c r="AP12" s="150"/>
      <c r="AQ12" s="165"/>
    </row>
    <row r="13">
      <c r="A13" s="150" t="s">
        <v>927</v>
      </c>
      <c r="B13" s="150" t="s">
        <v>928</v>
      </c>
      <c r="C13" s="175" t="str">
        <f>VLOOKUP(A13,Import!A:C,3,false)</f>
        <v>DOĞRU</v>
      </c>
      <c r="D13" s="150" t="s">
        <v>2706</v>
      </c>
      <c r="E13" s="280">
        <f>VLOOKUP(A13,Import!A:J,5,0)</f>
        <v>1508</v>
      </c>
      <c r="F13" s="280">
        <f>VLOOKUP(A13,Import!A:J,6,0)</f>
        <v>57</v>
      </c>
      <c r="G13" s="289">
        <f>VLOOKUP(A13,Import!A:J,7,0)</f>
        <v>15</v>
      </c>
      <c r="H13" s="289">
        <f>VLOOKUP(A13,Import!A:J,8,0)</f>
        <v>60</v>
      </c>
      <c r="I13" s="289">
        <f>VLOOKUP(A13,Import!A:J,9,0)</f>
        <v>75</v>
      </c>
      <c r="J13" s="282">
        <f>VLOOKUP(A13,Import!A:J,10,0)</f>
        <v>0.2</v>
      </c>
      <c r="K13" s="244" t="str">
        <f>VLOOKUP(A13,Import!A:P,11,0)</f>
        <v>İZZET KAYALI</v>
      </c>
      <c r="L13" s="150">
        <v>5.355003005E9</v>
      </c>
      <c r="M13" s="150" t="s">
        <v>1450</v>
      </c>
      <c r="N13" s="150" t="s">
        <v>2707</v>
      </c>
      <c r="O13" s="150" t="s">
        <v>930</v>
      </c>
      <c r="P13" s="244" t="str">
        <f>VLOOKUP(A13,Import!A:P,16,0)</f>
        <v>Geleneksel</v>
      </c>
      <c r="Q13" s="291" t="s">
        <v>2686</v>
      </c>
      <c r="R13" s="292" t="b">
        <v>1</v>
      </c>
      <c r="S13" s="293" t="b">
        <v>0</v>
      </c>
      <c r="T13" s="149" t="s">
        <v>2661</v>
      </c>
      <c r="U13" s="149"/>
      <c r="V13" s="149" t="s">
        <v>13</v>
      </c>
      <c r="W13" s="149" t="s">
        <v>2708</v>
      </c>
      <c r="X13" s="294">
        <v>44250.0</v>
      </c>
      <c r="Y13" s="294">
        <v>44258.0</v>
      </c>
      <c r="Z13" s="288"/>
      <c r="AA13" s="288"/>
      <c r="AB13" s="288"/>
      <c r="AC13" s="288"/>
      <c r="AD13" s="288"/>
      <c r="AE13" s="160"/>
      <c r="AF13" s="288"/>
      <c r="AG13" s="160"/>
      <c r="AH13" s="288"/>
      <c r="AI13" s="288"/>
      <c r="AJ13" s="288"/>
      <c r="AK13" s="288"/>
      <c r="AL13" s="288"/>
      <c r="AM13" s="288"/>
      <c r="AN13" s="288"/>
      <c r="AO13" s="288"/>
      <c r="AP13" s="150" t="s">
        <v>2663</v>
      </c>
      <c r="AQ13" s="288"/>
    </row>
    <row r="14">
      <c r="A14" s="150" t="s">
        <v>2709</v>
      </c>
      <c r="B14" s="150" t="s">
        <v>2710</v>
      </c>
      <c r="C14" s="175" t="str">
        <f>VLOOKUP(A14,Import!A:C,3,false)</f>
        <v>DOĞRU</v>
      </c>
      <c r="D14" s="150" t="s">
        <v>2664</v>
      </c>
      <c r="E14" s="280">
        <f>VLOOKUP(A14,Import!A:J,5,0)</f>
        <v>2738</v>
      </c>
      <c r="F14" s="280">
        <f>VLOOKUP(A14,Import!A:J,6,0)</f>
        <v>71</v>
      </c>
      <c r="G14" s="289">
        <f>VLOOKUP(A14,Import!A:J,7,0)</f>
        <v>0</v>
      </c>
      <c r="H14" s="289">
        <f>VLOOKUP(A14,Import!A:J,8,0)</f>
        <v>83</v>
      </c>
      <c r="I14" s="289">
        <f>VLOOKUP(A14,Import!A:J,9,0)</f>
        <v>83</v>
      </c>
      <c r="J14" s="282">
        <f>VLOOKUP(A14,Import!A:J,10,0)</f>
        <v>0</v>
      </c>
      <c r="K14" s="244" t="str">
        <f>VLOOKUP(A14,Import!A:P,11,0)</f>
        <v>Ahmet Temel</v>
      </c>
      <c r="L14" s="150">
        <v>5.541918811E9</v>
      </c>
      <c r="M14" s="150" t="s">
        <v>2666</v>
      </c>
      <c r="N14" s="150" t="s">
        <v>2711</v>
      </c>
      <c r="O14" s="150" t="s">
        <v>2712</v>
      </c>
      <c r="P14" s="244" t="str">
        <f>VLOOKUP(A14,Import!A:P,16,0)</f>
        <v>Geleneksel</v>
      </c>
      <c r="Q14" s="291" t="s">
        <v>2713</v>
      </c>
      <c r="R14" s="292" t="b">
        <v>1</v>
      </c>
      <c r="S14" s="293" t="b">
        <v>0</v>
      </c>
      <c r="T14" s="149" t="s">
        <v>2714</v>
      </c>
      <c r="U14" s="296"/>
      <c r="V14" s="312"/>
      <c r="W14" s="149" t="s">
        <v>2715</v>
      </c>
      <c r="X14" s="297"/>
      <c r="Y14" s="297"/>
      <c r="Z14" s="288"/>
      <c r="AA14" s="165" t="s">
        <v>2693</v>
      </c>
      <c r="AB14" s="295">
        <v>44525.0</v>
      </c>
      <c r="AC14" s="165" t="s">
        <v>2669</v>
      </c>
      <c r="AD14" s="295">
        <v>44530.0</v>
      </c>
      <c r="AE14" s="160"/>
      <c r="AF14" s="288"/>
      <c r="AG14" s="160"/>
      <c r="AH14" s="288"/>
      <c r="AI14" s="288"/>
      <c r="AJ14" s="288"/>
      <c r="AK14" s="165" t="s">
        <v>819</v>
      </c>
      <c r="AL14" s="165" t="s">
        <v>1911</v>
      </c>
      <c r="AM14" s="288"/>
      <c r="AN14" s="288"/>
      <c r="AO14" s="288"/>
      <c r="AP14" s="150" t="s">
        <v>2663</v>
      </c>
      <c r="AQ14" s="288"/>
    </row>
    <row r="15">
      <c r="A15" s="150" t="s">
        <v>681</v>
      </c>
      <c r="B15" s="150" t="s">
        <v>682</v>
      </c>
      <c r="C15" s="175" t="str">
        <f>VLOOKUP(A15,Import!A:C,3,false)</f>
        <v>DOĞRU</v>
      </c>
      <c r="D15" s="150" t="s">
        <v>2658</v>
      </c>
      <c r="E15" s="280">
        <f>VLOOKUP(A15,Import!A:J,5,0)</f>
        <v>5294</v>
      </c>
      <c r="F15" s="280">
        <f>VLOOKUP(A15,Import!A:J,6,0)</f>
        <v>148</v>
      </c>
      <c r="G15" s="289">
        <f>VLOOKUP(A15,Import!A:J,7,0)</f>
        <v>25</v>
      </c>
      <c r="H15" s="289">
        <f>VLOOKUP(A15,Import!A:J,8,0)</f>
        <v>28</v>
      </c>
      <c r="I15" s="289">
        <f>VLOOKUP(A15,Import!A:J,9,0)</f>
        <v>53</v>
      </c>
      <c r="J15" s="282">
        <f>VLOOKUP(A15,Import!A:J,10,0)</f>
        <v>0.47</v>
      </c>
      <c r="K15" s="244" t="str">
        <f>VLOOKUP(A15,Import!A:P,11,0)</f>
        <v>İlyas Uzun</v>
      </c>
      <c r="L15" s="150">
        <v>2.222213326E9</v>
      </c>
      <c r="M15" s="150" t="s">
        <v>1450</v>
      </c>
      <c r="N15" s="150" t="s">
        <v>2716</v>
      </c>
      <c r="O15" s="150" t="s">
        <v>684</v>
      </c>
      <c r="P15" s="244" t="str">
        <f>VLOOKUP(A15,Import!A:P,16,0)</f>
        <v>Geleneksel</v>
      </c>
      <c r="Q15" s="291" t="s">
        <v>2686</v>
      </c>
      <c r="R15" s="292" t="b">
        <v>1</v>
      </c>
      <c r="S15" s="293" t="b">
        <v>0</v>
      </c>
      <c r="T15" s="149" t="s">
        <v>2661</v>
      </c>
      <c r="U15" s="149" t="s">
        <v>1791</v>
      </c>
      <c r="V15" s="313" t="s">
        <v>1609</v>
      </c>
      <c r="W15" s="149" t="s">
        <v>2717</v>
      </c>
      <c r="X15" s="294">
        <v>44502.0</v>
      </c>
      <c r="Y15" s="294">
        <v>44504.0</v>
      </c>
      <c r="Z15" s="288"/>
      <c r="AA15" s="165" t="s">
        <v>2669</v>
      </c>
      <c r="AB15" s="295">
        <v>44376.0</v>
      </c>
      <c r="AC15" s="165" t="s">
        <v>2688</v>
      </c>
      <c r="AD15" s="295">
        <v>44496.0</v>
      </c>
      <c r="AE15" s="165" t="s">
        <v>2693</v>
      </c>
      <c r="AF15" s="295">
        <v>44498.0</v>
      </c>
      <c r="AG15" s="165" t="s">
        <v>2669</v>
      </c>
      <c r="AH15" s="295">
        <v>44502.0</v>
      </c>
      <c r="AI15" s="288"/>
      <c r="AJ15" s="288"/>
      <c r="AK15" s="165" t="s">
        <v>2718</v>
      </c>
      <c r="AL15" s="165" t="s">
        <v>1791</v>
      </c>
      <c r="AM15" s="165" t="s">
        <v>883</v>
      </c>
      <c r="AN15" s="165" t="s">
        <v>1791</v>
      </c>
      <c r="AO15" s="288"/>
      <c r="AP15" s="150" t="s">
        <v>2663</v>
      </c>
      <c r="AQ15" s="288"/>
    </row>
    <row r="16">
      <c r="A16" s="150" t="s">
        <v>2719</v>
      </c>
      <c r="B16" s="150" t="s">
        <v>2720</v>
      </c>
      <c r="C16" s="175" t="str">
        <f>VLOOKUP(A16,Import!A:C,3,false)</f>
        <v>DOĞRU</v>
      </c>
      <c r="D16" s="150" t="s">
        <v>2664</v>
      </c>
      <c r="E16" s="280">
        <f>VLOOKUP(A16,Import!A:J,5,0)</f>
        <v>5915</v>
      </c>
      <c r="F16" s="280">
        <f>VLOOKUP(A16,Import!A:J,6,0)</f>
        <v>187</v>
      </c>
      <c r="G16" s="289">
        <f>VLOOKUP(A16,Import!A:J,7,0)</f>
        <v>0</v>
      </c>
      <c r="H16" s="289">
        <f>VLOOKUP(A16,Import!A:J,8,0)</f>
        <v>193</v>
      </c>
      <c r="I16" s="289">
        <f>VLOOKUP(A16,Import!A:J,9,0)</f>
        <v>193</v>
      </c>
      <c r="J16" s="282">
        <f>VLOOKUP(A16,Import!A:J,10,0)</f>
        <v>0</v>
      </c>
      <c r="K16" s="244" t="str">
        <f>VLOOKUP(A16,Import!A:P,11,0)</f>
        <v>ALİ KARGA</v>
      </c>
      <c r="L16" s="150">
        <v>2.22322777E9</v>
      </c>
      <c r="M16" s="150" t="s">
        <v>2666</v>
      </c>
      <c r="N16" s="150" t="s">
        <v>2721</v>
      </c>
      <c r="O16" s="150" t="s">
        <v>2722</v>
      </c>
      <c r="P16" s="244" t="str">
        <f>VLOOKUP(A16,Import!A:P,16,0)</f>
        <v>Geleneksel</v>
      </c>
      <c r="Q16" s="291" t="s">
        <v>2686</v>
      </c>
      <c r="R16" s="292" t="b">
        <v>1</v>
      </c>
      <c r="S16" s="293" t="b">
        <v>0</v>
      </c>
      <c r="T16" s="149" t="s">
        <v>232</v>
      </c>
      <c r="U16" s="296"/>
      <c r="V16" s="296"/>
      <c r="W16" s="149" t="s">
        <v>2723</v>
      </c>
      <c r="X16" s="297"/>
      <c r="Y16" s="297"/>
      <c r="Z16" s="288"/>
      <c r="AA16" s="288"/>
      <c r="AB16" s="288"/>
      <c r="AC16" s="288"/>
      <c r="AD16" s="288"/>
      <c r="AE16" s="160"/>
      <c r="AF16" s="288"/>
      <c r="AG16" s="160"/>
      <c r="AH16" s="288"/>
      <c r="AI16" s="288"/>
      <c r="AJ16" s="288"/>
      <c r="AK16" s="288"/>
      <c r="AL16" s="288"/>
      <c r="AM16" s="288"/>
      <c r="AN16" s="288"/>
      <c r="AO16" s="288"/>
      <c r="AP16" s="150" t="s">
        <v>2663</v>
      </c>
      <c r="AQ16" s="288"/>
    </row>
    <row r="17">
      <c r="A17" s="150" t="s">
        <v>296</v>
      </c>
      <c r="B17" s="150" t="s">
        <v>297</v>
      </c>
      <c r="C17" s="175" t="str">
        <f>VLOOKUP(A17,Import!A:C,3,false)</f>
        <v>DOĞRU</v>
      </c>
      <c r="D17" s="150" t="s">
        <v>2724</v>
      </c>
      <c r="E17" s="280">
        <f>VLOOKUP(A17,Import!A:J,5,0)</f>
        <v>3065</v>
      </c>
      <c r="F17" s="280">
        <f>VLOOKUP(A17,Import!A:J,6,0)</f>
        <v>201</v>
      </c>
      <c r="G17" s="289">
        <f>VLOOKUP(A17,Import!A:J,7,0)</f>
        <v>65</v>
      </c>
      <c r="H17" s="289">
        <f>VLOOKUP(A17,Import!A:J,8,0)</f>
        <v>36</v>
      </c>
      <c r="I17" s="289">
        <f>VLOOKUP(A17,Import!A:J,9,0)</f>
        <v>101</v>
      </c>
      <c r="J17" s="282">
        <f>VLOOKUP(A17,Import!A:J,10,0)</f>
        <v>0.64</v>
      </c>
      <c r="K17" s="244" t="str">
        <f>VLOOKUP(A17,Import!A:P,11,0)</f>
        <v>AHMET İSMAİL YAŞAR</v>
      </c>
      <c r="L17" s="150">
        <v>5.444632015E9</v>
      </c>
      <c r="M17" s="150" t="s">
        <v>2666</v>
      </c>
      <c r="N17" s="150" t="s">
        <v>2682</v>
      </c>
      <c r="O17" s="150" t="s">
        <v>301</v>
      </c>
      <c r="P17" s="244" t="str">
        <f>VLOOKUP(A17,Import!A:P,16,0)</f>
        <v>Geleneksel</v>
      </c>
      <c r="Q17" s="291" t="s">
        <v>2686</v>
      </c>
      <c r="R17" s="292" t="b">
        <v>1</v>
      </c>
      <c r="S17" s="293" t="b">
        <v>0</v>
      </c>
      <c r="T17" s="149" t="s">
        <v>2661</v>
      </c>
      <c r="U17" s="149" t="s">
        <v>1000</v>
      </c>
      <c r="V17" s="149" t="s">
        <v>31</v>
      </c>
      <c r="W17" s="314" t="s">
        <v>2725</v>
      </c>
      <c r="X17" s="294">
        <v>44267.0</v>
      </c>
      <c r="Y17" s="294">
        <v>44271.0</v>
      </c>
      <c r="Z17" s="288"/>
      <c r="AA17" s="288"/>
      <c r="AB17" s="288"/>
      <c r="AC17" s="288"/>
      <c r="AD17" s="288"/>
      <c r="AE17" s="160"/>
      <c r="AF17" s="288"/>
      <c r="AG17" s="160"/>
      <c r="AH17" s="288"/>
      <c r="AI17" s="288"/>
      <c r="AJ17" s="288"/>
      <c r="AK17" s="288"/>
      <c r="AL17" s="288"/>
      <c r="AM17" s="288"/>
      <c r="AN17" s="288"/>
      <c r="AO17" s="288"/>
      <c r="AP17" s="150" t="s">
        <v>2663</v>
      </c>
      <c r="AQ17" s="288"/>
    </row>
    <row r="18">
      <c r="A18" s="150" t="s">
        <v>2726</v>
      </c>
      <c r="B18" s="150" t="s">
        <v>2727</v>
      </c>
      <c r="C18" s="175" t="str">
        <f>VLOOKUP(A18,Import!A:C,3,false)</f>
        <v>DOĞRU</v>
      </c>
      <c r="D18" s="150" t="s">
        <v>2696</v>
      </c>
      <c r="E18" s="280">
        <f>VLOOKUP(A18,Import!A:J,5,0)</f>
        <v>1078</v>
      </c>
      <c r="F18" s="280">
        <f>VLOOKUP(A18,Import!A:J,6,0)</f>
        <v>13</v>
      </c>
      <c r="G18" s="289">
        <f>VLOOKUP(A18,Import!A:J,7,0)</f>
        <v>0</v>
      </c>
      <c r="H18" s="289">
        <f>VLOOKUP(A18,Import!A:J,8,0)</f>
        <v>25</v>
      </c>
      <c r="I18" s="289">
        <f>VLOOKUP(A18,Import!A:J,9,0)</f>
        <v>25</v>
      </c>
      <c r="J18" s="282">
        <f>VLOOKUP(A18,Import!A:J,10,0)</f>
        <v>0</v>
      </c>
      <c r="K18" s="244" t="str">
        <f>VLOOKUP(A18,Import!A:P,11,0)</f>
        <v>ALİ KARGA</v>
      </c>
      <c r="L18" s="150">
        <v>5.416921792E9</v>
      </c>
      <c r="M18" s="150" t="s">
        <v>2666</v>
      </c>
      <c r="N18" s="150" t="s">
        <v>2721</v>
      </c>
      <c r="O18" s="150" t="s">
        <v>2728</v>
      </c>
      <c r="P18" s="244" t="str">
        <f>VLOOKUP(A18,Import!A:P,16,0)</f>
        <v>Geleneksel</v>
      </c>
      <c r="Q18" s="315" t="s">
        <v>2686</v>
      </c>
      <c r="R18" s="292" t="b">
        <v>1</v>
      </c>
      <c r="S18" s="293" t="b">
        <v>0</v>
      </c>
      <c r="T18" s="149" t="s">
        <v>2714</v>
      </c>
      <c r="U18" s="296"/>
      <c r="V18" s="312"/>
      <c r="W18" s="149" t="s">
        <v>2729</v>
      </c>
      <c r="X18" s="297"/>
      <c r="Y18" s="297"/>
      <c r="Z18" s="288"/>
      <c r="AA18" s="288"/>
      <c r="AB18" s="288"/>
      <c r="AC18" s="288"/>
      <c r="AD18" s="288"/>
      <c r="AE18" s="160"/>
      <c r="AF18" s="288"/>
      <c r="AG18" s="160"/>
      <c r="AH18" s="288"/>
      <c r="AI18" s="288"/>
      <c r="AJ18" s="288"/>
      <c r="AK18" s="288"/>
      <c r="AL18" s="288"/>
      <c r="AM18" s="288"/>
      <c r="AN18" s="288"/>
      <c r="AO18" s="288"/>
      <c r="AP18" s="150" t="s">
        <v>2663</v>
      </c>
      <c r="AQ18" s="288"/>
    </row>
    <row r="19">
      <c r="A19" s="150" t="s">
        <v>2730</v>
      </c>
      <c r="B19" s="150" t="s">
        <v>2731</v>
      </c>
      <c r="C19" s="175" t="str">
        <f>VLOOKUP(A19,Import!A:C,3,false)</f>
        <v>DOĞRU</v>
      </c>
      <c r="D19" s="150" t="s">
        <v>2672</v>
      </c>
      <c r="E19" s="280">
        <f>VLOOKUP(A19,Import!A:J,5,0)</f>
        <v>2740</v>
      </c>
      <c r="F19" s="280">
        <f>VLOOKUP(A19,Import!A:J,6,0)</f>
        <v>91</v>
      </c>
      <c r="G19" s="289">
        <f>VLOOKUP(A19,Import!A:J,7,0)</f>
        <v>5</v>
      </c>
      <c r="H19" s="289">
        <f>VLOOKUP(A19,Import!A:J,8,0)</f>
        <v>28</v>
      </c>
      <c r="I19" s="289">
        <f>VLOOKUP(A19,Import!A:J,9,0)</f>
        <v>33</v>
      </c>
      <c r="J19" s="282">
        <f>VLOOKUP(A19,Import!A:J,10,0)</f>
        <v>0.15</v>
      </c>
      <c r="K19" s="244" t="str">
        <f>VLOOKUP(A19,Import!A:P,11,0)</f>
        <v>HAMİT KARAÇOL</v>
      </c>
      <c r="L19" s="150">
        <v>5.453569103E9</v>
      </c>
      <c r="M19" s="150" t="s">
        <v>1450</v>
      </c>
      <c r="N19" s="150" t="s">
        <v>2732</v>
      </c>
      <c r="O19" s="150" t="s">
        <v>2733</v>
      </c>
      <c r="P19" s="244" t="str">
        <f>VLOOKUP(A19,Import!A:P,16,0)</f>
        <v>Geleneksel</v>
      </c>
      <c r="Q19" s="291"/>
      <c r="R19" s="292" t="b">
        <v>1</v>
      </c>
      <c r="S19" s="293" t="b">
        <v>0</v>
      </c>
      <c r="T19" s="145" t="s">
        <v>2734</v>
      </c>
      <c r="U19" s="296"/>
      <c r="V19" s="296"/>
      <c r="W19" s="149" t="s">
        <v>2735</v>
      </c>
      <c r="X19" s="297"/>
      <c r="Y19" s="297"/>
      <c r="Z19" s="288"/>
      <c r="AA19" s="165" t="s">
        <v>2669</v>
      </c>
      <c r="AB19" s="295">
        <v>44376.0</v>
      </c>
      <c r="AC19" s="165" t="s">
        <v>2669</v>
      </c>
      <c r="AD19" s="295">
        <v>44496.0</v>
      </c>
      <c r="AE19" s="160"/>
      <c r="AF19" s="288"/>
      <c r="AG19" s="160"/>
      <c r="AH19" s="288"/>
      <c r="AI19" s="288"/>
      <c r="AJ19" s="288"/>
      <c r="AK19" s="165" t="s">
        <v>819</v>
      </c>
      <c r="AL19" s="165" t="s">
        <v>1791</v>
      </c>
      <c r="AM19" s="288"/>
      <c r="AN19" s="288"/>
      <c r="AO19" s="288"/>
      <c r="AP19" s="150" t="s">
        <v>2663</v>
      </c>
      <c r="AQ19" s="288"/>
    </row>
    <row r="20">
      <c r="A20" s="150" t="s">
        <v>302</v>
      </c>
      <c r="B20" s="150" t="s">
        <v>303</v>
      </c>
      <c r="C20" s="175" t="str">
        <f>VLOOKUP(A20,Import!A:C,3,false)</f>
        <v>DOĞRU</v>
      </c>
      <c r="D20" s="150" t="s">
        <v>2736</v>
      </c>
      <c r="E20" s="280">
        <f>VLOOKUP(A20,Import!A:J,5,0)</f>
        <v>219</v>
      </c>
      <c r="F20" s="280" t="str">
        <f>VLOOKUP(A20,Import!A:J,6,0)</f>
        <v/>
      </c>
      <c r="G20" s="289">
        <f>VLOOKUP(A20,Import!A:J,7,0)</f>
        <v>34</v>
      </c>
      <c r="H20" s="289">
        <f>VLOOKUP(A20,Import!A:J,8,0)</f>
        <v>40</v>
      </c>
      <c r="I20" s="289">
        <f>VLOOKUP(A20,Import!A:J,9,0)</f>
        <v>74</v>
      </c>
      <c r="J20" s="282">
        <f>VLOOKUP(A20,Import!A:J,10,0)</f>
        <v>0.46</v>
      </c>
      <c r="K20" s="244" t="str">
        <f>VLOOKUP(A20,Import!A:P,11,0)</f>
        <v>ESRA ÇETİNKAYA ENGİN</v>
      </c>
      <c r="L20" s="150">
        <v>2.222309249E9</v>
      </c>
      <c r="M20" s="150" t="s">
        <v>2666</v>
      </c>
      <c r="N20" s="150" t="s">
        <v>2667</v>
      </c>
      <c r="O20" s="150" t="s">
        <v>305</v>
      </c>
      <c r="P20" s="244" t="str">
        <f>VLOOKUP(A20,Import!A:P,16,0)</f>
        <v>Geleneksel</v>
      </c>
      <c r="Q20" s="291" t="s">
        <v>2686</v>
      </c>
      <c r="R20" s="292" t="b">
        <v>1</v>
      </c>
      <c r="S20" s="293" t="b">
        <v>0</v>
      </c>
      <c r="T20" s="149" t="s">
        <v>2661</v>
      </c>
      <c r="U20" s="149" t="s">
        <v>1000</v>
      </c>
      <c r="V20" s="149" t="s">
        <v>46</v>
      </c>
      <c r="W20" s="149" t="s">
        <v>2737</v>
      </c>
      <c r="X20" s="294">
        <v>44267.0</v>
      </c>
      <c r="Y20" s="294">
        <v>44270.0</v>
      </c>
      <c r="Z20" s="288"/>
      <c r="AA20" s="165" t="s">
        <v>2699</v>
      </c>
      <c r="AB20" s="295">
        <v>44517.0</v>
      </c>
      <c r="AC20" s="288"/>
      <c r="AD20" s="288"/>
      <c r="AE20" s="160"/>
      <c r="AF20" s="288"/>
      <c r="AG20" s="160"/>
      <c r="AH20" s="288"/>
      <c r="AI20" s="288"/>
      <c r="AJ20" s="288"/>
      <c r="AK20" s="165" t="s">
        <v>1971</v>
      </c>
      <c r="AL20" s="288"/>
      <c r="AM20" s="288"/>
      <c r="AN20" s="288"/>
      <c r="AO20" s="288"/>
      <c r="AP20" s="150" t="s">
        <v>2663</v>
      </c>
      <c r="AQ20" s="288"/>
    </row>
    <row r="21">
      <c r="A21" s="150" t="s">
        <v>2738</v>
      </c>
      <c r="B21" s="150" t="s">
        <v>2739</v>
      </c>
      <c r="C21" s="175" t="str">
        <f>VLOOKUP(A21,Import!A:C,3,false)</f>
        <v>DOĞRU</v>
      </c>
      <c r="D21" s="150" t="s">
        <v>2658</v>
      </c>
      <c r="E21" s="280">
        <f>VLOOKUP(A21,Import!A:J,5,0)</f>
        <v>2</v>
      </c>
      <c r="F21" s="280" t="str">
        <f>VLOOKUP(A21,Import!A:J,6,0)</f>
        <v/>
      </c>
      <c r="G21" s="289">
        <f>VLOOKUP(A21,Import!A:J,7,0)</f>
        <v>0</v>
      </c>
      <c r="H21" s="289">
        <f>VLOOKUP(A21,Import!A:J,8,0)</f>
        <v>4</v>
      </c>
      <c r="I21" s="289">
        <f>VLOOKUP(A21,Import!A:J,9,0)</f>
        <v>4</v>
      </c>
      <c r="J21" s="282">
        <f>VLOOKUP(A21,Import!A:J,10,0)</f>
        <v>0</v>
      </c>
      <c r="K21" s="290" t="s">
        <v>2740</v>
      </c>
      <c r="L21" s="150">
        <v>5.437640523E9</v>
      </c>
      <c r="M21" s="150" t="s">
        <v>1450</v>
      </c>
      <c r="N21" s="150" t="s">
        <v>2700</v>
      </c>
      <c r="O21" s="150" t="s">
        <v>2741</v>
      </c>
      <c r="P21" s="244" t="str">
        <f>VLOOKUP(A21,Import!A:P,16,0)</f>
        <v>Geleneksel</v>
      </c>
      <c r="Q21" s="291"/>
      <c r="R21" s="292" t="b">
        <v>1</v>
      </c>
      <c r="S21" s="293" t="b">
        <v>0</v>
      </c>
      <c r="T21" s="149"/>
      <c r="U21" s="296"/>
      <c r="V21" s="296"/>
      <c r="W21" s="149" t="s">
        <v>2742</v>
      </c>
      <c r="X21" s="297"/>
      <c r="Y21" s="297"/>
      <c r="Z21" s="288"/>
      <c r="AA21" s="165" t="s">
        <v>2669</v>
      </c>
      <c r="AB21" s="295">
        <v>44628.0</v>
      </c>
      <c r="AC21" s="288"/>
      <c r="AD21" s="288"/>
      <c r="AE21" s="160"/>
      <c r="AF21" s="288"/>
      <c r="AG21" s="160"/>
      <c r="AH21" s="288"/>
      <c r="AI21" s="288"/>
      <c r="AJ21" s="288"/>
      <c r="AK21" s="165" t="s">
        <v>1717</v>
      </c>
      <c r="AL21" s="288"/>
      <c r="AM21" s="288"/>
      <c r="AN21" s="288"/>
      <c r="AO21" s="165"/>
      <c r="AP21" s="150"/>
      <c r="AQ21" s="165"/>
    </row>
    <row r="22">
      <c r="A22" s="150" t="s">
        <v>990</v>
      </c>
      <c r="B22" s="150" t="s">
        <v>991</v>
      </c>
      <c r="C22" s="175" t="str">
        <f>VLOOKUP(A22,Import!A:C,3,false)</f>
        <v>DOĞRU</v>
      </c>
      <c r="D22" s="316" t="s">
        <v>2743</v>
      </c>
      <c r="E22" s="280">
        <f>VLOOKUP(A22,Import!A:J,5,0)</f>
        <v>8262</v>
      </c>
      <c r="F22" s="280">
        <f>VLOOKUP(A22,Import!A:J,6,0)</f>
        <v>422</v>
      </c>
      <c r="G22" s="289">
        <f>VLOOKUP(A22,Import!A:J,7,0)</f>
        <v>11</v>
      </c>
      <c r="H22" s="289">
        <f>VLOOKUP(A22,Import!A:J,8,0)</f>
        <v>38</v>
      </c>
      <c r="I22" s="289">
        <f>VLOOKUP(A22,Import!A:J,9,0)</f>
        <v>49</v>
      </c>
      <c r="J22" s="282">
        <f>VLOOKUP(A22,Import!A:J,10,0)</f>
        <v>0.22</v>
      </c>
      <c r="K22" s="244" t="str">
        <f>VLOOKUP(A22,Import!A:P,11,0)</f>
        <v>Mehmet Yıldız</v>
      </c>
      <c r="L22" s="316">
        <v>2.223852679E9</v>
      </c>
      <c r="M22" s="316" t="s">
        <v>1450</v>
      </c>
      <c r="N22" s="316" t="s">
        <v>2700</v>
      </c>
      <c r="O22" s="316" t="s">
        <v>994</v>
      </c>
      <c r="P22" s="244" t="str">
        <f>VLOOKUP(A22,Import!A:P,16,0)</f>
        <v>Geleneksel</v>
      </c>
      <c r="Q22" s="305" t="s">
        <v>2686</v>
      </c>
      <c r="R22" s="306" t="b">
        <v>1</v>
      </c>
      <c r="S22" s="307" t="b">
        <v>0</v>
      </c>
      <c r="T22" s="317"/>
      <c r="U22" s="318" t="s">
        <v>958</v>
      </c>
      <c r="V22" s="318" t="s">
        <v>31</v>
      </c>
      <c r="W22" s="318" t="s">
        <v>2405</v>
      </c>
      <c r="X22" s="319">
        <v>44261.0</v>
      </c>
      <c r="Y22" s="319">
        <v>44264.0</v>
      </c>
      <c r="Z22" s="288"/>
      <c r="AA22" s="165" t="s">
        <v>2693</v>
      </c>
      <c r="AB22" s="295">
        <v>44483.0</v>
      </c>
      <c r="AC22" s="165" t="s">
        <v>2693</v>
      </c>
      <c r="AD22" s="295">
        <v>44504.0</v>
      </c>
      <c r="AE22" s="165" t="s">
        <v>2693</v>
      </c>
      <c r="AF22" s="295">
        <v>44547.0</v>
      </c>
      <c r="AG22" s="160"/>
      <c r="AH22" s="288"/>
      <c r="AI22" s="288"/>
      <c r="AJ22" s="288"/>
      <c r="AK22" s="165" t="s">
        <v>943</v>
      </c>
      <c r="AL22" s="165" t="s">
        <v>943</v>
      </c>
      <c r="AM22" s="165" t="s">
        <v>1971</v>
      </c>
      <c r="AN22" s="288"/>
      <c r="AO22" s="288"/>
      <c r="AP22" s="150" t="s">
        <v>2663</v>
      </c>
      <c r="AQ22" s="288"/>
    </row>
    <row r="23">
      <c r="A23" s="150" t="s">
        <v>2744</v>
      </c>
      <c r="B23" s="150" t="s">
        <v>2745</v>
      </c>
      <c r="C23" s="175" t="str">
        <f>VLOOKUP(A23,Import!A:C,3,false)</f>
        <v>DOĞRU</v>
      </c>
      <c r="D23" s="150" t="s">
        <v>2658</v>
      </c>
      <c r="E23" s="280">
        <f>VLOOKUP(A23,Import!A:J,5,0)</f>
        <v>955</v>
      </c>
      <c r="F23" s="280">
        <f>VLOOKUP(A23,Import!A:J,6,0)</f>
        <v>241</v>
      </c>
      <c r="G23" s="289">
        <f>VLOOKUP(A23,Import!A:J,7,0)</f>
        <v>0</v>
      </c>
      <c r="H23" s="289">
        <f>VLOOKUP(A23,Import!A:J,8,0)</f>
        <v>19</v>
      </c>
      <c r="I23" s="289">
        <f>VLOOKUP(A23,Import!A:J,9,0)</f>
        <v>19</v>
      </c>
      <c r="J23" s="282">
        <f>VLOOKUP(A23,Import!A:J,10,0)</f>
        <v>0</v>
      </c>
      <c r="K23" s="290" t="s">
        <v>2746</v>
      </c>
      <c r="L23" s="150">
        <v>5.461232521E9</v>
      </c>
      <c r="M23" s="150" t="s">
        <v>1450</v>
      </c>
      <c r="N23" s="150" t="s">
        <v>2700</v>
      </c>
      <c r="O23" s="150" t="s">
        <v>2747</v>
      </c>
      <c r="P23" s="244" t="str">
        <f>VLOOKUP(A23,Import!A:P,16,0)</f>
        <v>Geleneksel</v>
      </c>
      <c r="Q23" s="291"/>
      <c r="R23" s="292" t="b">
        <v>1</v>
      </c>
      <c r="S23" s="293" t="b">
        <v>0</v>
      </c>
      <c r="T23" s="149" t="s">
        <v>2714</v>
      </c>
      <c r="U23" s="296"/>
      <c r="V23" s="296"/>
      <c r="W23" s="149" t="s">
        <v>2748</v>
      </c>
      <c r="X23" s="297"/>
      <c r="Y23" s="297"/>
      <c r="Z23" s="288"/>
      <c r="AA23" s="165" t="s">
        <v>2693</v>
      </c>
      <c r="AB23" s="295">
        <v>44620.0</v>
      </c>
      <c r="AC23" s="165" t="s">
        <v>2669</v>
      </c>
      <c r="AD23" s="295">
        <v>44628.0</v>
      </c>
      <c r="AE23" s="160"/>
      <c r="AF23" s="288"/>
      <c r="AG23" s="160"/>
      <c r="AH23" s="288"/>
      <c r="AI23" s="288"/>
      <c r="AJ23" s="288"/>
      <c r="AK23" s="165" t="s">
        <v>819</v>
      </c>
      <c r="AL23" s="165" t="s">
        <v>819</v>
      </c>
      <c r="AM23" s="288"/>
      <c r="AN23" s="288"/>
      <c r="AO23" s="165"/>
      <c r="AP23" s="150"/>
      <c r="AQ23" s="165"/>
    </row>
    <row r="24">
      <c r="A24" s="150" t="s">
        <v>2259</v>
      </c>
      <c r="B24" s="150" t="s">
        <v>2260</v>
      </c>
      <c r="C24" s="175" t="str">
        <f>VLOOKUP(A24,Import!A:C,3,false)</f>
        <v>DOĞRU</v>
      </c>
      <c r="D24" s="150" t="s">
        <v>2664</v>
      </c>
      <c r="E24" s="280">
        <f>VLOOKUP(A24,Import!A:J,5,0)</f>
        <v>613</v>
      </c>
      <c r="F24" s="280">
        <f>VLOOKUP(A24,Import!A:J,6,0)</f>
        <v>85</v>
      </c>
      <c r="G24" s="289">
        <f>VLOOKUP(A24,Import!A:J,7,0)</f>
        <v>29</v>
      </c>
      <c r="H24" s="289">
        <f>VLOOKUP(A24,Import!A:J,8,0)</f>
        <v>37</v>
      </c>
      <c r="I24" s="289">
        <f>VLOOKUP(A24,Import!A:J,9,0)</f>
        <v>66</v>
      </c>
      <c r="J24" s="282">
        <f>VLOOKUP(A24,Import!A:J,10,0)</f>
        <v>0.44</v>
      </c>
      <c r="K24" s="290" t="s">
        <v>2749</v>
      </c>
      <c r="L24" s="150">
        <v>5.4491433E9</v>
      </c>
      <c r="M24" s="150" t="s">
        <v>2666</v>
      </c>
      <c r="N24" s="150" t="s">
        <v>2750</v>
      </c>
      <c r="O24" s="150" t="s">
        <v>2262</v>
      </c>
      <c r="P24" s="244" t="str">
        <f>VLOOKUP(A24,Import!A:P,16,0)</f>
        <v>Geleneksel</v>
      </c>
      <c r="Q24" s="291"/>
      <c r="R24" s="292" t="b">
        <v>1</v>
      </c>
      <c r="S24" s="293" t="b">
        <v>0</v>
      </c>
      <c r="T24" s="149" t="s">
        <v>2661</v>
      </c>
      <c r="U24" s="149" t="s">
        <v>819</v>
      </c>
      <c r="V24" s="301" t="s">
        <v>1609</v>
      </c>
      <c r="W24" s="149"/>
      <c r="X24" s="294">
        <v>44554.0</v>
      </c>
      <c r="Y24" s="294">
        <v>44557.0</v>
      </c>
      <c r="Z24" s="288"/>
      <c r="AA24" s="165" t="s">
        <v>2669</v>
      </c>
      <c r="AB24" s="295">
        <v>44554.0</v>
      </c>
      <c r="AC24" s="288"/>
      <c r="AD24" s="288"/>
      <c r="AE24" s="160"/>
      <c r="AF24" s="288"/>
      <c r="AG24" s="160"/>
      <c r="AH24" s="288"/>
      <c r="AI24" s="288"/>
      <c r="AJ24" s="288"/>
      <c r="AK24" s="165" t="s">
        <v>819</v>
      </c>
      <c r="AL24" s="288"/>
      <c r="AM24" s="288"/>
      <c r="AN24" s="288"/>
      <c r="AO24" s="165"/>
      <c r="AP24" s="150"/>
      <c r="AQ24" s="165"/>
    </row>
    <row r="25">
      <c r="A25" s="244" t="s">
        <v>2077</v>
      </c>
      <c r="B25" s="244" t="s">
        <v>2078</v>
      </c>
      <c r="C25" s="175" t="str">
        <f>VLOOKUP(A25,Import!A:C,3,false)</f>
        <v>DOĞRU</v>
      </c>
      <c r="D25" s="320" t="s">
        <v>2751</v>
      </c>
      <c r="E25" s="280">
        <f>VLOOKUP(A25,Import!A:J,5,0)</f>
        <v>2378</v>
      </c>
      <c r="F25" s="280">
        <f>VLOOKUP(A25,Import!A:J,6,0)</f>
        <v>45</v>
      </c>
      <c r="G25" s="289">
        <f>VLOOKUP(A25,Import!A:J,7,0)</f>
        <v>19</v>
      </c>
      <c r="H25" s="289">
        <f>VLOOKUP(A25,Import!A:J,8,0)</f>
        <v>15</v>
      </c>
      <c r="I25" s="289">
        <f>VLOOKUP(A25,Import!A:J,9,0)</f>
        <v>34</v>
      </c>
      <c r="J25" s="282">
        <f>VLOOKUP(A25,Import!A:J,10,0)</f>
        <v>0.56</v>
      </c>
      <c r="K25" s="244" t="str">
        <f>VLOOKUP(A25,Import!A:P,11,0)</f>
        <v>MERVE TINMAZ</v>
      </c>
      <c r="L25" s="321">
        <v>5.524240424E9</v>
      </c>
      <c r="M25" s="320" t="s">
        <v>2666</v>
      </c>
      <c r="N25" s="320" t="s">
        <v>2667</v>
      </c>
      <c r="O25" s="320" t="s">
        <v>2080</v>
      </c>
      <c r="P25" s="244" t="str">
        <f>VLOOKUP(A25,Import!A:P,16,0)</f>
        <v>Geleneksel</v>
      </c>
      <c r="Q25" s="322" t="s">
        <v>2660</v>
      </c>
      <c r="R25" s="323" t="b">
        <v>1</v>
      </c>
      <c r="S25" s="324" t="b">
        <v>0</v>
      </c>
      <c r="T25" s="325" t="s">
        <v>2661</v>
      </c>
      <c r="U25" s="325" t="s">
        <v>1911</v>
      </c>
      <c r="V25" s="269" t="s">
        <v>1609</v>
      </c>
      <c r="W25" s="326" t="s">
        <v>2752</v>
      </c>
      <c r="X25" s="327">
        <v>44530.0</v>
      </c>
      <c r="Y25" s="327">
        <v>44531.0</v>
      </c>
      <c r="Z25" s="288"/>
      <c r="AA25" s="165" t="s">
        <v>2693</v>
      </c>
      <c r="AB25" s="295">
        <v>44517.0</v>
      </c>
      <c r="AC25" s="165" t="s">
        <v>2669</v>
      </c>
      <c r="AD25" s="295">
        <v>44530.0</v>
      </c>
      <c r="AE25" s="160"/>
      <c r="AF25" s="288"/>
      <c r="AG25" s="328"/>
      <c r="AH25" s="288"/>
      <c r="AI25" s="288"/>
      <c r="AJ25" s="288"/>
      <c r="AK25" s="165" t="s">
        <v>1971</v>
      </c>
      <c r="AL25" s="165" t="s">
        <v>1911</v>
      </c>
      <c r="AM25" s="288"/>
      <c r="AN25" s="288"/>
      <c r="AO25" s="288"/>
      <c r="AP25" s="150" t="s">
        <v>2663</v>
      </c>
      <c r="AQ25" s="288"/>
    </row>
    <row r="26">
      <c r="A26" s="244" t="s">
        <v>182</v>
      </c>
      <c r="B26" s="244" t="s">
        <v>183</v>
      </c>
      <c r="C26" s="175" t="str">
        <f>VLOOKUP(A26,Import!A:C,3,false)</f>
        <v>DOĞRU</v>
      </c>
      <c r="D26" s="303" t="s">
        <v>2696</v>
      </c>
      <c r="E26" s="280">
        <f>VLOOKUP(A26,Import!A:J,5,0)</f>
        <v>689</v>
      </c>
      <c r="F26" s="280">
        <f>VLOOKUP(A26,Import!A:J,6,0)</f>
        <v>2</v>
      </c>
      <c r="G26" s="289">
        <f>VLOOKUP(A26,Import!A:J,7,0)</f>
        <v>6</v>
      </c>
      <c r="H26" s="289">
        <f>VLOOKUP(A26,Import!A:J,8,0)</f>
        <v>5</v>
      </c>
      <c r="I26" s="289">
        <f>VLOOKUP(A26,Import!A:J,9,0)</f>
        <v>11</v>
      </c>
      <c r="J26" s="282">
        <f>VLOOKUP(A26,Import!A:J,10,0)</f>
        <v>0.55</v>
      </c>
      <c r="K26" s="244" t="str">
        <f>VLOOKUP(A26,Import!A:P,11,0)</f>
        <v>Keziban Coşman</v>
      </c>
      <c r="L26" s="304">
        <v>2.222215047E9</v>
      </c>
      <c r="M26" s="303" t="s">
        <v>2666</v>
      </c>
      <c r="N26" s="303" t="s">
        <v>2667</v>
      </c>
      <c r="O26" s="303" t="s">
        <v>185</v>
      </c>
      <c r="P26" s="244" t="str">
        <f>VLOOKUP(A26,Import!A:P,16,0)</f>
        <v>Geleneksel</v>
      </c>
      <c r="Q26" s="305" t="s">
        <v>2660</v>
      </c>
      <c r="R26" s="306" t="b">
        <v>1</v>
      </c>
      <c r="S26" s="307" t="b">
        <v>0</v>
      </c>
      <c r="T26" s="309" t="s">
        <v>2661</v>
      </c>
      <c r="U26" s="309"/>
      <c r="V26" s="309" t="s">
        <v>46</v>
      </c>
      <c r="W26" s="309" t="s">
        <v>2753</v>
      </c>
      <c r="X26" s="310">
        <v>44231.0</v>
      </c>
      <c r="Y26" s="310">
        <v>44237.0</v>
      </c>
      <c r="Z26" s="288"/>
      <c r="AA26" s="288"/>
      <c r="AB26" s="288"/>
      <c r="AC26" s="288"/>
      <c r="AD26" s="288"/>
      <c r="AE26" s="160"/>
      <c r="AF26" s="288"/>
      <c r="AG26" s="160"/>
      <c r="AH26" s="288"/>
      <c r="AI26" s="288"/>
      <c r="AJ26" s="288"/>
      <c r="AK26" s="288"/>
      <c r="AL26" s="288"/>
      <c r="AM26" s="288"/>
      <c r="AN26" s="288"/>
      <c r="AO26" s="288"/>
      <c r="AP26" s="150" t="s">
        <v>2663</v>
      </c>
      <c r="AQ26" s="288"/>
    </row>
    <row r="27">
      <c r="A27" s="150" t="s">
        <v>2754</v>
      </c>
      <c r="B27" s="150" t="s">
        <v>2755</v>
      </c>
      <c r="C27" s="175" t="str">
        <f>VLOOKUP(A27,Import!A:C,3,false)</f>
        <v>DOĞRU</v>
      </c>
      <c r="D27" s="150" t="s">
        <v>2672</v>
      </c>
      <c r="E27" s="280">
        <f>VLOOKUP(A27,Import!A:J,5,0)</f>
        <v>790</v>
      </c>
      <c r="F27" s="280">
        <f>VLOOKUP(A27,Import!A:J,6,0)</f>
        <v>70</v>
      </c>
      <c r="G27" s="289">
        <f>VLOOKUP(A27,Import!A:J,7,0)</f>
        <v>0</v>
      </c>
      <c r="H27" s="289">
        <f>VLOOKUP(A27,Import!A:J,8,0)</f>
        <v>19</v>
      </c>
      <c r="I27" s="289">
        <f>VLOOKUP(A27,Import!A:J,9,0)</f>
        <v>19</v>
      </c>
      <c r="J27" s="282">
        <f>VLOOKUP(A27,Import!A:J,10,0)</f>
        <v>0</v>
      </c>
      <c r="K27" s="290" t="s">
        <v>2756</v>
      </c>
      <c r="L27" s="150">
        <v>5.324867178E9</v>
      </c>
      <c r="M27" s="150" t="s">
        <v>2666</v>
      </c>
      <c r="N27" s="150" t="s">
        <v>2757</v>
      </c>
      <c r="O27" s="150" t="s">
        <v>2758</v>
      </c>
      <c r="P27" s="244" t="str">
        <f>VLOOKUP(A27,Import!A:P,16,0)</f>
        <v>Geleneksel</v>
      </c>
      <c r="Q27" s="291"/>
      <c r="R27" s="292" t="b">
        <v>1</v>
      </c>
      <c r="S27" s="293" t="b">
        <v>0</v>
      </c>
      <c r="T27" s="149" t="s">
        <v>2693</v>
      </c>
      <c r="U27" s="296"/>
      <c r="V27" s="296"/>
      <c r="W27" s="149" t="s">
        <v>2759</v>
      </c>
      <c r="X27" s="297"/>
      <c r="Y27" s="297"/>
      <c r="Z27" s="288"/>
      <c r="AA27" s="165" t="s">
        <v>2693</v>
      </c>
      <c r="AB27" s="295">
        <v>44596.0</v>
      </c>
      <c r="AC27" s="288"/>
      <c r="AD27" s="288"/>
      <c r="AE27" s="160"/>
      <c r="AF27" s="288"/>
      <c r="AG27" s="160"/>
      <c r="AH27" s="288"/>
      <c r="AI27" s="288"/>
      <c r="AJ27" s="288"/>
      <c r="AK27" s="165" t="s">
        <v>819</v>
      </c>
      <c r="AL27" s="288"/>
      <c r="AM27" s="288"/>
      <c r="AN27" s="288"/>
      <c r="AO27" s="165"/>
      <c r="AP27" s="150"/>
      <c r="AQ27" s="165"/>
    </row>
    <row r="28">
      <c r="A28" s="244" t="s">
        <v>56</v>
      </c>
      <c r="B28" s="244" t="s">
        <v>57</v>
      </c>
      <c r="C28" s="175" t="str">
        <f>VLOOKUP(A28,Import!A:C,3,false)</f>
        <v>DOĞRU</v>
      </c>
      <c r="D28" s="175" t="s">
        <v>2696</v>
      </c>
      <c r="E28" s="280">
        <f>VLOOKUP(A28,Import!A:J,5,0)</f>
        <v>4919</v>
      </c>
      <c r="F28" s="280">
        <f>VLOOKUP(A28,Import!A:J,6,0)</f>
        <v>31</v>
      </c>
      <c r="G28" s="289">
        <f>VLOOKUP(A28,Import!A:J,7,0)</f>
        <v>12</v>
      </c>
      <c r="H28" s="289">
        <f>VLOOKUP(A28,Import!A:J,8,0)</f>
        <v>21</v>
      </c>
      <c r="I28" s="289">
        <f>VLOOKUP(A28,Import!A:J,9,0)</f>
        <v>33</v>
      </c>
      <c r="J28" s="282">
        <f>VLOOKUP(A28,Import!A:J,10,0)</f>
        <v>0.36</v>
      </c>
      <c r="K28" s="244" t="str">
        <f>VLOOKUP(A28,Import!A:P,11,0)</f>
        <v>SONER COŞMAN</v>
      </c>
      <c r="L28" s="283">
        <v>2.222212601E9</v>
      </c>
      <c r="M28" s="175" t="s">
        <v>2666</v>
      </c>
      <c r="N28" s="175" t="s">
        <v>2682</v>
      </c>
      <c r="O28" s="175" t="s">
        <v>59</v>
      </c>
      <c r="P28" s="244" t="str">
        <f>VLOOKUP(A28,Import!A:P,16,0)</f>
        <v>Geleneksel</v>
      </c>
      <c r="Q28" s="284" t="s">
        <v>2760</v>
      </c>
      <c r="R28" s="285" t="b">
        <v>1</v>
      </c>
      <c r="S28" s="286" t="b">
        <v>0</v>
      </c>
      <c r="T28" s="171" t="s">
        <v>2661</v>
      </c>
      <c r="U28" s="171"/>
      <c r="V28" s="171" t="s">
        <v>46</v>
      </c>
      <c r="W28" s="171" t="s">
        <v>2708</v>
      </c>
      <c r="X28" s="287">
        <v>44231.0</v>
      </c>
      <c r="Y28" s="287">
        <v>44235.0</v>
      </c>
      <c r="Z28" s="288"/>
      <c r="AA28" s="288"/>
      <c r="AB28" s="288"/>
      <c r="AC28" s="288"/>
      <c r="AD28" s="288"/>
      <c r="AE28" s="160"/>
      <c r="AF28" s="288"/>
      <c r="AG28" s="160"/>
      <c r="AH28" s="288"/>
      <c r="AI28" s="288"/>
      <c r="AJ28" s="288"/>
      <c r="AK28" s="288"/>
      <c r="AL28" s="288"/>
      <c r="AM28" s="288"/>
      <c r="AN28" s="288"/>
      <c r="AO28" s="288"/>
      <c r="AP28" s="150" t="s">
        <v>2663</v>
      </c>
      <c r="AQ28" s="288"/>
    </row>
    <row r="29">
      <c r="A29" s="150" t="s">
        <v>2761</v>
      </c>
      <c r="B29" s="150" t="s">
        <v>2762</v>
      </c>
      <c r="C29" s="175" t="str">
        <f>VLOOKUP(A29,Import!A:C,3,false)</f>
        <v>DOĞRU</v>
      </c>
      <c r="D29" s="150" t="s">
        <v>2763</v>
      </c>
      <c r="E29" s="280">
        <f>VLOOKUP(A29,Import!A:J,5,0)</f>
        <v>197</v>
      </c>
      <c r="F29" s="280">
        <f>VLOOKUP(A29,Import!A:J,6,0)</f>
        <v>24</v>
      </c>
      <c r="G29" s="289">
        <f>VLOOKUP(A29,Import!A:J,7,0)</f>
        <v>0</v>
      </c>
      <c r="H29" s="289">
        <f>VLOOKUP(A29,Import!A:J,8,0)</f>
        <v>21</v>
      </c>
      <c r="I29" s="289">
        <f>VLOOKUP(A29,Import!A:J,9,0)</f>
        <v>21</v>
      </c>
      <c r="J29" s="282">
        <f>VLOOKUP(A29,Import!A:J,10,0)</f>
        <v>0</v>
      </c>
      <c r="K29" s="290" t="s">
        <v>2764</v>
      </c>
      <c r="L29" s="150">
        <v>5.525007171E9</v>
      </c>
      <c r="M29" s="150" t="s">
        <v>2666</v>
      </c>
      <c r="N29" s="150" t="s">
        <v>2667</v>
      </c>
      <c r="O29" s="150" t="s">
        <v>2765</v>
      </c>
      <c r="P29" s="244" t="str">
        <f>VLOOKUP(A29,Import!A:P,16,0)</f>
        <v>Geleneksel</v>
      </c>
      <c r="Q29" s="291"/>
      <c r="R29" s="292" t="b">
        <v>1</v>
      </c>
      <c r="S29" s="293" t="b">
        <v>0</v>
      </c>
      <c r="T29" s="149" t="s">
        <v>2693</v>
      </c>
      <c r="U29" s="296"/>
      <c r="V29" s="296"/>
      <c r="W29" s="149" t="s">
        <v>2766</v>
      </c>
      <c r="X29" s="297"/>
      <c r="Y29" s="297"/>
      <c r="Z29" s="288"/>
      <c r="AA29" s="165" t="s">
        <v>2699</v>
      </c>
      <c r="AB29" s="295">
        <v>44565.0</v>
      </c>
      <c r="AC29" s="165" t="s">
        <v>2699</v>
      </c>
      <c r="AD29" s="295">
        <v>44571.0</v>
      </c>
      <c r="AE29" s="160"/>
      <c r="AF29" s="288"/>
      <c r="AG29" s="160"/>
      <c r="AH29" s="288"/>
      <c r="AI29" s="288"/>
      <c r="AJ29" s="288"/>
      <c r="AK29" s="165" t="s">
        <v>1715</v>
      </c>
      <c r="AL29" s="165" t="s">
        <v>819</v>
      </c>
      <c r="AM29" s="288"/>
      <c r="AN29" s="288"/>
      <c r="AO29" s="165"/>
      <c r="AP29" s="150"/>
      <c r="AQ29" s="165"/>
    </row>
    <row r="30">
      <c r="A30" s="150" t="s">
        <v>2767</v>
      </c>
      <c r="B30" s="150" t="s">
        <v>2768</v>
      </c>
      <c r="C30" s="175" t="str">
        <f>VLOOKUP(A30,Import!A:C,3,false)</f>
        <v>YANLIŞ</v>
      </c>
      <c r="D30" s="150" t="s">
        <v>2696</v>
      </c>
      <c r="E30" s="280">
        <f>VLOOKUP(A30,Import!A:J,5,0)</f>
        <v>121</v>
      </c>
      <c r="F30" s="280" t="str">
        <f>VLOOKUP(A30,Import!A:J,6,0)</f>
        <v/>
      </c>
      <c r="G30" s="289">
        <f>VLOOKUP(A30,Import!A:J,7,0)</f>
        <v>0</v>
      </c>
      <c r="H30" s="289">
        <f>VLOOKUP(A30,Import!A:J,8,0)</f>
        <v>14</v>
      </c>
      <c r="I30" s="289">
        <f>VLOOKUP(A30,Import!A:J,9,0)</f>
        <v>14</v>
      </c>
      <c r="J30" s="282">
        <f>VLOOKUP(A30,Import!A:J,10,0)</f>
        <v>0</v>
      </c>
      <c r="K30" s="244" t="str">
        <f>VLOOKUP(A30,Import!A:P,11,0)</f>
        <v>Özlem Ürün</v>
      </c>
      <c r="L30" s="150">
        <v>5.358778441E9</v>
      </c>
      <c r="M30" s="150" t="s">
        <v>2666</v>
      </c>
      <c r="N30" s="150" t="s">
        <v>2711</v>
      </c>
      <c r="O30" s="150" t="s">
        <v>2769</v>
      </c>
      <c r="P30" s="244" t="str">
        <f>VLOOKUP(A30,Import!A:P,16,0)</f>
        <v>Geleneksel</v>
      </c>
      <c r="Q30" s="291"/>
      <c r="R30" s="292" t="b">
        <v>1</v>
      </c>
      <c r="S30" s="293" t="b">
        <v>0</v>
      </c>
      <c r="T30" s="149" t="s">
        <v>2770</v>
      </c>
      <c r="U30" s="296"/>
      <c r="V30" s="296"/>
      <c r="W30" s="149" t="s">
        <v>2771</v>
      </c>
      <c r="X30" s="297"/>
      <c r="Y30" s="297"/>
      <c r="Z30" s="288"/>
      <c r="AA30" s="165" t="s">
        <v>2772</v>
      </c>
      <c r="AB30" s="295">
        <v>44496.0</v>
      </c>
      <c r="AC30" s="165" t="s">
        <v>2693</v>
      </c>
      <c r="AD30" s="295">
        <v>44524.0</v>
      </c>
      <c r="AE30" s="160"/>
      <c r="AF30" s="288"/>
      <c r="AG30" s="160"/>
      <c r="AH30" s="288"/>
      <c r="AI30" s="288"/>
      <c r="AJ30" s="288"/>
      <c r="AK30" s="165" t="s">
        <v>819</v>
      </c>
      <c r="AL30" s="165" t="s">
        <v>819</v>
      </c>
      <c r="AM30" s="288"/>
      <c r="AN30" s="288"/>
      <c r="AO30" s="288"/>
      <c r="AP30" s="150" t="s">
        <v>2663</v>
      </c>
      <c r="AQ30" s="288"/>
    </row>
    <row r="31">
      <c r="A31" s="244" t="s">
        <v>90</v>
      </c>
      <c r="B31" s="244" t="s">
        <v>91</v>
      </c>
      <c r="C31" s="175" t="str">
        <f>VLOOKUP(A31,Import!A:C,3,false)</f>
        <v>DOĞRU</v>
      </c>
      <c r="D31" s="303" t="s">
        <v>2773</v>
      </c>
      <c r="E31" s="280">
        <f>VLOOKUP(A31,Import!A:J,5,0)</f>
        <v>692</v>
      </c>
      <c r="F31" s="280">
        <f>VLOOKUP(A31,Import!A:J,6,0)</f>
        <v>17</v>
      </c>
      <c r="G31" s="289">
        <f>VLOOKUP(A31,Import!A:J,7,0)</f>
        <v>11</v>
      </c>
      <c r="H31" s="289">
        <f>VLOOKUP(A31,Import!A:J,8,0)</f>
        <v>12</v>
      </c>
      <c r="I31" s="289">
        <f>VLOOKUP(A31,Import!A:J,9,0)</f>
        <v>23</v>
      </c>
      <c r="J31" s="282">
        <f>VLOOKUP(A31,Import!A:J,10,0)</f>
        <v>0.48</v>
      </c>
      <c r="K31" s="244" t="str">
        <f>VLOOKUP(A31,Import!A:P,11,0)</f>
        <v>Mehmet Tüfenk</v>
      </c>
      <c r="L31" s="304">
        <v>5.337761568E9</v>
      </c>
      <c r="M31" s="303" t="s">
        <v>2666</v>
      </c>
      <c r="N31" s="303" t="s">
        <v>2774</v>
      </c>
      <c r="O31" s="303" t="s">
        <v>94</v>
      </c>
      <c r="P31" s="244" t="str">
        <f>VLOOKUP(A31,Import!A:P,16,0)</f>
        <v>Geleneksel</v>
      </c>
      <c r="Q31" s="305" t="s">
        <v>2686</v>
      </c>
      <c r="R31" s="306" t="b">
        <v>1</v>
      </c>
      <c r="S31" s="307" t="b">
        <v>0</v>
      </c>
      <c r="T31" s="309" t="s">
        <v>2661</v>
      </c>
      <c r="U31" s="309"/>
      <c r="V31" s="309" t="s">
        <v>31</v>
      </c>
      <c r="W31" s="318" t="s">
        <v>2708</v>
      </c>
      <c r="X31" s="310">
        <v>44232.0</v>
      </c>
      <c r="Y31" s="310">
        <v>44236.0</v>
      </c>
      <c r="Z31" s="288"/>
      <c r="AA31" s="288"/>
      <c r="AB31" s="288"/>
      <c r="AC31" s="288"/>
      <c r="AD31" s="288"/>
      <c r="AE31" s="160"/>
      <c r="AF31" s="288"/>
      <c r="AG31" s="160"/>
      <c r="AH31" s="288"/>
      <c r="AI31" s="288"/>
      <c r="AJ31" s="288"/>
      <c r="AK31" s="288"/>
      <c r="AL31" s="288"/>
      <c r="AM31" s="288"/>
      <c r="AN31" s="288"/>
      <c r="AO31" s="288"/>
      <c r="AP31" s="150" t="s">
        <v>2663</v>
      </c>
      <c r="AQ31" s="288"/>
    </row>
    <row r="32">
      <c r="A32" s="150" t="s">
        <v>2391</v>
      </c>
      <c r="B32" s="150" t="s">
        <v>2392</v>
      </c>
      <c r="C32" s="175" t="str">
        <f>VLOOKUP(A32,Import!A:C,3,false)</f>
        <v>DOĞRU</v>
      </c>
      <c r="D32" s="150" t="s">
        <v>2773</v>
      </c>
      <c r="E32" s="280">
        <f>VLOOKUP(A32,Import!A:J,5,0)</f>
        <v>39</v>
      </c>
      <c r="F32" s="280">
        <f>VLOOKUP(A32,Import!A:J,6,0)</f>
        <v>6</v>
      </c>
      <c r="G32" s="289">
        <f>VLOOKUP(A32,Import!A:J,7,0)</f>
        <v>5</v>
      </c>
      <c r="H32" s="289">
        <f>VLOOKUP(A32,Import!A:J,8,0)</f>
        <v>0</v>
      </c>
      <c r="I32" s="289">
        <f>VLOOKUP(A32,Import!A:J,9,0)</f>
        <v>5</v>
      </c>
      <c r="J32" s="282">
        <f>VLOOKUP(A32,Import!A:J,10,0)</f>
        <v>1</v>
      </c>
      <c r="K32" s="290" t="s">
        <v>2775</v>
      </c>
      <c r="L32" s="150">
        <v>5.456606594E9</v>
      </c>
      <c r="M32" s="150" t="s">
        <v>1450</v>
      </c>
      <c r="N32" s="150" t="s">
        <v>2776</v>
      </c>
      <c r="O32" s="150" t="s">
        <v>2395</v>
      </c>
      <c r="P32" s="244" t="str">
        <f>VLOOKUP(A32,Import!A:P,16,0)</f>
        <v>Geleneksel</v>
      </c>
      <c r="Q32" s="291"/>
      <c r="R32" s="292" t="b">
        <v>1</v>
      </c>
      <c r="S32" s="293" t="b">
        <v>0</v>
      </c>
      <c r="T32" s="149" t="s">
        <v>2661</v>
      </c>
      <c r="U32" s="149" t="s">
        <v>943</v>
      </c>
      <c r="V32" s="296"/>
      <c r="W32" s="149"/>
      <c r="X32" s="294">
        <v>44578.0</v>
      </c>
      <c r="Y32" s="294">
        <v>44580.0</v>
      </c>
      <c r="Z32" s="288"/>
      <c r="AA32" s="165" t="s">
        <v>2669</v>
      </c>
      <c r="AB32" s="295">
        <v>44578.0</v>
      </c>
      <c r="AC32" s="288"/>
      <c r="AD32" s="288"/>
      <c r="AE32" s="160"/>
      <c r="AF32" s="288"/>
      <c r="AG32" s="160"/>
      <c r="AH32" s="288"/>
      <c r="AI32" s="288"/>
      <c r="AJ32" s="288"/>
      <c r="AK32" s="165" t="s">
        <v>943</v>
      </c>
      <c r="AL32" s="288"/>
      <c r="AM32" s="288"/>
      <c r="AN32" s="288"/>
      <c r="AO32" s="165"/>
      <c r="AP32" s="150"/>
      <c r="AQ32" s="165"/>
    </row>
    <row r="33">
      <c r="A33" s="150" t="s">
        <v>2777</v>
      </c>
      <c r="B33" s="150" t="s">
        <v>2778</v>
      </c>
      <c r="C33" s="175" t="str">
        <f>VLOOKUP(A33,Import!A:C,3,false)</f>
        <v>DOĞRU</v>
      </c>
      <c r="D33" s="150" t="s">
        <v>2773</v>
      </c>
      <c r="E33" s="280">
        <f>VLOOKUP(A33,Import!A:J,5,0)</f>
        <v>13</v>
      </c>
      <c r="F33" s="280">
        <f>VLOOKUP(A33,Import!A:J,6,0)</f>
        <v>1</v>
      </c>
      <c r="G33" s="289">
        <f>VLOOKUP(A33,Import!A:J,7,0)</f>
        <v>0</v>
      </c>
      <c r="H33" s="289">
        <f>VLOOKUP(A33,Import!A:J,8,0)</f>
        <v>22</v>
      </c>
      <c r="I33" s="289">
        <f>VLOOKUP(A33,Import!A:J,9,0)</f>
        <v>22</v>
      </c>
      <c r="J33" s="282">
        <f>VLOOKUP(A33,Import!A:J,10,0)</f>
        <v>0</v>
      </c>
      <c r="K33" s="290" t="s">
        <v>2779</v>
      </c>
      <c r="L33" s="150">
        <v>5.432761694E9</v>
      </c>
      <c r="M33" s="150" t="s">
        <v>1450</v>
      </c>
      <c r="N33" s="150" t="s">
        <v>2703</v>
      </c>
      <c r="O33" s="150" t="s">
        <v>2780</v>
      </c>
      <c r="P33" s="244" t="str">
        <f>VLOOKUP(A33,Import!A:P,16,0)</f>
        <v>Geleneksel</v>
      </c>
      <c r="Q33" s="291"/>
      <c r="R33" s="292" t="b">
        <v>1</v>
      </c>
      <c r="S33" s="293" t="b">
        <v>0</v>
      </c>
      <c r="T33" s="149"/>
      <c r="U33" s="296"/>
      <c r="V33" s="296"/>
      <c r="W33" s="149" t="s">
        <v>2781</v>
      </c>
      <c r="X33" s="297"/>
      <c r="Y33" s="297"/>
      <c r="Z33" s="288"/>
      <c r="AA33" s="165" t="s">
        <v>2772</v>
      </c>
      <c r="AB33" s="295">
        <v>44628.0</v>
      </c>
      <c r="AC33" s="288"/>
      <c r="AD33" s="288"/>
      <c r="AE33" s="160"/>
      <c r="AF33" s="288"/>
      <c r="AG33" s="160"/>
      <c r="AH33" s="288"/>
      <c r="AI33" s="288"/>
      <c r="AJ33" s="288"/>
      <c r="AK33" s="165" t="s">
        <v>1717</v>
      </c>
      <c r="AL33" s="288"/>
      <c r="AM33" s="288"/>
      <c r="AN33" s="288"/>
      <c r="AO33" s="165"/>
      <c r="AP33" s="150"/>
      <c r="AQ33" s="165"/>
    </row>
    <row r="34">
      <c r="A34" s="244" t="s">
        <v>95</v>
      </c>
      <c r="B34" s="244" t="s">
        <v>96</v>
      </c>
      <c r="C34" s="175" t="str">
        <f>VLOOKUP(A34,Import!A:C,3,false)</f>
        <v>DOĞRU</v>
      </c>
      <c r="D34" s="303" t="s">
        <v>2773</v>
      </c>
      <c r="E34" s="280">
        <f>VLOOKUP(A34,Import!A:J,5,0)</f>
        <v>862</v>
      </c>
      <c r="F34" s="280">
        <f>VLOOKUP(A34,Import!A:J,6,0)</f>
        <v>21</v>
      </c>
      <c r="G34" s="289">
        <f>VLOOKUP(A34,Import!A:J,7,0)</f>
        <v>3</v>
      </c>
      <c r="H34" s="289">
        <f>VLOOKUP(A34,Import!A:J,8,0)</f>
        <v>13</v>
      </c>
      <c r="I34" s="289">
        <f>VLOOKUP(A34,Import!A:J,9,0)</f>
        <v>16</v>
      </c>
      <c r="J34" s="282">
        <f>VLOOKUP(A34,Import!A:J,10,0)</f>
        <v>0.19</v>
      </c>
      <c r="K34" s="244" t="str">
        <f>VLOOKUP(A34,Import!A:P,11,0)</f>
        <v>SERHAT ANILIR</v>
      </c>
      <c r="L34" s="304">
        <v>5.412208287E9</v>
      </c>
      <c r="M34" s="303" t="s">
        <v>1450</v>
      </c>
      <c r="N34" s="303" t="s">
        <v>2782</v>
      </c>
      <c r="O34" s="303" t="s">
        <v>100</v>
      </c>
      <c r="P34" s="244" t="str">
        <f>VLOOKUP(A34,Import!A:P,16,0)</f>
        <v>Geleneksel</v>
      </c>
      <c r="Q34" s="305" t="s">
        <v>2660</v>
      </c>
      <c r="R34" s="306" t="b">
        <v>1</v>
      </c>
      <c r="S34" s="307" t="b">
        <v>0</v>
      </c>
      <c r="T34" s="318" t="s">
        <v>2661</v>
      </c>
      <c r="U34" s="318"/>
      <c r="V34" s="329" t="s">
        <v>31</v>
      </c>
      <c r="W34" s="318" t="s">
        <v>2708</v>
      </c>
      <c r="X34" s="319">
        <v>44232.0</v>
      </c>
      <c r="Y34" s="319">
        <v>44236.0</v>
      </c>
      <c r="Z34" s="288"/>
      <c r="AA34" s="288"/>
      <c r="AB34" s="288"/>
      <c r="AC34" s="288"/>
      <c r="AD34" s="288"/>
      <c r="AE34" s="160"/>
      <c r="AF34" s="288"/>
      <c r="AG34" s="160"/>
      <c r="AH34" s="288"/>
      <c r="AI34" s="288"/>
      <c r="AJ34" s="288"/>
      <c r="AK34" s="288"/>
      <c r="AL34" s="288"/>
      <c r="AM34" s="288"/>
      <c r="AN34" s="288"/>
      <c r="AO34" s="288"/>
      <c r="AP34" s="150" t="s">
        <v>2663</v>
      </c>
      <c r="AQ34" s="288"/>
    </row>
    <row r="35">
      <c r="A35" s="244" t="s">
        <v>101</v>
      </c>
      <c r="B35" s="244" t="s">
        <v>102</v>
      </c>
      <c r="C35" s="175" t="str">
        <f>VLOOKUP(A35,Import!A:C,3,false)</f>
        <v>DOĞRU</v>
      </c>
      <c r="D35" s="303" t="s">
        <v>2773</v>
      </c>
      <c r="E35" s="280">
        <f>VLOOKUP(A35,Import!A:J,5,0)</f>
        <v>2628</v>
      </c>
      <c r="F35" s="280">
        <f>VLOOKUP(A35,Import!A:J,6,0)</f>
        <v>50</v>
      </c>
      <c r="G35" s="289">
        <f>VLOOKUP(A35,Import!A:J,7,0)</f>
        <v>17</v>
      </c>
      <c r="H35" s="289">
        <f>VLOOKUP(A35,Import!A:J,8,0)</f>
        <v>10</v>
      </c>
      <c r="I35" s="289">
        <f>VLOOKUP(A35,Import!A:J,9,0)</f>
        <v>27</v>
      </c>
      <c r="J35" s="282">
        <f>VLOOKUP(A35,Import!A:J,10,0)</f>
        <v>0.63</v>
      </c>
      <c r="K35" s="244" t="str">
        <f>VLOOKUP(A35,Import!A:P,11,0)</f>
        <v>HAKAN ADALIOĞLU</v>
      </c>
      <c r="L35" s="304">
        <v>5.438920626E9</v>
      </c>
      <c r="M35" s="303" t="s">
        <v>1450</v>
      </c>
      <c r="N35" s="303" t="s">
        <v>2703</v>
      </c>
      <c r="O35" s="303" t="s">
        <v>106</v>
      </c>
      <c r="P35" s="244" t="str">
        <f>VLOOKUP(A35,Import!A:P,16,0)</f>
        <v>Geleneksel</v>
      </c>
      <c r="Q35" s="305" t="s">
        <v>2686</v>
      </c>
      <c r="R35" s="306" t="b">
        <v>1</v>
      </c>
      <c r="S35" s="307" t="b">
        <v>0</v>
      </c>
      <c r="T35" s="309" t="s">
        <v>2661</v>
      </c>
      <c r="U35" s="309"/>
      <c r="V35" s="309" t="s">
        <v>46</v>
      </c>
      <c r="W35" s="309" t="s">
        <v>2708</v>
      </c>
      <c r="X35" s="310">
        <v>44232.0</v>
      </c>
      <c r="Y35" s="310">
        <v>44236.0</v>
      </c>
      <c r="Z35" s="288"/>
      <c r="AA35" s="288"/>
      <c r="AB35" s="288"/>
      <c r="AC35" s="288"/>
      <c r="AD35" s="288"/>
      <c r="AE35" s="160"/>
      <c r="AF35" s="288"/>
      <c r="AG35" s="160"/>
      <c r="AH35" s="288"/>
      <c r="AI35" s="288"/>
      <c r="AJ35" s="288"/>
      <c r="AK35" s="288"/>
      <c r="AL35" s="288"/>
      <c r="AM35" s="288"/>
      <c r="AN35" s="288"/>
      <c r="AO35" s="288"/>
      <c r="AP35" s="150" t="s">
        <v>2663</v>
      </c>
      <c r="AQ35" s="288"/>
    </row>
    <row r="36">
      <c r="A36" s="150" t="s">
        <v>2304</v>
      </c>
      <c r="B36" s="150" t="s">
        <v>2305</v>
      </c>
      <c r="C36" s="175" t="str">
        <f>VLOOKUP(A36,Import!A:C,3,false)</f>
        <v>DOĞRU</v>
      </c>
      <c r="D36" s="150" t="s">
        <v>2696</v>
      </c>
      <c r="E36" s="280">
        <f>VLOOKUP(A36,Import!A:J,5,0)</f>
        <v>542</v>
      </c>
      <c r="F36" s="280">
        <f>VLOOKUP(A36,Import!A:J,6,0)</f>
        <v>27</v>
      </c>
      <c r="G36" s="289">
        <f>VLOOKUP(A36,Import!A:J,7,0)</f>
        <v>0</v>
      </c>
      <c r="H36" s="289">
        <f>VLOOKUP(A36,Import!A:J,8,0)</f>
        <v>16</v>
      </c>
      <c r="I36" s="289">
        <f>VLOOKUP(A36,Import!A:J,9,0)</f>
        <v>16</v>
      </c>
      <c r="J36" s="282">
        <f>VLOOKUP(A36,Import!A:J,10,0)</f>
        <v>0</v>
      </c>
      <c r="K36" s="244" t="str">
        <f>VLOOKUP(A36,Import!A:P,11,0)</f>
        <v>Muhammed Enes İleli</v>
      </c>
      <c r="L36" s="150">
        <v>5.379480226E9</v>
      </c>
      <c r="M36" s="150" t="s">
        <v>2666</v>
      </c>
      <c r="N36" s="150" t="s">
        <v>2685</v>
      </c>
      <c r="O36" s="150" t="s">
        <v>2308</v>
      </c>
      <c r="P36" s="244" t="str">
        <f>VLOOKUP(A36,Import!A:P,16,0)</f>
        <v>Geleneksel</v>
      </c>
      <c r="Q36" s="291"/>
      <c r="R36" s="292" t="b">
        <v>1</v>
      </c>
      <c r="S36" s="293" t="b">
        <v>0</v>
      </c>
      <c r="T36" s="149" t="s">
        <v>2668</v>
      </c>
      <c r="U36" s="149" t="s">
        <v>1715</v>
      </c>
      <c r="V36" s="149" t="s">
        <v>2783</v>
      </c>
      <c r="W36" s="149">
        <v>5.554896073E9</v>
      </c>
      <c r="X36" s="294">
        <v>44565.0</v>
      </c>
      <c r="Y36" s="294">
        <v>44566.0</v>
      </c>
      <c r="Z36" s="288"/>
      <c r="AA36" s="165" t="s">
        <v>2693</v>
      </c>
      <c r="AB36" s="295">
        <v>44518.0</v>
      </c>
      <c r="AC36" s="165" t="s">
        <v>2693</v>
      </c>
      <c r="AD36" s="295">
        <v>44518.0</v>
      </c>
      <c r="AE36" s="165" t="s">
        <v>2669</v>
      </c>
      <c r="AF36" s="295">
        <v>44565.0</v>
      </c>
      <c r="AG36" s="160"/>
      <c r="AH36" s="288"/>
      <c r="AI36" s="288"/>
      <c r="AJ36" s="288"/>
      <c r="AK36" s="165" t="s">
        <v>1911</v>
      </c>
      <c r="AL36" s="165" t="s">
        <v>1911</v>
      </c>
      <c r="AM36" s="165" t="s">
        <v>1715</v>
      </c>
      <c r="AN36" s="288"/>
      <c r="AO36" s="288"/>
      <c r="AP36" s="150" t="s">
        <v>2663</v>
      </c>
      <c r="AQ36" s="288"/>
    </row>
    <row r="37">
      <c r="A37" s="150" t="s">
        <v>2784</v>
      </c>
      <c r="B37" s="150" t="s">
        <v>2785</v>
      </c>
      <c r="C37" s="175" t="str">
        <f>VLOOKUP(A37,Import!A:C,3,false)</f>
        <v>DOĞRU</v>
      </c>
      <c r="D37" s="150" t="s">
        <v>2773</v>
      </c>
      <c r="E37" s="280">
        <f>VLOOKUP(A37,Import!A:J,5,0)</f>
        <v>333</v>
      </c>
      <c r="F37" s="280">
        <f>VLOOKUP(A37,Import!A:J,6,0)</f>
        <v>137</v>
      </c>
      <c r="G37" s="289">
        <f>VLOOKUP(A37,Import!A:J,7,0)</f>
        <v>0</v>
      </c>
      <c r="H37" s="289">
        <f>VLOOKUP(A37,Import!A:J,8,0)</f>
        <v>23</v>
      </c>
      <c r="I37" s="289">
        <f>VLOOKUP(A37,Import!A:J,9,0)</f>
        <v>23</v>
      </c>
      <c r="J37" s="282">
        <f>VLOOKUP(A37,Import!A:J,10,0)</f>
        <v>0</v>
      </c>
      <c r="K37" s="290" t="s">
        <v>2786</v>
      </c>
      <c r="L37" s="150">
        <v>5.346520726E9</v>
      </c>
      <c r="M37" s="150" t="s">
        <v>1450</v>
      </c>
      <c r="N37" s="150" t="s">
        <v>2732</v>
      </c>
      <c r="O37" s="150" t="s">
        <v>2787</v>
      </c>
      <c r="P37" s="244" t="str">
        <f>VLOOKUP(A37,Import!A:P,16,0)</f>
        <v>Geleneksel</v>
      </c>
      <c r="Q37" s="291"/>
      <c r="R37" s="292" t="b">
        <v>1</v>
      </c>
      <c r="S37" s="293" t="b">
        <v>0</v>
      </c>
      <c r="T37" s="149" t="s">
        <v>2788</v>
      </c>
      <c r="U37" s="296"/>
      <c r="V37" s="312"/>
      <c r="W37" s="6"/>
      <c r="X37" s="294"/>
      <c r="Y37" s="294"/>
      <c r="Z37" s="288"/>
      <c r="AA37" s="165" t="s">
        <v>2688</v>
      </c>
      <c r="AB37" s="295">
        <v>44599.0</v>
      </c>
      <c r="AC37" s="165" t="s">
        <v>2669</v>
      </c>
      <c r="AD37" s="295">
        <v>44628.0</v>
      </c>
      <c r="AE37" s="160"/>
      <c r="AF37" s="288"/>
      <c r="AG37" s="160"/>
      <c r="AH37" s="288"/>
      <c r="AI37" s="288"/>
      <c r="AJ37" s="288"/>
      <c r="AK37" s="165" t="s">
        <v>819</v>
      </c>
      <c r="AL37" s="165" t="s">
        <v>1791</v>
      </c>
      <c r="AM37" s="288"/>
      <c r="AN37" s="288"/>
      <c r="AO37" s="165"/>
      <c r="AP37" s="150"/>
      <c r="AQ37" s="165"/>
    </row>
    <row r="38">
      <c r="A38" s="150" t="s">
        <v>2287</v>
      </c>
      <c r="B38" s="150" t="s">
        <v>2288</v>
      </c>
      <c r="C38" s="175" t="str">
        <f>VLOOKUP(A38,Import!A:C,3,false)</f>
        <v>DOĞRU</v>
      </c>
      <c r="D38" s="150" t="s">
        <v>2773</v>
      </c>
      <c r="E38" s="280">
        <f>VLOOKUP(A38,Import!A:J,5,0)</f>
        <v>137</v>
      </c>
      <c r="F38" s="280">
        <f>VLOOKUP(A38,Import!A:J,6,0)</f>
        <v>22</v>
      </c>
      <c r="G38" s="289">
        <f>VLOOKUP(A38,Import!A:J,7,0)</f>
        <v>3</v>
      </c>
      <c r="H38" s="289">
        <f>VLOOKUP(A38,Import!A:J,8,0)</f>
        <v>0</v>
      </c>
      <c r="I38" s="289">
        <f>VLOOKUP(A38,Import!A:J,9,0)</f>
        <v>3</v>
      </c>
      <c r="J38" s="282">
        <f>VLOOKUP(A38,Import!A:J,10,0)</f>
        <v>1</v>
      </c>
      <c r="K38" s="290" t="s">
        <v>2775</v>
      </c>
      <c r="L38" s="150">
        <v>5.456606594E9</v>
      </c>
      <c r="M38" s="150" t="s">
        <v>1450</v>
      </c>
      <c r="N38" s="150" t="s">
        <v>2732</v>
      </c>
      <c r="O38" s="150" t="s">
        <v>1222</v>
      </c>
      <c r="P38" s="244" t="str">
        <f>VLOOKUP(A38,Import!A:P,16,0)</f>
        <v>Geleneksel</v>
      </c>
      <c r="Q38" s="291"/>
      <c r="R38" s="292" t="b">
        <v>1</v>
      </c>
      <c r="S38" s="293" t="b">
        <v>0</v>
      </c>
      <c r="T38" s="149" t="s">
        <v>2661</v>
      </c>
      <c r="U38" s="149" t="s">
        <v>1715</v>
      </c>
      <c r="V38" s="149" t="s">
        <v>2783</v>
      </c>
      <c r="W38" s="149" t="s">
        <v>2789</v>
      </c>
      <c r="X38" s="294">
        <v>44561.0</v>
      </c>
      <c r="Y38" s="294">
        <v>44565.0</v>
      </c>
      <c r="Z38" s="288"/>
      <c r="AA38" s="165" t="s">
        <v>2669</v>
      </c>
      <c r="AB38" s="295">
        <v>44561.0</v>
      </c>
      <c r="AC38" s="288"/>
      <c r="AD38" s="288"/>
      <c r="AE38" s="160"/>
      <c r="AF38" s="288"/>
      <c r="AG38" s="160"/>
      <c r="AH38" s="288"/>
      <c r="AI38" s="288"/>
      <c r="AJ38" s="288"/>
      <c r="AK38" s="165" t="s">
        <v>1715</v>
      </c>
      <c r="AL38" s="288"/>
      <c r="AM38" s="288"/>
      <c r="AN38" s="288"/>
      <c r="AO38" s="165"/>
      <c r="AP38" s="150"/>
      <c r="AQ38" s="165"/>
    </row>
    <row r="39">
      <c r="A39" s="150" t="s">
        <v>2790</v>
      </c>
      <c r="B39" s="150" t="s">
        <v>2791</v>
      </c>
      <c r="C39" s="175" t="str">
        <f>VLOOKUP(A39,Import!A:C,3,false)</f>
        <v>DOĞRU</v>
      </c>
      <c r="D39" s="150" t="s">
        <v>2773</v>
      </c>
      <c r="E39" s="280">
        <f>VLOOKUP(A39,Import!A:J,5,0)</f>
        <v>976</v>
      </c>
      <c r="F39" s="280">
        <f>VLOOKUP(A39,Import!A:J,6,0)</f>
        <v>4</v>
      </c>
      <c r="G39" s="289">
        <f>VLOOKUP(A39,Import!A:J,7,0)</f>
        <v>6</v>
      </c>
      <c r="H39" s="289">
        <f>VLOOKUP(A39,Import!A:J,8,0)</f>
        <v>10</v>
      </c>
      <c r="I39" s="289">
        <f>VLOOKUP(A39,Import!A:J,9,0)</f>
        <v>16</v>
      </c>
      <c r="J39" s="282">
        <f>VLOOKUP(A39,Import!A:J,10,0)</f>
        <v>0.38</v>
      </c>
      <c r="K39" s="244" t="str">
        <f>VLOOKUP(A39,Import!A:P,11,0)</f>
        <v>Murat kaya</v>
      </c>
      <c r="L39" s="150">
        <v>5.330373024E9</v>
      </c>
      <c r="M39" s="150" t="s">
        <v>2666</v>
      </c>
      <c r="N39" s="150" t="s">
        <v>2750</v>
      </c>
      <c r="O39" s="150" t="s">
        <v>2792</v>
      </c>
      <c r="P39" s="244" t="str">
        <f>VLOOKUP(A39,Import!A:P,16,0)</f>
        <v>Geleneksel</v>
      </c>
      <c r="Q39" s="291" t="s">
        <v>2660</v>
      </c>
      <c r="R39" s="292" t="b">
        <v>1</v>
      </c>
      <c r="S39" s="293" t="b">
        <v>0</v>
      </c>
      <c r="T39" s="149" t="s">
        <v>2734</v>
      </c>
      <c r="U39" s="296"/>
      <c r="V39" s="296"/>
      <c r="W39" s="149" t="s">
        <v>2793</v>
      </c>
      <c r="X39" s="297"/>
      <c r="Y39" s="297"/>
      <c r="Z39" s="288"/>
      <c r="AA39" s="288"/>
      <c r="AB39" s="288"/>
      <c r="AC39" s="288"/>
      <c r="AD39" s="288"/>
      <c r="AE39" s="160"/>
      <c r="AF39" s="288"/>
      <c r="AG39" s="160"/>
      <c r="AH39" s="288"/>
      <c r="AI39" s="288"/>
      <c r="AJ39" s="288"/>
      <c r="AK39" s="288"/>
      <c r="AL39" s="288"/>
      <c r="AM39" s="288"/>
      <c r="AN39" s="288"/>
      <c r="AO39" s="288"/>
      <c r="AP39" s="150" t="s">
        <v>2663</v>
      </c>
      <c r="AQ39" s="288"/>
    </row>
    <row r="40">
      <c r="A40" s="150" t="s">
        <v>2032</v>
      </c>
      <c r="B40" s="150" t="s">
        <v>2033</v>
      </c>
      <c r="C40" s="175" t="str">
        <f>VLOOKUP(A40,Import!A:C,3,false)</f>
        <v>DOĞRU</v>
      </c>
      <c r="D40" s="150" t="s">
        <v>2773</v>
      </c>
      <c r="E40" s="280">
        <f>VLOOKUP(A40,Import!A:J,5,0)</f>
        <v>1711</v>
      </c>
      <c r="F40" s="280">
        <f>VLOOKUP(A40,Import!A:J,6,0)</f>
        <v>69</v>
      </c>
      <c r="G40" s="289">
        <f>VLOOKUP(A40,Import!A:J,7,0)</f>
        <v>0</v>
      </c>
      <c r="H40" s="289">
        <f>VLOOKUP(A40,Import!A:J,8,0)</f>
        <v>15</v>
      </c>
      <c r="I40" s="289">
        <f>VLOOKUP(A40,Import!A:J,9,0)</f>
        <v>15</v>
      </c>
      <c r="J40" s="282">
        <f>VLOOKUP(A40,Import!A:J,10,0)</f>
        <v>0</v>
      </c>
      <c r="K40" s="244" t="str">
        <f>VLOOKUP(A40,Import!A:P,11,0)</f>
        <v>Ömer Küçük</v>
      </c>
      <c r="L40" s="150">
        <v>5.447844222E9</v>
      </c>
      <c r="M40" s="150" t="s">
        <v>2666</v>
      </c>
      <c r="N40" s="150" t="s">
        <v>2794</v>
      </c>
      <c r="O40" s="150" t="s">
        <v>2036</v>
      </c>
      <c r="P40" s="244" t="str">
        <f>VLOOKUP(A40,Import!A:P,16,0)</f>
        <v>Geleneksel</v>
      </c>
      <c r="Q40" s="291"/>
      <c r="R40" s="292" t="b">
        <v>1</v>
      </c>
      <c r="S40" s="293" t="b">
        <v>0</v>
      </c>
      <c r="T40" s="149" t="s">
        <v>2668</v>
      </c>
      <c r="U40" s="149" t="s">
        <v>1791</v>
      </c>
      <c r="V40" s="269" t="s">
        <v>1609</v>
      </c>
      <c r="W40" s="149"/>
      <c r="X40" s="294">
        <v>44522.0</v>
      </c>
      <c r="Y40" s="294">
        <v>44524.0</v>
      </c>
      <c r="Z40" s="288"/>
      <c r="AA40" s="165" t="s">
        <v>2669</v>
      </c>
      <c r="AB40" s="295">
        <v>44522.0</v>
      </c>
      <c r="AC40" s="288"/>
      <c r="AD40" s="288"/>
      <c r="AE40" s="160"/>
      <c r="AF40" s="288"/>
      <c r="AG40" s="160"/>
      <c r="AH40" s="288"/>
      <c r="AI40" s="288"/>
      <c r="AJ40" s="288"/>
      <c r="AK40" s="165" t="s">
        <v>1791</v>
      </c>
      <c r="AL40" s="288"/>
      <c r="AM40" s="288"/>
      <c r="AN40" s="288"/>
      <c r="AO40" s="288"/>
      <c r="AP40" s="150" t="s">
        <v>2663</v>
      </c>
      <c r="AQ40" s="288"/>
    </row>
    <row r="41">
      <c r="A41" s="244" t="s">
        <v>160</v>
      </c>
      <c r="B41" s="244" t="s">
        <v>161</v>
      </c>
      <c r="C41" s="175" t="str">
        <f>VLOOKUP(A41,Import!A:C,3,false)</f>
        <v>YANLIŞ</v>
      </c>
      <c r="D41" s="303" t="s">
        <v>2773</v>
      </c>
      <c r="E41" s="280">
        <f>VLOOKUP(A41,Import!A:J,5,0)</f>
        <v>217</v>
      </c>
      <c r="F41" s="280" t="str">
        <f>VLOOKUP(A41,Import!A:J,6,0)</f>
        <v/>
      </c>
      <c r="G41" s="289">
        <f>VLOOKUP(A41,Import!A:J,7,0)</f>
        <v>10</v>
      </c>
      <c r="H41" s="289">
        <f>VLOOKUP(A41,Import!A:J,8,0)</f>
        <v>12</v>
      </c>
      <c r="I41" s="289">
        <f>VLOOKUP(A41,Import!A:J,9,0)</f>
        <v>22</v>
      </c>
      <c r="J41" s="282">
        <f>VLOOKUP(A41,Import!A:J,10,0)</f>
        <v>0.45</v>
      </c>
      <c r="K41" s="244" t="str">
        <f>VLOOKUP(A41,Import!A:P,11,0)</f>
        <v>BURAK AÇIL</v>
      </c>
      <c r="L41" s="304">
        <v>2.222258515E9</v>
      </c>
      <c r="M41" s="303" t="s">
        <v>1450</v>
      </c>
      <c r="N41" s="303" t="s">
        <v>2795</v>
      </c>
      <c r="O41" s="303" t="s">
        <v>164</v>
      </c>
      <c r="P41" s="244" t="str">
        <f>VLOOKUP(A41,Import!A:P,16,0)</f>
        <v>Geleneksel</v>
      </c>
      <c r="Q41" s="305" t="s">
        <v>2686</v>
      </c>
      <c r="R41" s="306" t="b">
        <v>1</v>
      </c>
      <c r="S41" s="307" t="b">
        <v>0</v>
      </c>
      <c r="T41" s="309" t="s">
        <v>2661</v>
      </c>
      <c r="U41" s="309"/>
      <c r="V41" s="309" t="s">
        <v>31</v>
      </c>
      <c r="W41" s="309" t="s">
        <v>2708</v>
      </c>
      <c r="X41" s="310">
        <v>44232.0</v>
      </c>
      <c r="Y41" s="310">
        <v>44237.0</v>
      </c>
      <c r="Z41" s="288"/>
      <c r="AA41" s="288"/>
      <c r="AB41" s="288"/>
      <c r="AC41" s="288"/>
      <c r="AD41" s="288"/>
      <c r="AE41" s="160"/>
      <c r="AF41" s="288"/>
      <c r="AG41" s="160"/>
      <c r="AH41" s="288"/>
      <c r="AI41" s="288"/>
      <c r="AJ41" s="288"/>
      <c r="AK41" s="288"/>
      <c r="AL41" s="288"/>
      <c r="AM41" s="288"/>
      <c r="AN41" s="288"/>
      <c r="AO41" s="288"/>
      <c r="AP41" s="150" t="s">
        <v>2663</v>
      </c>
      <c r="AQ41" s="288"/>
    </row>
    <row r="42">
      <c r="A42" s="150" t="s">
        <v>2796</v>
      </c>
      <c r="B42" s="150" t="s">
        <v>2797</v>
      </c>
      <c r="C42" s="175" t="str">
        <f>VLOOKUP(A42,Import!A:C,3,false)</f>
        <v>DOĞRU</v>
      </c>
      <c r="D42" s="150" t="s">
        <v>2773</v>
      </c>
      <c r="E42" s="280" t="str">
        <f>VLOOKUP(A42,Import!A:J,5,0)</f>
        <v/>
      </c>
      <c r="F42" s="280" t="str">
        <f>VLOOKUP(A42,Import!A:J,6,0)</f>
        <v/>
      </c>
      <c r="G42" s="289">
        <f>VLOOKUP(A42,Import!A:J,7,0)</f>
        <v>0</v>
      </c>
      <c r="H42" s="289">
        <f>VLOOKUP(A42,Import!A:J,8,0)</f>
        <v>10</v>
      </c>
      <c r="I42" s="289">
        <f>VLOOKUP(A42,Import!A:J,9,0)</f>
        <v>10</v>
      </c>
      <c r="J42" s="282">
        <f>VLOOKUP(A42,Import!A:J,10,0)</f>
        <v>0</v>
      </c>
      <c r="K42" s="290" t="s">
        <v>2798</v>
      </c>
      <c r="L42" s="150">
        <v>5.424645278E9</v>
      </c>
      <c r="M42" s="150" t="s">
        <v>2666</v>
      </c>
      <c r="N42" s="150" t="s">
        <v>2685</v>
      </c>
      <c r="O42" s="150" t="s">
        <v>2799</v>
      </c>
      <c r="P42" s="244" t="str">
        <f>VLOOKUP(A42,Import!A:P,16,0)</f>
        <v>Geleneksel</v>
      </c>
      <c r="Q42" s="291"/>
      <c r="R42" s="292" t="b">
        <v>1</v>
      </c>
      <c r="S42" s="293" t="b">
        <v>0</v>
      </c>
      <c r="T42" s="149" t="s">
        <v>2693</v>
      </c>
      <c r="U42" s="296"/>
      <c r="V42" s="296"/>
      <c r="W42" s="149" t="s">
        <v>2800</v>
      </c>
      <c r="X42" s="297"/>
      <c r="Y42" s="297"/>
      <c r="Z42" s="288"/>
      <c r="AA42" s="165" t="s">
        <v>2693</v>
      </c>
      <c r="AB42" s="295">
        <v>44620.0</v>
      </c>
      <c r="AC42" s="288"/>
      <c r="AD42" s="288"/>
      <c r="AE42" s="160"/>
      <c r="AF42" s="288"/>
      <c r="AG42" s="160"/>
      <c r="AH42" s="288"/>
      <c r="AI42" s="288"/>
      <c r="AJ42" s="288"/>
      <c r="AK42" s="165" t="s">
        <v>819</v>
      </c>
      <c r="AL42" s="288"/>
      <c r="AM42" s="288"/>
      <c r="AN42" s="288"/>
      <c r="AO42" s="165"/>
      <c r="AP42" s="150"/>
      <c r="AQ42" s="165"/>
    </row>
    <row r="43">
      <c r="A43" s="147" t="s">
        <v>1774</v>
      </c>
      <c r="B43" s="147" t="s">
        <v>1775</v>
      </c>
      <c r="C43" s="175" t="str">
        <f>VLOOKUP(A43,Import!A:C,3,false)</f>
        <v>YANLIŞ</v>
      </c>
      <c r="D43" s="147" t="s">
        <v>2773</v>
      </c>
      <c r="E43" s="280">
        <f>VLOOKUP(A43,Import!A:J,5,0)</f>
        <v>698</v>
      </c>
      <c r="F43" s="280">
        <f>VLOOKUP(A43,Import!A:J,6,0)</f>
        <v>33</v>
      </c>
      <c r="G43" s="289">
        <f>VLOOKUP(A43,Import!A:J,7,0)</f>
        <v>9</v>
      </c>
      <c r="H43" s="289">
        <f>VLOOKUP(A43,Import!A:J,8,0)</f>
        <v>13</v>
      </c>
      <c r="I43" s="289">
        <f>VLOOKUP(A43,Import!A:J,9,0)</f>
        <v>22</v>
      </c>
      <c r="J43" s="282">
        <f>VLOOKUP(A43,Import!A:J,10,0)</f>
        <v>0.41</v>
      </c>
      <c r="K43" s="244" t="str">
        <f>VLOOKUP(A43,Import!A:P,11,0)</f>
        <v>Mustafa İslam Bozbay</v>
      </c>
      <c r="L43" s="147">
        <v>5.011234567E9</v>
      </c>
      <c r="M43" s="147" t="s">
        <v>2666</v>
      </c>
      <c r="N43" s="147" t="s">
        <v>2801</v>
      </c>
      <c r="O43" s="147" t="s">
        <v>1777</v>
      </c>
      <c r="P43" s="244" t="str">
        <f>VLOOKUP(A43,Import!A:P,16,0)</f>
        <v>Geleneksel</v>
      </c>
      <c r="Q43" s="330"/>
      <c r="R43" s="292" t="b">
        <v>1</v>
      </c>
      <c r="S43" s="293" t="b">
        <v>0</v>
      </c>
      <c r="T43" s="149" t="s">
        <v>2661</v>
      </c>
      <c r="U43" s="149" t="s">
        <v>1754</v>
      </c>
      <c r="V43" s="149" t="s">
        <v>2802</v>
      </c>
      <c r="W43" s="149" t="s">
        <v>2803</v>
      </c>
      <c r="X43" s="294">
        <v>44490.0</v>
      </c>
      <c r="Y43" s="294">
        <v>44491.0</v>
      </c>
      <c r="Z43" s="288"/>
      <c r="AA43" s="165" t="s">
        <v>2669</v>
      </c>
      <c r="AB43" s="295">
        <v>44490.0</v>
      </c>
      <c r="AC43" s="165" t="s">
        <v>2772</v>
      </c>
      <c r="AD43" s="295">
        <v>44491.0</v>
      </c>
      <c r="AE43" s="160"/>
      <c r="AF43" s="288"/>
      <c r="AG43" s="160"/>
      <c r="AH43" s="288"/>
      <c r="AI43" s="288"/>
      <c r="AJ43" s="288"/>
      <c r="AK43" s="165" t="s">
        <v>1754</v>
      </c>
      <c r="AL43" s="165" t="s">
        <v>819</v>
      </c>
      <c r="AM43" s="288"/>
      <c r="AN43" s="288"/>
      <c r="AO43" s="288"/>
      <c r="AP43" s="150" t="s">
        <v>2663</v>
      </c>
      <c r="AQ43" s="288"/>
    </row>
    <row r="44">
      <c r="A44" s="150" t="s">
        <v>2804</v>
      </c>
      <c r="B44" s="150" t="s">
        <v>2805</v>
      </c>
      <c r="C44" s="175" t="str">
        <f>VLOOKUP(A44,Import!A:C,3,false)</f>
        <v>DOĞRU</v>
      </c>
      <c r="D44" s="150" t="s">
        <v>2773</v>
      </c>
      <c r="E44" s="280">
        <f>VLOOKUP(A44,Import!A:J,5,0)</f>
        <v>4</v>
      </c>
      <c r="F44" s="280">
        <f>VLOOKUP(A44,Import!A:J,6,0)</f>
        <v>4</v>
      </c>
      <c r="G44" s="289">
        <f>VLOOKUP(A44,Import!A:J,7,0)</f>
        <v>0</v>
      </c>
      <c r="H44" s="289">
        <f>VLOOKUP(A44,Import!A:J,8,0)</f>
        <v>31</v>
      </c>
      <c r="I44" s="289">
        <f>VLOOKUP(A44,Import!A:J,9,0)</f>
        <v>31</v>
      </c>
      <c r="J44" s="282">
        <f>VLOOKUP(A44,Import!A:J,10,0)</f>
        <v>0</v>
      </c>
      <c r="K44" s="150" t="s">
        <v>2806</v>
      </c>
      <c r="L44" s="150">
        <v>5.305530718E9</v>
      </c>
      <c r="M44" s="150" t="s">
        <v>2666</v>
      </c>
      <c r="N44" s="150" t="s">
        <v>2807</v>
      </c>
      <c r="O44" s="150" t="s">
        <v>2808</v>
      </c>
      <c r="P44" s="244" t="str">
        <f>VLOOKUP(A44,Import!A:P,16,0)</f>
        <v>Geleneksel</v>
      </c>
      <c r="Q44" s="291"/>
      <c r="R44" s="292" t="b">
        <v>0</v>
      </c>
      <c r="S44" s="293" t="b">
        <v>0</v>
      </c>
      <c r="T44" s="149"/>
      <c r="U44" s="296"/>
      <c r="V44" s="296"/>
      <c r="W44" s="149"/>
      <c r="X44" s="297"/>
      <c r="Y44" s="297"/>
      <c r="Z44" s="288"/>
      <c r="AA44" s="39"/>
      <c r="AB44" s="295"/>
      <c r="AC44" s="288"/>
      <c r="AD44" s="288"/>
      <c r="AE44" s="160"/>
      <c r="AF44" s="288"/>
      <c r="AG44" s="160"/>
      <c r="AH44" s="288"/>
      <c r="AI44" s="288"/>
      <c r="AJ44" s="288"/>
      <c r="AK44" s="165"/>
      <c r="AL44" s="288"/>
      <c r="AM44" s="288"/>
      <c r="AN44" s="288"/>
      <c r="AO44" s="165"/>
      <c r="AP44" s="150"/>
      <c r="AQ44" s="165"/>
    </row>
    <row r="45">
      <c r="A45" s="244" t="s">
        <v>801</v>
      </c>
      <c r="B45" s="244" t="s">
        <v>802</v>
      </c>
      <c r="C45" s="175" t="str">
        <f>VLOOKUP(A45,Import!A:C,3,false)</f>
        <v>YANLIŞ</v>
      </c>
      <c r="D45" s="320" t="s">
        <v>2773</v>
      </c>
      <c r="E45" s="280">
        <f>VLOOKUP(A45,Import!A:J,5,0)</f>
        <v>230</v>
      </c>
      <c r="F45" s="280" t="str">
        <f>VLOOKUP(A45,Import!A:J,6,0)</f>
        <v/>
      </c>
      <c r="G45" s="289">
        <f>VLOOKUP(A45,Import!A:J,7,0)</f>
        <v>3</v>
      </c>
      <c r="H45" s="289">
        <f>VLOOKUP(A45,Import!A:J,8,0)</f>
        <v>16</v>
      </c>
      <c r="I45" s="289">
        <f>VLOOKUP(A45,Import!A:J,9,0)</f>
        <v>19</v>
      </c>
      <c r="J45" s="282">
        <f>VLOOKUP(A45,Import!A:J,10,0)</f>
        <v>0.16</v>
      </c>
      <c r="K45" s="244" t="str">
        <f>VLOOKUP(A45,Import!A:P,11,0)</f>
        <v>SERDAR KALPAKLI</v>
      </c>
      <c r="L45" s="321">
        <v>5.436938512E9</v>
      </c>
      <c r="M45" s="320" t="s">
        <v>2666</v>
      </c>
      <c r="N45" s="320" t="s">
        <v>2809</v>
      </c>
      <c r="O45" s="320" t="s">
        <v>805</v>
      </c>
      <c r="P45" s="244" t="str">
        <f>VLOOKUP(A45,Import!A:P,16,0)</f>
        <v>Geleneksel</v>
      </c>
      <c r="Q45" s="322" t="s">
        <v>2686</v>
      </c>
      <c r="R45" s="323" t="b">
        <v>1</v>
      </c>
      <c r="S45" s="324" t="b">
        <v>0</v>
      </c>
      <c r="T45" s="326" t="s">
        <v>2661</v>
      </c>
      <c r="U45" s="326"/>
      <c r="V45" s="326" t="s">
        <v>46</v>
      </c>
      <c r="W45" s="326" t="s">
        <v>2810</v>
      </c>
      <c r="X45" s="331">
        <v>44238.0</v>
      </c>
      <c r="Y45" s="331">
        <v>44249.0</v>
      </c>
      <c r="Z45" s="288"/>
      <c r="AA45" s="332"/>
      <c r="AB45" s="288"/>
      <c r="AC45" s="288"/>
      <c r="AD45" s="288"/>
      <c r="AE45" s="160"/>
      <c r="AF45" s="288"/>
      <c r="AG45" s="160"/>
      <c r="AH45" s="288"/>
      <c r="AI45" s="288"/>
      <c r="AJ45" s="288"/>
      <c r="AK45" s="288"/>
      <c r="AL45" s="288"/>
      <c r="AM45" s="288"/>
      <c r="AN45" s="288"/>
      <c r="AO45" s="288"/>
      <c r="AP45" s="150" t="s">
        <v>2663</v>
      </c>
      <c r="AQ45" s="288"/>
    </row>
    <row r="46">
      <c r="A46" s="244" t="s">
        <v>2349</v>
      </c>
      <c r="B46" s="244" t="s">
        <v>2350</v>
      </c>
      <c r="C46" s="175" t="str">
        <f>VLOOKUP(A46,Import!A:C,3,false)</f>
        <v>DOĞRU</v>
      </c>
      <c r="D46" s="320" t="s">
        <v>2658</v>
      </c>
      <c r="E46" s="280">
        <f>VLOOKUP(A46,Import!A:J,5,0)</f>
        <v>2905</v>
      </c>
      <c r="F46" s="280">
        <f>VLOOKUP(A46,Import!A:J,6,0)</f>
        <v>32</v>
      </c>
      <c r="G46" s="289">
        <f>VLOOKUP(A46,Import!A:J,7,0)</f>
        <v>8</v>
      </c>
      <c r="H46" s="289">
        <f>VLOOKUP(A46,Import!A:J,8,0)</f>
        <v>18</v>
      </c>
      <c r="I46" s="289">
        <f>VLOOKUP(A46,Import!A:J,9,0)</f>
        <v>26</v>
      </c>
      <c r="J46" s="282">
        <f>VLOOKUP(A46,Import!A:J,10,0)</f>
        <v>0.31</v>
      </c>
      <c r="K46" s="244" t="str">
        <f>VLOOKUP(A46,Import!A:P,11,0)</f>
        <v>YAŞAR KİRAZ</v>
      </c>
      <c r="L46" s="321">
        <v>5.39724835E9</v>
      </c>
      <c r="M46" s="320" t="s">
        <v>1450</v>
      </c>
      <c r="N46" s="320" t="s">
        <v>2795</v>
      </c>
      <c r="O46" s="320" t="s">
        <v>2811</v>
      </c>
      <c r="P46" s="244" t="str">
        <f>VLOOKUP(A46,Import!A:P,16,0)</f>
        <v>Geleneksel</v>
      </c>
      <c r="Q46" s="322" t="s">
        <v>2760</v>
      </c>
      <c r="R46" s="323" t="b">
        <v>1</v>
      </c>
      <c r="S46" s="323" t="b">
        <v>0</v>
      </c>
      <c r="T46" s="325" t="s">
        <v>2661</v>
      </c>
      <c r="U46" s="325" t="s">
        <v>1715</v>
      </c>
      <c r="V46" s="333"/>
      <c r="W46" s="325"/>
      <c r="X46" s="327">
        <v>44568.0</v>
      </c>
      <c r="Y46" s="327">
        <v>44571.0</v>
      </c>
      <c r="Z46" s="288"/>
      <c r="AA46" s="165" t="s">
        <v>2693</v>
      </c>
      <c r="AB46" s="295">
        <v>44379.0</v>
      </c>
      <c r="AC46" s="165" t="s">
        <v>2688</v>
      </c>
      <c r="AD46" s="295">
        <v>44496.0</v>
      </c>
      <c r="AE46" s="165" t="s">
        <v>2669</v>
      </c>
      <c r="AF46" s="295">
        <v>44568.0</v>
      </c>
      <c r="AG46" s="160"/>
      <c r="AH46" s="288"/>
      <c r="AI46" s="288"/>
      <c r="AJ46" s="288"/>
      <c r="AK46" s="165" t="s">
        <v>2718</v>
      </c>
      <c r="AL46" s="165" t="s">
        <v>1791</v>
      </c>
      <c r="AM46" s="165" t="s">
        <v>1715</v>
      </c>
      <c r="AN46" s="288"/>
      <c r="AO46" s="288"/>
      <c r="AP46" s="150" t="s">
        <v>2663</v>
      </c>
      <c r="AQ46" s="288"/>
    </row>
    <row r="47">
      <c r="A47" s="150" t="s">
        <v>2812</v>
      </c>
      <c r="B47" s="150" t="s">
        <v>2813</v>
      </c>
      <c r="C47" s="175" t="str">
        <f>VLOOKUP(A47,Import!A:C,3,false)</f>
        <v>DOĞRU</v>
      </c>
      <c r="D47" s="150" t="s">
        <v>2773</v>
      </c>
      <c r="E47" s="280">
        <f>VLOOKUP(A47,Import!A:J,5,0)</f>
        <v>4367</v>
      </c>
      <c r="F47" s="280">
        <f>VLOOKUP(A47,Import!A:J,6,0)</f>
        <v>127</v>
      </c>
      <c r="G47" s="289">
        <f>VLOOKUP(A47,Import!A:J,7,0)</f>
        <v>0</v>
      </c>
      <c r="H47" s="289">
        <f>VLOOKUP(A47,Import!A:J,8,0)</f>
        <v>32</v>
      </c>
      <c r="I47" s="289">
        <f>VLOOKUP(A47,Import!A:J,9,0)</f>
        <v>32</v>
      </c>
      <c r="J47" s="282">
        <f>VLOOKUP(A47,Import!A:J,10,0)</f>
        <v>0</v>
      </c>
      <c r="K47" s="244" t="str">
        <f>VLOOKUP(A47,Import!A:P,11,0)</f>
        <v>Demet Bilgiç</v>
      </c>
      <c r="L47" s="150">
        <v>2.222211416E9</v>
      </c>
      <c r="M47" s="150" t="s">
        <v>2666</v>
      </c>
      <c r="N47" s="150" t="s">
        <v>2711</v>
      </c>
      <c r="O47" s="150" t="s">
        <v>2814</v>
      </c>
      <c r="P47" s="244" t="str">
        <f>VLOOKUP(A47,Import!A:P,16,0)</f>
        <v>Geleneksel</v>
      </c>
      <c r="Q47" s="315" t="s">
        <v>2686</v>
      </c>
      <c r="R47" s="292" t="b">
        <v>1</v>
      </c>
      <c r="S47" s="293" t="b">
        <v>0</v>
      </c>
      <c r="T47" s="149" t="s">
        <v>2693</v>
      </c>
      <c r="U47" s="296"/>
      <c r="V47" s="296"/>
      <c r="W47" s="149" t="s">
        <v>2815</v>
      </c>
      <c r="X47" s="297"/>
      <c r="Y47" s="297"/>
      <c r="Z47" s="288"/>
      <c r="AA47" s="165" t="s">
        <v>2693</v>
      </c>
      <c r="AB47" s="295">
        <v>44516.0</v>
      </c>
      <c r="AC47" s="165" t="s">
        <v>2693</v>
      </c>
      <c r="AD47" s="295">
        <v>44524.0</v>
      </c>
      <c r="AE47" s="165" t="s">
        <v>2693</v>
      </c>
      <c r="AF47" s="295">
        <v>44529.0</v>
      </c>
      <c r="AG47" s="165" t="s">
        <v>2693</v>
      </c>
      <c r="AH47" s="295">
        <v>44530.0</v>
      </c>
      <c r="AI47" s="165" t="s">
        <v>2693</v>
      </c>
      <c r="AJ47" s="295">
        <v>44548.0</v>
      </c>
      <c r="AK47" s="165" t="s">
        <v>1791</v>
      </c>
      <c r="AL47" s="165" t="s">
        <v>819</v>
      </c>
      <c r="AM47" s="165" t="s">
        <v>1717</v>
      </c>
      <c r="AN47" s="165" t="s">
        <v>1911</v>
      </c>
      <c r="AO47" s="165" t="s">
        <v>1621</v>
      </c>
      <c r="AP47" s="150" t="s">
        <v>2663</v>
      </c>
      <c r="AQ47" s="165"/>
    </row>
    <row r="48">
      <c r="A48" s="150" t="s">
        <v>1416</v>
      </c>
      <c r="B48" s="150" t="s">
        <v>1417</v>
      </c>
      <c r="C48" s="175" t="str">
        <f>VLOOKUP(A48,Import!A:C,3,false)</f>
        <v>DOĞRU</v>
      </c>
      <c r="D48" s="150" t="s">
        <v>2773</v>
      </c>
      <c r="E48" s="280">
        <f>VLOOKUP(A48,Import!A:J,5,0)</f>
        <v>1559</v>
      </c>
      <c r="F48" s="280">
        <f>VLOOKUP(A48,Import!A:J,6,0)</f>
        <v>4</v>
      </c>
      <c r="G48" s="289">
        <f>VLOOKUP(A48,Import!A:J,7,0)</f>
        <v>0</v>
      </c>
      <c r="H48" s="289">
        <f>VLOOKUP(A48,Import!A:J,8,0)</f>
        <v>29</v>
      </c>
      <c r="I48" s="289">
        <f>VLOOKUP(A48,Import!A:J,9,0)</f>
        <v>29</v>
      </c>
      <c r="J48" s="282">
        <f>VLOOKUP(A48,Import!A:J,10,0)</f>
        <v>0</v>
      </c>
      <c r="K48" s="244" t="str">
        <f>VLOOKUP(A48,Import!A:P,11,0)</f>
        <v>Demet Bilgiç</v>
      </c>
      <c r="L48" s="150">
        <v>2.222211416E9</v>
      </c>
      <c r="M48" s="150" t="s">
        <v>2666</v>
      </c>
      <c r="N48" s="150" t="s">
        <v>2721</v>
      </c>
      <c r="O48" s="150" t="s">
        <v>2816</v>
      </c>
      <c r="P48" s="244" t="str">
        <f>VLOOKUP(A48,Import!A:P,16,0)</f>
        <v>Geleneksel</v>
      </c>
      <c r="Q48" s="315" t="s">
        <v>2686</v>
      </c>
      <c r="R48" s="292" t="b">
        <v>1</v>
      </c>
      <c r="S48" s="293" t="b">
        <v>0</v>
      </c>
      <c r="T48" s="149" t="s">
        <v>2668</v>
      </c>
      <c r="U48" s="149" t="s">
        <v>819</v>
      </c>
      <c r="V48" s="149" t="s">
        <v>1343</v>
      </c>
      <c r="W48" s="149" t="s">
        <v>2817</v>
      </c>
      <c r="X48" s="294">
        <v>44336.0</v>
      </c>
      <c r="Y48" s="294">
        <v>44338.0</v>
      </c>
      <c r="Z48" s="288"/>
      <c r="AA48" s="165" t="s">
        <v>2693</v>
      </c>
      <c r="AB48" s="295">
        <v>44546.0</v>
      </c>
      <c r="AC48" s="165" t="s">
        <v>2693</v>
      </c>
      <c r="AD48" s="295">
        <v>44550.0</v>
      </c>
      <c r="AE48" s="160"/>
      <c r="AF48" s="288"/>
      <c r="AG48" s="160"/>
      <c r="AH48" s="288"/>
      <c r="AI48" s="288"/>
      <c r="AJ48" s="288"/>
      <c r="AK48" s="165" t="s">
        <v>1911</v>
      </c>
      <c r="AL48" s="165" t="s">
        <v>1911</v>
      </c>
      <c r="AM48" s="288"/>
      <c r="AN48" s="288"/>
      <c r="AO48" s="288"/>
      <c r="AP48" s="150" t="s">
        <v>2663</v>
      </c>
      <c r="AQ48" s="288"/>
    </row>
    <row r="49">
      <c r="A49" s="150" t="s">
        <v>2818</v>
      </c>
      <c r="B49" s="150" t="s">
        <v>2819</v>
      </c>
      <c r="C49" s="175" t="str">
        <f>VLOOKUP(A49,Import!A:C,3,false)</f>
        <v>DOĞRU</v>
      </c>
      <c r="D49" s="150" t="s">
        <v>2773</v>
      </c>
      <c r="E49" s="280">
        <f>VLOOKUP(A49,Import!A:J,5,0)</f>
        <v>38</v>
      </c>
      <c r="F49" s="280">
        <f>VLOOKUP(A49,Import!A:J,6,0)</f>
        <v>8</v>
      </c>
      <c r="G49" s="289">
        <f>VLOOKUP(A49,Import!A:J,7,0)</f>
        <v>0</v>
      </c>
      <c r="H49" s="289">
        <f>VLOOKUP(A49,Import!A:J,8,0)</f>
        <v>7</v>
      </c>
      <c r="I49" s="289">
        <f>VLOOKUP(A49,Import!A:J,9,0)</f>
        <v>7</v>
      </c>
      <c r="J49" s="282">
        <f>VLOOKUP(A49,Import!A:J,10,0)</f>
        <v>0</v>
      </c>
      <c r="K49" s="290" t="s">
        <v>2820</v>
      </c>
      <c r="L49" s="150">
        <v>5.4514526E9</v>
      </c>
      <c r="M49" s="150" t="s">
        <v>1450</v>
      </c>
      <c r="N49" s="150" t="s">
        <v>2795</v>
      </c>
      <c r="O49" s="150" t="s">
        <v>2821</v>
      </c>
      <c r="P49" s="244" t="str">
        <f>VLOOKUP(A49,Import!A:P,16,0)</f>
        <v>Geleneksel</v>
      </c>
      <c r="Q49" s="291"/>
      <c r="R49" s="292" t="b">
        <v>1</v>
      </c>
      <c r="S49" s="293" t="b">
        <v>0</v>
      </c>
      <c r="T49" s="149"/>
      <c r="U49" s="296"/>
      <c r="V49" s="296"/>
      <c r="W49" s="149" t="s">
        <v>2822</v>
      </c>
      <c r="X49" s="297"/>
      <c r="Y49" s="297"/>
      <c r="Z49" s="288"/>
      <c r="AA49" s="165" t="s">
        <v>2693</v>
      </c>
      <c r="AB49" s="295">
        <v>44628.0</v>
      </c>
      <c r="AC49" s="288"/>
      <c r="AD49" s="288"/>
      <c r="AE49" s="160"/>
      <c r="AF49" s="288"/>
      <c r="AG49" s="160"/>
      <c r="AH49" s="288"/>
      <c r="AI49" s="288"/>
      <c r="AJ49" s="288"/>
      <c r="AK49" s="165" t="s">
        <v>1717</v>
      </c>
      <c r="AL49" s="288"/>
      <c r="AM49" s="288"/>
      <c r="AN49" s="288"/>
      <c r="AO49" s="165"/>
      <c r="AP49" s="150"/>
      <c r="AQ49" s="165"/>
    </row>
    <row r="50">
      <c r="A50" s="150" t="s">
        <v>2823</v>
      </c>
      <c r="B50" s="150" t="s">
        <v>2824</v>
      </c>
      <c r="C50" s="175" t="str">
        <f>VLOOKUP(A50,Import!A:C,3,false)</f>
        <v>DOĞRU</v>
      </c>
      <c r="D50" s="150" t="s">
        <v>2773</v>
      </c>
      <c r="E50" s="280">
        <f>VLOOKUP(A50,Import!A:J,5,0)</f>
        <v>220</v>
      </c>
      <c r="F50" s="280">
        <f>VLOOKUP(A50,Import!A:J,6,0)</f>
        <v>104</v>
      </c>
      <c r="G50" s="289">
        <f>VLOOKUP(A50,Import!A:J,7,0)</f>
        <v>0</v>
      </c>
      <c r="H50" s="289">
        <f>VLOOKUP(A50,Import!A:J,8,0)</f>
        <v>13</v>
      </c>
      <c r="I50" s="289">
        <f>VLOOKUP(A50,Import!A:J,9,0)</f>
        <v>13</v>
      </c>
      <c r="J50" s="282">
        <f>VLOOKUP(A50,Import!A:J,10,0)</f>
        <v>0</v>
      </c>
      <c r="K50" s="290" t="s">
        <v>2825</v>
      </c>
      <c r="L50" s="150">
        <v>5.323210226E9</v>
      </c>
      <c r="M50" s="150" t="s">
        <v>2666</v>
      </c>
      <c r="N50" s="150" t="s">
        <v>2721</v>
      </c>
      <c r="O50" s="150" t="s">
        <v>1970</v>
      </c>
      <c r="P50" s="244" t="str">
        <f>VLOOKUP(A50,Import!A:P,16,0)</f>
        <v>Geleneksel</v>
      </c>
      <c r="Q50" s="291"/>
      <c r="R50" s="292" t="b">
        <v>1</v>
      </c>
      <c r="S50" s="293" t="b">
        <v>0</v>
      </c>
      <c r="T50" s="149" t="s">
        <v>2693</v>
      </c>
      <c r="U50" s="296"/>
      <c r="V50" s="312"/>
      <c r="W50" s="149"/>
      <c r="X50" s="297"/>
      <c r="Y50" s="297"/>
      <c r="Z50" s="288"/>
      <c r="AA50" s="165" t="s">
        <v>2669</v>
      </c>
      <c r="AB50" s="295">
        <v>44649.0</v>
      </c>
      <c r="AC50" s="288"/>
      <c r="AD50" s="288"/>
      <c r="AE50" s="160"/>
      <c r="AF50" s="288"/>
      <c r="AG50" s="160"/>
      <c r="AH50" s="288"/>
      <c r="AI50" s="288"/>
      <c r="AJ50" s="288"/>
      <c r="AK50" s="165" t="s">
        <v>943</v>
      </c>
      <c r="AL50" s="288"/>
      <c r="AM50" s="288"/>
      <c r="AN50" s="288"/>
      <c r="AO50" s="165"/>
      <c r="AP50" s="150"/>
      <c r="AQ50" s="165"/>
    </row>
    <row r="51">
      <c r="A51" s="150" t="s">
        <v>2826</v>
      </c>
      <c r="B51" s="150" t="s">
        <v>2827</v>
      </c>
      <c r="C51" s="175" t="str">
        <f>VLOOKUP(A51,Import!A:C,3,false)</f>
        <v>DOĞRU</v>
      </c>
      <c r="D51" s="150" t="s">
        <v>2773</v>
      </c>
      <c r="E51" s="280">
        <f>VLOOKUP(A51,Import!A:J,5,0)</f>
        <v>297</v>
      </c>
      <c r="F51" s="280">
        <f>VLOOKUP(A51,Import!A:J,6,0)</f>
        <v>3</v>
      </c>
      <c r="G51" s="289">
        <f>VLOOKUP(A51,Import!A:J,7,0)</f>
        <v>0</v>
      </c>
      <c r="H51" s="289">
        <f>VLOOKUP(A51,Import!A:J,8,0)</f>
        <v>13</v>
      </c>
      <c r="I51" s="289">
        <f>VLOOKUP(A51,Import!A:J,9,0)</f>
        <v>13</v>
      </c>
      <c r="J51" s="282">
        <f>VLOOKUP(A51,Import!A:J,10,0)</f>
        <v>0</v>
      </c>
      <c r="K51" s="244" t="str">
        <f>VLOOKUP(A51,Import!A:P,11,0)</f>
        <v>Fatih Ersoy</v>
      </c>
      <c r="L51" s="150">
        <v>5.323806601E9</v>
      </c>
      <c r="M51" s="150" t="s">
        <v>2666</v>
      </c>
      <c r="N51" s="150" t="s">
        <v>2711</v>
      </c>
      <c r="O51" s="150" t="s">
        <v>2828</v>
      </c>
      <c r="P51" s="244" t="str">
        <f>VLOOKUP(A51,Import!A:P,16,0)</f>
        <v>Geleneksel</v>
      </c>
      <c r="Q51" s="291"/>
      <c r="R51" s="292" t="b">
        <v>1</v>
      </c>
      <c r="S51" s="292" t="b">
        <v>1</v>
      </c>
      <c r="T51" s="296"/>
      <c r="U51" s="296"/>
      <c r="V51" s="296"/>
      <c r="W51" s="149" t="s">
        <v>2829</v>
      </c>
      <c r="X51" s="297"/>
      <c r="Y51" s="297"/>
      <c r="Z51" s="288"/>
      <c r="AA51" s="165" t="s">
        <v>2772</v>
      </c>
      <c r="AB51" s="295">
        <v>44496.0</v>
      </c>
      <c r="AC51" s="165" t="s">
        <v>2699</v>
      </c>
      <c r="AD51" s="295">
        <v>44511.0</v>
      </c>
      <c r="AE51" s="165" t="s">
        <v>2693</v>
      </c>
      <c r="AF51" s="295">
        <v>44529.0</v>
      </c>
      <c r="AG51" s="165" t="s">
        <v>2772</v>
      </c>
      <c r="AH51" s="295">
        <v>44543.0</v>
      </c>
      <c r="AI51" s="165" t="s">
        <v>2669</v>
      </c>
      <c r="AJ51" s="295">
        <v>44565.0</v>
      </c>
      <c r="AK51" s="165" t="s">
        <v>819</v>
      </c>
      <c r="AL51" s="165" t="s">
        <v>1911</v>
      </c>
      <c r="AM51" s="165" t="s">
        <v>1717</v>
      </c>
      <c r="AN51" s="165" t="s">
        <v>921</v>
      </c>
      <c r="AO51" s="165" t="s">
        <v>1791</v>
      </c>
      <c r="AP51" s="150" t="s">
        <v>2663</v>
      </c>
      <c r="AQ51" s="288"/>
    </row>
    <row r="52">
      <c r="A52" s="147" t="s">
        <v>1344</v>
      </c>
      <c r="B52" s="147" t="s">
        <v>1345</v>
      </c>
      <c r="C52" s="175" t="str">
        <f>VLOOKUP(A52,Import!A:C,3,false)</f>
        <v>DOĞRU</v>
      </c>
      <c r="D52" s="147" t="s">
        <v>2773</v>
      </c>
      <c r="E52" s="280">
        <f>VLOOKUP(A52,Import!A:J,5,0)</f>
        <v>1090</v>
      </c>
      <c r="F52" s="280">
        <f>VLOOKUP(A52,Import!A:J,6,0)</f>
        <v>48</v>
      </c>
      <c r="G52" s="289">
        <f>VLOOKUP(A52,Import!A:J,7,0)</f>
        <v>0</v>
      </c>
      <c r="H52" s="289">
        <f>VLOOKUP(A52,Import!A:J,8,0)</f>
        <v>24</v>
      </c>
      <c r="I52" s="289">
        <f>VLOOKUP(A52,Import!A:J,9,0)</f>
        <v>24</v>
      </c>
      <c r="J52" s="282">
        <f>VLOOKUP(A52,Import!A:J,10,0)</f>
        <v>0</v>
      </c>
      <c r="K52" s="244" t="str">
        <f>VLOOKUP(A52,Import!A:P,11,0)</f>
        <v>Mehmet Selçuk</v>
      </c>
      <c r="L52" s="147">
        <v>5.462345628E9</v>
      </c>
      <c r="M52" s="147" t="s">
        <v>1450</v>
      </c>
      <c r="N52" s="147" t="s">
        <v>2716</v>
      </c>
      <c r="O52" s="147" t="s">
        <v>1347</v>
      </c>
      <c r="P52" s="244" t="str">
        <f>VLOOKUP(A52,Import!A:P,16,0)</f>
        <v>Geleneksel</v>
      </c>
      <c r="Q52" s="330"/>
      <c r="R52" s="292" t="b">
        <v>1</v>
      </c>
      <c r="S52" s="293" t="b">
        <v>0</v>
      </c>
      <c r="T52" s="149" t="s">
        <v>2688</v>
      </c>
      <c r="U52" s="149" t="s">
        <v>819</v>
      </c>
      <c r="V52" s="149" t="s">
        <v>1343</v>
      </c>
      <c r="W52" s="149" t="s">
        <v>2830</v>
      </c>
      <c r="X52" s="294">
        <v>44334.0</v>
      </c>
      <c r="Y52" s="294">
        <v>44340.0</v>
      </c>
      <c r="Z52" s="288"/>
      <c r="AA52" s="165" t="s">
        <v>2669</v>
      </c>
      <c r="AB52" s="295">
        <v>44483.0</v>
      </c>
      <c r="AC52" s="165" t="s">
        <v>2669</v>
      </c>
      <c r="AD52" s="295">
        <v>44503.0</v>
      </c>
      <c r="AE52" s="160"/>
      <c r="AF52" s="288"/>
      <c r="AG52" s="160"/>
      <c r="AH52" s="288"/>
      <c r="AI52" s="288"/>
      <c r="AJ52" s="288"/>
      <c r="AK52" s="165" t="s">
        <v>943</v>
      </c>
      <c r="AL52" s="165" t="s">
        <v>1717</v>
      </c>
      <c r="AM52" s="288"/>
      <c r="AN52" s="288"/>
      <c r="AO52" s="288"/>
      <c r="AP52" s="150" t="s">
        <v>2663</v>
      </c>
      <c r="AQ52" s="288"/>
    </row>
    <row r="53">
      <c r="A53" s="150" t="s">
        <v>2831</v>
      </c>
      <c r="B53" s="150" t="s">
        <v>2832</v>
      </c>
      <c r="C53" s="175" t="str">
        <f>VLOOKUP(A53,Import!A:C,3,false)</f>
        <v>DOĞRU</v>
      </c>
      <c r="D53" s="150" t="s">
        <v>2658</v>
      </c>
      <c r="E53" s="280">
        <f>VLOOKUP(A53,Import!A:J,5,0)</f>
        <v>2928</v>
      </c>
      <c r="F53" s="280">
        <f>VLOOKUP(A53,Import!A:J,6,0)</f>
        <v>40</v>
      </c>
      <c r="G53" s="289">
        <f>VLOOKUP(A53,Import!A:J,7,0)</f>
        <v>0</v>
      </c>
      <c r="H53" s="289">
        <f>VLOOKUP(A53,Import!A:J,8,0)</f>
        <v>18</v>
      </c>
      <c r="I53" s="289">
        <f>VLOOKUP(A53,Import!A:J,9,0)</f>
        <v>18</v>
      </c>
      <c r="J53" s="282">
        <f>VLOOKUP(A53,Import!A:J,10,0)</f>
        <v>0</v>
      </c>
      <c r="K53" s="244" t="str">
        <f>VLOOKUP(A53,Import!A:P,11,0)</f>
        <v>MUSTAFA TÜRKOĞLU</v>
      </c>
      <c r="L53" s="150">
        <v>5.415472545E9</v>
      </c>
      <c r="M53" s="150" t="s">
        <v>2666</v>
      </c>
      <c r="N53" s="150" t="s">
        <v>2721</v>
      </c>
      <c r="O53" s="150" t="s">
        <v>2833</v>
      </c>
      <c r="P53" s="244" t="str">
        <f>VLOOKUP(A53,Import!A:P,16,0)</f>
        <v>Geleneksel</v>
      </c>
      <c r="Q53" s="291" t="s">
        <v>2686</v>
      </c>
      <c r="R53" s="292" t="b">
        <v>1</v>
      </c>
      <c r="S53" s="293" t="b">
        <v>0</v>
      </c>
      <c r="T53" s="149" t="s">
        <v>2714</v>
      </c>
      <c r="U53" s="296"/>
      <c r="V53" s="296"/>
      <c r="W53" s="149" t="s">
        <v>2834</v>
      </c>
      <c r="X53" s="297"/>
      <c r="Y53" s="297"/>
      <c r="Z53" s="288"/>
      <c r="AA53" s="288"/>
      <c r="AB53" s="288"/>
      <c r="AC53" s="288"/>
      <c r="AD53" s="288"/>
      <c r="AE53" s="160"/>
      <c r="AF53" s="288"/>
      <c r="AG53" s="160"/>
      <c r="AH53" s="288"/>
      <c r="AI53" s="288"/>
      <c r="AJ53" s="288"/>
      <c r="AK53" s="288"/>
      <c r="AL53" s="288"/>
      <c r="AM53" s="288"/>
      <c r="AN53" s="288"/>
      <c r="AO53" s="288"/>
      <c r="AP53" s="150" t="s">
        <v>2663</v>
      </c>
      <c r="AQ53" s="288"/>
    </row>
    <row r="54">
      <c r="A54" s="147" t="s">
        <v>2433</v>
      </c>
      <c r="B54" s="147" t="s">
        <v>2434</v>
      </c>
      <c r="C54" s="175" t="str">
        <f>VLOOKUP(A54,Import!A:C,3,false)</f>
        <v>DOĞRU</v>
      </c>
      <c r="D54" s="147" t="s">
        <v>2763</v>
      </c>
      <c r="E54" s="280">
        <f>VLOOKUP(A54,Import!A:J,5,0)</f>
        <v>3749</v>
      </c>
      <c r="F54" s="280">
        <f>VLOOKUP(A54,Import!A:J,6,0)</f>
        <v>189</v>
      </c>
      <c r="G54" s="289">
        <f>VLOOKUP(A54,Import!A:J,7,0)</f>
        <v>0</v>
      </c>
      <c r="H54" s="289">
        <f>VLOOKUP(A54,Import!A:J,8,0)</f>
        <v>23</v>
      </c>
      <c r="I54" s="289">
        <f>VLOOKUP(A54,Import!A:J,9,0)</f>
        <v>23</v>
      </c>
      <c r="J54" s="282">
        <f>VLOOKUP(A54,Import!A:J,10,0)</f>
        <v>0</v>
      </c>
      <c r="K54" s="244" t="str">
        <f>VLOOKUP(A54,Import!A:P,11,0)</f>
        <v>İsmail Kalender</v>
      </c>
      <c r="L54" s="147">
        <v>5.369880074E9</v>
      </c>
      <c r="M54" s="147" t="s">
        <v>1450</v>
      </c>
      <c r="N54" s="147" t="s">
        <v>2659</v>
      </c>
      <c r="O54" s="147" t="s">
        <v>2437</v>
      </c>
      <c r="P54" s="244" t="str">
        <f>VLOOKUP(A54,Import!A:P,16,0)</f>
        <v>Geleneksel</v>
      </c>
      <c r="Q54" s="330"/>
      <c r="R54" s="292" t="b">
        <v>1</v>
      </c>
      <c r="S54" s="293" t="b">
        <v>0</v>
      </c>
      <c r="T54" s="149" t="s">
        <v>2661</v>
      </c>
      <c r="U54" s="149" t="s">
        <v>1791</v>
      </c>
      <c r="V54" s="149" t="s">
        <v>2835</v>
      </c>
      <c r="W54" s="149" t="s">
        <v>2836</v>
      </c>
      <c r="X54" s="294">
        <v>44585.0</v>
      </c>
      <c r="Y54" s="294">
        <v>44588.0</v>
      </c>
      <c r="Z54" s="288"/>
      <c r="AA54" s="165" t="s">
        <v>2693</v>
      </c>
      <c r="AB54" s="295">
        <v>44376.0</v>
      </c>
      <c r="AC54" s="165" t="s">
        <v>2688</v>
      </c>
      <c r="AD54" s="295">
        <v>44378.0</v>
      </c>
      <c r="AE54" s="165" t="s">
        <v>2669</v>
      </c>
      <c r="AF54" s="295">
        <v>44582.0</v>
      </c>
      <c r="AG54" s="165" t="s">
        <v>2669</v>
      </c>
      <c r="AH54" s="295">
        <v>44585.0</v>
      </c>
      <c r="AI54" s="288"/>
      <c r="AJ54" s="288"/>
      <c r="AK54" s="165" t="s">
        <v>2718</v>
      </c>
      <c r="AL54" s="165" t="s">
        <v>2718</v>
      </c>
      <c r="AM54" s="165" t="s">
        <v>1791</v>
      </c>
      <c r="AN54" s="165" t="s">
        <v>1791</v>
      </c>
      <c r="AO54" s="288"/>
      <c r="AP54" s="150" t="s">
        <v>2663</v>
      </c>
      <c r="AQ54" s="288"/>
    </row>
    <row r="55">
      <c r="A55" s="147" t="s">
        <v>1335</v>
      </c>
      <c r="B55" s="147" t="s">
        <v>1336</v>
      </c>
      <c r="C55" s="175" t="str">
        <f>VLOOKUP(A55,Import!A:C,3,false)</f>
        <v>DOĞRU</v>
      </c>
      <c r="D55" s="147" t="s">
        <v>2664</v>
      </c>
      <c r="E55" s="280">
        <f>VLOOKUP(A55,Import!A:J,5,0)</f>
        <v>4542</v>
      </c>
      <c r="F55" s="280">
        <f>VLOOKUP(A55,Import!A:J,6,0)</f>
        <v>463</v>
      </c>
      <c r="G55" s="289">
        <f>VLOOKUP(A55,Import!A:J,7,0)</f>
        <v>5</v>
      </c>
      <c r="H55" s="289">
        <f>VLOOKUP(A55,Import!A:J,8,0)</f>
        <v>9</v>
      </c>
      <c r="I55" s="289">
        <f>VLOOKUP(A55,Import!A:J,9,0)</f>
        <v>14</v>
      </c>
      <c r="J55" s="282">
        <f>VLOOKUP(A55,Import!A:J,10,0)</f>
        <v>0.36</v>
      </c>
      <c r="K55" s="244" t="str">
        <f>VLOOKUP(A55,Import!A:P,11,0)</f>
        <v>Muhammed Özgür Şimşek</v>
      </c>
      <c r="L55" s="147">
        <v>5.538221767E9</v>
      </c>
      <c r="M55" s="147" t="s">
        <v>2666</v>
      </c>
      <c r="N55" s="147" t="s">
        <v>2721</v>
      </c>
      <c r="O55" s="147" t="s">
        <v>2837</v>
      </c>
      <c r="P55" s="244" t="str">
        <f>VLOOKUP(A55,Import!A:P,16,0)</f>
        <v>Geleneksel</v>
      </c>
      <c r="Q55" s="330"/>
      <c r="R55" s="292" t="b">
        <v>1</v>
      </c>
      <c r="S55" s="293" t="b">
        <v>0</v>
      </c>
      <c r="T55" s="149" t="s">
        <v>2661</v>
      </c>
      <c r="U55" s="149" t="s">
        <v>1791</v>
      </c>
      <c r="V55" s="269" t="s">
        <v>1609</v>
      </c>
      <c r="W55" s="149" t="s">
        <v>2838</v>
      </c>
      <c r="X55" s="294">
        <v>44502.0</v>
      </c>
      <c r="Y55" s="294">
        <v>44503.0</v>
      </c>
      <c r="Z55" s="288"/>
      <c r="AA55" s="165" t="s">
        <v>2669</v>
      </c>
      <c r="AB55" s="295">
        <v>44502.0</v>
      </c>
      <c r="AC55" s="288"/>
      <c r="AD55" s="288"/>
      <c r="AE55" s="160"/>
      <c r="AF55" s="288"/>
      <c r="AG55" s="160"/>
      <c r="AH55" s="288"/>
      <c r="AI55" s="288"/>
      <c r="AJ55" s="288"/>
      <c r="AK55" s="165" t="s">
        <v>1791</v>
      </c>
      <c r="AL55" s="288"/>
      <c r="AM55" s="288"/>
      <c r="AN55" s="288"/>
      <c r="AO55" s="288"/>
      <c r="AP55" s="150" t="s">
        <v>2663</v>
      </c>
      <c r="AQ55" s="288"/>
    </row>
    <row r="56">
      <c r="A56" s="244" t="s">
        <v>311</v>
      </c>
      <c r="B56" s="244" t="s">
        <v>312</v>
      </c>
      <c r="C56" s="175" t="str">
        <f>VLOOKUP(A56,Import!A:C,3,false)</f>
        <v>YANLIŞ</v>
      </c>
      <c r="D56" s="303" t="s">
        <v>2696</v>
      </c>
      <c r="E56" s="280">
        <f>VLOOKUP(A56,Import!A:J,5,0)</f>
        <v>1352</v>
      </c>
      <c r="F56" s="280" t="str">
        <f>VLOOKUP(A56,Import!A:J,6,0)</f>
        <v/>
      </c>
      <c r="G56" s="289">
        <f>VLOOKUP(A56,Import!A:J,7,0)</f>
        <v>15</v>
      </c>
      <c r="H56" s="289">
        <f>VLOOKUP(A56,Import!A:J,8,0)</f>
        <v>10</v>
      </c>
      <c r="I56" s="289">
        <f>VLOOKUP(A56,Import!A:J,9,0)</f>
        <v>25</v>
      </c>
      <c r="J56" s="282">
        <f>VLOOKUP(A56,Import!A:J,10,0)</f>
        <v>0.6</v>
      </c>
      <c r="K56" s="244" t="str">
        <f>VLOOKUP(A56,Import!A:P,11,0)</f>
        <v>VEYSEL ODABAŞI</v>
      </c>
      <c r="L56" s="304">
        <v>2.223229977E9</v>
      </c>
      <c r="M56" s="303" t="s">
        <v>2666</v>
      </c>
      <c r="N56" s="303" t="s">
        <v>2682</v>
      </c>
      <c r="O56" s="303" t="s">
        <v>316</v>
      </c>
      <c r="P56" s="244" t="str">
        <f>VLOOKUP(A56,Import!A:P,16,0)</f>
        <v>Geleneksel</v>
      </c>
      <c r="Q56" s="305" t="s">
        <v>2760</v>
      </c>
      <c r="R56" s="306" t="b">
        <v>1</v>
      </c>
      <c r="S56" s="307" t="b">
        <v>0</v>
      </c>
      <c r="T56" s="309" t="s">
        <v>2661</v>
      </c>
      <c r="U56" s="309"/>
      <c r="V56" s="309" t="s">
        <v>46</v>
      </c>
      <c r="W56" s="309" t="s">
        <v>2810</v>
      </c>
      <c r="X56" s="310">
        <v>44231.0</v>
      </c>
      <c r="Y56" s="310">
        <v>44235.0</v>
      </c>
      <c r="Z56" s="288"/>
      <c r="AA56" s="288"/>
      <c r="AB56" s="288"/>
      <c r="AC56" s="288"/>
      <c r="AD56" s="288"/>
      <c r="AE56" s="160"/>
      <c r="AF56" s="288"/>
      <c r="AG56" s="160"/>
      <c r="AH56" s="288"/>
      <c r="AI56" s="288"/>
      <c r="AJ56" s="288"/>
      <c r="AK56" s="288"/>
      <c r="AL56" s="288"/>
      <c r="AM56" s="288"/>
      <c r="AN56" s="288"/>
      <c r="AO56" s="288"/>
      <c r="AP56" s="150" t="s">
        <v>2663</v>
      </c>
      <c r="AQ56" s="288"/>
    </row>
    <row r="57">
      <c r="A57" s="244" t="s">
        <v>2839</v>
      </c>
      <c r="B57" s="244" t="s">
        <v>2840</v>
      </c>
      <c r="C57" s="175" t="str">
        <f>VLOOKUP(A57,Import!A:C,3,false)</f>
        <v>DOĞRU</v>
      </c>
      <c r="D57" s="175" t="s">
        <v>2696</v>
      </c>
      <c r="E57" s="280">
        <f>VLOOKUP(A57,Import!A:J,5,0)</f>
        <v>15493</v>
      </c>
      <c r="F57" s="280">
        <f>VLOOKUP(A57,Import!A:J,6,0)</f>
        <v>798</v>
      </c>
      <c r="G57" s="289">
        <f>VLOOKUP(A57,Import!A:J,7,0)</f>
        <v>9</v>
      </c>
      <c r="H57" s="289">
        <f>VLOOKUP(A57,Import!A:J,8,0)</f>
        <v>6</v>
      </c>
      <c r="I57" s="289">
        <f>VLOOKUP(A57,Import!A:J,9,0)</f>
        <v>15</v>
      </c>
      <c r="J57" s="282">
        <f>VLOOKUP(A57,Import!A:J,10,0)</f>
        <v>0.6</v>
      </c>
      <c r="K57" s="244" t="str">
        <f>VLOOKUP(A57,Import!A:P,11,0)</f>
        <v>Nazife Şengür</v>
      </c>
      <c r="L57" s="283">
        <v>5.553296805E9</v>
      </c>
      <c r="M57" s="175" t="s">
        <v>2666</v>
      </c>
      <c r="N57" s="175" t="s">
        <v>2682</v>
      </c>
      <c r="O57" s="175" t="s">
        <v>2841</v>
      </c>
      <c r="P57" s="244" t="str">
        <f>VLOOKUP(A57,Import!A:P,16,0)</f>
        <v>Geleneksel</v>
      </c>
      <c r="Q57" s="284" t="s">
        <v>2660</v>
      </c>
      <c r="R57" s="285" t="b">
        <v>1</v>
      </c>
      <c r="S57" s="285" t="b">
        <v>0</v>
      </c>
      <c r="T57" s="171" t="s">
        <v>2661</v>
      </c>
      <c r="U57" s="171"/>
      <c r="V57" s="171" t="s">
        <v>31</v>
      </c>
      <c r="W57" s="171" t="s">
        <v>2708</v>
      </c>
      <c r="X57" s="287">
        <v>44231.0</v>
      </c>
      <c r="Y57" s="287">
        <v>44236.0</v>
      </c>
      <c r="Z57" s="288"/>
      <c r="AA57" s="288"/>
      <c r="AB57" s="288"/>
      <c r="AC57" s="288"/>
      <c r="AD57" s="288"/>
      <c r="AE57" s="160"/>
      <c r="AF57" s="288"/>
      <c r="AG57" s="160"/>
      <c r="AH57" s="288"/>
      <c r="AI57" s="288"/>
      <c r="AJ57" s="288"/>
      <c r="AK57" s="288"/>
      <c r="AL57" s="288"/>
      <c r="AM57" s="288"/>
      <c r="AN57" s="288"/>
      <c r="AO57" s="288"/>
      <c r="AP57" s="150" t="s">
        <v>2663</v>
      </c>
      <c r="AQ57" s="288"/>
    </row>
    <row r="58">
      <c r="A58" s="147" t="s">
        <v>1459</v>
      </c>
      <c r="B58" s="147" t="s">
        <v>1460</v>
      </c>
      <c r="C58" s="175" t="str">
        <f>VLOOKUP(A58,Import!A:C,3,false)</f>
        <v>DOĞRU</v>
      </c>
      <c r="D58" s="147" t="s">
        <v>2763</v>
      </c>
      <c r="E58" s="280">
        <f>VLOOKUP(A58,Import!A:J,5,0)</f>
        <v>2886</v>
      </c>
      <c r="F58" s="280">
        <f>VLOOKUP(A58,Import!A:J,6,0)</f>
        <v>102</v>
      </c>
      <c r="G58" s="289">
        <f>VLOOKUP(A58,Import!A:J,7,0)</f>
        <v>0</v>
      </c>
      <c r="H58" s="289">
        <f>VLOOKUP(A58,Import!A:J,8,0)</f>
        <v>22</v>
      </c>
      <c r="I58" s="289">
        <f>VLOOKUP(A58,Import!A:J,9,0)</f>
        <v>22</v>
      </c>
      <c r="J58" s="282">
        <f>VLOOKUP(A58,Import!A:J,10,0)</f>
        <v>0</v>
      </c>
      <c r="K58" s="244" t="str">
        <f>VLOOKUP(A58,Import!A:P,11,0)</f>
        <v>Gülnur Uslu</v>
      </c>
      <c r="L58" s="147">
        <v>2.222372186E9</v>
      </c>
      <c r="M58" s="147" t="s">
        <v>1450</v>
      </c>
      <c r="N58" s="147" t="s">
        <v>2674</v>
      </c>
      <c r="O58" s="147" t="s">
        <v>1463</v>
      </c>
      <c r="P58" s="244" t="str">
        <f>VLOOKUP(A58,Import!A:P,16,0)</f>
        <v>Geleneksel</v>
      </c>
      <c r="Q58" s="330"/>
      <c r="R58" s="292" t="b">
        <v>1</v>
      </c>
      <c r="S58" s="293" t="b">
        <v>0</v>
      </c>
      <c r="T58" s="149" t="s">
        <v>2714</v>
      </c>
      <c r="U58" s="149" t="s">
        <v>819</v>
      </c>
      <c r="V58" s="149" t="s">
        <v>1343</v>
      </c>
      <c r="W58" s="149" t="s">
        <v>2842</v>
      </c>
      <c r="X58" s="294">
        <v>44336.0</v>
      </c>
      <c r="Y58" s="294">
        <v>44346.0</v>
      </c>
      <c r="Z58" s="288"/>
      <c r="AA58" s="165" t="s">
        <v>2688</v>
      </c>
      <c r="AB58" s="295">
        <v>44379.0</v>
      </c>
      <c r="AC58" s="165" t="s">
        <v>2669</v>
      </c>
      <c r="AD58" s="295">
        <v>44536.0</v>
      </c>
      <c r="AE58" s="160"/>
      <c r="AF58" s="288"/>
      <c r="AG58" s="160"/>
      <c r="AH58" s="288"/>
      <c r="AI58" s="288"/>
      <c r="AJ58" s="288"/>
      <c r="AK58" s="165" t="s">
        <v>2718</v>
      </c>
      <c r="AL58" s="165" t="s">
        <v>1715</v>
      </c>
      <c r="AM58" s="288"/>
      <c r="AN58" s="288"/>
      <c r="AO58" s="288"/>
      <c r="AP58" s="150" t="s">
        <v>2663</v>
      </c>
      <c r="AQ58" s="288"/>
    </row>
    <row r="59">
      <c r="A59" s="150" t="s">
        <v>2843</v>
      </c>
      <c r="B59" s="150" t="s">
        <v>2844</v>
      </c>
      <c r="C59" s="175" t="str">
        <f>VLOOKUP(A59,Import!A:C,3,false)</f>
        <v>DOĞRU</v>
      </c>
      <c r="D59" s="150" t="s">
        <v>2845</v>
      </c>
      <c r="E59" s="280">
        <f>VLOOKUP(A59,Import!A:J,5,0)</f>
        <v>527</v>
      </c>
      <c r="F59" s="280">
        <f>VLOOKUP(A59,Import!A:J,6,0)</f>
        <v>21</v>
      </c>
      <c r="G59" s="289">
        <f>VLOOKUP(A59,Import!A:J,7,0)</f>
        <v>0</v>
      </c>
      <c r="H59" s="289">
        <f>VLOOKUP(A59,Import!A:J,8,0)</f>
        <v>7</v>
      </c>
      <c r="I59" s="289">
        <f>VLOOKUP(A59,Import!A:J,9,0)</f>
        <v>7</v>
      </c>
      <c r="J59" s="282">
        <f>VLOOKUP(A59,Import!A:J,10,0)</f>
        <v>0</v>
      </c>
      <c r="K59" s="244" t="str">
        <f>VLOOKUP(A59,Import!A:P,11,0)</f>
        <v>NURCAN ÖZTÜRK</v>
      </c>
      <c r="L59" s="150">
        <v>5.372274523E9</v>
      </c>
      <c r="M59" s="150" t="s">
        <v>1450</v>
      </c>
      <c r="N59" s="150" t="s">
        <v>2674</v>
      </c>
      <c r="O59" s="150" t="s">
        <v>2846</v>
      </c>
      <c r="P59" s="244" t="str">
        <f>VLOOKUP(A59,Import!A:P,16,0)</f>
        <v>Geleneksel</v>
      </c>
      <c r="Q59" s="291" t="s">
        <v>2660</v>
      </c>
      <c r="R59" s="292" t="b">
        <v>1</v>
      </c>
      <c r="S59" s="292" t="b">
        <v>1</v>
      </c>
      <c r="T59" s="296"/>
      <c r="U59" s="296"/>
      <c r="V59" s="296"/>
      <c r="W59" s="149" t="s">
        <v>2847</v>
      </c>
      <c r="X59" s="297"/>
      <c r="Y59" s="297"/>
      <c r="Z59" s="288"/>
      <c r="AA59" s="165" t="s">
        <v>2693</v>
      </c>
      <c r="AB59" s="295">
        <v>44379.0</v>
      </c>
      <c r="AC59" s="165" t="s">
        <v>2669</v>
      </c>
      <c r="AD59" s="295">
        <v>44525.0</v>
      </c>
      <c r="AE59" s="160"/>
      <c r="AF59" s="288"/>
      <c r="AG59" s="160"/>
      <c r="AH59" s="288"/>
      <c r="AI59" s="288"/>
      <c r="AJ59" s="288"/>
      <c r="AK59" s="165" t="s">
        <v>2718</v>
      </c>
      <c r="AL59" s="165" t="s">
        <v>1911</v>
      </c>
      <c r="AM59" s="288"/>
      <c r="AN59" s="288"/>
      <c r="AO59" s="288"/>
      <c r="AP59" s="150" t="s">
        <v>2663</v>
      </c>
      <c r="AQ59" s="288"/>
    </row>
    <row r="60">
      <c r="A60" s="150" t="s">
        <v>2848</v>
      </c>
      <c r="B60" s="150" t="s">
        <v>2849</v>
      </c>
      <c r="C60" s="175" t="str">
        <f>VLOOKUP(A60,Import!A:C,3,false)</f>
        <v>DOĞRU</v>
      </c>
      <c r="D60" s="150" t="s">
        <v>2850</v>
      </c>
      <c r="E60" s="280">
        <f>VLOOKUP(A60,Import!A:J,5,0)</f>
        <v>6614</v>
      </c>
      <c r="F60" s="280">
        <f>VLOOKUP(A60,Import!A:J,6,0)</f>
        <v>518</v>
      </c>
      <c r="G60" s="289">
        <f>VLOOKUP(A60,Import!A:J,7,0)</f>
        <v>0</v>
      </c>
      <c r="H60" s="289">
        <f>VLOOKUP(A60,Import!A:J,8,0)</f>
        <v>40</v>
      </c>
      <c r="I60" s="289">
        <f>VLOOKUP(A60,Import!A:J,9,0)</f>
        <v>40</v>
      </c>
      <c r="J60" s="282">
        <f>VLOOKUP(A60,Import!A:J,10,0)</f>
        <v>0</v>
      </c>
      <c r="K60" s="244" t="str">
        <f>VLOOKUP(A60,Import!A:P,11,0)</f>
        <v>Yıldız Çelik</v>
      </c>
      <c r="L60" s="150">
        <v>5.333752639E9</v>
      </c>
      <c r="M60" s="150" t="s">
        <v>1450</v>
      </c>
      <c r="N60" s="150" t="s">
        <v>2700</v>
      </c>
      <c r="O60" s="150" t="s">
        <v>2851</v>
      </c>
      <c r="P60" s="244" t="str">
        <f>VLOOKUP(A60,Import!A:P,16,0)</f>
        <v>Geleneksel</v>
      </c>
      <c r="Q60" s="291" t="s">
        <v>2686</v>
      </c>
      <c r="R60" s="292" t="b">
        <v>1</v>
      </c>
      <c r="S60" s="292" t="b">
        <v>1</v>
      </c>
      <c r="T60" s="296"/>
      <c r="U60" s="149" t="s">
        <v>958</v>
      </c>
      <c r="V60" s="296"/>
      <c r="W60" s="149" t="s">
        <v>2852</v>
      </c>
      <c r="X60" s="297"/>
      <c r="Y60" s="297"/>
      <c r="Z60" s="288"/>
      <c r="AA60" s="165" t="s">
        <v>2699</v>
      </c>
      <c r="AB60" s="295">
        <v>44379.0</v>
      </c>
      <c r="AC60" s="165" t="s">
        <v>2688</v>
      </c>
      <c r="AD60" s="295">
        <v>44379.0</v>
      </c>
      <c r="AE60" s="165" t="s">
        <v>2669</v>
      </c>
      <c r="AF60" s="295">
        <v>44582.0</v>
      </c>
      <c r="AG60" s="165" t="s">
        <v>2669</v>
      </c>
      <c r="AH60" s="295">
        <v>44620.0</v>
      </c>
      <c r="AI60" s="288"/>
      <c r="AJ60" s="288"/>
      <c r="AK60" s="165" t="s">
        <v>2718</v>
      </c>
      <c r="AL60" s="165" t="s">
        <v>2718</v>
      </c>
      <c r="AM60" s="165" t="s">
        <v>1791</v>
      </c>
      <c r="AN60" s="165" t="s">
        <v>819</v>
      </c>
      <c r="AO60" s="288"/>
      <c r="AP60" s="150" t="s">
        <v>2663</v>
      </c>
      <c r="AQ60" s="288"/>
    </row>
    <row r="61">
      <c r="A61" s="150" t="s">
        <v>911</v>
      </c>
      <c r="B61" s="150" t="s">
        <v>912</v>
      </c>
      <c r="C61" s="175" t="str">
        <f>VLOOKUP(A61,Import!A:C,3,false)</f>
        <v>DOĞRU</v>
      </c>
      <c r="D61" s="150" t="s">
        <v>2763</v>
      </c>
      <c r="E61" s="280">
        <f>VLOOKUP(A61,Import!A:J,5,0)</f>
        <v>7682</v>
      </c>
      <c r="F61" s="280">
        <f>VLOOKUP(A61,Import!A:J,6,0)</f>
        <v>89</v>
      </c>
      <c r="G61" s="289">
        <f>VLOOKUP(A61,Import!A:J,7,0)</f>
        <v>0</v>
      </c>
      <c r="H61" s="289">
        <f>VLOOKUP(A61,Import!A:J,8,0)</f>
        <v>21</v>
      </c>
      <c r="I61" s="289">
        <f>VLOOKUP(A61,Import!A:J,9,0)</f>
        <v>21</v>
      </c>
      <c r="J61" s="282">
        <f>VLOOKUP(A61,Import!A:J,10,0)</f>
        <v>0</v>
      </c>
      <c r="K61" s="244" t="str">
        <f>VLOOKUP(A61,Import!A:P,11,0)</f>
        <v>Abidin Kocabuğa</v>
      </c>
      <c r="L61" s="150">
        <v>5.333074901E9</v>
      </c>
      <c r="M61" s="150" t="s">
        <v>1450</v>
      </c>
      <c r="N61" s="150" t="s">
        <v>2853</v>
      </c>
      <c r="O61" s="150" t="s">
        <v>915</v>
      </c>
      <c r="P61" s="244" t="str">
        <f>VLOOKUP(A61,Import!A:P,16,0)</f>
        <v>Geleneksel</v>
      </c>
      <c r="Q61" s="291" t="s">
        <v>2713</v>
      </c>
      <c r="R61" s="292" t="b">
        <v>1</v>
      </c>
      <c r="S61" s="293" t="b">
        <v>0</v>
      </c>
      <c r="T61" s="149" t="s">
        <v>2714</v>
      </c>
      <c r="U61" s="149" t="s">
        <v>1000</v>
      </c>
      <c r="V61" s="149" t="s">
        <v>31</v>
      </c>
      <c r="W61" s="149" t="s">
        <v>2854</v>
      </c>
      <c r="X61" s="294">
        <v>44271.0</v>
      </c>
      <c r="Y61" s="294">
        <v>44272.0</v>
      </c>
      <c r="Z61" s="288"/>
      <c r="AA61" s="165" t="s">
        <v>2693</v>
      </c>
      <c r="AB61" s="295">
        <v>44378.0</v>
      </c>
      <c r="AC61" s="165" t="s">
        <v>2693</v>
      </c>
      <c r="AD61" s="295">
        <v>44546.0</v>
      </c>
      <c r="AE61" s="165" t="s">
        <v>2669</v>
      </c>
      <c r="AF61" s="295">
        <v>44547.0</v>
      </c>
      <c r="AG61" s="160"/>
      <c r="AH61" s="288"/>
      <c r="AI61" s="288"/>
      <c r="AJ61" s="288"/>
      <c r="AK61" s="165" t="s">
        <v>2718</v>
      </c>
      <c r="AL61" s="165" t="s">
        <v>1911</v>
      </c>
      <c r="AM61" s="165" t="s">
        <v>1971</v>
      </c>
      <c r="AN61" s="288"/>
      <c r="AO61" s="288"/>
      <c r="AP61" s="150" t="s">
        <v>2663</v>
      </c>
      <c r="AQ61" s="288"/>
    </row>
    <row r="62">
      <c r="A62" s="147" t="s">
        <v>2064</v>
      </c>
      <c r="B62" s="147" t="s">
        <v>2065</v>
      </c>
      <c r="C62" s="175" t="str">
        <f>VLOOKUP(A62,Import!A:C,3,false)</f>
        <v>DOĞRU</v>
      </c>
      <c r="D62" s="147" t="s">
        <v>2672</v>
      </c>
      <c r="E62" s="280">
        <f>VLOOKUP(A62,Import!A:J,5,0)</f>
        <v>4885</v>
      </c>
      <c r="F62" s="280" t="str">
        <f>VLOOKUP(A62,Import!A:J,6,0)</f>
        <v/>
      </c>
      <c r="G62" s="289">
        <f>VLOOKUP(A62,Import!A:J,7,0)</f>
        <v>0</v>
      </c>
      <c r="H62" s="289">
        <f>VLOOKUP(A62,Import!A:J,8,0)</f>
        <v>6</v>
      </c>
      <c r="I62" s="289">
        <f>VLOOKUP(A62,Import!A:J,9,0)</f>
        <v>6</v>
      </c>
      <c r="J62" s="282">
        <f>VLOOKUP(A62,Import!A:J,10,0)</f>
        <v>0</v>
      </c>
      <c r="K62" s="244" t="str">
        <f>VLOOKUP(A62,Import!A:P,11,0)</f>
        <v>ÖMER FARUK ÖZDEMİRLİ</v>
      </c>
      <c r="L62" s="147">
        <v>2.2232395E9</v>
      </c>
      <c r="M62" s="147" t="s">
        <v>2666</v>
      </c>
      <c r="N62" s="147" t="s">
        <v>2855</v>
      </c>
      <c r="O62" s="147" t="s">
        <v>2056</v>
      </c>
      <c r="P62" s="244" t="str">
        <f>VLOOKUP(A62,Import!A:P,16,0)</f>
        <v>Geleneksel</v>
      </c>
      <c r="Q62" s="330"/>
      <c r="R62" s="292" t="b">
        <v>1</v>
      </c>
      <c r="S62" s="293" t="b">
        <v>0</v>
      </c>
      <c r="T62" s="149" t="s">
        <v>2661</v>
      </c>
      <c r="U62" s="149" t="s">
        <v>1717</v>
      </c>
      <c r="V62" s="269" t="s">
        <v>1609</v>
      </c>
      <c r="X62" s="294">
        <v>44532.0</v>
      </c>
      <c r="Y62" s="294">
        <v>44537.0</v>
      </c>
      <c r="Z62" s="288"/>
      <c r="AA62" s="165" t="s">
        <v>2669</v>
      </c>
      <c r="AB62" s="295">
        <v>44522.0</v>
      </c>
      <c r="AC62" s="165" t="s">
        <v>2669</v>
      </c>
      <c r="AD62" s="295">
        <v>44532.0</v>
      </c>
      <c r="AE62" s="160"/>
      <c r="AF62" s="288"/>
      <c r="AG62" s="160"/>
      <c r="AH62" s="288"/>
      <c r="AI62" s="288"/>
      <c r="AJ62" s="288"/>
      <c r="AK62" s="165" t="s">
        <v>1791</v>
      </c>
      <c r="AL62" s="165" t="s">
        <v>1717</v>
      </c>
      <c r="AM62" s="288"/>
      <c r="AN62" s="288"/>
      <c r="AO62" s="288"/>
      <c r="AP62" s="150" t="s">
        <v>2663</v>
      </c>
      <c r="AQ62" s="288"/>
    </row>
    <row r="63">
      <c r="A63" s="150" t="s">
        <v>2856</v>
      </c>
      <c r="B63" s="150" t="s">
        <v>2053</v>
      </c>
      <c r="C63" s="175" t="str">
        <f>VLOOKUP(A63,Import!A:C,3,false)</f>
        <v>DOĞRU</v>
      </c>
      <c r="D63" s="150" t="s">
        <v>2664</v>
      </c>
      <c r="E63" s="280">
        <f>VLOOKUP(A63,Import!A:J,5,0)</f>
        <v>15</v>
      </c>
      <c r="F63" s="280" t="str">
        <f>VLOOKUP(A63,Import!A:J,6,0)</f>
        <v/>
      </c>
      <c r="G63" s="289">
        <f>VLOOKUP(A63,Import!A:J,7,0)</f>
        <v>0</v>
      </c>
      <c r="H63" s="289">
        <f>VLOOKUP(A63,Import!A:J,8,0)</f>
        <v>7</v>
      </c>
      <c r="I63" s="289">
        <f>VLOOKUP(A63,Import!A:J,9,0)</f>
        <v>7</v>
      </c>
      <c r="J63" s="282">
        <f>VLOOKUP(A63,Import!A:J,10,0)</f>
        <v>0</v>
      </c>
      <c r="K63" s="290" t="s">
        <v>2857</v>
      </c>
      <c r="L63" s="150">
        <v>2.2232395E9</v>
      </c>
      <c r="M63" s="150" t="s">
        <v>2666</v>
      </c>
      <c r="N63" s="150" t="s">
        <v>2855</v>
      </c>
      <c r="O63" s="150" t="s">
        <v>2056</v>
      </c>
      <c r="P63" s="244" t="str">
        <f>VLOOKUP(A63,Import!A:P,16,0)</f>
        <v>Geleneksel</v>
      </c>
      <c r="Q63" s="291"/>
      <c r="R63" s="292" t="b">
        <v>1</v>
      </c>
      <c r="S63" s="293" t="b">
        <v>0</v>
      </c>
      <c r="T63" s="149" t="s">
        <v>2693</v>
      </c>
      <c r="U63" s="296"/>
      <c r="V63" s="296"/>
      <c r="W63" s="149" t="s">
        <v>2759</v>
      </c>
      <c r="X63" s="297"/>
      <c r="Y63" s="297"/>
      <c r="Z63" s="288"/>
      <c r="AA63" s="165" t="s">
        <v>2693</v>
      </c>
      <c r="AB63" s="295">
        <v>44571.0</v>
      </c>
      <c r="AC63" s="288"/>
      <c r="AD63" s="288"/>
      <c r="AE63" s="160"/>
      <c r="AF63" s="288"/>
      <c r="AG63" s="160"/>
      <c r="AH63" s="288"/>
      <c r="AI63" s="288"/>
      <c r="AJ63" s="288"/>
      <c r="AK63" s="165" t="s">
        <v>819</v>
      </c>
      <c r="AL63" s="288"/>
      <c r="AM63" s="288"/>
      <c r="AN63" s="288"/>
      <c r="AO63" s="165"/>
      <c r="AP63" s="150"/>
      <c r="AQ63" s="165"/>
    </row>
    <row r="64">
      <c r="A64" s="150" t="s">
        <v>2066</v>
      </c>
      <c r="B64" s="150" t="s">
        <v>2067</v>
      </c>
      <c r="C64" s="175" t="str">
        <f>VLOOKUP(A64,Import!A:C,3,false)</f>
        <v>DOĞRU</v>
      </c>
      <c r="D64" s="150" t="s">
        <v>2724</v>
      </c>
      <c r="E64" s="280">
        <f>VLOOKUP(A64,Import!A:J,5,0)</f>
        <v>2921</v>
      </c>
      <c r="F64" s="280">
        <f>VLOOKUP(A64,Import!A:J,6,0)</f>
        <v>220</v>
      </c>
      <c r="G64" s="289">
        <f>VLOOKUP(A64,Import!A:J,7,0)</f>
        <v>12</v>
      </c>
      <c r="H64" s="289">
        <f>VLOOKUP(A64,Import!A:J,8,0)</f>
        <v>42</v>
      </c>
      <c r="I64" s="289">
        <f>VLOOKUP(A64,Import!A:J,9,0)</f>
        <v>54</v>
      </c>
      <c r="J64" s="282">
        <f>VLOOKUP(A64,Import!A:J,10,0)</f>
        <v>0.22</v>
      </c>
      <c r="K64" s="290" t="s">
        <v>2858</v>
      </c>
      <c r="L64" s="150">
        <v>2.226148181E9</v>
      </c>
      <c r="M64" s="150" t="s">
        <v>2666</v>
      </c>
      <c r="N64" s="150" t="s">
        <v>2682</v>
      </c>
      <c r="O64" s="150" t="s">
        <v>2069</v>
      </c>
      <c r="P64" s="244" t="str">
        <f>VLOOKUP(A64,Import!A:P,16,0)</f>
        <v>Geleneksel</v>
      </c>
      <c r="Q64" s="291"/>
      <c r="R64" s="292" t="b">
        <v>1</v>
      </c>
      <c r="S64" s="293" t="b">
        <v>0</v>
      </c>
      <c r="T64" s="149" t="s">
        <v>2661</v>
      </c>
      <c r="U64" s="149" t="s">
        <v>1715</v>
      </c>
      <c r="V64" s="301" t="s">
        <v>1609</v>
      </c>
      <c r="X64" s="294">
        <v>44529.0</v>
      </c>
      <c r="Y64" s="294">
        <v>44530.0</v>
      </c>
      <c r="Z64" s="288"/>
      <c r="AA64" s="165" t="s">
        <v>2669</v>
      </c>
      <c r="AB64" s="295">
        <v>44524.0</v>
      </c>
      <c r="AC64" s="165" t="s">
        <v>2669</v>
      </c>
      <c r="AD64" s="295">
        <v>44529.0</v>
      </c>
      <c r="AE64" s="160"/>
      <c r="AF64" s="288"/>
      <c r="AG64" s="160"/>
      <c r="AH64" s="288"/>
      <c r="AI64" s="288"/>
      <c r="AJ64" s="288"/>
      <c r="AK64" s="165" t="s">
        <v>819</v>
      </c>
      <c r="AL64" s="165" t="s">
        <v>1715</v>
      </c>
      <c r="AM64" s="288"/>
      <c r="AN64" s="288"/>
      <c r="AO64" s="288"/>
      <c r="AP64" s="150" t="s">
        <v>2663</v>
      </c>
      <c r="AQ64" s="288"/>
    </row>
    <row r="65">
      <c r="A65" s="150" t="s">
        <v>399</v>
      </c>
      <c r="B65" s="150" t="s">
        <v>400</v>
      </c>
      <c r="C65" s="175" t="str">
        <f>VLOOKUP(A65,Import!A:C,3,false)</f>
        <v>DOĞRU</v>
      </c>
      <c r="D65" s="150" t="s">
        <v>2664</v>
      </c>
      <c r="E65" s="280">
        <f>VLOOKUP(A65,Import!A:J,5,0)</f>
        <v>5711</v>
      </c>
      <c r="F65" s="280">
        <f>VLOOKUP(A65,Import!A:J,6,0)</f>
        <v>30</v>
      </c>
      <c r="G65" s="289">
        <f>VLOOKUP(A65,Import!A:J,7,0)</f>
        <v>15</v>
      </c>
      <c r="H65" s="289">
        <f>VLOOKUP(A65,Import!A:J,8,0)</f>
        <v>50</v>
      </c>
      <c r="I65" s="289">
        <f>VLOOKUP(A65,Import!A:J,9,0)</f>
        <v>65</v>
      </c>
      <c r="J65" s="282">
        <f>VLOOKUP(A65,Import!A:J,10,0)</f>
        <v>0.23</v>
      </c>
      <c r="K65" s="244" t="str">
        <f>VLOOKUP(A65,Import!A:P,11,0)</f>
        <v>Ömer Faruk Özdemirli</v>
      </c>
      <c r="L65" s="150">
        <v>2.2232395E9</v>
      </c>
      <c r="M65" s="150" t="s">
        <v>2666</v>
      </c>
      <c r="N65" s="150" t="s">
        <v>2855</v>
      </c>
      <c r="O65" s="150" t="s">
        <v>403</v>
      </c>
      <c r="P65" s="244" t="str">
        <f>VLOOKUP(A65,Import!A:P,16,0)</f>
        <v>Geleneksel</v>
      </c>
      <c r="Q65" s="291" t="s">
        <v>2686</v>
      </c>
      <c r="R65" s="292" t="b">
        <v>1</v>
      </c>
      <c r="S65" s="293" t="b">
        <v>0</v>
      </c>
      <c r="T65" s="149" t="s">
        <v>2661</v>
      </c>
      <c r="U65" s="149" t="s">
        <v>1717</v>
      </c>
      <c r="V65" s="181" t="s">
        <v>1609</v>
      </c>
      <c r="X65" s="294">
        <v>44532.0</v>
      </c>
      <c r="Y65" s="294">
        <v>44537.0</v>
      </c>
      <c r="Z65" s="288"/>
      <c r="AA65" s="165" t="s">
        <v>2669</v>
      </c>
      <c r="AB65" s="295">
        <v>44526.0</v>
      </c>
      <c r="AC65" s="165" t="s">
        <v>2669</v>
      </c>
      <c r="AD65" s="295">
        <v>44532.0</v>
      </c>
      <c r="AE65" s="160"/>
      <c r="AF65" s="288"/>
      <c r="AG65" s="160"/>
      <c r="AH65" s="288"/>
      <c r="AI65" s="288"/>
      <c r="AJ65" s="288"/>
      <c r="AK65" s="165" t="s">
        <v>819</v>
      </c>
      <c r="AL65" s="165" t="s">
        <v>1717</v>
      </c>
      <c r="AM65" s="288"/>
      <c r="AN65" s="288"/>
      <c r="AO65" s="288"/>
      <c r="AP65" s="150" t="s">
        <v>2663</v>
      </c>
      <c r="AQ65" s="288"/>
    </row>
    <row r="66">
      <c r="A66" s="150" t="s">
        <v>2859</v>
      </c>
      <c r="B66" s="150" t="s">
        <v>2860</v>
      </c>
      <c r="C66" s="175" t="str">
        <f>VLOOKUP(A66,Import!A:C,3,false)</f>
        <v>DOĞRU</v>
      </c>
      <c r="D66" s="150" t="s">
        <v>2724</v>
      </c>
      <c r="E66" s="280" t="str">
        <f>VLOOKUP(A66,Import!A:J,5,0)</f>
        <v/>
      </c>
      <c r="F66" s="280" t="str">
        <f>VLOOKUP(A66,Import!A:J,6,0)</f>
        <v/>
      </c>
      <c r="G66" s="289">
        <f>VLOOKUP(A66,Import!A:J,7,0)</f>
        <v>0</v>
      </c>
      <c r="H66" s="289">
        <f>VLOOKUP(A66,Import!A:J,8,0)</f>
        <v>82</v>
      </c>
      <c r="I66" s="289">
        <f>VLOOKUP(A66,Import!A:J,9,0)</f>
        <v>82</v>
      </c>
      <c r="J66" s="282">
        <f>VLOOKUP(A66,Import!A:J,10,0)</f>
        <v>0</v>
      </c>
      <c r="K66" s="150" t="s">
        <v>2857</v>
      </c>
      <c r="L66" s="150">
        <v>2.2232395E9</v>
      </c>
      <c r="M66" s="150" t="s">
        <v>2666</v>
      </c>
      <c r="N66" s="150" t="s">
        <v>2855</v>
      </c>
      <c r="O66" s="150" t="s">
        <v>2056</v>
      </c>
      <c r="P66" s="244" t="str">
        <f>VLOOKUP(A66,Import!A:P,16,0)</f>
        <v>Geleneksel</v>
      </c>
      <c r="Q66" s="291"/>
      <c r="R66" s="292" t="b">
        <v>0</v>
      </c>
      <c r="S66" s="293" t="b">
        <v>0</v>
      </c>
      <c r="T66" s="149"/>
      <c r="U66" s="296"/>
      <c r="V66" s="296"/>
      <c r="W66" s="149"/>
      <c r="X66" s="297"/>
      <c r="Y66" s="297"/>
      <c r="Z66" s="288"/>
      <c r="AA66" s="165"/>
      <c r="AB66" s="295"/>
      <c r="AC66" s="288"/>
      <c r="AD66" s="288"/>
      <c r="AE66" s="160"/>
      <c r="AF66" s="288"/>
      <c r="AG66" s="160"/>
      <c r="AH66" s="288"/>
      <c r="AI66" s="288"/>
      <c r="AJ66" s="288"/>
      <c r="AK66" s="165"/>
      <c r="AL66" s="288"/>
      <c r="AM66" s="288"/>
      <c r="AN66" s="288"/>
      <c r="AO66" s="165"/>
      <c r="AP66" s="150"/>
      <c r="AQ66" s="165"/>
    </row>
    <row r="67">
      <c r="A67" s="244" t="s">
        <v>416</v>
      </c>
      <c r="B67" s="244" t="s">
        <v>417</v>
      </c>
      <c r="C67" s="175" t="str">
        <f>VLOOKUP(A67,Import!A:C,3,false)</f>
        <v>DOĞRU</v>
      </c>
      <c r="D67" s="320" t="s">
        <v>2658</v>
      </c>
      <c r="E67" s="280">
        <f>VLOOKUP(A67,Import!A:J,5,0)</f>
        <v>8990</v>
      </c>
      <c r="F67" s="280">
        <f>VLOOKUP(A67,Import!A:J,6,0)</f>
        <v>5</v>
      </c>
      <c r="G67" s="289">
        <f>VLOOKUP(A67,Import!A:J,7,0)</f>
        <v>0</v>
      </c>
      <c r="H67" s="289">
        <f>VLOOKUP(A67,Import!A:J,8,0)</f>
        <v>9</v>
      </c>
      <c r="I67" s="289">
        <f>VLOOKUP(A67,Import!A:J,9,0)</f>
        <v>9</v>
      </c>
      <c r="J67" s="282">
        <f>VLOOKUP(A67,Import!A:J,10,0)</f>
        <v>0</v>
      </c>
      <c r="K67" s="244" t="str">
        <f>VLOOKUP(A67,Import!A:P,11,0)</f>
        <v>Ömer faruk özdemirli</v>
      </c>
      <c r="L67" s="321">
        <v>5.324147942E9</v>
      </c>
      <c r="M67" s="320" t="s">
        <v>2666</v>
      </c>
      <c r="N67" s="320" t="s">
        <v>2855</v>
      </c>
      <c r="O67" s="320" t="s">
        <v>407</v>
      </c>
      <c r="P67" s="244" t="str">
        <f>VLOOKUP(A67,Import!A:P,16,0)</f>
        <v>Geleneksel</v>
      </c>
      <c r="Q67" s="334" t="s">
        <v>2686</v>
      </c>
      <c r="R67" s="335" t="b">
        <v>1</v>
      </c>
      <c r="S67" s="336" t="b">
        <v>0</v>
      </c>
      <c r="T67" s="337" t="s">
        <v>2661</v>
      </c>
      <c r="U67" s="337" t="s">
        <v>1717</v>
      </c>
      <c r="V67" s="269" t="s">
        <v>1609</v>
      </c>
      <c r="X67" s="338">
        <v>44532.0</v>
      </c>
      <c r="Y67" s="338">
        <v>44537.0</v>
      </c>
      <c r="Z67" s="288"/>
      <c r="AA67" s="165" t="s">
        <v>2669</v>
      </c>
      <c r="AB67" s="295">
        <v>44526.0</v>
      </c>
      <c r="AC67" s="165" t="s">
        <v>2669</v>
      </c>
      <c r="AD67" s="295">
        <v>44532.0</v>
      </c>
      <c r="AE67" s="160"/>
      <c r="AF67" s="288"/>
      <c r="AG67" s="160"/>
      <c r="AH67" s="288"/>
      <c r="AI67" s="288"/>
      <c r="AJ67" s="288"/>
      <c r="AK67" s="165" t="s">
        <v>819</v>
      </c>
      <c r="AL67" s="165" t="s">
        <v>1717</v>
      </c>
      <c r="AM67" s="288"/>
      <c r="AN67" s="288"/>
      <c r="AO67" s="288"/>
      <c r="AP67" s="150" t="s">
        <v>2663</v>
      </c>
      <c r="AQ67" s="288"/>
    </row>
    <row r="68">
      <c r="A68" s="147" t="s">
        <v>2861</v>
      </c>
      <c r="B68" s="147" t="s">
        <v>2862</v>
      </c>
      <c r="C68" s="175" t="str">
        <f>VLOOKUP(A68,Import!A:C,3,false)</f>
        <v>DOĞRU</v>
      </c>
      <c r="D68" s="147" t="s">
        <v>2664</v>
      </c>
      <c r="E68" s="280">
        <f>VLOOKUP(A68,Import!A:J,5,0)</f>
        <v>3456</v>
      </c>
      <c r="F68" s="280">
        <f>VLOOKUP(A68,Import!A:J,6,0)</f>
        <v>94</v>
      </c>
      <c r="G68" s="289">
        <f>VLOOKUP(A68,Import!A:J,7,0)</f>
        <v>0</v>
      </c>
      <c r="H68" s="289">
        <f>VLOOKUP(A68,Import!A:J,8,0)</f>
        <v>21</v>
      </c>
      <c r="I68" s="289">
        <f>VLOOKUP(A68,Import!A:J,9,0)</f>
        <v>21</v>
      </c>
      <c r="J68" s="282">
        <f>VLOOKUP(A68,Import!A:J,10,0)</f>
        <v>0</v>
      </c>
      <c r="K68" s="244" t="str">
        <f>VLOOKUP(A68,Import!A:P,11,0)</f>
        <v>Şerife Burcu Özege</v>
      </c>
      <c r="L68" s="147">
        <v>5.526323288E9</v>
      </c>
      <c r="M68" s="147" t="s">
        <v>1450</v>
      </c>
      <c r="N68" s="147" t="s">
        <v>2732</v>
      </c>
      <c r="O68" s="147" t="s">
        <v>2863</v>
      </c>
      <c r="P68" s="244" t="str">
        <f>VLOOKUP(A68,Import!A:P,16,0)</f>
        <v>Geleneksel</v>
      </c>
      <c r="Q68" s="330"/>
      <c r="R68" s="292" t="b">
        <v>1</v>
      </c>
      <c r="S68" s="292" t="b">
        <v>1</v>
      </c>
      <c r="T68" s="149" t="s">
        <v>2864</v>
      </c>
      <c r="U68" s="296"/>
      <c r="V68" s="312"/>
      <c r="W68" s="149" t="s">
        <v>2865</v>
      </c>
      <c r="X68" s="297"/>
      <c r="Y68" s="297"/>
      <c r="Z68" s="288"/>
      <c r="AA68" s="165" t="s">
        <v>2669</v>
      </c>
      <c r="AB68" s="295">
        <v>44497.0</v>
      </c>
      <c r="AC68" s="288"/>
      <c r="AD68" s="288"/>
      <c r="AE68" s="160"/>
      <c r="AF68" s="288"/>
      <c r="AG68" s="160"/>
      <c r="AH68" s="288"/>
      <c r="AI68" s="288"/>
      <c r="AJ68" s="288"/>
      <c r="AK68" s="165" t="s">
        <v>1715</v>
      </c>
      <c r="AL68" s="288"/>
      <c r="AM68" s="288"/>
      <c r="AN68" s="288"/>
      <c r="AO68" s="288"/>
      <c r="AP68" s="150" t="s">
        <v>2663</v>
      </c>
      <c r="AQ68" s="288"/>
    </row>
    <row r="69">
      <c r="A69" s="150" t="s">
        <v>2204</v>
      </c>
      <c r="B69" s="150" t="s">
        <v>2205</v>
      </c>
      <c r="C69" s="175" t="str">
        <f>VLOOKUP(A69,Import!A:C,3,false)</f>
        <v>DOĞRU</v>
      </c>
      <c r="D69" s="150" t="s">
        <v>2664</v>
      </c>
      <c r="E69" s="280">
        <f>VLOOKUP(A69,Import!A:J,5,0)</f>
        <v>1189</v>
      </c>
      <c r="F69" s="280">
        <f>VLOOKUP(A69,Import!A:J,6,0)</f>
        <v>104</v>
      </c>
      <c r="G69" s="289">
        <f>VLOOKUP(A69,Import!A:J,7,0)</f>
        <v>6</v>
      </c>
      <c r="H69" s="289">
        <f>VLOOKUP(A69,Import!A:J,8,0)</f>
        <v>6</v>
      </c>
      <c r="I69" s="289">
        <f>VLOOKUP(A69,Import!A:J,9,0)</f>
        <v>12</v>
      </c>
      <c r="J69" s="282">
        <f>VLOOKUP(A69,Import!A:J,10,0)</f>
        <v>0.5</v>
      </c>
      <c r="K69" s="290" t="s">
        <v>2866</v>
      </c>
      <c r="L69" s="150">
        <v>5.435061051E9</v>
      </c>
      <c r="M69" s="150" t="s">
        <v>1450</v>
      </c>
      <c r="N69" s="150" t="s">
        <v>2716</v>
      </c>
      <c r="O69" s="150" t="s">
        <v>2207</v>
      </c>
      <c r="P69" s="244" t="str">
        <f>VLOOKUP(A69,Import!A:P,16,0)</f>
        <v>Geleneksel</v>
      </c>
      <c r="Q69" s="291"/>
      <c r="R69" s="292" t="b">
        <v>1</v>
      </c>
      <c r="S69" s="293" t="b">
        <v>0</v>
      </c>
      <c r="T69" s="149" t="s">
        <v>2661</v>
      </c>
      <c r="U69" s="149" t="s">
        <v>819</v>
      </c>
      <c r="V69" s="301" t="s">
        <v>1609</v>
      </c>
      <c r="W69" s="149">
        <v>2.222010008E9</v>
      </c>
      <c r="X69" s="294">
        <v>44547.0</v>
      </c>
      <c r="Y69" s="294">
        <v>44550.0</v>
      </c>
      <c r="Z69" s="288"/>
      <c r="AA69" s="165" t="s">
        <v>2669</v>
      </c>
      <c r="AB69" s="295">
        <v>44547.0</v>
      </c>
      <c r="AC69" s="288"/>
      <c r="AD69" s="288"/>
      <c r="AE69" s="160"/>
      <c r="AF69" s="288"/>
      <c r="AG69" s="160"/>
      <c r="AH69" s="288"/>
      <c r="AI69" s="288"/>
      <c r="AJ69" s="288"/>
      <c r="AK69" s="165" t="s">
        <v>819</v>
      </c>
      <c r="AL69" s="288"/>
      <c r="AM69" s="288"/>
      <c r="AN69" s="288"/>
      <c r="AO69" s="165"/>
      <c r="AP69" s="150" t="s">
        <v>2663</v>
      </c>
      <c r="AQ69" s="165"/>
    </row>
    <row r="70">
      <c r="A70" s="147" t="s">
        <v>1437</v>
      </c>
      <c r="B70" s="147" t="s">
        <v>1438</v>
      </c>
      <c r="C70" s="175" t="str">
        <f>VLOOKUP(A70,Import!A:C,3,false)</f>
        <v>YANLIŞ</v>
      </c>
      <c r="D70" s="147" t="s">
        <v>2867</v>
      </c>
      <c r="E70" s="280">
        <f>VLOOKUP(A70,Import!A:J,5,0)</f>
        <v>1608</v>
      </c>
      <c r="F70" s="280" t="str">
        <f>VLOOKUP(A70,Import!A:J,6,0)</f>
        <v/>
      </c>
      <c r="G70" s="289">
        <f>VLOOKUP(A70,Import!A:J,7,0)</f>
        <v>6</v>
      </c>
      <c r="H70" s="289">
        <f>VLOOKUP(A70,Import!A:J,8,0)</f>
        <v>10</v>
      </c>
      <c r="I70" s="289">
        <f>VLOOKUP(A70,Import!A:J,9,0)</f>
        <v>16</v>
      </c>
      <c r="J70" s="282">
        <f>VLOOKUP(A70,Import!A:J,10,0)</f>
        <v>0.38</v>
      </c>
      <c r="K70" s="244" t="str">
        <f>VLOOKUP(A70,Import!A:P,11,0)</f>
        <v>Özgür Demirtaş</v>
      </c>
      <c r="L70" s="147">
        <v>5.382600431E9</v>
      </c>
      <c r="M70" s="147" t="s">
        <v>2666</v>
      </c>
      <c r="N70" s="147" t="s">
        <v>2721</v>
      </c>
      <c r="O70" s="147" t="s">
        <v>1441</v>
      </c>
      <c r="P70" s="244" t="str">
        <f>VLOOKUP(A70,Import!A:P,16,0)</f>
        <v>Geleneksel</v>
      </c>
      <c r="Q70" s="330"/>
      <c r="R70" s="292" t="b">
        <v>1</v>
      </c>
      <c r="S70" s="293" t="b">
        <v>0</v>
      </c>
      <c r="T70" s="149" t="s">
        <v>2661</v>
      </c>
      <c r="U70" s="149" t="s">
        <v>819</v>
      </c>
      <c r="V70" s="301" t="s">
        <v>1609</v>
      </c>
      <c r="X70" s="294">
        <v>44573.0</v>
      </c>
      <c r="Y70" s="294">
        <v>44573.0</v>
      </c>
      <c r="Z70" s="288"/>
      <c r="AA70" s="165" t="s">
        <v>2669</v>
      </c>
      <c r="AB70" s="295">
        <v>44378.0</v>
      </c>
      <c r="AC70" s="165" t="s">
        <v>2688</v>
      </c>
      <c r="AD70" s="295">
        <v>44501.0</v>
      </c>
      <c r="AE70" s="165" t="s">
        <v>2693</v>
      </c>
      <c r="AF70" s="295">
        <v>44530.0</v>
      </c>
      <c r="AG70" s="165" t="s">
        <v>2693</v>
      </c>
      <c r="AH70" s="295">
        <v>44550.0</v>
      </c>
      <c r="AI70" s="165" t="s">
        <v>2669</v>
      </c>
      <c r="AJ70" s="295">
        <v>44573.0</v>
      </c>
      <c r="AK70" s="165" t="s">
        <v>2718</v>
      </c>
      <c r="AL70" s="165" t="s">
        <v>819</v>
      </c>
      <c r="AM70" s="165" t="s">
        <v>1911</v>
      </c>
      <c r="AN70" s="165" t="s">
        <v>1911</v>
      </c>
      <c r="AO70" s="165" t="s">
        <v>819</v>
      </c>
      <c r="AP70" s="150" t="s">
        <v>2663</v>
      </c>
      <c r="AQ70" s="288"/>
    </row>
    <row r="71">
      <c r="A71" s="244" t="s">
        <v>355</v>
      </c>
      <c r="B71" s="244" t="s">
        <v>356</v>
      </c>
      <c r="C71" s="175" t="str">
        <f>VLOOKUP(A71,Import!A:C,3,false)</f>
        <v>DOĞRU</v>
      </c>
      <c r="D71" s="244" t="s">
        <v>2867</v>
      </c>
      <c r="E71" s="280">
        <f>VLOOKUP(A71,Import!A:J,5,0)</f>
        <v>211</v>
      </c>
      <c r="F71" s="280" t="str">
        <f>VLOOKUP(A71,Import!A:J,6,0)</f>
        <v/>
      </c>
      <c r="G71" s="289">
        <f>VLOOKUP(A71,Import!A:J,7,0)</f>
        <v>5</v>
      </c>
      <c r="H71" s="289">
        <f>VLOOKUP(A71,Import!A:J,8,0)</f>
        <v>21</v>
      </c>
      <c r="I71" s="289">
        <f>VLOOKUP(A71,Import!A:J,9,0)</f>
        <v>26</v>
      </c>
      <c r="J71" s="282">
        <f>VLOOKUP(A71,Import!A:J,10,0)</f>
        <v>0.19</v>
      </c>
      <c r="K71" s="244" t="str">
        <f>VLOOKUP(A71,Import!A:P,11,0)</f>
        <v>ERCAN ERDOĞAN</v>
      </c>
      <c r="L71" s="280">
        <v>5.458720149E9</v>
      </c>
      <c r="M71" s="244" t="s">
        <v>2666</v>
      </c>
      <c r="N71" s="244" t="s">
        <v>2685</v>
      </c>
      <c r="O71" s="244" t="s">
        <v>358</v>
      </c>
      <c r="P71" s="244" t="str">
        <f>VLOOKUP(A71,Import!A:P,16,0)</f>
        <v>Geleneksel</v>
      </c>
      <c r="Q71" s="291" t="s">
        <v>2686</v>
      </c>
      <c r="R71" s="292" t="b">
        <v>1</v>
      </c>
      <c r="S71" s="293" t="b">
        <v>0</v>
      </c>
      <c r="T71" s="165" t="s">
        <v>2661</v>
      </c>
      <c r="U71" s="165" t="s">
        <v>1000</v>
      </c>
      <c r="V71" s="339" t="s">
        <v>46</v>
      </c>
      <c r="W71" s="165" t="s">
        <v>2868</v>
      </c>
      <c r="X71" s="295">
        <v>44270.0</v>
      </c>
      <c r="Y71" s="295">
        <v>44274.0</v>
      </c>
      <c r="Z71" s="288"/>
      <c r="AA71" s="288"/>
      <c r="AB71" s="288"/>
      <c r="AC71" s="288"/>
      <c r="AD71" s="288"/>
      <c r="AE71" s="160"/>
      <c r="AF71" s="288"/>
      <c r="AG71" s="160"/>
      <c r="AH71" s="288"/>
      <c r="AI71" s="288"/>
      <c r="AJ71" s="288"/>
      <c r="AK71" s="288"/>
      <c r="AL71" s="288"/>
      <c r="AM71" s="288"/>
      <c r="AN71" s="288"/>
      <c r="AO71" s="288"/>
      <c r="AP71" s="150" t="s">
        <v>2663</v>
      </c>
      <c r="AQ71" s="288"/>
    </row>
    <row r="72">
      <c r="A72" s="244" t="s">
        <v>2869</v>
      </c>
      <c r="B72" s="244" t="s">
        <v>2870</v>
      </c>
      <c r="C72" s="175" t="str">
        <f>VLOOKUP(A72,Import!A:C,3,false)</f>
        <v>DOĞRU</v>
      </c>
      <c r="D72" s="175" t="s">
        <v>2684</v>
      </c>
      <c r="E72" s="280">
        <f>VLOOKUP(A72,Import!A:J,5,0)</f>
        <v>1127</v>
      </c>
      <c r="F72" s="280">
        <f>VLOOKUP(A72,Import!A:J,6,0)</f>
        <v>31</v>
      </c>
      <c r="G72" s="289">
        <f>VLOOKUP(A72,Import!A:J,7,0)</f>
        <v>9</v>
      </c>
      <c r="H72" s="289">
        <f>VLOOKUP(A72,Import!A:J,8,0)</f>
        <v>18</v>
      </c>
      <c r="I72" s="289">
        <f>VLOOKUP(A72,Import!A:J,9,0)</f>
        <v>27</v>
      </c>
      <c r="J72" s="282">
        <f>VLOOKUP(A72,Import!A:J,10,0)</f>
        <v>0.33</v>
      </c>
      <c r="K72" s="244" t="str">
        <f>VLOOKUP(A72,Import!A:P,11,0)</f>
        <v>FURKAN SEYDAN</v>
      </c>
      <c r="L72" s="283">
        <v>2.22323609E9</v>
      </c>
      <c r="M72" s="175" t="s">
        <v>2666</v>
      </c>
      <c r="N72" s="175" t="s">
        <v>2855</v>
      </c>
      <c r="O72" s="175" t="s">
        <v>2073</v>
      </c>
      <c r="P72" s="244" t="str">
        <f>VLOOKUP(A72,Import!A:P,16,0)</f>
        <v>Geleneksel</v>
      </c>
      <c r="Q72" s="284" t="s">
        <v>2660</v>
      </c>
      <c r="R72" s="285" t="b">
        <v>1</v>
      </c>
      <c r="S72" s="285" t="b">
        <v>1</v>
      </c>
      <c r="T72" s="171" t="s">
        <v>2734</v>
      </c>
      <c r="U72" s="171"/>
      <c r="V72" s="171" t="s">
        <v>31</v>
      </c>
      <c r="W72" s="171" t="s">
        <v>2871</v>
      </c>
      <c r="X72" s="287">
        <v>44231.0</v>
      </c>
      <c r="Y72" s="287">
        <v>44235.0</v>
      </c>
      <c r="Z72" s="288"/>
      <c r="AA72" s="288"/>
      <c r="AB72" s="288"/>
      <c r="AC72" s="288"/>
      <c r="AD72" s="288"/>
      <c r="AE72" s="160"/>
      <c r="AF72" s="288"/>
      <c r="AG72" s="160"/>
      <c r="AH72" s="288"/>
      <c r="AI72" s="288"/>
      <c r="AJ72" s="288"/>
      <c r="AK72" s="288"/>
      <c r="AL72" s="288"/>
      <c r="AM72" s="288"/>
      <c r="AN72" s="288"/>
      <c r="AO72" s="288"/>
      <c r="AP72" s="150" t="s">
        <v>2663</v>
      </c>
      <c r="AQ72" s="288"/>
    </row>
    <row r="73">
      <c r="A73" s="244" t="s">
        <v>70</v>
      </c>
      <c r="B73" s="244" t="s">
        <v>71</v>
      </c>
      <c r="C73" s="175" t="str">
        <f>VLOOKUP(A73,Import!A:C,3,false)</f>
        <v>DOĞRU</v>
      </c>
      <c r="D73" s="153" t="s">
        <v>2658</v>
      </c>
      <c r="E73" s="280">
        <f>VLOOKUP(A73,Import!A:J,5,0)</f>
        <v>9926</v>
      </c>
      <c r="F73" s="280">
        <f>VLOOKUP(A73,Import!A:J,6,0)</f>
        <v>169</v>
      </c>
      <c r="G73" s="289">
        <f>VLOOKUP(A73,Import!A:J,7,0)</f>
        <v>0</v>
      </c>
      <c r="H73" s="289">
        <f>VLOOKUP(A73,Import!A:J,8,0)</f>
        <v>6</v>
      </c>
      <c r="I73" s="289">
        <f>VLOOKUP(A73,Import!A:J,9,0)</f>
        <v>6</v>
      </c>
      <c r="J73" s="282">
        <f>VLOOKUP(A73,Import!A:J,10,0)</f>
        <v>0</v>
      </c>
      <c r="K73" s="244" t="str">
        <f>VLOOKUP(A73,Import!A:P,11,0)</f>
        <v>METİN KETENCİ</v>
      </c>
      <c r="L73" s="340">
        <v>2.222255303E9</v>
      </c>
      <c r="M73" s="153" t="s">
        <v>1450</v>
      </c>
      <c r="N73" s="153" t="s">
        <v>2795</v>
      </c>
      <c r="O73" s="153" t="s">
        <v>74</v>
      </c>
      <c r="P73" s="244" t="str">
        <f>VLOOKUP(A73,Import!A:P,16,0)</f>
        <v>Geleneksel</v>
      </c>
      <c r="Q73" s="341" t="s">
        <v>2686</v>
      </c>
      <c r="R73" s="342" t="b">
        <v>1</v>
      </c>
      <c r="S73" s="343" t="b">
        <v>0</v>
      </c>
      <c r="T73" s="163" t="s">
        <v>2714</v>
      </c>
      <c r="U73" s="163" t="s">
        <v>945</v>
      </c>
      <c r="V73" s="163" t="s">
        <v>46</v>
      </c>
      <c r="W73" s="163" t="s">
        <v>2872</v>
      </c>
      <c r="X73" s="344">
        <v>44232.0</v>
      </c>
      <c r="Y73" s="344">
        <v>44236.0</v>
      </c>
      <c r="Z73" s="288"/>
      <c r="AA73" s="165" t="s">
        <v>2669</v>
      </c>
      <c r="AB73" s="295">
        <v>44547.0</v>
      </c>
      <c r="AC73" s="288"/>
      <c r="AD73" s="288"/>
      <c r="AE73" s="160"/>
      <c r="AF73" s="288"/>
      <c r="AG73" s="160"/>
      <c r="AH73" s="288"/>
      <c r="AI73" s="288"/>
      <c r="AJ73" s="288"/>
      <c r="AK73" s="165" t="s">
        <v>1971</v>
      </c>
      <c r="AL73" s="288"/>
      <c r="AM73" s="288"/>
      <c r="AN73" s="288"/>
      <c r="AO73" s="288"/>
      <c r="AP73" s="150" t="s">
        <v>2663</v>
      </c>
      <c r="AQ73" s="288"/>
    </row>
    <row r="74">
      <c r="A74" s="150" t="s">
        <v>2873</v>
      </c>
      <c r="B74" s="150" t="s">
        <v>2874</v>
      </c>
      <c r="C74" s="175" t="str">
        <f>VLOOKUP(A74,Import!A:C,3,false)</f>
        <v>DOĞRU</v>
      </c>
      <c r="D74" s="150" t="s">
        <v>2763</v>
      </c>
      <c r="E74" s="280">
        <f>VLOOKUP(A74,Import!A:J,5,0)</f>
        <v>386</v>
      </c>
      <c r="F74" s="280">
        <f>VLOOKUP(A74,Import!A:J,6,0)</f>
        <v>34</v>
      </c>
      <c r="G74" s="289">
        <f>VLOOKUP(A74,Import!A:J,7,0)</f>
        <v>0</v>
      </c>
      <c r="H74" s="289">
        <f>VLOOKUP(A74,Import!A:J,8,0)</f>
        <v>17</v>
      </c>
      <c r="I74" s="289">
        <f>VLOOKUP(A74,Import!A:J,9,0)</f>
        <v>17</v>
      </c>
      <c r="J74" s="282">
        <f>VLOOKUP(A74,Import!A:J,10,0)</f>
        <v>0</v>
      </c>
      <c r="K74" s="290" t="s">
        <v>2875</v>
      </c>
      <c r="L74" s="150">
        <v>5.528775383E9</v>
      </c>
      <c r="M74" s="150" t="s">
        <v>2666</v>
      </c>
      <c r="N74" s="150" t="s">
        <v>2876</v>
      </c>
      <c r="O74" s="150" t="s">
        <v>2877</v>
      </c>
      <c r="P74" s="244" t="str">
        <f>VLOOKUP(A74,Import!A:P,16,0)</f>
        <v>Geleneksel</v>
      </c>
      <c r="Q74" s="291"/>
      <c r="R74" s="292" t="b">
        <v>1</v>
      </c>
      <c r="S74" s="293" t="b">
        <v>0</v>
      </c>
      <c r="T74" s="149" t="s">
        <v>2693</v>
      </c>
      <c r="U74" s="296"/>
      <c r="V74" s="296"/>
      <c r="W74" s="149" t="s">
        <v>2878</v>
      </c>
      <c r="X74" s="297"/>
      <c r="Y74" s="297"/>
      <c r="Z74" s="288"/>
      <c r="AA74" s="165" t="s">
        <v>2699</v>
      </c>
      <c r="AB74" s="295">
        <v>44596.0</v>
      </c>
      <c r="AC74" s="288"/>
      <c r="AD74" s="288"/>
      <c r="AE74" s="160"/>
      <c r="AF74" s="288"/>
      <c r="AG74" s="160"/>
      <c r="AH74" s="288"/>
      <c r="AI74" s="288"/>
      <c r="AJ74" s="288"/>
      <c r="AK74" s="165" t="s">
        <v>819</v>
      </c>
      <c r="AL74" s="288"/>
      <c r="AM74" s="288"/>
      <c r="AN74" s="288"/>
      <c r="AO74" s="165"/>
      <c r="AP74" s="150"/>
      <c r="AQ74" s="165"/>
    </row>
    <row r="75">
      <c r="A75" s="150" t="s">
        <v>1592</v>
      </c>
      <c r="B75" s="150" t="s">
        <v>1593</v>
      </c>
      <c r="C75" s="175" t="str">
        <f>VLOOKUP(A75,Import!A:C,3,false)</f>
        <v>DOĞRU</v>
      </c>
      <c r="D75" s="150" t="s">
        <v>2696</v>
      </c>
      <c r="E75" s="280">
        <f>VLOOKUP(A75,Import!A:J,5,0)</f>
        <v>4475</v>
      </c>
      <c r="F75" s="280">
        <f>VLOOKUP(A75,Import!A:J,6,0)</f>
        <v>90</v>
      </c>
      <c r="G75" s="289">
        <f>VLOOKUP(A75,Import!A:J,7,0)</f>
        <v>0</v>
      </c>
      <c r="H75" s="289">
        <f>VLOOKUP(A75,Import!A:J,8,0)</f>
        <v>56</v>
      </c>
      <c r="I75" s="289">
        <f>VLOOKUP(A75,Import!A:J,9,0)</f>
        <v>56</v>
      </c>
      <c r="J75" s="282">
        <f>VLOOKUP(A75,Import!A:J,10,0)</f>
        <v>0</v>
      </c>
      <c r="K75" s="244" t="str">
        <f>VLOOKUP(A75,Import!A:P,11,0)</f>
        <v>Bilal Yıldız</v>
      </c>
      <c r="L75" s="150">
        <v>2.22322006E9</v>
      </c>
      <c r="M75" s="150" t="s">
        <v>2666</v>
      </c>
      <c r="N75" s="150" t="s">
        <v>2879</v>
      </c>
      <c r="O75" s="150" t="s">
        <v>1596</v>
      </c>
      <c r="P75" s="244" t="str">
        <f>VLOOKUP(A75,Import!A:P,16,0)</f>
        <v>Geleneksel</v>
      </c>
      <c r="Q75" s="291"/>
      <c r="R75" s="292" t="b">
        <v>1</v>
      </c>
      <c r="S75" s="293" t="b">
        <v>0</v>
      </c>
      <c r="T75" s="149" t="s">
        <v>2880</v>
      </c>
      <c r="U75" s="149" t="s">
        <v>2718</v>
      </c>
      <c r="V75" s="296"/>
      <c r="W75" s="149" t="s">
        <v>2881</v>
      </c>
      <c r="X75" s="294">
        <v>44378.0</v>
      </c>
      <c r="Y75" s="294">
        <v>44386.0</v>
      </c>
      <c r="Z75" s="288"/>
      <c r="AA75" s="165" t="s">
        <v>2669</v>
      </c>
      <c r="AB75" s="295">
        <v>44378.0</v>
      </c>
      <c r="AC75" s="165" t="s">
        <v>2772</v>
      </c>
      <c r="AD75" s="295">
        <v>44529.0</v>
      </c>
      <c r="AE75" s="160"/>
      <c r="AF75" s="288"/>
      <c r="AG75" s="160"/>
      <c r="AH75" s="288"/>
      <c r="AI75" s="288"/>
      <c r="AJ75" s="288"/>
      <c r="AK75" s="165" t="s">
        <v>2718</v>
      </c>
      <c r="AL75" s="165" t="s">
        <v>1715</v>
      </c>
      <c r="AM75" s="288"/>
      <c r="AN75" s="288"/>
      <c r="AO75" s="288"/>
      <c r="AP75" s="150" t="s">
        <v>2663</v>
      </c>
      <c r="AQ75" s="288"/>
    </row>
    <row r="76">
      <c r="A76" s="150" t="s">
        <v>2048</v>
      </c>
      <c r="B76" s="150" t="s">
        <v>2049</v>
      </c>
      <c r="C76" s="175" t="str">
        <f>VLOOKUP(A76,Import!A:C,3,false)</f>
        <v>DOĞRU</v>
      </c>
      <c r="D76" s="150" t="s">
        <v>2701</v>
      </c>
      <c r="E76" s="280">
        <f>VLOOKUP(A76,Import!A:J,5,0)</f>
        <v>978</v>
      </c>
      <c r="F76" s="280">
        <f>VLOOKUP(A76,Import!A:J,6,0)</f>
        <v>129</v>
      </c>
      <c r="G76" s="289">
        <f>VLOOKUP(A76,Import!A:J,7,0)</f>
        <v>20</v>
      </c>
      <c r="H76" s="289">
        <f>VLOOKUP(A76,Import!A:J,8,0)</f>
        <v>26</v>
      </c>
      <c r="I76" s="289">
        <f>VLOOKUP(A76,Import!A:J,9,0)</f>
        <v>46</v>
      </c>
      <c r="J76" s="282">
        <f>VLOOKUP(A76,Import!A:J,10,0)</f>
        <v>0.43</v>
      </c>
      <c r="K76" s="290" t="s">
        <v>2882</v>
      </c>
      <c r="L76" s="150">
        <v>2.222100005E9</v>
      </c>
      <c r="M76" s="150" t="s">
        <v>2666</v>
      </c>
      <c r="N76" s="150" t="s">
        <v>2667</v>
      </c>
      <c r="O76" s="150" t="s">
        <v>2051</v>
      </c>
      <c r="P76" s="244" t="str">
        <f>VLOOKUP(A76,Import!A:P,16,0)</f>
        <v>Geleneksel</v>
      </c>
      <c r="Q76" s="291"/>
      <c r="R76" s="292" t="b">
        <v>1</v>
      </c>
      <c r="S76" s="293" t="b">
        <v>0</v>
      </c>
      <c r="T76" s="149" t="s">
        <v>2661</v>
      </c>
      <c r="U76" s="149" t="s">
        <v>819</v>
      </c>
      <c r="V76" s="301" t="s">
        <v>1609</v>
      </c>
      <c r="W76" s="149">
        <v>5.309420337E9</v>
      </c>
      <c r="X76" s="294">
        <v>44526.0</v>
      </c>
      <c r="Y76" s="294">
        <v>44530.0</v>
      </c>
      <c r="Z76" s="288"/>
      <c r="AA76" s="165" t="s">
        <v>2669</v>
      </c>
      <c r="AB76" s="295">
        <v>44526.0</v>
      </c>
      <c r="AC76" s="165" t="s">
        <v>2669</v>
      </c>
      <c r="AD76" s="295">
        <v>44526.0</v>
      </c>
      <c r="AE76" s="160"/>
      <c r="AF76" s="288"/>
      <c r="AG76" s="160"/>
      <c r="AH76" s="288"/>
      <c r="AI76" s="288"/>
      <c r="AJ76" s="288"/>
      <c r="AK76" s="165" t="s">
        <v>819</v>
      </c>
      <c r="AL76" s="165" t="s">
        <v>819</v>
      </c>
      <c r="AM76" s="288"/>
      <c r="AN76" s="288"/>
      <c r="AO76" s="165"/>
      <c r="AP76" s="150" t="s">
        <v>2663</v>
      </c>
      <c r="AQ76" s="165"/>
    </row>
    <row r="77">
      <c r="A77" s="150" t="s">
        <v>2883</v>
      </c>
      <c r="B77" s="150" t="s">
        <v>2884</v>
      </c>
      <c r="C77" s="175" t="str">
        <f>VLOOKUP(A77,Import!A:C,3,false)</f>
        <v>YANLIŞ</v>
      </c>
      <c r="D77" s="150" t="s">
        <v>2672</v>
      </c>
      <c r="E77" s="280">
        <f>VLOOKUP(A77,Import!A:J,5,0)</f>
        <v>60</v>
      </c>
      <c r="F77" s="280" t="str">
        <f>VLOOKUP(A77,Import!A:J,6,0)</f>
        <v/>
      </c>
      <c r="G77" s="289">
        <f>VLOOKUP(A77,Import!A:J,7,0)</f>
        <v>0</v>
      </c>
      <c r="H77" s="289">
        <f>VLOOKUP(A77,Import!A:J,8,0)</f>
        <v>6</v>
      </c>
      <c r="I77" s="289">
        <f>VLOOKUP(A77,Import!A:J,9,0)</f>
        <v>6</v>
      </c>
      <c r="J77" s="282">
        <f>VLOOKUP(A77,Import!A:J,10,0)</f>
        <v>0</v>
      </c>
      <c r="K77" s="290" t="s">
        <v>2885</v>
      </c>
      <c r="L77" s="150">
        <v>5.456190898E9</v>
      </c>
      <c r="M77" s="150" t="s">
        <v>2666</v>
      </c>
      <c r="N77" s="150" t="s">
        <v>2809</v>
      </c>
      <c r="O77" s="150" t="s">
        <v>2886</v>
      </c>
      <c r="P77" s="244" t="str">
        <f>VLOOKUP(A77,Import!A:P,16,0)</f>
        <v>Geleneksel</v>
      </c>
      <c r="Q77" s="291"/>
      <c r="R77" s="292" t="b">
        <v>1</v>
      </c>
      <c r="S77" s="293" t="b">
        <v>0</v>
      </c>
      <c r="T77" s="149" t="s">
        <v>2693</v>
      </c>
      <c r="U77" s="296"/>
      <c r="V77" s="296"/>
      <c r="W77" s="149" t="s">
        <v>2887</v>
      </c>
      <c r="X77" s="297"/>
      <c r="Y77" s="297"/>
      <c r="Z77" s="288"/>
      <c r="AA77" s="165" t="s">
        <v>2693</v>
      </c>
      <c r="AB77" s="295">
        <v>44596.0</v>
      </c>
      <c r="AC77" s="288"/>
      <c r="AD77" s="288"/>
      <c r="AE77" s="160"/>
      <c r="AF77" s="288"/>
      <c r="AG77" s="160"/>
      <c r="AH77" s="288"/>
      <c r="AI77" s="288"/>
      <c r="AJ77" s="288"/>
      <c r="AK77" s="165" t="s">
        <v>819</v>
      </c>
      <c r="AL77" s="288"/>
      <c r="AM77" s="288"/>
      <c r="AN77" s="288"/>
      <c r="AO77" s="165"/>
      <c r="AP77" s="150"/>
      <c r="AQ77" s="165"/>
    </row>
    <row r="78">
      <c r="A78" s="150" t="s">
        <v>2888</v>
      </c>
      <c r="B78" s="150" t="s">
        <v>2889</v>
      </c>
      <c r="C78" s="175" t="str">
        <f>VLOOKUP(A78,Import!A:C,3,false)</f>
        <v>DOĞRU</v>
      </c>
      <c r="D78" s="150" t="s">
        <v>2701</v>
      </c>
      <c r="E78" s="280">
        <f>VLOOKUP(A78,Import!A:J,5,0)</f>
        <v>673</v>
      </c>
      <c r="F78" s="280">
        <f>VLOOKUP(A78,Import!A:J,6,0)</f>
        <v>147</v>
      </c>
      <c r="G78" s="289">
        <f>VLOOKUP(A78,Import!A:J,7,0)</f>
        <v>26</v>
      </c>
      <c r="H78" s="289">
        <f>VLOOKUP(A78,Import!A:J,8,0)</f>
        <v>20</v>
      </c>
      <c r="I78" s="289">
        <f>VLOOKUP(A78,Import!A:J,9,0)</f>
        <v>46</v>
      </c>
      <c r="J78" s="282">
        <f>VLOOKUP(A78,Import!A:J,10,0)</f>
        <v>0.57</v>
      </c>
      <c r="K78" s="290" t="s">
        <v>2890</v>
      </c>
      <c r="L78" s="150">
        <v>5.444477754E9</v>
      </c>
      <c r="M78" s="150" t="s">
        <v>1450</v>
      </c>
      <c r="N78" s="150" t="s">
        <v>2703</v>
      </c>
      <c r="O78" s="150" t="s">
        <v>2891</v>
      </c>
      <c r="P78" s="244" t="str">
        <f>VLOOKUP(A78,Import!A:P,16,0)</f>
        <v>Geleneksel</v>
      </c>
      <c r="Q78" s="291"/>
      <c r="R78" s="292" t="b">
        <v>0</v>
      </c>
      <c r="S78" s="293" t="b">
        <v>0</v>
      </c>
      <c r="T78" s="149"/>
      <c r="U78" s="296"/>
      <c r="V78" s="296"/>
      <c r="W78" s="149"/>
      <c r="X78" s="297"/>
      <c r="Y78" s="297"/>
      <c r="Z78" s="288"/>
      <c r="AA78" s="165" t="s">
        <v>2772</v>
      </c>
      <c r="AB78" s="295">
        <v>44602.0</v>
      </c>
      <c r="AC78" s="288"/>
      <c r="AD78" s="288"/>
      <c r="AE78" s="160"/>
      <c r="AF78" s="288"/>
      <c r="AG78" s="160"/>
      <c r="AH78" s="288"/>
      <c r="AI78" s="288"/>
      <c r="AJ78" s="288"/>
      <c r="AK78" s="165" t="s">
        <v>921</v>
      </c>
      <c r="AL78" s="288"/>
      <c r="AM78" s="288"/>
      <c r="AN78" s="288"/>
      <c r="AO78" s="165"/>
      <c r="AP78" s="150"/>
      <c r="AQ78" s="165"/>
    </row>
    <row r="79">
      <c r="A79" s="150" t="s">
        <v>2892</v>
      </c>
      <c r="B79" s="150" t="s">
        <v>2893</v>
      </c>
      <c r="C79" s="175" t="str">
        <f>VLOOKUP(A79,Import!A:C,3,false)</f>
        <v>DOĞRU</v>
      </c>
      <c r="D79" s="150" t="s">
        <v>2701</v>
      </c>
      <c r="E79" s="280" t="str">
        <f>VLOOKUP(A79,Import!A:J,5,0)</f>
        <v/>
      </c>
      <c r="F79" s="280" t="str">
        <f>VLOOKUP(A79,Import!A:J,6,0)</f>
        <v/>
      </c>
      <c r="G79" s="289">
        <f>VLOOKUP(A79,Import!A:J,7,0)</f>
        <v>0</v>
      </c>
      <c r="H79" s="289">
        <f>VLOOKUP(A79,Import!A:J,8,0)</f>
        <v>65</v>
      </c>
      <c r="I79" s="289">
        <f>VLOOKUP(A79,Import!A:J,9,0)</f>
        <v>65</v>
      </c>
      <c r="J79" s="282">
        <f>VLOOKUP(A79,Import!A:J,10,0)</f>
        <v>0</v>
      </c>
      <c r="K79" s="150" t="s">
        <v>2894</v>
      </c>
      <c r="L79" s="150">
        <v>5.428999053E9</v>
      </c>
      <c r="M79" s="150" t="s">
        <v>2666</v>
      </c>
      <c r="N79" s="150" t="s">
        <v>2685</v>
      </c>
      <c r="O79" s="150" t="s">
        <v>2895</v>
      </c>
      <c r="P79" s="244" t="str">
        <f>VLOOKUP(A79,Import!A:P,16,0)</f>
        <v>Geleneksel</v>
      </c>
      <c r="Q79" s="291"/>
      <c r="R79" s="292" t="b">
        <v>0</v>
      </c>
      <c r="S79" s="293" t="b">
        <v>0</v>
      </c>
      <c r="T79" s="149"/>
      <c r="U79" s="296"/>
      <c r="V79" s="296"/>
      <c r="W79" s="149"/>
      <c r="X79" s="297"/>
      <c r="Y79" s="297"/>
      <c r="Z79" s="288"/>
      <c r="AA79" s="165"/>
      <c r="AB79" s="295"/>
      <c r="AC79" s="288"/>
      <c r="AD79" s="288"/>
      <c r="AE79" s="160"/>
      <c r="AF79" s="288"/>
      <c r="AG79" s="160"/>
      <c r="AH79" s="288"/>
      <c r="AI79" s="288"/>
      <c r="AJ79" s="288"/>
      <c r="AK79" s="165"/>
      <c r="AL79" s="288"/>
      <c r="AM79" s="288"/>
      <c r="AN79" s="288"/>
      <c r="AO79" s="165"/>
      <c r="AP79" s="150"/>
      <c r="AQ79" s="165"/>
    </row>
    <row r="80">
      <c r="A80" s="244" t="s">
        <v>217</v>
      </c>
      <c r="B80" s="244" t="s">
        <v>218</v>
      </c>
      <c r="C80" s="175" t="str">
        <f>VLOOKUP(A80,Import!A:C,3,false)</f>
        <v>YANLIŞ</v>
      </c>
      <c r="D80" s="303" t="s">
        <v>2701</v>
      </c>
      <c r="E80" s="280">
        <f>VLOOKUP(A80,Import!A:J,5,0)</f>
        <v>332</v>
      </c>
      <c r="F80" s="280" t="str">
        <f>VLOOKUP(A80,Import!A:J,6,0)</f>
        <v/>
      </c>
      <c r="G80" s="289">
        <f>VLOOKUP(A80,Import!A:J,7,0)</f>
        <v>5</v>
      </c>
      <c r="H80" s="289">
        <f>VLOOKUP(A80,Import!A:J,8,0)</f>
        <v>3</v>
      </c>
      <c r="I80" s="289">
        <f>VLOOKUP(A80,Import!A:J,9,0)</f>
        <v>8</v>
      </c>
      <c r="J80" s="282">
        <f>VLOOKUP(A80,Import!A:J,10,0)</f>
        <v>0.63</v>
      </c>
      <c r="K80" s="244" t="str">
        <f>VLOOKUP(A80,Import!A:P,11,0)</f>
        <v>Özben Bağırsakçı</v>
      </c>
      <c r="L80" s="304">
        <v>2.222241957E9</v>
      </c>
      <c r="M80" s="303" t="s">
        <v>1450</v>
      </c>
      <c r="N80" s="303" t="s">
        <v>2795</v>
      </c>
      <c r="O80" s="303" t="s">
        <v>220</v>
      </c>
      <c r="P80" s="244" t="str">
        <f>VLOOKUP(A80,Import!A:P,16,0)</f>
        <v>Geleneksel</v>
      </c>
      <c r="Q80" s="305" t="s">
        <v>2660</v>
      </c>
      <c r="R80" s="306" t="b">
        <v>1</v>
      </c>
      <c r="S80" s="307" t="b">
        <v>0</v>
      </c>
      <c r="T80" s="309" t="s">
        <v>2661</v>
      </c>
      <c r="U80" s="309"/>
      <c r="V80" s="309" t="s">
        <v>13</v>
      </c>
      <c r="W80" s="309" t="s">
        <v>2708</v>
      </c>
      <c r="X80" s="310">
        <v>44232.0</v>
      </c>
      <c r="Y80" s="310">
        <v>44238.0</v>
      </c>
      <c r="Z80" s="288"/>
      <c r="AA80" s="288"/>
      <c r="AB80" s="288"/>
      <c r="AC80" s="288"/>
      <c r="AD80" s="288"/>
      <c r="AE80" s="160"/>
      <c r="AF80" s="288"/>
      <c r="AG80" s="160"/>
      <c r="AH80" s="288"/>
      <c r="AI80" s="288"/>
      <c r="AJ80" s="288"/>
      <c r="AK80" s="288"/>
      <c r="AL80" s="288"/>
      <c r="AM80" s="288"/>
      <c r="AN80" s="288"/>
      <c r="AO80" s="288"/>
      <c r="AP80" s="150" t="s">
        <v>2663</v>
      </c>
      <c r="AQ80" s="288"/>
    </row>
    <row r="81">
      <c r="A81" s="147" t="s">
        <v>2058</v>
      </c>
      <c r="B81" s="147" t="s">
        <v>2059</v>
      </c>
      <c r="C81" s="175" t="str">
        <f>VLOOKUP(A81,Import!A:C,3,false)</f>
        <v>DOĞRU</v>
      </c>
      <c r="D81" s="147" t="s">
        <v>2896</v>
      </c>
      <c r="E81" s="280">
        <f>VLOOKUP(A81,Import!A:J,5,0)</f>
        <v>125</v>
      </c>
      <c r="F81" s="280">
        <f>VLOOKUP(A81,Import!A:J,6,0)</f>
        <v>1</v>
      </c>
      <c r="G81" s="289">
        <f>VLOOKUP(A81,Import!A:J,7,0)</f>
        <v>0</v>
      </c>
      <c r="H81" s="289">
        <f>VLOOKUP(A81,Import!A:J,8,0)</f>
        <v>21</v>
      </c>
      <c r="I81" s="289">
        <f>VLOOKUP(A81,Import!A:J,9,0)</f>
        <v>21</v>
      </c>
      <c r="J81" s="282">
        <f>VLOOKUP(A81,Import!A:J,10,0)</f>
        <v>0</v>
      </c>
      <c r="K81" s="244" t="str">
        <f>VLOOKUP(A81,Import!A:P,11,0)</f>
        <v>ÖMER FARUK ÖZDEMİRLİ</v>
      </c>
      <c r="L81" s="147">
        <v>2.2232395E9</v>
      </c>
      <c r="M81" s="147" t="s">
        <v>2666</v>
      </c>
      <c r="N81" s="147" t="s">
        <v>2855</v>
      </c>
      <c r="O81" s="147" t="s">
        <v>2056</v>
      </c>
      <c r="P81" s="244" t="str">
        <f>VLOOKUP(A81,Import!A:P,16,0)</f>
        <v>Geleneksel</v>
      </c>
      <c r="Q81" s="330"/>
      <c r="R81" s="292" t="b">
        <v>1</v>
      </c>
      <c r="S81" s="293" t="b">
        <v>0</v>
      </c>
      <c r="T81" s="149" t="s">
        <v>2668</v>
      </c>
      <c r="U81" s="149" t="s">
        <v>1717</v>
      </c>
      <c r="V81" s="269" t="s">
        <v>1609</v>
      </c>
      <c r="X81" s="294">
        <v>44532.0</v>
      </c>
      <c r="Y81" s="294">
        <v>44537.0</v>
      </c>
      <c r="Z81" s="288"/>
      <c r="AA81" s="165" t="s">
        <v>2669</v>
      </c>
      <c r="AB81" s="295">
        <v>44522.0</v>
      </c>
      <c r="AC81" s="165" t="s">
        <v>2669</v>
      </c>
      <c r="AD81" s="295">
        <v>44532.0</v>
      </c>
      <c r="AE81" s="160"/>
      <c r="AF81" s="288"/>
      <c r="AG81" s="160"/>
      <c r="AH81" s="288"/>
      <c r="AI81" s="288"/>
      <c r="AJ81" s="288"/>
      <c r="AK81" s="165" t="s">
        <v>1715</v>
      </c>
      <c r="AL81" s="165" t="s">
        <v>1717</v>
      </c>
      <c r="AM81" s="288"/>
      <c r="AN81" s="288"/>
      <c r="AO81" s="288"/>
      <c r="AP81" s="150" t="s">
        <v>2663</v>
      </c>
      <c r="AQ81" s="288"/>
    </row>
    <row r="82">
      <c r="A82" s="244" t="s">
        <v>135</v>
      </c>
      <c r="B82" s="244" t="s">
        <v>136</v>
      </c>
      <c r="C82" s="175" t="str">
        <f>VLOOKUP(A82,Import!A:C,3,false)</f>
        <v>DOĞRU</v>
      </c>
      <c r="D82" s="303" t="s">
        <v>2658</v>
      </c>
      <c r="E82" s="280">
        <f>VLOOKUP(A82,Import!A:J,5,0)</f>
        <v>239</v>
      </c>
      <c r="F82" s="280" t="str">
        <f>VLOOKUP(A82,Import!A:J,6,0)</f>
        <v/>
      </c>
      <c r="G82" s="289">
        <f>VLOOKUP(A82,Import!A:J,7,0)</f>
        <v>3</v>
      </c>
      <c r="H82" s="289">
        <f>VLOOKUP(A82,Import!A:J,8,0)</f>
        <v>1</v>
      </c>
      <c r="I82" s="289">
        <f>VLOOKUP(A82,Import!A:J,9,0)</f>
        <v>4</v>
      </c>
      <c r="J82" s="282">
        <f>VLOOKUP(A82,Import!A:J,10,0)</f>
        <v>0.75</v>
      </c>
      <c r="K82" s="244" t="str">
        <f>VLOOKUP(A82,Import!A:P,11,0)</f>
        <v>Timur Büyüktoğtul</v>
      </c>
      <c r="L82" s="304">
        <v>5.359291428E9</v>
      </c>
      <c r="M82" s="303" t="s">
        <v>2666</v>
      </c>
      <c r="N82" s="303" t="s">
        <v>2897</v>
      </c>
      <c r="O82" s="303" t="s">
        <v>139</v>
      </c>
      <c r="P82" s="244" t="str">
        <f>VLOOKUP(A82,Import!A:P,16,0)</f>
        <v>Geleneksel</v>
      </c>
      <c r="Q82" s="305" t="s">
        <v>2660</v>
      </c>
      <c r="R82" s="306" t="b">
        <v>1</v>
      </c>
      <c r="S82" s="307" t="b">
        <v>0</v>
      </c>
      <c r="T82" s="309" t="s">
        <v>2661</v>
      </c>
      <c r="U82" s="309"/>
      <c r="V82" s="188" t="s">
        <v>13</v>
      </c>
      <c r="W82" s="309" t="s">
        <v>2898</v>
      </c>
      <c r="X82" s="310">
        <v>44232.0</v>
      </c>
      <c r="Y82" s="310">
        <v>44237.0</v>
      </c>
      <c r="Z82" s="288"/>
      <c r="AA82" s="288"/>
      <c r="AB82" s="288"/>
      <c r="AC82" s="288"/>
      <c r="AD82" s="288"/>
      <c r="AE82" s="160"/>
      <c r="AF82" s="288"/>
      <c r="AG82" s="160"/>
      <c r="AH82" s="288"/>
      <c r="AI82" s="288"/>
      <c r="AJ82" s="288"/>
      <c r="AK82" s="288"/>
      <c r="AL82" s="288"/>
      <c r="AM82" s="288"/>
      <c r="AN82" s="288"/>
      <c r="AO82" s="288"/>
      <c r="AP82" s="150" t="s">
        <v>2663</v>
      </c>
      <c r="AQ82" s="288"/>
    </row>
    <row r="83">
      <c r="A83" s="150" t="s">
        <v>2899</v>
      </c>
      <c r="B83" s="150" t="s">
        <v>2900</v>
      </c>
      <c r="C83" s="175" t="str">
        <f>VLOOKUP(A83,Import!A:C,3,false)</f>
        <v>YANLIŞ</v>
      </c>
      <c r="D83" s="150" t="s">
        <v>2684</v>
      </c>
      <c r="E83" s="280">
        <f>VLOOKUP(A83,Import!A:J,5,0)</f>
        <v>1</v>
      </c>
      <c r="F83" s="280" t="str">
        <f>VLOOKUP(A83,Import!A:J,6,0)</f>
        <v/>
      </c>
      <c r="G83" s="289">
        <f>VLOOKUP(A83,Import!A:J,7,0)</f>
        <v>0</v>
      </c>
      <c r="H83" s="289">
        <f>VLOOKUP(A83,Import!A:J,8,0)</f>
        <v>37</v>
      </c>
      <c r="I83" s="289">
        <f>VLOOKUP(A83,Import!A:J,9,0)</f>
        <v>37</v>
      </c>
      <c r="J83" s="282">
        <f>VLOOKUP(A83,Import!A:J,10,0)</f>
        <v>0</v>
      </c>
      <c r="K83" s="244" t="str">
        <f>VLOOKUP(A83,Import!A:P,11,0)</f>
        <v>Hamza Elhudar</v>
      </c>
      <c r="L83" s="150">
        <v>5.3492553E9</v>
      </c>
      <c r="M83" s="150" t="s">
        <v>2666</v>
      </c>
      <c r="N83" s="150" t="s">
        <v>2682</v>
      </c>
      <c r="O83" s="150" t="s">
        <v>2901</v>
      </c>
      <c r="P83" s="244" t="str">
        <f>VLOOKUP(A83,Import!A:P,16,0)</f>
        <v>Geleneksel</v>
      </c>
      <c r="Q83" s="291" t="s">
        <v>2713</v>
      </c>
      <c r="R83" s="292" t="b">
        <v>1</v>
      </c>
      <c r="S83" s="293" t="b">
        <v>0</v>
      </c>
      <c r="T83" s="296"/>
      <c r="U83" s="296"/>
      <c r="V83" s="296"/>
      <c r="W83" s="149" t="s">
        <v>2902</v>
      </c>
      <c r="X83" s="297"/>
      <c r="Y83" s="297"/>
      <c r="Z83" s="288"/>
      <c r="AA83" s="288"/>
      <c r="AB83" s="288"/>
      <c r="AC83" s="288"/>
      <c r="AD83" s="288"/>
      <c r="AE83" s="160"/>
      <c r="AF83" s="288"/>
      <c r="AG83" s="160"/>
      <c r="AH83" s="288"/>
      <c r="AI83" s="288"/>
      <c r="AJ83" s="288"/>
      <c r="AK83" s="288"/>
      <c r="AL83" s="288"/>
      <c r="AM83" s="288"/>
      <c r="AN83" s="288"/>
      <c r="AO83" s="288"/>
      <c r="AP83" s="150" t="s">
        <v>2663</v>
      </c>
      <c r="AQ83" s="288"/>
    </row>
    <row r="84">
      <c r="A84" s="150" t="s">
        <v>878</v>
      </c>
      <c r="B84" s="150" t="s">
        <v>879</v>
      </c>
      <c r="C84" s="175" t="str">
        <f>VLOOKUP(A84,Import!A:C,3,false)</f>
        <v>DOĞRU</v>
      </c>
      <c r="D84" s="150" t="s">
        <v>2684</v>
      </c>
      <c r="E84" s="280">
        <f>VLOOKUP(A84,Import!A:J,5,0)</f>
        <v>3323</v>
      </c>
      <c r="F84" s="280">
        <f>VLOOKUP(A84,Import!A:J,6,0)</f>
        <v>202</v>
      </c>
      <c r="G84" s="289">
        <f>VLOOKUP(A84,Import!A:J,7,0)</f>
        <v>33</v>
      </c>
      <c r="H84" s="289">
        <f>VLOOKUP(A84,Import!A:J,8,0)</f>
        <v>13</v>
      </c>
      <c r="I84" s="289">
        <f>VLOOKUP(A84,Import!A:J,9,0)</f>
        <v>46</v>
      </c>
      <c r="J84" s="282">
        <f>VLOOKUP(A84,Import!A:J,10,0)</f>
        <v>0.72</v>
      </c>
      <c r="K84" s="244" t="str">
        <f>VLOOKUP(A84,Import!A:P,11,0)</f>
        <v>Tolga Kumru</v>
      </c>
      <c r="L84" s="150">
        <v>5.423602152E9</v>
      </c>
      <c r="M84" s="150" t="s">
        <v>2666</v>
      </c>
      <c r="N84" s="150" t="s">
        <v>2682</v>
      </c>
      <c r="O84" s="150" t="s">
        <v>882</v>
      </c>
      <c r="P84" s="244" t="str">
        <f>VLOOKUP(A84,Import!A:P,16,0)</f>
        <v>Geleneksel</v>
      </c>
      <c r="Q84" s="291" t="s">
        <v>2713</v>
      </c>
      <c r="R84" s="292" t="b">
        <v>1</v>
      </c>
      <c r="S84" s="293" t="b">
        <v>0</v>
      </c>
      <c r="T84" s="149" t="s">
        <v>2661</v>
      </c>
      <c r="U84" s="149"/>
      <c r="V84" s="149" t="s">
        <v>13</v>
      </c>
      <c r="W84" s="149" t="s">
        <v>2903</v>
      </c>
      <c r="X84" s="294">
        <v>44254.0</v>
      </c>
      <c r="Y84" s="294">
        <v>44257.0</v>
      </c>
      <c r="Z84" s="288"/>
      <c r="AA84" s="165" t="s">
        <v>2669</v>
      </c>
      <c r="AB84" s="295">
        <v>44501.0</v>
      </c>
      <c r="AC84" s="288"/>
      <c r="AD84" s="288"/>
      <c r="AE84" s="160"/>
      <c r="AF84" s="288"/>
      <c r="AG84" s="160"/>
      <c r="AH84" s="288"/>
      <c r="AI84" s="288"/>
      <c r="AJ84" s="288"/>
      <c r="AK84" s="165" t="s">
        <v>943</v>
      </c>
      <c r="AL84" s="288"/>
      <c r="AM84" s="288"/>
      <c r="AN84" s="288"/>
      <c r="AO84" s="288"/>
      <c r="AP84" s="150" t="s">
        <v>2663</v>
      </c>
      <c r="AQ84" s="288"/>
    </row>
    <row r="85">
      <c r="A85" s="244" t="s">
        <v>190</v>
      </c>
      <c r="B85" s="244" t="s">
        <v>191</v>
      </c>
      <c r="C85" s="175" t="str">
        <f>VLOOKUP(A85,Import!A:C,3,false)</f>
        <v>DOĞRU</v>
      </c>
      <c r="D85" s="303" t="s">
        <v>2904</v>
      </c>
      <c r="E85" s="280">
        <f>VLOOKUP(A85,Import!A:J,5,0)</f>
        <v>3247</v>
      </c>
      <c r="F85" s="280">
        <f>VLOOKUP(A85,Import!A:J,6,0)</f>
        <v>209</v>
      </c>
      <c r="G85" s="289">
        <f>VLOOKUP(A85,Import!A:J,7,0)</f>
        <v>11</v>
      </c>
      <c r="H85" s="289">
        <f>VLOOKUP(A85,Import!A:J,8,0)</f>
        <v>1</v>
      </c>
      <c r="I85" s="289">
        <f>VLOOKUP(A85,Import!A:J,9,0)</f>
        <v>12</v>
      </c>
      <c r="J85" s="282">
        <f>VLOOKUP(A85,Import!A:J,10,0)</f>
        <v>0.92</v>
      </c>
      <c r="K85" s="244" t="str">
        <f>VLOOKUP(A85,Import!A:P,11,0)</f>
        <v>Emre Üçer</v>
      </c>
      <c r="L85" s="304">
        <v>5.337134612E9</v>
      </c>
      <c r="M85" s="303" t="s">
        <v>2666</v>
      </c>
      <c r="N85" s="303" t="s">
        <v>2750</v>
      </c>
      <c r="O85" s="303" t="s">
        <v>192</v>
      </c>
      <c r="P85" s="244" t="str">
        <f>VLOOKUP(A85,Import!A:P,16,0)</f>
        <v>Geleneksel</v>
      </c>
      <c r="Q85" s="305" t="s">
        <v>2686</v>
      </c>
      <c r="R85" s="306" t="b">
        <v>1</v>
      </c>
      <c r="S85" s="307" t="b">
        <v>0</v>
      </c>
      <c r="T85" s="309" t="s">
        <v>2661</v>
      </c>
      <c r="U85" s="309"/>
      <c r="V85" s="188" t="s">
        <v>46</v>
      </c>
      <c r="W85" s="309" t="s">
        <v>2708</v>
      </c>
      <c r="X85" s="310">
        <v>44232.0</v>
      </c>
      <c r="Y85" s="310">
        <v>44237.0</v>
      </c>
      <c r="Z85" s="288"/>
      <c r="AA85" s="288"/>
      <c r="AB85" s="288"/>
      <c r="AC85" s="288"/>
      <c r="AD85" s="288"/>
      <c r="AE85" s="160"/>
      <c r="AF85" s="288"/>
      <c r="AG85" s="160"/>
      <c r="AH85" s="288"/>
      <c r="AI85" s="288"/>
      <c r="AJ85" s="288"/>
      <c r="AK85" s="288"/>
      <c r="AL85" s="288"/>
      <c r="AM85" s="288"/>
      <c r="AN85" s="288"/>
      <c r="AO85" s="288"/>
      <c r="AP85" s="150" t="s">
        <v>2663</v>
      </c>
      <c r="AQ85" s="288"/>
    </row>
    <row r="86">
      <c r="A86" s="147" t="s">
        <v>1482</v>
      </c>
      <c r="B86" s="147" t="s">
        <v>1483</v>
      </c>
      <c r="C86" s="175" t="str">
        <f>VLOOKUP(A86,Import!A:C,3,false)</f>
        <v>DOĞRU</v>
      </c>
      <c r="D86" s="147" t="s">
        <v>2696</v>
      </c>
      <c r="E86" s="280">
        <f>VLOOKUP(A86,Import!A:J,5,0)</f>
        <v>489</v>
      </c>
      <c r="F86" s="280">
        <f>VLOOKUP(A86,Import!A:J,6,0)</f>
        <v>31</v>
      </c>
      <c r="G86" s="289">
        <f>VLOOKUP(A86,Import!A:J,7,0)</f>
        <v>25</v>
      </c>
      <c r="H86" s="289">
        <f>VLOOKUP(A86,Import!A:J,8,0)</f>
        <v>46</v>
      </c>
      <c r="I86" s="289">
        <f>VLOOKUP(A86,Import!A:J,9,0)</f>
        <v>71</v>
      </c>
      <c r="J86" s="282">
        <f>VLOOKUP(A86,Import!A:J,10,0)</f>
        <v>0.35</v>
      </c>
      <c r="K86" s="244" t="str">
        <f>VLOOKUP(A86,Import!A:P,11,0)</f>
        <v>Mehmet Akar</v>
      </c>
      <c r="L86" s="147">
        <v>5.302000027E9</v>
      </c>
      <c r="M86" s="147" t="s">
        <v>1450</v>
      </c>
      <c r="N86" s="147" t="s">
        <v>2905</v>
      </c>
      <c r="O86" s="147" t="s">
        <v>1486</v>
      </c>
      <c r="P86" s="244" t="str">
        <f>VLOOKUP(A86,Import!A:P,16,0)</f>
        <v>Geleneksel</v>
      </c>
      <c r="Q86" s="330"/>
      <c r="R86" s="292" t="b">
        <v>1</v>
      </c>
      <c r="S86" s="292" t="b">
        <v>0</v>
      </c>
      <c r="T86" s="149" t="s">
        <v>2661</v>
      </c>
      <c r="U86" s="149" t="s">
        <v>1911</v>
      </c>
      <c r="V86" s="149" t="s">
        <v>1609</v>
      </c>
      <c r="W86" s="149" t="s">
        <v>2906</v>
      </c>
      <c r="X86" s="294">
        <v>44525.0</v>
      </c>
      <c r="Y86" s="294">
        <v>44541.0</v>
      </c>
      <c r="Z86" s="165" t="s">
        <v>2907</v>
      </c>
      <c r="AA86" s="165" t="s">
        <v>2669</v>
      </c>
      <c r="AB86" s="295">
        <v>44376.0</v>
      </c>
      <c r="AC86" s="165" t="s">
        <v>2669</v>
      </c>
      <c r="AD86" s="295">
        <v>44525.0</v>
      </c>
      <c r="AE86" s="160"/>
      <c r="AF86" s="288"/>
      <c r="AG86" s="160"/>
      <c r="AH86" s="288"/>
      <c r="AI86" s="288"/>
      <c r="AJ86" s="288"/>
      <c r="AK86" s="165" t="s">
        <v>2718</v>
      </c>
      <c r="AL86" s="165" t="s">
        <v>1911</v>
      </c>
      <c r="AM86" s="288"/>
      <c r="AN86" s="288"/>
      <c r="AO86" s="288"/>
      <c r="AP86" s="150" t="s">
        <v>2663</v>
      </c>
      <c r="AQ86" s="288"/>
    </row>
    <row r="87">
      <c r="A87" s="244" t="s">
        <v>170</v>
      </c>
      <c r="B87" s="244" t="s">
        <v>171</v>
      </c>
      <c r="C87" s="175" t="str">
        <f>VLOOKUP(A87,Import!A:C,3,false)</f>
        <v>DOĞRU</v>
      </c>
      <c r="D87" s="303" t="s">
        <v>2696</v>
      </c>
      <c r="E87" s="280">
        <f>VLOOKUP(A87,Import!A:J,5,0)</f>
        <v>5098</v>
      </c>
      <c r="F87" s="280">
        <f>VLOOKUP(A87,Import!A:J,6,0)</f>
        <v>483</v>
      </c>
      <c r="G87" s="289">
        <f>VLOOKUP(A87,Import!A:J,7,0)</f>
        <v>22</v>
      </c>
      <c r="H87" s="289">
        <f>VLOOKUP(A87,Import!A:J,8,0)</f>
        <v>14</v>
      </c>
      <c r="I87" s="289">
        <f>VLOOKUP(A87,Import!A:J,9,0)</f>
        <v>36</v>
      </c>
      <c r="J87" s="282">
        <f>VLOOKUP(A87,Import!A:J,10,0)</f>
        <v>0.61</v>
      </c>
      <c r="K87" s="244" t="str">
        <f>VLOOKUP(A87,Import!A:P,11,0)</f>
        <v>Kadir Bürke</v>
      </c>
      <c r="L87" s="304">
        <v>2.223100273E9</v>
      </c>
      <c r="M87" s="303" t="s">
        <v>2666</v>
      </c>
      <c r="N87" s="303" t="s">
        <v>2750</v>
      </c>
      <c r="O87" s="303" t="s">
        <v>174</v>
      </c>
      <c r="P87" s="244" t="str">
        <f>VLOOKUP(A87,Import!A:P,16,0)</f>
        <v>Geleneksel</v>
      </c>
      <c r="Q87" s="334" t="s">
        <v>2686</v>
      </c>
      <c r="R87" s="335" t="b">
        <v>1</v>
      </c>
      <c r="S87" s="336" t="b">
        <v>0</v>
      </c>
      <c r="T87" s="337" t="s">
        <v>2661</v>
      </c>
      <c r="U87" s="337" t="s">
        <v>937</v>
      </c>
      <c r="V87" s="337" t="s">
        <v>13</v>
      </c>
      <c r="W87" s="337" t="s">
        <v>2908</v>
      </c>
      <c r="X87" s="338">
        <v>44308.0</v>
      </c>
      <c r="Y87" s="338">
        <v>44312.0</v>
      </c>
      <c r="Z87" s="288"/>
      <c r="AA87" s="288"/>
      <c r="AB87" s="288"/>
      <c r="AC87" s="288"/>
      <c r="AD87" s="288"/>
      <c r="AE87" s="160"/>
      <c r="AF87" s="288"/>
      <c r="AG87" s="160"/>
      <c r="AH87" s="288"/>
      <c r="AI87" s="288"/>
      <c r="AJ87" s="288"/>
      <c r="AK87" s="288"/>
      <c r="AL87" s="288"/>
      <c r="AM87" s="288"/>
      <c r="AN87" s="288"/>
      <c r="AO87" s="288"/>
      <c r="AP87" s="150" t="s">
        <v>2663</v>
      </c>
      <c r="AQ87" s="288"/>
    </row>
    <row r="88">
      <c r="A88" s="244" t="s">
        <v>2909</v>
      </c>
      <c r="B88" s="244" t="s">
        <v>2910</v>
      </c>
      <c r="C88" s="175" t="str">
        <f>VLOOKUP(A88,Import!A:C,3,false)</f>
        <v>DOĞRU</v>
      </c>
      <c r="D88" s="320" t="s">
        <v>2763</v>
      </c>
      <c r="E88" s="280">
        <f>VLOOKUP(A88,Import!A:J,5,0)</f>
        <v>684</v>
      </c>
      <c r="F88" s="280">
        <f>VLOOKUP(A88,Import!A:J,6,0)</f>
        <v>19</v>
      </c>
      <c r="G88" s="289">
        <f>VLOOKUP(A88,Import!A:J,7,0)</f>
        <v>0</v>
      </c>
      <c r="H88" s="289">
        <f>VLOOKUP(A88,Import!A:J,8,0)</f>
        <v>15</v>
      </c>
      <c r="I88" s="289">
        <f>VLOOKUP(A88,Import!A:J,9,0)</f>
        <v>15</v>
      </c>
      <c r="J88" s="282">
        <f>VLOOKUP(A88,Import!A:J,10,0)</f>
        <v>0</v>
      </c>
      <c r="K88" s="244" t="str">
        <f>VLOOKUP(A88,Import!A:P,11,0)</f>
        <v>MUSTAFA ÖZTÜRK</v>
      </c>
      <c r="L88" s="321">
        <v>2.222266309E9</v>
      </c>
      <c r="M88" s="320" t="s">
        <v>1450</v>
      </c>
      <c r="N88" s="320" t="s">
        <v>2707</v>
      </c>
      <c r="O88" s="320" t="s">
        <v>2911</v>
      </c>
      <c r="P88" s="244" t="str">
        <f>VLOOKUP(A88,Import!A:P,16,0)</f>
        <v>Geleneksel</v>
      </c>
      <c r="Q88" s="322" t="s">
        <v>2760</v>
      </c>
      <c r="R88" s="323" t="b">
        <v>1</v>
      </c>
      <c r="S88" s="324" t="b">
        <v>0</v>
      </c>
      <c r="T88" s="325" t="s">
        <v>2714</v>
      </c>
      <c r="U88" s="325" t="s">
        <v>945</v>
      </c>
      <c r="V88" s="333"/>
      <c r="W88" s="325" t="s">
        <v>2912</v>
      </c>
      <c r="X88" s="327">
        <v>44260.0</v>
      </c>
      <c r="Y88" s="345"/>
      <c r="Z88" s="288"/>
      <c r="AA88" s="165" t="s">
        <v>2669</v>
      </c>
      <c r="AB88" s="295">
        <v>44377.0</v>
      </c>
      <c r="AC88" s="288"/>
      <c r="AD88" s="288"/>
      <c r="AE88" s="160"/>
      <c r="AF88" s="288"/>
      <c r="AG88" s="160"/>
      <c r="AH88" s="288"/>
      <c r="AI88" s="288"/>
      <c r="AJ88" s="288"/>
      <c r="AK88" s="165" t="s">
        <v>2913</v>
      </c>
      <c r="AL88" s="288"/>
      <c r="AM88" s="288"/>
      <c r="AN88" s="288"/>
      <c r="AO88" s="288"/>
      <c r="AP88" s="150" t="s">
        <v>2663</v>
      </c>
      <c r="AQ88" s="288"/>
    </row>
    <row r="89">
      <c r="A89" s="150" t="s">
        <v>2914</v>
      </c>
      <c r="B89" s="150" t="s">
        <v>2915</v>
      </c>
      <c r="C89" s="175" t="str">
        <f>VLOOKUP(A89,Import!A:C,3,false)</f>
        <v>DOĞRU</v>
      </c>
      <c r="D89" s="150" t="s">
        <v>2701</v>
      </c>
      <c r="E89" s="280">
        <f>VLOOKUP(A89,Import!A:J,5,0)</f>
        <v>2</v>
      </c>
      <c r="F89" s="280">
        <f>VLOOKUP(A89,Import!A:J,6,0)</f>
        <v>2</v>
      </c>
      <c r="G89" s="289">
        <f>VLOOKUP(A89,Import!A:J,7,0)</f>
        <v>0</v>
      </c>
      <c r="H89" s="289">
        <f>VLOOKUP(A89,Import!A:J,8,0)</f>
        <v>30</v>
      </c>
      <c r="I89" s="289">
        <f>VLOOKUP(A89,Import!A:J,9,0)</f>
        <v>30</v>
      </c>
      <c r="J89" s="282">
        <f>VLOOKUP(A89,Import!A:J,10,0)</f>
        <v>0</v>
      </c>
      <c r="K89" s="150" t="s">
        <v>2916</v>
      </c>
      <c r="L89" s="150">
        <v>5.323806601E9</v>
      </c>
      <c r="M89" s="150" t="s">
        <v>2666</v>
      </c>
      <c r="N89" s="150" t="s">
        <v>2711</v>
      </c>
      <c r="O89" s="150" t="s">
        <v>2828</v>
      </c>
      <c r="P89" s="244" t="str">
        <f>VLOOKUP(A89,Import!A:P,16,0)</f>
        <v>Geleneksel</v>
      </c>
      <c r="Q89" s="291"/>
      <c r="R89" s="292" t="b">
        <v>0</v>
      </c>
      <c r="S89" s="293" t="b">
        <v>0</v>
      </c>
      <c r="T89" s="149"/>
      <c r="U89" s="296"/>
      <c r="V89" s="296"/>
      <c r="W89" s="149"/>
      <c r="X89" s="297"/>
      <c r="Y89" s="297"/>
      <c r="Z89" s="288"/>
      <c r="AA89" s="165"/>
      <c r="AB89" s="295"/>
      <c r="AC89" s="288"/>
      <c r="AD89" s="288"/>
      <c r="AE89" s="160"/>
      <c r="AF89" s="288"/>
      <c r="AG89" s="160"/>
      <c r="AH89" s="288"/>
      <c r="AI89" s="288"/>
      <c r="AJ89" s="288"/>
      <c r="AK89" s="165"/>
      <c r="AL89" s="288"/>
      <c r="AM89" s="288"/>
      <c r="AN89" s="288"/>
      <c r="AO89" s="165"/>
      <c r="AP89" s="150"/>
      <c r="AQ89" s="165"/>
    </row>
    <row r="90">
      <c r="A90" s="244" t="s">
        <v>2917</v>
      </c>
      <c r="B90" s="244" t="s">
        <v>2918</v>
      </c>
      <c r="C90" s="175" t="str">
        <f>VLOOKUP(A90,Import!A:C,3,false)</f>
        <v>DOĞRU</v>
      </c>
      <c r="D90" s="346" t="s">
        <v>2658</v>
      </c>
      <c r="E90" s="280">
        <f>VLOOKUP(A90,Import!A:J,5,0)</f>
        <v>1120</v>
      </c>
      <c r="F90" s="280">
        <f>VLOOKUP(A90,Import!A:J,6,0)</f>
        <v>22</v>
      </c>
      <c r="G90" s="289">
        <f>VLOOKUP(A90,Import!A:J,7,0)</f>
        <v>0</v>
      </c>
      <c r="H90" s="289">
        <f>VLOOKUP(A90,Import!A:J,8,0)</f>
        <v>22</v>
      </c>
      <c r="I90" s="289">
        <f>VLOOKUP(A90,Import!A:J,9,0)</f>
        <v>22</v>
      </c>
      <c r="J90" s="282">
        <f>VLOOKUP(A90,Import!A:J,10,0)</f>
        <v>0</v>
      </c>
      <c r="K90" s="244" t="str">
        <f>VLOOKUP(A90,Import!A:P,11,0)</f>
        <v>Hosseın Delavandanı</v>
      </c>
      <c r="L90" s="347">
        <v>5.37744926E9</v>
      </c>
      <c r="M90" s="346" t="s">
        <v>2666</v>
      </c>
      <c r="N90" s="346" t="s">
        <v>2667</v>
      </c>
      <c r="O90" s="346" t="s">
        <v>2919</v>
      </c>
      <c r="P90" s="244" t="str">
        <f>VLOOKUP(A90,Import!A:P,16,0)</f>
        <v>Geleneksel</v>
      </c>
      <c r="Q90" s="348" t="s">
        <v>2686</v>
      </c>
      <c r="R90" s="349" t="b">
        <v>1</v>
      </c>
      <c r="S90" s="350" t="b">
        <v>0</v>
      </c>
      <c r="T90" s="351"/>
      <c r="U90" s="351"/>
      <c r="V90" s="352"/>
      <c r="W90" s="353" t="s">
        <v>2920</v>
      </c>
      <c r="X90" s="354"/>
      <c r="Y90" s="354"/>
      <c r="Z90" s="288"/>
      <c r="AA90" s="165" t="s">
        <v>2688</v>
      </c>
      <c r="AB90" s="295">
        <v>44547.0</v>
      </c>
      <c r="AC90" s="288"/>
      <c r="AD90" s="288"/>
      <c r="AE90" s="160"/>
      <c r="AF90" s="288"/>
      <c r="AG90" s="160"/>
      <c r="AH90" s="288"/>
      <c r="AI90" s="288"/>
      <c r="AJ90" s="288"/>
      <c r="AK90" s="165" t="s">
        <v>819</v>
      </c>
      <c r="AL90" s="288"/>
      <c r="AM90" s="288"/>
      <c r="AN90" s="288"/>
      <c r="AO90" s="288"/>
      <c r="AP90" s="150" t="s">
        <v>2663</v>
      </c>
      <c r="AQ90" s="288"/>
    </row>
    <row r="91">
      <c r="A91" s="244" t="s">
        <v>1859</v>
      </c>
      <c r="B91" s="244" t="s">
        <v>1860</v>
      </c>
      <c r="C91" s="175" t="str">
        <f>VLOOKUP(A91,Import!A:C,3,false)</f>
        <v>DOĞRU</v>
      </c>
      <c r="D91" s="320" t="s">
        <v>2664</v>
      </c>
      <c r="E91" s="280">
        <f>VLOOKUP(A91,Import!A:J,5,0)</f>
        <v>1333</v>
      </c>
      <c r="F91" s="280">
        <f>VLOOKUP(A91,Import!A:J,6,0)</f>
        <v>29</v>
      </c>
      <c r="G91" s="289">
        <f>VLOOKUP(A91,Import!A:J,7,0)</f>
        <v>13</v>
      </c>
      <c r="H91" s="289">
        <f>VLOOKUP(A91,Import!A:J,8,0)</f>
        <v>6</v>
      </c>
      <c r="I91" s="289">
        <f>VLOOKUP(A91,Import!A:J,9,0)</f>
        <v>19</v>
      </c>
      <c r="J91" s="282">
        <f>VLOOKUP(A91,Import!A:J,10,0)</f>
        <v>0.68</v>
      </c>
      <c r="K91" s="244" t="str">
        <f>VLOOKUP(A91,Import!A:P,11,0)</f>
        <v>İlyas Uzun</v>
      </c>
      <c r="L91" s="321">
        <v>2.222213326E9</v>
      </c>
      <c r="M91" s="320" t="s">
        <v>1450</v>
      </c>
      <c r="N91" s="320" t="s">
        <v>2716</v>
      </c>
      <c r="O91" s="320" t="s">
        <v>684</v>
      </c>
      <c r="P91" s="244" t="str">
        <f>VLOOKUP(A91,Import!A:P,16,0)</f>
        <v>Geleneksel</v>
      </c>
      <c r="Q91" s="322" t="s">
        <v>2760</v>
      </c>
      <c r="R91" s="323" t="b">
        <v>1</v>
      </c>
      <c r="S91" s="324" t="b">
        <v>0</v>
      </c>
      <c r="T91" s="325" t="s">
        <v>2661</v>
      </c>
      <c r="U91" s="325" t="s">
        <v>819</v>
      </c>
      <c r="V91" s="355" t="s">
        <v>1609</v>
      </c>
      <c r="W91" s="333"/>
      <c r="X91" s="327">
        <v>44504.0</v>
      </c>
      <c r="Y91" s="327">
        <v>44504.0</v>
      </c>
      <c r="Z91" s="288"/>
      <c r="AA91" s="165" t="s">
        <v>2669</v>
      </c>
      <c r="AB91" s="295">
        <v>44504.0</v>
      </c>
      <c r="AC91" s="288"/>
      <c r="AD91" s="288"/>
      <c r="AE91" s="160"/>
      <c r="AF91" s="288"/>
      <c r="AG91" s="160"/>
      <c r="AH91" s="288"/>
      <c r="AI91" s="288"/>
      <c r="AJ91" s="288"/>
      <c r="AK91" s="165" t="s">
        <v>819</v>
      </c>
      <c r="AL91" s="288"/>
      <c r="AM91" s="288"/>
      <c r="AN91" s="288"/>
      <c r="AO91" s="288"/>
      <c r="AP91" s="150" t="s">
        <v>2663</v>
      </c>
      <c r="AQ91" s="288"/>
    </row>
    <row r="92">
      <c r="A92" s="150" t="s">
        <v>2010</v>
      </c>
      <c r="B92" s="150" t="s">
        <v>2011</v>
      </c>
      <c r="C92" s="175" t="str">
        <f>VLOOKUP(A92,Import!A:C,3,false)</f>
        <v>DOĞRU</v>
      </c>
      <c r="D92" s="150" t="s">
        <v>2664</v>
      </c>
      <c r="E92" s="280">
        <f>VLOOKUP(A92,Import!A:J,5,0)</f>
        <v>129</v>
      </c>
      <c r="F92" s="280" t="str">
        <f>VLOOKUP(A92,Import!A:J,6,0)</f>
        <v/>
      </c>
      <c r="G92" s="289">
        <f>VLOOKUP(A92,Import!A:J,7,0)</f>
        <v>19</v>
      </c>
      <c r="H92" s="289">
        <f>VLOOKUP(A92,Import!A:J,8,0)</f>
        <v>14</v>
      </c>
      <c r="I92" s="289">
        <f>VLOOKUP(A92,Import!A:J,9,0)</f>
        <v>33</v>
      </c>
      <c r="J92" s="282">
        <f>VLOOKUP(A92,Import!A:J,10,0)</f>
        <v>0.58</v>
      </c>
      <c r="K92" s="244" t="str">
        <f>VLOOKUP(A92,Import!A:P,11,0)</f>
        <v>Türkan Bakılan</v>
      </c>
      <c r="L92" s="150">
        <v>2.223235633E9</v>
      </c>
      <c r="M92" s="150" t="s">
        <v>2666</v>
      </c>
      <c r="N92" s="150" t="s">
        <v>2774</v>
      </c>
      <c r="O92" s="150" t="s">
        <v>2014</v>
      </c>
      <c r="P92" s="244" t="str">
        <f>VLOOKUP(A92,Import!A:P,16,0)</f>
        <v>Geleneksel</v>
      </c>
      <c r="Q92" s="291"/>
      <c r="R92" s="292" t="b">
        <v>1</v>
      </c>
      <c r="S92" s="293" t="b">
        <v>0</v>
      </c>
      <c r="T92" s="149" t="s">
        <v>2661</v>
      </c>
      <c r="U92" s="149" t="s">
        <v>1621</v>
      </c>
      <c r="V92" s="301" t="s">
        <v>1609</v>
      </c>
      <c r="W92" s="149" t="s">
        <v>2921</v>
      </c>
      <c r="X92" s="294">
        <v>44548.0</v>
      </c>
      <c r="Y92" s="294">
        <v>44551.0</v>
      </c>
      <c r="Z92" s="288"/>
      <c r="AA92" s="165" t="s">
        <v>2669</v>
      </c>
      <c r="AB92" s="295">
        <v>44522.0</v>
      </c>
      <c r="AC92" s="165" t="s">
        <v>2693</v>
      </c>
      <c r="AD92" s="295">
        <v>44543.0</v>
      </c>
      <c r="AE92" s="165" t="s">
        <v>2669</v>
      </c>
      <c r="AF92" s="295">
        <v>44548.0</v>
      </c>
      <c r="AG92" s="160"/>
      <c r="AH92" s="288"/>
      <c r="AI92" s="288"/>
      <c r="AJ92" s="288"/>
      <c r="AK92" s="165" t="s">
        <v>1715</v>
      </c>
      <c r="AL92" s="165" t="s">
        <v>921</v>
      </c>
      <c r="AM92" s="165" t="s">
        <v>1621</v>
      </c>
      <c r="AN92" s="288"/>
      <c r="AO92" s="288"/>
      <c r="AP92" s="150" t="s">
        <v>2663</v>
      </c>
      <c r="AQ92" s="288"/>
    </row>
    <row r="93">
      <c r="A93" s="150" t="s">
        <v>2922</v>
      </c>
      <c r="B93" s="150" t="s">
        <v>2923</v>
      </c>
      <c r="C93" s="175" t="str">
        <f>VLOOKUP(A93,Import!A:C,3,false)</f>
        <v>YANLIŞ</v>
      </c>
      <c r="D93" s="150" t="s">
        <v>2896</v>
      </c>
      <c r="E93" s="280">
        <f>VLOOKUP(A93,Import!A:J,5,0)</f>
        <v>124</v>
      </c>
      <c r="F93" s="280" t="str">
        <f>VLOOKUP(A93,Import!A:J,6,0)</f>
        <v/>
      </c>
      <c r="G93" s="289">
        <f>VLOOKUP(A93,Import!A:J,7,0)</f>
        <v>25</v>
      </c>
      <c r="H93" s="289">
        <f>VLOOKUP(A93,Import!A:J,8,0)</f>
        <v>20</v>
      </c>
      <c r="I93" s="289">
        <f>VLOOKUP(A93,Import!A:J,9,0)</f>
        <v>45</v>
      </c>
      <c r="J93" s="282">
        <f>VLOOKUP(A93,Import!A:J,10,0)</f>
        <v>0.56</v>
      </c>
      <c r="K93" s="244" t="str">
        <f>VLOOKUP(A93,Import!A:P,11,0)</f>
        <v>Elif Ülger Yalçın</v>
      </c>
      <c r="L93" s="150">
        <v>5.432242388E9</v>
      </c>
      <c r="M93" s="150" t="s">
        <v>2666</v>
      </c>
      <c r="N93" s="150" t="s">
        <v>2682</v>
      </c>
      <c r="O93" s="150" t="s">
        <v>2924</v>
      </c>
      <c r="P93" s="244" t="str">
        <f>VLOOKUP(A93,Import!A:P,16,0)</f>
        <v>Geleneksel</v>
      </c>
      <c r="Q93" s="291" t="s">
        <v>2713</v>
      </c>
      <c r="R93" s="292" t="b">
        <v>1</v>
      </c>
      <c r="S93" s="293" t="b">
        <v>0</v>
      </c>
      <c r="T93" s="149" t="s">
        <v>2925</v>
      </c>
      <c r="U93" s="296"/>
      <c r="V93" s="296"/>
      <c r="W93" s="149" t="s">
        <v>2926</v>
      </c>
      <c r="X93" s="297"/>
      <c r="Y93" s="297"/>
      <c r="Z93" s="288"/>
      <c r="AA93" s="288"/>
      <c r="AB93" s="288"/>
      <c r="AC93" s="288"/>
      <c r="AD93" s="288"/>
      <c r="AE93" s="160"/>
      <c r="AF93" s="288"/>
      <c r="AG93" s="160"/>
      <c r="AH93" s="288"/>
      <c r="AI93" s="288"/>
      <c r="AJ93" s="288"/>
      <c r="AK93" s="288"/>
      <c r="AL93" s="288"/>
      <c r="AM93" s="288"/>
      <c r="AN93" s="288"/>
      <c r="AO93" s="288"/>
      <c r="AP93" s="150" t="s">
        <v>2663</v>
      </c>
      <c r="AQ93" s="288"/>
    </row>
    <row r="94">
      <c r="A94" s="150" t="s">
        <v>2927</v>
      </c>
      <c r="B94" s="150" t="s">
        <v>2928</v>
      </c>
      <c r="C94" s="175" t="str">
        <f>VLOOKUP(A94,Import!A:C,3,false)</f>
        <v>DOĞRU</v>
      </c>
      <c r="D94" s="150" t="s">
        <v>2706</v>
      </c>
      <c r="E94" s="280">
        <f>VLOOKUP(A94,Import!A:J,5,0)</f>
        <v>614</v>
      </c>
      <c r="F94" s="280">
        <f>VLOOKUP(A94,Import!A:J,6,0)</f>
        <v>1</v>
      </c>
      <c r="G94" s="289">
        <f>VLOOKUP(A94,Import!A:J,7,0)</f>
        <v>0</v>
      </c>
      <c r="H94" s="289">
        <f>VLOOKUP(A94,Import!A:J,8,0)</f>
        <v>25</v>
      </c>
      <c r="I94" s="289">
        <f>VLOOKUP(A94,Import!A:J,9,0)</f>
        <v>25</v>
      </c>
      <c r="J94" s="282">
        <f>VLOOKUP(A94,Import!A:J,10,0)</f>
        <v>0</v>
      </c>
      <c r="K94" s="244" t="str">
        <f>VLOOKUP(A94,Import!A:P,11,0)</f>
        <v>Mehmet Ali Kuru</v>
      </c>
      <c r="L94" s="150">
        <v>5.398856201E9</v>
      </c>
      <c r="M94" s="150" t="s">
        <v>2666</v>
      </c>
      <c r="N94" s="150" t="s">
        <v>2794</v>
      </c>
      <c r="O94" s="150" t="s">
        <v>2929</v>
      </c>
      <c r="P94" s="244" t="str">
        <f>VLOOKUP(A94,Import!A:P,16,0)</f>
        <v>Geleneksel</v>
      </c>
      <c r="Q94" s="291" t="s">
        <v>2713</v>
      </c>
      <c r="R94" s="292" t="b">
        <v>1</v>
      </c>
      <c r="S94" s="293" t="b">
        <v>0</v>
      </c>
      <c r="T94" s="296"/>
      <c r="U94" s="296"/>
      <c r="V94" s="296"/>
      <c r="W94" s="149" t="s">
        <v>2930</v>
      </c>
      <c r="X94" s="297"/>
      <c r="Y94" s="297"/>
      <c r="Z94" s="288"/>
      <c r="AA94" s="165" t="s">
        <v>2699</v>
      </c>
      <c r="AB94" s="295">
        <v>44543.0</v>
      </c>
      <c r="AC94" s="288"/>
      <c r="AD94" s="288"/>
      <c r="AE94" s="160"/>
      <c r="AF94" s="288"/>
      <c r="AG94" s="160"/>
      <c r="AH94" s="288"/>
      <c r="AI94" s="288"/>
      <c r="AJ94" s="288"/>
      <c r="AK94" s="165" t="s">
        <v>921</v>
      </c>
      <c r="AL94" s="288"/>
      <c r="AM94" s="288"/>
      <c r="AN94" s="288"/>
      <c r="AO94" s="288"/>
      <c r="AP94" s="150" t="s">
        <v>2663</v>
      </c>
      <c r="AQ94" s="288"/>
    </row>
    <row r="95">
      <c r="A95" s="244" t="s">
        <v>47</v>
      </c>
      <c r="B95" s="244" t="s">
        <v>48</v>
      </c>
      <c r="C95" s="175" t="str">
        <f>VLOOKUP(A95,Import!A:C,3,false)</f>
        <v>YANLIŞ</v>
      </c>
      <c r="D95" s="175" t="s">
        <v>2672</v>
      </c>
      <c r="E95" s="280">
        <f>VLOOKUP(A95,Import!A:J,5,0)</f>
        <v>5909</v>
      </c>
      <c r="F95" s="280" t="str">
        <f>VLOOKUP(A95,Import!A:J,6,0)</f>
        <v/>
      </c>
      <c r="G95" s="289">
        <f>VLOOKUP(A95,Import!A:J,7,0)</f>
        <v>7</v>
      </c>
      <c r="H95" s="289">
        <f>VLOOKUP(A95,Import!A:J,8,0)</f>
        <v>8</v>
      </c>
      <c r="I95" s="289">
        <f>VLOOKUP(A95,Import!A:J,9,0)</f>
        <v>15</v>
      </c>
      <c r="J95" s="282">
        <f>VLOOKUP(A95,Import!A:J,10,0)</f>
        <v>0.47</v>
      </c>
      <c r="K95" s="244" t="str">
        <f>VLOOKUP(A95,Import!A:P,11,0)</f>
        <v>Ahmet Kaya</v>
      </c>
      <c r="L95" s="283">
        <v>2.222050315E9</v>
      </c>
      <c r="M95" s="175" t="s">
        <v>2666</v>
      </c>
      <c r="N95" s="175" t="s">
        <v>2721</v>
      </c>
      <c r="O95" s="175" t="s">
        <v>50</v>
      </c>
      <c r="P95" s="244" t="str">
        <f>VLOOKUP(A95,Import!A:P,16,0)</f>
        <v>Geleneksel</v>
      </c>
      <c r="Q95" s="284" t="s">
        <v>2660</v>
      </c>
      <c r="R95" s="285" t="b">
        <v>1</v>
      </c>
      <c r="S95" s="286" t="b">
        <v>0</v>
      </c>
      <c r="T95" s="171" t="s">
        <v>2661</v>
      </c>
      <c r="U95" s="171" t="s">
        <v>937</v>
      </c>
      <c r="V95" s="171" t="s">
        <v>13</v>
      </c>
      <c r="W95" s="171" t="s">
        <v>2931</v>
      </c>
      <c r="X95" s="287">
        <v>44308.0</v>
      </c>
      <c r="Y95" s="287">
        <v>44315.0</v>
      </c>
      <c r="Z95" s="288"/>
      <c r="AA95" s="288"/>
      <c r="AB95" s="288"/>
      <c r="AC95" s="288"/>
      <c r="AD95" s="288"/>
      <c r="AE95" s="160"/>
      <c r="AF95" s="288"/>
      <c r="AG95" s="160"/>
      <c r="AH95" s="288"/>
      <c r="AI95" s="288"/>
      <c r="AJ95" s="288"/>
      <c r="AK95" s="288"/>
      <c r="AL95" s="288"/>
      <c r="AM95" s="288"/>
      <c r="AN95" s="288"/>
      <c r="AO95" s="288"/>
      <c r="AP95" s="150" t="s">
        <v>2663</v>
      </c>
      <c r="AQ95" s="288"/>
    </row>
    <row r="96">
      <c r="A96" s="150" t="s">
        <v>2932</v>
      </c>
      <c r="B96" s="150" t="s">
        <v>2933</v>
      </c>
      <c r="C96" s="175" t="str">
        <f>VLOOKUP(A96,Import!A:C,3,false)</f>
        <v>DOĞRU</v>
      </c>
      <c r="D96" s="150" t="s">
        <v>2684</v>
      </c>
      <c r="E96" s="280">
        <f>VLOOKUP(A96,Import!A:J,5,0)</f>
        <v>3318</v>
      </c>
      <c r="F96" s="280">
        <f>VLOOKUP(A96,Import!A:J,6,0)</f>
        <v>310</v>
      </c>
      <c r="G96" s="289">
        <f>VLOOKUP(A96,Import!A:J,7,0)</f>
        <v>0</v>
      </c>
      <c r="H96" s="289">
        <f>VLOOKUP(A96,Import!A:J,8,0)</f>
        <v>18</v>
      </c>
      <c r="I96" s="289">
        <f>VLOOKUP(A96,Import!A:J,9,0)</f>
        <v>18</v>
      </c>
      <c r="J96" s="282">
        <f>VLOOKUP(A96,Import!A:J,10,0)</f>
        <v>0</v>
      </c>
      <c r="K96" s="290" t="s">
        <v>2934</v>
      </c>
      <c r="L96" s="150">
        <v>5.345962747E9</v>
      </c>
      <c r="M96" s="150" t="s">
        <v>2666</v>
      </c>
      <c r="N96" s="150" t="s">
        <v>2801</v>
      </c>
      <c r="O96" s="150" t="s">
        <v>2935</v>
      </c>
      <c r="P96" s="244" t="str">
        <f>VLOOKUP(A96,Import!A:P,16,0)</f>
        <v>Geleneksel</v>
      </c>
      <c r="Q96" s="291"/>
      <c r="R96" s="292" t="b">
        <v>1</v>
      </c>
      <c r="S96" s="293" t="b">
        <v>0</v>
      </c>
      <c r="T96" s="149" t="s">
        <v>2688</v>
      </c>
      <c r="U96" s="296"/>
      <c r="V96" s="296"/>
      <c r="W96" s="149" t="s">
        <v>2936</v>
      </c>
      <c r="X96" s="297"/>
      <c r="Y96" s="297"/>
      <c r="Z96" s="288"/>
      <c r="AA96" s="165" t="s">
        <v>2693</v>
      </c>
      <c r="AB96" s="295">
        <v>44571.0</v>
      </c>
      <c r="AC96" s="165" t="s">
        <v>2688</v>
      </c>
      <c r="AD96" s="295">
        <v>44571.0</v>
      </c>
      <c r="AE96" s="160"/>
      <c r="AF96" s="288"/>
      <c r="AG96" s="160"/>
      <c r="AH96" s="288"/>
      <c r="AI96" s="288"/>
      <c r="AJ96" s="288"/>
      <c r="AK96" s="165" t="s">
        <v>819</v>
      </c>
      <c r="AL96" s="165" t="s">
        <v>819</v>
      </c>
      <c r="AM96" s="288"/>
      <c r="AN96" s="288"/>
      <c r="AO96" s="165"/>
      <c r="AP96" s="150"/>
      <c r="AQ96" s="165"/>
    </row>
    <row r="97">
      <c r="A97" s="147" t="s">
        <v>2569</v>
      </c>
      <c r="B97" s="147" t="s">
        <v>2570</v>
      </c>
      <c r="C97" s="175" t="str">
        <f>VLOOKUP(A97,Import!A:C,3,false)</f>
        <v>DOĞRU</v>
      </c>
      <c r="D97" s="147" t="s">
        <v>2672</v>
      </c>
      <c r="E97" s="280">
        <f>VLOOKUP(A97,Import!A:J,5,0)</f>
        <v>3875</v>
      </c>
      <c r="F97" s="280">
        <f>VLOOKUP(A97,Import!A:J,6,0)</f>
        <v>285</v>
      </c>
      <c r="G97" s="289">
        <f>VLOOKUP(A97,Import!A:J,7,0)</f>
        <v>6</v>
      </c>
      <c r="H97" s="289">
        <f>VLOOKUP(A97,Import!A:J,8,0)</f>
        <v>3</v>
      </c>
      <c r="I97" s="289">
        <f>VLOOKUP(A97,Import!A:J,9,0)</f>
        <v>9</v>
      </c>
      <c r="J97" s="282">
        <f>VLOOKUP(A97,Import!A:J,10,0)</f>
        <v>0.67</v>
      </c>
      <c r="K97" s="244" t="str">
        <f>VLOOKUP(A97,Import!A:P,11,0)</f>
        <v>Latif Günbeği</v>
      </c>
      <c r="L97" s="147">
        <v>2.222397267E9</v>
      </c>
      <c r="M97" s="147" t="s">
        <v>1450</v>
      </c>
      <c r="N97" s="147" t="s">
        <v>2732</v>
      </c>
      <c r="O97" s="147" t="s">
        <v>2572</v>
      </c>
      <c r="P97" s="244" t="str">
        <f>VLOOKUP(A97,Import!A:P,16,0)</f>
        <v>Geleneksel</v>
      </c>
      <c r="Q97" s="330"/>
      <c r="R97" s="292" t="b">
        <v>1</v>
      </c>
      <c r="S97" s="293" t="b">
        <v>0</v>
      </c>
      <c r="T97" s="149" t="s">
        <v>2661</v>
      </c>
      <c r="U97" s="149" t="s">
        <v>1791</v>
      </c>
      <c r="V97" s="356" t="s">
        <v>1609</v>
      </c>
      <c r="W97" s="149" t="s">
        <v>2937</v>
      </c>
      <c r="X97" s="294">
        <v>44641.0</v>
      </c>
      <c r="Y97" s="294">
        <v>44642.0</v>
      </c>
      <c r="Z97" s="288"/>
      <c r="AA97" s="165" t="s">
        <v>2699</v>
      </c>
      <c r="AB97" s="295">
        <v>44379.0</v>
      </c>
      <c r="AC97" s="165" t="s">
        <v>2688</v>
      </c>
      <c r="AD97" s="295">
        <v>44494.0</v>
      </c>
      <c r="AE97" s="165" t="s">
        <v>2688</v>
      </c>
      <c r="AF97" s="295">
        <v>44495.0</v>
      </c>
      <c r="AG97" s="165" t="s">
        <v>2699</v>
      </c>
      <c r="AH97" s="295">
        <v>44628.0</v>
      </c>
      <c r="AI97" s="165" t="s">
        <v>2669</v>
      </c>
      <c r="AJ97" s="295">
        <v>44641.0</v>
      </c>
      <c r="AK97" s="165" t="s">
        <v>2718</v>
      </c>
      <c r="AL97" s="165" t="s">
        <v>1791</v>
      </c>
      <c r="AM97" s="165" t="s">
        <v>819</v>
      </c>
      <c r="AN97" s="165" t="s">
        <v>1791</v>
      </c>
      <c r="AO97" s="165" t="s">
        <v>1791</v>
      </c>
      <c r="AP97" s="150" t="s">
        <v>2663</v>
      </c>
      <c r="AQ97" s="288"/>
    </row>
    <row r="98">
      <c r="A98" s="150" t="s">
        <v>2938</v>
      </c>
      <c r="B98" s="150" t="s">
        <v>2939</v>
      </c>
      <c r="C98" s="175" t="str">
        <f>VLOOKUP(A98,Import!A:C,3,false)</f>
        <v>DOĞRU</v>
      </c>
      <c r="D98" s="150" t="s">
        <v>2904</v>
      </c>
      <c r="E98" s="280" t="str">
        <f>VLOOKUP(A98,Import!A:J,5,0)</f>
        <v/>
      </c>
      <c r="F98" s="280" t="str">
        <f>VLOOKUP(A98,Import!A:J,6,0)</f>
        <v/>
      </c>
      <c r="G98" s="289">
        <f>VLOOKUP(A98,Import!A:J,7,0)</f>
        <v>0</v>
      </c>
      <c r="H98" s="289">
        <f>VLOOKUP(A98,Import!A:J,8,0)</f>
        <v>24</v>
      </c>
      <c r="I98" s="289">
        <f>VLOOKUP(A98,Import!A:J,9,0)</f>
        <v>24</v>
      </c>
      <c r="J98" s="282">
        <f>VLOOKUP(A98,Import!A:J,10,0)</f>
        <v>0</v>
      </c>
      <c r="K98" s="150" t="s">
        <v>2940</v>
      </c>
      <c r="L98" s="150">
        <v>5.335822307E9</v>
      </c>
      <c r="M98" s="150" t="s">
        <v>2666</v>
      </c>
      <c r="N98" s="150" t="s">
        <v>2667</v>
      </c>
      <c r="O98" s="150" t="s">
        <v>1570</v>
      </c>
      <c r="P98" s="244" t="str">
        <f>VLOOKUP(A98,Import!A:P,16,0)</f>
        <v>Geleneksel</v>
      </c>
      <c r="Q98" s="291"/>
      <c r="R98" s="292" t="b">
        <v>0</v>
      </c>
      <c r="S98" s="293" t="b">
        <v>0</v>
      </c>
      <c r="T98" s="149"/>
      <c r="U98" s="296"/>
      <c r="V98" s="296"/>
      <c r="W98" s="149"/>
      <c r="X98" s="297"/>
      <c r="Y98" s="297"/>
      <c r="Z98" s="288"/>
      <c r="AA98" s="39"/>
      <c r="AB98" s="295"/>
      <c r="AC98" s="288"/>
      <c r="AD98" s="288"/>
      <c r="AE98" s="160"/>
      <c r="AF98" s="288"/>
      <c r="AG98" s="160"/>
      <c r="AH98" s="288"/>
      <c r="AI98" s="288"/>
      <c r="AJ98" s="288"/>
      <c r="AK98" s="165"/>
      <c r="AL98" s="288"/>
      <c r="AM98" s="288"/>
      <c r="AN98" s="288"/>
      <c r="AO98" s="165"/>
      <c r="AP98" s="150"/>
      <c r="AQ98" s="165"/>
    </row>
    <row r="99">
      <c r="A99" s="244" t="s">
        <v>140</v>
      </c>
      <c r="B99" s="244" t="s">
        <v>141</v>
      </c>
      <c r="C99" s="175" t="str">
        <f>VLOOKUP(A99,Import!A:C,3,false)</f>
        <v>DOĞRU</v>
      </c>
      <c r="D99" s="244" t="s">
        <v>2736</v>
      </c>
      <c r="E99" s="280">
        <f>VLOOKUP(A99,Import!A:J,5,0)</f>
        <v>3962</v>
      </c>
      <c r="F99" s="280">
        <f>VLOOKUP(A99,Import!A:J,6,0)</f>
        <v>80</v>
      </c>
      <c r="G99" s="289">
        <f>VLOOKUP(A99,Import!A:J,7,0)</f>
        <v>8</v>
      </c>
      <c r="H99" s="289">
        <f>VLOOKUP(A99,Import!A:J,8,0)</f>
        <v>6</v>
      </c>
      <c r="I99" s="289">
        <f>VLOOKUP(A99,Import!A:J,9,0)</f>
        <v>14</v>
      </c>
      <c r="J99" s="282">
        <f>VLOOKUP(A99,Import!A:J,10,0)</f>
        <v>0.57</v>
      </c>
      <c r="K99" s="244" t="str">
        <f>VLOOKUP(A99,Import!A:P,11,0)</f>
        <v>NERMİN ÖZCAN</v>
      </c>
      <c r="L99" s="280">
        <v>5.43423872E9</v>
      </c>
      <c r="M99" s="244" t="s">
        <v>1450</v>
      </c>
      <c r="N99" s="244" t="s">
        <v>2941</v>
      </c>
      <c r="O99" s="244" t="s">
        <v>144</v>
      </c>
      <c r="P99" s="244" t="str">
        <f>VLOOKUP(A99,Import!A:P,16,0)</f>
        <v>Geleneksel</v>
      </c>
      <c r="Q99" s="291" t="s">
        <v>2686</v>
      </c>
      <c r="R99" s="292" t="b">
        <v>1</v>
      </c>
      <c r="S99" s="293" t="b">
        <v>0</v>
      </c>
      <c r="T99" s="165" t="s">
        <v>2661</v>
      </c>
      <c r="U99" s="165"/>
      <c r="V99" s="165" t="s">
        <v>13</v>
      </c>
      <c r="W99" s="165" t="s">
        <v>2708</v>
      </c>
      <c r="X99" s="295">
        <v>44251.0</v>
      </c>
      <c r="Y99" s="295">
        <v>44253.0</v>
      </c>
      <c r="Z99" s="288"/>
      <c r="AA99" s="288"/>
      <c r="AB99" s="288"/>
      <c r="AC99" s="288"/>
      <c r="AD99" s="288"/>
      <c r="AE99" s="160"/>
      <c r="AF99" s="288"/>
      <c r="AG99" s="160"/>
      <c r="AH99" s="288"/>
      <c r="AI99" s="288"/>
      <c r="AJ99" s="288"/>
      <c r="AK99" s="288"/>
      <c r="AL99" s="288"/>
      <c r="AM99" s="288"/>
      <c r="AN99" s="288"/>
      <c r="AO99" s="288"/>
      <c r="AP99" s="150" t="s">
        <v>2663</v>
      </c>
      <c r="AQ99" s="288"/>
    </row>
    <row r="100">
      <c r="A100" s="150" t="s">
        <v>1219</v>
      </c>
      <c r="B100" s="150" t="s">
        <v>1220</v>
      </c>
      <c r="C100" s="175" t="str">
        <f>VLOOKUP(A100,Import!A:C,3,false)</f>
        <v>DOĞRU</v>
      </c>
      <c r="D100" s="150" t="s">
        <v>2664</v>
      </c>
      <c r="E100" s="280">
        <f>VLOOKUP(A100,Import!A:J,5,0)</f>
        <v>1758</v>
      </c>
      <c r="F100" s="280">
        <f>VLOOKUP(A100,Import!A:J,6,0)</f>
        <v>6</v>
      </c>
      <c r="G100" s="289">
        <f>VLOOKUP(A100,Import!A:J,7,0)</f>
        <v>3</v>
      </c>
      <c r="H100" s="289">
        <f>VLOOKUP(A100,Import!A:J,8,0)</f>
        <v>2</v>
      </c>
      <c r="I100" s="289">
        <f>VLOOKUP(A100,Import!A:J,9,0)</f>
        <v>5</v>
      </c>
      <c r="J100" s="282">
        <f>VLOOKUP(A100,Import!A:J,10,0)</f>
        <v>0.6</v>
      </c>
      <c r="K100" s="244" t="str">
        <f>VLOOKUP(A100,Import!A:P,11,0)</f>
        <v>ALİ TURAN</v>
      </c>
      <c r="L100" s="150">
        <v>2.222399522E9</v>
      </c>
      <c r="M100" s="150" t="s">
        <v>1450</v>
      </c>
      <c r="N100" s="150" t="s">
        <v>2732</v>
      </c>
      <c r="O100" s="150" t="s">
        <v>1222</v>
      </c>
      <c r="P100" s="244" t="str">
        <f>VLOOKUP(A100,Import!A:P,16,0)</f>
        <v>Geleneksel</v>
      </c>
      <c r="Q100" s="291" t="s">
        <v>2760</v>
      </c>
      <c r="R100" s="292" t="b">
        <v>1</v>
      </c>
      <c r="S100" s="293" t="b">
        <v>0</v>
      </c>
      <c r="T100" s="149" t="s">
        <v>2661</v>
      </c>
      <c r="U100" s="149" t="s">
        <v>1715</v>
      </c>
      <c r="V100" s="149" t="s">
        <v>2783</v>
      </c>
      <c r="W100" s="149" t="s">
        <v>2942</v>
      </c>
      <c r="X100" s="294">
        <v>44561.0</v>
      </c>
      <c r="Y100" s="294">
        <v>44565.0</v>
      </c>
      <c r="Z100" s="288"/>
      <c r="AA100" s="165" t="s">
        <v>2669</v>
      </c>
      <c r="AB100" s="295">
        <v>44561.0</v>
      </c>
      <c r="AC100" s="288"/>
      <c r="AD100" s="288"/>
      <c r="AE100" s="160"/>
      <c r="AF100" s="288"/>
      <c r="AG100" s="160"/>
      <c r="AH100" s="288"/>
      <c r="AI100" s="288"/>
      <c r="AJ100" s="288"/>
      <c r="AK100" s="165" t="s">
        <v>1715</v>
      </c>
      <c r="AL100" s="288"/>
      <c r="AM100" s="288"/>
      <c r="AN100" s="288"/>
      <c r="AO100" s="288"/>
      <c r="AP100" s="150" t="s">
        <v>2663</v>
      </c>
      <c r="AQ100" s="288"/>
    </row>
    <row r="101">
      <c r="A101" s="150" t="s">
        <v>2171</v>
      </c>
      <c r="B101" s="150" t="s">
        <v>2172</v>
      </c>
      <c r="C101" s="175" t="str">
        <f>VLOOKUP(A101,Import!A:C,3,false)</f>
        <v>DOĞRU</v>
      </c>
      <c r="D101" s="150" t="s">
        <v>2664</v>
      </c>
      <c r="E101" s="280">
        <f>VLOOKUP(A101,Import!A:J,5,0)</f>
        <v>164</v>
      </c>
      <c r="F101" s="280">
        <f>VLOOKUP(A101,Import!A:J,6,0)</f>
        <v>26</v>
      </c>
      <c r="G101" s="289">
        <f>VLOOKUP(A101,Import!A:J,7,0)</f>
        <v>0</v>
      </c>
      <c r="H101" s="289">
        <f>VLOOKUP(A101,Import!A:J,8,0)</f>
        <v>17</v>
      </c>
      <c r="I101" s="289">
        <f>VLOOKUP(A101,Import!A:J,9,0)</f>
        <v>17</v>
      </c>
      <c r="J101" s="282">
        <f>VLOOKUP(A101,Import!A:J,10,0)</f>
        <v>0</v>
      </c>
      <c r="K101" s="290" t="s">
        <v>2943</v>
      </c>
      <c r="L101" s="150">
        <v>2.223215419E9</v>
      </c>
      <c r="M101" s="150" t="s">
        <v>2666</v>
      </c>
      <c r="N101" s="150" t="s">
        <v>2682</v>
      </c>
      <c r="O101" s="150" t="s">
        <v>2174</v>
      </c>
      <c r="P101" s="244" t="str">
        <f>VLOOKUP(A101,Import!A:P,16,0)</f>
        <v>Geleneksel</v>
      </c>
      <c r="Q101" s="291"/>
      <c r="R101" s="292" t="b">
        <v>1</v>
      </c>
      <c r="S101" s="293" t="b">
        <v>0</v>
      </c>
      <c r="T101" s="149" t="s">
        <v>2661</v>
      </c>
      <c r="U101" s="149" t="s">
        <v>921</v>
      </c>
      <c r="V101" s="269" t="s">
        <v>1609</v>
      </c>
      <c r="W101" s="149">
        <v>5.453192936E9</v>
      </c>
      <c r="X101" s="294">
        <v>44543.0</v>
      </c>
      <c r="Y101" s="294">
        <v>44545.0</v>
      </c>
      <c r="Z101" s="288"/>
      <c r="AA101" s="165" t="s">
        <v>2669</v>
      </c>
      <c r="AB101" s="295">
        <v>44543.0</v>
      </c>
      <c r="AC101" s="288"/>
      <c r="AD101" s="288"/>
      <c r="AE101" s="160"/>
      <c r="AF101" s="288"/>
      <c r="AG101" s="160"/>
      <c r="AH101" s="288"/>
      <c r="AI101" s="288"/>
      <c r="AJ101" s="288"/>
      <c r="AK101" s="165" t="s">
        <v>921</v>
      </c>
      <c r="AL101" s="288"/>
      <c r="AM101" s="288"/>
      <c r="AN101" s="288"/>
      <c r="AO101" s="165"/>
      <c r="AP101" s="150" t="s">
        <v>2663</v>
      </c>
      <c r="AQ101" s="165"/>
    </row>
    <row r="102">
      <c r="A102" s="150" t="s">
        <v>2944</v>
      </c>
      <c r="B102" s="150" t="s">
        <v>2945</v>
      </c>
      <c r="C102" s="175" t="str">
        <f>VLOOKUP(A102,Import!A:C,3,false)</f>
        <v>DOĞRU</v>
      </c>
      <c r="D102" s="150" t="s">
        <v>2664</v>
      </c>
      <c r="E102" s="280">
        <f>VLOOKUP(A102,Import!A:J,5,0)</f>
        <v>3131</v>
      </c>
      <c r="F102" s="280">
        <f>VLOOKUP(A102,Import!A:J,6,0)</f>
        <v>172</v>
      </c>
      <c r="G102" s="289">
        <f>VLOOKUP(A102,Import!A:J,7,0)</f>
        <v>0</v>
      </c>
      <c r="H102" s="289">
        <f>VLOOKUP(A102,Import!A:J,8,0)</f>
        <v>35</v>
      </c>
      <c r="I102" s="289">
        <f>VLOOKUP(A102,Import!A:J,9,0)</f>
        <v>35</v>
      </c>
      <c r="J102" s="282">
        <f>VLOOKUP(A102,Import!A:J,10,0)</f>
        <v>0</v>
      </c>
      <c r="K102" s="244" t="str">
        <f>VLOOKUP(A102,Import!A:P,11,0)</f>
        <v>SAADET AVCI</v>
      </c>
      <c r="L102" s="150">
        <v>5.46240223E9</v>
      </c>
      <c r="M102" s="150" t="s">
        <v>2666</v>
      </c>
      <c r="N102" s="150" t="s">
        <v>2801</v>
      </c>
      <c r="O102" s="150" t="s">
        <v>2946</v>
      </c>
      <c r="P102" s="244" t="str">
        <f>VLOOKUP(A102,Import!A:P,16,0)</f>
        <v>Geleneksel</v>
      </c>
      <c r="Q102" s="291" t="s">
        <v>2660</v>
      </c>
      <c r="R102" s="292" t="b">
        <v>1</v>
      </c>
      <c r="S102" s="293" t="b">
        <v>0</v>
      </c>
      <c r="T102" s="149" t="s">
        <v>2714</v>
      </c>
      <c r="U102" s="296"/>
      <c r="V102" s="312"/>
      <c r="W102" s="149" t="s">
        <v>2947</v>
      </c>
      <c r="X102" s="297"/>
      <c r="Y102" s="297"/>
      <c r="Z102" s="288"/>
      <c r="AA102" s="165" t="s">
        <v>2669</v>
      </c>
      <c r="AB102" s="295">
        <v>44490.0</v>
      </c>
      <c r="AC102" s="288"/>
      <c r="AD102" s="288"/>
      <c r="AE102" s="160"/>
      <c r="AF102" s="288"/>
      <c r="AG102" s="160"/>
      <c r="AH102" s="288"/>
      <c r="AI102" s="288"/>
      <c r="AJ102" s="288"/>
      <c r="AK102" s="165" t="s">
        <v>1754</v>
      </c>
      <c r="AL102" s="288"/>
      <c r="AM102" s="288"/>
      <c r="AN102" s="288"/>
      <c r="AO102" s="288"/>
      <c r="AP102" s="150" t="s">
        <v>2663</v>
      </c>
      <c r="AQ102" s="288"/>
    </row>
    <row r="103">
      <c r="A103" s="150" t="s">
        <v>1027</v>
      </c>
      <c r="B103" s="150" t="s">
        <v>1028</v>
      </c>
      <c r="C103" s="175" t="str">
        <f>VLOOKUP(A103,Import!A:C,3,false)</f>
        <v>DOĞRU</v>
      </c>
      <c r="D103" s="150" t="s">
        <v>2658</v>
      </c>
      <c r="E103" s="280">
        <f>VLOOKUP(A103,Import!A:J,5,0)</f>
        <v>4336</v>
      </c>
      <c r="F103" s="280">
        <f>VLOOKUP(A103,Import!A:J,6,0)</f>
        <v>102</v>
      </c>
      <c r="G103" s="289">
        <f>VLOOKUP(A103,Import!A:J,7,0)</f>
        <v>0</v>
      </c>
      <c r="H103" s="289">
        <f>VLOOKUP(A103,Import!A:J,8,0)</f>
        <v>89</v>
      </c>
      <c r="I103" s="289">
        <f>VLOOKUP(A103,Import!A:J,9,0)</f>
        <v>89</v>
      </c>
      <c r="J103" s="282">
        <f>VLOOKUP(A103,Import!A:J,10,0)</f>
        <v>0</v>
      </c>
      <c r="K103" s="244" t="str">
        <f>VLOOKUP(A103,Import!A:P,11,0)</f>
        <v>NAZAN ULUPINAR</v>
      </c>
      <c r="L103" s="150">
        <v>2.222392537E9</v>
      </c>
      <c r="M103" s="150" t="s">
        <v>1450</v>
      </c>
      <c r="N103" s="150" t="s">
        <v>2732</v>
      </c>
      <c r="O103" s="150" t="s">
        <v>398</v>
      </c>
      <c r="P103" s="244" t="str">
        <f>VLOOKUP(A103,Import!A:P,16,0)</f>
        <v>Geleneksel</v>
      </c>
      <c r="Q103" s="315" t="s">
        <v>2713</v>
      </c>
      <c r="R103" s="292" t="b">
        <v>1</v>
      </c>
      <c r="S103" s="293" t="b">
        <v>0</v>
      </c>
      <c r="T103" s="149" t="s">
        <v>2948</v>
      </c>
      <c r="U103" s="149" t="s">
        <v>1000</v>
      </c>
      <c r="V103" s="149" t="s">
        <v>31</v>
      </c>
      <c r="W103" s="149" t="s">
        <v>2949</v>
      </c>
      <c r="X103" s="294">
        <v>44263.0</v>
      </c>
      <c r="Y103" s="294">
        <v>44265.0</v>
      </c>
      <c r="Z103" s="288"/>
      <c r="AA103" s="165" t="s">
        <v>2688</v>
      </c>
      <c r="AB103" s="295">
        <v>44379.0</v>
      </c>
      <c r="AC103" s="165" t="s">
        <v>2693</v>
      </c>
      <c r="AD103" s="295">
        <v>44494.0</v>
      </c>
      <c r="AE103" s="165" t="s">
        <v>2669</v>
      </c>
      <c r="AF103" s="295">
        <v>44495.0</v>
      </c>
      <c r="AG103" s="160"/>
      <c r="AH103" s="288"/>
      <c r="AI103" s="288"/>
      <c r="AJ103" s="288"/>
      <c r="AK103" s="165" t="s">
        <v>2718</v>
      </c>
      <c r="AL103" s="165" t="s">
        <v>1791</v>
      </c>
      <c r="AM103" s="165" t="s">
        <v>819</v>
      </c>
      <c r="AN103" s="288"/>
      <c r="AO103" s="288"/>
      <c r="AP103" s="150" t="s">
        <v>2663</v>
      </c>
      <c r="AQ103" s="288"/>
    </row>
    <row r="104">
      <c r="A104" s="150" t="s">
        <v>427</v>
      </c>
      <c r="B104" s="150" t="s">
        <v>428</v>
      </c>
      <c r="C104" s="175" t="str">
        <f>VLOOKUP(A104,Import!A:C,3,false)</f>
        <v>DOĞRU</v>
      </c>
      <c r="D104" s="150" t="s">
        <v>2658</v>
      </c>
      <c r="E104" s="280">
        <f>VLOOKUP(A104,Import!A:J,5,0)</f>
        <v>256</v>
      </c>
      <c r="F104" s="280" t="str">
        <f>VLOOKUP(A104,Import!A:J,6,0)</f>
        <v/>
      </c>
      <c r="G104" s="289">
        <f>VLOOKUP(A104,Import!A:J,7,0)</f>
        <v>0</v>
      </c>
      <c r="H104" s="289">
        <f>VLOOKUP(A104,Import!A:J,8,0)</f>
        <v>6</v>
      </c>
      <c r="I104" s="289">
        <f>VLOOKUP(A104,Import!A:J,9,0)</f>
        <v>6</v>
      </c>
      <c r="J104" s="282">
        <f>VLOOKUP(A104,Import!A:J,10,0)</f>
        <v>0</v>
      </c>
      <c r="K104" s="244" t="str">
        <f>VLOOKUP(A104,Import!A:P,11,0)</f>
        <v>ÜMİT KESİK</v>
      </c>
      <c r="L104" s="150">
        <v>5.43334896E9</v>
      </c>
      <c r="M104" s="150" t="s">
        <v>1450</v>
      </c>
      <c r="N104" s="150" t="s">
        <v>2950</v>
      </c>
      <c r="O104" s="150" t="s">
        <v>2951</v>
      </c>
      <c r="P104" s="244" t="str">
        <f>VLOOKUP(A104,Import!A:P,16,0)</f>
        <v>Geleneksel</v>
      </c>
      <c r="Q104" s="291" t="s">
        <v>2660</v>
      </c>
      <c r="R104" s="292" t="b">
        <v>1</v>
      </c>
      <c r="S104" s="293" t="b">
        <v>0</v>
      </c>
      <c r="T104" s="149" t="s">
        <v>2714</v>
      </c>
      <c r="U104" s="296"/>
      <c r="V104" s="312"/>
      <c r="W104" s="149" t="s">
        <v>2952</v>
      </c>
      <c r="X104" s="294"/>
      <c r="Y104" s="294"/>
      <c r="Z104" s="288"/>
      <c r="AA104" s="288"/>
      <c r="AB104" s="288"/>
      <c r="AC104" s="288"/>
      <c r="AD104" s="288"/>
      <c r="AE104" s="160"/>
      <c r="AF104" s="288"/>
      <c r="AG104" s="160"/>
      <c r="AH104" s="288"/>
      <c r="AI104" s="288"/>
      <c r="AJ104" s="288"/>
      <c r="AK104" s="288"/>
      <c r="AL104" s="288"/>
      <c r="AM104" s="288"/>
      <c r="AN104" s="288"/>
      <c r="AO104" s="288"/>
      <c r="AP104" s="150" t="s">
        <v>2663</v>
      </c>
      <c r="AQ104" s="288"/>
    </row>
    <row r="105">
      <c r="A105" s="150" t="s">
        <v>2953</v>
      </c>
      <c r="B105" s="150" t="s">
        <v>2954</v>
      </c>
      <c r="C105" s="175" t="str">
        <f>VLOOKUP(A105,Import!A:C,3,false)</f>
        <v>DOĞRU</v>
      </c>
      <c r="D105" s="150" t="s">
        <v>2664</v>
      </c>
      <c r="E105" s="280">
        <f>VLOOKUP(A105,Import!A:J,5,0)</f>
        <v>1</v>
      </c>
      <c r="F105" s="280">
        <f>VLOOKUP(A105,Import!A:J,6,0)</f>
        <v>1</v>
      </c>
      <c r="G105" s="289">
        <f>VLOOKUP(A105,Import!A:J,7,0)</f>
        <v>0</v>
      </c>
      <c r="H105" s="289">
        <f>VLOOKUP(A105,Import!A:J,8,0)</f>
        <v>18</v>
      </c>
      <c r="I105" s="289">
        <f>VLOOKUP(A105,Import!A:J,9,0)</f>
        <v>18</v>
      </c>
      <c r="J105" s="282">
        <f>VLOOKUP(A105,Import!A:J,10,0)</f>
        <v>0</v>
      </c>
      <c r="K105" s="150" t="s">
        <v>2955</v>
      </c>
      <c r="L105" s="150">
        <v>5.356512602E9</v>
      </c>
      <c r="M105" s="150" t="s">
        <v>2666</v>
      </c>
      <c r="N105" s="150" t="s">
        <v>2801</v>
      </c>
      <c r="O105" s="150" t="s">
        <v>2956</v>
      </c>
      <c r="P105" s="244" t="str">
        <f>VLOOKUP(A105,Import!A:P,16,0)</f>
        <v>Geleneksel</v>
      </c>
      <c r="Q105" s="291"/>
      <c r="R105" s="292" t="b">
        <v>0</v>
      </c>
      <c r="S105" s="293" t="b">
        <v>0</v>
      </c>
      <c r="T105" s="149"/>
      <c r="U105" s="296"/>
      <c r="V105" s="296"/>
      <c r="W105" s="149"/>
      <c r="X105" s="297"/>
      <c r="Y105" s="297"/>
      <c r="Z105" s="288"/>
      <c r="AA105" s="165"/>
      <c r="AB105" s="295"/>
      <c r="AC105" s="288"/>
      <c r="AD105" s="288"/>
      <c r="AE105" s="160"/>
      <c r="AF105" s="288"/>
      <c r="AG105" s="160"/>
      <c r="AH105" s="288"/>
      <c r="AI105" s="288"/>
      <c r="AJ105" s="288"/>
      <c r="AK105" s="165"/>
      <c r="AL105" s="288"/>
      <c r="AM105" s="288"/>
      <c r="AN105" s="288"/>
      <c r="AO105" s="165"/>
      <c r="AP105" s="150"/>
      <c r="AQ105" s="165"/>
    </row>
    <row r="106">
      <c r="A106" s="244" t="s">
        <v>414</v>
      </c>
      <c r="B106" s="244" t="s">
        <v>415</v>
      </c>
      <c r="C106" s="175" t="str">
        <f>VLOOKUP(A106,Import!A:C,3,false)</f>
        <v>DOĞRU</v>
      </c>
      <c r="D106" s="320" t="s">
        <v>2867</v>
      </c>
      <c r="E106" s="280">
        <f>VLOOKUP(A106,Import!A:J,5,0)</f>
        <v>1192</v>
      </c>
      <c r="F106" s="280">
        <f>VLOOKUP(A106,Import!A:J,6,0)</f>
        <v>2</v>
      </c>
      <c r="G106" s="289">
        <f>VLOOKUP(A106,Import!A:J,7,0)</f>
        <v>0</v>
      </c>
      <c r="H106" s="289">
        <f>VLOOKUP(A106,Import!A:J,8,0)</f>
        <v>19</v>
      </c>
      <c r="I106" s="289">
        <f>VLOOKUP(A106,Import!A:J,9,0)</f>
        <v>19</v>
      </c>
      <c r="J106" s="282">
        <f>VLOOKUP(A106,Import!A:J,10,0)</f>
        <v>0</v>
      </c>
      <c r="K106" s="244" t="str">
        <f>VLOOKUP(A106,Import!A:P,11,0)</f>
        <v>Ömer Faruk Özdemirli</v>
      </c>
      <c r="L106" s="321">
        <v>5.324147942E9</v>
      </c>
      <c r="M106" s="320" t="s">
        <v>2666</v>
      </c>
      <c r="N106" s="320" t="s">
        <v>2855</v>
      </c>
      <c r="O106" s="320" t="s">
        <v>413</v>
      </c>
      <c r="P106" s="244" t="str">
        <f>VLOOKUP(A106,Import!A:P,16,0)</f>
        <v>Geleneksel</v>
      </c>
      <c r="Q106" s="322" t="s">
        <v>2686</v>
      </c>
      <c r="R106" s="323" t="b">
        <v>1</v>
      </c>
      <c r="S106" s="324" t="b">
        <v>0</v>
      </c>
      <c r="T106" s="326" t="s">
        <v>2661</v>
      </c>
      <c r="U106" s="326" t="s">
        <v>1717</v>
      </c>
      <c r="V106" s="357" t="s">
        <v>1609</v>
      </c>
      <c r="W106" s="326" t="s">
        <v>2957</v>
      </c>
      <c r="X106" s="331">
        <v>44532.0</v>
      </c>
      <c r="Y106" s="331">
        <v>44537.0</v>
      </c>
      <c r="Z106" s="288"/>
      <c r="AA106" s="165" t="s">
        <v>2669</v>
      </c>
      <c r="AB106" s="295">
        <v>44526.0</v>
      </c>
      <c r="AC106" s="165" t="s">
        <v>2669</v>
      </c>
      <c r="AD106" s="295">
        <v>44532.0</v>
      </c>
      <c r="AE106" s="165" t="s">
        <v>2693</v>
      </c>
      <c r="AF106" s="295">
        <v>44576.0</v>
      </c>
      <c r="AG106" s="160"/>
      <c r="AH106" s="288"/>
      <c r="AI106" s="288"/>
      <c r="AJ106" s="288"/>
      <c r="AK106" s="165" t="s">
        <v>819</v>
      </c>
      <c r="AL106" s="165" t="s">
        <v>1717</v>
      </c>
      <c r="AM106" s="165" t="s">
        <v>1715</v>
      </c>
      <c r="AN106" s="288"/>
      <c r="AO106" s="288"/>
      <c r="AP106" s="150" t="s">
        <v>2663</v>
      </c>
      <c r="AQ106" s="288"/>
    </row>
    <row r="107">
      <c r="A107" s="150" t="s">
        <v>1923</v>
      </c>
      <c r="B107" s="150" t="s">
        <v>1924</v>
      </c>
      <c r="C107" s="175" t="str">
        <f>VLOOKUP(A107,Import!A:C,3,false)</f>
        <v>DOĞRU</v>
      </c>
      <c r="D107" s="150" t="s">
        <v>2904</v>
      </c>
      <c r="E107" s="280">
        <f>VLOOKUP(A107,Import!A:J,5,0)</f>
        <v>2273</v>
      </c>
      <c r="F107" s="280">
        <f>VLOOKUP(A107,Import!A:J,6,0)</f>
        <v>109</v>
      </c>
      <c r="G107" s="289">
        <f>VLOOKUP(A107,Import!A:J,7,0)</f>
        <v>0</v>
      </c>
      <c r="H107" s="289">
        <f>VLOOKUP(A107,Import!A:J,8,0)</f>
        <v>28</v>
      </c>
      <c r="I107" s="289">
        <f>VLOOKUP(A107,Import!A:J,9,0)</f>
        <v>28</v>
      </c>
      <c r="J107" s="282">
        <f>VLOOKUP(A107,Import!A:J,10,0)</f>
        <v>0</v>
      </c>
      <c r="K107" s="244" t="str">
        <f>VLOOKUP(A107,Import!A:P,11,0)</f>
        <v>Mehmet Surha</v>
      </c>
      <c r="L107" s="150">
        <v>5.493306699E9</v>
      </c>
      <c r="M107" s="150" t="s">
        <v>2666</v>
      </c>
      <c r="N107" s="150" t="s">
        <v>2809</v>
      </c>
      <c r="O107" s="150" t="s">
        <v>1927</v>
      </c>
      <c r="P107" s="244" t="str">
        <f>VLOOKUP(A107,Import!A:P,16,0)</f>
        <v>Geleneksel</v>
      </c>
      <c r="Q107" s="291"/>
      <c r="R107" s="292" t="b">
        <v>1</v>
      </c>
      <c r="S107" s="293" t="b">
        <v>0</v>
      </c>
      <c r="T107" s="149" t="s">
        <v>2714</v>
      </c>
      <c r="U107" s="149" t="s">
        <v>1911</v>
      </c>
      <c r="V107" s="149" t="s">
        <v>2958</v>
      </c>
      <c r="W107" s="149" t="s">
        <v>2959</v>
      </c>
      <c r="X107" s="294">
        <v>44511.0</v>
      </c>
      <c r="Y107" s="294">
        <v>44515.0</v>
      </c>
      <c r="Z107" s="288"/>
      <c r="AA107" s="165" t="s">
        <v>2669</v>
      </c>
      <c r="AB107" s="295">
        <v>44511.0</v>
      </c>
      <c r="AC107" s="165" t="s">
        <v>2669</v>
      </c>
      <c r="AD107" s="295">
        <v>44529.0</v>
      </c>
      <c r="AE107" s="160"/>
      <c r="AF107" s="288"/>
      <c r="AG107" s="160"/>
      <c r="AH107" s="288"/>
      <c r="AI107" s="288"/>
      <c r="AJ107" s="288"/>
      <c r="AK107" s="165" t="s">
        <v>1911</v>
      </c>
      <c r="AL107" s="165" t="s">
        <v>1715</v>
      </c>
      <c r="AM107" s="288"/>
      <c r="AN107" s="288"/>
      <c r="AO107" s="288"/>
      <c r="AP107" s="150" t="s">
        <v>2663</v>
      </c>
      <c r="AQ107" s="288"/>
    </row>
    <row r="108">
      <c r="A108" s="150" t="s">
        <v>1664</v>
      </c>
      <c r="B108" s="150" t="s">
        <v>1665</v>
      </c>
      <c r="C108" s="175" t="str">
        <f>VLOOKUP(A108,Import!A:C,3,false)</f>
        <v>DOĞRU</v>
      </c>
      <c r="D108" s="150" t="s">
        <v>2696</v>
      </c>
      <c r="E108" s="280">
        <f>VLOOKUP(A108,Import!A:J,5,0)</f>
        <v>734</v>
      </c>
      <c r="F108" s="280">
        <f>VLOOKUP(A108,Import!A:J,6,0)</f>
        <v>68</v>
      </c>
      <c r="G108" s="289">
        <f>VLOOKUP(A108,Import!A:J,7,0)</f>
        <v>21</v>
      </c>
      <c r="H108" s="289">
        <f>VLOOKUP(A108,Import!A:J,8,0)</f>
        <v>59</v>
      </c>
      <c r="I108" s="289">
        <f>VLOOKUP(A108,Import!A:J,9,0)</f>
        <v>80</v>
      </c>
      <c r="J108" s="282">
        <f>VLOOKUP(A108,Import!A:J,10,0)</f>
        <v>0.26</v>
      </c>
      <c r="K108" s="244" t="str">
        <f>VLOOKUP(A108,Import!A:P,11,0)</f>
        <v>Gürhan Yılmaz</v>
      </c>
      <c r="L108" s="150">
        <v>2.222343999E9</v>
      </c>
      <c r="M108" s="150" t="s">
        <v>1450</v>
      </c>
      <c r="N108" s="150" t="s">
        <v>2700</v>
      </c>
      <c r="O108" s="150" t="s">
        <v>2960</v>
      </c>
      <c r="P108" s="244" t="str">
        <f>VLOOKUP(A108,Import!A:P,16,0)</f>
        <v>Geleneksel</v>
      </c>
      <c r="Q108" s="291"/>
      <c r="R108" s="292" t="b">
        <v>1</v>
      </c>
      <c r="S108" s="293" t="b">
        <v>0</v>
      </c>
      <c r="T108" s="149" t="s">
        <v>2770</v>
      </c>
      <c r="U108" s="149" t="s">
        <v>943</v>
      </c>
      <c r="V108" s="149" t="s">
        <v>2961</v>
      </c>
      <c r="W108" s="149" t="s">
        <v>2962</v>
      </c>
      <c r="X108" s="294">
        <v>44482.0</v>
      </c>
      <c r="Y108" s="294">
        <v>44483.0</v>
      </c>
      <c r="Z108" s="288"/>
      <c r="AA108" s="165" t="s">
        <v>2669</v>
      </c>
      <c r="AB108" s="295">
        <v>44482.0</v>
      </c>
      <c r="AC108" s="165" t="s">
        <v>2669</v>
      </c>
      <c r="AD108" s="295">
        <v>44540.0</v>
      </c>
      <c r="AE108" s="160"/>
      <c r="AF108" s="288"/>
      <c r="AG108" s="160"/>
      <c r="AH108" s="288"/>
      <c r="AI108" s="288"/>
      <c r="AJ108" s="288"/>
      <c r="AK108" s="165" t="s">
        <v>943</v>
      </c>
      <c r="AL108" s="165" t="s">
        <v>1911</v>
      </c>
      <c r="AM108" s="288"/>
      <c r="AN108" s="288"/>
      <c r="AO108" s="288"/>
      <c r="AP108" s="150" t="s">
        <v>2663</v>
      </c>
      <c r="AQ108" s="288"/>
    </row>
    <row r="109">
      <c r="A109" s="244" t="s">
        <v>272</v>
      </c>
      <c r="B109" s="244" t="s">
        <v>273</v>
      </c>
      <c r="C109" s="175" t="str">
        <f>VLOOKUP(A109,Import!A:C,3,false)</f>
        <v>DOĞRU</v>
      </c>
      <c r="D109" s="244" t="s">
        <v>2684</v>
      </c>
      <c r="E109" s="280">
        <f>VLOOKUP(A109,Import!A:J,5,0)</f>
        <v>8313</v>
      </c>
      <c r="F109" s="280">
        <f>VLOOKUP(A109,Import!A:J,6,0)</f>
        <v>83</v>
      </c>
      <c r="G109" s="289">
        <f>VLOOKUP(A109,Import!A:J,7,0)</f>
        <v>0</v>
      </c>
      <c r="H109" s="289">
        <f>VLOOKUP(A109,Import!A:J,8,0)</f>
        <v>7</v>
      </c>
      <c r="I109" s="289">
        <f>VLOOKUP(A109,Import!A:J,9,0)</f>
        <v>7</v>
      </c>
      <c r="J109" s="282">
        <f>VLOOKUP(A109,Import!A:J,10,0)</f>
        <v>0</v>
      </c>
      <c r="K109" s="244" t="str">
        <f>VLOOKUP(A109,Import!A:P,11,0)</f>
        <v>SERKAN AKAY</v>
      </c>
      <c r="L109" s="280">
        <v>5.52609623E9</v>
      </c>
      <c r="M109" s="244" t="s">
        <v>1450</v>
      </c>
      <c r="N109" s="244" t="s">
        <v>2732</v>
      </c>
      <c r="O109" s="244" t="s">
        <v>275</v>
      </c>
      <c r="P109" s="244" t="str">
        <f>VLOOKUP(A109,Import!A:P,16,0)</f>
        <v>Geleneksel</v>
      </c>
      <c r="Q109" s="291" t="s">
        <v>2660</v>
      </c>
      <c r="R109" s="292" t="b">
        <v>1</v>
      </c>
      <c r="S109" s="292" t="b">
        <v>0</v>
      </c>
      <c r="T109" s="165" t="s">
        <v>2714</v>
      </c>
      <c r="U109" s="165"/>
      <c r="V109" s="165"/>
      <c r="W109" s="165" t="s">
        <v>2963</v>
      </c>
      <c r="X109" s="295"/>
      <c r="Y109" s="295"/>
      <c r="Z109" s="288"/>
      <c r="AA109" s="165" t="s">
        <v>2669</v>
      </c>
      <c r="AB109" s="295">
        <v>44494.0</v>
      </c>
      <c r="AC109" s="288"/>
      <c r="AD109" s="288"/>
      <c r="AE109" s="160"/>
      <c r="AF109" s="288"/>
      <c r="AG109" s="160"/>
      <c r="AH109" s="288"/>
      <c r="AI109" s="288"/>
      <c r="AJ109" s="288"/>
      <c r="AK109" s="165" t="s">
        <v>1791</v>
      </c>
      <c r="AL109" s="288"/>
      <c r="AM109" s="288"/>
      <c r="AN109" s="288"/>
      <c r="AO109" s="288"/>
      <c r="AP109" s="150" t="s">
        <v>2663</v>
      </c>
      <c r="AQ109" s="288"/>
    </row>
    <row r="110">
      <c r="A110" s="150" t="s">
        <v>2964</v>
      </c>
      <c r="B110" s="150" t="s">
        <v>2965</v>
      </c>
      <c r="C110" s="175" t="str">
        <f>VLOOKUP(A110,Import!A:C,3,false)</f>
        <v>DOĞRU</v>
      </c>
      <c r="D110" s="150" t="s">
        <v>2664</v>
      </c>
      <c r="E110" s="280">
        <f>VLOOKUP(A110,Import!A:J,5,0)</f>
        <v>30</v>
      </c>
      <c r="F110" s="280">
        <f>VLOOKUP(A110,Import!A:J,6,0)</f>
        <v>6</v>
      </c>
      <c r="G110" s="289">
        <f>VLOOKUP(A110,Import!A:J,7,0)</f>
        <v>0</v>
      </c>
      <c r="H110" s="289">
        <f>VLOOKUP(A110,Import!A:J,8,0)</f>
        <v>9</v>
      </c>
      <c r="I110" s="289">
        <f>VLOOKUP(A110,Import!A:J,9,0)</f>
        <v>9</v>
      </c>
      <c r="J110" s="282">
        <f>VLOOKUP(A110,Import!A:J,10,0)</f>
        <v>0</v>
      </c>
      <c r="K110" s="290" t="s">
        <v>2966</v>
      </c>
      <c r="L110" s="150">
        <v>5.37471696E9</v>
      </c>
      <c r="M110" s="150" t="s">
        <v>2666</v>
      </c>
      <c r="N110" s="150" t="s">
        <v>2682</v>
      </c>
      <c r="O110" s="150" t="s">
        <v>2967</v>
      </c>
      <c r="P110" s="244" t="str">
        <f>VLOOKUP(A110,Import!A:P,16,0)</f>
        <v>Geleneksel</v>
      </c>
      <c r="Q110" s="291"/>
      <c r="R110" s="292" t="b">
        <v>1</v>
      </c>
      <c r="S110" s="293" t="b">
        <v>0</v>
      </c>
      <c r="T110" s="149"/>
      <c r="U110" s="296"/>
      <c r="V110" s="296"/>
      <c r="W110" s="149" t="s">
        <v>2968</v>
      </c>
      <c r="X110" s="297"/>
      <c r="Y110" s="297"/>
      <c r="Z110" s="288"/>
      <c r="AA110" s="165" t="s">
        <v>2669</v>
      </c>
      <c r="AB110" s="295">
        <v>44641.0</v>
      </c>
      <c r="AC110" s="288"/>
      <c r="AD110" s="288"/>
      <c r="AE110" s="160"/>
      <c r="AF110" s="288"/>
      <c r="AG110" s="160"/>
      <c r="AH110" s="288"/>
      <c r="AI110" s="288"/>
      <c r="AJ110" s="288"/>
      <c r="AK110" s="165" t="s">
        <v>1791</v>
      </c>
      <c r="AL110" s="288"/>
      <c r="AM110" s="288"/>
      <c r="AN110" s="288"/>
      <c r="AO110" s="165"/>
      <c r="AP110" s="150"/>
      <c r="AQ110" s="165"/>
    </row>
    <row r="111">
      <c r="A111" s="147" t="s">
        <v>2969</v>
      </c>
      <c r="B111" s="147" t="s">
        <v>2970</v>
      </c>
      <c r="C111" s="175" t="str">
        <f>VLOOKUP(A111,Import!A:C,3,false)</f>
        <v>DOĞRU</v>
      </c>
      <c r="D111" s="147" t="s">
        <v>2773</v>
      </c>
      <c r="E111" s="280">
        <f>VLOOKUP(A111,Import!A:J,5,0)</f>
        <v>1291</v>
      </c>
      <c r="F111" s="280">
        <f>VLOOKUP(A111,Import!A:J,6,0)</f>
        <v>23</v>
      </c>
      <c r="G111" s="289">
        <f>VLOOKUP(A111,Import!A:J,7,0)</f>
        <v>13</v>
      </c>
      <c r="H111" s="289">
        <f>VLOOKUP(A111,Import!A:J,8,0)</f>
        <v>5</v>
      </c>
      <c r="I111" s="289">
        <f>VLOOKUP(A111,Import!A:J,9,0)</f>
        <v>18</v>
      </c>
      <c r="J111" s="282">
        <f>VLOOKUP(A111,Import!A:J,10,0)</f>
        <v>0.72</v>
      </c>
      <c r="K111" s="244" t="str">
        <f>VLOOKUP(A111,Import!A:P,11,0)</f>
        <v>İHSAN BEZENMİŞ</v>
      </c>
      <c r="L111" s="147">
        <v>5.37471696E9</v>
      </c>
      <c r="M111" s="147" t="s">
        <v>2666</v>
      </c>
      <c r="N111" s="147" t="s">
        <v>2855</v>
      </c>
      <c r="O111" s="147" t="s">
        <v>2971</v>
      </c>
      <c r="P111" s="244" t="str">
        <f>VLOOKUP(A111,Import!A:P,16,0)</f>
        <v>Geleneksel</v>
      </c>
      <c r="Q111" s="330"/>
      <c r="R111" s="292" t="b">
        <v>1</v>
      </c>
      <c r="S111" s="292" t="b">
        <v>0</v>
      </c>
      <c r="T111" s="149" t="s">
        <v>2734</v>
      </c>
      <c r="U111" s="296"/>
      <c r="V111" s="296"/>
      <c r="W111" s="147" t="s">
        <v>2972</v>
      </c>
      <c r="X111" s="297"/>
      <c r="Y111" s="297"/>
      <c r="Z111" s="288"/>
      <c r="AA111" s="288"/>
      <c r="AB111" s="288"/>
      <c r="AC111" s="288"/>
      <c r="AD111" s="288"/>
      <c r="AE111" s="160"/>
      <c r="AF111" s="288"/>
      <c r="AG111" s="160"/>
      <c r="AH111" s="288"/>
      <c r="AI111" s="288"/>
      <c r="AJ111" s="288"/>
      <c r="AK111" s="288"/>
      <c r="AL111" s="288"/>
      <c r="AM111" s="288"/>
      <c r="AN111" s="288"/>
      <c r="AO111" s="288"/>
      <c r="AP111" s="150" t="s">
        <v>2663</v>
      </c>
      <c r="AQ111" s="288"/>
    </row>
    <row r="112">
      <c r="A112" s="150" t="s">
        <v>1890</v>
      </c>
      <c r="B112" s="150" t="s">
        <v>1891</v>
      </c>
      <c r="C112" s="175" t="str">
        <f>VLOOKUP(A112,Import!A:C,3,false)</f>
        <v>DOĞRU</v>
      </c>
      <c r="D112" s="150" t="s">
        <v>2701</v>
      </c>
      <c r="E112" s="280">
        <f>VLOOKUP(A112,Import!A:J,5,0)</f>
        <v>359</v>
      </c>
      <c r="F112" s="280">
        <f>VLOOKUP(A112,Import!A:J,6,0)</f>
        <v>34</v>
      </c>
      <c r="G112" s="289">
        <f>VLOOKUP(A112,Import!A:J,7,0)</f>
        <v>1</v>
      </c>
      <c r="H112" s="289">
        <f>VLOOKUP(A112,Import!A:J,8,0)</f>
        <v>0</v>
      </c>
      <c r="I112" s="289">
        <f>VLOOKUP(A112,Import!A:J,9,0)</f>
        <v>1</v>
      </c>
      <c r="J112" s="282">
        <f>VLOOKUP(A112,Import!A:J,10,0)</f>
        <v>1</v>
      </c>
      <c r="K112" s="290" t="s">
        <v>2973</v>
      </c>
      <c r="L112" s="150">
        <v>5.356001853E9</v>
      </c>
      <c r="M112" s="150" t="s">
        <v>2666</v>
      </c>
      <c r="N112" s="150" t="s">
        <v>2667</v>
      </c>
      <c r="O112" s="150" t="s">
        <v>1893</v>
      </c>
      <c r="P112" s="244" t="str">
        <f>VLOOKUP(A112,Import!A:P,16,0)</f>
        <v>Geleneksel</v>
      </c>
      <c r="Q112" s="291"/>
      <c r="R112" s="292" t="b">
        <v>1</v>
      </c>
      <c r="S112" s="293" t="b">
        <v>0</v>
      </c>
      <c r="T112" s="149" t="s">
        <v>2661</v>
      </c>
      <c r="U112" s="149" t="s">
        <v>1715</v>
      </c>
      <c r="V112" s="296"/>
      <c r="W112" s="149"/>
      <c r="X112" s="294">
        <v>44509.0</v>
      </c>
      <c r="Y112" s="294">
        <v>44511.0</v>
      </c>
      <c r="Z112" s="288"/>
      <c r="AA112" s="165" t="s">
        <v>2669</v>
      </c>
      <c r="AB112" s="295">
        <v>44509.0</v>
      </c>
      <c r="AC112" s="288"/>
      <c r="AD112" s="288"/>
      <c r="AE112" s="160"/>
      <c r="AF112" s="288"/>
      <c r="AG112" s="160"/>
      <c r="AH112" s="288"/>
      <c r="AI112" s="288"/>
      <c r="AJ112" s="288"/>
      <c r="AK112" s="165" t="s">
        <v>1715</v>
      </c>
      <c r="AL112" s="288"/>
      <c r="AM112" s="288"/>
      <c r="AN112" s="288"/>
      <c r="AO112" s="288"/>
      <c r="AP112" s="150" t="s">
        <v>2663</v>
      </c>
      <c r="AQ112" s="288"/>
    </row>
    <row r="113">
      <c r="A113" s="150" t="s">
        <v>847</v>
      </c>
      <c r="B113" s="150" t="s">
        <v>848</v>
      </c>
      <c r="C113" s="175" t="str">
        <f>VLOOKUP(A113,Import!A:C,3,false)</f>
        <v>DOĞRU</v>
      </c>
      <c r="D113" s="150" t="s">
        <v>2763</v>
      </c>
      <c r="E113" s="280">
        <f>VLOOKUP(A113,Import!A:J,5,0)</f>
        <v>1261</v>
      </c>
      <c r="F113" s="280">
        <f>VLOOKUP(A113,Import!A:J,6,0)</f>
        <v>1</v>
      </c>
      <c r="G113" s="289">
        <f>VLOOKUP(A113,Import!A:J,7,0)</f>
        <v>2</v>
      </c>
      <c r="H113" s="289">
        <f>VLOOKUP(A113,Import!A:J,8,0)</f>
        <v>15</v>
      </c>
      <c r="I113" s="289">
        <f>VLOOKUP(A113,Import!A:J,9,0)</f>
        <v>17</v>
      </c>
      <c r="J113" s="282">
        <f>VLOOKUP(A113,Import!A:J,10,0)</f>
        <v>0.12</v>
      </c>
      <c r="K113" s="244" t="str">
        <f>VLOOKUP(A113,Import!A:P,11,0)</f>
        <v>KEMAL UÇAK</v>
      </c>
      <c r="L113" s="150">
        <v>5.467670892E9</v>
      </c>
      <c r="M113" s="150" t="s">
        <v>2666</v>
      </c>
      <c r="N113" s="150" t="s">
        <v>2807</v>
      </c>
      <c r="O113" s="150" t="s">
        <v>2974</v>
      </c>
      <c r="P113" s="244" t="str">
        <f>VLOOKUP(A113,Import!A:P,16,0)</f>
        <v>Geleneksel</v>
      </c>
      <c r="Q113" s="291" t="s">
        <v>2660</v>
      </c>
      <c r="R113" s="292" t="b">
        <v>1</v>
      </c>
      <c r="S113" s="293" t="b">
        <v>0</v>
      </c>
      <c r="T113" s="149" t="s">
        <v>2668</v>
      </c>
      <c r="U113" s="149"/>
      <c r="V113" s="149" t="s">
        <v>31</v>
      </c>
      <c r="W113" s="302" t="s">
        <v>2975</v>
      </c>
      <c r="X113" s="294">
        <v>44246.0</v>
      </c>
      <c r="Y113" s="294">
        <v>44256.0</v>
      </c>
      <c r="Z113" s="288"/>
      <c r="AA113" s="288"/>
      <c r="AB113" s="288"/>
      <c r="AC113" s="288"/>
      <c r="AD113" s="288"/>
      <c r="AE113" s="160"/>
      <c r="AF113" s="288"/>
      <c r="AG113" s="160"/>
      <c r="AH113" s="288"/>
      <c r="AI113" s="288"/>
      <c r="AJ113" s="288"/>
      <c r="AK113" s="288"/>
      <c r="AL113" s="288"/>
      <c r="AM113" s="288"/>
      <c r="AN113" s="288"/>
      <c r="AO113" s="288"/>
      <c r="AP113" s="150" t="s">
        <v>2663</v>
      </c>
      <c r="AQ113" s="288"/>
    </row>
    <row r="114">
      <c r="A114" s="150" t="s">
        <v>2976</v>
      </c>
      <c r="B114" s="150" t="s">
        <v>2977</v>
      </c>
      <c r="C114" s="175" t="str">
        <f>VLOOKUP(A114,Import!A:C,3,false)</f>
        <v>DOĞRU</v>
      </c>
      <c r="D114" s="162" t="s">
        <v>2978</v>
      </c>
      <c r="E114" s="280">
        <f>VLOOKUP(A114,Import!A:J,5,0)</f>
        <v>17207</v>
      </c>
      <c r="F114" s="280">
        <f>VLOOKUP(A114,Import!A:J,6,0)</f>
        <v>569</v>
      </c>
      <c r="G114" s="289">
        <f>VLOOKUP(A114,Import!A:J,7,0)</f>
        <v>0</v>
      </c>
      <c r="H114" s="289">
        <f>VLOOKUP(A114,Import!A:J,8,0)</f>
        <v>60</v>
      </c>
      <c r="I114" s="289">
        <f>VLOOKUP(A114,Import!A:J,9,0)</f>
        <v>60</v>
      </c>
      <c r="J114" s="282">
        <f>VLOOKUP(A114,Import!A:J,10,0)</f>
        <v>0</v>
      </c>
      <c r="K114" s="244" t="str">
        <f>VLOOKUP(A114,Import!A:P,11,0)</f>
        <v>AYŞE BAHAR BOROZAN</v>
      </c>
      <c r="L114" s="162">
        <v>5.454914579E9</v>
      </c>
      <c r="M114" s="162" t="s">
        <v>2666</v>
      </c>
      <c r="N114" s="162" t="s">
        <v>2682</v>
      </c>
      <c r="O114" s="162" t="s">
        <v>2979</v>
      </c>
      <c r="P114" s="244" t="str">
        <f>VLOOKUP(A114,Import!A:P,16,0)</f>
        <v>Geleneksel</v>
      </c>
      <c r="Q114" s="300" t="s">
        <v>2713</v>
      </c>
      <c r="R114" s="285" t="b">
        <v>1</v>
      </c>
      <c r="S114" s="285" t="b">
        <v>1</v>
      </c>
      <c r="T114" s="358"/>
      <c r="U114" s="358"/>
      <c r="V114" s="358"/>
      <c r="W114" s="145" t="s">
        <v>2980</v>
      </c>
      <c r="X114" s="359"/>
      <c r="Y114" s="359"/>
      <c r="Z114" s="288"/>
      <c r="AA114" s="165" t="s">
        <v>2693</v>
      </c>
      <c r="AB114" s="295">
        <v>44525.0</v>
      </c>
      <c r="AC114" s="288"/>
      <c r="AD114" s="288"/>
      <c r="AE114" s="160"/>
      <c r="AF114" s="288"/>
      <c r="AG114" s="160"/>
      <c r="AH114" s="288"/>
      <c r="AI114" s="288"/>
      <c r="AJ114" s="288"/>
      <c r="AK114" s="165" t="s">
        <v>1911</v>
      </c>
      <c r="AL114" s="288"/>
      <c r="AM114" s="288"/>
      <c r="AN114" s="288"/>
      <c r="AO114" s="288"/>
      <c r="AP114" s="150" t="s">
        <v>2663</v>
      </c>
      <c r="AQ114" s="288"/>
    </row>
    <row r="115">
      <c r="A115" s="150" t="s">
        <v>859</v>
      </c>
      <c r="B115" s="150" t="s">
        <v>860</v>
      </c>
      <c r="C115" s="175" t="str">
        <f>VLOOKUP(A115,Import!A:C,3,false)</f>
        <v>DOĞRU</v>
      </c>
      <c r="D115" s="150" t="s">
        <v>2867</v>
      </c>
      <c r="E115" s="280">
        <f>VLOOKUP(A115,Import!A:J,5,0)</f>
        <v>3048</v>
      </c>
      <c r="F115" s="280">
        <f>VLOOKUP(A115,Import!A:J,6,0)</f>
        <v>22</v>
      </c>
      <c r="G115" s="289">
        <f>VLOOKUP(A115,Import!A:J,7,0)</f>
        <v>25</v>
      </c>
      <c r="H115" s="289">
        <f>VLOOKUP(A115,Import!A:J,8,0)</f>
        <v>23</v>
      </c>
      <c r="I115" s="289">
        <f>VLOOKUP(A115,Import!A:J,9,0)</f>
        <v>48</v>
      </c>
      <c r="J115" s="282">
        <f>VLOOKUP(A115,Import!A:J,10,0)</f>
        <v>0.52</v>
      </c>
      <c r="K115" s="244" t="str">
        <f>VLOOKUP(A115,Import!A:P,11,0)</f>
        <v>SERKAN AKKOL</v>
      </c>
      <c r="L115" s="150">
        <v>2.229991844E9</v>
      </c>
      <c r="M115" s="150" t="s">
        <v>2666</v>
      </c>
      <c r="N115" s="150" t="s">
        <v>2855</v>
      </c>
      <c r="O115" s="150" t="s">
        <v>862</v>
      </c>
      <c r="P115" s="244" t="str">
        <f>VLOOKUP(A115,Import!A:P,16,0)</f>
        <v>Geleneksel</v>
      </c>
      <c r="Q115" s="291" t="s">
        <v>2760</v>
      </c>
      <c r="R115" s="292" t="b">
        <v>1</v>
      </c>
      <c r="S115" s="293" t="b">
        <v>0</v>
      </c>
      <c r="T115" s="149" t="s">
        <v>2661</v>
      </c>
      <c r="U115" s="149" t="s">
        <v>937</v>
      </c>
      <c r="V115" s="149" t="s">
        <v>13</v>
      </c>
      <c r="W115" s="149" t="s">
        <v>2981</v>
      </c>
      <c r="X115" s="294">
        <v>44308.0</v>
      </c>
      <c r="Y115" s="294">
        <v>44316.0</v>
      </c>
      <c r="Z115" s="288"/>
      <c r="AA115" s="288"/>
      <c r="AB115" s="288"/>
      <c r="AC115" s="288"/>
      <c r="AD115" s="288"/>
      <c r="AE115" s="160"/>
      <c r="AF115" s="288"/>
      <c r="AG115" s="160"/>
      <c r="AH115" s="288"/>
      <c r="AI115" s="288"/>
      <c r="AJ115" s="288"/>
      <c r="AK115" s="288"/>
      <c r="AL115" s="288"/>
      <c r="AM115" s="288"/>
      <c r="AN115" s="288"/>
      <c r="AO115" s="288"/>
      <c r="AP115" s="150" t="s">
        <v>2663</v>
      </c>
      <c r="AQ115" s="288"/>
    </row>
    <row r="116">
      <c r="A116" s="150" t="s">
        <v>2138</v>
      </c>
      <c r="B116" s="150" t="s">
        <v>2139</v>
      </c>
      <c r="C116" s="175" t="str">
        <f>VLOOKUP(A116,Import!A:C,3,false)</f>
        <v>DOĞRU</v>
      </c>
      <c r="D116" s="150" t="s">
        <v>2672</v>
      </c>
      <c r="E116" s="280">
        <f>VLOOKUP(A116,Import!A:J,5,0)</f>
        <v>170</v>
      </c>
      <c r="F116" s="280">
        <f>VLOOKUP(A116,Import!A:J,6,0)</f>
        <v>11</v>
      </c>
      <c r="G116" s="289">
        <f>VLOOKUP(A116,Import!A:J,7,0)</f>
        <v>0</v>
      </c>
      <c r="H116" s="289">
        <f>VLOOKUP(A116,Import!A:J,8,0)</f>
        <v>16</v>
      </c>
      <c r="I116" s="289">
        <f>VLOOKUP(A116,Import!A:J,9,0)</f>
        <v>16</v>
      </c>
      <c r="J116" s="282">
        <f>VLOOKUP(A116,Import!A:J,10,0)</f>
        <v>0</v>
      </c>
      <c r="K116" s="290" t="s">
        <v>2982</v>
      </c>
      <c r="L116" s="150">
        <v>5.374473225E9</v>
      </c>
      <c r="M116" s="150" t="s">
        <v>1450</v>
      </c>
      <c r="N116" s="150" t="s">
        <v>2703</v>
      </c>
      <c r="O116" s="150" t="s">
        <v>2141</v>
      </c>
      <c r="P116" s="244" t="str">
        <f>VLOOKUP(A116,Import!A:P,16,0)</f>
        <v>Geleneksel</v>
      </c>
      <c r="Q116" s="291"/>
      <c r="R116" s="292" t="b">
        <v>1</v>
      </c>
      <c r="S116" s="293" t="b">
        <v>0</v>
      </c>
      <c r="T116" s="149" t="s">
        <v>2668</v>
      </c>
      <c r="U116" s="149" t="s">
        <v>1791</v>
      </c>
      <c r="V116" s="311" t="s">
        <v>1609</v>
      </c>
      <c r="W116" s="149" t="s">
        <v>2983</v>
      </c>
      <c r="X116" s="294">
        <v>44579.0</v>
      </c>
      <c r="Y116" s="294">
        <v>44581.0</v>
      </c>
      <c r="Z116" s="288"/>
      <c r="AA116" s="165" t="s">
        <v>2669</v>
      </c>
      <c r="AB116" s="295">
        <v>44536.0</v>
      </c>
      <c r="AC116" s="165" t="s">
        <v>2693</v>
      </c>
      <c r="AD116" s="295">
        <v>44578.0</v>
      </c>
      <c r="AE116" s="165" t="s">
        <v>2669</v>
      </c>
      <c r="AF116" s="295">
        <v>44578.0</v>
      </c>
      <c r="AG116" s="165" t="s">
        <v>2669</v>
      </c>
      <c r="AH116" s="295">
        <v>44579.0</v>
      </c>
      <c r="AI116" s="288"/>
      <c r="AJ116" s="288"/>
      <c r="AK116" s="165" t="s">
        <v>1715</v>
      </c>
      <c r="AL116" s="165" t="s">
        <v>819</v>
      </c>
      <c r="AM116" s="165" t="s">
        <v>943</v>
      </c>
      <c r="AN116" s="165" t="s">
        <v>1791</v>
      </c>
      <c r="AO116" s="165"/>
      <c r="AP116" s="150" t="s">
        <v>2663</v>
      </c>
      <c r="AQ116" s="165"/>
    </row>
    <row r="117">
      <c r="A117" s="147" t="s">
        <v>1315</v>
      </c>
      <c r="B117" s="147" t="s">
        <v>1316</v>
      </c>
      <c r="C117" s="175" t="str">
        <f>VLOOKUP(A117,Import!A:C,3,false)</f>
        <v>DOĞRU</v>
      </c>
      <c r="D117" s="147" t="s">
        <v>2672</v>
      </c>
      <c r="E117" s="280">
        <f>VLOOKUP(A117,Import!A:J,5,0)</f>
        <v>25740</v>
      </c>
      <c r="F117" s="280">
        <f>VLOOKUP(A117,Import!A:J,6,0)</f>
        <v>2007</v>
      </c>
      <c r="G117" s="289">
        <f>VLOOKUP(A117,Import!A:J,7,0)</f>
        <v>6</v>
      </c>
      <c r="H117" s="289">
        <f>VLOOKUP(A117,Import!A:J,8,0)</f>
        <v>13</v>
      </c>
      <c r="I117" s="289">
        <f>VLOOKUP(A117,Import!A:J,9,0)</f>
        <v>19</v>
      </c>
      <c r="J117" s="282">
        <f>VLOOKUP(A117,Import!A:J,10,0)</f>
        <v>0.32</v>
      </c>
      <c r="K117" s="244" t="str">
        <f>VLOOKUP(A117,Import!A:P,11,0)</f>
        <v>Erhan Yıldırım</v>
      </c>
      <c r="L117" s="147">
        <v>5.3874726E9</v>
      </c>
      <c r="M117" s="147" t="s">
        <v>2666</v>
      </c>
      <c r="N117" s="147" t="s">
        <v>2809</v>
      </c>
      <c r="O117" s="147" t="s">
        <v>1318</v>
      </c>
      <c r="P117" s="244" t="str">
        <f>VLOOKUP(A117,Import!A:P,16,0)</f>
        <v>Geleneksel</v>
      </c>
      <c r="Q117" s="330"/>
      <c r="R117" s="292" t="b">
        <v>1</v>
      </c>
      <c r="S117" s="293" t="b">
        <v>0</v>
      </c>
      <c r="T117" s="149" t="s">
        <v>2661</v>
      </c>
      <c r="U117" s="149" t="s">
        <v>937</v>
      </c>
      <c r="V117" s="149" t="s">
        <v>13</v>
      </c>
      <c r="W117" s="149" t="s">
        <v>2708</v>
      </c>
      <c r="X117" s="294">
        <v>44308.0</v>
      </c>
      <c r="Y117" s="294">
        <v>44314.0</v>
      </c>
      <c r="Z117" s="288"/>
      <c r="AA117" s="288"/>
      <c r="AB117" s="288"/>
      <c r="AC117" s="288"/>
      <c r="AD117" s="288"/>
      <c r="AE117" s="160"/>
      <c r="AF117" s="288"/>
      <c r="AG117" s="160"/>
      <c r="AH117" s="288"/>
      <c r="AI117" s="288"/>
      <c r="AJ117" s="288"/>
      <c r="AK117" s="288"/>
      <c r="AL117" s="288"/>
      <c r="AM117" s="288"/>
      <c r="AN117" s="288"/>
      <c r="AO117" s="288"/>
      <c r="AP117" s="150" t="s">
        <v>2663</v>
      </c>
      <c r="AQ117" s="288"/>
    </row>
    <row r="118">
      <c r="A118" s="150" t="s">
        <v>2984</v>
      </c>
      <c r="B118" s="150" t="s">
        <v>2985</v>
      </c>
      <c r="C118" s="175" t="str">
        <f>VLOOKUP(A118,Import!A:C,3,false)</f>
        <v>DOĞRU</v>
      </c>
      <c r="D118" s="150" t="s">
        <v>2701</v>
      </c>
      <c r="E118" s="280">
        <f>VLOOKUP(A118,Import!A:J,5,0)</f>
        <v>2076</v>
      </c>
      <c r="F118" s="280">
        <f>VLOOKUP(A118,Import!A:J,6,0)</f>
        <v>51</v>
      </c>
      <c r="G118" s="289">
        <f>VLOOKUP(A118,Import!A:J,7,0)</f>
        <v>10</v>
      </c>
      <c r="H118" s="289">
        <f>VLOOKUP(A118,Import!A:J,8,0)</f>
        <v>5</v>
      </c>
      <c r="I118" s="289">
        <f>VLOOKUP(A118,Import!A:J,9,0)</f>
        <v>15</v>
      </c>
      <c r="J118" s="282">
        <f>VLOOKUP(A118,Import!A:J,10,0)</f>
        <v>0.67</v>
      </c>
      <c r="K118" s="244" t="str">
        <f>VLOOKUP(A118,Import!A:P,11,0)</f>
        <v>Umut Kale</v>
      </c>
      <c r="L118" s="150">
        <v>5.067396896E9</v>
      </c>
      <c r="M118" s="150" t="s">
        <v>2666</v>
      </c>
      <c r="N118" s="150" t="s">
        <v>2667</v>
      </c>
      <c r="O118" s="150" t="s">
        <v>2986</v>
      </c>
      <c r="P118" s="244" t="str">
        <f>VLOOKUP(A118,Import!A:P,16,0)</f>
        <v>Geleneksel</v>
      </c>
      <c r="Q118" s="291"/>
      <c r="R118" s="292" t="b">
        <v>1</v>
      </c>
      <c r="S118" s="293" t="b">
        <v>0</v>
      </c>
      <c r="T118" s="149" t="s">
        <v>2693</v>
      </c>
      <c r="U118" s="296"/>
      <c r="V118" s="296"/>
      <c r="W118" s="149"/>
      <c r="X118" s="297"/>
      <c r="Y118" s="297"/>
      <c r="Z118" s="288"/>
      <c r="AA118" s="165" t="s">
        <v>2693</v>
      </c>
      <c r="AB118" s="295">
        <v>44540.0</v>
      </c>
      <c r="AC118" s="288"/>
      <c r="AD118" s="288"/>
      <c r="AE118" s="160"/>
      <c r="AF118" s="288"/>
      <c r="AG118" s="160"/>
      <c r="AH118" s="288"/>
      <c r="AI118" s="288"/>
      <c r="AJ118" s="288"/>
      <c r="AK118" s="165" t="s">
        <v>921</v>
      </c>
      <c r="AL118" s="288"/>
      <c r="AM118" s="288"/>
      <c r="AN118" s="288"/>
      <c r="AO118" s="288"/>
      <c r="AP118" s="150" t="s">
        <v>2663</v>
      </c>
      <c r="AQ118" s="288"/>
    </row>
    <row r="119">
      <c r="A119" s="150" t="s">
        <v>2987</v>
      </c>
      <c r="B119" s="150" t="s">
        <v>2988</v>
      </c>
      <c r="C119" s="175" t="str">
        <f>VLOOKUP(A119,Import!A:C,3,false)</f>
        <v>DOĞRU</v>
      </c>
      <c r="D119" s="150" t="s">
        <v>2701</v>
      </c>
      <c r="E119" s="280">
        <f>VLOOKUP(A119,Import!A:J,5,0)</f>
        <v>5</v>
      </c>
      <c r="F119" s="280">
        <f>VLOOKUP(A119,Import!A:J,6,0)</f>
        <v>5</v>
      </c>
      <c r="G119" s="289">
        <f>VLOOKUP(A119,Import!A:J,7,0)</f>
        <v>0</v>
      </c>
      <c r="H119" s="289">
        <f>VLOOKUP(A119,Import!A:J,8,0)</f>
        <v>53</v>
      </c>
      <c r="I119" s="289">
        <f>VLOOKUP(A119,Import!A:J,9,0)</f>
        <v>53</v>
      </c>
      <c r="J119" s="282">
        <f>VLOOKUP(A119,Import!A:J,10,0)</f>
        <v>0</v>
      </c>
      <c r="K119" s="150" t="s">
        <v>2989</v>
      </c>
      <c r="L119" s="150">
        <v>5.516925599E9</v>
      </c>
      <c r="M119" s="150" t="s">
        <v>1450</v>
      </c>
      <c r="N119" s="150" t="s">
        <v>2703</v>
      </c>
      <c r="O119" s="150" t="s">
        <v>2990</v>
      </c>
      <c r="P119" s="244" t="str">
        <f>VLOOKUP(A119,Import!A:P,16,0)</f>
        <v>Geleneksel</v>
      </c>
      <c r="Q119" s="291"/>
      <c r="R119" s="292" t="b">
        <v>0</v>
      </c>
      <c r="S119" s="293" t="b">
        <v>0</v>
      </c>
      <c r="T119" s="149"/>
      <c r="U119" s="296"/>
      <c r="V119" s="296"/>
      <c r="W119" s="149"/>
      <c r="X119" s="297"/>
      <c r="Y119" s="297"/>
      <c r="Z119" s="288"/>
      <c r="AA119" s="165"/>
      <c r="AB119" s="295"/>
      <c r="AC119" s="288"/>
      <c r="AD119" s="288"/>
      <c r="AE119" s="160"/>
      <c r="AF119" s="288"/>
      <c r="AG119" s="160"/>
      <c r="AH119" s="288"/>
      <c r="AI119" s="288"/>
      <c r="AJ119" s="288"/>
      <c r="AK119" s="165"/>
      <c r="AL119" s="288"/>
      <c r="AM119" s="288"/>
      <c r="AN119" s="288"/>
      <c r="AO119" s="165"/>
      <c r="AP119" s="150"/>
      <c r="AQ119" s="165"/>
    </row>
    <row r="120">
      <c r="A120" s="147" t="s">
        <v>2991</v>
      </c>
      <c r="B120" s="147" t="s">
        <v>2992</v>
      </c>
      <c r="C120" s="175" t="str">
        <f>VLOOKUP(A120,Import!A:C,3,false)</f>
        <v>DOĞRU</v>
      </c>
      <c r="D120" s="147" t="s">
        <v>2701</v>
      </c>
      <c r="E120" s="280" t="str">
        <f>VLOOKUP(A120,Import!A:J,5,0)</f>
        <v/>
      </c>
      <c r="F120" s="280" t="str">
        <f>VLOOKUP(A120,Import!A:J,6,0)</f>
        <v/>
      </c>
      <c r="G120" s="289">
        <f>VLOOKUP(A120,Import!A:J,7,0)</f>
        <v>7</v>
      </c>
      <c r="H120" s="289">
        <f>VLOOKUP(A120,Import!A:J,8,0)</f>
        <v>7</v>
      </c>
      <c r="I120" s="289">
        <f>VLOOKUP(A120,Import!A:J,9,0)</f>
        <v>14</v>
      </c>
      <c r="J120" s="282">
        <f>VLOOKUP(A120,Import!A:J,10,0)</f>
        <v>0.5</v>
      </c>
      <c r="K120" s="244" t="str">
        <f>VLOOKUP(A120,Import!A:P,11,0)</f>
        <v>Musahan Seyhan</v>
      </c>
      <c r="L120" s="147">
        <v>5.455017595E9</v>
      </c>
      <c r="M120" s="147" t="s">
        <v>2666</v>
      </c>
      <c r="N120" s="147" t="s">
        <v>2774</v>
      </c>
      <c r="O120" s="147" t="s">
        <v>2993</v>
      </c>
      <c r="P120" s="244" t="str">
        <f>VLOOKUP(A120,Import!A:P,16,0)</f>
        <v>Geleneksel</v>
      </c>
      <c r="Q120" s="330"/>
      <c r="R120" s="292" t="b">
        <v>1</v>
      </c>
      <c r="S120" s="293" t="b">
        <v>0</v>
      </c>
      <c r="T120" s="149" t="s">
        <v>2925</v>
      </c>
      <c r="U120" s="296"/>
      <c r="V120" s="296"/>
      <c r="W120" s="149" t="s">
        <v>2994</v>
      </c>
      <c r="X120" s="297"/>
      <c r="Y120" s="297"/>
      <c r="Z120" s="288"/>
      <c r="AA120" s="288"/>
      <c r="AB120" s="288"/>
      <c r="AC120" s="288"/>
      <c r="AD120" s="288"/>
      <c r="AE120" s="160"/>
      <c r="AF120" s="288"/>
      <c r="AG120" s="160"/>
      <c r="AH120" s="288"/>
      <c r="AI120" s="288"/>
      <c r="AJ120" s="288"/>
      <c r="AK120" s="288"/>
      <c r="AL120" s="288"/>
      <c r="AM120" s="288"/>
      <c r="AN120" s="288"/>
      <c r="AO120" s="288"/>
      <c r="AP120" s="150" t="s">
        <v>2663</v>
      </c>
      <c r="AQ120" s="288"/>
    </row>
    <row r="121">
      <c r="A121" s="150" t="s">
        <v>2995</v>
      </c>
      <c r="B121" s="150" t="s">
        <v>2996</v>
      </c>
      <c r="C121" s="175" t="str">
        <f>VLOOKUP(A121,Import!A:C,3,false)</f>
        <v>DOĞRU</v>
      </c>
      <c r="D121" s="150" t="s">
        <v>2696</v>
      </c>
      <c r="E121" s="280">
        <f>VLOOKUP(A121,Import!A:J,5,0)</f>
        <v>344</v>
      </c>
      <c r="F121" s="280">
        <f>VLOOKUP(A121,Import!A:J,6,0)</f>
        <v>38</v>
      </c>
      <c r="G121" s="289">
        <f>VLOOKUP(A121,Import!A:J,7,0)</f>
        <v>0</v>
      </c>
      <c r="H121" s="289">
        <f>VLOOKUP(A121,Import!A:J,8,0)</f>
        <v>25</v>
      </c>
      <c r="I121" s="289">
        <f>VLOOKUP(A121,Import!A:J,9,0)</f>
        <v>25</v>
      </c>
      <c r="J121" s="282">
        <f>VLOOKUP(A121,Import!A:J,10,0)</f>
        <v>0</v>
      </c>
      <c r="K121" s="290" t="s">
        <v>2997</v>
      </c>
      <c r="L121" s="150">
        <v>5.524809173E9</v>
      </c>
      <c r="M121" s="150" t="s">
        <v>1450</v>
      </c>
      <c r="N121" s="150" t="s">
        <v>2716</v>
      </c>
      <c r="O121" s="150" t="s">
        <v>2998</v>
      </c>
      <c r="P121" s="244" t="str">
        <f>VLOOKUP(A121,Import!A:P,16,0)</f>
        <v>Geleneksel</v>
      </c>
      <c r="Q121" s="291"/>
      <c r="R121" s="292" t="b">
        <v>1</v>
      </c>
      <c r="S121" s="292" t="b">
        <v>1</v>
      </c>
      <c r="T121" s="149"/>
      <c r="U121" s="296"/>
      <c r="V121" s="296"/>
      <c r="W121" s="149" t="s">
        <v>2999</v>
      </c>
      <c r="X121" s="297"/>
      <c r="Y121" s="297"/>
      <c r="Z121" s="288"/>
      <c r="AA121" s="165" t="s">
        <v>2669</v>
      </c>
      <c r="AB121" s="295">
        <v>44547.0</v>
      </c>
      <c r="AC121" s="165" t="s">
        <v>2669</v>
      </c>
      <c r="AD121" s="295">
        <v>44582.0</v>
      </c>
      <c r="AE121" s="160"/>
      <c r="AF121" s="288"/>
      <c r="AG121" s="160"/>
      <c r="AH121" s="288"/>
      <c r="AI121" s="288"/>
      <c r="AJ121" s="288"/>
      <c r="AK121" s="165" t="s">
        <v>819</v>
      </c>
      <c r="AL121" s="165" t="s">
        <v>1791</v>
      </c>
      <c r="AM121" s="288"/>
      <c r="AN121" s="288"/>
      <c r="AO121" s="165"/>
      <c r="AP121" s="150" t="s">
        <v>2663</v>
      </c>
      <c r="AQ121" s="165"/>
    </row>
    <row r="122">
      <c r="A122" s="244" t="s">
        <v>241</v>
      </c>
      <c r="B122" s="244" t="s">
        <v>242</v>
      </c>
      <c r="C122" s="175" t="str">
        <f>VLOOKUP(A122,Import!A:C,3,false)</f>
        <v>DOĞRU</v>
      </c>
      <c r="D122" s="303" t="s">
        <v>2850</v>
      </c>
      <c r="E122" s="280">
        <f>VLOOKUP(A122,Import!A:J,5,0)</f>
        <v>3423</v>
      </c>
      <c r="F122" s="280">
        <f>VLOOKUP(A122,Import!A:J,6,0)</f>
        <v>96</v>
      </c>
      <c r="G122" s="289">
        <f>VLOOKUP(A122,Import!A:J,7,0)</f>
        <v>19</v>
      </c>
      <c r="H122" s="289">
        <f>VLOOKUP(A122,Import!A:J,8,0)</f>
        <v>18</v>
      </c>
      <c r="I122" s="289">
        <f>VLOOKUP(A122,Import!A:J,9,0)</f>
        <v>37</v>
      </c>
      <c r="J122" s="282">
        <f>VLOOKUP(A122,Import!A:J,10,0)</f>
        <v>0.51</v>
      </c>
      <c r="K122" s="244" t="str">
        <f>VLOOKUP(A122,Import!A:P,11,0)</f>
        <v>ENEZ SİNAL</v>
      </c>
      <c r="L122" s="304">
        <v>2.223400111E9</v>
      </c>
      <c r="M122" s="303" t="s">
        <v>2666</v>
      </c>
      <c r="N122" s="303" t="s">
        <v>3000</v>
      </c>
      <c r="O122" s="303" t="s">
        <v>245</v>
      </c>
      <c r="P122" s="244" t="str">
        <f>VLOOKUP(A122,Import!A:P,16,0)</f>
        <v>Geleneksel</v>
      </c>
      <c r="Q122" s="305" t="s">
        <v>2760</v>
      </c>
      <c r="R122" s="306" t="b">
        <v>1</v>
      </c>
      <c r="S122" s="307" t="b">
        <v>0</v>
      </c>
      <c r="T122" s="309" t="s">
        <v>2714</v>
      </c>
      <c r="U122" s="309" t="s">
        <v>937</v>
      </c>
      <c r="V122" s="309" t="s">
        <v>13</v>
      </c>
      <c r="W122" s="309" t="s">
        <v>3001</v>
      </c>
      <c r="X122" s="310">
        <v>44308.0</v>
      </c>
      <c r="Y122" s="310">
        <v>44313.0</v>
      </c>
      <c r="Z122" s="288"/>
      <c r="AA122" s="165" t="s">
        <v>2772</v>
      </c>
      <c r="AB122" s="295">
        <v>44517.0</v>
      </c>
      <c r="AC122" s="165" t="s">
        <v>2669</v>
      </c>
      <c r="AD122" s="295">
        <v>44518.0</v>
      </c>
      <c r="AE122" s="160"/>
      <c r="AF122" s="288"/>
      <c r="AG122" s="160"/>
      <c r="AH122" s="288"/>
      <c r="AI122" s="288"/>
      <c r="AJ122" s="288"/>
      <c r="AK122" s="165" t="s">
        <v>1971</v>
      </c>
      <c r="AL122" s="165" t="s">
        <v>1911</v>
      </c>
      <c r="AM122" s="288"/>
      <c r="AN122" s="288"/>
      <c r="AO122" s="288"/>
      <c r="AP122" s="150" t="s">
        <v>2663</v>
      </c>
      <c r="AQ122" s="288"/>
    </row>
    <row r="123">
      <c r="A123" s="150" t="s">
        <v>946</v>
      </c>
      <c r="B123" s="150" t="s">
        <v>947</v>
      </c>
      <c r="C123" s="175" t="str">
        <f>VLOOKUP(A123,Import!A:C,3,false)</f>
        <v>DOĞRU</v>
      </c>
      <c r="D123" s="150" t="s">
        <v>2696</v>
      </c>
      <c r="E123" s="280">
        <f>VLOOKUP(A123,Import!A:J,5,0)</f>
        <v>7158</v>
      </c>
      <c r="F123" s="280">
        <f>VLOOKUP(A123,Import!A:J,6,0)</f>
        <v>15</v>
      </c>
      <c r="G123" s="289">
        <f>VLOOKUP(A123,Import!A:J,7,0)</f>
        <v>18</v>
      </c>
      <c r="H123" s="289">
        <f>VLOOKUP(A123,Import!A:J,8,0)</f>
        <v>36</v>
      </c>
      <c r="I123" s="289">
        <f>VLOOKUP(A123,Import!A:J,9,0)</f>
        <v>54</v>
      </c>
      <c r="J123" s="282">
        <f>VLOOKUP(A123,Import!A:J,10,0)</f>
        <v>0.33</v>
      </c>
      <c r="K123" s="244" t="str">
        <f>VLOOKUP(A123,Import!A:P,11,0)</f>
        <v>ZEYNEP KAHRAMAN</v>
      </c>
      <c r="L123" s="150">
        <v>2.22220203E9</v>
      </c>
      <c r="M123" s="150" t="s">
        <v>2666</v>
      </c>
      <c r="N123" s="150" t="s">
        <v>2667</v>
      </c>
      <c r="O123" s="150" t="s">
        <v>3002</v>
      </c>
      <c r="P123" s="244" t="str">
        <f>VLOOKUP(A123,Import!A:P,16,0)</f>
        <v>Geleneksel</v>
      </c>
      <c r="Q123" s="291" t="s">
        <v>2713</v>
      </c>
      <c r="R123" s="292" t="b">
        <v>1</v>
      </c>
      <c r="S123" s="293" t="b">
        <v>0</v>
      </c>
      <c r="T123" s="149" t="s">
        <v>2661</v>
      </c>
      <c r="U123" s="149" t="s">
        <v>945</v>
      </c>
      <c r="V123" s="149" t="s">
        <v>13</v>
      </c>
      <c r="W123" s="149" t="s">
        <v>3003</v>
      </c>
      <c r="X123" s="294">
        <v>44260.0</v>
      </c>
      <c r="Y123" s="294">
        <v>44263.0</v>
      </c>
      <c r="Z123" s="288"/>
      <c r="AA123" s="165" t="s">
        <v>2669</v>
      </c>
      <c r="AB123" s="295">
        <v>44517.0</v>
      </c>
      <c r="AC123" s="288"/>
      <c r="AD123" s="288"/>
      <c r="AE123" s="160"/>
      <c r="AF123" s="288"/>
      <c r="AG123" s="160"/>
      <c r="AH123" s="288"/>
      <c r="AI123" s="288"/>
      <c r="AJ123" s="288"/>
      <c r="AK123" s="165" t="s">
        <v>1971</v>
      </c>
      <c r="AL123" s="288"/>
      <c r="AM123" s="288"/>
      <c r="AN123" s="288"/>
      <c r="AO123" s="288"/>
      <c r="AP123" s="150" t="s">
        <v>2663</v>
      </c>
      <c r="AQ123" s="288"/>
    </row>
    <row r="124">
      <c r="A124" s="150" t="s">
        <v>3004</v>
      </c>
      <c r="B124" s="150" t="s">
        <v>3005</v>
      </c>
      <c r="C124" s="175" t="str">
        <f>VLOOKUP(A124,Import!A:C,3,false)</f>
        <v>DOĞRU</v>
      </c>
      <c r="D124" s="150" t="s">
        <v>2664</v>
      </c>
      <c r="E124" s="280">
        <f>VLOOKUP(A124,Import!A:J,5,0)</f>
        <v>2030</v>
      </c>
      <c r="F124" s="280">
        <f>VLOOKUP(A124,Import!A:J,6,0)</f>
        <v>218</v>
      </c>
      <c r="G124" s="289">
        <f>VLOOKUP(A124,Import!A:J,7,0)</f>
        <v>0</v>
      </c>
      <c r="H124" s="289">
        <f>VLOOKUP(A124,Import!A:J,8,0)</f>
        <v>18</v>
      </c>
      <c r="I124" s="289">
        <f>VLOOKUP(A124,Import!A:J,9,0)</f>
        <v>18</v>
      </c>
      <c r="J124" s="282">
        <f>VLOOKUP(A124,Import!A:J,10,0)</f>
        <v>0</v>
      </c>
      <c r="K124" s="290" t="s">
        <v>3006</v>
      </c>
      <c r="L124" s="150">
        <v>5.435322506E9</v>
      </c>
      <c r="M124" s="150" t="s">
        <v>2666</v>
      </c>
      <c r="N124" s="150" t="s">
        <v>2721</v>
      </c>
      <c r="O124" s="150" t="s">
        <v>3007</v>
      </c>
      <c r="P124" s="244" t="str">
        <f>VLOOKUP(A124,Import!A:P,16,0)</f>
        <v>Geleneksel</v>
      </c>
      <c r="Q124" s="291"/>
      <c r="R124" s="292" t="b">
        <v>1</v>
      </c>
      <c r="S124" s="293" t="b">
        <v>0</v>
      </c>
      <c r="T124" s="149" t="s">
        <v>2770</v>
      </c>
      <c r="U124" s="296"/>
      <c r="V124" s="296"/>
      <c r="W124" s="149" t="s">
        <v>3008</v>
      </c>
      <c r="X124" s="297"/>
      <c r="Y124" s="297"/>
      <c r="Z124" s="288"/>
      <c r="AA124" s="165" t="s">
        <v>2693</v>
      </c>
      <c r="AB124" s="295">
        <v>44547.0</v>
      </c>
      <c r="AC124" s="165" t="s">
        <v>2693</v>
      </c>
      <c r="AD124" s="295">
        <v>44548.0</v>
      </c>
      <c r="AE124" s="165" t="s">
        <v>2693</v>
      </c>
      <c r="AF124" s="295">
        <v>44551.0</v>
      </c>
      <c r="AG124" s="165" t="s">
        <v>2772</v>
      </c>
      <c r="AH124" s="295">
        <v>44571.0</v>
      </c>
      <c r="AI124" s="165" t="s">
        <v>2669</v>
      </c>
      <c r="AJ124" s="295">
        <v>44622.0</v>
      </c>
      <c r="AK124" s="165" t="s">
        <v>819</v>
      </c>
      <c r="AL124" s="165" t="s">
        <v>1621</v>
      </c>
      <c r="AM124" s="165" t="s">
        <v>819</v>
      </c>
      <c r="AN124" s="165" t="s">
        <v>1715</v>
      </c>
      <c r="AO124" s="165" t="s">
        <v>943</v>
      </c>
      <c r="AP124" s="150" t="s">
        <v>2663</v>
      </c>
      <c r="AQ124" s="165"/>
    </row>
    <row r="125">
      <c r="A125" s="150" t="s">
        <v>589</v>
      </c>
      <c r="B125" s="150" t="s">
        <v>590</v>
      </c>
      <c r="C125" s="175" t="str">
        <f>VLOOKUP(A125,Import!A:C,3,false)</f>
        <v>YANLIŞ</v>
      </c>
      <c r="D125" s="150" t="s">
        <v>2763</v>
      </c>
      <c r="E125" s="280">
        <f>VLOOKUP(A125,Import!A:J,5,0)</f>
        <v>212</v>
      </c>
      <c r="F125" s="280" t="str">
        <f>VLOOKUP(A125,Import!A:J,6,0)</f>
        <v/>
      </c>
      <c r="G125" s="289">
        <f>VLOOKUP(A125,Import!A:J,7,0)</f>
        <v>9</v>
      </c>
      <c r="H125" s="289">
        <f>VLOOKUP(A125,Import!A:J,8,0)</f>
        <v>24</v>
      </c>
      <c r="I125" s="289">
        <f>VLOOKUP(A125,Import!A:J,9,0)</f>
        <v>33</v>
      </c>
      <c r="J125" s="282">
        <f>VLOOKUP(A125,Import!A:J,10,0)</f>
        <v>0.27</v>
      </c>
      <c r="K125" s="244" t="str">
        <f>VLOOKUP(A125,Import!A:P,11,0)</f>
        <v>GİZEM BAŞKAN</v>
      </c>
      <c r="L125" s="150">
        <v>5.542631337E9</v>
      </c>
      <c r="M125" s="150" t="s">
        <v>1450</v>
      </c>
      <c r="N125" s="150" t="s">
        <v>3009</v>
      </c>
      <c r="O125" s="150" t="s">
        <v>592</v>
      </c>
      <c r="P125" s="244" t="str">
        <f>VLOOKUP(A125,Import!A:P,16,0)</f>
        <v>Geleneksel</v>
      </c>
      <c r="Q125" s="291" t="s">
        <v>2713</v>
      </c>
      <c r="R125" s="292" t="b">
        <v>1</v>
      </c>
      <c r="S125" s="293" t="b">
        <v>0</v>
      </c>
      <c r="T125" s="149" t="s">
        <v>2770</v>
      </c>
      <c r="U125" s="296"/>
      <c r="V125" s="296"/>
      <c r="W125" s="149" t="s">
        <v>3010</v>
      </c>
      <c r="X125" s="297"/>
      <c r="Y125" s="297"/>
      <c r="Z125" s="288"/>
      <c r="AA125" s="165" t="s">
        <v>2772</v>
      </c>
      <c r="AB125" s="295">
        <v>44378.0</v>
      </c>
      <c r="AC125" s="165" t="s">
        <v>2772</v>
      </c>
      <c r="AD125" s="295">
        <v>44379.0</v>
      </c>
      <c r="AE125" s="160"/>
      <c r="AF125" s="288"/>
      <c r="AG125" s="160"/>
      <c r="AH125" s="288"/>
      <c r="AI125" s="288"/>
      <c r="AJ125" s="288"/>
      <c r="AK125" s="165" t="s">
        <v>2718</v>
      </c>
      <c r="AL125" s="165" t="s">
        <v>2718</v>
      </c>
      <c r="AM125" s="288"/>
      <c r="AN125" s="288"/>
      <c r="AO125" s="288"/>
      <c r="AP125" s="150" t="s">
        <v>2663</v>
      </c>
      <c r="AQ125" s="288"/>
    </row>
    <row r="126">
      <c r="A126" s="150" t="s">
        <v>2339</v>
      </c>
      <c r="B126" s="150" t="s">
        <v>2340</v>
      </c>
      <c r="C126" s="175" t="str">
        <f>VLOOKUP(A126,Import!A:C,3,false)</f>
        <v>DOĞRU</v>
      </c>
      <c r="D126" s="150" t="s">
        <v>2684</v>
      </c>
      <c r="E126" s="280">
        <f>VLOOKUP(A126,Import!A:J,5,0)</f>
        <v>2866</v>
      </c>
      <c r="F126" s="280">
        <f>VLOOKUP(A126,Import!A:J,6,0)</f>
        <v>33</v>
      </c>
      <c r="G126" s="289">
        <f>VLOOKUP(A126,Import!A:J,7,0)</f>
        <v>7</v>
      </c>
      <c r="H126" s="289">
        <f>VLOOKUP(A126,Import!A:J,8,0)</f>
        <v>32</v>
      </c>
      <c r="I126" s="289">
        <f>VLOOKUP(A126,Import!A:J,9,0)</f>
        <v>39</v>
      </c>
      <c r="J126" s="282">
        <f>VLOOKUP(A126,Import!A:J,10,0)</f>
        <v>0.18</v>
      </c>
      <c r="K126" s="244" t="str">
        <f>VLOOKUP(A126,Import!A:P,11,0)</f>
        <v>DENİZ SEREN AYDIN</v>
      </c>
      <c r="L126" s="150">
        <v>5.451010626E9</v>
      </c>
      <c r="M126" s="150" t="s">
        <v>2666</v>
      </c>
      <c r="N126" s="150" t="s">
        <v>2685</v>
      </c>
      <c r="O126" s="150" t="s">
        <v>2337</v>
      </c>
      <c r="P126" s="244" t="str">
        <f>VLOOKUP(A126,Import!A:P,16,0)</f>
        <v>Geleneksel</v>
      </c>
      <c r="Q126" s="291" t="s">
        <v>2713</v>
      </c>
      <c r="R126" s="292" t="b">
        <v>1</v>
      </c>
      <c r="S126" s="292" t="b">
        <v>0</v>
      </c>
      <c r="T126" s="149" t="s">
        <v>2661</v>
      </c>
      <c r="U126" s="149" t="s">
        <v>1621</v>
      </c>
      <c r="V126" s="301" t="s">
        <v>1609</v>
      </c>
      <c r="W126" s="149" t="s">
        <v>3011</v>
      </c>
      <c r="X126" s="294">
        <v>44568.0</v>
      </c>
      <c r="Y126" s="294">
        <v>44572.0</v>
      </c>
      <c r="Z126" s="288"/>
      <c r="AA126" s="165" t="s">
        <v>2693</v>
      </c>
      <c r="AB126" s="295">
        <v>44525.0</v>
      </c>
      <c r="AC126" s="165" t="s">
        <v>2669</v>
      </c>
      <c r="AD126" s="295">
        <v>44565.0</v>
      </c>
      <c r="AE126" s="165" t="s">
        <v>2669</v>
      </c>
      <c r="AF126" s="295">
        <v>44568.0</v>
      </c>
      <c r="AG126" s="160"/>
      <c r="AH126" s="288"/>
      <c r="AI126" s="288"/>
      <c r="AJ126" s="288"/>
      <c r="AK126" s="165" t="s">
        <v>1911</v>
      </c>
      <c r="AL126" s="165" t="s">
        <v>1621</v>
      </c>
      <c r="AM126" s="165" t="s">
        <v>1621</v>
      </c>
      <c r="AN126" s="288"/>
      <c r="AO126" s="288"/>
      <c r="AP126" s="150" t="s">
        <v>2663</v>
      </c>
      <c r="AQ126" s="288"/>
    </row>
    <row r="127">
      <c r="A127" s="244" t="s">
        <v>3012</v>
      </c>
      <c r="B127" s="244" t="s">
        <v>3013</v>
      </c>
      <c r="C127" s="175" t="str">
        <f>VLOOKUP(A127,Import!A:C,3,false)</f>
        <v>DOĞRU</v>
      </c>
      <c r="D127" s="320" t="s">
        <v>2684</v>
      </c>
      <c r="E127" s="280">
        <f>VLOOKUP(A127,Import!A:J,5,0)</f>
        <v>3295</v>
      </c>
      <c r="F127" s="280">
        <f>VLOOKUP(A127,Import!A:J,6,0)</f>
        <v>67</v>
      </c>
      <c r="G127" s="289">
        <f>VLOOKUP(A127,Import!A:J,7,0)</f>
        <v>0</v>
      </c>
      <c r="H127" s="289">
        <f>VLOOKUP(A127,Import!A:J,8,0)</f>
        <v>11</v>
      </c>
      <c r="I127" s="289">
        <f>VLOOKUP(A127,Import!A:J,9,0)</f>
        <v>11</v>
      </c>
      <c r="J127" s="282">
        <f>VLOOKUP(A127,Import!A:J,10,0)</f>
        <v>0</v>
      </c>
      <c r="K127" s="244" t="str">
        <f>VLOOKUP(A127,Import!A:P,11,0)</f>
        <v>Erkan Ceylan</v>
      </c>
      <c r="L127" s="321">
        <v>5.079653821E9</v>
      </c>
      <c r="M127" s="320" t="s">
        <v>1450</v>
      </c>
      <c r="N127" s="320" t="s">
        <v>3009</v>
      </c>
      <c r="O127" s="320" t="s">
        <v>3014</v>
      </c>
      <c r="P127" s="244" t="str">
        <f>VLOOKUP(A127,Import!A:P,16,0)</f>
        <v>Geleneksel</v>
      </c>
      <c r="Q127" s="322" t="s">
        <v>2686</v>
      </c>
      <c r="R127" s="323" t="b">
        <v>1</v>
      </c>
      <c r="S127" s="324" t="b">
        <v>0</v>
      </c>
      <c r="T127" s="325" t="s">
        <v>2693</v>
      </c>
      <c r="U127" s="333"/>
      <c r="V127" s="333"/>
      <c r="W127" s="325" t="s">
        <v>3015</v>
      </c>
      <c r="X127" s="345"/>
      <c r="Y127" s="345"/>
      <c r="Z127" s="288"/>
      <c r="AA127" s="165" t="s">
        <v>2693</v>
      </c>
      <c r="AB127" s="295">
        <v>44378.0</v>
      </c>
      <c r="AC127" s="165" t="s">
        <v>2693</v>
      </c>
      <c r="AD127" s="295">
        <v>44379.0</v>
      </c>
      <c r="AE127" s="160"/>
      <c r="AF127" s="288"/>
      <c r="AG127" s="160"/>
      <c r="AH127" s="288"/>
      <c r="AI127" s="288"/>
      <c r="AJ127" s="288"/>
      <c r="AK127" s="165" t="s">
        <v>2718</v>
      </c>
      <c r="AL127" s="165" t="s">
        <v>2718</v>
      </c>
      <c r="AM127" s="288"/>
      <c r="AN127" s="288"/>
      <c r="AO127" s="288"/>
      <c r="AP127" s="150" t="s">
        <v>2663</v>
      </c>
      <c r="AQ127" s="288"/>
    </row>
    <row r="128">
      <c r="A128" s="150" t="s">
        <v>1808</v>
      </c>
      <c r="B128" s="150" t="s">
        <v>1809</v>
      </c>
      <c r="C128" s="175" t="str">
        <f>VLOOKUP(A128,Import!A:C,3,false)</f>
        <v>DOĞRU</v>
      </c>
      <c r="D128" s="150" t="s">
        <v>2696</v>
      </c>
      <c r="E128" s="280">
        <f>VLOOKUP(A128,Import!A:J,5,0)</f>
        <v>746</v>
      </c>
      <c r="F128" s="280">
        <f>VLOOKUP(A128,Import!A:J,6,0)</f>
        <v>31</v>
      </c>
      <c r="G128" s="289">
        <f>VLOOKUP(A128,Import!A:J,7,0)</f>
        <v>19</v>
      </c>
      <c r="H128" s="289">
        <f>VLOOKUP(A128,Import!A:J,8,0)</f>
        <v>45</v>
      </c>
      <c r="I128" s="289">
        <f>VLOOKUP(A128,Import!A:J,9,0)</f>
        <v>64</v>
      </c>
      <c r="J128" s="282">
        <f>VLOOKUP(A128,Import!A:J,10,0)</f>
        <v>0.3</v>
      </c>
      <c r="K128" s="244" t="str">
        <f>VLOOKUP(A128,Import!A:P,11,0)</f>
        <v>İslim İlayda Nur Dayıoğlu</v>
      </c>
      <c r="L128" s="150">
        <v>2.22290186E8</v>
      </c>
      <c r="M128" s="150" t="s">
        <v>1450</v>
      </c>
      <c r="N128" s="150" t="s">
        <v>2659</v>
      </c>
      <c r="O128" s="150" t="s">
        <v>1812</v>
      </c>
      <c r="P128" s="244" t="str">
        <f>VLOOKUP(A128,Import!A:P,16,0)</f>
        <v>Geleneksel</v>
      </c>
      <c r="Q128" s="291"/>
      <c r="R128" s="292" t="b">
        <v>1</v>
      </c>
      <c r="S128" s="293" t="b">
        <v>0</v>
      </c>
      <c r="T128" s="149" t="s">
        <v>2770</v>
      </c>
      <c r="U128" s="149" t="s">
        <v>943</v>
      </c>
      <c r="V128" s="149" t="s">
        <v>1910</v>
      </c>
      <c r="W128" s="360" t="s">
        <v>3016</v>
      </c>
      <c r="X128" s="294">
        <v>44497.0</v>
      </c>
      <c r="Y128" s="294">
        <v>44498.0</v>
      </c>
      <c r="Z128" s="288"/>
      <c r="AA128" s="165" t="s">
        <v>2669</v>
      </c>
      <c r="AB128" s="295">
        <v>44497.0</v>
      </c>
      <c r="AC128" s="165" t="s">
        <v>2669</v>
      </c>
      <c r="AD128" s="295">
        <v>44539.0</v>
      </c>
      <c r="AE128" s="160"/>
      <c r="AF128" s="288"/>
      <c r="AG128" s="160"/>
      <c r="AH128" s="288"/>
      <c r="AI128" s="288"/>
      <c r="AJ128" s="288"/>
      <c r="AK128" s="165" t="s">
        <v>943</v>
      </c>
      <c r="AL128" s="165" t="s">
        <v>1911</v>
      </c>
      <c r="AM128" s="288"/>
      <c r="AN128" s="288"/>
      <c r="AO128" s="288"/>
      <c r="AP128" s="150" t="s">
        <v>2663</v>
      </c>
      <c r="AQ128" s="288"/>
    </row>
    <row r="129">
      <c r="A129" s="150" t="s">
        <v>2263</v>
      </c>
      <c r="B129" s="150" t="s">
        <v>2264</v>
      </c>
      <c r="C129" s="175" t="str">
        <f>VLOOKUP(A129,Import!A:C,3,false)</f>
        <v>DOĞRU</v>
      </c>
      <c r="D129" s="150" t="s">
        <v>2684</v>
      </c>
      <c r="E129" s="280">
        <f>VLOOKUP(A129,Import!A:J,5,0)</f>
        <v>1359</v>
      </c>
      <c r="F129" s="280">
        <f>VLOOKUP(A129,Import!A:J,6,0)</f>
        <v>103</v>
      </c>
      <c r="G129" s="289">
        <f>VLOOKUP(A129,Import!A:J,7,0)</f>
        <v>21</v>
      </c>
      <c r="H129" s="289">
        <f>VLOOKUP(A129,Import!A:J,8,0)</f>
        <v>28</v>
      </c>
      <c r="I129" s="289">
        <f>VLOOKUP(A129,Import!A:J,9,0)</f>
        <v>49</v>
      </c>
      <c r="J129" s="282">
        <f>VLOOKUP(A129,Import!A:J,10,0)</f>
        <v>0.43</v>
      </c>
      <c r="K129" s="290" t="s">
        <v>2749</v>
      </c>
      <c r="L129" s="150">
        <v>5.4491433E9</v>
      </c>
      <c r="M129" s="150" t="s">
        <v>2666</v>
      </c>
      <c r="N129" s="150" t="s">
        <v>2750</v>
      </c>
      <c r="O129" s="150" t="s">
        <v>2262</v>
      </c>
      <c r="P129" s="244" t="str">
        <f>VLOOKUP(A129,Import!A:P,16,0)</f>
        <v>Geleneksel</v>
      </c>
      <c r="Q129" s="291"/>
      <c r="R129" s="292" t="b">
        <v>1</v>
      </c>
      <c r="S129" s="293" t="b">
        <v>0</v>
      </c>
      <c r="T129" s="149" t="s">
        <v>2661</v>
      </c>
      <c r="U129" s="149" t="s">
        <v>819</v>
      </c>
      <c r="V129" s="301" t="s">
        <v>1609</v>
      </c>
      <c r="W129" s="149"/>
      <c r="X129" s="294">
        <v>44554.0</v>
      </c>
      <c r="Y129" s="294">
        <v>44557.0</v>
      </c>
      <c r="Z129" s="288"/>
      <c r="AA129" s="165" t="s">
        <v>2669</v>
      </c>
      <c r="AB129" s="295">
        <v>44554.0</v>
      </c>
      <c r="AC129" s="288"/>
      <c r="AD129" s="288"/>
      <c r="AE129" s="160"/>
      <c r="AF129" s="288"/>
      <c r="AG129" s="160"/>
      <c r="AH129" s="288"/>
      <c r="AI129" s="288"/>
      <c r="AJ129" s="288"/>
      <c r="AK129" s="165" t="s">
        <v>819</v>
      </c>
      <c r="AL129" s="288"/>
      <c r="AM129" s="288"/>
      <c r="AN129" s="288"/>
      <c r="AO129" s="165"/>
      <c r="AP129" s="150" t="s">
        <v>2663</v>
      </c>
      <c r="AQ129" s="165"/>
    </row>
    <row r="130">
      <c r="A130" s="150" t="s">
        <v>1947</v>
      </c>
      <c r="B130" s="150" t="s">
        <v>1948</v>
      </c>
      <c r="C130" s="175" t="str">
        <f>VLOOKUP(A130,Import!A:C,3,false)</f>
        <v>DOĞRU</v>
      </c>
      <c r="D130" s="150" t="s">
        <v>2763</v>
      </c>
      <c r="E130" s="280">
        <f>VLOOKUP(A130,Import!A:J,5,0)</f>
        <v>1319</v>
      </c>
      <c r="F130" s="280">
        <f>VLOOKUP(A130,Import!A:J,6,0)</f>
        <v>231</v>
      </c>
      <c r="G130" s="289">
        <f>VLOOKUP(A130,Import!A:J,7,0)</f>
        <v>0</v>
      </c>
      <c r="H130" s="289">
        <f>VLOOKUP(A130,Import!A:J,8,0)</f>
        <v>57</v>
      </c>
      <c r="I130" s="289">
        <f>VLOOKUP(A130,Import!A:J,9,0)</f>
        <v>57</v>
      </c>
      <c r="J130" s="282">
        <f>VLOOKUP(A130,Import!A:J,10,0)</f>
        <v>0</v>
      </c>
      <c r="K130" s="244" t="str">
        <f>VLOOKUP(A130,Import!A:P,11,0)</f>
        <v>Ferat Uğur</v>
      </c>
      <c r="L130" s="150">
        <v>5.078206665E9</v>
      </c>
      <c r="M130" s="150" t="s">
        <v>2666</v>
      </c>
      <c r="N130" s="150" t="s">
        <v>2801</v>
      </c>
      <c r="O130" s="150" t="s">
        <v>1950</v>
      </c>
      <c r="P130" s="244" t="str">
        <f>VLOOKUP(A130,Import!A:P,16,0)</f>
        <v>Geleneksel</v>
      </c>
      <c r="Q130" s="291"/>
      <c r="R130" s="292" t="b">
        <v>1</v>
      </c>
      <c r="S130" s="293" t="b">
        <v>0</v>
      </c>
      <c r="T130" s="149" t="s">
        <v>2948</v>
      </c>
      <c r="U130" s="149" t="s">
        <v>1621</v>
      </c>
      <c r="V130" s="301" t="s">
        <v>1609</v>
      </c>
      <c r="W130" s="149" t="s">
        <v>3017</v>
      </c>
      <c r="X130" s="294">
        <v>44516.0</v>
      </c>
      <c r="Y130" s="294">
        <v>44517.0</v>
      </c>
      <c r="Z130" s="288"/>
      <c r="AA130" s="165" t="s">
        <v>2693</v>
      </c>
      <c r="AB130" s="295">
        <v>44490.0</v>
      </c>
      <c r="AC130" s="165" t="s">
        <v>2669</v>
      </c>
      <c r="AD130" s="295">
        <v>44516.0</v>
      </c>
      <c r="AE130" s="160"/>
      <c r="AF130" s="288"/>
      <c r="AG130" s="160"/>
      <c r="AH130" s="288"/>
      <c r="AI130" s="288"/>
      <c r="AJ130" s="288"/>
      <c r="AK130" s="165" t="s">
        <v>1754</v>
      </c>
      <c r="AL130" s="165" t="s">
        <v>1621</v>
      </c>
      <c r="AM130" s="288"/>
      <c r="AN130" s="288"/>
      <c r="AO130" s="288"/>
      <c r="AP130" s="150" t="s">
        <v>2663</v>
      </c>
      <c r="AQ130" s="288"/>
    </row>
    <row r="131">
      <c r="A131" s="150" t="s">
        <v>3018</v>
      </c>
      <c r="B131" s="150" t="s">
        <v>3019</v>
      </c>
      <c r="C131" s="175" t="str">
        <f>VLOOKUP(A131,Import!A:C,3,false)</f>
        <v>DOĞRU</v>
      </c>
      <c r="D131" s="150" t="s">
        <v>2763</v>
      </c>
      <c r="E131" s="280">
        <f>VLOOKUP(A131,Import!A:J,5,0)</f>
        <v>44</v>
      </c>
      <c r="F131" s="280">
        <f>VLOOKUP(A131,Import!A:J,6,0)</f>
        <v>11</v>
      </c>
      <c r="G131" s="289">
        <f>VLOOKUP(A131,Import!A:J,7,0)</f>
        <v>0</v>
      </c>
      <c r="H131" s="289">
        <f>VLOOKUP(A131,Import!A:J,8,0)</f>
        <v>13</v>
      </c>
      <c r="I131" s="289">
        <f>VLOOKUP(A131,Import!A:J,9,0)</f>
        <v>13</v>
      </c>
      <c r="J131" s="282">
        <f>VLOOKUP(A131,Import!A:J,10,0)</f>
        <v>0</v>
      </c>
      <c r="K131" s="290" t="s">
        <v>3020</v>
      </c>
      <c r="L131" s="150">
        <v>5.378872014E9</v>
      </c>
      <c r="M131" s="150" t="s">
        <v>1450</v>
      </c>
      <c r="N131" s="150" t="s">
        <v>2703</v>
      </c>
      <c r="O131" s="150" t="s">
        <v>3021</v>
      </c>
      <c r="P131" s="244" t="str">
        <f>VLOOKUP(A131,Import!A:P,16,0)</f>
        <v>Geleneksel</v>
      </c>
      <c r="Q131" s="291"/>
      <c r="R131" s="292" t="b">
        <v>0</v>
      </c>
      <c r="S131" s="293" t="b">
        <v>0</v>
      </c>
      <c r="T131" s="149"/>
      <c r="U131" s="296"/>
      <c r="V131" s="312"/>
      <c r="W131" s="149"/>
      <c r="X131" s="297"/>
      <c r="Y131" s="297"/>
      <c r="Z131" s="288"/>
      <c r="AA131" s="165"/>
      <c r="AB131" s="295"/>
      <c r="AC131" s="288"/>
      <c r="AD131" s="288"/>
      <c r="AE131" s="160"/>
      <c r="AF131" s="288"/>
      <c r="AG131" s="160"/>
      <c r="AH131" s="288"/>
      <c r="AI131" s="288"/>
      <c r="AJ131" s="288"/>
      <c r="AK131" s="165"/>
      <c r="AL131" s="288"/>
      <c r="AM131" s="288"/>
      <c r="AN131" s="288"/>
      <c r="AO131" s="165"/>
      <c r="AP131" s="150"/>
      <c r="AQ131" s="165"/>
    </row>
    <row r="132">
      <c r="A132" s="150" t="s">
        <v>3022</v>
      </c>
      <c r="B132" s="150" t="s">
        <v>3023</v>
      </c>
      <c r="C132" s="175" t="str">
        <f>VLOOKUP(A132,Import!A:C,3,false)</f>
        <v>DOĞRU</v>
      </c>
      <c r="D132" s="150" t="s">
        <v>2664</v>
      </c>
      <c r="E132" s="280">
        <f>VLOOKUP(A132,Import!A:J,5,0)</f>
        <v>67</v>
      </c>
      <c r="F132" s="280">
        <f>VLOOKUP(A132,Import!A:J,6,0)</f>
        <v>10</v>
      </c>
      <c r="G132" s="289">
        <f>VLOOKUP(A132,Import!A:J,7,0)</f>
        <v>0</v>
      </c>
      <c r="H132" s="289">
        <f>VLOOKUP(A132,Import!A:J,8,0)</f>
        <v>68</v>
      </c>
      <c r="I132" s="289">
        <f>VLOOKUP(A132,Import!A:J,9,0)</f>
        <v>68</v>
      </c>
      <c r="J132" s="282">
        <f>VLOOKUP(A132,Import!A:J,10,0)</f>
        <v>0</v>
      </c>
      <c r="K132" s="290" t="s">
        <v>3024</v>
      </c>
      <c r="L132" s="150">
        <v>5.321636998E9</v>
      </c>
      <c r="M132" s="150" t="s">
        <v>1450</v>
      </c>
      <c r="N132" s="150" t="s">
        <v>2795</v>
      </c>
      <c r="O132" s="150" t="s">
        <v>3025</v>
      </c>
      <c r="P132" s="244" t="str">
        <f>VLOOKUP(A132,Import!A:P,16,0)</f>
        <v>Geleneksel</v>
      </c>
      <c r="Q132" s="291"/>
      <c r="R132" s="292" t="b">
        <v>1</v>
      </c>
      <c r="S132" s="293" t="b">
        <v>0</v>
      </c>
      <c r="T132" s="149" t="s">
        <v>2714</v>
      </c>
      <c r="U132" s="296"/>
      <c r="V132" s="296"/>
      <c r="W132" s="149" t="s">
        <v>3026</v>
      </c>
      <c r="X132" s="297"/>
      <c r="Y132" s="297"/>
      <c r="Z132" s="288"/>
      <c r="AA132" s="165" t="s">
        <v>2669</v>
      </c>
      <c r="AB132" s="295">
        <v>44532.0</v>
      </c>
      <c r="AC132" s="288"/>
      <c r="AD132" s="288"/>
      <c r="AE132" s="160"/>
      <c r="AF132" s="288"/>
      <c r="AG132" s="160"/>
      <c r="AH132" s="288"/>
      <c r="AI132" s="288"/>
      <c r="AJ132" s="288"/>
      <c r="AK132" s="165" t="s">
        <v>1717</v>
      </c>
      <c r="AL132" s="288"/>
      <c r="AM132" s="288"/>
      <c r="AN132" s="288"/>
      <c r="AO132" s="165"/>
      <c r="AP132" s="150" t="s">
        <v>2663</v>
      </c>
      <c r="AQ132" s="165"/>
    </row>
    <row r="133">
      <c r="A133" s="150" t="s">
        <v>395</v>
      </c>
      <c r="B133" s="150" t="s">
        <v>396</v>
      </c>
      <c r="C133" s="175" t="str">
        <f>VLOOKUP(A133,Import!A:C,3,false)</f>
        <v>DOĞRU</v>
      </c>
      <c r="D133" s="150" t="s">
        <v>2658</v>
      </c>
      <c r="E133" s="280">
        <f>VLOOKUP(A133,Import!A:J,5,0)</f>
        <v>6250</v>
      </c>
      <c r="F133" s="280">
        <f>VLOOKUP(A133,Import!A:J,6,0)</f>
        <v>166</v>
      </c>
      <c r="G133" s="289">
        <f>VLOOKUP(A133,Import!A:J,7,0)</f>
        <v>10</v>
      </c>
      <c r="H133" s="289">
        <f>VLOOKUP(A133,Import!A:J,8,0)</f>
        <v>22</v>
      </c>
      <c r="I133" s="289">
        <f>VLOOKUP(A133,Import!A:J,9,0)</f>
        <v>32</v>
      </c>
      <c r="J133" s="282">
        <f>VLOOKUP(A133,Import!A:J,10,0)</f>
        <v>0.31</v>
      </c>
      <c r="K133" s="244" t="str">
        <f>VLOOKUP(A133,Import!A:P,11,0)</f>
        <v>NAZAN ULUPINAR</v>
      </c>
      <c r="L133" s="150">
        <v>2.222392537E9</v>
      </c>
      <c r="M133" s="150" t="s">
        <v>1450</v>
      </c>
      <c r="N133" s="150" t="s">
        <v>2732</v>
      </c>
      <c r="O133" s="150" t="s">
        <v>398</v>
      </c>
      <c r="P133" s="244" t="str">
        <f>VLOOKUP(A133,Import!A:P,16,0)</f>
        <v>Geleneksel</v>
      </c>
      <c r="Q133" s="291" t="s">
        <v>2713</v>
      </c>
      <c r="R133" s="292" t="b">
        <v>1</v>
      </c>
      <c r="S133" s="293" t="b">
        <v>0</v>
      </c>
      <c r="T133" s="149" t="s">
        <v>2661</v>
      </c>
      <c r="U133" s="149"/>
      <c r="V133" s="149" t="s">
        <v>46</v>
      </c>
      <c r="W133" s="149" t="s">
        <v>2708</v>
      </c>
      <c r="X133" s="294">
        <v>44238.0</v>
      </c>
      <c r="Y133" s="294">
        <v>44243.0</v>
      </c>
      <c r="Z133" s="288"/>
      <c r="AA133" s="288"/>
      <c r="AB133" s="288"/>
      <c r="AC133" s="288"/>
      <c r="AD133" s="288"/>
      <c r="AE133" s="160"/>
      <c r="AF133" s="288"/>
      <c r="AG133" s="160"/>
      <c r="AH133" s="288"/>
      <c r="AI133" s="288"/>
      <c r="AJ133" s="288"/>
      <c r="AK133" s="288"/>
      <c r="AL133" s="288"/>
      <c r="AM133" s="288"/>
      <c r="AN133" s="288"/>
      <c r="AO133" s="288"/>
      <c r="AP133" s="150" t="s">
        <v>2663</v>
      </c>
      <c r="AQ133" s="288"/>
    </row>
    <row r="134">
      <c r="A134" s="244" t="s">
        <v>3027</v>
      </c>
      <c r="B134" s="244" t="s">
        <v>3028</v>
      </c>
      <c r="C134" s="175" t="str">
        <f>VLOOKUP(A134,Import!A:C,3,false)</f>
        <v>DOĞRU</v>
      </c>
      <c r="D134" s="175" t="s">
        <v>2658</v>
      </c>
      <c r="E134" s="280">
        <f>VLOOKUP(A134,Import!A:J,5,0)</f>
        <v>3916</v>
      </c>
      <c r="F134" s="280">
        <f>VLOOKUP(A134,Import!A:J,6,0)</f>
        <v>38</v>
      </c>
      <c r="G134" s="289">
        <f>VLOOKUP(A134,Import!A:J,7,0)</f>
        <v>12</v>
      </c>
      <c r="H134" s="289">
        <f>VLOOKUP(A134,Import!A:J,8,0)</f>
        <v>1</v>
      </c>
      <c r="I134" s="289">
        <f>VLOOKUP(A134,Import!A:J,9,0)</f>
        <v>13</v>
      </c>
      <c r="J134" s="282">
        <f>VLOOKUP(A134,Import!A:J,10,0)</f>
        <v>0.92</v>
      </c>
      <c r="K134" s="244" t="str">
        <f>VLOOKUP(A134,Import!A:P,11,0)</f>
        <v>HASAN TAKTAK</v>
      </c>
      <c r="L134" s="283">
        <v>2.22321253E9</v>
      </c>
      <c r="M134" s="175" t="s">
        <v>2666</v>
      </c>
      <c r="N134" s="175" t="s">
        <v>2809</v>
      </c>
      <c r="O134" s="175" t="s">
        <v>3029</v>
      </c>
      <c r="P134" s="244" t="str">
        <f>VLOOKUP(A134,Import!A:P,16,0)</f>
        <v>Geleneksel</v>
      </c>
      <c r="Q134" s="284" t="s">
        <v>2660</v>
      </c>
      <c r="R134" s="285" t="b">
        <v>1</v>
      </c>
      <c r="S134" s="285" t="b">
        <v>1</v>
      </c>
      <c r="T134" s="298"/>
      <c r="U134" s="298"/>
      <c r="V134" s="298"/>
      <c r="W134" s="298"/>
      <c r="X134" s="299"/>
      <c r="Y134" s="299"/>
      <c r="Z134" s="288"/>
      <c r="AA134" s="288"/>
      <c r="AB134" s="288"/>
      <c r="AC134" s="288"/>
      <c r="AD134" s="288"/>
      <c r="AE134" s="160"/>
      <c r="AF134" s="288"/>
      <c r="AG134" s="160"/>
      <c r="AH134" s="288"/>
      <c r="AI134" s="288"/>
      <c r="AJ134" s="288"/>
      <c r="AK134" s="288"/>
      <c r="AL134" s="288"/>
      <c r="AM134" s="288"/>
      <c r="AN134" s="288"/>
      <c r="AO134" s="288"/>
      <c r="AP134" s="150" t="s">
        <v>2663</v>
      </c>
      <c r="AQ134" s="288"/>
    </row>
    <row r="135">
      <c r="A135" s="150" t="s">
        <v>3030</v>
      </c>
      <c r="B135" s="150" t="s">
        <v>3031</v>
      </c>
      <c r="C135" s="175" t="str">
        <f>VLOOKUP(A135,Import!A:C,3,false)</f>
        <v>DOĞRU</v>
      </c>
      <c r="D135" s="150" t="s">
        <v>2867</v>
      </c>
      <c r="E135" s="280">
        <f>VLOOKUP(A135,Import!A:J,5,0)</f>
        <v>2820</v>
      </c>
      <c r="F135" s="280">
        <f>VLOOKUP(A135,Import!A:J,6,0)</f>
        <v>143</v>
      </c>
      <c r="G135" s="289">
        <f>VLOOKUP(A135,Import!A:J,7,0)</f>
        <v>0</v>
      </c>
      <c r="H135" s="289">
        <f>VLOOKUP(A135,Import!A:J,8,0)</f>
        <v>74</v>
      </c>
      <c r="I135" s="289">
        <f>VLOOKUP(A135,Import!A:J,9,0)</f>
        <v>74</v>
      </c>
      <c r="J135" s="282">
        <f>VLOOKUP(A135,Import!A:J,10,0)</f>
        <v>0</v>
      </c>
      <c r="K135" s="290" t="s">
        <v>3032</v>
      </c>
      <c r="L135" s="150">
        <v>5.461032626E9</v>
      </c>
      <c r="M135" s="150" t="s">
        <v>2666</v>
      </c>
      <c r="N135" s="150" t="s">
        <v>2801</v>
      </c>
      <c r="O135" s="150" t="s">
        <v>3033</v>
      </c>
      <c r="P135" s="244" t="str">
        <f>VLOOKUP(A135,Import!A:P,16,0)</f>
        <v>Geleneksel</v>
      </c>
      <c r="Q135" s="291"/>
      <c r="R135" s="292" t="b">
        <v>1</v>
      </c>
      <c r="S135" s="292" t="b">
        <v>1</v>
      </c>
      <c r="T135" s="149"/>
      <c r="U135" s="296"/>
      <c r="V135" s="296"/>
      <c r="W135" s="149"/>
      <c r="X135" s="297"/>
      <c r="Y135" s="297"/>
      <c r="Z135" s="288"/>
      <c r="AA135" s="165" t="s">
        <v>2669</v>
      </c>
      <c r="AB135" s="295">
        <v>44540.0</v>
      </c>
      <c r="AC135" s="288"/>
      <c r="AD135" s="288"/>
      <c r="AE135" s="160"/>
      <c r="AF135" s="288"/>
      <c r="AG135" s="160"/>
      <c r="AH135" s="288"/>
      <c r="AI135" s="288"/>
      <c r="AJ135" s="288"/>
      <c r="AK135" s="165" t="s">
        <v>921</v>
      </c>
      <c r="AL135" s="288"/>
      <c r="AM135" s="288"/>
      <c r="AN135" s="288"/>
      <c r="AO135" s="165"/>
      <c r="AP135" s="150" t="s">
        <v>2663</v>
      </c>
      <c r="AQ135" s="165"/>
    </row>
    <row r="136">
      <c r="A136" s="150" t="s">
        <v>474</v>
      </c>
      <c r="B136" s="150" t="s">
        <v>475</v>
      </c>
      <c r="C136" s="175" t="str">
        <f>VLOOKUP(A136,Import!A:C,3,false)</f>
        <v>DOĞRU</v>
      </c>
      <c r="D136" s="150" t="s">
        <v>2867</v>
      </c>
      <c r="E136" s="280">
        <f>VLOOKUP(A136,Import!A:J,5,0)</f>
        <v>5870</v>
      </c>
      <c r="F136" s="280">
        <f>VLOOKUP(A136,Import!A:J,6,0)</f>
        <v>142</v>
      </c>
      <c r="G136" s="289">
        <f>VLOOKUP(A136,Import!A:J,7,0)</f>
        <v>40</v>
      </c>
      <c r="H136" s="289">
        <f>VLOOKUP(A136,Import!A:J,8,0)</f>
        <v>49</v>
      </c>
      <c r="I136" s="289">
        <f>VLOOKUP(A136,Import!A:J,9,0)</f>
        <v>89</v>
      </c>
      <c r="J136" s="282">
        <f>VLOOKUP(A136,Import!A:J,10,0)</f>
        <v>0.45</v>
      </c>
      <c r="K136" s="244" t="str">
        <f>VLOOKUP(A136,Import!A:P,11,0)</f>
        <v>MUZAFFER ÖKSÜZ</v>
      </c>
      <c r="L136" s="150">
        <v>5.333715309E9</v>
      </c>
      <c r="M136" s="150" t="s">
        <v>1450</v>
      </c>
      <c r="N136" s="150" t="s">
        <v>2732</v>
      </c>
      <c r="O136" s="150" t="s">
        <v>477</v>
      </c>
      <c r="P136" s="244" t="str">
        <f>VLOOKUP(A136,Import!A:P,16,0)</f>
        <v>Geleneksel</v>
      </c>
      <c r="Q136" s="291" t="s">
        <v>2713</v>
      </c>
      <c r="R136" s="292" t="b">
        <v>1</v>
      </c>
      <c r="S136" s="293" t="b">
        <v>0</v>
      </c>
      <c r="T136" s="149" t="s">
        <v>2661</v>
      </c>
      <c r="U136" s="149" t="s">
        <v>1000</v>
      </c>
      <c r="V136" s="149" t="s">
        <v>13</v>
      </c>
      <c r="W136" s="149" t="s">
        <v>3034</v>
      </c>
      <c r="X136" s="294">
        <v>44270.0</v>
      </c>
      <c r="Y136" s="294">
        <v>44273.0</v>
      </c>
      <c r="Z136" s="288"/>
      <c r="AA136" s="165" t="s">
        <v>2669</v>
      </c>
      <c r="AB136" s="295">
        <v>44488.0</v>
      </c>
      <c r="AC136" s="288"/>
      <c r="AD136" s="288"/>
      <c r="AE136" s="160"/>
      <c r="AF136" s="288"/>
      <c r="AG136" s="160"/>
      <c r="AH136" s="288"/>
      <c r="AI136" s="288"/>
      <c r="AJ136" s="288"/>
      <c r="AK136" s="165" t="s">
        <v>1717</v>
      </c>
      <c r="AL136" s="288"/>
      <c r="AM136" s="288"/>
      <c r="AN136" s="288"/>
      <c r="AO136" s="288"/>
      <c r="AP136" s="150" t="s">
        <v>2663</v>
      </c>
      <c r="AQ136" s="288"/>
    </row>
    <row r="137">
      <c r="A137" s="150" t="s">
        <v>3035</v>
      </c>
      <c r="B137" s="150" t="s">
        <v>1235</v>
      </c>
      <c r="C137" s="175" t="str">
        <f>VLOOKUP(A137,Import!A:C,3,false)</f>
        <v>DOĞRU</v>
      </c>
      <c r="D137" s="150" t="s">
        <v>2684</v>
      </c>
      <c r="E137" s="280" t="str">
        <f>VLOOKUP(A137,Import!A:J,5,0)</f>
        <v/>
      </c>
      <c r="F137" s="280" t="str">
        <f>VLOOKUP(A137,Import!A:J,6,0)</f>
        <v/>
      </c>
      <c r="G137" s="289">
        <f>VLOOKUP(A137,Import!A:J,7,0)</f>
        <v>0</v>
      </c>
      <c r="H137" s="289">
        <f>VLOOKUP(A137,Import!A:J,8,0)</f>
        <v>75</v>
      </c>
      <c r="I137" s="289">
        <f>VLOOKUP(A137,Import!A:J,9,0)</f>
        <v>75</v>
      </c>
      <c r="J137" s="282">
        <f>VLOOKUP(A137,Import!A:J,10,0)</f>
        <v>0</v>
      </c>
      <c r="K137" s="290" t="s">
        <v>3036</v>
      </c>
      <c r="L137" s="150">
        <v>5.462265526E9</v>
      </c>
      <c r="M137" s="150" t="s">
        <v>2666</v>
      </c>
      <c r="N137" s="150" t="s">
        <v>2685</v>
      </c>
      <c r="O137" s="150" t="s">
        <v>3037</v>
      </c>
      <c r="P137" s="244" t="str">
        <f>VLOOKUP(A137,Import!A:P,16,0)</f>
        <v>Geleneksel</v>
      </c>
      <c r="Q137" s="291"/>
      <c r="R137" s="292" t="b">
        <v>0</v>
      </c>
      <c r="S137" s="293" t="b">
        <v>0</v>
      </c>
      <c r="T137" s="149"/>
      <c r="U137" s="296"/>
      <c r="V137" s="296"/>
      <c r="W137" s="149"/>
      <c r="X137" s="297"/>
      <c r="Y137" s="297"/>
      <c r="Z137" s="288"/>
      <c r="AA137" s="165"/>
      <c r="AB137" s="295"/>
      <c r="AC137" s="288"/>
      <c r="AD137" s="288"/>
      <c r="AE137" s="160"/>
      <c r="AF137" s="288"/>
      <c r="AG137" s="160"/>
      <c r="AH137" s="288"/>
      <c r="AI137" s="288"/>
      <c r="AJ137" s="288"/>
      <c r="AK137" s="165"/>
      <c r="AL137" s="288"/>
      <c r="AM137" s="288"/>
      <c r="AN137" s="288"/>
      <c r="AO137" s="165"/>
      <c r="AP137" s="150"/>
      <c r="AQ137" s="165"/>
    </row>
    <row r="138">
      <c r="A138" s="150" t="s">
        <v>3038</v>
      </c>
      <c r="B138" s="150" t="s">
        <v>3039</v>
      </c>
      <c r="C138" s="175" t="str">
        <f>VLOOKUP(A138,Import!A:C,3,false)</f>
        <v>DOĞRU</v>
      </c>
      <c r="D138" s="150" t="s">
        <v>2658</v>
      </c>
      <c r="E138" s="280">
        <f>VLOOKUP(A138,Import!A:J,5,0)</f>
        <v>349</v>
      </c>
      <c r="F138" s="280">
        <f>VLOOKUP(A138,Import!A:J,6,0)</f>
        <v>20</v>
      </c>
      <c r="G138" s="289">
        <f>VLOOKUP(A138,Import!A:J,7,0)</f>
        <v>0</v>
      </c>
      <c r="H138" s="289">
        <f>VLOOKUP(A138,Import!A:J,8,0)</f>
        <v>20</v>
      </c>
      <c r="I138" s="289">
        <f>VLOOKUP(A138,Import!A:J,9,0)</f>
        <v>20</v>
      </c>
      <c r="J138" s="282">
        <f>VLOOKUP(A138,Import!A:J,10,0)</f>
        <v>0</v>
      </c>
      <c r="K138" s="290" t="s">
        <v>3040</v>
      </c>
      <c r="L138" s="150">
        <v>2.222267007E9</v>
      </c>
      <c r="M138" s="150" t="s">
        <v>1450</v>
      </c>
      <c r="N138" s="150" t="s">
        <v>2732</v>
      </c>
      <c r="O138" s="150" t="s">
        <v>3041</v>
      </c>
      <c r="P138" s="244" t="str">
        <f>VLOOKUP(A138,Import!A:P,16,0)</f>
        <v>Geleneksel</v>
      </c>
      <c r="Q138" s="291"/>
      <c r="R138" s="292" t="b">
        <v>1</v>
      </c>
      <c r="S138" s="293" t="b">
        <v>0</v>
      </c>
      <c r="T138" s="149" t="s">
        <v>2770</v>
      </c>
      <c r="U138" s="296"/>
      <c r="V138" s="296"/>
      <c r="W138" s="149" t="s">
        <v>3042</v>
      </c>
      <c r="X138" s="297"/>
      <c r="Y138" s="297"/>
      <c r="Z138" s="288"/>
      <c r="AA138" s="165" t="s">
        <v>2693</v>
      </c>
      <c r="AB138" s="295">
        <v>44568.0</v>
      </c>
      <c r="AC138" s="165" t="s">
        <v>2669</v>
      </c>
      <c r="AD138" s="295">
        <v>44580.0</v>
      </c>
      <c r="AE138" s="160"/>
      <c r="AF138" s="288"/>
      <c r="AG138" s="160"/>
      <c r="AH138" s="288"/>
      <c r="AI138" s="288"/>
      <c r="AJ138" s="288"/>
      <c r="AK138" s="165" t="s">
        <v>1717</v>
      </c>
      <c r="AL138" s="165" t="s">
        <v>1715</v>
      </c>
      <c r="AM138" s="288"/>
      <c r="AN138" s="288"/>
      <c r="AO138" s="165"/>
      <c r="AP138" s="150"/>
      <c r="AQ138" s="165"/>
    </row>
    <row r="139">
      <c r="A139" s="147" t="s">
        <v>3043</v>
      </c>
      <c r="B139" s="147" t="s">
        <v>3044</v>
      </c>
      <c r="C139" s="175" t="str">
        <f>VLOOKUP(A139,Import!A:C,3,false)</f>
        <v>DOĞRU</v>
      </c>
      <c r="D139" s="147" t="s">
        <v>2773</v>
      </c>
      <c r="E139" s="280">
        <f>VLOOKUP(A139,Import!A:J,5,0)</f>
        <v>376</v>
      </c>
      <c r="F139" s="280">
        <f>VLOOKUP(A139,Import!A:J,6,0)</f>
        <v>40</v>
      </c>
      <c r="G139" s="289">
        <f>VLOOKUP(A139,Import!A:J,7,0)</f>
        <v>7</v>
      </c>
      <c r="H139" s="289">
        <f>VLOOKUP(A139,Import!A:J,8,0)</f>
        <v>8</v>
      </c>
      <c r="I139" s="289">
        <f>VLOOKUP(A139,Import!A:J,9,0)</f>
        <v>15</v>
      </c>
      <c r="J139" s="282">
        <f>VLOOKUP(A139,Import!A:J,10,0)</f>
        <v>0.47</v>
      </c>
      <c r="K139" s="244" t="str">
        <f>VLOOKUP(A139,Import!A:P,11,0)</f>
        <v>Nurettin Aybek</v>
      </c>
      <c r="L139" s="147">
        <v>5.323824718E9</v>
      </c>
      <c r="M139" s="147" t="s">
        <v>1450</v>
      </c>
      <c r="N139" s="147" t="s">
        <v>2700</v>
      </c>
      <c r="O139" s="147" t="s">
        <v>3045</v>
      </c>
      <c r="P139" s="244" t="str">
        <f>VLOOKUP(A139,Import!A:P,16,0)</f>
        <v>Geleneksel</v>
      </c>
      <c r="Q139" s="330"/>
      <c r="R139" s="292" t="b">
        <v>0</v>
      </c>
      <c r="S139" s="293" t="b">
        <v>0</v>
      </c>
      <c r="T139" s="149" t="s">
        <v>2734</v>
      </c>
      <c r="U139" s="296"/>
      <c r="V139" s="296"/>
      <c r="W139" s="149" t="s">
        <v>3046</v>
      </c>
      <c r="X139" s="297"/>
      <c r="Y139" s="297"/>
      <c r="Z139" s="288"/>
      <c r="AA139" s="288"/>
      <c r="AB139" s="288"/>
      <c r="AC139" s="288"/>
      <c r="AD139" s="288"/>
      <c r="AE139" s="160"/>
      <c r="AF139" s="288"/>
      <c r="AG139" s="160"/>
      <c r="AH139" s="288"/>
      <c r="AI139" s="288"/>
      <c r="AJ139" s="288"/>
      <c r="AK139" s="288"/>
      <c r="AL139" s="288"/>
      <c r="AM139" s="288"/>
      <c r="AN139" s="288"/>
      <c r="AO139" s="288"/>
      <c r="AP139" s="150" t="s">
        <v>2663</v>
      </c>
      <c r="AQ139" s="288"/>
    </row>
    <row r="140">
      <c r="A140" s="147" t="s">
        <v>1251</v>
      </c>
      <c r="B140" s="147" t="s">
        <v>1252</v>
      </c>
      <c r="C140" s="175" t="str">
        <f>VLOOKUP(A140,Import!A:C,3,false)</f>
        <v>DOĞRU</v>
      </c>
      <c r="D140" s="147" t="s">
        <v>2773</v>
      </c>
      <c r="E140" s="280">
        <f>VLOOKUP(A140,Import!A:J,5,0)</f>
        <v>584</v>
      </c>
      <c r="F140" s="280">
        <f>VLOOKUP(A140,Import!A:J,6,0)</f>
        <v>32</v>
      </c>
      <c r="G140" s="289">
        <f>VLOOKUP(A140,Import!A:J,7,0)</f>
        <v>7</v>
      </c>
      <c r="H140" s="289">
        <f>VLOOKUP(A140,Import!A:J,8,0)</f>
        <v>8</v>
      </c>
      <c r="I140" s="289">
        <f>VLOOKUP(A140,Import!A:J,9,0)</f>
        <v>15</v>
      </c>
      <c r="J140" s="282">
        <f>VLOOKUP(A140,Import!A:J,10,0)</f>
        <v>0.47</v>
      </c>
      <c r="K140" s="244" t="str">
        <f>VLOOKUP(A140,Import!A:P,11,0)</f>
        <v>Nurettin Aybek</v>
      </c>
      <c r="L140" s="147">
        <v>5.323824718E9</v>
      </c>
      <c r="M140" s="147" t="s">
        <v>1450</v>
      </c>
      <c r="N140" s="147" t="s">
        <v>2795</v>
      </c>
      <c r="O140" s="147" t="s">
        <v>1254</v>
      </c>
      <c r="P140" s="244" t="str">
        <f>VLOOKUP(A140,Import!A:P,16,0)</f>
        <v>Geleneksel</v>
      </c>
      <c r="Q140" s="330"/>
      <c r="R140" s="292" t="b">
        <v>1</v>
      </c>
      <c r="S140" s="293" t="b">
        <v>0</v>
      </c>
      <c r="T140" s="149" t="s">
        <v>2661</v>
      </c>
      <c r="U140" s="149" t="s">
        <v>819</v>
      </c>
      <c r="V140" s="361" t="s">
        <v>13</v>
      </c>
      <c r="X140" s="294">
        <v>44305.0</v>
      </c>
      <c r="Y140" s="294">
        <v>44306.0</v>
      </c>
      <c r="Z140" s="288"/>
      <c r="AA140" s="288"/>
      <c r="AB140" s="288"/>
      <c r="AC140" s="288"/>
      <c r="AD140" s="288"/>
      <c r="AE140" s="160"/>
      <c r="AF140" s="288"/>
      <c r="AG140" s="160"/>
      <c r="AH140" s="288"/>
      <c r="AI140" s="288"/>
      <c r="AJ140" s="288"/>
      <c r="AK140" s="288"/>
      <c r="AL140" s="288"/>
      <c r="AM140" s="288"/>
      <c r="AN140" s="288"/>
      <c r="AO140" s="288"/>
      <c r="AP140" s="150" t="s">
        <v>2663</v>
      </c>
      <c r="AQ140" s="288"/>
    </row>
    <row r="141">
      <c r="A141" s="150" t="s">
        <v>3047</v>
      </c>
      <c r="B141" s="150" t="s">
        <v>3048</v>
      </c>
      <c r="C141" s="175" t="str">
        <f>VLOOKUP(A141,Import!A:C,3,false)</f>
        <v>DOĞRU</v>
      </c>
      <c r="D141" s="150" t="s">
        <v>2701</v>
      </c>
      <c r="E141" s="280" t="str">
        <f>VLOOKUP(A141,Import!A:J,5,0)</f>
        <v/>
      </c>
      <c r="F141" s="280" t="str">
        <f>VLOOKUP(A141,Import!A:J,6,0)</f>
        <v/>
      </c>
      <c r="G141" s="289">
        <f>VLOOKUP(A141,Import!A:J,7,0)</f>
        <v>0</v>
      </c>
      <c r="H141" s="289">
        <f>VLOOKUP(A141,Import!A:J,8,0)</f>
        <v>56</v>
      </c>
      <c r="I141" s="289">
        <f>VLOOKUP(A141,Import!A:J,9,0)</f>
        <v>56</v>
      </c>
      <c r="J141" s="282">
        <f>VLOOKUP(A141,Import!A:J,10,0)</f>
        <v>0</v>
      </c>
      <c r="K141" s="290" t="s">
        <v>3049</v>
      </c>
      <c r="L141" s="150">
        <v>2.2223989E9</v>
      </c>
      <c r="M141" s="150" t="s">
        <v>1450</v>
      </c>
      <c r="N141" s="150" t="s">
        <v>2732</v>
      </c>
      <c r="O141" s="150" t="s">
        <v>3050</v>
      </c>
      <c r="P141" s="244" t="str">
        <f>VLOOKUP(A141,Import!A:P,16,0)</f>
        <v>Geleneksel</v>
      </c>
      <c r="Q141" s="291"/>
      <c r="R141" s="292" t="b">
        <v>1</v>
      </c>
      <c r="S141" s="293" t="b">
        <v>0</v>
      </c>
      <c r="T141" s="149"/>
      <c r="U141" s="296"/>
      <c r="V141" s="296"/>
      <c r="W141" s="149" t="s">
        <v>3051</v>
      </c>
      <c r="X141" s="297"/>
      <c r="Y141" s="297"/>
      <c r="Z141" s="288"/>
      <c r="AA141" s="165" t="s">
        <v>2699</v>
      </c>
      <c r="AB141" s="295">
        <v>44625.0</v>
      </c>
      <c r="AC141" s="165" t="s">
        <v>2699</v>
      </c>
      <c r="AD141" s="295">
        <v>44628.0</v>
      </c>
      <c r="AE141" s="160"/>
      <c r="AF141" s="288"/>
      <c r="AG141" s="160"/>
      <c r="AH141" s="288"/>
      <c r="AI141" s="288"/>
      <c r="AJ141" s="288"/>
      <c r="AK141" s="165" t="s">
        <v>943</v>
      </c>
      <c r="AL141" s="165" t="s">
        <v>1717</v>
      </c>
      <c r="AM141" s="288"/>
      <c r="AN141" s="288"/>
      <c r="AO141" s="165"/>
      <c r="AP141" s="150"/>
      <c r="AQ141" s="165"/>
    </row>
    <row r="142">
      <c r="A142" s="244" t="s">
        <v>3052</v>
      </c>
      <c r="B142" s="244" t="s">
        <v>3053</v>
      </c>
      <c r="C142" s="175" t="str">
        <f>VLOOKUP(A142,Import!A:C,3,false)</f>
        <v>DOĞRU</v>
      </c>
      <c r="D142" s="362" t="s">
        <v>2658</v>
      </c>
      <c r="E142" s="280">
        <f>VLOOKUP(A142,Import!A:J,5,0)</f>
        <v>6918</v>
      </c>
      <c r="F142" s="280">
        <f>VLOOKUP(A142,Import!A:J,6,0)</f>
        <v>258</v>
      </c>
      <c r="G142" s="289">
        <f>VLOOKUP(A142,Import!A:J,7,0)</f>
        <v>0</v>
      </c>
      <c r="H142" s="289">
        <f>VLOOKUP(A142,Import!A:J,8,0)</f>
        <v>18</v>
      </c>
      <c r="I142" s="289">
        <f>VLOOKUP(A142,Import!A:J,9,0)</f>
        <v>18</v>
      </c>
      <c r="J142" s="282">
        <f>VLOOKUP(A142,Import!A:J,10,0)</f>
        <v>0</v>
      </c>
      <c r="K142" s="244" t="str">
        <f>VLOOKUP(A142,Import!A:P,11,0)</f>
        <v>AYSUN KIRTAŞ</v>
      </c>
      <c r="L142" s="280">
        <v>5.4566996E9</v>
      </c>
      <c r="M142" s="244" t="s">
        <v>1450</v>
      </c>
      <c r="N142" s="244" t="s">
        <v>2732</v>
      </c>
      <c r="O142" s="244" t="s">
        <v>3050</v>
      </c>
      <c r="P142" s="244" t="str">
        <f>VLOOKUP(A142,Import!A:P,16,0)</f>
        <v>Geleneksel</v>
      </c>
      <c r="Q142" s="291" t="s">
        <v>2660</v>
      </c>
      <c r="R142" s="292" t="b">
        <v>1</v>
      </c>
      <c r="S142" s="293" t="b">
        <v>0</v>
      </c>
      <c r="T142" s="165" t="s">
        <v>2714</v>
      </c>
      <c r="U142" s="160"/>
      <c r="V142" s="160"/>
      <c r="W142" s="165" t="s">
        <v>3054</v>
      </c>
      <c r="X142" s="288"/>
      <c r="Y142" s="288"/>
      <c r="Z142" s="288"/>
      <c r="AA142" s="165" t="s">
        <v>2772</v>
      </c>
      <c r="AB142" s="295">
        <v>44377.0</v>
      </c>
      <c r="AC142" s="165" t="s">
        <v>2669</v>
      </c>
      <c r="AD142" s="295">
        <v>44494.0</v>
      </c>
      <c r="AE142" s="165" t="s">
        <v>2772</v>
      </c>
      <c r="AF142" s="295">
        <v>44496.0</v>
      </c>
      <c r="AG142" s="165" t="s">
        <v>2669</v>
      </c>
      <c r="AH142" s="295">
        <v>44541.0</v>
      </c>
      <c r="AI142" s="288"/>
      <c r="AJ142" s="288"/>
      <c r="AK142" s="165" t="s">
        <v>2913</v>
      </c>
      <c r="AL142" s="165" t="s">
        <v>1791</v>
      </c>
      <c r="AM142" s="165" t="s">
        <v>819</v>
      </c>
      <c r="AN142" s="165" t="s">
        <v>2161</v>
      </c>
      <c r="AO142" s="288"/>
      <c r="AP142" s="150" t="s">
        <v>2663</v>
      </c>
      <c r="AQ142" s="288"/>
    </row>
    <row r="143">
      <c r="A143" s="150" t="s">
        <v>3055</v>
      </c>
      <c r="B143" s="150" t="s">
        <v>3056</v>
      </c>
      <c r="C143" s="175" t="str">
        <f>VLOOKUP(A143,Import!A:C,3,false)</f>
        <v>DOĞRU</v>
      </c>
      <c r="D143" s="150" t="s">
        <v>2696</v>
      </c>
      <c r="E143" s="280">
        <f>VLOOKUP(A143,Import!A:J,5,0)</f>
        <v>7231</v>
      </c>
      <c r="F143" s="280">
        <f>VLOOKUP(A143,Import!A:J,6,0)</f>
        <v>338</v>
      </c>
      <c r="G143" s="289">
        <f>VLOOKUP(A143,Import!A:J,7,0)</f>
        <v>0</v>
      </c>
      <c r="H143" s="289">
        <f>VLOOKUP(A143,Import!A:J,8,0)</f>
        <v>59</v>
      </c>
      <c r="I143" s="289">
        <f>VLOOKUP(A143,Import!A:J,9,0)</f>
        <v>59</v>
      </c>
      <c r="J143" s="282">
        <f>VLOOKUP(A143,Import!A:J,10,0)</f>
        <v>0</v>
      </c>
      <c r="K143" s="244" t="str">
        <f>VLOOKUP(A143,Import!A:P,11,0)</f>
        <v>AYSUN KIRTAŞ</v>
      </c>
      <c r="L143" s="150">
        <v>2.2223989E9</v>
      </c>
      <c r="M143" s="150" t="s">
        <v>1450</v>
      </c>
      <c r="N143" s="150" t="s">
        <v>2732</v>
      </c>
      <c r="O143" s="150" t="s">
        <v>3050</v>
      </c>
      <c r="P143" s="244" t="str">
        <f>VLOOKUP(A143,Import!A:P,16,0)</f>
        <v>Geleneksel</v>
      </c>
      <c r="Q143" s="291" t="s">
        <v>2713</v>
      </c>
      <c r="R143" s="292" t="b">
        <v>1</v>
      </c>
      <c r="S143" s="293" t="b">
        <v>0</v>
      </c>
      <c r="T143" s="149" t="s">
        <v>2693</v>
      </c>
      <c r="U143" s="296"/>
      <c r="V143" s="296"/>
      <c r="W143" s="149" t="s">
        <v>3057</v>
      </c>
      <c r="X143" s="297"/>
      <c r="Y143" s="297"/>
      <c r="Z143" s="288"/>
      <c r="AA143" s="165" t="s">
        <v>2772</v>
      </c>
      <c r="AB143" s="295">
        <v>44496.0</v>
      </c>
      <c r="AC143" s="165" t="s">
        <v>2699</v>
      </c>
      <c r="AD143" s="295">
        <v>44547.0</v>
      </c>
      <c r="AE143" s="165" t="s">
        <v>2699</v>
      </c>
      <c r="AF143" s="295">
        <v>44580.0</v>
      </c>
      <c r="AG143" s="165" t="s">
        <v>2699</v>
      </c>
      <c r="AH143" s="295">
        <v>44628.0</v>
      </c>
      <c r="AI143" s="288"/>
      <c r="AJ143" s="288"/>
      <c r="AK143" s="165" t="s">
        <v>819</v>
      </c>
      <c r="AL143" s="165" t="s">
        <v>1971</v>
      </c>
      <c r="AM143" s="165" t="s">
        <v>1715</v>
      </c>
      <c r="AN143" s="165" t="s">
        <v>1717</v>
      </c>
      <c r="AO143" s="288"/>
      <c r="AP143" s="150" t="s">
        <v>2663</v>
      </c>
      <c r="AQ143" s="288"/>
    </row>
    <row r="144">
      <c r="A144" s="150" t="s">
        <v>3058</v>
      </c>
      <c r="B144" s="150" t="s">
        <v>3059</v>
      </c>
      <c r="C144" s="175" t="str">
        <f>VLOOKUP(A144,Import!A:C,3,false)</f>
        <v>DOĞRU</v>
      </c>
      <c r="D144" s="150" t="s">
        <v>2724</v>
      </c>
      <c r="E144" s="280">
        <f>VLOOKUP(A144,Import!A:J,5,0)</f>
        <v>13499</v>
      </c>
      <c r="F144" s="280">
        <f>VLOOKUP(A144,Import!A:J,6,0)</f>
        <v>319</v>
      </c>
      <c r="G144" s="289">
        <f>VLOOKUP(A144,Import!A:J,7,0)</f>
        <v>0</v>
      </c>
      <c r="H144" s="289">
        <f>VLOOKUP(A144,Import!A:J,8,0)</f>
        <v>39</v>
      </c>
      <c r="I144" s="289">
        <f>VLOOKUP(A144,Import!A:J,9,0)</f>
        <v>39</v>
      </c>
      <c r="J144" s="282">
        <f>VLOOKUP(A144,Import!A:J,10,0)</f>
        <v>0</v>
      </c>
      <c r="K144" s="244" t="str">
        <f>VLOOKUP(A144,Import!A:P,11,0)</f>
        <v>MURAT APAYDIN</v>
      </c>
      <c r="L144" s="150">
        <v>5.448908139E9</v>
      </c>
      <c r="M144" s="150" t="s">
        <v>1450</v>
      </c>
      <c r="N144" s="150" t="s">
        <v>2732</v>
      </c>
      <c r="O144" s="150" t="s">
        <v>3060</v>
      </c>
      <c r="P144" s="244" t="str">
        <f>VLOOKUP(A144,Import!A:P,16,0)</f>
        <v>Geleneksel</v>
      </c>
      <c r="Q144" s="291" t="s">
        <v>2713</v>
      </c>
      <c r="R144" s="292" t="b">
        <v>1</v>
      </c>
      <c r="S144" s="293" t="b">
        <v>0</v>
      </c>
      <c r="T144" s="149" t="s">
        <v>2714</v>
      </c>
      <c r="U144" s="296"/>
      <c r="V144" s="296"/>
      <c r="W144" s="149" t="s">
        <v>3061</v>
      </c>
      <c r="X144" s="297"/>
      <c r="Y144" s="297"/>
      <c r="Z144" s="288"/>
      <c r="AA144" s="165" t="s">
        <v>2693</v>
      </c>
      <c r="AB144" s="295">
        <v>44377.0</v>
      </c>
      <c r="AC144" s="165" t="s">
        <v>2693</v>
      </c>
      <c r="AD144" s="295">
        <v>44379.0</v>
      </c>
      <c r="AE144" s="165" t="s">
        <v>2693</v>
      </c>
      <c r="AF144" s="295">
        <v>44494.0</v>
      </c>
      <c r="AG144" s="165" t="s">
        <v>2669</v>
      </c>
      <c r="AH144" s="295">
        <v>44641.0</v>
      </c>
      <c r="AI144" s="288"/>
      <c r="AJ144" s="288"/>
      <c r="AK144" s="165" t="s">
        <v>2913</v>
      </c>
      <c r="AL144" s="165" t="s">
        <v>2718</v>
      </c>
      <c r="AM144" s="165" t="s">
        <v>1791</v>
      </c>
      <c r="AN144" s="165" t="s">
        <v>1791</v>
      </c>
      <c r="AO144" s="288"/>
      <c r="AP144" s="150" t="s">
        <v>2663</v>
      </c>
      <c r="AQ144" s="288"/>
    </row>
    <row r="145">
      <c r="A145" s="150" t="s">
        <v>3062</v>
      </c>
      <c r="B145" s="150" t="s">
        <v>3063</v>
      </c>
      <c r="C145" s="175" t="str">
        <f>VLOOKUP(A145,Import!A:C,3,false)</f>
        <v>DOĞRU</v>
      </c>
      <c r="D145" s="150" t="s">
        <v>2684</v>
      </c>
      <c r="E145" s="280">
        <f>VLOOKUP(A145,Import!A:J,5,0)</f>
        <v>1</v>
      </c>
      <c r="F145" s="280" t="str">
        <f>VLOOKUP(A145,Import!A:J,6,0)</f>
        <v/>
      </c>
      <c r="G145" s="289">
        <f>VLOOKUP(A145,Import!A:J,7,0)</f>
        <v>0</v>
      </c>
      <c r="H145" s="289">
        <f>VLOOKUP(A145,Import!A:J,8,0)</f>
        <v>50</v>
      </c>
      <c r="I145" s="289">
        <f>VLOOKUP(A145,Import!A:J,9,0)</f>
        <v>50</v>
      </c>
      <c r="J145" s="282">
        <f>VLOOKUP(A145,Import!A:J,10,0)</f>
        <v>0</v>
      </c>
      <c r="K145" s="290" t="s">
        <v>3064</v>
      </c>
      <c r="L145" s="150">
        <v>5.547101747E9</v>
      </c>
      <c r="M145" s="150" t="s">
        <v>2666</v>
      </c>
      <c r="N145" s="150" t="s">
        <v>2750</v>
      </c>
      <c r="O145" s="150" t="s">
        <v>3065</v>
      </c>
      <c r="P145" s="244" t="str">
        <f>VLOOKUP(A145,Import!A:P,16,0)</f>
        <v>Geleneksel</v>
      </c>
      <c r="Q145" s="291"/>
      <c r="R145" s="292" t="b">
        <v>1</v>
      </c>
      <c r="S145" s="293" t="b">
        <v>0</v>
      </c>
      <c r="T145" s="149"/>
      <c r="U145" s="296"/>
      <c r="V145" s="296"/>
      <c r="W145" s="149"/>
      <c r="X145" s="297"/>
      <c r="Y145" s="297"/>
      <c r="Z145" s="288"/>
      <c r="AA145" s="165" t="s">
        <v>2699</v>
      </c>
      <c r="AB145" s="295">
        <v>44625.0</v>
      </c>
      <c r="AC145" s="288"/>
      <c r="AD145" s="288"/>
      <c r="AE145" s="160"/>
      <c r="AF145" s="288"/>
      <c r="AG145" s="160"/>
      <c r="AH145" s="288"/>
      <c r="AI145" s="288"/>
      <c r="AJ145" s="288"/>
      <c r="AK145" s="165" t="s">
        <v>943</v>
      </c>
      <c r="AL145" s="288"/>
      <c r="AM145" s="288"/>
      <c r="AN145" s="288"/>
      <c r="AO145" s="165"/>
      <c r="AP145" s="150"/>
      <c r="AQ145" s="165"/>
    </row>
    <row r="146">
      <c r="A146" s="150" t="s">
        <v>2482</v>
      </c>
      <c r="B146" s="150" t="s">
        <v>2483</v>
      </c>
      <c r="C146" s="175" t="str">
        <f>VLOOKUP(A146,Import!A:C,3,false)</f>
        <v>DOĞRU</v>
      </c>
      <c r="D146" s="150" t="s">
        <v>2696</v>
      </c>
      <c r="E146" s="280">
        <f>VLOOKUP(A146,Import!A:J,5,0)</f>
        <v>154</v>
      </c>
      <c r="F146" s="280" t="str">
        <f>VLOOKUP(A146,Import!A:J,6,0)</f>
        <v/>
      </c>
      <c r="G146" s="289">
        <f>VLOOKUP(A146,Import!A:J,7,0)</f>
        <v>0</v>
      </c>
      <c r="H146" s="289">
        <f>VLOOKUP(A146,Import!A:J,8,0)</f>
        <v>43</v>
      </c>
      <c r="I146" s="289">
        <f>VLOOKUP(A146,Import!A:J,9,0)</f>
        <v>43</v>
      </c>
      <c r="J146" s="282">
        <f>VLOOKUP(A146,Import!A:J,10,0)</f>
        <v>0</v>
      </c>
      <c r="K146" s="244" t="str">
        <f>VLOOKUP(A146,Import!A:P,11,0)</f>
        <v>Mehmet Ali Bircan</v>
      </c>
      <c r="L146" s="150">
        <v>2.223403505E9</v>
      </c>
      <c r="M146" s="150" t="s">
        <v>2666</v>
      </c>
      <c r="N146" s="150" t="s">
        <v>3000</v>
      </c>
      <c r="O146" s="150" t="s">
        <v>2485</v>
      </c>
      <c r="P146" s="244" t="str">
        <f>VLOOKUP(A146,Import!A:P,16,0)</f>
        <v>Geleneksel</v>
      </c>
      <c r="Q146" s="291"/>
      <c r="R146" s="292" t="b">
        <v>1</v>
      </c>
      <c r="S146" s="293" t="b">
        <v>0</v>
      </c>
      <c r="T146" s="149" t="s">
        <v>2714</v>
      </c>
      <c r="U146" s="149" t="s">
        <v>2474</v>
      </c>
      <c r="V146" s="149" t="s">
        <v>1609</v>
      </c>
      <c r="W146" s="149" t="s">
        <v>3066</v>
      </c>
      <c r="X146" s="294">
        <v>44601.0</v>
      </c>
      <c r="Y146" s="294">
        <v>44602.0</v>
      </c>
      <c r="Z146" s="288"/>
      <c r="AA146" s="165" t="s">
        <v>2669</v>
      </c>
      <c r="AB146" s="295">
        <v>44601.0</v>
      </c>
      <c r="AC146" s="288"/>
      <c r="AD146" s="288"/>
      <c r="AE146" s="160"/>
      <c r="AF146" s="288"/>
      <c r="AG146" s="160"/>
      <c r="AH146" s="288"/>
      <c r="AI146" s="288"/>
      <c r="AJ146" s="288"/>
      <c r="AK146" s="165" t="s">
        <v>2474</v>
      </c>
      <c r="AL146" s="288"/>
      <c r="AM146" s="288"/>
      <c r="AN146" s="288"/>
      <c r="AO146" s="288"/>
      <c r="AP146" s="150" t="s">
        <v>2663</v>
      </c>
      <c r="AQ146" s="288"/>
    </row>
    <row r="147">
      <c r="A147" s="150" t="s">
        <v>364</v>
      </c>
      <c r="B147" s="150" t="s">
        <v>365</v>
      </c>
      <c r="C147" s="175" t="str">
        <f>VLOOKUP(A147,Import!A:C,3,false)</f>
        <v>DOĞRU</v>
      </c>
      <c r="D147" s="150" t="s">
        <v>2850</v>
      </c>
      <c r="E147" s="280">
        <f>VLOOKUP(A147,Import!A:J,5,0)</f>
        <v>10661</v>
      </c>
      <c r="F147" s="280">
        <f>VLOOKUP(A147,Import!A:J,6,0)</f>
        <v>383</v>
      </c>
      <c r="G147" s="289">
        <f>VLOOKUP(A147,Import!A:J,7,0)</f>
        <v>24</v>
      </c>
      <c r="H147" s="289">
        <f>VLOOKUP(A147,Import!A:J,8,0)</f>
        <v>36</v>
      </c>
      <c r="I147" s="289">
        <f>VLOOKUP(A147,Import!A:J,9,0)</f>
        <v>60</v>
      </c>
      <c r="J147" s="282">
        <f>VLOOKUP(A147,Import!A:J,10,0)</f>
        <v>0.4</v>
      </c>
      <c r="K147" s="244" t="str">
        <f>VLOOKUP(A147,Import!A:P,11,0)</f>
        <v>SİNAN BİRSEN</v>
      </c>
      <c r="L147" s="150">
        <v>2.223224005E9</v>
      </c>
      <c r="M147" s="150" t="s">
        <v>2666</v>
      </c>
      <c r="N147" s="150" t="s">
        <v>2801</v>
      </c>
      <c r="O147" s="150" t="s">
        <v>1327</v>
      </c>
      <c r="P147" s="244" t="str">
        <f>VLOOKUP(A147,Import!A:P,16,0)</f>
        <v>Geleneksel</v>
      </c>
      <c r="Q147" s="291" t="s">
        <v>2713</v>
      </c>
      <c r="R147" s="292" t="b">
        <v>1</v>
      </c>
      <c r="S147" s="293" t="b">
        <v>0</v>
      </c>
      <c r="T147" s="149" t="s">
        <v>2661</v>
      </c>
      <c r="U147" s="149" t="s">
        <v>937</v>
      </c>
      <c r="V147" s="149" t="s">
        <v>13</v>
      </c>
      <c r="W147" s="149" t="s">
        <v>3067</v>
      </c>
      <c r="X147" s="294">
        <v>44308.0</v>
      </c>
      <c r="Y147" s="294">
        <v>44315.0</v>
      </c>
      <c r="Z147" s="288"/>
      <c r="AA147" s="165" t="s">
        <v>2669</v>
      </c>
      <c r="AB147" s="295">
        <v>44490.0</v>
      </c>
      <c r="AC147" s="165" t="s">
        <v>2693</v>
      </c>
      <c r="AD147" s="295">
        <v>44516.0</v>
      </c>
      <c r="AE147" s="160"/>
      <c r="AF147" s="288"/>
      <c r="AG147" s="160"/>
      <c r="AH147" s="288"/>
      <c r="AI147" s="288"/>
      <c r="AJ147" s="288"/>
      <c r="AK147" s="165" t="s">
        <v>1754</v>
      </c>
      <c r="AL147" s="165" t="s">
        <v>1621</v>
      </c>
      <c r="AM147" s="288"/>
      <c r="AN147" s="288"/>
      <c r="AO147" s="288"/>
      <c r="AP147" s="150" t="s">
        <v>2663</v>
      </c>
      <c r="AQ147" s="288"/>
    </row>
    <row r="148">
      <c r="A148" s="150" t="s">
        <v>3068</v>
      </c>
      <c r="B148" s="150" t="s">
        <v>3069</v>
      </c>
      <c r="C148" s="175" t="str">
        <f>VLOOKUP(A148,Import!A:C,3,false)</f>
        <v>DOĞRU</v>
      </c>
      <c r="D148" s="150" t="s">
        <v>2763</v>
      </c>
      <c r="E148" s="280">
        <f>VLOOKUP(A148,Import!A:J,5,0)</f>
        <v>827</v>
      </c>
      <c r="F148" s="280">
        <f>VLOOKUP(A148,Import!A:J,6,0)</f>
        <v>14</v>
      </c>
      <c r="G148" s="289">
        <f>VLOOKUP(A148,Import!A:J,7,0)</f>
        <v>0</v>
      </c>
      <c r="H148" s="289">
        <f>VLOOKUP(A148,Import!A:J,8,0)</f>
        <v>14</v>
      </c>
      <c r="I148" s="289">
        <f>VLOOKUP(A148,Import!A:J,9,0)</f>
        <v>14</v>
      </c>
      <c r="J148" s="282">
        <f>VLOOKUP(A148,Import!A:J,10,0)</f>
        <v>0</v>
      </c>
      <c r="K148" s="290" t="s">
        <v>2740</v>
      </c>
      <c r="L148" s="150">
        <v>5.437640523E9</v>
      </c>
      <c r="M148" s="150" t="s">
        <v>1450</v>
      </c>
      <c r="N148" s="150" t="s">
        <v>2700</v>
      </c>
      <c r="O148" s="150" t="s">
        <v>2741</v>
      </c>
      <c r="P148" s="244" t="str">
        <f>VLOOKUP(A148,Import!A:P,16,0)</f>
        <v>Geleneksel</v>
      </c>
      <c r="Q148" s="291"/>
      <c r="R148" s="292" t="b">
        <v>1</v>
      </c>
      <c r="S148" s="292" t="b">
        <v>1</v>
      </c>
      <c r="T148" s="296"/>
      <c r="U148" s="296"/>
      <c r="V148" s="296"/>
      <c r="W148" s="149" t="s">
        <v>3070</v>
      </c>
      <c r="X148" s="297"/>
      <c r="Y148" s="297"/>
      <c r="Z148" s="288"/>
      <c r="AA148" s="165" t="s">
        <v>2669</v>
      </c>
      <c r="AB148" s="295">
        <v>44537.0</v>
      </c>
      <c r="AC148" s="165" t="s">
        <v>2669</v>
      </c>
      <c r="AD148" s="295">
        <v>44541.0</v>
      </c>
      <c r="AE148" s="160"/>
      <c r="AF148" s="288"/>
      <c r="AG148" s="160"/>
      <c r="AH148" s="288"/>
      <c r="AI148" s="288"/>
      <c r="AJ148" s="288"/>
      <c r="AK148" s="165" t="s">
        <v>1715</v>
      </c>
      <c r="AL148" s="165" t="s">
        <v>2161</v>
      </c>
      <c r="AM148" s="288"/>
      <c r="AN148" s="288"/>
      <c r="AO148" s="165"/>
      <c r="AP148" s="150" t="s">
        <v>2663</v>
      </c>
      <c r="AQ148" s="165"/>
    </row>
    <row r="149">
      <c r="A149" s="244" t="s">
        <v>810</v>
      </c>
      <c r="B149" s="244" t="s">
        <v>811</v>
      </c>
      <c r="C149" s="175" t="str">
        <f>VLOOKUP(A149,Import!A:C,3,false)</f>
        <v>DOĞRU</v>
      </c>
      <c r="D149" s="244" t="s">
        <v>2658</v>
      </c>
      <c r="E149" s="280">
        <f>VLOOKUP(A149,Import!A:J,5,0)</f>
        <v>3771</v>
      </c>
      <c r="F149" s="280">
        <f>VLOOKUP(A149,Import!A:J,6,0)</f>
        <v>120</v>
      </c>
      <c r="G149" s="289">
        <f>VLOOKUP(A149,Import!A:J,7,0)</f>
        <v>7</v>
      </c>
      <c r="H149" s="289">
        <f>VLOOKUP(A149,Import!A:J,8,0)</f>
        <v>6</v>
      </c>
      <c r="I149" s="289">
        <f>VLOOKUP(A149,Import!A:J,9,0)</f>
        <v>13</v>
      </c>
      <c r="J149" s="282">
        <f>VLOOKUP(A149,Import!A:J,10,0)</f>
        <v>0.54</v>
      </c>
      <c r="K149" s="244" t="str">
        <f>VLOOKUP(A149,Import!A:P,11,0)</f>
        <v>MUHTULLAH ŞAM</v>
      </c>
      <c r="L149" s="280">
        <v>2.222333896E9</v>
      </c>
      <c r="M149" s="244" t="s">
        <v>2666</v>
      </c>
      <c r="N149" s="244" t="s">
        <v>2711</v>
      </c>
      <c r="O149" s="244" t="s">
        <v>813</v>
      </c>
      <c r="P149" s="244" t="str">
        <f>VLOOKUP(A149,Import!A:P,16,0)</f>
        <v>Geleneksel</v>
      </c>
      <c r="Q149" s="291" t="s">
        <v>2660</v>
      </c>
      <c r="R149" s="292" t="b">
        <v>1</v>
      </c>
      <c r="S149" s="293" t="b">
        <v>0</v>
      </c>
      <c r="T149" s="165" t="s">
        <v>2661</v>
      </c>
      <c r="U149" s="165"/>
      <c r="V149" s="165" t="s">
        <v>46</v>
      </c>
      <c r="W149" s="160"/>
      <c r="X149" s="295">
        <v>44238.0</v>
      </c>
      <c r="Y149" s="295">
        <v>44242.0</v>
      </c>
      <c r="Z149" s="288"/>
      <c r="AA149" s="288"/>
      <c r="AB149" s="288"/>
      <c r="AC149" s="288"/>
      <c r="AD149" s="288"/>
      <c r="AE149" s="160"/>
      <c r="AF149" s="288"/>
      <c r="AG149" s="160"/>
      <c r="AH149" s="288"/>
      <c r="AI149" s="288"/>
      <c r="AJ149" s="288"/>
      <c r="AK149" s="288"/>
      <c r="AL149" s="288"/>
      <c r="AM149" s="288"/>
      <c r="AN149" s="288"/>
      <c r="AO149" s="288"/>
      <c r="AP149" s="150" t="s">
        <v>2663</v>
      </c>
      <c r="AQ149" s="288"/>
    </row>
    <row r="150">
      <c r="A150" s="244" t="s">
        <v>534</v>
      </c>
      <c r="B150" s="244" t="s">
        <v>535</v>
      </c>
      <c r="C150" s="175" t="str">
        <f>VLOOKUP(A150,Import!A:C,3,false)</f>
        <v>DOĞRU</v>
      </c>
      <c r="D150" s="362" t="s">
        <v>2658</v>
      </c>
      <c r="E150" s="280">
        <f>VLOOKUP(A150,Import!A:J,5,0)</f>
        <v>1217</v>
      </c>
      <c r="F150" s="280">
        <f>VLOOKUP(A150,Import!A:J,6,0)</f>
        <v>175</v>
      </c>
      <c r="G150" s="289">
        <f>VLOOKUP(A150,Import!A:J,7,0)</f>
        <v>3</v>
      </c>
      <c r="H150" s="289">
        <f>VLOOKUP(A150,Import!A:J,8,0)</f>
        <v>4</v>
      </c>
      <c r="I150" s="289">
        <f>VLOOKUP(A150,Import!A:J,9,0)</f>
        <v>7</v>
      </c>
      <c r="J150" s="282">
        <f>VLOOKUP(A150,Import!A:J,10,0)</f>
        <v>0.43</v>
      </c>
      <c r="K150" s="244" t="str">
        <f>VLOOKUP(A150,Import!A:P,11,0)</f>
        <v>TEZCAN KILINÇ</v>
      </c>
      <c r="L150" s="280">
        <v>2.222502101E9</v>
      </c>
      <c r="M150" s="244" t="s">
        <v>1450</v>
      </c>
      <c r="N150" s="244" t="s">
        <v>2703</v>
      </c>
      <c r="O150" s="244" t="s">
        <v>538</v>
      </c>
      <c r="P150" s="244" t="str">
        <f>VLOOKUP(A150,Import!A:P,16,0)</f>
        <v>Geleneksel</v>
      </c>
      <c r="Q150" s="291" t="s">
        <v>2660</v>
      </c>
      <c r="R150" s="292" t="b">
        <v>1</v>
      </c>
      <c r="S150" s="293" t="b">
        <v>0</v>
      </c>
      <c r="T150" s="165" t="s">
        <v>2661</v>
      </c>
      <c r="U150" s="165"/>
      <c r="V150" s="165" t="s">
        <v>13</v>
      </c>
      <c r="W150" s="165"/>
      <c r="X150" s="295">
        <v>44237.0</v>
      </c>
      <c r="Y150" s="295">
        <v>44246.0</v>
      </c>
      <c r="Z150" s="288"/>
      <c r="AA150" s="288"/>
      <c r="AB150" s="288"/>
      <c r="AC150" s="288"/>
      <c r="AD150" s="288"/>
      <c r="AE150" s="160"/>
      <c r="AF150" s="288"/>
      <c r="AG150" s="160"/>
      <c r="AH150" s="288"/>
      <c r="AI150" s="288"/>
      <c r="AJ150" s="288"/>
      <c r="AK150" s="288"/>
      <c r="AL150" s="288"/>
      <c r="AM150" s="288"/>
      <c r="AN150" s="288"/>
      <c r="AO150" s="288"/>
      <c r="AP150" s="150" t="s">
        <v>2663</v>
      </c>
      <c r="AQ150" s="288"/>
    </row>
    <row r="151">
      <c r="A151" s="150" t="s">
        <v>3071</v>
      </c>
      <c r="B151" s="150" t="s">
        <v>3072</v>
      </c>
      <c r="C151" s="175" t="str">
        <f>VLOOKUP(A151,Import!A:C,3,false)</f>
        <v>DOĞRU</v>
      </c>
      <c r="D151" s="150" t="s">
        <v>2751</v>
      </c>
      <c r="E151" s="280">
        <f>VLOOKUP(A151,Import!A:J,5,0)</f>
        <v>399</v>
      </c>
      <c r="F151" s="280">
        <f>VLOOKUP(A151,Import!A:J,6,0)</f>
        <v>112</v>
      </c>
      <c r="G151" s="289">
        <f>VLOOKUP(A151,Import!A:J,7,0)</f>
        <v>0</v>
      </c>
      <c r="H151" s="289">
        <f>VLOOKUP(A151,Import!A:J,8,0)</f>
        <v>38</v>
      </c>
      <c r="I151" s="289">
        <f>VLOOKUP(A151,Import!A:J,9,0)</f>
        <v>38</v>
      </c>
      <c r="J151" s="282">
        <f>VLOOKUP(A151,Import!A:J,10,0)</f>
        <v>0</v>
      </c>
      <c r="K151" s="290" t="s">
        <v>3032</v>
      </c>
      <c r="L151" s="150">
        <v>5.461032626E9</v>
      </c>
      <c r="M151" s="150" t="s">
        <v>2666</v>
      </c>
      <c r="N151" s="150" t="s">
        <v>2801</v>
      </c>
      <c r="O151" s="150" t="s">
        <v>3033</v>
      </c>
      <c r="P151" s="244" t="str">
        <f>VLOOKUP(A151,Import!A:P,16,0)</f>
        <v>Geleneksel</v>
      </c>
      <c r="Q151" s="291"/>
      <c r="R151" s="292" t="b">
        <v>1</v>
      </c>
      <c r="S151" s="293" t="b">
        <v>0</v>
      </c>
      <c r="T151" s="149" t="s">
        <v>2770</v>
      </c>
      <c r="U151" s="296"/>
      <c r="V151" s="296"/>
      <c r="W151" s="149" t="s">
        <v>3073</v>
      </c>
      <c r="X151" s="297"/>
      <c r="Y151" s="297"/>
      <c r="Z151" s="288"/>
      <c r="AA151" s="165" t="s">
        <v>2688</v>
      </c>
      <c r="AB151" s="295">
        <v>44621.0</v>
      </c>
      <c r="AC151" s="288"/>
      <c r="AD151" s="288"/>
      <c r="AE151" s="160"/>
      <c r="AF151" s="288"/>
      <c r="AG151" s="160"/>
      <c r="AH151" s="288"/>
      <c r="AI151" s="288"/>
      <c r="AJ151" s="288"/>
      <c r="AK151" s="165" t="s">
        <v>1791</v>
      </c>
      <c r="AL151" s="288"/>
      <c r="AM151" s="288"/>
      <c r="AN151" s="288"/>
      <c r="AO151" s="165"/>
      <c r="AP151" s="150"/>
      <c r="AQ151" s="165"/>
    </row>
    <row r="152">
      <c r="A152" s="244" t="s">
        <v>186</v>
      </c>
      <c r="B152" s="244" t="s">
        <v>187</v>
      </c>
      <c r="C152" s="175" t="str">
        <f>VLOOKUP(A152,Import!A:C,3,false)</f>
        <v>DOĞRU</v>
      </c>
      <c r="D152" s="303" t="s">
        <v>2664</v>
      </c>
      <c r="E152" s="280">
        <f>VLOOKUP(A152,Import!A:J,5,0)</f>
        <v>10949</v>
      </c>
      <c r="F152" s="280">
        <f>VLOOKUP(A152,Import!A:J,6,0)</f>
        <v>333</v>
      </c>
      <c r="G152" s="289">
        <f>VLOOKUP(A152,Import!A:J,7,0)</f>
        <v>3</v>
      </c>
      <c r="H152" s="289">
        <f>VLOOKUP(A152,Import!A:J,8,0)</f>
        <v>0</v>
      </c>
      <c r="I152" s="289">
        <f>VLOOKUP(A152,Import!A:J,9,0)</f>
        <v>3</v>
      </c>
      <c r="J152" s="282">
        <f>VLOOKUP(A152,Import!A:J,10,0)</f>
        <v>1</v>
      </c>
      <c r="K152" s="244" t="str">
        <f>VLOOKUP(A152,Import!A:P,11,0)</f>
        <v>Yusuf Dursun</v>
      </c>
      <c r="L152" s="304">
        <v>5.069633604E9</v>
      </c>
      <c r="M152" s="303" t="s">
        <v>2666</v>
      </c>
      <c r="N152" s="303" t="s">
        <v>2667</v>
      </c>
      <c r="O152" s="303" t="s">
        <v>189</v>
      </c>
      <c r="P152" s="244" t="str">
        <f>VLOOKUP(A152,Import!A:P,16,0)</f>
        <v>Geleneksel</v>
      </c>
      <c r="Q152" s="305" t="s">
        <v>2660</v>
      </c>
      <c r="R152" s="306" t="b">
        <v>1</v>
      </c>
      <c r="S152" s="307" t="b">
        <v>0</v>
      </c>
      <c r="T152" s="309" t="s">
        <v>2661</v>
      </c>
      <c r="U152" s="309"/>
      <c r="V152" s="309" t="s">
        <v>46</v>
      </c>
      <c r="W152" s="308"/>
      <c r="X152" s="310">
        <v>44231.0</v>
      </c>
      <c r="Y152" s="310">
        <v>44237.0</v>
      </c>
      <c r="Z152" s="288"/>
      <c r="AA152" s="288"/>
      <c r="AB152" s="288"/>
      <c r="AC152" s="288"/>
      <c r="AD152" s="288"/>
      <c r="AE152" s="160"/>
      <c r="AF152" s="288"/>
      <c r="AG152" s="160"/>
      <c r="AH152" s="288"/>
      <c r="AI152" s="288"/>
      <c r="AJ152" s="288"/>
      <c r="AK152" s="288"/>
      <c r="AL152" s="288"/>
      <c r="AM152" s="288"/>
      <c r="AN152" s="288"/>
      <c r="AO152" s="288"/>
      <c r="AP152" s="150" t="s">
        <v>2663</v>
      </c>
      <c r="AQ152" s="288"/>
    </row>
    <row r="153">
      <c r="A153" s="244" t="s">
        <v>3074</v>
      </c>
      <c r="B153" s="244" t="s">
        <v>3075</v>
      </c>
      <c r="C153" s="175" t="str">
        <f>VLOOKUP(A153,Import!A:C,3,false)</f>
        <v>DOĞRU</v>
      </c>
      <c r="D153" s="175" t="s">
        <v>2684</v>
      </c>
      <c r="E153" s="280">
        <f>VLOOKUP(A153,Import!A:J,5,0)</f>
        <v>13282</v>
      </c>
      <c r="F153" s="280">
        <f>VLOOKUP(A153,Import!A:J,6,0)</f>
        <v>189</v>
      </c>
      <c r="G153" s="289">
        <f>VLOOKUP(A153,Import!A:J,7,0)</f>
        <v>18</v>
      </c>
      <c r="H153" s="289">
        <f>VLOOKUP(A153,Import!A:J,8,0)</f>
        <v>3</v>
      </c>
      <c r="I153" s="289">
        <f>VLOOKUP(A153,Import!A:J,9,0)</f>
        <v>21</v>
      </c>
      <c r="J153" s="282">
        <f>VLOOKUP(A153,Import!A:J,10,0)</f>
        <v>0.86</v>
      </c>
      <c r="K153" s="244" t="str">
        <f>VLOOKUP(A153,Import!A:P,11,0)</f>
        <v>TURHAN GÜVENÇ SAYAN</v>
      </c>
      <c r="L153" s="283">
        <v>5.064031944E9</v>
      </c>
      <c r="M153" s="175" t="s">
        <v>2666</v>
      </c>
      <c r="N153" s="175" t="s">
        <v>2682</v>
      </c>
      <c r="O153" s="175" t="s">
        <v>3076</v>
      </c>
      <c r="P153" s="244" t="str">
        <f>VLOOKUP(A153,Import!A:P,16,0)</f>
        <v>Geleneksel</v>
      </c>
      <c r="Q153" s="284" t="s">
        <v>2760</v>
      </c>
      <c r="R153" s="285" t="b">
        <v>1</v>
      </c>
      <c r="S153" s="285" t="b">
        <v>1</v>
      </c>
      <c r="T153" s="298"/>
      <c r="U153" s="298"/>
      <c r="V153" s="298"/>
      <c r="W153" s="298"/>
      <c r="X153" s="299"/>
      <c r="Y153" s="299"/>
      <c r="Z153" s="288"/>
      <c r="AA153" s="288"/>
      <c r="AB153" s="288"/>
      <c r="AC153" s="288"/>
      <c r="AD153" s="288"/>
      <c r="AE153" s="160"/>
      <c r="AF153" s="288"/>
      <c r="AG153" s="160"/>
      <c r="AH153" s="288"/>
      <c r="AI153" s="288"/>
      <c r="AJ153" s="288"/>
      <c r="AK153" s="288"/>
      <c r="AL153" s="288"/>
      <c r="AM153" s="288"/>
      <c r="AN153" s="288"/>
      <c r="AO153" s="288"/>
      <c r="AP153" s="150" t="s">
        <v>2663</v>
      </c>
      <c r="AQ153" s="288"/>
    </row>
    <row r="154">
      <c r="A154" s="150" t="s">
        <v>2368</v>
      </c>
      <c r="B154" s="150" t="s">
        <v>2369</v>
      </c>
      <c r="C154" s="175" t="str">
        <f>VLOOKUP(A154,Import!A:C,3,false)</f>
        <v>DOĞRU</v>
      </c>
      <c r="D154" s="150" t="s">
        <v>2701</v>
      </c>
      <c r="E154" s="280">
        <f>VLOOKUP(A154,Import!A:J,5,0)</f>
        <v>5716</v>
      </c>
      <c r="F154" s="280">
        <f>VLOOKUP(A154,Import!A:J,6,0)</f>
        <v>219</v>
      </c>
      <c r="G154" s="289">
        <f>VLOOKUP(A154,Import!A:J,7,0)</f>
        <v>38</v>
      </c>
      <c r="H154" s="289">
        <f>VLOOKUP(A154,Import!A:J,8,0)</f>
        <v>3</v>
      </c>
      <c r="I154" s="289">
        <f>VLOOKUP(A154,Import!A:J,9,0)</f>
        <v>41</v>
      </c>
      <c r="J154" s="282">
        <f>VLOOKUP(A154,Import!A:J,10,0)</f>
        <v>0.93</v>
      </c>
      <c r="K154" s="290" t="s">
        <v>3077</v>
      </c>
      <c r="L154" s="150">
        <v>2.223321011E9</v>
      </c>
      <c r="M154" s="150" t="s">
        <v>2666</v>
      </c>
      <c r="N154" s="150" t="s">
        <v>2667</v>
      </c>
      <c r="O154" s="150" t="s">
        <v>2371</v>
      </c>
      <c r="P154" s="244" t="str">
        <f>VLOOKUP(A154,Import!A:P,16,0)</f>
        <v>Geleneksel</v>
      </c>
      <c r="Q154" s="291"/>
      <c r="R154" s="292" t="b">
        <v>1</v>
      </c>
      <c r="S154" s="293" t="b">
        <v>0</v>
      </c>
      <c r="T154" s="149" t="s">
        <v>2661</v>
      </c>
      <c r="U154" s="149" t="s">
        <v>819</v>
      </c>
      <c r="V154" s="149" t="s">
        <v>1609</v>
      </c>
      <c r="W154" s="149" t="s">
        <v>2370</v>
      </c>
      <c r="X154" s="294">
        <v>44571.0</v>
      </c>
      <c r="Y154" s="294">
        <v>44574.0</v>
      </c>
      <c r="Z154" s="288"/>
      <c r="AA154" s="165" t="s">
        <v>2669</v>
      </c>
      <c r="AB154" s="295">
        <v>44571.0</v>
      </c>
      <c r="AC154" s="288"/>
      <c r="AD154" s="288"/>
      <c r="AE154" s="160"/>
      <c r="AF154" s="288"/>
      <c r="AG154" s="160"/>
      <c r="AH154" s="288"/>
      <c r="AI154" s="288"/>
      <c r="AJ154" s="288"/>
      <c r="AK154" s="165" t="s">
        <v>819</v>
      </c>
      <c r="AL154" s="288"/>
      <c r="AM154" s="288"/>
      <c r="AN154" s="288"/>
      <c r="AO154" s="165"/>
      <c r="AP154" s="150"/>
      <c r="AQ154" s="165"/>
    </row>
    <row r="155">
      <c r="A155" s="150" t="s">
        <v>342</v>
      </c>
      <c r="B155" s="150" t="s">
        <v>343</v>
      </c>
      <c r="C155" s="175" t="str">
        <f>VLOOKUP(A155,Import!A:C,3,false)</f>
        <v>DOĞRU</v>
      </c>
      <c r="D155" s="150" t="s">
        <v>2850</v>
      </c>
      <c r="E155" s="280">
        <f>VLOOKUP(A155,Import!A:J,5,0)</f>
        <v>2647</v>
      </c>
      <c r="F155" s="280">
        <f>VLOOKUP(A155,Import!A:J,6,0)</f>
        <v>62</v>
      </c>
      <c r="G155" s="289">
        <f>VLOOKUP(A155,Import!A:J,7,0)</f>
        <v>13</v>
      </c>
      <c r="H155" s="289">
        <f>VLOOKUP(A155,Import!A:J,8,0)</f>
        <v>3</v>
      </c>
      <c r="I155" s="289">
        <f>VLOOKUP(A155,Import!A:J,9,0)</f>
        <v>16</v>
      </c>
      <c r="J155" s="282">
        <f>VLOOKUP(A155,Import!A:J,10,0)</f>
        <v>0.81</v>
      </c>
      <c r="K155" s="244" t="str">
        <f>VLOOKUP(A155,Import!A:P,11,0)</f>
        <v>CENGİZHAN BALABAN</v>
      </c>
      <c r="L155" s="150">
        <v>5.54572298E9</v>
      </c>
      <c r="M155" s="150" t="s">
        <v>2666</v>
      </c>
      <c r="N155" s="150" t="s">
        <v>3078</v>
      </c>
      <c r="O155" s="150" t="s">
        <v>3079</v>
      </c>
      <c r="P155" s="244" t="str">
        <f>VLOOKUP(A155,Import!A:P,16,0)</f>
        <v>Geleneksel</v>
      </c>
      <c r="Q155" s="291" t="s">
        <v>2660</v>
      </c>
      <c r="R155" s="292" t="b">
        <v>1</v>
      </c>
      <c r="S155" s="293" t="b">
        <v>0</v>
      </c>
      <c r="T155" s="149" t="s">
        <v>2661</v>
      </c>
      <c r="U155" s="149"/>
      <c r="V155" s="149" t="s">
        <v>13</v>
      </c>
      <c r="X155" s="294">
        <v>44238.0</v>
      </c>
      <c r="Y155" s="294">
        <v>44243.0</v>
      </c>
      <c r="Z155" s="288"/>
      <c r="AA155" s="288"/>
      <c r="AB155" s="288"/>
      <c r="AC155" s="288"/>
      <c r="AD155" s="288"/>
      <c r="AE155" s="160"/>
      <c r="AF155" s="288"/>
      <c r="AG155" s="160"/>
      <c r="AH155" s="288"/>
      <c r="AI155" s="288"/>
      <c r="AJ155" s="288"/>
      <c r="AK155" s="288"/>
      <c r="AL155" s="288"/>
      <c r="AM155" s="288"/>
      <c r="AN155" s="288"/>
      <c r="AO155" s="288"/>
      <c r="AP155" s="150" t="s">
        <v>2663</v>
      </c>
      <c r="AQ155" s="288"/>
    </row>
    <row r="156">
      <c r="A156" s="150" t="s">
        <v>3080</v>
      </c>
      <c r="B156" s="150" t="s">
        <v>3081</v>
      </c>
      <c r="C156" s="175" t="str">
        <f>VLOOKUP(A156,Import!A:C,3,false)</f>
        <v>DOĞRU</v>
      </c>
      <c r="D156" s="150" t="s">
        <v>2672</v>
      </c>
      <c r="E156" s="280">
        <f>VLOOKUP(A156,Import!A:J,5,0)</f>
        <v>439</v>
      </c>
      <c r="F156" s="280">
        <f>VLOOKUP(A156,Import!A:J,6,0)</f>
        <v>11</v>
      </c>
      <c r="G156" s="289">
        <f>VLOOKUP(A156,Import!A:J,7,0)</f>
        <v>0</v>
      </c>
      <c r="H156" s="289">
        <f>VLOOKUP(A156,Import!A:J,8,0)</f>
        <v>15</v>
      </c>
      <c r="I156" s="289">
        <f>VLOOKUP(A156,Import!A:J,9,0)</f>
        <v>15</v>
      </c>
      <c r="J156" s="282">
        <f>VLOOKUP(A156,Import!A:J,10,0)</f>
        <v>0</v>
      </c>
      <c r="K156" s="290" t="s">
        <v>3082</v>
      </c>
      <c r="L156" s="150">
        <v>2.225028686E9</v>
      </c>
      <c r="M156" s="150" t="s">
        <v>2666</v>
      </c>
      <c r="N156" s="150" t="s">
        <v>2721</v>
      </c>
      <c r="O156" s="150" t="s">
        <v>668</v>
      </c>
      <c r="P156" s="244" t="str">
        <f>VLOOKUP(A156,Import!A:P,16,0)</f>
        <v>Geleneksel</v>
      </c>
      <c r="Q156" s="291"/>
      <c r="R156" s="292" t="b">
        <v>1</v>
      </c>
      <c r="S156" s="293" t="b">
        <v>0</v>
      </c>
      <c r="T156" s="149" t="s">
        <v>2714</v>
      </c>
      <c r="U156" s="296"/>
      <c r="V156" s="296"/>
      <c r="W156" s="149" t="s">
        <v>3083</v>
      </c>
      <c r="X156" s="297"/>
      <c r="Y156" s="297"/>
      <c r="Z156" s="288"/>
      <c r="AA156" s="165" t="s">
        <v>2669</v>
      </c>
      <c r="AB156" s="295">
        <v>44593.0</v>
      </c>
      <c r="AC156" s="288"/>
      <c r="AD156" s="288"/>
      <c r="AE156" s="160"/>
      <c r="AF156" s="288"/>
      <c r="AG156" s="160"/>
      <c r="AH156" s="288"/>
      <c r="AI156" s="288"/>
      <c r="AJ156" s="288"/>
      <c r="AK156" s="165" t="s">
        <v>1717</v>
      </c>
      <c r="AL156" s="288"/>
      <c r="AM156" s="288"/>
      <c r="AN156" s="288"/>
      <c r="AO156" s="165"/>
      <c r="AP156" s="150"/>
      <c r="AQ156" s="165"/>
    </row>
    <row r="157">
      <c r="A157" s="244" t="s">
        <v>1124</v>
      </c>
      <c r="B157" s="244" t="s">
        <v>1125</v>
      </c>
      <c r="C157" s="175" t="str">
        <f>VLOOKUP(A157,Import!A:C,3,false)</f>
        <v>DOĞRU</v>
      </c>
      <c r="D157" s="362" t="s">
        <v>2658</v>
      </c>
      <c r="E157" s="280">
        <f>VLOOKUP(A157,Import!A:J,5,0)</f>
        <v>918</v>
      </c>
      <c r="F157" s="280">
        <f>VLOOKUP(A157,Import!A:J,6,0)</f>
        <v>13</v>
      </c>
      <c r="G157" s="289">
        <f>VLOOKUP(A157,Import!A:J,7,0)</f>
        <v>18</v>
      </c>
      <c r="H157" s="289">
        <f>VLOOKUP(A157,Import!A:J,8,0)</f>
        <v>8</v>
      </c>
      <c r="I157" s="289">
        <f>VLOOKUP(A157,Import!A:J,9,0)</f>
        <v>26</v>
      </c>
      <c r="J157" s="282">
        <f>VLOOKUP(A157,Import!A:J,10,0)</f>
        <v>0.69</v>
      </c>
      <c r="K157" s="244" t="str">
        <f>VLOOKUP(A157,Import!A:P,11,0)</f>
        <v>Musa Kaya</v>
      </c>
      <c r="L157" s="280">
        <v>5.529434015E9</v>
      </c>
      <c r="M157" s="244" t="s">
        <v>2666</v>
      </c>
      <c r="N157" s="244" t="s">
        <v>3084</v>
      </c>
      <c r="O157" s="244" t="s">
        <v>1127</v>
      </c>
      <c r="P157" s="244" t="str">
        <f>VLOOKUP(A157,Import!A:P,16,0)</f>
        <v>Geleneksel</v>
      </c>
      <c r="Q157" s="291" t="s">
        <v>2660</v>
      </c>
      <c r="R157" s="292" t="b">
        <v>1</v>
      </c>
      <c r="S157" s="293" t="b">
        <v>0</v>
      </c>
      <c r="T157" s="165" t="s">
        <v>2661</v>
      </c>
      <c r="U157" s="165" t="s">
        <v>1000</v>
      </c>
      <c r="V157" s="165" t="s">
        <v>46</v>
      </c>
      <c r="W157" s="165"/>
      <c r="X157" s="295">
        <v>44266.0</v>
      </c>
      <c r="Y157" s="295">
        <v>44267.0</v>
      </c>
      <c r="Z157" s="288"/>
      <c r="AA157" s="288"/>
      <c r="AB157" s="288"/>
      <c r="AC157" s="288"/>
      <c r="AD157" s="288"/>
      <c r="AE157" s="160"/>
      <c r="AF157" s="288"/>
      <c r="AG157" s="160"/>
      <c r="AH157" s="288"/>
      <c r="AI157" s="288"/>
      <c r="AJ157" s="288"/>
      <c r="AK157" s="288"/>
      <c r="AL157" s="288"/>
      <c r="AM157" s="288"/>
      <c r="AN157" s="288"/>
      <c r="AO157" s="288"/>
      <c r="AP157" s="150" t="s">
        <v>2663</v>
      </c>
      <c r="AQ157" s="288"/>
    </row>
    <row r="158">
      <c r="A158" s="150" t="s">
        <v>3085</v>
      </c>
      <c r="B158" s="150" t="s">
        <v>3086</v>
      </c>
      <c r="C158" s="175" t="str">
        <f>VLOOKUP(A158,Import!A:C,3,false)</f>
        <v>DOĞRU</v>
      </c>
      <c r="D158" s="150" t="s">
        <v>2867</v>
      </c>
      <c r="E158" s="280">
        <f>VLOOKUP(A158,Import!A:J,5,0)</f>
        <v>1314</v>
      </c>
      <c r="F158" s="280">
        <f>VLOOKUP(A158,Import!A:J,6,0)</f>
        <v>32</v>
      </c>
      <c r="G158" s="289">
        <f>VLOOKUP(A158,Import!A:J,7,0)</f>
        <v>0</v>
      </c>
      <c r="H158" s="289">
        <f>VLOOKUP(A158,Import!A:J,8,0)</f>
        <v>29</v>
      </c>
      <c r="I158" s="289">
        <f>VLOOKUP(A158,Import!A:J,9,0)</f>
        <v>29</v>
      </c>
      <c r="J158" s="282">
        <f>VLOOKUP(A158,Import!A:J,10,0)</f>
        <v>0</v>
      </c>
      <c r="K158" s="244" t="str">
        <f>VLOOKUP(A158,Import!A:P,11,0)</f>
        <v>ERMAN ACAY</v>
      </c>
      <c r="L158" s="150">
        <v>2.22239607E9</v>
      </c>
      <c r="M158" s="150" t="s">
        <v>1450</v>
      </c>
      <c r="N158" s="150" t="s">
        <v>2732</v>
      </c>
      <c r="O158" s="150" t="s">
        <v>3087</v>
      </c>
      <c r="P158" s="244" t="str">
        <f>VLOOKUP(A158,Import!A:P,16,0)</f>
        <v>Geleneksel</v>
      </c>
      <c r="Q158" s="291" t="s">
        <v>2713</v>
      </c>
      <c r="R158" s="292" t="b">
        <v>1</v>
      </c>
      <c r="S158" s="292" t="b">
        <v>1</v>
      </c>
      <c r="T158" s="296"/>
      <c r="U158" s="296"/>
      <c r="V158" s="296"/>
      <c r="W158" s="149" t="s">
        <v>3088</v>
      </c>
      <c r="X158" s="297"/>
      <c r="Y158" s="297"/>
      <c r="Z158" s="288"/>
      <c r="AA158" s="165" t="s">
        <v>2669</v>
      </c>
      <c r="AB158" s="295">
        <v>44494.0</v>
      </c>
      <c r="AC158" s="165" t="s">
        <v>2699</v>
      </c>
      <c r="AD158" s="295">
        <v>44525.0</v>
      </c>
      <c r="AE158" s="160"/>
      <c r="AF158" s="288"/>
      <c r="AG158" s="160"/>
      <c r="AH158" s="288"/>
      <c r="AI158" s="288"/>
      <c r="AJ158" s="288"/>
      <c r="AK158" s="165" t="s">
        <v>1791</v>
      </c>
      <c r="AL158" s="165" t="s">
        <v>1911</v>
      </c>
      <c r="AM158" s="288"/>
      <c r="AN158" s="288"/>
      <c r="AO158" s="288"/>
      <c r="AP158" s="150" t="s">
        <v>2663</v>
      </c>
      <c r="AQ158" s="288"/>
    </row>
    <row r="159">
      <c r="A159" s="150" t="s">
        <v>1764</v>
      </c>
      <c r="B159" s="150" t="s">
        <v>1765</v>
      </c>
      <c r="C159" s="175" t="str">
        <f>VLOOKUP(A159,Import!A:C,3,false)</f>
        <v>DOĞRU</v>
      </c>
      <c r="D159" s="150" t="s">
        <v>2664</v>
      </c>
      <c r="E159" s="280">
        <f>VLOOKUP(A159,Import!A:J,5,0)</f>
        <v>6095</v>
      </c>
      <c r="F159" s="280">
        <f>VLOOKUP(A159,Import!A:J,6,0)</f>
        <v>3</v>
      </c>
      <c r="G159" s="289">
        <f>VLOOKUP(A159,Import!A:J,7,0)</f>
        <v>67</v>
      </c>
      <c r="H159" s="289">
        <f>VLOOKUP(A159,Import!A:J,8,0)</f>
        <v>12</v>
      </c>
      <c r="I159" s="289">
        <f>VLOOKUP(A159,Import!A:J,9,0)</f>
        <v>79</v>
      </c>
      <c r="J159" s="282">
        <f>VLOOKUP(A159,Import!A:J,10,0)</f>
        <v>0.85</v>
      </c>
      <c r="K159" s="244" t="str">
        <f>VLOOKUP(A159,Import!A:P,11,0)</f>
        <v>Osman Çelik</v>
      </c>
      <c r="L159" s="150">
        <v>5.303677526E9</v>
      </c>
      <c r="M159" s="150" t="s">
        <v>2666</v>
      </c>
      <c r="N159" s="150" t="s">
        <v>2801</v>
      </c>
      <c r="O159" s="150" t="s">
        <v>1767</v>
      </c>
      <c r="P159" s="244" t="str">
        <f>VLOOKUP(A159,Import!A:P,16,0)</f>
        <v>Geleneksel</v>
      </c>
      <c r="Q159" s="291" t="s">
        <v>2713</v>
      </c>
      <c r="R159" s="292" t="b">
        <v>1</v>
      </c>
      <c r="S159" s="292" t="b">
        <v>0</v>
      </c>
      <c r="T159" s="149" t="s">
        <v>2661</v>
      </c>
      <c r="U159" s="149" t="s">
        <v>1754</v>
      </c>
      <c r="V159" s="361" t="s">
        <v>2802</v>
      </c>
      <c r="X159" s="294">
        <v>44490.0</v>
      </c>
      <c r="Y159" s="294">
        <v>44491.0</v>
      </c>
      <c r="Z159" s="288"/>
      <c r="AA159" s="165" t="s">
        <v>2669</v>
      </c>
      <c r="AB159" s="295">
        <v>44490.0</v>
      </c>
      <c r="AC159" s="288"/>
      <c r="AD159" s="288"/>
      <c r="AE159" s="160"/>
      <c r="AF159" s="288"/>
      <c r="AG159" s="160"/>
      <c r="AH159" s="288"/>
      <c r="AI159" s="288"/>
      <c r="AJ159" s="288"/>
      <c r="AK159" s="165" t="s">
        <v>1754</v>
      </c>
      <c r="AL159" s="288"/>
      <c r="AM159" s="288"/>
      <c r="AN159" s="288"/>
      <c r="AO159" s="288"/>
      <c r="AP159" s="150" t="s">
        <v>2663</v>
      </c>
      <c r="AQ159" s="288"/>
    </row>
    <row r="160">
      <c r="A160" s="147" t="s">
        <v>2060</v>
      </c>
      <c r="B160" s="147" t="s">
        <v>2061</v>
      </c>
      <c r="C160" s="175" t="str">
        <f>VLOOKUP(A160,Import!A:C,3,false)</f>
        <v>DOĞRU</v>
      </c>
      <c r="D160" s="147" t="s">
        <v>2706</v>
      </c>
      <c r="E160" s="280">
        <f>VLOOKUP(A160,Import!A:J,5,0)</f>
        <v>370</v>
      </c>
      <c r="F160" s="280">
        <f>VLOOKUP(A160,Import!A:J,6,0)</f>
        <v>3</v>
      </c>
      <c r="G160" s="289">
        <f>VLOOKUP(A160,Import!A:J,7,0)</f>
        <v>0</v>
      </c>
      <c r="H160" s="289">
        <f>VLOOKUP(A160,Import!A:J,8,0)</f>
        <v>26</v>
      </c>
      <c r="I160" s="289">
        <f>VLOOKUP(A160,Import!A:J,9,0)</f>
        <v>26</v>
      </c>
      <c r="J160" s="282">
        <f>VLOOKUP(A160,Import!A:J,10,0)</f>
        <v>0</v>
      </c>
      <c r="K160" s="244" t="str">
        <f>VLOOKUP(A160,Import!A:P,11,0)</f>
        <v>ÖMER FARUK ÖZDEMİRLİ</v>
      </c>
      <c r="L160" s="147">
        <v>2.2232395E9</v>
      </c>
      <c r="M160" s="147" t="s">
        <v>2666</v>
      </c>
      <c r="N160" s="147" t="s">
        <v>2855</v>
      </c>
      <c r="O160" s="147" t="s">
        <v>2056</v>
      </c>
      <c r="P160" s="244" t="str">
        <f>VLOOKUP(A160,Import!A:P,16,0)</f>
        <v>Geleneksel</v>
      </c>
      <c r="Q160" s="330"/>
      <c r="R160" s="292" t="b">
        <v>1</v>
      </c>
      <c r="S160" s="293" t="b">
        <v>0</v>
      </c>
      <c r="T160" s="149" t="s">
        <v>2668</v>
      </c>
      <c r="U160" s="149" t="s">
        <v>1717</v>
      </c>
      <c r="V160" s="181" t="s">
        <v>1609</v>
      </c>
      <c r="X160" s="294">
        <v>44532.0</v>
      </c>
      <c r="Y160" s="294">
        <v>44537.0</v>
      </c>
      <c r="Z160" s="288"/>
      <c r="AA160" s="165" t="s">
        <v>2669</v>
      </c>
      <c r="AB160" s="295">
        <v>44522.0</v>
      </c>
      <c r="AC160" s="165" t="s">
        <v>2669</v>
      </c>
      <c r="AD160" s="295">
        <v>44532.0</v>
      </c>
      <c r="AE160" s="160"/>
      <c r="AF160" s="288"/>
      <c r="AG160" s="160"/>
      <c r="AH160" s="288"/>
      <c r="AI160" s="288"/>
      <c r="AJ160" s="288"/>
      <c r="AK160" s="165" t="s">
        <v>1715</v>
      </c>
      <c r="AL160" s="165" t="s">
        <v>1717</v>
      </c>
      <c r="AM160" s="288"/>
      <c r="AN160" s="288"/>
      <c r="AO160" s="288"/>
      <c r="AP160" s="150" t="s">
        <v>2663</v>
      </c>
      <c r="AQ160" s="288"/>
    </row>
    <row r="161">
      <c r="A161" s="150" t="s">
        <v>3089</v>
      </c>
      <c r="B161" s="150" t="s">
        <v>3090</v>
      </c>
      <c r="C161" s="175" t="str">
        <f>VLOOKUP(A161,Import!A:C,3,false)</f>
        <v>DOĞRU</v>
      </c>
      <c r="D161" s="150" t="s">
        <v>2684</v>
      </c>
      <c r="E161" s="280">
        <f>VLOOKUP(A161,Import!A:J,5,0)</f>
        <v>1983</v>
      </c>
      <c r="F161" s="280">
        <f>VLOOKUP(A161,Import!A:J,6,0)</f>
        <v>312</v>
      </c>
      <c r="G161" s="289">
        <f>VLOOKUP(A161,Import!A:J,7,0)</f>
        <v>0</v>
      </c>
      <c r="H161" s="289">
        <f>VLOOKUP(A161,Import!A:J,8,0)</f>
        <v>19</v>
      </c>
      <c r="I161" s="289">
        <f>VLOOKUP(A161,Import!A:J,9,0)</f>
        <v>19</v>
      </c>
      <c r="J161" s="282">
        <f>VLOOKUP(A161,Import!A:J,10,0)</f>
        <v>0</v>
      </c>
      <c r="K161" s="290" t="s">
        <v>3091</v>
      </c>
      <c r="L161" s="150">
        <v>5.464886074E9</v>
      </c>
      <c r="M161" s="150" t="s">
        <v>1450</v>
      </c>
      <c r="N161" s="150" t="s">
        <v>2732</v>
      </c>
      <c r="O161" s="150" t="s">
        <v>3092</v>
      </c>
      <c r="P161" s="244" t="str">
        <f>VLOOKUP(A161,Import!A:P,16,0)</f>
        <v>Geleneksel</v>
      </c>
      <c r="Q161" s="291"/>
      <c r="R161" s="292" t="b">
        <v>1</v>
      </c>
      <c r="S161" s="293" t="b">
        <v>0</v>
      </c>
      <c r="T161" s="149" t="s">
        <v>2714</v>
      </c>
      <c r="U161" s="296"/>
      <c r="V161" s="296"/>
      <c r="W161" s="149" t="s">
        <v>3093</v>
      </c>
      <c r="X161" s="297"/>
      <c r="Y161" s="297"/>
      <c r="Z161" s="288"/>
      <c r="AA161" s="165" t="s">
        <v>2669</v>
      </c>
      <c r="AB161" s="295">
        <v>44568.0</v>
      </c>
      <c r="AC161" s="288"/>
      <c r="AD161" s="288"/>
      <c r="AE161" s="160"/>
      <c r="AF161" s="288"/>
      <c r="AG161" s="160"/>
      <c r="AH161" s="288"/>
      <c r="AI161" s="288"/>
      <c r="AJ161" s="288"/>
      <c r="AK161" s="165" t="s">
        <v>1717</v>
      </c>
      <c r="AL161" s="288"/>
      <c r="AM161" s="288"/>
      <c r="AN161" s="288"/>
      <c r="AO161" s="165"/>
      <c r="AP161" s="150"/>
      <c r="AQ161" s="165"/>
    </row>
    <row r="162">
      <c r="A162" s="150" t="s">
        <v>1943</v>
      </c>
      <c r="B162" s="150" t="s">
        <v>1944</v>
      </c>
      <c r="C162" s="175" t="str">
        <f>VLOOKUP(A162,Import!A:C,3,false)</f>
        <v>DOĞRU</v>
      </c>
      <c r="D162" s="150" t="s">
        <v>2672</v>
      </c>
      <c r="E162" s="280">
        <f>VLOOKUP(A162,Import!A:J,5,0)</f>
        <v>4548</v>
      </c>
      <c r="F162" s="280">
        <f>VLOOKUP(A162,Import!A:J,6,0)</f>
        <v>424</v>
      </c>
      <c r="G162" s="289">
        <f>VLOOKUP(A162,Import!A:J,7,0)</f>
        <v>8</v>
      </c>
      <c r="H162" s="289">
        <f>VLOOKUP(A162,Import!A:J,8,0)</f>
        <v>3</v>
      </c>
      <c r="I162" s="289">
        <f>VLOOKUP(A162,Import!A:J,9,0)</f>
        <v>11</v>
      </c>
      <c r="J162" s="282">
        <f>VLOOKUP(A162,Import!A:J,10,0)</f>
        <v>0.73</v>
      </c>
      <c r="K162" s="290" t="s">
        <v>3094</v>
      </c>
      <c r="L162" s="150">
        <v>5.395072904E9</v>
      </c>
      <c r="M162" s="150" t="s">
        <v>2666</v>
      </c>
      <c r="N162" s="150" t="s">
        <v>2750</v>
      </c>
      <c r="O162" s="150" t="s">
        <v>1946</v>
      </c>
      <c r="P162" s="244" t="str">
        <f>VLOOKUP(A162,Import!A:P,16,0)</f>
        <v>Geleneksel</v>
      </c>
      <c r="Q162" s="291"/>
      <c r="R162" s="292" t="b">
        <v>1</v>
      </c>
      <c r="S162" s="293" t="b">
        <v>0</v>
      </c>
      <c r="T162" s="149" t="s">
        <v>2661</v>
      </c>
      <c r="U162" s="149" t="s">
        <v>1621</v>
      </c>
      <c r="V162" s="356" t="s">
        <v>1609</v>
      </c>
      <c r="W162" s="149"/>
      <c r="X162" s="294">
        <v>44516.0</v>
      </c>
      <c r="Y162" s="294">
        <v>44517.0</v>
      </c>
      <c r="Z162" s="288"/>
      <c r="AA162" s="165" t="s">
        <v>2669</v>
      </c>
      <c r="AB162" s="295">
        <v>44516.0</v>
      </c>
      <c r="AC162" s="288"/>
      <c r="AD162" s="288"/>
      <c r="AE162" s="160"/>
      <c r="AF162" s="288"/>
      <c r="AG162" s="160"/>
      <c r="AH162" s="288"/>
      <c r="AI162" s="288"/>
      <c r="AJ162" s="288"/>
      <c r="AK162" s="165" t="s">
        <v>1621</v>
      </c>
      <c r="AL162" s="288"/>
      <c r="AM162" s="288"/>
      <c r="AN162" s="288"/>
      <c r="AO162" s="288"/>
      <c r="AP162" s="150" t="s">
        <v>2663</v>
      </c>
      <c r="AQ162" s="288"/>
    </row>
    <row r="163">
      <c r="A163" s="244" t="s">
        <v>1788</v>
      </c>
      <c r="B163" s="244" t="s">
        <v>1789</v>
      </c>
      <c r="C163" s="175" t="str">
        <f>VLOOKUP(A163,Import!A:C,3,false)</f>
        <v>DOĞRU</v>
      </c>
      <c r="D163" s="303" t="s">
        <v>2706</v>
      </c>
      <c r="E163" s="280">
        <f>VLOOKUP(A163,Import!A:J,5,0)</f>
        <v>260</v>
      </c>
      <c r="F163" s="280">
        <f>VLOOKUP(A163,Import!A:J,6,0)</f>
        <v>12</v>
      </c>
      <c r="G163" s="289">
        <f>VLOOKUP(A163,Import!A:J,7,0)</f>
        <v>0</v>
      </c>
      <c r="H163" s="289">
        <f>VLOOKUP(A163,Import!A:J,8,0)</f>
        <v>40</v>
      </c>
      <c r="I163" s="289">
        <f>VLOOKUP(A163,Import!A:J,9,0)</f>
        <v>40</v>
      </c>
      <c r="J163" s="282">
        <f>VLOOKUP(A163,Import!A:J,10,0)</f>
        <v>0</v>
      </c>
      <c r="K163" s="244" t="str">
        <f>VLOOKUP(A163,Import!A:P,11,0)</f>
        <v>Ahmet Ekin Özmen</v>
      </c>
      <c r="L163" s="304">
        <v>2.222393906E9</v>
      </c>
      <c r="M163" s="303" t="s">
        <v>1450</v>
      </c>
      <c r="N163" s="303" t="s">
        <v>2732</v>
      </c>
      <c r="O163" s="303" t="s">
        <v>3095</v>
      </c>
      <c r="P163" s="244" t="str">
        <f>VLOOKUP(A163,Import!A:P,16,0)</f>
        <v>Geleneksel</v>
      </c>
      <c r="Q163" s="305" t="s">
        <v>2686</v>
      </c>
      <c r="R163" s="306" t="b">
        <v>1</v>
      </c>
      <c r="S163" s="307" t="b">
        <v>0</v>
      </c>
      <c r="T163" s="309" t="s">
        <v>2770</v>
      </c>
      <c r="U163" s="309" t="s">
        <v>1717</v>
      </c>
      <c r="V163" s="363" t="s">
        <v>1609</v>
      </c>
      <c r="W163" s="309" t="s">
        <v>3096</v>
      </c>
      <c r="X163" s="310">
        <v>44488.0</v>
      </c>
      <c r="Y163" s="310">
        <v>44495.0</v>
      </c>
      <c r="Z163" s="288"/>
      <c r="AA163" s="165" t="s">
        <v>2772</v>
      </c>
      <c r="AB163" s="295">
        <v>44488.0</v>
      </c>
      <c r="AC163" s="165" t="s">
        <v>2669</v>
      </c>
      <c r="AD163" s="295">
        <v>44488.0</v>
      </c>
      <c r="AE163" s="165" t="s">
        <v>2669</v>
      </c>
      <c r="AF163" s="295">
        <v>44496.0</v>
      </c>
      <c r="AG163" s="165" t="s">
        <v>2669</v>
      </c>
      <c r="AH163" s="295">
        <v>44541.0</v>
      </c>
      <c r="AI163" s="165" t="s">
        <v>2669</v>
      </c>
      <c r="AJ163" s="295">
        <v>44641.0</v>
      </c>
      <c r="AK163" s="165" t="s">
        <v>1717</v>
      </c>
      <c r="AL163" s="165" t="s">
        <v>1717</v>
      </c>
      <c r="AM163" s="165" t="s">
        <v>1717</v>
      </c>
      <c r="AN163" s="165" t="s">
        <v>2161</v>
      </c>
      <c r="AO163" s="165" t="s">
        <v>1791</v>
      </c>
      <c r="AP163" s="150" t="s">
        <v>2663</v>
      </c>
      <c r="AQ163" s="288"/>
    </row>
    <row r="164">
      <c r="A164" s="150" t="s">
        <v>1552</v>
      </c>
      <c r="B164" s="150" t="s">
        <v>1553</v>
      </c>
      <c r="C164" s="175" t="str">
        <f>VLOOKUP(A164,Import!A:C,3,false)</f>
        <v>DOĞRU</v>
      </c>
      <c r="D164" s="150" t="s">
        <v>2867</v>
      </c>
      <c r="E164" s="280">
        <f>VLOOKUP(A164,Import!A:J,5,0)</f>
        <v>2928</v>
      </c>
      <c r="F164" s="280">
        <f>VLOOKUP(A164,Import!A:J,6,0)</f>
        <v>195</v>
      </c>
      <c r="G164" s="289">
        <f>VLOOKUP(A164,Import!A:J,7,0)</f>
        <v>34</v>
      </c>
      <c r="H164" s="289">
        <f>VLOOKUP(A164,Import!A:J,8,0)</f>
        <v>18</v>
      </c>
      <c r="I164" s="289">
        <f>VLOOKUP(A164,Import!A:J,9,0)</f>
        <v>52</v>
      </c>
      <c r="J164" s="282">
        <f>VLOOKUP(A164,Import!A:J,10,0)</f>
        <v>0.65</v>
      </c>
      <c r="K164" s="244" t="str">
        <f>VLOOKUP(A164,Import!A:P,11,0)</f>
        <v>Ümitcan Akçardak</v>
      </c>
      <c r="L164" s="150">
        <v>2.224056148E9</v>
      </c>
      <c r="M164" s="150" t="s">
        <v>1450</v>
      </c>
      <c r="N164" s="150" t="s">
        <v>2716</v>
      </c>
      <c r="O164" s="150" t="s">
        <v>1555</v>
      </c>
      <c r="P164" s="244" t="str">
        <f>VLOOKUP(A164,Import!A:P,16,0)</f>
        <v>Geleneksel</v>
      </c>
      <c r="Q164" s="291"/>
      <c r="R164" s="292" t="b">
        <v>1</v>
      </c>
      <c r="S164" s="293" t="b">
        <v>0</v>
      </c>
      <c r="T164" s="149" t="s">
        <v>2770</v>
      </c>
      <c r="U164" s="149" t="s">
        <v>2718</v>
      </c>
      <c r="V164" s="296"/>
      <c r="W164" s="149" t="s">
        <v>3097</v>
      </c>
      <c r="X164" s="294">
        <v>44379.0</v>
      </c>
      <c r="Y164" s="294">
        <v>44384.0</v>
      </c>
      <c r="Z164" s="288"/>
      <c r="AA164" s="165" t="s">
        <v>2772</v>
      </c>
      <c r="AB164" s="295">
        <v>44379.0</v>
      </c>
      <c r="AC164" s="165" t="s">
        <v>2669</v>
      </c>
      <c r="AD164" s="295">
        <v>44379.0</v>
      </c>
      <c r="AE164" s="165" t="s">
        <v>2669</v>
      </c>
      <c r="AF164" s="295">
        <v>44483.0</v>
      </c>
      <c r="AG164" s="165" t="s">
        <v>2669</v>
      </c>
      <c r="AH164" s="295">
        <v>44487.0</v>
      </c>
      <c r="AI164" s="165" t="s">
        <v>2669</v>
      </c>
      <c r="AJ164" s="295">
        <v>44592.0</v>
      </c>
      <c r="AK164" s="165" t="s">
        <v>2718</v>
      </c>
      <c r="AL164" s="165" t="s">
        <v>2718</v>
      </c>
      <c r="AM164" s="165" t="s">
        <v>943</v>
      </c>
      <c r="AN164" s="165" t="s">
        <v>1715</v>
      </c>
      <c r="AO164" s="165" t="s">
        <v>1791</v>
      </c>
      <c r="AP164" s="150" t="s">
        <v>2663</v>
      </c>
      <c r="AQ164" s="165"/>
    </row>
    <row r="165">
      <c r="A165" s="150" t="s">
        <v>3098</v>
      </c>
      <c r="B165" s="150" t="s">
        <v>3099</v>
      </c>
      <c r="C165" s="175" t="str">
        <f>VLOOKUP(A165,Import!A:C,3,false)</f>
        <v>DOĞRU</v>
      </c>
      <c r="D165" s="150" t="s">
        <v>2867</v>
      </c>
      <c r="E165" s="280">
        <f>VLOOKUP(A165,Import!A:J,5,0)</f>
        <v>187</v>
      </c>
      <c r="F165" s="280">
        <f>VLOOKUP(A165,Import!A:J,6,0)</f>
        <v>30</v>
      </c>
      <c r="G165" s="289">
        <f>VLOOKUP(A165,Import!A:J,7,0)</f>
        <v>34</v>
      </c>
      <c r="H165" s="289">
        <f>VLOOKUP(A165,Import!A:J,8,0)</f>
        <v>18</v>
      </c>
      <c r="I165" s="289">
        <f>VLOOKUP(A165,Import!A:J,9,0)</f>
        <v>52</v>
      </c>
      <c r="J165" s="282">
        <f>VLOOKUP(A165,Import!A:J,10,0)</f>
        <v>0.65</v>
      </c>
      <c r="K165" s="290" t="s">
        <v>3100</v>
      </c>
      <c r="L165" s="150">
        <v>5.536962626E9</v>
      </c>
      <c r="M165" s="150" t="s">
        <v>1450</v>
      </c>
      <c r="N165" s="150" t="s">
        <v>2700</v>
      </c>
      <c r="O165" s="150" t="s">
        <v>3101</v>
      </c>
      <c r="P165" s="244" t="str">
        <f>VLOOKUP(A165,Import!A:P,16,0)</f>
        <v>Geleneksel</v>
      </c>
      <c r="Q165" s="291"/>
      <c r="R165" s="292" t="b">
        <v>1</v>
      </c>
      <c r="S165" s="292" t="b">
        <v>1</v>
      </c>
      <c r="T165" s="149"/>
      <c r="U165" s="296"/>
      <c r="V165" s="296"/>
      <c r="W165" s="149" t="s">
        <v>3102</v>
      </c>
      <c r="X165" s="297"/>
      <c r="Y165" s="297"/>
      <c r="Z165" s="288"/>
      <c r="AA165" s="165" t="s">
        <v>2669</v>
      </c>
      <c r="AB165" s="295">
        <v>44620.0</v>
      </c>
      <c r="AC165" s="288"/>
      <c r="AD165" s="288"/>
      <c r="AE165" s="160"/>
      <c r="AF165" s="288"/>
      <c r="AG165" s="160"/>
      <c r="AH165" s="288"/>
      <c r="AI165" s="288"/>
      <c r="AJ165" s="288"/>
      <c r="AK165" s="165" t="s">
        <v>819</v>
      </c>
      <c r="AL165" s="288"/>
      <c r="AM165" s="288"/>
      <c r="AN165" s="288"/>
      <c r="AO165" s="165"/>
      <c r="AP165" s="150"/>
      <c r="AQ165" s="165"/>
    </row>
    <row r="166">
      <c r="A166" s="150" t="s">
        <v>3103</v>
      </c>
      <c r="B166" s="150" t="s">
        <v>3104</v>
      </c>
      <c r="C166" s="175" t="str">
        <f>VLOOKUP(A166,Import!A:C,3,false)</f>
        <v>DOĞRU</v>
      </c>
      <c r="D166" s="150" t="s">
        <v>2658</v>
      </c>
      <c r="E166" s="280">
        <f>VLOOKUP(A166,Import!A:J,5,0)</f>
        <v>1</v>
      </c>
      <c r="F166" s="280">
        <f>VLOOKUP(A166,Import!A:J,6,0)</f>
        <v>1</v>
      </c>
      <c r="G166" s="289">
        <f>VLOOKUP(A166,Import!A:J,7,0)</f>
        <v>0</v>
      </c>
      <c r="H166" s="289">
        <f>VLOOKUP(A166,Import!A:J,8,0)</f>
        <v>32</v>
      </c>
      <c r="I166" s="289">
        <f>VLOOKUP(A166,Import!A:J,9,0)</f>
        <v>32</v>
      </c>
      <c r="J166" s="282">
        <f>VLOOKUP(A166,Import!A:J,10,0)</f>
        <v>0</v>
      </c>
      <c r="K166" s="150" t="s">
        <v>3105</v>
      </c>
      <c r="L166" s="150">
        <v>5.537697542E9</v>
      </c>
      <c r="M166" s="150" t="s">
        <v>2666</v>
      </c>
      <c r="N166" s="150" t="s">
        <v>2667</v>
      </c>
      <c r="O166" s="150" t="s">
        <v>3106</v>
      </c>
      <c r="P166" s="244" t="str">
        <f>VLOOKUP(A166,Import!A:P,16,0)</f>
        <v>Geleneksel</v>
      </c>
      <c r="Q166" s="291"/>
      <c r="R166" s="292" t="b">
        <v>0</v>
      </c>
      <c r="S166" s="293" t="b">
        <v>0</v>
      </c>
      <c r="T166" s="149"/>
      <c r="U166" s="296"/>
      <c r="V166" s="312"/>
      <c r="W166" s="149"/>
      <c r="X166" s="297"/>
      <c r="Y166" s="297"/>
      <c r="Z166" s="288"/>
      <c r="AA166" s="165"/>
      <c r="AB166" s="295"/>
      <c r="AC166" s="288"/>
      <c r="AD166" s="288"/>
      <c r="AE166" s="160"/>
      <c r="AF166" s="288"/>
      <c r="AG166" s="160"/>
      <c r="AH166" s="288"/>
      <c r="AI166" s="288"/>
      <c r="AJ166" s="288"/>
      <c r="AK166" s="165"/>
      <c r="AL166" s="288"/>
      <c r="AM166" s="288"/>
      <c r="AN166" s="288"/>
      <c r="AO166" s="165"/>
      <c r="AP166" s="150"/>
      <c r="AQ166" s="165"/>
    </row>
    <row r="167">
      <c r="A167" s="150" t="s">
        <v>1602</v>
      </c>
      <c r="B167" s="150" t="s">
        <v>1603</v>
      </c>
      <c r="C167" s="175" t="str">
        <f>VLOOKUP(A167,Import!A:C,3,false)</f>
        <v>YANLIŞ</v>
      </c>
      <c r="D167" s="150" t="s">
        <v>2701</v>
      </c>
      <c r="E167" s="280">
        <f>VLOOKUP(A167,Import!A:J,5,0)</f>
        <v>297</v>
      </c>
      <c r="F167" s="280" t="str">
        <f>VLOOKUP(A167,Import!A:J,6,0)</f>
        <v/>
      </c>
      <c r="G167" s="289">
        <f>VLOOKUP(A167,Import!A:J,7,0)</f>
        <v>0</v>
      </c>
      <c r="H167" s="289">
        <f>VLOOKUP(A167,Import!A:J,8,0)</f>
        <v>10</v>
      </c>
      <c r="I167" s="289">
        <f>VLOOKUP(A167,Import!A:J,9,0)</f>
        <v>10</v>
      </c>
      <c r="J167" s="282">
        <f>VLOOKUP(A167,Import!A:J,10,0)</f>
        <v>0</v>
      </c>
      <c r="K167" s="244" t="str">
        <f>VLOOKUP(A167,Import!A:P,11,0)</f>
        <v>Fetihe Eda Önvar</v>
      </c>
      <c r="L167" s="150">
        <v>5.511074107E9</v>
      </c>
      <c r="M167" s="150" t="s">
        <v>2666</v>
      </c>
      <c r="N167" s="150" t="s">
        <v>2711</v>
      </c>
      <c r="O167" s="150" t="s">
        <v>1605</v>
      </c>
      <c r="P167" s="244" t="str">
        <f>VLOOKUP(A167,Import!A:P,16,0)</f>
        <v>Geleneksel</v>
      </c>
      <c r="Q167" s="291"/>
      <c r="R167" s="292" t="b">
        <v>1</v>
      </c>
      <c r="S167" s="293" t="b">
        <v>0</v>
      </c>
      <c r="T167" s="149" t="s">
        <v>2714</v>
      </c>
      <c r="U167" s="149" t="s">
        <v>1715</v>
      </c>
      <c r="V167" s="269" t="s">
        <v>1609</v>
      </c>
      <c r="W167" s="149" t="s">
        <v>3107</v>
      </c>
      <c r="X167" s="294">
        <v>44529.0</v>
      </c>
      <c r="Y167" s="294">
        <v>44531.0</v>
      </c>
      <c r="Z167" s="165" t="s">
        <v>2907</v>
      </c>
      <c r="AA167" s="165" t="s">
        <v>2669</v>
      </c>
      <c r="AB167" s="295">
        <v>44378.0</v>
      </c>
      <c r="AC167" s="165" t="s">
        <v>2693</v>
      </c>
      <c r="AD167" s="295">
        <v>44511.0</v>
      </c>
      <c r="AE167" s="165" t="s">
        <v>2669</v>
      </c>
      <c r="AF167" s="295">
        <v>44529.0</v>
      </c>
      <c r="AG167" s="165" t="s">
        <v>2693</v>
      </c>
      <c r="AH167" s="295">
        <v>44574.0</v>
      </c>
      <c r="AI167" s="165" t="s">
        <v>2669</v>
      </c>
      <c r="AJ167" s="295">
        <v>44576.0</v>
      </c>
      <c r="AK167" s="165" t="s">
        <v>2718</v>
      </c>
      <c r="AL167" s="165" t="s">
        <v>1911</v>
      </c>
      <c r="AM167" s="165" t="s">
        <v>1715</v>
      </c>
      <c r="AN167" s="165" t="s">
        <v>1715</v>
      </c>
      <c r="AO167" s="165" t="s">
        <v>1715</v>
      </c>
      <c r="AP167" s="150" t="s">
        <v>2663</v>
      </c>
      <c r="AQ167" s="288"/>
    </row>
    <row r="168">
      <c r="A168" s="244" t="s">
        <v>3108</v>
      </c>
      <c r="B168" s="244" t="s">
        <v>3109</v>
      </c>
      <c r="C168" s="175" t="str">
        <f>VLOOKUP(A168,Import!A:C,3,false)</f>
        <v>DOĞRU</v>
      </c>
      <c r="D168" s="362" t="s">
        <v>2684</v>
      </c>
      <c r="E168" s="280">
        <f>VLOOKUP(A168,Import!A:J,5,0)</f>
        <v>8740</v>
      </c>
      <c r="F168" s="280" t="str">
        <f>VLOOKUP(A168,Import!A:J,6,0)</f>
        <v/>
      </c>
      <c r="G168" s="289">
        <f>VLOOKUP(A168,Import!A:J,7,0)</f>
        <v>0</v>
      </c>
      <c r="H168" s="289">
        <f>VLOOKUP(A168,Import!A:J,8,0)</f>
        <v>15</v>
      </c>
      <c r="I168" s="289">
        <f>VLOOKUP(A168,Import!A:J,9,0)</f>
        <v>15</v>
      </c>
      <c r="J168" s="282">
        <f>VLOOKUP(A168,Import!A:J,10,0)</f>
        <v>0</v>
      </c>
      <c r="K168" s="244" t="str">
        <f>VLOOKUP(A168,Import!A:P,11,0)</f>
        <v>GÜZİN ATICI</v>
      </c>
      <c r="L168" s="280">
        <v>5.465505547E9</v>
      </c>
      <c r="M168" s="244" t="s">
        <v>1450</v>
      </c>
      <c r="N168" s="244" t="s">
        <v>2700</v>
      </c>
      <c r="O168" s="244" t="s">
        <v>3110</v>
      </c>
      <c r="P168" s="244" t="str">
        <f>VLOOKUP(A168,Import!A:P,16,0)</f>
        <v>Geleneksel</v>
      </c>
      <c r="Q168" s="291" t="s">
        <v>2686</v>
      </c>
      <c r="R168" s="292" t="b">
        <v>1</v>
      </c>
      <c r="S168" s="292" t="b">
        <v>0</v>
      </c>
      <c r="T168" s="165" t="s">
        <v>3111</v>
      </c>
      <c r="U168" s="165" t="s">
        <v>1000</v>
      </c>
      <c r="V168" s="364"/>
      <c r="W168" s="165" t="s">
        <v>3112</v>
      </c>
      <c r="X168" s="288"/>
      <c r="Y168" s="288"/>
      <c r="Z168" s="288"/>
      <c r="AA168" s="165" t="s">
        <v>2669</v>
      </c>
      <c r="AB168" s="295">
        <v>44377.0</v>
      </c>
      <c r="AC168" s="288"/>
      <c r="AD168" s="288"/>
      <c r="AE168" s="160"/>
      <c r="AF168" s="288"/>
      <c r="AG168" s="160"/>
      <c r="AH168" s="288"/>
      <c r="AI168" s="288"/>
      <c r="AJ168" s="288"/>
      <c r="AK168" s="165" t="s">
        <v>2913</v>
      </c>
      <c r="AL168" s="288"/>
      <c r="AM168" s="288"/>
      <c r="AN168" s="288"/>
      <c r="AO168" s="288"/>
      <c r="AP168" s="150" t="s">
        <v>2663</v>
      </c>
      <c r="AQ168" s="288"/>
    </row>
    <row r="169">
      <c r="A169" s="147" t="s">
        <v>1424</v>
      </c>
      <c r="B169" s="147" t="s">
        <v>1425</v>
      </c>
      <c r="C169" s="175" t="str">
        <f>VLOOKUP(A169,Import!A:C,3,false)</f>
        <v>DOĞRU</v>
      </c>
      <c r="D169" s="147" t="s">
        <v>2763</v>
      </c>
      <c r="E169" s="280">
        <f>VLOOKUP(A169,Import!A:J,5,0)</f>
        <v>1902</v>
      </c>
      <c r="F169" s="280">
        <f>VLOOKUP(A169,Import!A:J,6,0)</f>
        <v>87</v>
      </c>
      <c r="G169" s="289">
        <f>VLOOKUP(A169,Import!A:J,7,0)</f>
        <v>11</v>
      </c>
      <c r="H169" s="289">
        <f>VLOOKUP(A169,Import!A:J,8,0)</f>
        <v>7</v>
      </c>
      <c r="I169" s="289">
        <f>VLOOKUP(A169,Import!A:J,9,0)</f>
        <v>18</v>
      </c>
      <c r="J169" s="282">
        <f>VLOOKUP(A169,Import!A:J,10,0)</f>
        <v>0.61</v>
      </c>
      <c r="K169" s="244" t="str">
        <f>VLOOKUP(A169,Import!A:P,11,0)</f>
        <v>RAHİME KELEK</v>
      </c>
      <c r="L169" s="147">
        <v>5.372058674E9</v>
      </c>
      <c r="M169" s="147" t="s">
        <v>1450</v>
      </c>
      <c r="N169" s="147" t="s">
        <v>2703</v>
      </c>
      <c r="O169" s="147" t="s">
        <v>1427</v>
      </c>
      <c r="P169" s="244" t="str">
        <f>VLOOKUP(A169,Import!A:P,16,0)</f>
        <v>Geleneksel</v>
      </c>
      <c r="Q169" s="330"/>
      <c r="R169" s="292" t="b">
        <v>1</v>
      </c>
      <c r="S169" s="292" t="b">
        <v>0</v>
      </c>
      <c r="T169" s="149" t="s">
        <v>2661</v>
      </c>
      <c r="U169" s="149" t="s">
        <v>819</v>
      </c>
      <c r="V169" s="149" t="s">
        <v>1343</v>
      </c>
      <c r="W169" s="149" t="s">
        <v>3113</v>
      </c>
      <c r="X169" s="294">
        <v>44336.0</v>
      </c>
      <c r="Y169" s="294">
        <v>44339.0</v>
      </c>
      <c r="Z169" s="288"/>
      <c r="AA169" s="288"/>
      <c r="AB169" s="288"/>
      <c r="AC169" s="288"/>
      <c r="AD169" s="288"/>
      <c r="AE169" s="160"/>
      <c r="AF169" s="288"/>
      <c r="AG169" s="160"/>
      <c r="AH169" s="288"/>
      <c r="AI169" s="288"/>
      <c r="AJ169" s="288"/>
      <c r="AK169" s="288"/>
      <c r="AL169" s="288"/>
      <c r="AM169" s="288"/>
      <c r="AN169" s="288"/>
      <c r="AO169" s="288"/>
      <c r="AP169" s="150" t="s">
        <v>2663</v>
      </c>
      <c r="AQ169" s="288"/>
    </row>
    <row r="170">
      <c r="A170" s="150" t="s">
        <v>3114</v>
      </c>
      <c r="B170" s="150" t="s">
        <v>3115</v>
      </c>
      <c r="C170" s="175" t="str">
        <f>VLOOKUP(A170,Import!A:C,3,false)</f>
        <v>DOĞRU</v>
      </c>
      <c r="D170" s="150" t="s">
        <v>2978</v>
      </c>
      <c r="E170" s="280">
        <f>VLOOKUP(A170,Import!A:J,5,0)</f>
        <v>50</v>
      </c>
      <c r="F170" s="280" t="str">
        <f>VLOOKUP(A170,Import!A:J,6,0)</f>
        <v/>
      </c>
      <c r="G170" s="289">
        <f>VLOOKUP(A170,Import!A:J,7,0)</f>
        <v>0</v>
      </c>
      <c r="H170" s="289">
        <f>VLOOKUP(A170,Import!A:J,8,0)</f>
        <v>33</v>
      </c>
      <c r="I170" s="289">
        <f>VLOOKUP(A170,Import!A:J,9,0)</f>
        <v>33</v>
      </c>
      <c r="J170" s="282">
        <f>VLOOKUP(A170,Import!A:J,10,0)</f>
        <v>0</v>
      </c>
      <c r="K170" s="290" t="s">
        <v>3116</v>
      </c>
      <c r="L170" s="150">
        <v>5.316909424E9</v>
      </c>
      <c r="M170" s="150" t="s">
        <v>2666</v>
      </c>
      <c r="N170" s="150" t="s">
        <v>3084</v>
      </c>
      <c r="O170" s="150" t="s">
        <v>3117</v>
      </c>
      <c r="P170" s="244" t="str">
        <f>VLOOKUP(A170,Import!A:P,16,0)</f>
        <v>Geleneksel</v>
      </c>
      <c r="Q170" s="291"/>
      <c r="R170" s="292" t="b">
        <v>1</v>
      </c>
      <c r="S170" s="293" t="b">
        <v>0</v>
      </c>
      <c r="T170" s="149" t="s">
        <v>2770</v>
      </c>
      <c r="U170" s="296"/>
      <c r="V170" s="296"/>
      <c r="W170" s="149" t="s">
        <v>3118</v>
      </c>
      <c r="X170" s="297"/>
      <c r="Y170" s="297"/>
      <c r="Z170" s="288"/>
      <c r="AA170" s="165" t="s">
        <v>2669</v>
      </c>
      <c r="AB170" s="295">
        <v>44565.0</v>
      </c>
      <c r="AC170" s="288"/>
      <c r="AD170" s="288"/>
      <c r="AE170" s="160"/>
      <c r="AF170" s="288"/>
      <c r="AG170" s="160"/>
      <c r="AH170" s="288"/>
      <c r="AI170" s="288"/>
      <c r="AJ170" s="288"/>
      <c r="AK170" s="165" t="s">
        <v>1715</v>
      </c>
      <c r="AL170" s="288"/>
      <c r="AM170" s="288"/>
      <c r="AN170" s="288"/>
      <c r="AO170" s="165"/>
      <c r="AP170" s="150" t="s">
        <v>2663</v>
      </c>
      <c r="AQ170" s="165"/>
    </row>
    <row r="171">
      <c r="A171" s="150" t="s">
        <v>3119</v>
      </c>
      <c r="B171" s="150" t="s">
        <v>3120</v>
      </c>
      <c r="C171" s="175" t="str">
        <f>VLOOKUP(A171,Import!A:C,3,false)</f>
        <v>DOĞRU</v>
      </c>
      <c r="D171" s="150" t="s">
        <v>2684</v>
      </c>
      <c r="E171" s="280">
        <f>VLOOKUP(A171,Import!A:J,5,0)</f>
        <v>7316</v>
      </c>
      <c r="F171" s="280">
        <f>VLOOKUP(A171,Import!A:J,6,0)</f>
        <v>392</v>
      </c>
      <c r="G171" s="289">
        <f>VLOOKUP(A171,Import!A:J,7,0)</f>
        <v>39</v>
      </c>
      <c r="H171" s="289">
        <f>VLOOKUP(A171,Import!A:J,8,0)</f>
        <v>2</v>
      </c>
      <c r="I171" s="289">
        <f>VLOOKUP(A171,Import!A:J,9,0)</f>
        <v>41</v>
      </c>
      <c r="J171" s="282">
        <f>VLOOKUP(A171,Import!A:J,10,0)</f>
        <v>0.95</v>
      </c>
      <c r="K171" s="244" t="str">
        <f>VLOOKUP(A171,Import!A:P,11,0)</f>
        <v>Veysel Karani Dolu</v>
      </c>
      <c r="L171" s="150">
        <v>5.538437827E9</v>
      </c>
      <c r="M171" s="150" t="s">
        <v>2666</v>
      </c>
      <c r="N171" s="150" t="s">
        <v>2667</v>
      </c>
      <c r="O171" s="150" t="s">
        <v>3121</v>
      </c>
      <c r="P171" s="244" t="str">
        <f>VLOOKUP(A171,Import!A:P,16,0)</f>
        <v>Geleneksel</v>
      </c>
      <c r="Q171" s="291"/>
      <c r="R171" s="292" t="b">
        <v>1</v>
      </c>
      <c r="S171" s="292" t="b">
        <v>1</v>
      </c>
      <c r="T171" s="149"/>
      <c r="U171" s="296"/>
      <c r="V171" s="296"/>
      <c r="W171" s="149" t="s">
        <v>3122</v>
      </c>
      <c r="X171" s="297"/>
      <c r="Y171" s="297"/>
      <c r="Z171" s="288"/>
      <c r="AA171" s="165" t="s">
        <v>2772</v>
      </c>
      <c r="AB171" s="295">
        <v>44378.0</v>
      </c>
      <c r="AC171" s="165" t="s">
        <v>2669</v>
      </c>
      <c r="AD171" s="295">
        <v>44378.0</v>
      </c>
      <c r="AE171" s="165" t="s">
        <v>2693</v>
      </c>
      <c r="AF171" s="295">
        <v>44525.0</v>
      </c>
      <c r="AG171" s="160"/>
      <c r="AH171" s="288"/>
      <c r="AI171" s="288"/>
      <c r="AJ171" s="288"/>
      <c r="AK171" s="165" t="s">
        <v>2718</v>
      </c>
      <c r="AL171" s="165" t="s">
        <v>2718</v>
      </c>
      <c r="AM171" s="165" t="s">
        <v>1911</v>
      </c>
      <c r="AN171" s="288"/>
      <c r="AO171" s="288"/>
      <c r="AP171" s="150" t="s">
        <v>2663</v>
      </c>
      <c r="AQ171" s="288"/>
    </row>
    <row r="172">
      <c r="A172" s="150" t="s">
        <v>3123</v>
      </c>
      <c r="B172" s="150" t="s">
        <v>3124</v>
      </c>
      <c r="C172" s="175" t="str">
        <f>VLOOKUP(A172,Import!A:C,3,false)</f>
        <v>DOĞRU</v>
      </c>
      <c r="D172" s="150" t="s">
        <v>2684</v>
      </c>
      <c r="E172" s="280">
        <f>VLOOKUP(A172,Import!A:J,5,0)</f>
        <v>1633</v>
      </c>
      <c r="F172" s="280">
        <f>VLOOKUP(A172,Import!A:J,6,0)</f>
        <v>166</v>
      </c>
      <c r="G172" s="289">
        <f>VLOOKUP(A172,Import!A:J,7,0)</f>
        <v>0</v>
      </c>
      <c r="H172" s="289">
        <f>VLOOKUP(A172,Import!A:J,8,0)</f>
        <v>34</v>
      </c>
      <c r="I172" s="289">
        <f>VLOOKUP(A172,Import!A:J,9,0)</f>
        <v>34</v>
      </c>
      <c r="J172" s="282">
        <f>VLOOKUP(A172,Import!A:J,10,0)</f>
        <v>0</v>
      </c>
      <c r="K172" s="290" t="s">
        <v>3125</v>
      </c>
      <c r="L172" s="150">
        <v>5.061435585E9</v>
      </c>
      <c r="M172" s="150" t="s">
        <v>2666</v>
      </c>
      <c r="N172" s="150" t="s">
        <v>2682</v>
      </c>
      <c r="O172" s="150" t="s">
        <v>3126</v>
      </c>
      <c r="P172" s="244" t="str">
        <f>VLOOKUP(A172,Import!A:P,16,0)</f>
        <v>Geleneksel</v>
      </c>
      <c r="Q172" s="291"/>
      <c r="R172" s="292" t="b">
        <v>1</v>
      </c>
      <c r="S172" s="293" t="b">
        <v>0</v>
      </c>
      <c r="T172" s="149" t="s">
        <v>2714</v>
      </c>
      <c r="U172" s="296"/>
      <c r="V172" s="296"/>
      <c r="W172" s="149" t="s">
        <v>3127</v>
      </c>
      <c r="X172" s="297"/>
      <c r="Y172" s="297"/>
      <c r="Z172" s="288"/>
      <c r="AA172" s="165" t="s">
        <v>2669</v>
      </c>
      <c r="AB172" s="295">
        <v>44522.0</v>
      </c>
      <c r="AC172" s="165" t="s">
        <v>2669</v>
      </c>
      <c r="AD172" s="295">
        <v>44642.0</v>
      </c>
      <c r="AE172" s="160"/>
      <c r="AF172" s="288"/>
      <c r="AG172" s="160"/>
      <c r="AH172" s="288"/>
      <c r="AI172" s="288"/>
      <c r="AJ172" s="288"/>
      <c r="AK172" s="165" t="s">
        <v>819</v>
      </c>
      <c r="AL172" s="165" t="s">
        <v>1791</v>
      </c>
      <c r="AM172" s="288"/>
      <c r="AN172" s="288"/>
      <c r="AO172" s="165"/>
      <c r="AP172" s="150" t="s">
        <v>2663</v>
      </c>
      <c r="AQ172" s="165"/>
    </row>
    <row r="173">
      <c r="A173" s="150" t="s">
        <v>1835</v>
      </c>
      <c r="B173" s="150" t="s">
        <v>1836</v>
      </c>
      <c r="C173" s="175" t="str">
        <f>VLOOKUP(A173,Import!A:C,3,false)</f>
        <v>YANLIŞ</v>
      </c>
      <c r="D173" s="150" t="s">
        <v>2684</v>
      </c>
      <c r="E173" s="280">
        <f>VLOOKUP(A173,Import!A:J,5,0)</f>
        <v>1279</v>
      </c>
      <c r="F173" s="280" t="str">
        <f>VLOOKUP(A173,Import!A:J,6,0)</f>
        <v/>
      </c>
      <c r="G173" s="289">
        <f>VLOOKUP(A173,Import!A:J,7,0)</f>
        <v>8</v>
      </c>
      <c r="H173" s="289">
        <f>VLOOKUP(A173,Import!A:J,8,0)</f>
        <v>6</v>
      </c>
      <c r="I173" s="289">
        <f>VLOOKUP(A173,Import!A:J,9,0)</f>
        <v>14</v>
      </c>
      <c r="J173" s="282">
        <f>VLOOKUP(A173,Import!A:J,10,0)</f>
        <v>0.57</v>
      </c>
      <c r="K173" s="290" t="s">
        <v>3128</v>
      </c>
      <c r="L173" s="150">
        <v>5.327875414E9</v>
      </c>
      <c r="M173" s="150" t="s">
        <v>2666</v>
      </c>
      <c r="N173" s="150" t="s">
        <v>2682</v>
      </c>
      <c r="O173" s="150" t="s">
        <v>1838</v>
      </c>
      <c r="P173" s="244" t="str">
        <f>VLOOKUP(A173,Import!A:P,16,0)</f>
        <v>Geleneksel</v>
      </c>
      <c r="Q173" s="291"/>
      <c r="R173" s="292" t="b">
        <v>1</v>
      </c>
      <c r="S173" s="293" t="b">
        <v>0</v>
      </c>
      <c r="T173" s="149" t="s">
        <v>2661</v>
      </c>
      <c r="U173" s="149" t="s">
        <v>819</v>
      </c>
      <c r="V173" s="301" t="s">
        <v>1609</v>
      </c>
      <c r="W173" s="149"/>
      <c r="X173" s="294">
        <v>44499.0</v>
      </c>
      <c r="Y173" s="294">
        <v>44471.0</v>
      </c>
      <c r="Z173" s="288"/>
      <c r="AA173" s="165" t="s">
        <v>2669</v>
      </c>
      <c r="AB173" s="295">
        <v>44499.0</v>
      </c>
      <c r="AC173" s="288"/>
      <c r="AD173" s="288"/>
      <c r="AE173" s="160"/>
      <c r="AF173" s="288"/>
      <c r="AG173" s="160"/>
      <c r="AH173" s="288"/>
      <c r="AI173" s="288"/>
      <c r="AJ173" s="288"/>
      <c r="AK173" s="165" t="s">
        <v>819</v>
      </c>
      <c r="AL173" s="288"/>
      <c r="AM173" s="288"/>
      <c r="AN173" s="288"/>
      <c r="AO173" s="288"/>
      <c r="AP173" s="150" t="s">
        <v>2663</v>
      </c>
      <c r="AQ173" s="288"/>
    </row>
    <row r="174">
      <c r="A174" s="150" t="s">
        <v>3129</v>
      </c>
      <c r="B174" s="150" t="s">
        <v>3130</v>
      </c>
      <c r="C174" s="175" t="str">
        <f>VLOOKUP(A174,Import!A:C,3,false)</f>
        <v>DOĞRU</v>
      </c>
      <c r="D174" s="150" t="s">
        <v>2672</v>
      </c>
      <c r="E174" s="280">
        <f>VLOOKUP(A174,Import!A:J,5,0)</f>
        <v>916</v>
      </c>
      <c r="F174" s="280" t="str">
        <f>VLOOKUP(A174,Import!A:J,6,0)</f>
        <v/>
      </c>
      <c r="G174" s="289">
        <f>VLOOKUP(A174,Import!A:J,7,0)</f>
        <v>0</v>
      </c>
      <c r="H174" s="289">
        <f>VLOOKUP(A174,Import!A:J,8,0)</f>
        <v>10</v>
      </c>
      <c r="I174" s="289">
        <f>VLOOKUP(A174,Import!A:J,9,0)</f>
        <v>10</v>
      </c>
      <c r="J174" s="282">
        <f>VLOOKUP(A174,Import!A:J,10,0)</f>
        <v>0</v>
      </c>
      <c r="K174" s="244" t="str">
        <f>VLOOKUP(A174,Import!A:P,11,0)</f>
        <v>Ekrem Doğulu</v>
      </c>
      <c r="L174" s="150">
        <v>2.2299914E9</v>
      </c>
      <c r="M174" s="150" t="s">
        <v>2666</v>
      </c>
      <c r="N174" s="150" t="s">
        <v>3131</v>
      </c>
      <c r="O174" s="150" t="s">
        <v>3132</v>
      </c>
      <c r="P174" s="244" t="str">
        <f>VLOOKUP(A174,Import!A:P,16,0)</f>
        <v>Geleneksel</v>
      </c>
      <c r="Q174" s="291"/>
      <c r="R174" s="292" t="b">
        <v>1</v>
      </c>
      <c r="S174" s="293" t="b">
        <v>0</v>
      </c>
      <c r="T174" s="149"/>
      <c r="U174" s="296"/>
      <c r="V174" s="296"/>
      <c r="W174" s="149" t="s">
        <v>3133</v>
      </c>
      <c r="X174" s="297"/>
      <c r="Y174" s="297"/>
      <c r="Z174" s="288"/>
      <c r="AA174" s="165" t="s">
        <v>2669</v>
      </c>
      <c r="AB174" s="295">
        <v>44511.0</v>
      </c>
      <c r="AC174" s="288"/>
      <c r="AD174" s="288"/>
      <c r="AE174" s="160"/>
      <c r="AF174" s="288"/>
      <c r="AG174" s="160"/>
      <c r="AH174" s="288"/>
      <c r="AI174" s="288"/>
      <c r="AJ174" s="288"/>
      <c r="AK174" s="165" t="s">
        <v>1911</v>
      </c>
      <c r="AL174" s="288"/>
      <c r="AM174" s="288"/>
      <c r="AN174" s="288"/>
      <c r="AO174" s="288"/>
      <c r="AP174" s="150" t="s">
        <v>2663</v>
      </c>
      <c r="AQ174" s="288"/>
    </row>
    <row r="175">
      <c r="A175" s="147" t="s">
        <v>1406</v>
      </c>
      <c r="B175" s="147" t="s">
        <v>1407</v>
      </c>
      <c r="C175" s="175" t="str">
        <f>VLOOKUP(A175,Import!A:C,3,false)</f>
        <v>DOĞRU</v>
      </c>
      <c r="D175" s="147" t="s">
        <v>2672</v>
      </c>
      <c r="E175" s="280">
        <f>VLOOKUP(A175,Import!A:J,5,0)</f>
        <v>1280</v>
      </c>
      <c r="F175" s="280">
        <f>VLOOKUP(A175,Import!A:J,6,0)</f>
        <v>37</v>
      </c>
      <c r="G175" s="289">
        <f>VLOOKUP(A175,Import!A:J,7,0)</f>
        <v>0</v>
      </c>
      <c r="H175" s="289">
        <f>VLOOKUP(A175,Import!A:J,8,0)</f>
        <v>55</v>
      </c>
      <c r="I175" s="289">
        <f>VLOOKUP(A175,Import!A:J,9,0)</f>
        <v>55</v>
      </c>
      <c r="J175" s="282">
        <f>VLOOKUP(A175,Import!A:J,10,0)</f>
        <v>0</v>
      </c>
      <c r="K175" s="244" t="str">
        <f>VLOOKUP(A175,Import!A:P,11,0)</f>
        <v>Salih Yeşilçay</v>
      </c>
      <c r="L175" s="147">
        <v>2.222278613E9</v>
      </c>
      <c r="M175" s="147" t="s">
        <v>1450</v>
      </c>
      <c r="N175" s="147" t="s">
        <v>2905</v>
      </c>
      <c r="O175" s="147" t="s">
        <v>1410</v>
      </c>
      <c r="P175" s="244" t="str">
        <f>VLOOKUP(A175,Import!A:P,16,0)</f>
        <v>Geleneksel</v>
      </c>
      <c r="Q175" s="330"/>
      <c r="R175" s="292" t="b">
        <v>1</v>
      </c>
      <c r="S175" s="292" t="b">
        <v>0</v>
      </c>
      <c r="T175" s="149" t="s">
        <v>2770</v>
      </c>
      <c r="U175" s="149" t="s">
        <v>819</v>
      </c>
      <c r="V175" s="149" t="s">
        <v>1343</v>
      </c>
      <c r="W175" s="149" t="s">
        <v>3134</v>
      </c>
      <c r="X175" s="294">
        <v>44336.0</v>
      </c>
      <c r="Y175" s="294">
        <v>44338.0</v>
      </c>
      <c r="Z175" s="288"/>
      <c r="AA175" s="165" t="s">
        <v>2669</v>
      </c>
      <c r="AB175" s="295">
        <v>44498.0</v>
      </c>
      <c r="AC175" s="288"/>
      <c r="AD175" s="288"/>
      <c r="AE175" s="160"/>
      <c r="AF175" s="288"/>
      <c r="AG175" s="160"/>
      <c r="AH175" s="288"/>
      <c r="AI175" s="288"/>
      <c r="AJ175" s="288"/>
      <c r="AK175" s="165" t="s">
        <v>1824</v>
      </c>
      <c r="AL175" s="288"/>
      <c r="AM175" s="288"/>
      <c r="AN175" s="288"/>
      <c r="AO175" s="288"/>
      <c r="AP175" s="150" t="s">
        <v>2663</v>
      </c>
      <c r="AQ175" s="288"/>
    </row>
    <row r="176">
      <c r="A176" s="150" t="s">
        <v>3135</v>
      </c>
      <c r="B176" s="150" t="s">
        <v>3136</v>
      </c>
      <c r="C176" s="175" t="str">
        <f>VLOOKUP(A176,Import!A:C,3,false)</f>
        <v>DOĞRU</v>
      </c>
      <c r="D176" s="150" t="s">
        <v>2867</v>
      </c>
      <c r="E176" s="280">
        <f>VLOOKUP(A176,Import!A:J,5,0)</f>
        <v>789</v>
      </c>
      <c r="F176" s="280">
        <f>VLOOKUP(A176,Import!A:J,6,0)</f>
        <v>18</v>
      </c>
      <c r="G176" s="289">
        <f>VLOOKUP(A176,Import!A:J,7,0)</f>
        <v>0</v>
      </c>
      <c r="H176" s="289">
        <f>VLOOKUP(A176,Import!A:J,8,0)</f>
        <v>80</v>
      </c>
      <c r="I176" s="289">
        <f>VLOOKUP(A176,Import!A:J,9,0)</f>
        <v>80</v>
      </c>
      <c r="J176" s="282">
        <f>VLOOKUP(A176,Import!A:J,10,0)</f>
        <v>0</v>
      </c>
      <c r="K176" s="244" t="str">
        <f>VLOOKUP(A176,Import!A:P,11,0)</f>
        <v>FAZIL YILDIRIM</v>
      </c>
      <c r="L176" s="150">
        <v>2.222203366E9</v>
      </c>
      <c r="M176" s="150" t="s">
        <v>1450</v>
      </c>
      <c r="N176" s="150" t="s">
        <v>2707</v>
      </c>
      <c r="O176" s="150" t="s">
        <v>3137</v>
      </c>
      <c r="P176" s="244" t="str">
        <f>VLOOKUP(A176,Import!A:P,16,0)</f>
        <v>Geleneksel</v>
      </c>
      <c r="Q176" s="291" t="s">
        <v>2713</v>
      </c>
      <c r="R176" s="292" t="b">
        <v>1</v>
      </c>
      <c r="S176" s="293" t="b">
        <v>0</v>
      </c>
      <c r="T176" s="149" t="s">
        <v>2770</v>
      </c>
      <c r="U176" s="296"/>
      <c r="V176" s="296"/>
      <c r="W176" s="149" t="s">
        <v>3138</v>
      </c>
      <c r="X176" s="297"/>
      <c r="Y176" s="297"/>
      <c r="Z176" s="288"/>
      <c r="AA176" s="165" t="s">
        <v>2772</v>
      </c>
      <c r="AB176" s="295">
        <v>44379.0</v>
      </c>
      <c r="AC176" s="165" t="s">
        <v>2699</v>
      </c>
      <c r="AD176" s="295">
        <v>44498.0</v>
      </c>
      <c r="AE176" s="165" t="s">
        <v>2669</v>
      </c>
      <c r="AF176" s="295">
        <v>44541.0</v>
      </c>
      <c r="AG176" s="165" t="s">
        <v>2772</v>
      </c>
      <c r="AH176" s="295">
        <v>44571.0</v>
      </c>
      <c r="AI176" s="288"/>
      <c r="AJ176" s="288"/>
      <c r="AK176" s="165" t="s">
        <v>1824</v>
      </c>
      <c r="AL176" s="165" t="s">
        <v>1824</v>
      </c>
      <c r="AM176" s="165" t="s">
        <v>2161</v>
      </c>
      <c r="AN176" s="165" t="s">
        <v>819</v>
      </c>
      <c r="AO176" s="288"/>
      <c r="AP176" s="150" t="s">
        <v>2663</v>
      </c>
      <c r="AQ176" s="288"/>
    </row>
    <row r="177">
      <c r="A177" s="244" t="s">
        <v>806</v>
      </c>
      <c r="B177" s="244" t="s">
        <v>807</v>
      </c>
      <c r="C177" s="175" t="str">
        <f>VLOOKUP(A177,Import!A:C,3,false)</f>
        <v>DOĞRU</v>
      </c>
      <c r="D177" s="320" t="s">
        <v>2701</v>
      </c>
      <c r="E177" s="280">
        <f>VLOOKUP(A177,Import!A:J,5,0)</f>
        <v>2376</v>
      </c>
      <c r="F177" s="280">
        <f>VLOOKUP(A177,Import!A:J,6,0)</f>
        <v>189</v>
      </c>
      <c r="G177" s="289">
        <f>VLOOKUP(A177,Import!A:J,7,0)</f>
        <v>22</v>
      </c>
      <c r="H177" s="289">
        <f>VLOOKUP(A177,Import!A:J,8,0)</f>
        <v>9</v>
      </c>
      <c r="I177" s="289">
        <f>VLOOKUP(A177,Import!A:J,9,0)</f>
        <v>31</v>
      </c>
      <c r="J177" s="282">
        <f>VLOOKUP(A177,Import!A:J,10,0)</f>
        <v>0.71</v>
      </c>
      <c r="K177" s="244" t="str">
        <f>VLOOKUP(A177,Import!A:P,11,0)</f>
        <v>EZGİ KOCATEPE</v>
      </c>
      <c r="L177" s="321">
        <v>5.461000026E9</v>
      </c>
      <c r="M177" s="320" t="s">
        <v>2666</v>
      </c>
      <c r="N177" s="320" t="s">
        <v>2667</v>
      </c>
      <c r="O177" s="320" t="s">
        <v>809</v>
      </c>
      <c r="P177" s="244" t="str">
        <f>VLOOKUP(A177,Import!A:P,16,0)</f>
        <v>Geleneksel</v>
      </c>
      <c r="Q177" s="322" t="s">
        <v>2660</v>
      </c>
      <c r="R177" s="335" t="b">
        <v>1</v>
      </c>
      <c r="S177" s="336" t="b">
        <v>0</v>
      </c>
      <c r="T177" s="337" t="s">
        <v>2661</v>
      </c>
      <c r="U177" s="337" t="s">
        <v>1000</v>
      </c>
      <c r="V177" s="337" t="s">
        <v>46</v>
      </c>
      <c r="W177" s="365"/>
      <c r="X177" s="338">
        <v>44267.0</v>
      </c>
      <c r="Y177" s="338">
        <v>44274.0</v>
      </c>
      <c r="Z177" s="288"/>
      <c r="AA177" s="288"/>
      <c r="AB177" s="288"/>
      <c r="AC177" s="288"/>
      <c r="AD177" s="288"/>
      <c r="AE177" s="160"/>
      <c r="AF177" s="288"/>
      <c r="AG177" s="160"/>
      <c r="AH177" s="288"/>
      <c r="AI177" s="288"/>
      <c r="AJ177" s="288"/>
      <c r="AK177" s="288"/>
      <c r="AL177" s="288"/>
      <c r="AM177" s="288"/>
      <c r="AN177" s="288"/>
      <c r="AO177" s="288"/>
      <c r="AP177" s="150" t="s">
        <v>2663</v>
      </c>
      <c r="AQ177" s="288"/>
    </row>
    <row r="178">
      <c r="A178" s="150" t="s">
        <v>3139</v>
      </c>
      <c r="B178" s="150" t="s">
        <v>3140</v>
      </c>
      <c r="C178" s="175" t="str">
        <f>VLOOKUP(A178,Import!A:C,3,false)</f>
        <v>DOĞRU</v>
      </c>
      <c r="D178" s="150" t="s">
        <v>2867</v>
      </c>
      <c r="E178" s="280">
        <f>VLOOKUP(A178,Import!A:J,5,0)</f>
        <v>15678</v>
      </c>
      <c r="F178" s="280">
        <f>VLOOKUP(A178,Import!A:J,6,0)</f>
        <v>1289</v>
      </c>
      <c r="G178" s="289">
        <f>VLOOKUP(A178,Import!A:J,7,0)</f>
        <v>5</v>
      </c>
      <c r="H178" s="289">
        <f>VLOOKUP(A178,Import!A:J,8,0)</f>
        <v>14</v>
      </c>
      <c r="I178" s="289">
        <f>VLOOKUP(A178,Import!A:J,9,0)</f>
        <v>19</v>
      </c>
      <c r="J178" s="282">
        <f>VLOOKUP(A178,Import!A:J,10,0)</f>
        <v>0.26</v>
      </c>
      <c r="K178" s="290" t="s">
        <v>3141</v>
      </c>
      <c r="L178" s="150">
        <v>5.523106906E9</v>
      </c>
      <c r="M178" s="150" t="s">
        <v>2666</v>
      </c>
      <c r="N178" s="150" t="s">
        <v>2682</v>
      </c>
      <c r="O178" s="150" t="s">
        <v>3142</v>
      </c>
      <c r="P178" s="244" t="str">
        <f>VLOOKUP(A178,Import!A:P,16,0)</f>
        <v>Geleneksel</v>
      </c>
      <c r="Q178" s="291"/>
      <c r="R178" s="292" t="b">
        <v>0</v>
      </c>
      <c r="S178" s="293" t="b">
        <v>0</v>
      </c>
      <c r="T178" s="149"/>
      <c r="U178" s="296"/>
      <c r="V178" s="296"/>
      <c r="W178" s="149"/>
      <c r="X178" s="297"/>
      <c r="Y178" s="297"/>
      <c r="Z178" s="288"/>
      <c r="AA178" s="165"/>
      <c r="AB178" s="295"/>
      <c r="AC178" s="288"/>
      <c r="AD178" s="288"/>
      <c r="AE178" s="160"/>
      <c r="AF178" s="288"/>
      <c r="AG178" s="160"/>
      <c r="AH178" s="288"/>
      <c r="AI178" s="288"/>
      <c r="AJ178" s="288"/>
      <c r="AK178" s="165"/>
      <c r="AL178" s="288"/>
      <c r="AM178" s="288"/>
      <c r="AN178" s="288"/>
      <c r="AO178" s="165"/>
      <c r="AP178" s="150"/>
      <c r="AQ178" s="165"/>
    </row>
    <row r="179">
      <c r="A179" s="150" t="s">
        <v>3143</v>
      </c>
      <c r="B179" s="150" t="s">
        <v>3144</v>
      </c>
      <c r="C179" s="175" t="str">
        <f>VLOOKUP(A179,Import!A:C,3,false)</f>
        <v>YANLIŞ</v>
      </c>
      <c r="D179" s="150" t="s">
        <v>3145</v>
      </c>
      <c r="E179" s="280">
        <f>VLOOKUP(A179,Import!A:J,5,0)</f>
        <v>154</v>
      </c>
      <c r="F179" s="280" t="str">
        <f>VLOOKUP(A179,Import!A:J,6,0)</f>
        <v/>
      </c>
      <c r="G179" s="289">
        <f>VLOOKUP(A179,Import!A:J,7,0)</f>
        <v>0</v>
      </c>
      <c r="H179" s="289">
        <f>VLOOKUP(A179,Import!A:J,8,0)</f>
        <v>96</v>
      </c>
      <c r="I179" s="289">
        <f>VLOOKUP(A179,Import!A:J,9,0)</f>
        <v>96</v>
      </c>
      <c r="J179" s="282">
        <f>VLOOKUP(A179,Import!A:J,10,0)</f>
        <v>0</v>
      </c>
      <c r="K179" s="244" t="str">
        <f>VLOOKUP(A179,Import!A:P,11,0)</f>
        <v>ONUR ÇELİK</v>
      </c>
      <c r="L179" s="150">
        <v>5.45941353E9</v>
      </c>
      <c r="M179" s="150" t="s">
        <v>2666</v>
      </c>
      <c r="N179" s="150" t="s">
        <v>2682</v>
      </c>
      <c r="O179" s="150" t="s">
        <v>3146</v>
      </c>
      <c r="P179" s="244" t="str">
        <f>VLOOKUP(A179,Import!A:P,16,0)</f>
        <v>Geleneksel</v>
      </c>
      <c r="Q179" s="291" t="s">
        <v>2713</v>
      </c>
      <c r="R179" s="292" t="b">
        <v>1</v>
      </c>
      <c r="S179" s="292" t="b">
        <v>0</v>
      </c>
      <c r="T179" s="149" t="s">
        <v>2714</v>
      </c>
      <c r="U179" s="296"/>
      <c r="V179" s="296"/>
      <c r="W179" s="361" t="s">
        <v>3147</v>
      </c>
      <c r="X179" s="297"/>
      <c r="Y179" s="297"/>
      <c r="Z179" s="288"/>
      <c r="AA179" s="165" t="s">
        <v>2669</v>
      </c>
      <c r="AB179" s="295">
        <v>44489.0</v>
      </c>
      <c r="AC179" s="165" t="s">
        <v>2669</v>
      </c>
      <c r="AD179" s="295">
        <v>44525.0</v>
      </c>
      <c r="AE179" s="160"/>
      <c r="AF179" s="288"/>
      <c r="AG179" s="160"/>
      <c r="AH179" s="288"/>
      <c r="AI179" s="288"/>
      <c r="AJ179" s="288"/>
      <c r="AK179" s="165" t="s">
        <v>1717</v>
      </c>
      <c r="AL179" s="165" t="s">
        <v>1911</v>
      </c>
      <c r="AM179" s="288"/>
      <c r="AN179" s="288"/>
      <c r="AO179" s="288"/>
      <c r="AP179" s="150" t="s">
        <v>2663</v>
      </c>
      <c r="AQ179" s="288"/>
    </row>
    <row r="180">
      <c r="A180" s="147" t="s">
        <v>1083</v>
      </c>
      <c r="B180" s="147" t="s">
        <v>1084</v>
      </c>
      <c r="C180" s="175" t="str">
        <f>VLOOKUP(A180,Import!A:C,3,false)</f>
        <v>DOĞRU</v>
      </c>
      <c r="D180" s="147" t="s">
        <v>2664</v>
      </c>
      <c r="E180" s="280">
        <f>VLOOKUP(A180,Import!A:J,5,0)</f>
        <v>556</v>
      </c>
      <c r="F180" s="280" t="str">
        <f>VLOOKUP(A180,Import!A:J,6,0)</f>
        <v/>
      </c>
      <c r="G180" s="289">
        <f>VLOOKUP(A180,Import!A:J,7,0)</f>
        <v>24</v>
      </c>
      <c r="H180" s="289">
        <f>VLOOKUP(A180,Import!A:J,8,0)</f>
        <v>5</v>
      </c>
      <c r="I180" s="289">
        <f>VLOOKUP(A180,Import!A:J,9,0)</f>
        <v>29</v>
      </c>
      <c r="J180" s="282">
        <f>VLOOKUP(A180,Import!A:J,10,0)</f>
        <v>0.83</v>
      </c>
      <c r="K180" s="244" t="str">
        <f>VLOOKUP(A180,Import!A:P,11,0)</f>
        <v>OSMAN ACAR</v>
      </c>
      <c r="L180" s="147">
        <v>5.37216729E9</v>
      </c>
      <c r="M180" s="147" t="s">
        <v>2666</v>
      </c>
      <c r="N180" s="147" t="s">
        <v>2682</v>
      </c>
      <c r="O180" s="147" t="s">
        <v>3148</v>
      </c>
      <c r="P180" s="244" t="str">
        <f>VLOOKUP(A180,Import!A:P,16,0)</f>
        <v>Geleneksel</v>
      </c>
      <c r="Q180" s="291" t="s">
        <v>2686</v>
      </c>
      <c r="R180" s="292" t="b">
        <v>1</v>
      </c>
      <c r="S180" s="293" t="b">
        <v>0</v>
      </c>
      <c r="T180" s="149" t="s">
        <v>2661</v>
      </c>
      <c r="U180" s="149" t="s">
        <v>1000</v>
      </c>
      <c r="V180" s="149" t="s">
        <v>13</v>
      </c>
      <c r="X180" s="294">
        <v>44265.0</v>
      </c>
      <c r="Y180" s="294">
        <v>44266.0</v>
      </c>
      <c r="Z180" s="288"/>
      <c r="AA180" s="288"/>
      <c r="AB180" s="288"/>
      <c r="AC180" s="288"/>
      <c r="AD180" s="288"/>
      <c r="AE180" s="160"/>
      <c r="AF180" s="288"/>
      <c r="AG180" s="160"/>
      <c r="AH180" s="288"/>
      <c r="AI180" s="288"/>
      <c r="AJ180" s="288"/>
      <c r="AK180" s="288"/>
      <c r="AL180" s="288"/>
      <c r="AM180" s="288"/>
      <c r="AN180" s="288"/>
      <c r="AO180" s="288"/>
      <c r="AP180" s="150" t="s">
        <v>2663</v>
      </c>
      <c r="AQ180" s="288"/>
    </row>
    <row r="181">
      <c r="A181" s="150" t="s">
        <v>3149</v>
      </c>
      <c r="B181" s="150" t="s">
        <v>3150</v>
      </c>
      <c r="C181" s="175" t="str">
        <f>VLOOKUP(A181,Import!A:C,3,false)</f>
        <v>DOĞRU</v>
      </c>
      <c r="D181" s="150" t="s">
        <v>3151</v>
      </c>
      <c r="E181" s="280">
        <f>VLOOKUP(A181,Import!A:J,5,0)</f>
        <v>22</v>
      </c>
      <c r="F181" s="280">
        <f>VLOOKUP(A181,Import!A:J,6,0)</f>
        <v>6</v>
      </c>
      <c r="G181" s="289">
        <f>VLOOKUP(A181,Import!A:J,7,0)</f>
        <v>0</v>
      </c>
      <c r="H181" s="289">
        <f>VLOOKUP(A181,Import!A:J,8,0)</f>
        <v>55</v>
      </c>
      <c r="I181" s="289">
        <f>VLOOKUP(A181,Import!A:J,9,0)</f>
        <v>55</v>
      </c>
      <c r="J181" s="282">
        <f>VLOOKUP(A181,Import!A:J,10,0)</f>
        <v>0</v>
      </c>
      <c r="K181" s="290" t="s">
        <v>3152</v>
      </c>
      <c r="L181" s="150">
        <v>5.058790808E9</v>
      </c>
      <c r="M181" s="150" t="s">
        <v>2666</v>
      </c>
      <c r="N181" s="150" t="s">
        <v>2682</v>
      </c>
      <c r="O181" s="150" t="s">
        <v>3153</v>
      </c>
      <c r="P181" s="244" t="str">
        <f>VLOOKUP(A181,Import!A:P,16,0)</f>
        <v>Geleneksel</v>
      </c>
      <c r="Q181" s="291"/>
      <c r="R181" s="292" t="b">
        <v>1</v>
      </c>
      <c r="S181" s="293" t="b">
        <v>0</v>
      </c>
      <c r="T181" s="149" t="s">
        <v>2714</v>
      </c>
      <c r="U181" s="296"/>
      <c r="V181" s="296"/>
      <c r="W181" s="149" t="s">
        <v>3154</v>
      </c>
      <c r="X181" s="294"/>
      <c r="Y181" s="297"/>
      <c r="Z181" s="288"/>
      <c r="AA181" s="165" t="s">
        <v>2669</v>
      </c>
      <c r="AB181" s="295">
        <v>44622.0</v>
      </c>
      <c r="AC181" s="165" t="s">
        <v>2669</v>
      </c>
      <c r="AD181" s="295">
        <v>44642.0</v>
      </c>
      <c r="AE181" s="160"/>
      <c r="AF181" s="288"/>
      <c r="AG181" s="160"/>
      <c r="AH181" s="288"/>
      <c r="AI181" s="288"/>
      <c r="AJ181" s="288"/>
      <c r="AK181" s="165" t="s">
        <v>943</v>
      </c>
      <c r="AL181" s="165" t="s">
        <v>1791</v>
      </c>
      <c r="AM181" s="288"/>
      <c r="AN181" s="288"/>
      <c r="AO181" s="165"/>
      <c r="AP181" s="150"/>
      <c r="AQ181" s="165"/>
    </row>
    <row r="182">
      <c r="A182" s="150" t="s">
        <v>1825</v>
      </c>
      <c r="B182" s="150" t="s">
        <v>1826</v>
      </c>
      <c r="C182" s="175" t="str">
        <f>VLOOKUP(A182,Import!A:C,3,false)</f>
        <v>DOĞRU</v>
      </c>
      <c r="D182" s="150" t="s">
        <v>2701</v>
      </c>
      <c r="E182" s="280">
        <f>VLOOKUP(A182,Import!A:J,5,0)</f>
        <v>386</v>
      </c>
      <c r="F182" s="280" t="str">
        <f>VLOOKUP(A182,Import!A:J,6,0)</f>
        <v/>
      </c>
      <c r="G182" s="289">
        <f>VLOOKUP(A182,Import!A:J,7,0)</f>
        <v>31</v>
      </c>
      <c r="H182" s="289">
        <f>VLOOKUP(A182,Import!A:J,8,0)</f>
        <v>27</v>
      </c>
      <c r="I182" s="289">
        <f>VLOOKUP(A182,Import!A:J,9,0)</f>
        <v>58</v>
      </c>
      <c r="J182" s="282">
        <f>VLOOKUP(A182,Import!A:J,10,0)</f>
        <v>0.53</v>
      </c>
      <c r="K182" s="244" t="str">
        <f>VLOOKUP(A182,Import!A:P,11,0)</f>
        <v>Burak Van</v>
      </c>
      <c r="L182" s="150">
        <v>5.530448888E9</v>
      </c>
      <c r="M182" s="150" t="s">
        <v>1450</v>
      </c>
      <c r="N182" s="150" t="s">
        <v>2716</v>
      </c>
      <c r="O182" s="150" t="s">
        <v>1828</v>
      </c>
      <c r="P182" s="244" t="str">
        <f>VLOOKUP(A182,Import!A:P,16,0)</f>
        <v>Geleneksel</v>
      </c>
      <c r="Q182" s="291"/>
      <c r="R182" s="292" t="b">
        <v>1</v>
      </c>
      <c r="S182" s="293" t="b">
        <v>0</v>
      </c>
      <c r="T182" s="149" t="s">
        <v>2770</v>
      </c>
      <c r="U182" s="149" t="s">
        <v>819</v>
      </c>
      <c r="V182" s="311" t="s">
        <v>1609</v>
      </c>
      <c r="W182" s="149" t="s">
        <v>3155</v>
      </c>
      <c r="X182" s="294">
        <v>44501.0</v>
      </c>
      <c r="Y182" s="294">
        <v>44510.0</v>
      </c>
      <c r="Z182" s="288"/>
      <c r="AA182" s="165" t="s">
        <v>2669</v>
      </c>
      <c r="AB182" s="295">
        <v>44482.0</v>
      </c>
      <c r="AC182" s="165" t="s">
        <v>2699</v>
      </c>
      <c r="AD182" s="295">
        <v>44487.0</v>
      </c>
      <c r="AE182" s="165" t="s">
        <v>2669</v>
      </c>
      <c r="AF182" s="295">
        <v>44498.0</v>
      </c>
      <c r="AG182" s="165" t="s">
        <v>2669</v>
      </c>
      <c r="AH182" s="295">
        <v>44501.0</v>
      </c>
      <c r="AI182" s="165" t="s">
        <v>2669</v>
      </c>
      <c r="AJ182" s="295">
        <v>44593.0</v>
      </c>
      <c r="AK182" s="165" t="s">
        <v>943</v>
      </c>
      <c r="AL182" s="165" t="s">
        <v>1715</v>
      </c>
      <c r="AM182" s="165" t="s">
        <v>1824</v>
      </c>
      <c r="AN182" s="165" t="s">
        <v>819</v>
      </c>
      <c r="AO182" s="165" t="s">
        <v>1717</v>
      </c>
      <c r="AP182" s="150" t="s">
        <v>2663</v>
      </c>
      <c r="AQ182" s="165"/>
    </row>
    <row r="183">
      <c r="A183" s="150" t="s">
        <v>3156</v>
      </c>
      <c r="B183" s="150" t="s">
        <v>3157</v>
      </c>
      <c r="C183" s="175" t="str">
        <f>VLOOKUP(A183,Import!A:C,3,false)</f>
        <v>DOĞRU</v>
      </c>
      <c r="D183" s="150" t="s">
        <v>2751</v>
      </c>
      <c r="E183" s="280">
        <f>VLOOKUP(A183,Import!A:J,5,0)</f>
        <v>4499</v>
      </c>
      <c r="F183" s="280">
        <f>VLOOKUP(A183,Import!A:J,6,0)</f>
        <v>248</v>
      </c>
      <c r="G183" s="289">
        <f>VLOOKUP(A183,Import!A:J,7,0)</f>
        <v>0</v>
      </c>
      <c r="H183" s="289">
        <f>VLOOKUP(A183,Import!A:J,8,0)</f>
        <v>66</v>
      </c>
      <c r="I183" s="289">
        <f>VLOOKUP(A183,Import!A:J,9,0)</f>
        <v>66</v>
      </c>
      <c r="J183" s="282">
        <f>VLOOKUP(A183,Import!A:J,10,0)</f>
        <v>0</v>
      </c>
      <c r="K183" s="244" t="str">
        <f>VLOOKUP(A183,Import!A:P,11,0)</f>
        <v>Eren Göker</v>
      </c>
      <c r="L183" s="150">
        <v>5.423738028E9</v>
      </c>
      <c r="M183" s="150" t="s">
        <v>1450</v>
      </c>
      <c r="N183" s="150" t="s">
        <v>2700</v>
      </c>
      <c r="O183" s="150" t="s">
        <v>3158</v>
      </c>
      <c r="P183" s="244" t="str">
        <f>VLOOKUP(A183,Import!A:P,16,0)</f>
        <v>Geleneksel</v>
      </c>
      <c r="Q183" s="291" t="s">
        <v>2713</v>
      </c>
      <c r="R183" s="292" t="b">
        <v>1</v>
      </c>
      <c r="S183" s="293" t="b">
        <v>0</v>
      </c>
      <c r="T183" s="149" t="s">
        <v>2693</v>
      </c>
      <c r="U183" s="296"/>
      <c r="V183" s="296"/>
      <c r="W183" s="149" t="s">
        <v>3159</v>
      </c>
      <c r="X183" s="297"/>
      <c r="Y183" s="297"/>
      <c r="Z183" s="288"/>
      <c r="AA183" s="165" t="s">
        <v>2693</v>
      </c>
      <c r="AB183" s="295">
        <v>44503.0</v>
      </c>
      <c r="AC183" s="165" t="s">
        <v>2693</v>
      </c>
      <c r="AD183" s="295">
        <v>44547.0</v>
      </c>
      <c r="AE183" s="165" t="s">
        <v>2693</v>
      </c>
      <c r="AF183" s="295">
        <v>44590.0</v>
      </c>
      <c r="AG183" s="160"/>
      <c r="AH183" s="288"/>
      <c r="AI183" s="288"/>
      <c r="AJ183" s="288"/>
      <c r="AK183" s="165" t="s">
        <v>1717</v>
      </c>
      <c r="AL183" s="165" t="s">
        <v>1971</v>
      </c>
      <c r="AM183" s="165" t="s">
        <v>1715</v>
      </c>
      <c r="AN183" s="288"/>
      <c r="AO183" s="288"/>
      <c r="AP183" s="150" t="s">
        <v>2663</v>
      </c>
      <c r="AQ183" s="288"/>
    </row>
    <row r="184">
      <c r="A184" s="150" t="s">
        <v>1769</v>
      </c>
      <c r="B184" s="150" t="s">
        <v>1770</v>
      </c>
      <c r="C184" s="175" t="str">
        <f>VLOOKUP(A184,Import!A:C,3,false)</f>
        <v>DOĞRU</v>
      </c>
      <c r="D184" s="150" t="s">
        <v>2664</v>
      </c>
      <c r="E184" s="280">
        <f>VLOOKUP(A184,Import!A:J,5,0)</f>
        <v>4340</v>
      </c>
      <c r="F184" s="280">
        <f>VLOOKUP(A184,Import!A:J,6,0)</f>
        <v>6</v>
      </c>
      <c r="G184" s="289">
        <f>VLOOKUP(A184,Import!A:J,7,0)</f>
        <v>53</v>
      </c>
      <c r="H184" s="289">
        <f>VLOOKUP(A184,Import!A:J,8,0)</f>
        <v>12</v>
      </c>
      <c r="I184" s="289">
        <f>VLOOKUP(A184,Import!A:J,9,0)</f>
        <v>65</v>
      </c>
      <c r="J184" s="282">
        <f>VLOOKUP(A184,Import!A:J,10,0)</f>
        <v>0.82</v>
      </c>
      <c r="K184" s="244" t="str">
        <f>VLOOKUP(A184,Import!A:P,11,0)</f>
        <v>Osman Çelik</v>
      </c>
      <c r="L184" s="150">
        <v>5.303677526E9</v>
      </c>
      <c r="M184" s="150" t="s">
        <v>2666</v>
      </c>
      <c r="N184" s="150" t="s">
        <v>2801</v>
      </c>
      <c r="O184" s="150" t="s">
        <v>1767</v>
      </c>
      <c r="P184" s="244" t="str">
        <f>VLOOKUP(A184,Import!A:P,16,0)</f>
        <v>Geleneksel</v>
      </c>
      <c r="Q184" s="291" t="s">
        <v>2713</v>
      </c>
      <c r="R184" s="292" t="b">
        <v>1</v>
      </c>
      <c r="S184" s="292" t="b">
        <v>0</v>
      </c>
      <c r="T184" s="149" t="s">
        <v>2661</v>
      </c>
      <c r="U184" s="149" t="s">
        <v>819</v>
      </c>
      <c r="V184" s="301" t="s">
        <v>1609</v>
      </c>
      <c r="X184" s="294">
        <v>44491.0</v>
      </c>
      <c r="Y184" s="294">
        <v>44491.0</v>
      </c>
      <c r="Z184" s="288"/>
      <c r="AA184" s="165" t="s">
        <v>2669</v>
      </c>
      <c r="AB184" s="295">
        <v>44491.0</v>
      </c>
      <c r="AC184" s="288"/>
      <c r="AD184" s="288"/>
      <c r="AE184" s="160"/>
      <c r="AF184" s="288"/>
      <c r="AG184" s="160"/>
      <c r="AH184" s="288"/>
      <c r="AI184" s="288"/>
      <c r="AJ184" s="288"/>
      <c r="AK184" s="165" t="s">
        <v>819</v>
      </c>
      <c r="AL184" s="288"/>
      <c r="AM184" s="288"/>
      <c r="AN184" s="288"/>
      <c r="AO184" s="288"/>
      <c r="AP184" s="150" t="s">
        <v>2663</v>
      </c>
      <c r="AQ184" s="288"/>
    </row>
    <row r="185">
      <c r="A185" s="150" t="s">
        <v>3160</v>
      </c>
      <c r="B185" s="150" t="s">
        <v>1770</v>
      </c>
      <c r="C185" s="175" t="str">
        <f>VLOOKUP(A185,Import!A:C,3,false)</f>
        <v>DOĞRU</v>
      </c>
      <c r="D185" s="150" t="s">
        <v>2751</v>
      </c>
      <c r="E185" s="280">
        <f>VLOOKUP(A185,Import!A:J,5,0)</f>
        <v>427</v>
      </c>
      <c r="F185" s="280">
        <f>VLOOKUP(A185,Import!A:J,6,0)</f>
        <v>104</v>
      </c>
      <c r="G185" s="289">
        <f>VLOOKUP(A185,Import!A:J,7,0)</f>
        <v>0</v>
      </c>
      <c r="H185" s="289">
        <f>VLOOKUP(A185,Import!A:J,8,0)</f>
        <v>36</v>
      </c>
      <c r="I185" s="289">
        <f>VLOOKUP(A185,Import!A:J,9,0)</f>
        <v>36</v>
      </c>
      <c r="J185" s="282">
        <f>VLOOKUP(A185,Import!A:J,10,0)</f>
        <v>0</v>
      </c>
      <c r="K185" s="290" t="s">
        <v>3032</v>
      </c>
      <c r="L185" s="150">
        <v>5.461032626E9</v>
      </c>
      <c r="M185" s="150" t="s">
        <v>2666</v>
      </c>
      <c r="N185" s="150" t="s">
        <v>2801</v>
      </c>
      <c r="O185" s="150" t="s">
        <v>3033</v>
      </c>
      <c r="P185" s="244" t="str">
        <f>VLOOKUP(A185,Import!A:P,16,0)</f>
        <v>Geleneksel</v>
      </c>
      <c r="Q185" s="291"/>
      <c r="R185" s="292" t="b">
        <v>1</v>
      </c>
      <c r="S185" s="292" t="b">
        <v>1</v>
      </c>
      <c r="T185" s="149"/>
      <c r="U185" s="296"/>
      <c r="V185" s="296"/>
      <c r="W185" s="149" t="s">
        <v>3161</v>
      </c>
      <c r="X185" s="297"/>
      <c r="Y185" s="297"/>
      <c r="Z185" s="288"/>
      <c r="AA185" s="165" t="s">
        <v>2669</v>
      </c>
      <c r="AB185" s="295">
        <v>44564.0</v>
      </c>
      <c r="AC185" s="288"/>
      <c r="AD185" s="288"/>
      <c r="AE185" s="160"/>
      <c r="AF185" s="288"/>
      <c r="AG185" s="160"/>
      <c r="AH185" s="288"/>
      <c r="AI185" s="288"/>
      <c r="AJ185" s="288"/>
      <c r="AK185" s="165" t="s">
        <v>819</v>
      </c>
      <c r="AL185" s="288"/>
      <c r="AM185" s="288"/>
      <c r="AN185" s="288"/>
      <c r="AO185" s="165"/>
      <c r="AP185" s="150"/>
      <c r="AQ185" s="165"/>
    </row>
    <row r="186">
      <c r="A186" s="150" t="s">
        <v>1017</v>
      </c>
      <c r="B186" s="150" t="s">
        <v>1018</v>
      </c>
      <c r="C186" s="175" t="str">
        <f>VLOOKUP(A186,Import!A:C,3,false)</f>
        <v>DOĞRU</v>
      </c>
      <c r="D186" s="150" t="s">
        <v>2701</v>
      </c>
      <c r="E186" s="280">
        <f>VLOOKUP(A186,Import!A:J,5,0)</f>
        <v>1007</v>
      </c>
      <c r="F186" s="280" t="str">
        <f>VLOOKUP(A186,Import!A:J,6,0)</f>
        <v/>
      </c>
      <c r="G186" s="289">
        <f>VLOOKUP(A186,Import!A:J,7,0)</f>
        <v>19</v>
      </c>
      <c r="H186" s="289">
        <f>VLOOKUP(A186,Import!A:J,8,0)</f>
        <v>36</v>
      </c>
      <c r="I186" s="289">
        <f>VLOOKUP(A186,Import!A:J,9,0)</f>
        <v>55</v>
      </c>
      <c r="J186" s="282">
        <f>VLOOKUP(A186,Import!A:J,10,0)</f>
        <v>0.35</v>
      </c>
      <c r="K186" s="244" t="str">
        <f>VLOOKUP(A186,Import!A:P,11,0)</f>
        <v>Sadık Ceylan</v>
      </c>
      <c r="L186" s="150">
        <v>5.416106845E9</v>
      </c>
      <c r="M186" s="150" t="s">
        <v>1450</v>
      </c>
      <c r="N186" s="150" t="s">
        <v>2905</v>
      </c>
      <c r="O186" s="150" t="s">
        <v>1021</v>
      </c>
      <c r="P186" s="244" t="str">
        <f>VLOOKUP(A186,Import!A:P,16,0)</f>
        <v>Geleneksel</v>
      </c>
      <c r="Q186" s="291" t="s">
        <v>2713</v>
      </c>
      <c r="R186" s="292" t="b">
        <v>1</v>
      </c>
      <c r="S186" s="293" t="b">
        <v>0</v>
      </c>
      <c r="T186" s="149" t="s">
        <v>2661</v>
      </c>
      <c r="U186" s="149" t="s">
        <v>958</v>
      </c>
      <c r="V186" s="149" t="s">
        <v>31</v>
      </c>
      <c r="W186" s="149" t="s">
        <v>3162</v>
      </c>
      <c r="X186" s="297"/>
      <c r="Y186" s="297"/>
      <c r="Z186" s="288"/>
      <c r="AA186" s="288"/>
      <c r="AB186" s="288"/>
      <c r="AC186" s="288"/>
      <c r="AD186" s="288"/>
      <c r="AE186" s="160"/>
      <c r="AF186" s="288"/>
      <c r="AG186" s="160"/>
      <c r="AH186" s="288"/>
      <c r="AI186" s="288"/>
      <c r="AJ186" s="288"/>
      <c r="AK186" s="288"/>
      <c r="AL186" s="288"/>
      <c r="AM186" s="288"/>
      <c r="AN186" s="288"/>
      <c r="AO186" s="288"/>
      <c r="AP186" s="150" t="s">
        <v>2663</v>
      </c>
      <c r="AQ186" s="288"/>
    </row>
    <row r="187">
      <c r="A187" s="150" t="s">
        <v>3163</v>
      </c>
      <c r="B187" s="150" t="s">
        <v>3164</v>
      </c>
      <c r="C187" s="175" t="str">
        <f>VLOOKUP(A187,Import!A:C,3,false)</f>
        <v>DOĞRU</v>
      </c>
      <c r="D187" s="150" t="s">
        <v>2724</v>
      </c>
      <c r="E187" s="280">
        <f>VLOOKUP(A187,Import!A:J,5,0)</f>
        <v>940</v>
      </c>
      <c r="F187" s="280">
        <f>VLOOKUP(A187,Import!A:J,6,0)</f>
        <v>6</v>
      </c>
      <c r="G187" s="289">
        <f>VLOOKUP(A187,Import!A:J,7,0)</f>
        <v>0</v>
      </c>
      <c r="H187" s="289">
        <f>VLOOKUP(A187,Import!A:J,8,0)</f>
        <v>41</v>
      </c>
      <c r="I187" s="289">
        <f>VLOOKUP(A187,Import!A:J,9,0)</f>
        <v>41</v>
      </c>
      <c r="J187" s="282">
        <f>VLOOKUP(A187,Import!A:J,10,0)</f>
        <v>0</v>
      </c>
      <c r="K187" s="244" t="str">
        <f>VLOOKUP(A187,Import!A:P,11,0)</f>
        <v>SİBEL DELGEÇ ÖZLEK</v>
      </c>
      <c r="L187" s="150">
        <v>5.462211307E9</v>
      </c>
      <c r="M187" s="150" t="s">
        <v>1450</v>
      </c>
      <c r="N187" s="150" t="s">
        <v>3165</v>
      </c>
      <c r="O187" s="150" t="s">
        <v>3166</v>
      </c>
      <c r="P187" s="244" t="str">
        <f>VLOOKUP(A187,Import!A:P,16,0)</f>
        <v>Geleneksel</v>
      </c>
      <c r="Q187" s="291" t="s">
        <v>2713</v>
      </c>
      <c r="R187" s="292" t="b">
        <v>1</v>
      </c>
      <c r="S187" s="293" t="b">
        <v>0</v>
      </c>
      <c r="T187" s="149" t="s">
        <v>2714</v>
      </c>
      <c r="U187" s="296"/>
      <c r="V187" s="296"/>
      <c r="W187" s="149" t="s">
        <v>3167</v>
      </c>
      <c r="X187" s="297"/>
      <c r="Y187" s="297"/>
      <c r="Z187" s="288"/>
      <c r="AA187" s="165" t="s">
        <v>2772</v>
      </c>
      <c r="AB187" s="295">
        <v>44377.0</v>
      </c>
      <c r="AC187" s="165" t="s">
        <v>2669</v>
      </c>
      <c r="AD187" s="295">
        <v>44379.0</v>
      </c>
      <c r="AE187" s="160"/>
      <c r="AF187" s="288"/>
      <c r="AG187" s="160"/>
      <c r="AH187" s="288"/>
      <c r="AI187" s="288"/>
      <c r="AJ187" s="288"/>
      <c r="AK187" s="165" t="s">
        <v>2913</v>
      </c>
      <c r="AL187" s="165" t="s">
        <v>2718</v>
      </c>
      <c r="AM187" s="288"/>
      <c r="AN187" s="288"/>
      <c r="AO187" s="288"/>
      <c r="AP187" s="150" t="s">
        <v>2663</v>
      </c>
      <c r="AQ187" s="288"/>
    </row>
    <row r="188">
      <c r="A188" s="150" t="s">
        <v>3168</v>
      </c>
      <c r="B188" s="150" t="s">
        <v>3169</v>
      </c>
      <c r="C188" s="175" t="str">
        <f>VLOOKUP(A188,Import!A:C,3,false)</f>
        <v>DOĞRU</v>
      </c>
      <c r="D188" s="150" t="s">
        <v>2672</v>
      </c>
      <c r="E188" s="280" t="str">
        <f>VLOOKUP(A188,Import!A:J,5,0)</f>
        <v/>
      </c>
      <c r="F188" s="280" t="str">
        <f>VLOOKUP(A188,Import!A:J,6,0)</f>
        <v/>
      </c>
      <c r="G188" s="289">
        <f>VLOOKUP(A188,Import!A:J,7,0)</f>
        <v>0</v>
      </c>
      <c r="H188" s="289">
        <f>VLOOKUP(A188,Import!A:J,8,0)</f>
        <v>36</v>
      </c>
      <c r="I188" s="289">
        <f>VLOOKUP(A188,Import!A:J,9,0)</f>
        <v>36</v>
      </c>
      <c r="J188" s="282">
        <f>VLOOKUP(A188,Import!A:J,10,0)</f>
        <v>0</v>
      </c>
      <c r="K188" s="150" t="s">
        <v>3170</v>
      </c>
      <c r="L188" s="150">
        <v>5.378257297E9</v>
      </c>
      <c r="M188" s="150" t="s">
        <v>2666</v>
      </c>
      <c r="N188" s="150" t="s">
        <v>2750</v>
      </c>
      <c r="O188" s="150" t="s">
        <v>1082</v>
      </c>
      <c r="P188" s="244" t="str">
        <f>VLOOKUP(A188,Import!A:P,16,0)</f>
        <v>Geleneksel</v>
      </c>
      <c r="Q188" s="291"/>
      <c r="R188" s="292" t="b">
        <v>0</v>
      </c>
      <c r="S188" s="293" t="b">
        <v>0</v>
      </c>
      <c r="T188" s="149"/>
      <c r="U188" s="296"/>
      <c r="V188" s="296"/>
      <c r="W188" s="149"/>
      <c r="X188" s="297"/>
      <c r="Y188" s="297"/>
      <c r="Z188" s="288"/>
      <c r="AA188" s="165"/>
      <c r="AB188" s="295"/>
      <c r="AC188" s="288"/>
      <c r="AD188" s="288"/>
      <c r="AE188" s="160"/>
      <c r="AF188" s="288"/>
      <c r="AG188" s="160"/>
      <c r="AH188" s="288"/>
      <c r="AI188" s="288"/>
      <c r="AJ188" s="288"/>
      <c r="AK188" s="165"/>
      <c r="AL188" s="288"/>
      <c r="AM188" s="288"/>
      <c r="AN188" s="288"/>
      <c r="AO188" s="165"/>
      <c r="AP188" s="150"/>
      <c r="AQ188" s="165"/>
    </row>
    <row r="189">
      <c r="A189" s="150" t="s">
        <v>3171</v>
      </c>
      <c r="B189" s="150" t="s">
        <v>3172</v>
      </c>
      <c r="C189" s="175" t="str">
        <f>VLOOKUP(A189,Import!A:C,3,false)</f>
        <v>DOĞRU</v>
      </c>
      <c r="D189" s="150" t="s">
        <v>2672</v>
      </c>
      <c r="E189" s="280">
        <f>VLOOKUP(A189,Import!A:J,5,0)</f>
        <v>1996</v>
      </c>
      <c r="F189" s="280">
        <f>VLOOKUP(A189,Import!A:J,6,0)</f>
        <v>66</v>
      </c>
      <c r="G189" s="289">
        <f>VLOOKUP(A189,Import!A:J,7,0)</f>
        <v>0</v>
      </c>
      <c r="H189" s="289">
        <f>VLOOKUP(A189,Import!A:J,8,0)</f>
        <v>17</v>
      </c>
      <c r="I189" s="289">
        <f>VLOOKUP(A189,Import!A:J,9,0)</f>
        <v>17</v>
      </c>
      <c r="J189" s="282">
        <f>VLOOKUP(A189,Import!A:J,10,0)</f>
        <v>0</v>
      </c>
      <c r="K189" s="244" t="str">
        <f>VLOOKUP(A189,Import!A:P,11,0)</f>
        <v>Muhammadjon Rahimov</v>
      </c>
      <c r="L189" s="150">
        <v>5.537780296E9</v>
      </c>
      <c r="M189" s="150" t="s">
        <v>1450</v>
      </c>
      <c r="N189" s="150" t="s">
        <v>2732</v>
      </c>
      <c r="O189" s="150" t="s">
        <v>3173</v>
      </c>
      <c r="P189" s="244" t="str">
        <f>VLOOKUP(A189,Import!A:P,16,0)</f>
        <v>Geleneksel</v>
      </c>
      <c r="Q189" s="291"/>
      <c r="R189" s="292" t="b">
        <v>1</v>
      </c>
      <c r="S189" s="292" t="b">
        <v>0</v>
      </c>
      <c r="T189" s="149" t="s">
        <v>2714</v>
      </c>
      <c r="U189" s="296"/>
      <c r="V189" s="296"/>
      <c r="W189" s="149" t="s">
        <v>3174</v>
      </c>
      <c r="X189" s="297"/>
      <c r="Y189" s="297"/>
      <c r="Z189" s="288"/>
      <c r="AA189" s="165" t="s">
        <v>2669</v>
      </c>
      <c r="AB189" s="295">
        <v>44481.0</v>
      </c>
      <c r="AC189" s="165" t="s">
        <v>2669</v>
      </c>
      <c r="AD189" s="295">
        <v>44525.0</v>
      </c>
      <c r="AE189" s="160"/>
      <c r="AF189" s="288"/>
      <c r="AG189" s="160"/>
      <c r="AH189" s="288"/>
      <c r="AI189" s="288"/>
      <c r="AJ189" s="288"/>
      <c r="AK189" s="165" t="s">
        <v>1621</v>
      </c>
      <c r="AL189" s="165" t="s">
        <v>1911</v>
      </c>
      <c r="AM189" s="288"/>
      <c r="AN189" s="288"/>
      <c r="AO189" s="288"/>
      <c r="AP189" s="150" t="s">
        <v>2663</v>
      </c>
      <c r="AQ189" s="288"/>
    </row>
    <row r="190">
      <c r="A190" s="150" t="s">
        <v>408</v>
      </c>
      <c r="B190" s="150" t="s">
        <v>409</v>
      </c>
      <c r="C190" s="175" t="str">
        <f>VLOOKUP(A190,Import!A:C,3,false)</f>
        <v>DOĞRU</v>
      </c>
      <c r="D190" s="150" t="s">
        <v>2978</v>
      </c>
      <c r="E190" s="280">
        <f>VLOOKUP(A190,Import!A:J,5,0)</f>
        <v>4561</v>
      </c>
      <c r="F190" s="280">
        <f>VLOOKUP(A190,Import!A:J,6,0)</f>
        <v>37</v>
      </c>
      <c r="G190" s="289">
        <f>VLOOKUP(A190,Import!A:J,7,0)</f>
        <v>81</v>
      </c>
      <c r="H190" s="289">
        <f>VLOOKUP(A190,Import!A:J,8,0)</f>
        <v>16</v>
      </c>
      <c r="I190" s="289">
        <f>VLOOKUP(A190,Import!A:J,9,0)</f>
        <v>97</v>
      </c>
      <c r="J190" s="282">
        <f>VLOOKUP(A190,Import!A:J,10,0)</f>
        <v>0.84</v>
      </c>
      <c r="K190" s="244" t="str">
        <f>VLOOKUP(A190,Import!A:P,11,0)</f>
        <v>ÖMER FARUK ÖZDEMİRLİ</v>
      </c>
      <c r="L190" s="150">
        <v>2.2232395E9</v>
      </c>
      <c r="M190" s="150" t="s">
        <v>2666</v>
      </c>
      <c r="N190" s="150" t="s">
        <v>2855</v>
      </c>
      <c r="O190" s="150" t="s">
        <v>407</v>
      </c>
      <c r="P190" s="244" t="str">
        <f>VLOOKUP(A190,Import!A:P,16,0)</f>
        <v>Geleneksel</v>
      </c>
      <c r="Q190" s="291" t="s">
        <v>2713</v>
      </c>
      <c r="R190" s="292" t="b">
        <v>1</v>
      </c>
      <c r="S190" s="293" t="b">
        <v>0</v>
      </c>
      <c r="T190" s="149" t="s">
        <v>2661</v>
      </c>
      <c r="U190" s="149" t="s">
        <v>1717</v>
      </c>
      <c r="V190" s="181" t="s">
        <v>1609</v>
      </c>
      <c r="X190" s="294">
        <v>44532.0</v>
      </c>
      <c r="Y190" s="294">
        <v>44537.0</v>
      </c>
      <c r="Z190" s="288"/>
      <c r="AA190" s="165" t="s">
        <v>2669</v>
      </c>
      <c r="AB190" s="295">
        <v>44522.0</v>
      </c>
      <c r="AC190" s="165" t="s">
        <v>2669</v>
      </c>
      <c r="AD190" s="295">
        <v>44532.0</v>
      </c>
      <c r="AE190" s="160"/>
      <c r="AF190" s="288"/>
      <c r="AG190" s="160"/>
      <c r="AH190" s="288"/>
      <c r="AI190" s="288"/>
      <c r="AJ190" s="288"/>
      <c r="AK190" s="165" t="s">
        <v>1715</v>
      </c>
      <c r="AL190" s="165" t="s">
        <v>1717</v>
      </c>
      <c r="AM190" s="288"/>
      <c r="AN190" s="288"/>
      <c r="AO190" s="288"/>
      <c r="AP190" s="150" t="s">
        <v>2663</v>
      </c>
      <c r="AQ190" s="288"/>
    </row>
    <row r="191">
      <c r="A191" s="244" t="s">
        <v>3175</v>
      </c>
      <c r="B191" s="244" t="s">
        <v>3176</v>
      </c>
      <c r="C191" s="175" t="str">
        <f>VLOOKUP(A191,Import!A:C,3,false)</f>
        <v>DOĞRU</v>
      </c>
      <c r="D191" s="244" t="s">
        <v>2867</v>
      </c>
      <c r="E191" s="280">
        <f>VLOOKUP(A191,Import!A:J,5,0)</f>
        <v>826</v>
      </c>
      <c r="F191" s="280" t="str">
        <f>VLOOKUP(A191,Import!A:J,6,0)</f>
        <v/>
      </c>
      <c r="G191" s="289">
        <f>VLOOKUP(A191,Import!A:J,7,0)</f>
        <v>0</v>
      </c>
      <c r="H191" s="289">
        <f>VLOOKUP(A191,Import!A:J,8,0)</f>
        <v>20</v>
      </c>
      <c r="I191" s="289">
        <f>VLOOKUP(A191,Import!A:J,9,0)</f>
        <v>20</v>
      </c>
      <c r="J191" s="282">
        <f>VLOOKUP(A191,Import!A:J,10,0)</f>
        <v>0</v>
      </c>
      <c r="K191" s="244" t="str">
        <f>VLOOKUP(A191,Import!A:P,11,0)</f>
        <v>SAADET AVCI</v>
      </c>
      <c r="L191" s="280">
        <v>5.394822214E9</v>
      </c>
      <c r="M191" s="244" t="s">
        <v>2666</v>
      </c>
      <c r="N191" s="244" t="s">
        <v>2801</v>
      </c>
      <c r="O191" s="244" t="s">
        <v>169</v>
      </c>
      <c r="P191" s="244" t="str">
        <f>VLOOKUP(A191,Import!A:P,16,0)</f>
        <v>Geleneksel</v>
      </c>
      <c r="Q191" s="291" t="s">
        <v>2686</v>
      </c>
      <c r="R191" s="292" t="b">
        <v>1</v>
      </c>
      <c r="S191" s="292" t="b">
        <v>1</v>
      </c>
      <c r="T191" s="160"/>
      <c r="U191" s="160"/>
      <c r="V191" s="160"/>
      <c r="W191" s="165" t="s">
        <v>2759</v>
      </c>
      <c r="X191" s="288"/>
      <c r="Y191" s="288"/>
      <c r="Z191" s="288"/>
      <c r="AA191" s="288"/>
      <c r="AB191" s="288"/>
      <c r="AC191" s="288"/>
      <c r="AD191" s="288"/>
      <c r="AE191" s="160"/>
      <c r="AF191" s="288"/>
      <c r="AG191" s="160"/>
      <c r="AH191" s="288"/>
      <c r="AI191" s="288"/>
      <c r="AJ191" s="288"/>
      <c r="AK191" s="288"/>
      <c r="AL191" s="288"/>
      <c r="AM191" s="288"/>
      <c r="AN191" s="288"/>
      <c r="AO191" s="288"/>
      <c r="AP191" s="150" t="s">
        <v>2663</v>
      </c>
      <c r="AQ191" s="288"/>
    </row>
    <row r="192">
      <c r="A192" s="244" t="s">
        <v>3177</v>
      </c>
      <c r="B192" s="244" t="s">
        <v>3178</v>
      </c>
      <c r="C192" s="175" t="str">
        <f>VLOOKUP(A192,Import!A:C,3,false)</f>
        <v>DOĞRU</v>
      </c>
      <c r="D192" s="362" t="s">
        <v>2867</v>
      </c>
      <c r="E192" s="280">
        <f>VLOOKUP(A192,Import!A:J,5,0)</f>
        <v>1900</v>
      </c>
      <c r="F192" s="280">
        <f>VLOOKUP(A192,Import!A:J,6,0)</f>
        <v>10</v>
      </c>
      <c r="G192" s="289">
        <f>VLOOKUP(A192,Import!A:J,7,0)</f>
        <v>0</v>
      </c>
      <c r="H192" s="289">
        <f>VLOOKUP(A192,Import!A:J,8,0)</f>
        <v>4</v>
      </c>
      <c r="I192" s="289">
        <f>VLOOKUP(A192,Import!A:J,9,0)</f>
        <v>4</v>
      </c>
      <c r="J192" s="282">
        <f>VLOOKUP(A192,Import!A:J,10,0)</f>
        <v>0</v>
      </c>
      <c r="K192" s="244" t="str">
        <f>VLOOKUP(A192,Import!A:P,11,0)</f>
        <v>SEVİL İNLER</v>
      </c>
      <c r="L192" s="280">
        <v>2.22220044E9</v>
      </c>
      <c r="M192" s="244" t="s">
        <v>1450</v>
      </c>
      <c r="N192" s="244" t="s">
        <v>2795</v>
      </c>
      <c r="O192" s="244" t="s">
        <v>3179</v>
      </c>
      <c r="P192" s="244" t="str">
        <f>VLOOKUP(A192,Import!A:P,16,0)</f>
        <v>Geleneksel</v>
      </c>
      <c r="Q192" s="291" t="s">
        <v>2660</v>
      </c>
      <c r="R192" s="292" t="b">
        <v>1</v>
      </c>
      <c r="S192" s="293" t="b">
        <v>0</v>
      </c>
      <c r="T192" s="165"/>
      <c r="U192" s="160"/>
      <c r="V192" s="160"/>
      <c r="W192" s="165" t="s">
        <v>3180</v>
      </c>
      <c r="X192" s="288"/>
      <c r="Y192" s="288"/>
      <c r="Z192" s="288"/>
      <c r="AA192" s="165" t="s">
        <v>2699</v>
      </c>
      <c r="AB192" s="295">
        <v>44547.0</v>
      </c>
      <c r="AC192" s="165" t="s">
        <v>2669</v>
      </c>
      <c r="AD192" s="295">
        <v>44568.0</v>
      </c>
      <c r="AE192" s="160"/>
      <c r="AF192" s="288"/>
      <c r="AG192" s="160"/>
      <c r="AH192" s="288"/>
      <c r="AI192" s="288"/>
      <c r="AJ192" s="288"/>
      <c r="AK192" s="165" t="s">
        <v>1971</v>
      </c>
      <c r="AL192" s="165" t="s">
        <v>1715</v>
      </c>
      <c r="AM192" s="288"/>
      <c r="AN192" s="288"/>
      <c r="AO192" s="288"/>
      <c r="AP192" s="150" t="s">
        <v>2663</v>
      </c>
      <c r="AQ192" s="288"/>
    </row>
    <row r="193">
      <c r="A193" s="244" t="s">
        <v>404</v>
      </c>
      <c r="B193" s="244" t="s">
        <v>405</v>
      </c>
      <c r="C193" s="175" t="str">
        <f>VLOOKUP(A193,Import!A:C,3,false)</f>
        <v>DOĞRU</v>
      </c>
      <c r="D193" s="320" t="s">
        <v>2867</v>
      </c>
      <c r="E193" s="280">
        <f>VLOOKUP(A193,Import!A:J,5,0)</f>
        <v>16956</v>
      </c>
      <c r="F193" s="280">
        <f>VLOOKUP(A193,Import!A:J,6,0)</f>
        <v>204</v>
      </c>
      <c r="G193" s="289">
        <f>VLOOKUP(A193,Import!A:J,7,0)</f>
        <v>51</v>
      </c>
      <c r="H193" s="289">
        <f>VLOOKUP(A193,Import!A:J,8,0)</f>
        <v>24</v>
      </c>
      <c r="I193" s="289">
        <f>VLOOKUP(A193,Import!A:J,9,0)</f>
        <v>75</v>
      </c>
      <c r="J193" s="282">
        <f>VLOOKUP(A193,Import!A:J,10,0)</f>
        <v>0.68</v>
      </c>
      <c r="K193" s="244" t="str">
        <f>VLOOKUP(A193,Import!A:P,11,0)</f>
        <v>ÖMER FARUK ÖZDEMİRLİ</v>
      </c>
      <c r="L193" s="321">
        <v>5.324147942E9</v>
      </c>
      <c r="M193" s="320" t="s">
        <v>2666</v>
      </c>
      <c r="N193" s="320" t="s">
        <v>2855</v>
      </c>
      <c r="O193" s="320" t="s">
        <v>407</v>
      </c>
      <c r="P193" s="244" t="str">
        <f>VLOOKUP(A193,Import!A:P,16,0)</f>
        <v>Geleneksel</v>
      </c>
      <c r="Q193" s="322" t="s">
        <v>2760</v>
      </c>
      <c r="R193" s="323" t="b">
        <v>1</v>
      </c>
      <c r="S193" s="324" t="b">
        <v>0</v>
      </c>
      <c r="T193" s="325" t="s">
        <v>2661</v>
      </c>
      <c r="U193" s="325" t="s">
        <v>1717</v>
      </c>
      <c r="V193" s="355" t="s">
        <v>1609</v>
      </c>
      <c r="W193" s="333"/>
      <c r="X193" s="327">
        <v>44532.0</v>
      </c>
      <c r="Y193" s="327">
        <v>44537.0</v>
      </c>
      <c r="Z193" s="288"/>
      <c r="AA193" s="165" t="s">
        <v>2669</v>
      </c>
      <c r="AB193" s="295">
        <v>44526.0</v>
      </c>
      <c r="AC193" s="165" t="s">
        <v>2669</v>
      </c>
      <c r="AD193" s="295">
        <v>44532.0</v>
      </c>
      <c r="AE193" s="160"/>
      <c r="AF193" s="288"/>
      <c r="AG193" s="160"/>
      <c r="AH193" s="288"/>
      <c r="AI193" s="288"/>
      <c r="AJ193" s="288"/>
      <c r="AK193" s="165" t="s">
        <v>819</v>
      </c>
      <c r="AL193" s="165" t="s">
        <v>1717</v>
      </c>
      <c r="AM193" s="288"/>
      <c r="AN193" s="288"/>
      <c r="AO193" s="288"/>
      <c r="AP193" s="150" t="s">
        <v>2663</v>
      </c>
      <c r="AQ193" s="288"/>
    </row>
    <row r="194">
      <c r="A194" s="150" t="s">
        <v>865</v>
      </c>
      <c r="B194" s="150" t="s">
        <v>866</v>
      </c>
      <c r="C194" s="175" t="str">
        <f>VLOOKUP(A194,Import!A:C,3,false)</f>
        <v>DOĞRU</v>
      </c>
      <c r="D194" s="150" t="s">
        <v>2672</v>
      </c>
      <c r="E194" s="280">
        <f>VLOOKUP(A194,Import!A:J,5,0)</f>
        <v>10966</v>
      </c>
      <c r="F194" s="280">
        <f>VLOOKUP(A194,Import!A:J,6,0)</f>
        <v>420</v>
      </c>
      <c r="G194" s="289">
        <f>VLOOKUP(A194,Import!A:J,7,0)</f>
        <v>16</v>
      </c>
      <c r="H194" s="289">
        <f>VLOOKUP(A194,Import!A:J,8,0)</f>
        <v>24</v>
      </c>
      <c r="I194" s="289">
        <f>VLOOKUP(A194,Import!A:J,9,0)</f>
        <v>40</v>
      </c>
      <c r="J194" s="282">
        <f>VLOOKUP(A194,Import!A:J,10,0)</f>
        <v>0.4</v>
      </c>
      <c r="K194" s="244" t="str">
        <f>VLOOKUP(A194,Import!A:P,11,0)</f>
        <v>İHSAN YÜCE YETİŞKİN</v>
      </c>
      <c r="L194" s="150">
        <v>2.222202062E9</v>
      </c>
      <c r="M194" s="150" t="s">
        <v>2666</v>
      </c>
      <c r="N194" s="150" t="s">
        <v>2682</v>
      </c>
      <c r="O194" s="150" t="s">
        <v>870</v>
      </c>
      <c r="P194" s="244" t="str">
        <f>VLOOKUP(A194,Import!A:P,16,0)</f>
        <v>Geleneksel</v>
      </c>
      <c r="Q194" s="291" t="s">
        <v>2713</v>
      </c>
      <c r="R194" s="292" t="b">
        <v>1</v>
      </c>
      <c r="S194" s="293" t="b">
        <v>0</v>
      </c>
      <c r="T194" s="149" t="s">
        <v>2661</v>
      </c>
      <c r="U194" s="149" t="s">
        <v>819</v>
      </c>
      <c r="V194" s="366" t="s">
        <v>1609</v>
      </c>
      <c r="W194" s="149" t="s">
        <v>3181</v>
      </c>
      <c r="X194" s="294">
        <v>44496.0</v>
      </c>
      <c r="Y194" s="294">
        <v>44497.0</v>
      </c>
      <c r="Z194" s="288"/>
      <c r="AA194" s="165" t="s">
        <v>2669</v>
      </c>
      <c r="AB194" s="295">
        <v>44496.0</v>
      </c>
      <c r="AC194" s="165" t="s">
        <v>2669</v>
      </c>
      <c r="AD194" s="295">
        <v>44539.0</v>
      </c>
      <c r="AE194" s="160"/>
      <c r="AF194" s="288"/>
      <c r="AG194" s="160"/>
      <c r="AH194" s="288"/>
      <c r="AI194" s="288"/>
      <c r="AJ194" s="288"/>
      <c r="AK194" s="165" t="s">
        <v>819</v>
      </c>
      <c r="AL194" s="165" t="s">
        <v>1911</v>
      </c>
      <c r="AM194" s="288"/>
      <c r="AN194" s="288"/>
      <c r="AO194" s="288"/>
      <c r="AP194" s="150" t="s">
        <v>2663</v>
      </c>
      <c r="AQ194" s="288"/>
    </row>
    <row r="195">
      <c r="A195" s="147" t="s">
        <v>2062</v>
      </c>
      <c r="B195" s="147" t="s">
        <v>2063</v>
      </c>
      <c r="C195" s="175" t="str">
        <f>VLOOKUP(A195,Import!A:C,3,false)</f>
        <v>DOĞRU</v>
      </c>
      <c r="D195" s="147" t="s">
        <v>2867</v>
      </c>
      <c r="E195" s="280">
        <f>VLOOKUP(A195,Import!A:J,5,0)</f>
        <v>655</v>
      </c>
      <c r="F195" s="280">
        <f>VLOOKUP(A195,Import!A:J,6,0)</f>
        <v>16</v>
      </c>
      <c r="G195" s="289">
        <f>VLOOKUP(A195,Import!A:J,7,0)</f>
        <v>0</v>
      </c>
      <c r="H195" s="289">
        <f>VLOOKUP(A195,Import!A:J,8,0)</f>
        <v>64</v>
      </c>
      <c r="I195" s="289">
        <f>VLOOKUP(A195,Import!A:J,9,0)</f>
        <v>64</v>
      </c>
      <c r="J195" s="282">
        <f>VLOOKUP(A195,Import!A:J,10,0)</f>
        <v>0</v>
      </c>
      <c r="K195" s="244" t="str">
        <f>VLOOKUP(A195,Import!A:P,11,0)</f>
        <v>ÖMER FARUK ÖZDEMİRLİ</v>
      </c>
      <c r="L195" s="147">
        <v>2.2232395E9</v>
      </c>
      <c r="M195" s="147" t="s">
        <v>2666</v>
      </c>
      <c r="N195" s="147" t="s">
        <v>2855</v>
      </c>
      <c r="O195" s="147" t="s">
        <v>2056</v>
      </c>
      <c r="P195" s="244" t="str">
        <f>VLOOKUP(A195,Import!A:P,16,0)</f>
        <v>Geleneksel</v>
      </c>
      <c r="Q195" s="330"/>
      <c r="R195" s="292" t="b">
        <v>1</v>
      </c>
      <c r="S195" s="293" t="b">
        <v>0</v>
      </c>
      <c r="T195" s="149" t="s">
        <v>2661</v>
      </c>
      <c r="U195" s="149" t="s">
        <v>1717</v>
      </c>
      <c r="V195" s="181" t="s">
        <v>1609</v>
      </c>
      <c r="X195" s="294">
        <v>44532.0</v>
      </c>
      <c r="Y195" s="294">
        <v>44537.0</v>
      </c>
      <c r="Z195" s="288"/>
      <c r="AA195" s="165" t="s">
        <v>2669</v>
      </c>
      <c r="AB195" s="295">
        <v>44522.0</v>
      </c>
      <c r="AC195" s="165" t="s">
        <v>2669</v>
      </c>
      <c r="AD195" s="295">
        <v>44532.0</v>
      </c>
      <c r="AE195" s="160"/>
      <c r="AF195" s="288"/>
      <c r="AG195" s="160"/>
      <c r="AH195" s="288"/>
      <c r="AI195" s="288"/>
      <c r="AJ195" s="288"/>
      <c r="AK195" s="165" t="s">
        <v>1715</v>
      </c>
      <c r="AL195" s="165" t="s">
        <v>1717</v>
      </c>
      <c r="AM195" s="288"/>
      <c r="AN195" s="288"/>
      <c r="AO195" s="288"/>
      <c r="AP195" s="150" t="s">
        <v>2663</v>
      </c>
      <c r="AQ195" s="288"/>
    </row>
    <row r="196">
      <c r="A196" s="150" t="s">
        <v>3182</v>
      </c>
      <c r="B196" s="150" t="s">
        <v>3183</v>
      </c>
      <c r="C196" s="175" t="str">
        <f>VLOOKUP(A196,Import!A:C,3,false)</f>
        <v>DOĞRU</v>
      </c>
      <c r="D196" s="150" t="s">
        <v>2672</v>
      </c>
      <c r="E196" s="280" t="str">
        <f>VLOOKUP(A196,Import!A:J,5,0)</f>
        <v/>
      </c>
      <c r="F196" s="280" t="str">
        <f>VLOOKUP(A196,Import!A:J,6,0)</f>
        <v/>
      </c>
      <c r="G196" s="289">
        <f>VLOOKUP(A196,Import!A:J,7,0)</f>
        <v>0</v>
      </c>
      <c r="H196" s="289">
        <f>VLOOKUP(A196,Import!A:J,8,0)</f>
        <v>21</v>
      </c>
      <c r="I196" s="289">
        <f>VLOOKUP(A196,Import!A:J,9,0)</f>
        <v>21</v>
      </c>
      <c r="J196" s="282">
        <f>VLOOKUP(A196,Import!A:J,10,0)</f>
        <v>0</v>
      </c>
      <c r="K196" s="150" t="s">
        <v>3184</v>
      </c>
      <c r="L196" s="150">
        <v>5.413470202E9</v>
      </c>
      <c r="M196" s="150" t="s">
        <v>2666</v>
      </c>
      <c r="N196" s="150" t="s">
        <v>3185</v>
      </c>
      <c r="O196" s="150" t="s">
        <v>3186</v>
      </c>
      <c r="P196" s="244" t="str">
        <f>VLOOKUP(A196,Import!A:P,16,0)</f>
        <v>Geleneksel</v>
      </c>
      <c r="Q196" s="291"/>
      <c r="R196" s="292" t="b">
        <v>0</v>
      </c>
      <c r="S196" s="293" t="b">
        <v>0</v>
      </c>
      <c r="T196" s="149"/>
      <c r="U196" s="296"/>
      <c r="V196" s="296"/>
      <c r="W196" s="149"/>
      <c r="X196" s="297"/>
      <c r="Y196" s="297"/>
      <c r="Z196" s="288"/>
      <c r="AA196" s="165"/>
      <c r="AB196" s="295"/>
      <c r="AC196" s="288"/>
      <c r="AD196" s="288"/>
      <c r="AE196" s="160"/>
      <c r="AF196" s="288"/>
      <c r="AG196" s="160"/>
      <c r="AH196" s="288"/>
      <c r="AI196" s="288"/>
      <c r="AJ196" s="288"/>
      <c r="AK196" s="165"/>
      <c r="AL196" s="288"/>
      <c r="AM196" s="288"/>
      <c r="AN196" s="288"/>
      <c r="AO196" s="165"/>
      <c r="AP196" s="150"/>
      <c r="AQ196" s="165"/>
    </row>
    <row r="197">
      <c r="A197" s="150" t="s">
        <v>3187</v>
      </c>
      <c r="B197" s="150" t="s">
        <v>1612</v>
      </c>
      <c r="C197" s="175" t="str">
        <f>VLOOKUP(A197,Import!A:C,3,false)</f>
        <v>YANLIŞ</v>
      </c>
      <c r="D197" s="150" t="s">
        <v>2763</v>
      </c>
      <c r="E197" s="280">
        <f>VLOOKUP(A197,Import!A:J,5,0)</f>
        <v>182</v>
      </c>
      <c r="F197" s="280" t="str">
        <f>VLOOKUP(A197,Import!A:J,6,0)</f>
        <v/>
      </c>
      <c r="G197" s="289">
        <f>VLOOKUP(A197,Import!A:J,7,0)</f>
        <v>0</v>
      </c>
      <c r="H197" s="289">
        <f>VLOOKUP(A197,Import!A:J,8,0)</f>
        <v>13</v>
      </c>
      <c r="I197" s="289">
        <f>VLOOKUP(A197,Import!A:J,9,0)</f>
        <v>13</v>
      </c>
      <c r="J197" s="282">
        <f>VLOOKUP(A197,Import!A:J,10,0)</f>
        <v>0</v>
      </c>
      <c r="K197" s="290" t="s">
        <v>3188</v>
      </c>
      <c r="L197" s="150">
        <v>5.306012326E9</v>
      </c>
      <c r="M197" s="150" t="s">
        <v>1450</v>
      </c>
      <c r="N197" s="150" t="s">
        <v>3189</v>
      </c>
      <c r="O197" s="150" t="s">
        <v>1360</v>
      </c>
      <c r="P197" s="244" t="str">
        <f>VLOOKUP(A197,Import!A:P,16,0)</f>
        <v>Geleneksel</v>
      </c>
      <c r="Q197" s="291"/>
      <c r="R197" s="292" t="b">
        <v>1</v>
      </c>
      <c r="S197" s="292" t="b">
        <v>1</v>
      </c>
      <c r="T197" s="149"/>
      <c r="U197" s="296"/>
      <c r="V197" s="296"/>
      <c r="W197" s="149" t="s">
        <v>3190</v>
      </c>
      <c r="X197" s="297"/>
      <c r="Y197" s="297"/>
      <c r="Z197" s="288"/>
      <c r="AA197" s="165" t="s">
        <v>2669</v>
      </c>
      <c r="AB197" s="295">
        <v>44537.0</v>
      </c>
      <c r="AC197" s="165" t="s">
        <v>2693</v>
      </c>
      <c r="AD197" s="295">
        <v>44582.0</v>
      </c>
      <c r="AE197" s="160"/>
      <c r="AF197" s="288"/>
      <c r="AG197" s="160"/>
      <c r="AH197" s="288"/>
      <c r="AI197" s="288"/>
      <c r="AJ197" s="288"/>
      <c r="AK197" s="165" t="s">
        <v>1715</v>
      </c>
      <c r="AL197" s="165" t="s">
        <v>1791</v>
      </c>
      <c r="AM197" s="288"/>
      <c r="AN197" s="288"/>
      <c r="AO197" s="288"/>
      <c r="AP197" s="150" t="s">
        <v>2663</v>
      </c>
      <c r="AQ197" s="288"/>
    </row>
    <row r="198">
      <c r="A198" s="150" t="s">
        <v>3191</v>
      </c>
      <c r="B198" s="150" t="s">
        <v>3192</v>
      </c>
      <c r="C198" s="175" t="str">
        <f>VLOOKUP(A198,Import!A:C,3,false)</f>
        <v>DOĞRU</v>
      </c>
      <c r="D198" s="150" t="s">
        <v>2696</v>
      </c>
      <c r="E198" s="280">
        <f>VLOOKUP(A198,Import!A:J,5,0)</f>
        <v>539</v>
      </c>
      <c r="F198" s="280">
        <f>VLOOKUP(A198,Import!A:J,6,0)</f>
        <v>62</v>
      </c>
      <c r="G198" s="289">
        <f>VLOOKUP(A198,Import!A:J,7,0)</f>
        <v>3</v>
      </c>
      <c r="H198" s="289">
        <f>VLOOKUP(A198,Import!A:J,8,0)</f>
        <v>23</v>
      </c>
      <c r="I198" s="289">
        <f>VLOOKUP(A198,Import!A:J,9,0)</f>
        <v>26</v>
      </c>
      <c r="J198" s="282">
        <f>VLOOKUP(A198,Import!A:J,10,0)</f>
        <v>0.12</v>
      </c>
      <c r="K198" s="244" t="str">
        <f>VLOOKUP(A198,Import!A:P,11,0)</f>
        <v>Mesut Aydın</v>
      </c>
      <c r="L198" s="150">
        <v>2.225020908E9</v>
      </c>
      <c r="M198" s="150" t="s">
        <v>2666</v>
      </c>
      <c r="N198" s="150" t="s">
        <v>2721</v>
      </c>
      <c r="O198" s="150" t="s">
        <v>3193</v>
      </c>
      <c r="P198" s="244" t="str">
        <f>VLOOKUP(A198,Import!A:P,16,0)</f>
        <v>Geleneksel</v>
      </c>
      <c r="Q198" s="291"/>
      <c r="R198" s="292" t="b">
        <v>1</v>
      </c>
      <c r="S198" s="292" t="b">
        <v>1</v>
      </c>
      <c r="T198" s="149"/>
      <c r="U198" s="296"/>
      <c r="V198" s="296"/>
      <c r="W198" s="149" t="s">
        <v>3194</v>
      </c>
      <c r="X198" s="297"/>
      <c r="Y198" s="297"/>
      <c r="Z198" s="288"/>
      <c r="AA198" s="165" t="s">
        <v>2669</v>
      </c>
      <c r="AB198" s="295">
        <v>44501.0</v>
      </c>
      <c r="AC198" s="165" t="s">
        <v>2693</v>
      </c>
      <c r="AD198" s="295">
        <v>44525.0</v>
      </c>
      <c r="AE198" s="160"/>
      <c r="AF198" s="288"/>
      <c r="AG198" s="160"/>
      <c r="AH198" s="288"/>
      <c r="AI198" s="288"/>
      <c r="AJ198" s="288"/>
      <c r="AK198" s="165" t="s">
        <v>819</v>
      </c>
      <c r="AL198" s="165" t="s">
        <v>1911</v>
      </c>
      <c r="AM198" s="288"/>
      <c r="AN198" s="288"/>
      <c r="AO198" s="288"/>
      <c r="AP198" s="150" t="s">
        <v>2663</v>
      </c>
      <c r="AQ198" s="288"/>
    </row>
    <row r="199">
      <c r="A199" s="244" t="s">
        <v>642</v>
      </c>
      <c r="B199" s="244" t="s">
        <v>643</v>
      </c>
      <c r="C199" s="175" t="str">
        <f>VLOOKUP(A199,Import!A:C,3,false)</f>
        <v>DOĞRU</v>
      </c>
      <c r="D199" s="244" t="s">
        <v>2696</v>
      </c>
      <c r="E199" s="280">
        <f>VLOOKUP(A199,Import!A:J,5,0)</f>
        <v>4859</v>
      </c>
      <c r="F199" s="280">
        <f>VLOOKUP(A199,Import!A:J,6,0)</f>
        <v>46</v>
      </c>
      <c r="G199" s="289">
        <f>VLOOKUP(A199,Import!A:J,7,0)</f>
        <v>9</v>
      </c>
      <c r="H199" s="289">
        <f>VLOOKUP(A199,Import!A:J,8,0)</f>
        <v>14</v>
      </c>
      <c r="I199" s="289">
        <f>VLOOKUP(A199,Import!A:J,9,0)</f>
        <v>23</v>
      </c>
      <c r="J199" s="282">
        <f>VLOOKUP(A199,Import!A:J,10,0)</f>
        <v>0.39</v>
      </c>
      <c r="K199" s="244" t="str">
        <f>VLOOKUP(A199,Import!A:P,11,0)</f>
        <v>SEDAT YAKAN</v>
      </c>
      <c r="L199" s="280">
        <v>2.222209998E9</v>
      </c>
      <c r="M199" s="244" t="s">
        <v>1450</v>
      </c>
      <c r="N199" s="244" t="s">
        <v>2659</v>
      </c>
      <c r="O199" s="244" t="s">
        <v>645</v>
      </c>
      <c r="P199" s="244" t="str">
        <f>VLOOKUP(A199,Import!A:P,16,0)</f>
        <v>Geleneksel</v>
      </c>
      <c r="Q199" s="291" t="s">
        <v>2760</v>
      </c>
      <c r="R199" s="292" t="b">
        <v>1</v>
      </c>
      <c r="S199" s="293" t="b">
        <v>0</v>
      </c>
      <c r="T199" s="165" t="s">
        <v>2661</v>
      </c>
      <c r="U199" s="165"/>
      <c r="V199" s="165" t="s">
        <v>13</v>
      </c>
      <c r="W199" s="165" t="s">
        <v>3195</v>
      </c>
      <c r="X199" s="295">
        <v>44244.0</v>
      </c>
      <c r="Y199" s="295">
        <v>44250.0</v>
      </c>
      <c r="Z199" s="288"/>
      <c r="AA199" s="165" t="s">
        <v>2669</v>
      </c>
      <c r="AB199" s="295">
        <v>44602.0</v>
      </c>
      <c r="AC199" s="288"/>
      <c r="AD199" s="288"/>
      <c r="AE199" s="160"/>
      <c r="AF199" s="288"/>
      <c r="AG199" s="160"/>
      <c r="AH199" s="288"/>
      <c r="AI199" s="288"/>
      <c r="AJ199" s="288"/>
      <c r="AK199" s="165" t="s">
        <v>2474</v>
      </c>
      <c r="AL199" s="288"/>
      <c r="AM199" s="288"/>
      <c r="AN199" s="288"/>
      <c r="AO199" s="288"/>
      <c r="AP199" s="150" t="s">
        <v>2663</v>
      </c>
      <c r="AQ199" s="288"/>
    </row>
    <row r="200">
      <c r="A200" s="150" t="s">
        <v>3196</v>
      </c>
      <c r="B200" s="150" t="s">
        <v>3197</v>
      </c>
      <c r="C200" s="175" t="str">
        <f>VLOOKUP(A200,Import!A:C,3,false)</f>
        <v>DOĞRU</v>
      </c>
      <c r="D200" s="150" t="s">
        <v>2696</v>
      </c>
      <c r="E200" s="280">
        <f>VLOOKUP(A200,Import!A:J,5,0)</f>
        <v>5039</v>
      </c>
      <c r="F200" s="280">
        <f>VLOOKUP(A200,Import!A:J,6,0)</f>
        <v>57</v>
      </c>
      <c r="G200" s="289">
        <f>VLOOKUP(A200,Import!A:J,7,0)</f>
        <v>8</v>
      </c>
      <c r="H200" s="289">
        <f>VLOOKUP(A200,Import!A:J,8,0)</f>
        <v>35</v>
      </c>
      <c r="I200" s="289">
        <f>VLOOKUP(A200,Import!A:J,9,0)</f>
        <v>43</v>
      </c>
      <c r="J200" s="282">
        <f>VLOOKUP(A200,Import!A:J,10,0)</f>
        <v>0.19</v>
      </c>
      <c r="K200" s="244" t="str">
        <f>VLOOKUP(A200,Import!A:P,11,0)</f>
        <v>SEDAT YAKAN</v>
      </c>
      <c r="L200" s="150">
        <v>2.223222275E9</v>
      </c>
      <c r="M200" s="150" t="s">
        <v>2666</v>
      </c>
      <c r="N200" s="150" t="s">
        <v>2721</v>
      </c>
      <c r="O200" s="150" t="s">
        <v>3198</v>
      </c>
      <c r="P200" s="244" t="str">
        <f>VLOOKUP(A200,Import!A:P,16,0)</f>
        <v>Geleneksel</v>
      </c>
      <c r="Q200" s="291" t="s">
        <v>2713</v>
      </c>
      <c r="R200" s="292" t="b">
        <v>1</v>
      </c>
      <c r="S200" s="293" t="b">
        <v>0</v>
      </c>
      <c r="T200" s="149" t="s">
        <v>2734</v>
      </c>
      <c r="U200" s="296"/>
      <c r="V200" s="296"/>
      <c r="W200" s="101" t="s">
        <v>3199</v>
      </c>
      <c r="X200" s="297"/>
      <c r="Y200" s="297"/>
      <c r="Z200" s="288"/>
      <c r="AA200" s="288"/>
      <c r="AB200" s="288"/>
      <c r="AC200" s="288"/>
      <c r="AD200" s="288"/>
      <c r="AE200" s="160"/>
      <c r="AF200" s="288"/>
      <c r="AG200" s="160"/>
      <c r="AH200" s="288"/>
      <c r="AI200" s="288"/>
      <c r="AJ200" s="288"/>
      <c r="AK200" s="288"/>
      <c r="AL200" s="288"/>
      <c r="AM200" s="288"/>
      <c r="AN200" s="288"/>
      <c r="AO200" s="288"/>
      <c r="AP200" s="150" t="s">
        <v>2663</v>
      </c>
      <c r="AQ200" s="288"/>
    </row>
    <row r="201">
      <c r="A201" s="150" t="s">
        <v>2084</v>
      </c>
      <c r="B201" s="150" t="s">
        <v>2085</v>
      </c>
      <c r="C201" s="175" t="str">
        <f>VLOOKUP(A201,Import!A:C,3,false)</f>
        <v>DOĞRU</v>
      </c>
      <c r="D201" s="150" t="s">
        <v>2706</v>
      </c>
      <c r="E201" s="280">
        <f>VLOOKUP(A201,Import!A:J,5,0)</f>
        <v>591</v>
      </c>
      <c r="F201" s="280">
        <f>VLOOKUP(A201,Import!A:J,6,0)</f>
        <v>88</v>
      </c>
      <c r="G201" s="289">
        <f>VLOOKUP(A201,Import!A:J,7,0)</f>
        <v>17</v>
      </c>
      <c r="H201" s="289">
        <f>VLOOKUP(A201,Import!A:J,8,0)</f>
        <v>4</v>
      </c>
      <c r="I201" s="289">
        <f>VLOOKUP(A201,Import!A:J,9,0)</f>
        <v>21</v>
      </c>
      <c r="J201" s="282">
        <f>VLOOKUP(A201,Import!A:J,10,0)</f>
        <v>0.81</v>
      </c>
      <c r="K201" s="290" t="s">
        <v>3200</v>
      </c>
      <c r="L201" s="150">
        <v>5.539876E9</v>
      </c>
      <c r="M201" s="150" t="s">
        <v>1450</v>
      </c>
      <c r="N201" s="150" t="s">
        <v>2716</v>
      </c>
      <c r="O201" s="150" t="s">
        <v>2087</v>
      </c>
      <c r="P201" s="244" t="str">
        <f>VLOOKUP(A201,Import!A:P,16,0)</f>
        <v>Geleneksel</v>
      </c>
      <c r="Q201" s="291"/>
      <c r="R201" s="292" t="b">
        <v>1</v>
      </c>
      <c r="S201" s="293" t="b">
        <v>0</v>
      </c>
      <c r="T201" s="149" t="s">
        <v>2661</v>
      </c>
      <c r="U201" s="149" t="s">
        <v>1791</v>
      </c>
      <c r="V201" s="366" t="s">
        <v>1609</v>
      </c>
      <c r="W201" s="149"/>
      <c r="X201" s="294">
        <v>44531.0</v>
      </c>
      <c r="Y201" s="294">
        <v>44532.0</v>
      </c>
      <c r="Z201" s="288"/>
      <c r="AA201" s="165" t="s">
        <v>2669</v>
      </c>
      <c r="AB201" s="295">
        <v>44531.0</v>
      </c>
      <c r="AC201" s="288"/>
      <c r="AD201" s="288"/>
      <c r="AE201" s="160"/>
      <c r="AF201" s="288"/>
      <c r="AG201" s="160"/>
      <c r="AH201" s="288"/>
      <c r="AI201" s="288"/>
      <c r="AJ201" s="288"/>
      <c r="AK201" s="165" t="s">
        <v>1791</v>
      </c>
      <c r="AL201" s="288"/>
      <c r="AM201" s="288"/>
      <c r="AN201" s="288"/>
      <c r="AO201" s="165"/>
      <c r="AP201" s="150" t="s">
        <v>2663</v>
      </c>
      <c r="AQ201" s="165"/>
    </row>
    <row r="202">
      <c r="A202" s="150" t="s">
        <v>3201</v>
      </c>
      <c r="B202" s="150" t="s">
        <v>3202</v>
      </c>
      <c r="C202" s="175" t="str">
        <f>VLOOKUP(A202,Import!A:C,3,false)</f>
        <v>DOĞRU</v>
      </c>
      <c r="D202" s="150" t="s">
        <v>2724</v>
      </c>
      <c r="E202" s="280">
        <f>VLOOKUP(A202,Import!A:J,5,0)</f>
        <v>372</v>
      </c>
      <c r="F202" s="280">
        <f>VLOOKUP(A202,Import!A:J,6,0)</f>
        <v>27</v>
      </c>
      <c r="G202" s="289">
        <f>VLOOKUP(A202,Import!A:J,7,0)</f>
        <v>24</v>
      </c>
      <c r="H202" s="289">
        <f>VLOOKUP(A202,Import!A:J,8,0)</f>
        <v>28</v>
      </c>
      <c r="I202" s="289">
        <f>VLOOKUP(A202,Import!A:J,9,0)</f>
        <v>52</v>
      </c>
      <c r="J202" s="282">
        <f>VLOOKUP(A202,Import!A:J,10,0)</f>
        <v>0.46</v>
      </c>
      <c r="K202" s="290" t="s">
        <v>3203</v>
      </c>
      <c r="L202" s="150">
        <v>5.013381616E9</v>
      </c>
      <c r="M202" s="150" t="s">
        <v>2666</v>
      </c>
      <c r="N202" s="150" t="s">
        <v>3000</v>
      </c>
      <c r="O202" s="150" t="s">
        <v>3204</v>
      </c>
      <c r="P202" s="244" t="str">
        <f>VLOOKUP(A202,Import!A:P,16,0)</f>
        <v>Geleneksel</v>
      </c>
      <c r="Q202" s="291"/>
      <c r="R202" s="292" t="b">
        <v>1</v>
      </c>
      <c r="S202" s="292" t="b">
        <v>1</v>
      </c>
      <c r="T202" s="149"/>
      <c r="U202" s="296"/>
      <c r="V202" s="296"/>
      <c r="W202" s="149" t="s">
        <v>3205</v>
      </c>
      <c r="X202" s="297"/>
      <c r="Y202" s="297"/>
      <c r="Z202" s="288"/>
      <c r="AA202" s="165" t="s">
        <v>2669</v>
      </c>
      <c r="AB202" s="295">
        <v>44601.0</v>
      </c>
      <c r="AC202" s="288"/>
      <c r="AD202" s="288"/>
      <c r="AE202" s="160"/>
      <c r="AF202" s="288"/>
      <c r="AG202" s="160"/>
      <c r="AH202" s="288"/>
      <c r="AI202" s="288"/>
      <c r="AJ202" s="288"/>
      <c r="AK202" s="165" t="s">
        <v>2474</v>
      </c>
      <c r="AL202" s="288"/>
      <c r="AM202" s="288"/>
      <c r="AN202" s="288"/>
      <c r="AO202" s="165"/>
      <c r="AP202" s="150" t="s">
        <v>2663</v>
      </c>
      <c r="AQ202" s="165"/>
    </row>
    <row r="203">
      <c r="A203" s="150" t="s">
        <v>3206</v>
      </c>
      <c r="B203" s="150" t="s">
        <v>3207</v>
      </c>
      <c r="C203" s="175" t="str">
        <f>VLOOKUP(A203,Import!A:C,3,false)</f>
        <v>DOĞRU</v>
      </c>
      <c r="D203" s="150" t="s">
        <v>2724</v>
      </c>
      <c r="E203" s="280">
        <f>VLOOKUP(A203,Import!A:J,5,0)</f>
        <v>1617</v>
      </c>
      <c r="F203" s="280">
        <f>VLOOKUP(A203,Import!A:J,6,0)</f>
        <v>292</v>
      </c>
      <c r="G203" s="289">
        <f>VLOOKUP(A203,Import!A:J,7,0)</f>
        <v>26</v>
      </c>
      <c r="H203" s="289">
        <f>VLOOKUP(A203,Import!A:J,8,0)</f>
        <v>26</v>
      </c>
      <c r="I203" s="289">
        <f>VLOOKUP(A203,Import!A:J,9,0)</f>
        <v>52</v>
      </c>
      <c r="J203" s="282">
        <f>VLOOKUP(A203,Import!A:J,10,0)</f>
        <v>0.5</v>
      </c>
      <c r="K203" s="290" t="s">
        <v>3203</v>
      </c>
      <c r="L203" s="150">
        <v>5.013381616E9</v>
      </c>
      <c r="M203" s="150" t="s">
        <v>2666</v>
      </c>
      <c r="N203" s="150" t="s">
        <v>2855</v>
      </c>
      <c r="O203" s="150" t="s">
        <v>3208</v>
      </c>
      <c r="P203" s="244" t="str">
        <f>VLOOKUP(A203,Import!A:P,16,0)</f>
        <v>Geleneksel</v>
      </c>
      <c r="Q203" s="291"/>
      <c r="R203" s="292" t="b">
        <v>1</v>
      </c>
      <c r="S203" s="293" t="b">
        <v>0</v>
      </c>
      <c r="T203" s="149" t="s">
        <v>2688</v>
      </c>
      <c r="U203" s="296"/>
      <c r="V203" s="296"/>
      <c r="W203" s="149" t="s">
        <v>3209</v>
      </c>
      <c r="X203" s="297"/>
      <c r="Y203" s="297"/>
      <c r="Z203" s="288"/>
      <c r="AA203" s="165" t="s">
        <v>2693</v>
      </c>
      <c r="AB203" s="295">
        <v>44524.0</v>
      </c>
      <c r="AC203" s="165" t="s">
        <v>2693</v>
      </c>
      <c r="AD203" s="295">
        <v>44524.0</v>
      </c>
      <c r="AE203" s="165" t="s">
        <v>2693</v>
      </c>
      <c r="AF203" s="295">
        <v>44530.0</v>
      </c>
      <c r="AG203" s="165" t="s">
        <v>2688</v>
      </c>
      <c r="AH203" s="295">
        <v>44548.0</v>
      </c>
      <c r="AI203" s="288"/>
      <c r="AJ203" s="288"/>
      <c r="AK203" s="165" t="s">
        <v>819</v>
      </c>
      <c r="AL203" s="165" t="s">
        <v>1717</v>
      </c>
      <c r="AM203" s="165" t="s">
        <v>1911</v>
      </c>
      <c r="AN203" s="165" t="s">
        <v>1621</v>
      </c>
      <c r="AO203" s="165"/>
      <c r="AP203" s="150" t="s">
        <v>2663</v>
      </c>
      <c r="AQ203" s="165"/>
    </row>
    <row r="204">
      <c r="A204" s="244" t="s">
        <v>3210</v>
      </c>
      <c r="B204" s="244" t="s">
        <v>3211</v>
      </c>
      <c r="C204" s="175" t="str">
        <f>VLOOKUP(A204,Import!A:C,3,false)</f>
        <v>YANLIŞ</v>
      </c>
      <c r="D204" s="244" t="s">
        <v>2684</v>
      </c>
      <c r="E204" s="280">
        <f>VLOOKUP(A204,Import!A:J,5,0)</f>
        <v>32</v>
      </c>
      <c r="F204" s="280" t="str">
        <f>VLOOKUP(A204,Import!A:J,6,0)</f>
        <v/>
      </c>
      <c r="G204" s="289">
        <f>VLOOKUP(A204,Import!A:J,7,0)</f>
        <v>0</v>
      </c>
      <c r="H204" s="289">
        <f>VLOOKUP(A204,Import!A:J,8,0)</f>
        <v>23</v>
      </c>
      <c r="I204" s="289">
        <f>VLOOKUP(A204,Import!A:J,9,0)</f>
        <v>23</v>
      </c>
      <c r="J204" s="282">
        <f>VLOOKUP(A204,Import!A:J,10,0)</f>
        <v>0</v>
      </c>
      <c r="K204" s="244" t="str">
        <f>VLOOKUP(A204,Import!A:P,11,0)</f>
        <v>FİLİZ CENGİZ</v>
      </c>
      <c r="L204" s="280">
        <v>5.352628977E9</v>
      </c>
      <c r="M204" s="244" t="s">
        <v>1450</v>
      </c>
      <c r="N204" s="244" t="s">
        <v>2732</v>
      </c>
      <c r="O204" s="244" t="s">
        <v>3212</v>
      </c>
      <c r="P204" s="244" t="str">
        <f>VLOOKUP(A204,Import!A:P,16,0)</f>
        <v>Geleneksel</v>
      </c>
      <c r="Q204" s="291" t="s">
        <v>2760</v>
      </c>
      <c r="R204" s="292" t="b">
        <v>1</v>
      </c>
      <c r="S204" s="293" t="b">
        <v>0</v>
      </c>
      <c r="T204" s="149" t="s">
        <v>2688</v>
      </c>
      <c r="U204" s="296"/>
      <c r="V204" s="296"/>
      <c r="W204" s="149" t="s">
        <v>3213</v>
      </c>
      <c r="X204" s="297"/>
      <c r="Y204" s="297"/>
      <c r="Z204" s="288"/>
      <c r="AA204" s="165" t="s">
        <v>2669</v>
      </c>
      <c r="AB204" s="295">
        <v>44547.0</v>
      </c>
      <c r="AC204" s="288"/>
      <c r="AD204" s="288"/>
      <c r="AE204" s="160"/>
      <c r="AF204" s="288"/>
      <c r="AG204" s="160"/>
      <c r="AH204" s="288"/>
      <c r="AI204" s="288"/>
      <c r="AJ204" s="288"/>
      <c r="AK204" s="165" t="s">
        <v>1971</v>
      </c>
      <c r="AL204" s="288"/>
      <c r="AM204" s="288"/>
      <c r="AN204" s="288"/>
      <c r="AO204" s="288"/>
      <c r="AP204" s="150" t="s">
        <v>2663</v>
      </c>
      <c r="AQ204" s="288"/>
    </row>
    <row r="205">
      <c r="A205" s="150" t="s">
        <v>2122</v>
      </c>
      <c r="B205" s="150" t="s">
        <v>2123</v>
      </c>
      <c r="C205" s="175" t="str">
        <f>VLOOKUP(A205,Import!A:C,3,false)</f>
        <v>DOĞRU</v>
      </c>
      <c r="D205" s="150" t="s">
        <v>2664</v>
      </c>
      <c r="E205" s="280">
        <f>VLOOKUP(A205,Import!A:J,5,0)</f>
        <v>159</v>
      </c>
      <c r="F205" s="280">
        <f>VLOOKUP(A205,Import!A:J,6,0)</f>
        <v>22</v>
      </c>
      <c r="G205" s="289">
        <f>VLOOKUP(A205,Import!A:J,7,0)</f>
        <v>0</v>
      </c>
      <c r="H205" s="289">
        <f>VLOOKUP(A205,Import!A:J,8,0)</f>
        <v>22</v>
      </c>
      <c r="I205" s="289">
        <f>VLOOKUP(A205,Import!A:J,9,0)</f>
        <v>22</v>
      </c>
      <c r="J205" s="282">
        <f>VLOOKUP(A205,Import!A:J,10,0)</f>
        <v>0</v>
      </c>
      <c r="K205" s="290" t="s">
        <v>3214</v>
      </c>
      <c r="L205" s="150">
        <v>5.388958809E9</v>
      </c>
      <c r="M205" s="150" t="s">
        <v>1450</v>
      </c>
      <c r="N205" s="150" t="s">
        <v>2950</v>
      </c>
      <c r="O205" s="150" t="s">
        <v>2126</v>
      </c>
      <c r="P205" s="244" t="str">
        <f>VLOOKUP(A205,Import!A:P,16,0)</f>
        <v>Geleneksel</v>
      </c>
      <c r="Q205" s="291"/>
      <c r="R205" s="292" t="b">
        <v>1</v>
      </c>
      <c r="S205" s="293" t="b">
        <v>0</v>
      </c>
      <c r="T205" s="149" t="s">
        <v>2714</v>
      </c>
      <c r="U205" s="149" t="s">
        <v>1715</v>
      </c>
      <c r="V205" s="296"/>
      <c r="W205" s="149" t="s">
        <v>3215</v>
      </c>
      <c r="X205" s="294">
        <v>44536.0</v>
      </c>
      <c r="Y205" s="294">
        <v>44538.0</v>
      </c>
      <c r="Z205" s="288"/>
      <c r="AA205" s="165" t="s">
        <v>2669</v>
      </c>
      <c r="AB205" s="295">
        <v>44536.0</v>
      </c>
      <c r="AC205" s="165" t="s">
        <v>2669</v>
      </c>
      <c r="AD205" s="295">
        <v>44538.0</v>
      </c>
      <c r="AE205" s="165" t="s">
        <v>2669</v>
      </c>
      <c r="AF205" s="295">
        <v>44561.0</v>
      </c>
      <c r="AG205" s="160"/>
      <c r="AH205" s="288"/>
      <c r="AI205" s="288"/>
      <c r="AJ205" s="288"/>
      <c r="AK205" s="165" t="s">
        <v>1715</v>
      </c>
      <c r="AL205" s="165" t="s">
        <v>1715</v>
      </c>
      <c r="AM205" s="165" t="s">
        <v>1715</v>
      </c>
      <c r="AN205" s="288"/>
      <c r="AO205" s="165"/>
      <c r="AP205" s="150" t="s">
        <v>2663</v>
      </c>
      <c r="AQ205" s="165"/>
    </row>
    <row r="206">
      <c r="A206" s="150" t="s">
        <v>2070</v>
      </c>
      <c r="B206" s="150" t="s">
        <v>2071</v>
      </c>
      <c r="C206" s="175" t="str">
        <f>VLOOKUP(A206,Import!A:C,3,false)</f>
        <v>DOĞRU</v>
      </c>
      <c r="D206" s="162" t="s">
        <v>2867</v>
      </c>
      <c r="E206" s="280">
        <f>VLOOKUP(A206,Import!A:J,5,0)</f>
        <v>15260</v>
      </c>
      <c r="F206" s="280">
        <f>VLOOKUP(A206,Import!A:J,6,0)</f>
        <v>329</v>
      </c>
      <c r="G206" s="289">
        <f>VLOOKUP(A206,Import!A:J,7,0)</f>
        <v>85</v>
      </c>
      <c r="H206" s="289">
        <f>VLOOKUP(A206,Import!A:J,8,0)</f>
        <v>22</v>
      </c>
      <c r="I206" s="289">
        <f>VLOOKUP(A206,Import!A:J,9,0)</f>
        <v>107</v>
      </c>
      <c r="J206" s="282">
        <f>VLOOKUP(A206,Import!A:J,10,0)</f>
        <v>0.79</v>
      </c>
      <c r="K206" s="244" t="str">
        <f>VLOOKUP(A206,Import!A:P,11,0)</f>
        <v>FURKAN SEYDAN</v>
      </c>
      <c r="L206" s="162">
        <v>2.22323609E9</v>
      </c>
      <c r="M206" s="162" t="s">
        <v>2666</v>
      </c>
      <c r="N206" s="162" t="s">
        <v>2855</v>
      </c>
      <c r="O206" s="162" t="s">
        <v>2073</v>
      </c>
      <c r="P206" s="244" t="str">
        <f>VLOOKUP(A206,Import!A:P,16,0)</f>
        <v>Geleneksel</v>
      </c>
      <c r="Q206" s="284" t="s">
        <v>2713</v>
      </c>
      <c r="R206" s="285" t="b">
        <v>1</v>
      </c>
      <c r="S206" s="285" t="b">
        <v>0</v>
      </c>
      <c r="T206" s="145" t="s">
        <v>2661</v>
      </c>
      <c r="U206" s="145" t="s">
        <v>1911</v>
      </c>
      <c r="V206" s="243" t="s">
        <v>1609</v>
      </c>
      <c r="W206" s="145" t="s">
        <v>3216</v>
      </c>
      <c r="X206" s="367">
        <v>44525.0</v>
      </c>
      <c r="Y206" s="367">
        <v>44530.0</v>
      </c>
      <c r="Z206" s="288"/>
      <c r="AA206" s="165" t="s">
        <v>2669</v>
      </c>
      <c r="AB206" s="295">
        <v>44525.0</v>
      </c>
      <c r="AC206" s="288"/>
      <c r="AD206" s="288"/>
      <c r="AE206" s="160"/>
      <c r="AF206" s="288"/>
      <c r="AG206" s="160"/>
      <c r="AH206" s="288"/>
      <c r="AI206" s="288"/>
      <c r="AJ206" s="288"/>
      <c r="AK206" s="165" t="s">
        <v>1911</v>
      </c>
      <c r="AL206" s="288"/>
      <c r="AM206" s="288"/>
      <c r="AN206" s="288"/>
      <c r="AO206" s="288"/>
      <c r="AP206" s="150" t="s">
        <v>2663</v>
      </c>
      <c r="AQ206" s="288"/>
    </row>
    <row r="207">
      <c r="A207" s="150" t="s">
        <v>3217</v>
      </c>
      <c r="B207" s="150" t="s">
        <v>3218</v>
      </c>
      <c r="C207" s="175" t="str">
        <f>VLOOKUP(A207,Import!A:C,3,false)</f>
        <v>DOĞRU</v>
      </c>
      <c r="D207" s="150" t="s">
        <v>2684</v>
      </c>
      <c r="E207" s="280">
        <f>VLOOKUP(A207,Import!A:J,5,0)</f>
        <v>352</v>
      </c>
      <c r="F207" s="280">
        <f>VLOOKUP(A207,Import!A:J,6,0)</f>
        <v>173</v>
      </c>
      <c r="G207" s="289">
        <f>VLOOKUP(A207,Import!A:J,7,0)</f>
        <v>0</v>
      </c>
      <c r="H207" s="289">
        <f>VLOOKUP(A207,Import!A:J,8,0)</f>
        <v>62</v>
      </c>
      <c r="I207" s="289">
        <f>VLOOKUP(A207,Import!A:J,9,0)</f>
        <v>62</v>
      </c>
      <c r="J207" s="282">
        <f>VLOOKUP(A207,Import!A:J,10,0)</f>
        <v>0</v>
      </c>
      <c r="K207" s="290" t="s">
        <v>3219</v>
      </c>
      <c r="L207" s="150">
        <v>5.461550049E9</v>
      </c>
      <c r="M207" s="150" t="s">
        <v>2666</v>
      </c>
      <c r="N207" s="150" t="s">
        <v>2682</v>
      </c>
      <c r="O207" s="150" t="s">
        <v>3220</v>
      </c>
      <c r="P207" s="244" t="str">
        <f>VLOOKUP(A207,Import!A:P,16,0)</f>
        <v>Geleneksel</v>
      </c>
      <c r="Q207" s="291"/>
      <c r="R207" s="292" t="b">
        <v>1</v>
      </c>
      <c r="S207" s="292" t="b">
        <v>1</v>
      </c>
      <c r="T207" s="149"/>
      <c r="U207" s="296"/>
      <c r="V207" s="296"/>
      <c r="W207" s="149" t="s">
        <v>3221</v>
      </c>
      <c r="X207" s="297"/>
      <c r="Y207" s="297"/>
      <c r="Z207" s="288"/>
      <c r="AA207" s="165" t="s">
        <v>2669</v>
      </c>
      <c r="AB207" s="295">
        <v>44648.0</v>
      </c>
      <c r="AC207" s="288"/>
      <c r="AD207" s="288"/>
      <c r="AE207" s="160"/>
      <c r="AF207" s="288"/>
      <c r="AG207" s="160"/>
      <c r="AH207" s="288"/>
      <c r="AI207" s="288"/>
      <c r="AJ207" s="288"/>
      <c r="AK207" s="165" t="s">
        <v>1791</v>
      </c>
      <c r="AL207" s="288"/>
      <c r="AM207" s="288"/>
      <c r="AN207" s="288"/>
      <c r="AO207" s="165"/>
      <c r="AP207" s="150"/>
      <c r="AQ207" s="165"/>
    </row>
    <row r="208">
      <c r="A208" s="150" t="s">
        <v>938</v>
      </c>
      <c r="B208" s="150" t="s">
        <v>939</v>
      </c>
      <c r="C208" s="175" t="str">
        <f>VLOOKUP(A208,Import!A:C,3,false)</f>
        <v>DOĞRU</v>
      </c>
      <c r="D208" s="150" t="s">
        <v>2763</v>
      </c>
      <c r="E208" s="280">
        <f>VLOOKUP(A208,Import!A:J,5,0)</f>
        <v>1018</v>
      </c>
      <c r="F208" s="280">
        <f>VLOOKUP(A208,Import!A:J,6,0)</f>
        <v>10</v>
      </c>
      <c r="G208" s="289">
        <f>VLOOKUP(A208,Import!A:J,7,0)</f>
        <v>7</v>
      </c>
      <c r="H208" s="289">
        <f>VLOOKUP(A208,Import!A:J,8,0)</f>
        <v>8</v>
      </c>
      <c r="I208" s="289">
        <f>VLOOKUP(A208,Import!A:J,9,0)</f>
        <v>15</v>
      </c>
      <c r="J208" s="282">
        <f>VLOOKUP(A208,Import!A:J,10,0)</f>
        <v>0.47</v>
      </c>
      <c r="K208" s="244" t="str">
        <f>VLOOKUP(A208,Import!A:P,11,0)</f>
        <v>Zeynep Ersoy</v>
      </c>
      <c r="L208" s="150">
        <v>2.222264721E9</v>
      </c>
      <c r="M208" s="150" t="s">
        <v>1450</v>
      </c>
      <c r="N208" s="150" t="s">
        <v>2707</v>
      </c>
      <c r="O208" s="150" t="s">
        <v>942</v>
      </c>
      <c r="P208" s="244" t="str">
        <f>VLOOKUP(A208,Import!A:P,16,0)</f>
        <v>Geleneksel</v>
      </c>
      <c r="Q208" s="291" t="s">
        <v>2686</v>
      </c>
      <c r="R208" s="292" t="b">
        <v>1</v>
      </c>
      <c r="S208" s="293" t="b">
        <v>0</v>
      </c>
      <c r="T208" s="149" t="s">
        <v>2661</v>
      </c>
      <c r="U208" s="149" t="s">
        <v>937</v>
      </c>
      <c r="V208" s="149" t="s">
        <v>13</v>
      </c>
      <c r="W208" s="149"/>
      <c r="X208" s="294">
        <v>44258.0</v>
      </c>
      <c r="Y208" s="294">
        <v>44259.0</v>
      </c>
      <c r="Z208" s="288"/>
      <c r="AA208" s="288"/>
      <c r="AB208" s="288"/>
      <c r="AC208" s="288"/>
      <c r="AD208" s="288"/>
      <c r="AE208" s="160"/>
      <c r="AF208" s="288"/>
      <c r="AG208" s="160"/>
      <c r="AH208" s="288"/>
      <c r="AI208" s="288"/>
      <c r="AJ208" s="288"/>
      <c r="AK208" s="288"/>
      <c r="AL208" s="288"/>
      <c r="AM208" s="288"/>
      <c r="AN208" s="288"/>
      <c r="AO208" s="288"/>
      <c r="AP208" s="150" t="s">
        <v>2663</v>
      </c>
      <c r="AQ208" s="288"/>
    </row>
    <row r="209">
      <c r="A209" s="150" t="s">
        <v>2187</v>
      </c>
      <c r="B209" s="150" t="s">
        <v>2188</v>
      </c>
      <c r="C209" s="175" t="str">
        <f>VLOOKUP(A209,Import!A:C,3,false)</f>
        <v>DOĞRU</v>
      </c>
      <c r="D209" s="150" t="s">
        <v>2751</v>
      </c>
      <c r="E209" s="280">
        <f>VLOOKUP(A209,Import!A:J,5,0)</f>
        <v>3373</v>
      </c>
      <c r="F209" s="280">
        <f>VLOOKUP(A209,Import!A:J,6,0)</f>
        <v>165</v>
      </c>
      <c r="G209" s="289">
        <f>VLOOKUP(A209,Import!A:J,7,0)</f>
        <v>0</v>
      </c>
      <c r="H209" s="289">
        <f>VLOOKUP(A209,Import!A:J,8,0)</f>
        <v>90</v>
      </c>
      <c r="I209" s="289">
        <f>VLOOKUP(A209,Import!A:J,9,0)</f>
        <v>90</v>
      </c>
      <c r="J209" s="282">
        <f>VLOOKUP(A209,Import!A:J,10,0)</f>
        <v>0</v>
      </c>
      <c r="K209" s="244" t="str">
        <f>VLOOKUP(A209,Import!A:P,11,0)</f>
        <v>BEKLAN GENCER</v>
      </c>
      <c r="L209" s="150">
        <v>2.224087893E9</v>
      </c>
      <c r="M209" s="150" t="s">
        <v>1450</v>
      </c>
      <c r="N209" s="150" t="s">
        <v>2700</v>
      </c>
      <c r="O209" s="150" t="s">
        <v>2190</v>
      </c>
      <c r="P209" s="244" t="str">
        <f>VLOOKUP(A209,Import!A:P,16,0)</f>
        <v>Geleneksel</v>
      </c>
      <c r="Q209" s="291" t="s">
        <v>2713</v>
      </c>
      <c r="R209" s="292" t="b">
        <v>1</v>
      </c>
      <c r="S209" s="293" t="b">
        <v>0</v>
      </c>
      <c r="T209" s="149" t="s">
        <v>2770</v>
      </c>
      <c r="U209" s="149" t="s">
        <v>2161</v>
      </c>
      <c r="V209" s="149" t="s">
        <v>2835</v>
      </c>
      <c r="W209" s="149" t="s">
        <v>3222</v>
      </c>
      <c r="X209" s="294">
        <v>44546.0</v>
      </c>
      <c r="Y209" s="294">
        <v>44559.0</v>
      </c>
      <c r="Z209" s="288"/>
      <c r="AA209" s="165" t="s">
        <v>2693</v>
      </c>
      <c r="AB209" s="295">
        <v>44379.0</v>
      </c>
      <c r="AC209" s="165" t="s">
        <v>2772</v>
      </c>
      <c r="AD209" s="295">
        <v>44499.0</v>
      </c>
      <c r="AE209" s="165" t="s">
        <v>2693</v>
      </c>
      <c r="AF209" s="295">
        <v>44503.0</v>
      </c>
      <c r="AG209" s="165" t="s">
        <v>2669</v>
      </c>
      <c r="AH209" s="295">
        <v>44541.0</v>
      </c>
      <c r="AI209" s="165" t="s">
        <v>2772</v>
      </c>
      <c r="AJ209" s="295">
        <v>44628.0</v>
      </c>
      <c r="AK209" s="165" t="s">
        <v>2718</v>
      </c>
      <c r="AL209" s="165" t="s">
        <v>819</v>
      </c>
      <c r="AM209" s="165" t="s">
        <v>2161</v>
      </c>
      <c r="AN209" s="165" t="s">
        <v>2161</v>
      </c>
      <c r="AO209" s="165" t="s">
        <v>819</v>
      </c>
      <c r="AP209" s="150" t="s">
        <v>2663</v>
      </c>
      <c r="AQ209" s="288"/>
    </row>
    <row r="210">
      <c r="A210" s="150" t="s">
        <v>931</v>
      </c>
      <c r="B210" s="150" t="s">
        <v>932</v>
      </c>
      <c r="C210" s="175" t="str">
        <f>VLOOKUP(A210,Import!A:C,3,false)</f>
        <v>DOĞRU</v>
      </c>
      <c r="D210" s="150" t="s">
        <v>2706</v>
      </c>
      <c r="E210" s="280">
        <f>VLOOKUP(A210,Import!A:J,5,0)</f>
        <v>1178</v>
      </c>
      <c r="F210" s="280">
        <f>VLOOKUP(A210,Import!A:J,6,0)</f>
        <v>15</v>
      </c>
      <c r="G210" s="289">
        <f>VLOOKUP(A210,Import!A:J,7,0)</f>
        <v>11</v>
      </c>
      <c r="H210" s="289">
        <f>VLOOKUP(A210,Import!A:J,8,0)</f>
        <v>17</v>
      </c>
      <c r="I210" s="289">
        <f>VLOOKUP(A210,Import!A:J,9,0)</f>
        <v>28</v>
      </c>
      <c r="J210" s="282">
        <f>VLOOKUP(A210,Import!A:J,10,0)</f>
        <v>0.39</v>
      </c>
      <c r="K210" s="244" t="str">
        <f>VLOOKUP(A210,Import!A:P,11,0)</f>
        <v>Fatih Ersoy</v>
      </c>
      <c r="L210" s="150">
        <v>5.527033431E9</v>
      </c>
      <c r="M210" s="150" t="s">
        <v>2666</v>
      </c>
      <c r="N210" s="150" t="s">
        <v>2711</v>
      </c>
      <c r="O210" s="150" t="s">
        <v>935</v>
      </c>
      <c r="P210" s="244" t="str">
        <f>VLOOKUP(A210,Import!A:P,16,0)</f>
        <v>Geleneksel</v>
      </c>
      <c r="Q210" s="291" t="s">
        <v>2686</v>
      </c>
      <c r="R210" s="292" t="b">
        <v>1</v>
      </c>
      <c r="S210" s="293" t="b">
        <v>0</v>
      </c>
      <c r="T210" s="149" t="s">
        <v>2661</v>
      </c>
      <c r="U210" s="149" t="s">
        <v>1000</v>
      </c>
      <c r="V210" s="101" t="s">
        <v>13</v>
      </c>
      <c r="W210" s="149" t="s">
        <v>3223</v>
      </c>
      <c r="X210" s="294">
        <v>44270.0</v>
      </c>
      <c r="Y210" s="294">
        <v>44271.0</v>
      </c>
      <c r="Z210" s="288"/>
      <c r="AA210" s="165" t="s">
        <v>2693</v>
      </c>
      <c r="AB210" s="295">
        <v>44530.0</v>
      </c>
      <c r="AC210" s="288"/>
      <c r="AD210" s="288"/>
      <c r="AE210" s="160"/>
      <c r="AF210" s="288"/>
      <c r="AG210" s="160"/>
      <c r="AH210" s="288"/>
      <c r="AI210" s="288"/>
      <c r="AJ210" s="288"/>
      <c r="AK210" s="165" t="s">
        <v>943</v>
      </c>
      <c r="AL210" s="288"/>
      <c r="AM210" s="288"/>
      <c r="AN210" s="288"/>
      <c r="AO210" s="288"/>
      <c r="AP210" s="150" t="s">
        <v>2663</v>
      </c>
      <c r="AQ210" s="288"/>
    </row>
    <row r="211">
      <c r="A211" s="150" t="s">
        <v>3224</v>
      </c>
      <c r="B211" s="150" t="s">
        <v>3225</v>
      </c>
      <c r="C211" s="175" t="str">
        <f>VLOOKUP(A211,Import!A:C,3,false)</f>
        <v>DOĞRU</v>
      </c>
      <c r="D211" s="150" t="s">
        <v>2867</v>
      </c>
      <c r="E211" s="280">
        <f>VLOOKUP(A211,Import!A:J,5,0)</f>
        <v>219</v>
      </c>
      <c r="F211" s="280">
        <f>VLOOKUP(A211,Import!A:J,6,0)</f>
        <v>75</v>
      </c>
      <c r="G211" s="289">
        <f>VLOOKUP(A211,Import!A:J,7,0)</f>
        <v>0</v>
      </c>
      <c r="H211" s="289">
        <f>VLOOKUP(A211,Import!A:J,8,0)</f>
        <v>21</v>
      </c>
      <c r="I211" s="289">
        <f>VLOOKUP(A211,Import!A:J,9,0)</f>
        <v>21</v>
      </c>
      <c r="J211" s="282">
        <f>VLOOKUP(A211,Import!A:J,10,0)</f>
        <v>0</v>
      </c>
      <c r="K211" s="290" t="s">
        <v>3226</v>
      </c>
      <c r="L211" s="150">
        <v>2.22323609E9</v>
      </c>
      <c r="M211" s="150" t="s">
        <v>2666</v>
      </c>
      <c r="N211" s="150" t="s">
        <v>2855</v>
      </c>
      <c r="O211" s="150" t="s">
        <v>2073</v>
      </c>
      <c r="P211" s="244" t="str">
        <f>VLOOKUP(A211,Import!A:P,16,0)</f>
        <v>Geleneksel</v>
      </c>
      <c r="Q211" s="291"/>
      <c r="R211" s="292" t="b">
        <v>1</v>
      </c>
      <c r="S211" s="293" t="b">
        <v>0</v>
      </c>
      <c r="T211" s="149" t="s">
        <v>2693</v>
      </c>
      <c r="U211" s="296"/>
      <c r="V211" s="6"/>
      <c r="W211" s="149" t="s">
        <v>2759</v>
      </c>
      <c r="X211" s="297"/>
      <c r="Y211" s="297"/>
      <c r="Z211" s="288"/>
      <c r="AA211" s="165" t="s">
        <v>2693</v>
      </c>
      <c r="AB211" s="295">
        <v>44596.0</v>
      </c>
      <c r="AC211" s="288"/>
      <c r="AD211" s="288"/>
      <c r="AE211" s="160"/>
      <c r="AF211" s="288"/>
      <c r="AG211" s="160"/>
      <c r="AH211" s="288"/>
      <c r="AI211" s="288"/>
      <c r="AJ211" s="288"/>
      <c r="AK211" s="165" t="s">
        <v>819</v>
      </c>
      <c r="AL211" s="288"/>
      <c r="AM211" s="288"/>
      <c r="AN211" s="288"/>
      <c r="AO211" s="165"/>
      <c r="AP211" s="150"/>
      <c r="AQ211" s="165"/>
    </row>
    <row r="212">
      <c r="A212" s="150" t="s">
        <v>3227</v>
      </c>
      <c r="B212" s="150" t="s">
        <v>3228</v>
      </c>
      <c r="C212" s="175" t="str">
        <f>VLOOKUP(A212,Import!A:C,3,false)</f>
        <v>DOĞRU</v>
      </c>
      <c r="D212" s="150" t="s">
        <v>2706</v>
      </c>
      <c r="E212" s="280">
        <f>VLOOKUP(A212,Import!A:J,5,0)</f>
        <v>2</v>
      </c>
      <c r="F212" s="280" t="str">
        <f>VLOOKUP(A212,Import!A:J,6,0)</f>
        <v/>
      </c>
      <c r="G212" s="289">
        <f>VLOOKUP(A212,Import!A:J,7,0)</f>
        <v>0</v>
      </c>
      <c r="H212" s="289">
        <f>VLOOKUP(A212,Import!A:J,8,0)</f>
        <v>45</v>
      </c>
      <c r="I212" s="289">
        <f>VLOOKUP(A212,Import!A:J,9,0)</f>
        <v>45</v>
      </c>
      <c r="J212" s="282">
        <f>VLOOKUP(A212,Import!A:J,10,0)</f>
        <v>0</v>
      </c>
      <c r="K212" s="290" t="s">
        <v>3229</v>
      </c>
      <c r="L212" s="150">
        <v>5.302278282E9</v>
      </c>
      <c r="M212" s="150" t="s">
        <v>1450</v>
      </c>
      <c r="N212" s="150" t="s">
        <v>2700</v>
      </c>
      <c r="O212" s="150" t="s">
        <v>3230</v>
      </c>
      <c r="P212" s="244" t="str">
        <f>VLOOKUP(A212,Import!A:P,16,0)</f>
        <v>Geleneksel</v>
      </c>
      <c r="Q212" s="291"/>
      <c r="R212" s="292" t="b">
        <v>1</v>
      </c>
      <c r="S212" s="292" t="b">
        <v>1</v>
      </c>
      <c r="T212" s="296"/>
      <c r="U212" s="296"/>
      <c r="V212" s="296"/>
      <c r="W212" s="149" t="s">
        <v>3231</v>
      </c>
      <c r="X212" s="297"/>
      <c r="Y212" s="297"/>
      <c r="Z212" s="288"/>
      <c r="AA212" s="165" t="s">
        <v>2688</v>
      </c>
      <c r="AB212" s="295">
        <v>44620.0</v>
      </c>
      <c r="AC212" s="165" t="s">
        <v>2669</v>
      </c>
      <c r="AD212" s="295">
        <v>44621.0</v>
      </c>
      <c r="AE212" s="165" t="s">
        <v>2669</v>
      </c>
      <c r="AF212" s="295">
        <v>44628.0</v>
      </c>
      <c r="AG212" s="160"/>
      <c r="AH212" s="288"/>
      <c r="AI212" s="288"/>
      <c r="AJ212" s="288"/>
      <c r="AK212" s="165" t="s">
        <v>819</v>
      </c>
      <c r="AL212" s="165" t="s">
        <v>1791</v>
      </c>
      <c r="AM212" s="165" t="s">
        <v>1791</v>
      </c>
      <c r="AN212" s="288"/>
      <c r="AO212" s="165"/>
      <c r="AP212" s="150"/>
      <c r="AQ212" s="165"/>
    </row>
    <row r="213">
      <c r="A213" s="150" t="s">
        <v>489</v>
      </c>
      <c r="B213" s="150" t="s">
        <v>490</v>
      </c>
      <c r="C213" s="175" t="str">
        <f>VLOOKUP(A213,Import!A:C,3,false)</f>
        <v>DOĞRU</v>
      </c>
      <c r="D213" s="150" t="s">
        <v>2867</v>
      </c>
      <c r="E213" s="280">
        <f>VLOOKUP(A213,Import!A:J,5,0)</f>
        <v>24099</v>
      </c>
      <c r="F213" s="280">
        <f>VLOOKUP(A213,Import!A:J,6,0)</f>
        <v>734</v>
      </c>
      <c r="G213" s="289">
        <f>VLOOKUP(A213,Import!A:J,7,0)</f>
        <v>31</v>
      </c>
      <c r="H213" s="289">
        <f>VLOOKUP(A213,Import!A:J,8,0)</f>
        <v>46</v>
      </c>
      <c r="I213" s="289">
        <f>VLOOKUP(A213,Import!A:J,9,0)</f>
        <v>77</v>
      </c>
      <c r="J213" s="282">
        <f>VLOOKUP(A213,Import!A:J,10,0)</f>
        <v>0.4</v>
      </c>
      <c r="K213" s="244" t="str">
        <f>VLOOKUP(A213,Import!A:P,11,0)</f>
        <v>AHMET DURUEL</v>
      </c>
      <c r="L213" s="150">
        <v>5.52935781E9</v>
      </c>
      <c r="M213" s="150" t="s">
        <v>1450</v>
      </c>
      <c r="N213" s="150" t="s">
        <v>2732</v>
      </c>
      <c r="O213" s="150" t="s">
        <v>492</v>
      </c>
      <c r="P213" s="244" t="str">
        <f>VLOOKUP(A213,Import!A:P,16,0)</f>
        <v>Geleneksel</v>
      </c>
      <c r="Q213" s="291" t="s">
        <v>2713</v>
      </c>
      <c r="R213" s="292" t="b">
        <v>1</v>
      </c>
      <c r="S213" s="293" t="b">
        <v>0</v>
      </c>
      <c r="T213" s="149" t="s">
        <v>2661</v>
      </c>
      <c r="U213" s="149" t="s">
        <v>1791</v>
      </c>
      <c r="V213" s="269" t="s">
        <v>1609</v>
      </c>
      <c r="X213" s="294">
        <v>44531.0</v>
      </c>
      <c r="Y213" s="294">
        <v>44532.0</v>
      </c>
      <c r="Z213" s="288"/>
      <c r="AA213" s="165" t="s">
        <v>2669</v>
      </c>
      <c r="AB213" s="295">
        <v>44494.0</v>
      </c>
      <c r="AC213" s="165" t="s">
        <v>2669</v>
      </c>
      <c r="AD213" s="295">
        <v>44531.0</v>
      </c>
      <c r="AE213" s="165" t="s">
        <v>2669</v>
      </c>
      <c r="AF213" s="295">
        <v>44641.0</v>
      </c>
      <c r="AG213" s="160"/>
      <c r="AH213" s="288"/>
      <c r="AI213" s="288"/>
      <c r="AJ213" s="288"/>
      <c r="AK213" s="165" t="s">
        <v>1791</v>
      </c>
      <c r="AL213" s="165" t="s">
        <v>1791</v>
      </c>
      <c r="AM213" s="165" t="s">
        <v>1791</v>
      </c>
      <c r="AN213" s="288"/>
      <c r="AO213" s="288"/>
      <c r="AP213" s="150" t="s">
        <v>2663</v>
      </c>
      <c r="AQ213" s="288"/>
    </row>
    <row r="214">
      <c r="A214" s="244" t="s">
        <v>465</v>
      </c>
      <c r="B214" s="244" t="s">
        <v>466</v>
      </c>
      <c r="C214" s="175" t="str">
        <f>VLOOKUP(A214,Import!A:C,3,false)</f>
        <v>YANLIŞ</v>
      </c>
      <c r="D214" s="244" t="s">
        <v>2672</v>
      </c>
      <c r="E214" s="280">
        <f>VLOOKUP(A214,Import!A:J,5,0)</f>
        <v>1302</v>
      </c>
      <c r="F214" s="280" t="str">
        <f>VLOOKUP(A214,Import!A:J,6,0)</f>
        <v/>
      </c>
      <c r="G214" s="289">
        <f>VLOOKUP(A214,Import!A:J,7,0)</f>
        <v>4</v>
      </c>
      <c r="H214" s="289">
        <f>VLOOKUP(A214,Import!A:J,8,0)</f>
        <v>3</v>
      </c>
      <c r="I214" s="289">
        <f>VLOOKUP(A214,Import!A:J,9,0)</f>
        <v>7</v>
      </c>
      <c r="J214" s="282">
        <f>VLOOKUP(A214,Import!A:J,10,0)</f>
        <v>0.57</v>
      </c>
      <c r="K214" s="244" t="str">
        <f>VLOOKUP(A214,Import!A:P,11,0)</f>
        <v>SEMİH ONUR</v>
      </c>
      <c r="L214" s="280">
        <v>5.528253826E9</v>
      </c>
      <c r="M214" s="244" t="s">
        <v>1450</v>
      </c>
      <c r="N214" s="244" t="s">
        <v>2732</v>
      </c>
      <c r="O214" s="244" t="s">
        <v>464</v>
      </c>
      <c r="P214" s="244" t="str">
        <f>VLOOKUP(A214,Import!A:P,16,0)</f>
        <v>Geleneksel</v>
      </c>
      <c r="Q214" s="291" t="s">
        <v>2660</v>
      </c>
      <c r="R214" s="292" t="b">
        <v>1</v>
      </c>
      <c r="S214" s="293" t="b">
        <v>0</v>
      </c>
      <c r="T214" s="165" t="s">
        <v>2661</v>
      </c>
      <c r="U214" s="165"/>
      <c r="V214" s="339" t="s">
        <v>46</v>
      </c>
      <c r="W214" s="165" t="s">
        <v>3232</v>
      </c>
      <c r="X214" s="295">
        <v>44238.0</v>
      </c>
      <c r="Y214" s="295">
        <v>44244.0</v>
      </c>
      <c r="Z214" s="288"/>
      <c r="AA214" s="165" t="s">
        <v>2669</v>
      </c>
      <c r="AB214" s="295">
        <v>44495.0</v>
      </c>
      <c r="AC214" s="288"/>
      <c r="AD214" s="288"/>
      <c r="AE214" s="160"/>
      <c r="AF214" s="288"/>
      <c r="AG214" s="160"/>
      <c r="AH214" s="288"/>
      <c r="AI214" s="288"/>
      <c r="AJ214" s="288"/>
      <c r="AK214" s="165" t="s">
        <v>819</v>
      </c>
      <c r="AL214" s="288"/>
      <c r="AM214" s="288"/>
      <c r="AN214" s="288"/>
      <c r="AO214" s="288"/>
      <c r="AP214" s="150" t="s">
        <v>2663</v>
      </c>
      <c r="AQ214" s="288"/>
    </row>
    <row r="215">
      <c r="A215" s="150" t="s">
        <v>1648</v>
      </c>
      <c r="B215" s="150" t="s">
        <v>1649</v>
      </c>
      <c r="C215" s="175" t="str">
        <f>VLOOKUP(A215,Import!A:C,3,false)</f>
        <v>DOĞRU</v>
      </c>
      <c r="D215" s="150" t="s">
        <v>2664</v>
      </c>
      <c r="E215" s="280">
        <f>VLOOKUP(A215,Import!A:J,5,0)</f>
        <v>967</v>
      </c>
      <c r="F215" s="280">
        <f>VLOOKUP(A215,Import!A:J,6,0)</f>
        <v>17</v>
      </c>
      <c r="G215" s="289">
        <f>VLOOKUP(A215,Import!A:J,7,0)</f>
        <v>7</v>
      </c>
      <c r="H215" s="289">
        <f>VLOOKUP(A215,Import!A:J,8,0)</f>
        <v>31</v>
      </c>
      <c r="I215" s="289">
        <f>VLOOKUP(A215,Import!A:J,9,0)</f>
        <v>38</v>
      </c>
      <c r="J215" s="282">
        <f>VLOOKUP(A215,Import!A:J,10,0)</f>
        <v>0.18</v>
      </c>
      <c r="K215" s="244" t="str">
        <f>VLOOKUP(A215,Import!A:P,11,0)</f>
        <v>ALAATTİN KARABİBER</v>
      </c>
      <c r="L215" s="150">
        <v>5.4186026E9</v>
      </c>
      <c r="M215" s="150" t="s">
        <v>1450</v>
      </c>
      <c r="N215" s="150" t="s">
        <v>2700</v>
      </c>
      <c r="O215" s="150" t="s">
        <v>1651</v>
      </c>
      <c r="P215" s="244" t="str">
        <f>VLOOKUP(A215,Import!A:P,16,0)</f>
        <v>Geleneksel</v>
      </c>
      <c r="Q215" s="291"/>
      <c r="R215" s="292" t="b">
        <v>1</v>
      </c>
      <c r="S215" s="293" t="b">
        <v>0</v>
      </c>
      <c r="T215" s="149" t="s">
        <v>2661</v>
      </c>
      <c r="U215" s="149" t="s">
        <v>819</v>
      </c>
      <c r="V215" s="313" t="s">
        <v>1609</v>
      </c>
      <c r="W215" s="149" t="s">
        <v>3233</v>
      </c>
      <c r="X215" s="294">
        <v>44482.0</v>
      </c>
      <c r="Y215" s="294">
        <v>44484.0</v>
      </c>
      <c r="Z215" s="288"/>
      <c r="AA215" s="165" t="s">
        <v>2669</v>
      </c>
      <c r="AB215" s="295">
        <v>44481.0</v>
      </c>
      <c r="AC215" s="165" t="s">
        <v>2669</v>
      </c>
      <c r="AD215" s="295">
        <v>44482.0</v>
      </c>
      <c r="AE215" s="165" t="s">
        <v>2669</v>
      </c>
      <c r="AF215" s="295">
        <v>44539.0</v>
      </c>
      <c r="AG215" s="160"/>
      <c r="AH215" s="288"/>
      <c r="AI215" s="288"/>
      <c r="AJ215" s="288"/>
      <c r="AK215" s="165" t="s">
        <v>1621</v>
      </c>
      <c r="AL215" s="165" t="s">
        <v>819</v>
      </c>
      <c r="AM215" s="165" t="s">
        <v>1911</v>
      </c>
      <c r="AN215" s="288"/>
      <c r="AO215" s="288"/>
      <c r="AP215" s="150" t="s">
        <v>2663</v>
      </c>
      <c r="AQ215" s="288"/>
    </row>
    <row r="216">
      <c r="A216" s="244" t="s">
        <v>716</v>
      </c>
      <c r="B216" s="244" t="s">
        <v>717</v>
      </c>
      <c r="C216" s="175" t="str">
        <f>VLOOKUP(A216,Import!A:C,3,false)</f>
        <v>DOĞRU</v>
      </c>
      <c r="D216" s="362" t="s">
        <v>2658</v>
      </c>
      <c r="E216" s="280">
        <f>VLOOKUP(A216,Import!A:J,5,0)</f>
        <v>2100</v>
      </c>
      <c r="F216" s="280">
        <f>VLOOKUP(A216,Import!A:J,6,0)</f>
        <v>38</v>
      </c>
      <c r="G216" s="289">
        <f>VLOOKUP(A216,Import!A:J,7,0)</f>
        <v>0</v>
      </c>
      <c r="H216" s="289">
        <f>VLOOKUP(A216,Import!A:J,8,0)</f>
        <v>15</v>
      </c>
      <c r="I216" s="289">
        <f>VLOOKUP(A216,Import!A:J,9,0)</f>
        <v>15</v>
      </c>
      <c r="J216" s="282">
        <f>VLOOKUP(A216,Import!A:J,10,0)</f>
        <v>0</v>
      </c>
      <c r="K216" s="244" t="str">
        <f>VLOOKUP(A216,Import!A:P,11,0)</f>
        <v>SEVİL İNLER</v>
      </c>
      <c r="L216" s="280">
        <v>2.22220044E9</v>
      </c>
      <c r="M216" s="244" t="s">
        <v>1450</v>
      </c>
      <c r="N216" s="244" t="s">
        <v>2795</v>
      </c>
      <c r="O216" s="244" t="s">
        <v>719</v>
      </c>
      <c r="P216" s="244" t="str">
        <f>VLOOKUP(A216,Import!A:P,16,0)</f>
        <v>Geleneksel</v>
      </c>
      <c r="Q216" s="291" t="s">
        <v>2686</v>
      </c>
      <c r="R216" s="292" t="b">
        <v>1</v>
      </c>
      <c r="S216" s="293" t="b">
        <v>0</v>
      </c>
      <c r="T216" s="165"/>
      <c r="U216" s="165"/>
      <c r="V216" s="165" t="s">
        <v>31</v>
      </c>
      <c r="W216" s="165" t="s">
        <v>3234</v>
      </c>
      <c r="X216" s="295">
        <v>44245.0</v>
      </c>
      <c r="Y216" s="295">
        <v>44251.0</v>
      </c>
      <c r="Z216" s="288"/>
      <c r="AA216" s="165" t="s">
        <v>2699</v>
      </c>
      <c r="AB216" s="295">
        <v>44547.0</v>
      </c>
      <c r="AC216" s="165" t="s">
        <v>2669</v>
      </c>
      <c r="AD216" s="295">
        <v>44568.0</v>
      </c>
      <c r="AE216" s="160"/>
      <c r="AF216" s="288"/>
      <c r="AG216" s="160"/>
      <c r="AH216" s="288"/>
      <c r="AI216" s="288"/>
      <c r="AJ216" s="288"/>
      <c r="AK216" s="165" t="s">
        <v>1971</v>
      </c>
      <c r="AL216" s="165" t="s">
        <v>1715</v>
      </c>
      <c r="AM216" s="288"/>
      <c r="AN216" s="288"/>
      <c r="AO216" s="288"/>
      <c r="AP216" s="150" t="s">
        <v>2663</v>
      </c>
      <c r="AQ216" s="288"/>
    </row>
    <row r="217">
      <c r="A217" s="150" t="s">
        <v>3235</v>
      </c>
      <c r="B217" s="150" t="s">
        <v>3236</v>
      </c>
      <c r="C217" s="175" t="str">
        <f>VLOOKUP(A217,Import!A:C,3,false)</f>
        <v>DOĞRU</v>
      </c>
      <c r="D217" s="150" t="s">
        <v>2773</v>
      </c>
      <c r="E217" s="280" t="str">
        <f>VLOOKUP(A217,Import!A:J,5,0)</f>
        <v/>
      </c>
      <c r="F217" s="280" t="str">
        <f>VLOOKUP(A217,Import!A:J,6,0)</f>
        <v/>
      </c>
      <c r="G217" s="289">
        <f>VLOOKUP(A217,Import!A:J,7,0)</f>
        <v>0</v>
      </c>
      <c r="H217" s="289">
        <f>VLOOKUP(A217,Import!A:J,8,0)</f>
        <v>14</v>
      </c>
      <c r="I217" s="289">
        <f>VLOOKUP(A217,Import!A:J,9,0)</f>
        <v>14</v>
      </c>
      <c r="J217" s="282">
        <f>VLOOKUP(A217,Import!A:J,10,0)</f>
        <v>0</v>
      </c>
      <c r="K217" s="290" t="s">
        <v>3237</v>
      </c>
      <c r="L217" s="150">
        <v>5.36676439E9</v>
      </c>
      <c r="M217" s="150" t="s">
        <v>2666</v>
      </c>
      <c r="N217" s="150" t="s">
        <v>2879</v>
      </c>
      <c r="O217" s="150" t="s">
        <v>3238</v>
      </c>
      <c r="P217" s="244" t="str">
        <f>VLOOKUP(A217,Import!A:P,16,0)</f>
        <v>Geleneksel</v>
      </c>
      <c r="Q217" s="291"/>
      <c r="R217" s="292" t="b">
        <v>0</v>
      </c>
      <c r="S217" s="293" t="b">
        <v>0</v>
      </c>
      <c r="T217" s="149"/>
      <c r="U217" s="296"/>
      <c r="V217" s="296"/>
      <c r="W217" s="149"/>
      <c r="X217" s="297"/>
      <c r="Y217" s="297"/>
      <c r="Z217" s="288"/>
      <c r="AA217" s="165"/>
      <c r="AB217" s="295"/>
      <c r="AC217" s="288"/>
      <c r="AD217" s="288"/>
      <c r="AE217" s="160"/>
      <c r="AF217" s="288"/>
      <c r="AG217" s="160"/>
      <c r="AH217" s="288"/>
      <c r="AI217" s="288"/>
      <c r="AJ217" s="288"/>
      <c r="AK217" s="165"/>
      <c r="AL217" s="288"/>
      <c r="AM217" s="288"/>
      <c r="AN217" s="288"/>
      <c r="AO217" s="165"/>
      <c r="AP217" s="150"/>
      <c r="AQ217" s="165"/>
    </row>
    <row r="218">
      <c r="A218" s="244" t="s">
        <v>3239</v>
      </c>
      <c r="B218" s="244" t="s">
        <v>3240</v>
      </c>
      <c r="C218" s="175" t="str">
        <f>VLOOKUP(A218,Import!A:C,3,false)</f>
        <v>DOĞRU</v>
      </c>
      <c r="D218" s="175" t="s">
        <v>2773</v>
      </c>
      <c r="E218" s="280">
        <f>VLOOKUP(A218,Import!A:J,5,0)</f>
        <v>1220</v>
      </c>
      <c r="F218" s="280">
        <f>VLOOKUP(A218,Import!A:J,6,0)</f>
        <v>1</v>
      </c>
      <c r="G218" s="289">
        <f>VLOOKUP(A218,Import!A:J,7,0)</f>
        <v>5</v>
      </c>
      <c r="H218" s="289">
        <f>VLOOKUP(A218,Import!A:J,8,0)</f>
        <v>7</v>
      </c>
      <c r="I218" s="289">
        <f>VLOOKUP(A218,Import!A:J,9,0)</f>
        <v>12</v>
      </c>
      <c r="J218" s="282">
        <f>VLOOKUP(A218,Import!A:J,10,0)</f>
        <v>0.42</v>
      </c>
      <c r="K218" s="244" t="str">
        <f>VLOOKUP(A218,Import!A:P,11,0)</f>
        <v>Fatih Ersoy</v>
      </c>
      <c r="L218" s="283">
        <v>5.527033431E9</v>
      </c>
      <c r="M218" s="175" t="s">
        <v>2666</v>
      </c>
      <c r="N218" s="175" t="s">
        <v>2711</v>
      </c>
      <c r="O218" s="175" t="s">
        <v>935</v>
      </c>
      <c r="P218" s="244" t="str">
        <f>VLOOKUP(A218,Import!A:P,16,0)</f>
        <v>Geleneksel</v>
      </c>
      <c r="Q218" s="284" t="s">
        <v>2686</v>
      </c>
      <c r="R218" s="285" t="b">
        <v>1</v>
      </c>
      <c r="S218" s="286" t="b">
        <v>0</v>
      </c>
      <c r="T218" s="171" t="s">
        <v>2734</v>
      </c>
      <c r="U218" s="298"/>
      <c r="V218" s="298"/>
      <c r="W218" s="298"/>
      <c r="X218" s="299"/>
      <c r="Y218" s="299"/>
      <c r="Z218" s="288"/>
      <c r="AA218" s="288"/>
      <c r="AB218" s="288"/>
      <c r="AC218" s="288"/>
      <c r="AD218" s="288"/>
      <c r="AE218" s="160"/>
      <c r="AF218" s="288"/>
      <c r="AG218" s="160"/>
      <c r="AH218" s="288"/>
      <c r="AI218" s="288"/>
      <c r="AJ218" s="288"/>
      <c r="AK218" s="288"/>
      <c r="AL218" s="288"/>
      <c r="AM218" s="288"/>
      <c r="AN218" s="288"/>
      <c r="AO218" s="288"/>
      <c r="AP218" s="150" t="s">
        <v>2663</v>
      </c>
      <c r="AQ218" s="288"/>
    </row>
    <row r="219">
      <c r="A219" s="244" t="s">
        <v>14</v>
      </c>
      <c r="B219" s="244" t="s">
        <v>15</v>
      </c>
      <c r="C219" s="175" t="str">
        <f>VLOOKUP(A219,Import!A:C,3,false)</f>
        <v>DOĞRU</v>
      </c>
      <c r="D219" s="175" t="s">
        <v>2773</v>
      </c>
      <c r="E219" s="280">
        <f>VLOOKUP(A219,Import!A:J,5,0)</f>
        <v>2436</v>
      </c>
      <c r="F219" s="280">
        <f>VLOOKUP(A219,Import!A:J,6,0)</f>
        <v>90</v>
      </c>
      <c r="G219" s="289">
        <f>VLOOKUP(A219,Import!A:J,7,0)</f>
        <v>14</v>
      </c>
      <c r="H219" s="289">
        <f>VLOOKUP(A219,Import!A:J,8,0)</f>
        <v>5</v>
      </c>
      <c r="I219" s="289">
        <f>VLOOKUP(A219,Import!A:J,9,0)</f>
        <v>19</v>
      </c>
      <c r="J219" s="282">
        <f>VLOOKUP(A219,Import!A:J,10,0)</f>
        <v>0.74</v>
      </c>
      <c r="K219" s="244" t="str">
        <f>VLOOKUP(A219,Import!A:P,11,0)</f>
        <v>İbrahim Öksüz</v>
      </c>
      <c r="L219" s="283">
        <v>5.30830258E9</v>
      </c>
      <c r="M219" s="175" t="s">
        <v>2666</v>
      </c>
      <c r="N219" s="175" t="s">
        <v>2721</v>
      </c>
      <c r="O219" s="175" t="s">
        <v>19</v>
      </c>
      <c r="P219" s="244" t="str">
        <f>VLOOKUP(A219,Import!A:P,16,0)</f>
        <v>Geleneksel</v>
      </c>
      <c r="Q219" s="284" t="s">
        <v>2686</v>
      </c>
      <c r="R219" s="285" t="b">
        <v>1</v>
      </c>
      <c r="S219" s="286" t="b">
        <v>0</v>
      </c>
      <c r="T219" s="171" t="s">
        <v>2661</v>
      </c>
      <c r="U219" s="171"/>
      <c r="V219" s="171" t="s">
        <v>13</v>
      </c>
      <c r="W219" s="298"/>
      <c r="X219" s="287">
        <v>44230.0</v>
      </c>
      <c r="Y219" s="287">
        <v>44235.0</v>
      </c>
      <c r="Z219" s="288"/>
      <c r="AA219" s="288"/>
      <c r="AB219" s="288"/>
      <c r="AC219" s="288"/>
      <c r="AD219" s="288"/>
      <c r="AE219" s="160"/>
      <c r="AF219" s="288"/>
      <c r="AG219" s="160"/>
      <c r="AH219" s="288"/>
      <c r="AI219" s="288"/>
      <c r="AJ219" s="288"/>
      <c r="AK219" s="288"/>
      <c r="AL219" s="288"/>
      <c r="AM219" s="288"/>
      <c r="AN219" s="288"/>
      <c r="AO219" s="288"/>
      <c r="AP219" s="150" t="s">
        <v>2663</v>
      </c>
      <c r="AQ219" s="288"/>
    </row>
    <row r="220">
      <c r="A220" s="147" t="s">
        <v>3241</v>
      </c>
      <c r="B220" s="147" t="s">
        <v>3242</v>
      </c>
      <c r="C220" s="175" t="str">
        <f>VLOOKUP(A220,Import!A:C,3,false)</f>
        <v>DOĞRU</v>
      </c>
      <c r="D220" s="147" t="s">
        <v>2773</v>
      </c>
      <c r="E220" s="280">
        <f>VLOOKUP(A220,Import!A:J,5,0)</f>
        <v>1631</v>
      </c>
      <c r="F220" s="280">
        <f>VLOOKUP(A220,Import!A:J,6,0)</f>
        <v>61</v>
      </c>
      <c r="G220" s="289">
        <f>VLOOKUP(A220,Import!A:J,7,0)</f>
        <v>0</v>
      </c>
      <c r="H220" s="289">
        <f>VLOOKUP(A220,Import!A:J,8,0)</f>
        <v>15</v>
      </c>
      <c r="I220" s="289">
        <f>VLOOKUP(A220,Import!A:J,9,0)</f>
        <v>15</v>
      </c>
      <c r="J220" s="282">
        <f>VLOOKUP(A220,Import!A:J,10,0)</f>
        <v>0</v>
      </c>
      <c r="K220" s="244" t="str">
        <f>VLOOKUP(A220,Import!A:P,11,0)</f>
        <v>Hamit Karaçöl</v>
      </c>
      <c r="L220" s="147">
        <v>2.222397156E9</v>
      </c>
      <c r="M220" s="147" t="s">
        <v>1450</v>
      </c>
      <c r="N220" s="147" t="s">
        <v>2732</v>
      </c>
      <c r="O220" s="147" t="s">
        <v>3243</v>
      </c>
      <c r="P220" s="244" t="str">
        <f>VLOOKUP(A220,Import!A:P,16,0)</f>
        <v>Geleneksel</v>
      </c>
      <c r="Q220" s="330"/>
      <c r="R220" s="292" t="b">
        <v>1</v>
      </c>
      <c r="S220" s="293" t="b">
        <v>0</v>
      </c>
      <c r="T220" s="149" t="s">
        <v>2714</v>
      </c>
      <c r="U220" s="296"/>
      <c r="V220" s="296"/>
      <c r="W220" s="149" t="s">
        <v>3244</v>
      </c>
      <c r="X220" s="297"/>
      <c r="Y220" s="297"/>
      <c r="Z220" s="288"/>
      <c r="AA220" s="165" t="s">
        <v>2669</v>
      </c>
      <c r="AB220" s="295">
        <v>44488.0</v>
      </c>
      <c r="AC220" s="288"/>
      <c r="AD220" s="288"/>
      <c r="AE220" s="160"/>
      <c r="AF220" s="288"/>
      <c r="AG220" s="160"/>
      <c r="AH220" s="288"/>
      <c r="AI220" s="288"/>
      <c r="AJ220" s="288"/>
      <c r="AK220" s="165" t="s">
        <v>1717</v>
      </c>
      <c r="AL220" s="288"/>
      <c r="AM220" s="288"/>
      <c r="AN220" s="288"/>
      <c r="AO220" s="288"/>
      <c r="AP220" s="150" t="s">
        <v>2663</v>
      </c>
      <c r="AQ220" s="288"/>
    </row>
    <row r="221">
      <c r="A221" s="147" t="s">
        <v>3245</v>
      </c>
      <c r="B221" s="147" t="s">
        <v>3246</v>
      </c>
      <c r="C221" s="175" t="str">
        <f>VLOOKUP(A221,Import!A:C,3,false)</f>
        <v>DOĞRU</v>
      </c>
      <c r="D221" s="147" t="s">
        <v>2773</v>
      </c>
      <c r="E221" s="280">
        <f>VLOOKUP(A221,Import!A:J,5,0)</f>
        <v>182</v>
      </c>
      <c r="F221" s="280" t="str">
        <f>VLOOKUP(A221,Import!A:J,6,0)</f>
        <v/>
      </c>
      <c r="G221" s="289">
        <f>VLOOKUP(A221,Import!A:J,7,0)</f>
        <v>0</v>
      </c>
      <c r="H221" s="289">
        <f>VLOOKUP(A221,Import!A:J,8,0)</f>
        <v>10</v>
      </c>
      <c r="I221" s="289">
        <f>VLOOKUP(A221,Import!A:J,9,0)</f>
        <v>10</v>
      </c>
      <c r="J221" s="282">
        <f>VLOOKUP(A221,Import!A:J,10,0)</f>
        <v>0</v>
      </c>
      <c r="K221" s="244" t="str">
        <f>VLOOKUP(A221,Import!A:P,11,0)</f>
        <v>Ahmet Öztürk</v>
      </c>
      <c r="L221" s="147">
        <v>5.528562026E9</v>
      </c>
      <c r="M221" s="147" t="s">
        <v>2666</v>
      </c>
      <c r="N221" s="147" t="s">
        <v>2750</v>
      </c>
      <c r="O221" s="147" t="s">
        <v>3247</v>
      </c>
      <c r="P221" s="244" t="str">
        <f>VLOOKUP(A221,Import!A:P,16,0)</f>
        <v>Geleneksel</v>
      </c>
      <c r="Q221" s="330"/>
      <c r="R221" s="292" t="b">
        <v>1</v>
      </c>
      <c r="S221" s="293" t="b">
        <v>0</v>
      </c>
      <c r="T221" s="149" t="s">
        <v>3248</v>
      </c>
      <c r="U221" s="296"/>
      <c r="V221" s="296"/>
      <c r="W221" s="149" t="s">
        <v>3249</v>
      </c>
      <c r="X221" s="297"/>
      <c r="Y221" s="297"/>
      <c r="Z221" s="288"/>
      <c r="AA221" s="165" t="s">
        <v>2669</v>
      </c>
      <c r="AB221" s="295">
        <v>44510.0</v>
      </c>
      <c r="AC221" s="165" t="s">
        <v>2693</v>
      </c>
      <c r="AD221" s="295">
        <v>44516.0</v>
      </c>
      <c r="AE221" s="160"/>
      <c r="AF221" s="288"/>
      <c r="AG221" s="160"/>
      <c r="AH221" s="288"/>
      <c r="AI221" s="288"/>
      <c r="AJ221" s="288"/>
      <c r="AK221" s="165" t="s">
        <v>943</v>
      </c>
      <c r="AL221" s="165" t="s">
        <v>1621</v>
      </c>
      <c r="AM221" s="288"/>
      <c r="AN221" s="288"/>
      <c r="AO221" s="288"/>
      <c r="AP221" s="150" t="s">
        <v>2663</v>
      </c>
      <c r="AQ221" s="288"/>
    </row>
    <row r="222">
      <c r="A222" s="150" t="s">
        <v>2024</v>
      </c>
      <c r="B222" s="150" t="s">
        <v>2025</v>
      </c>
      <c r="C222" s="175" t="str">
        <f>VLOOKUP(A222,Import!A:C,3,false)</f>
        <v>DOĞRU</v>
      </c>
      <c r="D222" s="150" t="s">
        <v>2773</v>
      </c>
      <c r="E222" s="280">
        <f>VLOOKUP(A222,Import!A:J,5,0)</f>
        <v>1342</v>
      </c>
      <c r="F222" s="280">
        <f>VLOOKUP(A222,Import!A:J,6,0)</f>
        <v>10</v>
      </c>
      <c r="G222" s="289">
        <f>VLOOKUP(A222,Import!A:J,7,0)</f>
        <v>5</v>
      </c>
      <c r="H222" s="289">
        <f>VLOOKUP(A222,Import!A:J,8,0)</f>
        <v>4</v>
      </c>
      <c r="I222" s="289">
        <f>VLOOKUP(A222,Import!A:J,9,0)</f>
        <v>9</v>
      </c>
      <c r="J222" s="282">
        <f>VLOOKUP(A222,Import!A:J,10,0)</f>
        <v>0.56</v>
      </c>
      <c r="K222" s="290" t="s">
        <v>3250</v>
      </c>
      <c r="L222" s="150">
        <v>5.4612701E9</v>
      </c>
      <c r="M222" s="150" t="s">
        <v>2666</v>
      </c>
      <c r="N222" s="150" t="s">
        <v>2721</v>
      </c>
      <c r="O222" s="150" t="s">
        <v>2027</v>
      </c>
      <c r="P222" s="244" t="str">
        <f>VLOOKUP(A222,Import!A:P,16,0)</f>
        <v>Geleneksel</v>
      </c>
      <c r="Q222" s="291"/>
      <c r="R222" s="292" t="b">
        <v>1</v>
      </c>
      <c r="S222" s="293" t="b">
        <v>0</v>
      </c>
      <c r="T222" s="149" t="s">
        <v>2661</v>
      </c>
      <c r="U222" s="149" t="s">
        <v>1791</v>
      </c>
      <c r="V222" s="301" t="s">
        <v>1609</v>
      </c>
      <c r="W222" s="149"/>
      <c r="X222" s="294">
        <v>44522.0</v>
      </c>
      <c r="Y222" s="294">
        <v>44524.0</v>
      </c>
      <c r="Z222" s="288"/>
      <c r="AA222" s="165" t="s">
        <v>2669</v>
      </c>
      <c r="AB222" s="295">
        <v>44522.0</v>
      </c>
      <c r="AC222" s="288"/>
      <c r="AD222" s="288"/>
      <c r="AE222" s="160"/>
      <c r="AF222" s="288"/>
      <c r="AG222" s="160"/>
      <c r="AH222" s="288"/>
      <c r="AI222" s="288"/>
      <c r="AJ222" s="288"/>
      <c r="AK222" s="165" t="s">
        <v>1791</v>
      </c>
      <c r="AL222" s="288"/>
      <c r="AM222" s="288"/>
      <c r="AN222" s="288"/>
      <c r="AO222" s="165"/>
      <c r="AP222" s="150" t="s">
        <v>2663</v>
      </c>
      <c r="AQ222" s="165"/>
    </row>
    <row r="223">
      <c r="A223" s="244" t="s">
        <v>386</v>
      </c>
      <c r="B223" s="244" t="s">
        <v>387</v>
      </c>
      <c r="C223" s="175" t="str">
        <f>VLOOKUP(A223,Import!A:C,3,false)</f>
        <v>DOĞRU</v>
      </c>
      <c r="D223" s="362" t="s">
        <v>2773</v>
      </c>
      <c r="E223" s="280">
        <f>VLOOKUP(A223,Import!A:J,5,0)</f>
        <v>7668</v>
      </c>
      <c r="F223" s="280">
        <f>VLOOKUP(A223,Import!A:J,6,0)</f>
        <v>138</v>
      </c>
      <c r="G223" s="289">
        <f>VLOOKUP(A223,Import!A:J,7,0)</f>
        <v>6</v>
      </c>
      <c r="H223" s="289">
        <f>VLOOKUP(A223,Import!A:J,8,0)</f>
        <v>17</v>
      </c>
      <c r="I223" s="289">
        <f>VLOOKUP(A223,Import!A:J,9,0)</f>
        <v>23</v>
      </c>
      <c r="J223" s="282">
        <f>VLOOKUP(A223,Import!A:J,10,0)</f>
        <v>0.26</v>
      </c>
      <c r="K223" s="244" t="str">
        <f>VLOOKUP(A223,Import!A:P,11,0)</f>
        <v>İlknur Ünsal</v>
      </c>
      <c r="L223" s="280">
        <v>5.071435857E9</v>
      </c>
      <c r="M223" s="244" t="s">
        <v>2666</v>
      </c>
      <c r="N223" s="244" t="s">
        <v>3131</v>
      </c>
      <c r="O223" s="244" t="s">
        <v>390</v>
      </c>
      <c r="P223" s="244" t="str">
        <f>VLOOKUP(A223,Import!A:P,16,0)</f>
        <v>Geleneksel</v>
      </c>
      <c r="Q223" s="291" t="s">
        <v>2660</v>
      </c>
      <c r="R223" s="292" t="b">
        <v>1</v>
      </c>
      <c r="S223" s="293" t="b">
        <v>0</v>
      </c>
      <c r="T223" s="165" t="s">
        <v>2661</v>
      </c>
      <c r="U223" s="165"/>
      <c r="V223" s="165" t="s">
        <v>46</v>
      </c>
      <c r="W223" s="160"/>
      <c r="X223" s="295">
        <v>44238.0</v>
      </c>
      <c r="Y223" s="295">
        <v>44243.0</v>
      </c>
      <c r="Z223" s="288"/>
      <c r="AA223" s="288"/>
      <c r="AB223" s="288"/>
      <c r="AC223" s="288"/>
      <c r="AD223" s="288"/>
      <c r="AE223" s="160"/>
      <c r="AF223" s="288"/>
      <c r="AG223" s="160"/>
      <c r="AH223" s="288"/>
      <c r="AI223" s="288"/>
      <c r="AJ223" s="288"/>
      <c r="AK223" s="288"/>
      <c r="AL223" s="288"/>
      <c r="AM223" s="288"/>
      <c r="AN223" s="288"/>
      <c r="AO223" s="288"/>
      <c r="AP223" s="150" t="s">
        <v>2663</v>
      </c>
      <c r="AQ223" s="288"/>
    </row>
    <row r="224">
      <c r="A224" s="150" t="s">
        <v>1653</v>
      </c>
      <c r="B224" s="150" t="s">
        <v>1654</v>
      </c>
      <c r="C224" s="175" t="str">
        <f>VLOOKUP(A224,Import!A:C,3,false)</f>
        <v>DOĞRU</v>
      </c>
      <c r="D224" s="150" t="s">
        <v>2773</v>
      </c>
      <c r="E224" s="280">
        <f>VLOOKUP(A224,Import!A:J,5,0)</f>
        <v>27</v>
      </c>
      <c r="F224" s="280" t="str">
        <f>VLOOKUP(A224,Import!A:J,6,0)</f>
        <v/>
      </c>
      <c r="G224" s="289">
        <f>VLOOKUP(A224,Import!A:J,7,0)</f>
        <v>0</v>
      </c>
      <c r="H224" s="289">
        <f>VLOOKUP(A224,Import!A:J,8,0)</f>
        <v>6</v>
      </c>
      <c r="I224" s="289">
        <f>VLOOKUP(A224,Import!A:J,9,0)</f>
        <v>6</v>
      </c>
      <c r="J224" s="282">
        <f>VLOOKUP(A224,Import!A:J,10,0)</f>
        <v>0</v>
      </c>
      <c r="K224" s="244" t="str">
        <f>VLOOKUP(A224,Import!A:P,11,0)</f>
        <v>Gülcan Uluağaç</v>
      </c>
      <c r="L224" s="150">
        <v>5.337645044E9</v>
      </c>
      <c r="M224" s="150" t="s">
        <v>1450</v>
      </c>
      <c r="N224" s="150" t="s">
        <v>3251</v>
      </c>
      <c r="O224" s="150" t="s">
        <v>1657</v>
      </c>
      <c r="P224" s="244" t="str">
        <f>VLOOKUP(A224,Import!A:P,16,0)</f>
        <v>Geleneksel</v>
      </c>
      <c r="Q224" s="291"/>
      <c r="R224" s="292" t="b">
        <v>1</v>
      </c>
      <c r="S224" s="292" t="b">
        <v>0</v>
      </c>
      <c r="T224" s="149" t="s">
        <v>2714</v>
      </c>
      <c r="U224" s="149" t="s">
        <v>1621</v>
      </c>
      <c r="V224" s="313" t="s">
        <v>1609</v>
      </c>
      <c r="W224" s="149" t="s">
        <v>3252</v>
      </c>
      <c r="X224" s="294">
        <v>44481.0</v>
      </c>
      <c r="Y224" s="294">
        <v>44482.0</v>
      </c>
      <c r="Z224" s="288"/>
      <c r="AA224" s="165" t="s">
        <v>2669</v>
      </c>
      <c r="AB224" s="295">
        <v>44481.0</v>
      </c>
      <c r="AC224" s="165" t="s">
        <v>2669</v>
      </c>
      <c r="AD224" s="295">
        <v>44547.0</v>
      </c>
      <c r="AE224" s="165" t="s">
        <v>2772</v>
      </c>
      <c r="AF224" s="295">
        <v>44561.0</v>
      </c>
      <c r="AG224" s="165" t="s">
        <v>2669</v>
      </c>
      <c r="AH224" s="295">
        <v>44628.0</v>
      </c>
      <c r="AI224" s="288"/>
      <c r="AJ224" s="288"/>
      <c r="AK224" s="165" t="s">
        <v>1621</v>
      </c>
      <c r="AL224" s="165" t="s">
        <v>1971</v>
      </c>
      <c r="AM224" s="165" t="s">
        <v>1715</v>
      </c>
      <c r="AN224" s="165" t="s">
        <v>1791</v>
      </c>
      <c r="AO224" s="288"/>
      <c r="AP224" s="150" t="s">
        <v>2663</v>
      </c>
      <c r="AQ224" s="288"/>
    </row>
    <row r="225">
      <c r="A225" s="147" t="s">
        <v>3253</v>
      </c>
      <c r="B225" s="147" t="s">
        <v>3254</v>
      </c>
      <c r="C225" s="175" t="str">
        <f>VLOOKUP(A225,Import!A:C,3,false)</f>
        <v>DOĞRU</v>
      </c>
      <c r="D225" s="147" t="s">
        <v>2773</v>
      </c>
      <c r="E225" s="280">
        <f>VLOOKUP(A225,Import!A:J,5,0)</f>
        <v>2293</v>
      </c>
      <c r="F225" s="280">
        <f>VLOOKUP(A225,Import!A:J,6,0)</f>
        <v>117</v>
      </c>
      <c r="G225" s="289">
        <f>VLOOKUP(A225,Import!A:J,7,0)</f>
        <v>42</v>
      </c>
      <c r="H225" s="289">
        <f>VLOOKUP(A225,Import!A:J,8,0)</f>
        <v>3</v>
      </c>
      <c r="I225" s="289">
        <f>VLOOKUP(A225,Import!A:J,9,0)</f>
        <v>45</v>
      </c>
      <c r="J225" s="282">
        <f>VLOOKUP(A225,Import!A:J,10,0)</f>
        <v>0.93</v>
      </c>
      <c r="K225" s="244" t="str">
        <f>VLOOKUP(A225,Import!A:P,11,0)</f>
        <v>Mert Gülşen</v>
      </c>
      <c r="L225" s="147">
        <v>5.309561965E9</v>
      </c>
      <c r="M225" s="147" t="s">
        <v>1450</v>
      </c>
      <c r="N225" s="147" t="s">
        <v>3255</v>
      </c>
      <c r="O225" s="147" t="s">
        <v>3256</v>
      </c>
      <c r="P225" s="244" t="str">
        <f>VLOOKUP(A225,Import!A:P,16,0)</f>
        <v>Key</v>
      </c>
      <c r="Q225" s="330"/>
      <c r="R225" s="292" t="b">
        <v>1</v>
      </c>
      <c r="S225" s="292" t="b">
        <v>1</v>
      </c>
      <c r="T225" s="296"/>
      <c r="U225" s="296"/>
      <c r="V225" s="296"/>
      <c r="W225" s="149" t="s">
        <v>3257</v>
      </c>
      <c r="X225" s="297"/>
      <c r="Y225" s="297"/>
      <c r="Z225" s="288"/>
      <c r="AA225" s="288"/>
      <c r="AB225" s="288"/>
      <c r="AC225" s="288"/>
      <c r="AD225" s="288"/>
      <c r="AE225" s="160"/>
      <c r="AF225" s="288"/>
      <c r="AG225" s="160"/>
      <c r="AH225" s="288"/>
      <c r="AI225" s="288"/>
      <c r="AJ225" s="288"/>
      <c r="AK225" s="288"/>
      <c r="AL225" s="288"/>
      <c r="AM225" s="288"/>
      <c r="AN225" s="288"/>
      <c r="AO225" s="288"/>
      <c r="AP225" s="150" t="s">
        <v>3258</v>
      </c>
      <c r="AQ225" s="288"/>
    </row>
    <row r="226">
      <c r="A226" s="150" t="s">
        <v>2385</v>
      </c>
      <c r="B226" s="150" t="s">
        <v>2386</v>
      </c>
      <c r="C226" s="175" t="str">
        <f>VLOOKUP(A226,Import!A:C,3,false)</f>
        <v>YANLIŞ</v>
      </c>
      <c r="D226" s="150" t="s">
        <v>2672</v>
      </c>
      <c r="E226" s="280">
        <f>VLOOKUP(A226,Import!A:J,5,0)</f>
        <v>64</v>
      </c>
      <c r="F226" s="280" t="str">
        <f>VLOOKUP(A226,Import!A:J,6,0)</f>
        <v/>
      </c>
      <c r="G226" s="289">
        <f>VLOOKUP(A226,Import!A:J,7,0)</f>
        <v>10</v>
      </c>
      <c r="H226" s="289">
        <f>VLOOKUP(A226,Import!A:J,8,0)</f>
        <v>3</v>
      </c>
      <c r="I226" s="289">
        <f>VLOOKUP(A226,Import!A:J,9,0)</f>
        <v>13</v>
      </c>
      <c r="J226" s="282">
        <f>VLOOKUP(A226,Import!A:J,10,0)</f>
        <v>0.77</v>
      </c>
      <c r="K226" s="290" t="s">
        <v>3259</v>
      </c>
      <c r="L226" s="150">
        <v>5.078201051E9</v>
      </c>
      <c r="M226" s="150" t="s">
        <v>1450</v>
      </c>
      <c r="N226" s="150" t="s">
        <v>2716</v>
      </c>
      <c r="O226" s="150" t="s">
        <v>2389</v>
      </c>
      <c r="P226" s="244" t="str">
        <f>VLOOKUP(A226,Import!A:P,16,0)</f>
        <v>Geleneksel</v>
      </c>
      <c r="Q226" s="291"/>
      <c r="R226" s="292" t="b">
        <v>1</v>
      </c>
      <c r="S226" s="293" t="b">
        <v>0</v>
      </c>
      <c r="T226" s="149" t="s">
        <v>2661</v>
      </c>
      <c r="U226" s="149" t="s">
        <v>1791</v>
      </c>
      <c r="V226" s="269" t="s">
        <v>1609</v>
      </c>
      <c r="W226" s="149"/>
      <c r="X226" s="294">
        <v>44578.0</v>
      </c>
      <c r="Y226" s="294">
        <v>44579.0</v>
      </c>
      <c r="Z226" s="288"/>
      <c r="AA226" s="165" t="s">
        <v>2669</v>
      </c>
      <c r="AB226" s="295">
        <v>44578.0</v>
      </c>
      <c r="AC226" s="288"/>
      <c r="AD226" s="288"/>
      <c r="AE226" s="160"/>
      <c r="AF226" s="288"/>
      <c r="AG226" s="160"/>
      <c r="AH226" s="288"/>
      <c r="AI226" s="288"/>
      <c r="AJ226" s="288"/>
      <c r="AK226" s="165" t="s">
        <v>1791</v>
      </c>
      <c r="AL226" s="288"/>
      <c r="AM226" s="288"/>
      <c r="AN226" s="288"/>
      <c r="AO226" s="165"/>
      <c r="AP226" s="150"/>
      <c r="AQ226" s="165"/>
    </row>
    <row r="227">
      <c r="A227" s="244" t="s">
        <v>731</v>
      </c>
      <c r="B227" s="244" t="s">
        <v>732</v>
      </c>
      <c r="C227" s="175" t="str">
        <f>VLOOKUP(A227,Import!A:C,3,false)</f>
        <v>DOĞRU</v>
      </c>
      <c r="D227" s="362" t="s">
        <v>2701</v>
      </c>
      <c r="E227" s="280">
        <f>VLOOKUP(A227,Import!A:J,5,0)</f>
        <v>472</v>
      </c>
      <c r="F227" s="280">
        <f>VLOOKUP(A227,Import!A:J,6,0)</f>
        <v>49</v>
      </c>
      <c r="G227" s="289">
        <f>VLOOKUP(A227,Import!A:J,7,0)</f>
        <v>11</v>
      </c>
      <c r="H227" s="289">
        <f>VLOOKUP(A227,Import!A:J,8,0)</f>
        <v>1</v>
      </c>
      <c r="I227" s="289">
        <f>VLOOKUP(A227,Import!A:J,9,0)</f>
        <v>12</v>
      </c>
      <c r="J227" s="282">
        <f>VLOOKUP(A227,Import!A:J,10,0)</f>
        <v>0.92</v>
      </c>
      <c r="K227" s="244" t="str">
        <f>VLOOKUP(A227,Import!A:P,11,0)</f>
        <v>SONER AKAGÜNDÜZ</v>
      </c>
      <c r="L227" s="280">
        <v>2.222398483E9</v>
      </c>
      <c r="M227" s="244" t="s">
        <v>1450</v>
      </c>
      <c r="N227" s="244" t="s">
        <v>2732</v>
      </c>
      <c r="O227" s="244" t="s">
        <v>734</v>
      </c>
      <c r="P227" s="244" t="str">
        <f>VLOOKUP(A227,Import!A:P,16,0)</f>
        <v>Geleneksel</v>
      </c>
      <c r="Q227" s="291" t="s">
        <v>2660</v>
      </c>
      <c r="R227" s="292" t="b">
        <v>1</v>
      </c>
      <c r="S227" s="293" t="b">
        <v>0</v>
      </c>
      <c r="T227" s="165" t="s">
        <v>2661</v>
      </c>
      <c r="U227" s="165"/>
      <c r="V227" s="165" t="s">
        <v>46</v>
      </c>
      <c r="W227" s="165" t="s">
        <v>3260</v>
      </c>
      <c r="X227" s="295">
        <v>44245.0</v>
      </c>
      <c r="Y227" s="295">
        <v>44251.0</v>
      </c>
      <c r="Z227" s="288"/>
      <c r="AA227" s="165" t="s">
        <v>2699</v>
      </c>
      <c r="AB227" s="295">
        <v>44497.0</v>
      </c>
      <c r="AC227" s="165" t="s">
        <v>2669</v>
      </c>
      <c r="AD227" s="295">
        <v>44497.0</v>
      </c>
      <c r="AE227" s="165" t="s">
        <v>2669</v>
      </c>
      <c r="AF227" s="295">
        <v>44539.0</v>
      </c>
      <c r="AG227" s="160"/>
      <c r="AH227" s="288"/>
      <c r="AI227" s="288"/>
      <c r="AJ227" s="288"/>
      <c r="AK227" s="165" t="s">
        <v>1715</v>
      </c>
      <c r="AL227" s="165" t="s">
        <v>1715</v>
      </c>
      <c r="AM227" s="165" t="s">
        <v>1911</v>
      </c>
      <c r="AN227" s="288"/>
      <c r="AO227" s="288"/>
      <c r="AP227" s="150" t="s">
        <v>2663</v>
      </c>
      <c r="AQ227" s="288"/>
    </row>
    <row r="228">
      <c r="A228" s="150" t="s">
        <v>376</v>
      </c>
      <c r="B228" s="150" t="s">
        <v>377</v>
      </c>
      <c r="C228" s="175" t="str">
        <f>VLOOKUP(A228,Import!A:C,3,false)</f>
        <v>DOĞRU</v>
      </c>
      <c r="D228" s="150" t="s">
        <v>2664</v>
      </c>
      <c r="E228" s="280">
        <f>VLOOKUP(A228,Import!A:J,5,0)</f>
        <v>15169</v>
      </c>
      <c r="F228" s="280">
        <f>VLOOKUP(A228,Import!A:J,6,0)</f>
        <v>578</v>
      </c>
      <c r="G228" s="289">
        <f>VLOOKUP(A228,Import!A:J,7,0)</f>
        <v>0</v>
      </c>
      <c r="H228" s="289">
        <f>VLOOKUP(A228,Import!A:J,8,0)</f>
        <v>51</v>
      </c>
      <c r="I228" s="289">
        <f>VLOOKUP(A228,Import!A:J,9,0)</f>
        <v>51</v>
      </c>
      <c r="J228" s="282">
        <f>VLOOKUP(A228,Import!A:J,10,0)</f>
        <v>0</v>
      </c>
      <c r="K228" s="244" t="str">
        <f>VLOOKUP(A228,Import!A:P,11,0)</f>
        <v>AYKUT GÖÇMEL</v>
      </c>
      <c r="L228" s="150">
        <v>5.303717105E9</v>
      </c>
      <c r="M228" s="150" t="s">
        <v>2666</v>
      </c>
      <c r="N228" s="150" t="s">
        <v>2774</v>
      </c>
      <c r="O228" s="150" t="s">
        <v>381</v>
      </c>
      <c r="P228" s="244" t="str">
        <f>VLOOKUP(A228,Import!A:P,16,0)</f>
        <v>Geleneksel</v>
      </c>
      <c r="Q228" s="291" t="s">
        <v>2713</v>
      </c>
      <c r="R228" s="292" t="b">
        <v>1</v>
      </c>
      <c r="S228" s="293" t="b">
        <v>0</v>
      </c>
      <c r="T228" s="149" t="s">
        <v>2714</v>
      </c>
      <c r="U228" s="149"/>
      <c r="V228" s="149" t="s">
        <v>31</v>
      </c>
      <c r="W228" s="149" t="s">
        <v>3261</v>
      </c>
      <c r="X228" s="294">
        <v>44238.0</v>
      </c>
      <c r="Y228" s="294">
        <v>44243.0</v>
      </c>
      <c r="Z228" s="288"/>
      <c r="AA228" s="165" t="s">
        <v>2669</v>
      </c>
      <c r="AB228" s="295">
        <v>44496.0</v>
      </c>
      <c r="AC228" s="288"/>
      <c r="AD228" s="288"/>
      <c r="AE228" s="160"/>
      <c r="AF228" s="288"/>
      <c r="AG228" s="160"/>
      <c r="AH228" s="288"/>
      <c r="AI228" s="288"/>
      <c r="AJ228" s="288"/>
      <c r="AK228" s="165" t="s">
        <v>819</v>
      </c>
      <c r="AL228" s="288"/>
      <c r="AM228" s="288"/>
      <c r="AN228" s="288"/>
      <c r="AO228" s="288"/>
      <c r="AP228" s="150" t="s">
        <v>2663</v>
      </c>
      <c r="AQ228" s="288"/>
    </row>
    <row r="229">
      <c r="A229" s="147" t="s">
        <v>1420</v>
      </c>
      <c r="B229" s="147" t="s">
        <v>1421</v>
      </c>
      <c r="C229" s="175" t="str">
        <f>VLOOKUP(A229,Import!A:C,3,false)</f>
        <v>DOĞRU</v>
      </c>
      <c r="D229" s="147" t="s">
        <v>2664</v>
      </c>
      <c r="E229" s="280">
        <f>VLOOKUP(A229,Import!A:J,5,0)</f>
        <v>1830</v>
      </c>
      <c r="F229" s="280">
        <f>VLOOKUP(A229,Import!A:J,6,0)</f>
        <v>37</v>
      </c>
      <c r="G229" s="289">
        <f>VLOOKUP(A229,Import!A:J,7,0)</f>
        <v>8</v>
      </c>
      <c r="H229" s="289">
        <f>VLOOKUP(A229,Import!A:J,8,0)</f>
        <v>9</v>
      </c>
      <c r="I229" s="289">
        <f>VLOOKUP(A229,Import!A:J,9,0)</f>
        <v>17</v>
      </c>
      <c r="J229" s="282">
        <f>VLOOKUP(A229,Import!A:J,10,0)</f>
        <v>0.47</v>
      </c>
      <c r="K229" s="244" t="str">
        <f>VLOOKUP(A229,Import!A:P,11,0)</f>
        <v>Fırat Yaşlı</v>
      </c>
      <c r="L229" s="147">
        <v>2.222500421E9</v>
      </c>
      <c r="M229" s="147" t="s">
        <v>1450</v>
      </c>
      <c r="N229" s="147" t="s">
        <v>2703</v>
      </c>
      <c r="O229" s="147" t="s">
        <v>1423</v>
      </c>
      <c r="P229" s="244" t="str">
        <f>VLOOKUP(A229,Import!A:P,16,0)</f>
        <v>Geleneksel</v>
      </c>
      <c r="Q229" s="330"/>
      <c r="R229" s="292" t="b">
        <v>1</v>
      </c>
      <c r="S229" s="292" t="b">
        <v>0</v>
      </c>
      <c r="T229" s="149" t="s">
        <v>2661</v>
      </c>
      <c r="U229" s="149" t="s">
        <v>2718</v>
      </c>
      <c r="V229" s="149"/>
      <c r="W229" s="149" t="s">
        <v>3262</v>
      </c>
      <c r="X229" s="294">
        <v>44384.0</v>
      </c>
      <c r="Y229" s="294">
        <v>44386.0</v>
      </c>
      <c r="Z229" s="165" t="s">
        <v>2907</v>
      </c>
      <c r="AA229" s="165" t="s">
        <v>2669</v>
      </c>
      <c r="AB229" s="295">
        <v>44384.0</v>
      </c>
      <c r="AC229" s="288"/>
      <c r="AD229" s="288"/>
      <c r="AE229" s="160"/>
      <c r="AF229" s="288"/>
      <c r="AG229" s="160"/>
      <c r="AH229" s="288"/>
      <c r="AI229" s="288"/>
      <c r="AJ229" s="288"/>
      <c r="AK229" s="165" t="s">
        <v>2718</v>
      </c>
      <c r="AL229" s="288"/>
      <c r="AM229" s="288"/>
      <c r="AN229" s="288"/>
      <c r="AO229" s="288"/>
      <c r="AP229" s="150" t="s">
        <v>2663</v>
      </c>
      <c r="AQ229" s="288"/>
    </row>
    <row r="230">
      <c r="A230" s="244" t="s">
        <v>532</v>
      </c>
      <c r="B230" s="244" t="s">
        <v>533</v>
      </c>
      <c r="C230" s="175" t="str">
        <f>VLOOKUP(A230,Import!A:C,3,false)</f>
        <v>DOĞRU</v>
      </c>
      <c r="D230" s="303" t="s">
        <v>2658</v>
      </c>
      <c r="E230" s="280">
        <f>VLOOKUP(A230,Import!A:J,5,0)</f>
        <v>3818</v>
      </c>
      <c r="F230" s="280">
        <f>VLOOKUP(A230,Import!A:J,6,0)</f>
        <v>113</v>
      </c>
      <c r="G230" s="289">
        <f>VLOOKUP(A230,Import!A:J,7,0)</f>
        <v>6</v>
      </c>
      <c r="H230" s="289">
        <f>VLOOKUP(A230,Import!A:J,8,0)</f>
        <v>3</v>
      </c>
      <c r="I230" s="289">
        <f>VLOOKUP(A230,Import!A:J,9,0)</f>
        <v>9</v>
      </c>
      <c r="J230" s="282">
        <f>VLOOKUP(A230,Import!A:J,10,0)</f>
        <v>0.67</v>
      </c>
      <c r="K230" s="244" t="str">
        <f>VLOOKUP(A230,Import!A:P,11,0)</f>
        <v>AHMET SERTKAL</v>
      </c>
      <c r="L230" s="304">
        <v>5.35911202E9</v>
      </c>
      <c r="M230" s="303" t="s">
        <v>1450</v>
      </c>
      <c r="N230" s="303" t="s">
        <v>2700</v>
      </c>
      <c r="O230" s="303" t="s">
        <v>3263</v>
      </c>
      <c r="P230" s="244" t="str">
        <f>VLOOKUP(A230,Import!A:P,16,0)</f>
        <v>Geleneksel</v>
      </c>
      <c r="Q230" s="305" t="s">
        <v>2760</v>
      </c>
      <c r="R230" s="306" t="b">
        <v>1</v>
      </c>
      <c r="S230" s="307" t="b">
        <v>0</v>
      </c>
      <c r="T230" s="309" t="s">
        <v>2661</v>
      </c>
      <c r="U230" s="309"/>
      <c r="V230" s="309" t="s">
        <v>13</v>
      </c>
      <c r="W230" s="309" t="s">
        <v>3264</v>
      </c>
      <c r="X230" s="310">
        <v>44232.0</v>
      </c>
      <c r="Y230" s="310">
        <v>44246.0</v>
      </c>
      <c r="Z230" s="288"/>
      <c r="AA230" s="288"/>
      <c r="AB230" s="288"/>
      <c r="AC230" s="288"/>
      <c r="AD230" s="288"/>
      <c r="AE230" s="160"/>
      <c r="AF230" s="288"/>
      <c r="AG230" s="160"/>
      <c r="AH230" s="288"/>
      <c r="AI230" s="288"/>
      <c r="AJ230" s="288"/>
      <c r="AK230" s="288"/>
      <c r="AL230" s="288"/>
      <c r="AM230" s="288"/>
      <c r="AN230" s="288"/>
      <c r="AO230" s="288"/>
      <c r="AP230" s="150" t="s">
        <v>2663</v>
      </c>
      <c r="AQ230" s="288"/>
    </row>
    <row r="231">
      <c r="A231" s="150" t="s">
        <v>391</v>
      </c>
      <c r="B231" s="150" t="s">
        <v>392</v>
      </c>
      <c r="C231" s="175" t="str">
        <f>VLOOKUP(A231,Import!A:C,3,false)</f>
        <v>DOĞRU</v>
      </c>
      <c r="D231" s="150" t="s">
        <v>2658</v>
      </c>
      <c r="E231" s="280">
        <f>VLOOKUP(A231,Import!A:J,5,0)</f>
        <v>10519</v>
      </c>
      <c r="F231" s="280">
        <f>VLOOKUP(A231,Import!A:J,6,0)</f>
        <v>515</v>
      </c>
      <c r="G231" s="289">
        <f>VLOOKUP(A231,Import!A:J,7,0)</f>
        <v>15</v>
      </c>
      <c r="H231" s="289">
        <f>VLOOKUP(A231,Import!A:J,8,0)</f>
        <v>26</v>
      </c>
      <c r="I231" s="289">
        <f>VLOOKUP(A231,Import!A:J,9,0)</f>
        <v>41</v>
      </c>
      <c r="J231" s="282">
        <f>VLOOKUP(A231,Import!A:J,10,0)</f>
        <v>0.37</v>
      </c>
      <c r="K231" s="244" t="str">
        <f>VLOOKUP(A231,Import!A:P,11,0)</f>
        <v>HAMİT KARAÇOL</v>
      </c>
      <c r="L231" s="150">
        <v>2.222397156E9</v>
      </c>
      <c r="M231" s="150" t="s">
        <v>1450</v>
      </c>
      <c r="N231" s="150" t="s">
        <v>2732</v>
      </c>
      <c r="O231" s="150" t="s">
        <v>394</v>
      </c>
      <c r="P231" s="244" t="str">
        <f>VLOOKUP(A231,Import!A:P,16,0)</f>
        <v>Geleneksel</v>
      </c>
      <c r="Q231" s="291" t="s">
        <v>2760</v>
      </c>
      <c r="R231" s="292" t="b">
        <v>1</v>
      </c>
      <c r="S231" s="293" t="b">
        <v>0</v>
      </c>
      <c r="T231" s="149" t="s">
        <v>2661</v>
      </c>
      <c r="U231" s="149"/>
      <c r="V231" s="149" t="s">
        <v>46</v>
      </c>
      <c r="W231" s="149" t="s">
        <v>3265</v>
      </c>
      <c r="X231" s="294">
        <v>44238.0</v>
      </c>
      <c r="Y231" s="294">
        <v>44243.0</v>
      </c>
      <c r="Z231" s="288"/>
      <c r="AA231" s="165" t="s">
        <v>2669</v>
      </c>
      <c r="AB231" s="295">
        <v>44641.0</v>
      </c>
      <c r="AC231" s="288"/>
      <c r="AD231" s="288"/>
      <c r="AE231" s="160"/>
      <c r="AF231" s="288"/>
      <c r="AG231" s="160"/>
      <c r="AH231" s="288"/>
      <c r="AI231" s="288"/>
      <c r="AJ231" s="288"/>
      <c r="AK231" s="165" t="s">
        <v>1791</v>
      </c>
      <c r="AL231" s="288"/>
      <c r="AM231" s="288"/>
      <c r="AN231" s="288"/>
      <c r="AO231" s="288"/>
      <c r="AP231" s="150" t="s">
        <v>2663</v>
      </c>
      <c r="AQ231" s="288"/>
    </row>
    <row r="232">
      <c r="A232" s="150" t="s">
        <v>1935</v>
      </c>
      <c r="B232" s="150" t="s">
        <v>1936</v>
      </c>
      <c r="C232" s="175" t="str">
        <f>VLOOKUP(A232,Import!A:C,3,false)</f>
        <v>DOĞRU</v>
      </c>
      <c r="D232" s="150" t="s">
        <v>2701</v>
      </c>
      <c r="E232" s="280">
        <f>VLOOKUP(A232,Import!A:J,5,0)</f>
        <v>1228</v>
      </c>
      <c r="F232" s="280">
        <f>VLOOKUP(A232,Import!A:J,6,0)</f>
        <v>91</v>
      </c>
      <c r="G232" s="289">
        <f>VLOOKUP(A232,Import!A:J,7,0)</f>
        <v>67</v>
      </c>
      <c r="H232" s="289">
        <f>VLOOKUP(A232,Import!A:J,8,0)</f>
        <v>21</v>
      </c>
      <c r="I232" s="289">
        <f>VLOOKUP(A232,Import!A:J,9,0)</f>
        <v>88</v>
      </c>
      <c r="J232" s="282">
        <f>VLOOKUP(A232,Import!A:J,10,0)</f>
        <v>0.76</v>
      </c>
      <c r="K232" s="290" t="s">
        <v>3266</v>
      </c>
      <c r="L232" s="150">
        <v>5.300832848E9</v>
      </c>
      <c r="M232" s="150" t="s">
        <v>2666</v>
      </c>
      <c r="N232" s="150" t="s">
        <v>2667</v>
      </c>
      <c r="O232" s="150" t="s">
        <v>1938</v>
      </c>
      <c r="P232" s="244" t="str">
        <f>VLOOKUP(A232,Import!A:P,16,0)</f>
        <v>Geleneksel</v>
      </c>
      <c r="Q232" s="291"/>
      <c r="R232" s="292" t="b">
        <v>1</v>
      </c>
      <c r="S232" s="293" t="b">
        <v>0</v>
      </c>
      <c r="T232" s="149" t="s">
        <v>2661</v>
      </c>
      <c r="U232" s="149" t="s">
        <v>1791</v>
      </c>
      <c r="V232" s="269" t="s">
        <v>1609</v>
      </c>
      <c r="W232" s="149"/>
      <c r="X232" s="294">
        <v>44515.0</v>
      </c>
      <c r="Y232" s="294">
        <v>44516.0</v>
      </c>
      <c r="Z232" s="288"/>
      <c r="AA232" s="165" t="s">
        <v>2669</v>
      </c>
      <c r="AB232" s="295">
        <v>44515.0</v>
      </c>
      <c r="AC232" s="288"/>
      <c r="AD232" s="288"/>
      <c r="AE232" s="160"/>
      <c r="AF232" s="288"/>
      <c r="AG232" s="160"/>
      <c r="AH232" s="288"/>
      <c r="AI232" s="288"/>
      <c r="AJ232" s="288"/>
      <c r="AK232" s="165" t="s">
        <v>1791</v>
      </c>
      <c r="AL232" s="288"/>
      <c r="AM232" s="288"/>
      <c r="AN232" s="288"/>
      <c r="AO232" s="288"/>
      <c r="AP232" s="150" t="s">
        <v>2663</v>
      </c>
      <c r="AQ232" s="288"/>
    </row>
    <row r="233">
      <c r="A233" s="147" t="s">
        <v>3267</v>
      </c>
      <c r="B233" s="147" t="s">
        <v>3268</v>
      </c>
      <c r="C233" s="175" t="str">
        <f>VLOOKUP(A233,Import!A:C,3,false)</f>
        <v>DOĞRU</v>
      </c>
      <c r="D233" s="147" t="s">
        <v>2904</v>
      </c>
      <c r="E233" s="280">
        <f>VLOOKUP(A233,Import!A:J,5,0)</f>
        <v>30</v>
      </c>
      <c r="F233" s="280" t="str">
        <f>VLOOKUP(A233,Import!A:J,6,0)</f>
        <v/>
      </c>
      <c r="G233" s="289">
        <f>VLOOKUP(A233,Import!A:J,7,0)</f>
        <v>0</v>
      </c>
      <c r="H233" s="289">
        <f>VLOOKUP(A233,Import!A:J,8,0)</f>
        <v>20</v>
      </c>
      <c r="I233" s="289">
        <f>VLOOKUP(A233,Import!A:J,9,0)</f>
        <v>20</v>
      </c>
      <c r="J233" s="282">
        <f>VLOOKUP(A233,Import!A:J,10,0)</f>
        <v>0</v>
      </c>
      <c r="K233" s="244" t="str">
        <f>VLOOKUP(A233,Import!A:P,11,0)</f>
        <v>SAMİ BAL</v>
      </c>
      <c r="L233" s="147">
        <v>5.336482379E9</v>
      </c>
      <c r="M233" s="147" t="s">
        <v>2666</v>
      </c>
      <c r="N233" s="147" t="s">
        <v>2685</v>
      </c>
      <c r="O233" s="147" t="s">
        <v>3269</v>
      </c>
      <c r="P233" s="244" t="str">
        <f>VLOOKUP(A233,Import!A:P,16,0)</f>
        <v>Geleneksel</v>
      </c>
      <c r="Q233" s="330"/>
      <c r="R233" s="292" t="b">
        <v>1</v>
      </c>
      <c r="S233" s="293" t="b">
        <v>0</v>
      </c>
      <c r="T233" s="149" t="s">
        <v>2770</v>
      </c>
      <c r="U233" s="296"/>
      <c r="V233" s="296"/>
      <c r="W233" s="149" t="s">
        <v>3270</v>
      </c>
      <c r="X233" s="297"/>
      <c r="Y233" s="297"/>
      <c r="Z233" s="288"/>
      <c r="AA233" s="165" t="s">
        <v>2693</v>
      </c>
      <c r="AB233" s="295">
        <v>44518.0</v>
      </c>
      <c r="AC233" s="165" t="s">
        <v>2669</v>
      </c>
      <c r="AD233" s="295">
        <v>44518.0</v>
      </c>
      <c r="AE233" s="160"/>
      <c r="AF233" s="288"/>
      <c r="AG233" s="160"/>
      <c r="AH233" s="288"/>
      <c r="AI233" s="288"/>
      <c r="AJ233" s="288"/>
      <c r="AK233" s="165" t="s">
        <v>1911</v>
      </c>
      <c r="AL233" s="165" t="s">
        <v>1911</v>
      </c>
      <c r="AM233" s="288"/>
      <c r="AN233" s="288"/>
      <c r="AO233" s="288"/>
      <c r="AP233" s="150" t="s">
        <v>2663</v>
      </c>
      <c r="AQ233" s="288"/>
    </row>
    <row r="234">
      <c r="A234" s="150" t="s">
        <v>3271</v>
      </c>
      <c r="B234" s="150" t="s">
        <v>3272</v>
      </c>
      <c r="C234" s="175" t="str">
        <f>VLOOKUP(A234,Import!A:C,3,false)</f>
        <v>DOĞRU</v>
      </c>
      <c r="D234" s="150" t="s">
        <v>2672</v>
      </c>
      <c r="E234" s="280">
        <f>VLOOKUP(A234,Import!A:J,5,0)</f>
        <v>158</v>
      </c>
      <c r="F234" s="280">
        <f>VLOOKUP(A234,Import!A:J,6,0)</f>
        <v>27</v>
      </c>
      <c r="G234" s="289">
        <f>VLOOKUP(A234,Import!A:J,7,0)</f>
        <v>0</v>
      </c>
      <c r="H234" s="289">
        <f>VLOOKUP(A234,Import!A:J,8,0)</f>
        <v>9</v>
      </c>
      <c r="I234" s="289">
        <f>VLOOKUP(A234,Import!A:J,9,0)</f>
        <v>9</v>
      </c>
      <c r="J234" s="282">
        <f>VLOOKUP(A234,Import!A:J,10,0)</f>
        <v>0</v>
      </c>
      <c r="K234" s="290" t="s">
        <v>3273</v>
      </c>
      <c r="L234" s="150">
        <v>5.366404019E9</v>
      </c>
      <c r="M234" s="150" t="s">
        <v>2666</v>
      </c>
      <c r="N234" s="150" t="s">
        <v>3000</v>
      </c>
      <c r="O234" s="150" t="s">
        <v>3274</v>
      </c>
      <c r="P234" s="244" t="str">
        <f>VLOOKUP(A234,Import!A:P,16,0)</f>
        <v>Geleneksel</v>
      </c>
      <c r="Q234" s="291"/>
      <c r="R234" s="292" t="b">
        <v>0</v>
      </c>
      <c r="S234" s="293" t="b">
        <v>0</v>
      </c>
      <c r="T234" s="149"/>
      <c r="U234" s="296"/>
      <c r="V234" s="296"/>
      <c r="W234" s="149"/>
      <c r="X234" s="297"/>
      <c r="Y234" s="297"/>
      <c r="Z234" s="288"/>
      <c r="AA234" s="165"/>
      <c r="AB234" s="295"/>
      <c r="AC234" s="288"/>
      <c r="AD234" s="288"/>
      <c r="AE234" s="160"/>
      <c r="AF234" s="288"/>
      <c r="AG234" s="160"/>
      <c r="AH234" s="288"/>
      <c r="AI234" s="288"/>
      <c r="AJ234" s="288"/>
      <c r="AK234" s="165"/>
      <c r="AL234" s="288"/>
      <c r="AM234" s="288"/>
      <c r="AN234" s="288"/>
      <c r="AO234" s="165"/>
      <c r="AP234" s="150"/>
      <c r="AQ234" s="165"/>
    </row>
    <row r="235">
      <c r="A235" s="244" t="s">
        <v>654</v>
      </c>
      <c r="B235" s="244" t="s">
        <v>655</v>
      </c>
      <c r="C235" s="175" t="str">
        <f>VLOOKUP(A235,Import!A:C,3,false)</f>
        <v>DOĞRU</v>
      </c>
      <c r="D235" s="320" t="s">
        <v>2850</v>
      </c>
      <c r="E235" s="280">
        <f>VLOOKUP(A235,Import!A:J,5,0)</f>
        <v>2883</v>
      </c>
      <c r="F235" s="280">
        <f>VLOOKUP(A235,Import!A:J,6,0)</f>
        <v>91</v>
      </c>
      <c r="G235" s="289">
        <f>VLOOKUP(A235,Import!A:J,7,0)</f>
        <v>24</v>
      </c>
      <c r="H235" s="289">
        <f>VLOOKUP(A235,Import!A:J,8,0)</f>
        <v>8</v>
      </c>
      <c r="I235" s="289">
        <f>VLOOKUP(A235,Import!A:J,9,0)</f>
        <v>32</v>
      </c>
      <c r="J235" s="282">
        <f>VLOOKUP(A235,Import!A:J,10,0)</f>
        <v>0.75</v>
      </c>
      <c r="K235" s="244" t="str">
        <f>VLOOKUP(A235,Import!A:P,11,0)</f>
        <v>BÜLENT AY</v>
      </c>
      <c r="L235" s="321">
        <v>2.222301544E9</v>
      </c>
      <c r="M235" s="320" t="s">
        <v>2666</v>
      </c>
      <c r="N235" s="320" t="s">
        <v>2667</v>
      </c>
      <c r="O235" s="320" t="s">
        <v>657</v>
      </c>
      <c r="P235" s="244" t="str">
        <f>VLOOKUP(A235,Import!A:P,16,0)</f>
        <v>Geleneksel</v>
      </c>
      <c r="Q235" s="322" t="s">
        <v>2760</v>
      </c>
      <c r="R235" s="323" t="b">
        <v>1</v>
      </c>
      <c r="S235" s="324" t="b">
        <v>0</v>
      </c>
      <c r="T235" s="325" t="s">
        <v>2661</v>
      </c>
      <c r="U235" s="325" t="s">
        <v>1715</v>
      </c>
      <c r="V235" s="325" t="s">
        <v>2783</v>
      </c>
      <c r="W235" s="325" t="s">
        <v>3275</v>
      </c>
      <c r="X235" s="327">
        <v>44571.0</v>
      </c>
      <c r="Y235" s="327">
        <v>44572.0</v>
      </c>
      <c r="Z235" s="288"/>
      <c r="AA235" s="165" t="s">
        <v>2693</v>
      </c>
      <c r="AB235" s="295">
        <v>44517.0</v>
      </c>
      <c r="AC235" s="165" t="s">
        <v>2669</v>
      </c>
      <c r="AD235" s="295">
        <v>44571.0</v>
      </c>
      <c r="AE235" s="160"/>
      <c r="AF235" s="288"/>
      <c r="AG235" s="160"/>
      <c r="AH235" s="288"/>
      <c r="AI235" s="288"/>
      <c r="AJ235" s="288"/>
      <c r="AK235" s="165" t="s">
        <v>1971</v>
      </c>
      <c r="AL235" s="165" t="s">
        <v>1715</v>
      </c>
      <c r="AM235" s="288"/>
      <c r="AN235" s="288"/>
      <c r="AO235" s="288"/>
      <c r="AP235" s="150" t="s">
        <v>2663</v>
      </c>
      <c r="AQ235" s="288"/>
    </row>
    <row r="236">
      <c r="A236" s="244" t="s">
        <v>1398</v>
      </c>
      <c r="B236" s="244" t="s">
        <v>1399</v>
      </c>
      <c r="C236" s="175" t="str">
        <f>VLOOKUP(A236,Import!A:C,3,false)</f>
        <v>DOĞRU</v>
      </c>
      <c r="D236" s="244" t="s">
        <v>2763</v>
      </c>
      <c r="E236" s="280">
        <f>VLOOKUP(A236,Import!A:J,5,0)</f>
        <v>1823</v>
      </c>
      <c r="F236" s="280">
        <f>VLOOKUP(A236,Import!A:J,6,0)</f>
        <v>37</v>
      </c>
      <c r="G236" s="289">
        <f>VLOOKUP(A236,Import!A:J,7,0)</f>
        <v>0</v>
      </c>
      <c r="H236" s="289">
        <f>VLOOKUP(A236,Import!A:J,8,0)</f>
        <v>19</v>
      </c>
      <c r="I236" s="289">
        <f>VLOOKUP(A236,Import!A:J,9,0)</f>
        <v>19</v>
      </c>
      <c r="J236" s="282">
        <f>VLOOKUP(A236,Import!A:J,10,0)</f>
        <v>0</v>
      </c>
      <c r="K236" s="244" t="str">
        <f>VLOOKUP(A236,Import!A:P,11,0)</f>
        <v>Rafet Şorabatur</v>
      </c>
      <c r="L236" s="280">
        <v>2.222345258E9</v>
      </c>
      <c r="M236" s="244" t="s">
        <v>1450</v>
      </c>
      <c r="N236" s="244" t="s">
        <v>2659</v>
      </c>
      <c r="O236" s="244" t="s">
        <v>1401</v>
      </c>
      <c r="P236" s="244" t="str">
        <f>VLOOKUP(A236,Import!A:P,16,0)</f>
        <v>Geleneksel</v>
      </c>
      <c r="Q236" s="291" t="s">
        <v>2686</v>
      </c>
      <c r="R236" s="292" t="b">
        <v>1</v>
      </c>
      <c r="S236" s="293" t="b">
        <v>0</v>
      </c>
      <c r="T236" s="165" t="s">
        <v>2714</v>
      </c>
      <c r="U236" s="165" t="s">
        <v>819</v>
      </c>
      <c r="V236" s="165" t="s">
        <v>1343</v>
      </c>
      <c r="W236" s="165" t="s">
        <v>3276</v>
      </c>
      <c r="X236" s="295">
        <v>44336.0</v>
      </c>
      <c r="Y236" s="295">
        <v>44338.0</v>
      </c>
      <c r="Z236" s="288"/>
      <c r="AA236" s="165" t="s">
        <v>2669</v>
      </c>
      <c r="AB236" s="295">
        <v>44602.0</v>
      </c>
      <c r="AC236" s="288"/>
      <c r="AD236" s="288"/>
      <c r="AE236" s="160"/>
      <c r="AF236" s="288"/>
      <c r="AG236" s="160"/>
      <c r="AH236" s="288"/>
      <c r="AI236" s="288"/>
      <c r="AJ236" s="288"/>
      <c r="AK236" s="165" t="s">
        <v>2474</v>
      </c>
      <c r="AL236" s="288"/>
      <c r="AM236" s="288"/>
      <c r="AN236" s="288"/>
      <c r="AO236" s="288"/>
      <c r="AP236" s="150" t="s">
        <v>2663</v>
      </c>
      <c r="AQ236" s="288"/>
    </row>
    <row r="237">
      <c r="A237" s="244" t="s">
        <v>863</v>
      </c>
      <c r="B237" s="244" t="s">
        <v>864</v>
      </c>
      <c r="C237" s="175" t="str">
        <f>VLOOKUP(A237,Import!A:C,3,false)</f>
        <v>DOĞRU</v>
      </c>
      <c r="D237" s="244" t="s">
        <v>2867</v>
      </c>
      <c r="E237" s="280">
        <f>VLOOKUP(A237,Import!A:J,5,0)</f>
        <v>11666</v>
      </c>
      <c r="F237" s="280">
        <f>VLOOKUP(A237,Import!A:J,6,0)</f>
        <v>139</v>
      </c>
      <c r="G237" s="289">
        <f>VLOOKUP(A237,Import!A:J,7,0)</f>
        <v>21</v>
      </c>
      <c r="H237" s="289">
        <f>VLOOKUP(A237,Import!A:J,8,0)</f>
        <v>34</v>
      </c>
      <c r="I237" s="289">
        <f>VLOOKUP(A237,Import!A:J,9,0)</f>
        <v>55</v>
      </c>
      <c r="J237" s="282">
        <f>VLOOKUP(A237,Import!A:J,10,0)</f>
        <v>0.38</v>
      </c>
      <c r="K237" s="244" t="str">
        <f>VLOOKUP(A237,Import!A:P,11,0)</f>
        <v>SERKAN AKKOL</v>
      </c>
      <c r="L237" s="280">
        <v>2.229991844E9</v>
      </c>
      <c r="M237" s="244" t="s">
        <v>2666</v>
      </c>
      <c r="N237" s="244" t="s">
        <v>2855</v>
      </c>
      <c r="O237" s="244" t="s">
        <v>862</v>
      </c>
      <c r="P237" s="244" t="str">
        <f>VLOOKUP(A237,Import!A:P,16,0)</f>
        <v>Geleneksel</v>
      </c>
      <c r="Q237" s="291" t="s">
        <v>2760</v>
      </c>
      <c r="R237" s="292" t="b">
        <v>1</v>
      </c>
      <c r="S237" s="293" t="b">
        <v>0</v>
      </c>
      <c r="T237" s="165" t="s">
        <v>2661</v>
      </c>
      <c r="U237" s="165" t="s">
        <v>819</v>
      </c>
      <c r="V237" s="165" t="s">
        <v>13</v>
      </c>
      <c r="W237" s="165" t="s">
        <v>3277</v>
      </c>
      <c r="X237" s="295">
        <v>44314.0</v>
      </c>
      <c r="Y237" s="295">
        <v>44314.0</v>
      </c>
      <c r="Z237" s="288"/>
      <c r="AA237" s="165" t="s">
        <v>2772</v>
      </c>
      <c r="AB237" s="295">
        <v>44529.0</v>
      </c>
      <c r="AC237" s="288"/>
      <c r="AD237" s="288"/>
      <c r="AE237" s="160"/>
      <c r="AF237" s="288"/>
      <c r="AG237" s="160"/>
      <c r="AH237" s="288"/>
      <c r="AI237" s="288"/>
      <c r="AJ237" s="288"/>
      <c r="AK237" s="165" t="s">
        <v>1715</v>
      </c>
      <c r="AL237" s="288"/>
      <c r="AM237" s="288"/>
      <c r="AN237" s="288"/>
      <c r="AO237" s="288"/>
      <c r="AP237" s="150" t="s">
        <v>2663</v>
      </c>
      <c r="AQ237" s="288"/>
    </row>
    <row r="238">
      <c r="A238" s="150" t="s">
        <v>3278</v>
      </c>
      <c r="B238" s="150" t="s">
        <v>3279</v>
      </c>
      <c r="C238" s="175" t="str">
        <f>VLOOKUP(A238,Import!A:C,3,false)</f>
        <v>DOĞRU</v>
      </c>
      <c r="D238" s="150" t="s">
        <v>2763</v>
      </c>
      <c r="E238" s="280">
        <f>VLOOKUP(A238,Import!A:J,5,0)</f>
        <v>1634</v>
      </c>
      <c r="F238" s="280">
        <f>VLOOKUP(A238,Import!A:J,6,0)</f>
        <v>191</v>
      </c>
      <c r="G238" s="289">
        <f>VLOOKUP(A238,Import!A:J,7,0)</f>
        <v>0</v>
      </c>
      <c r="H238" s="289">
        <f>VLOOKUP(A238,Import!A:J,8,0)</f>
        <v>31</v>
      </c>
      <c r="I238" s="289">
        <f>VLOOKUP(A238,Import!A:J,9,0)</f>
        <v>31</v>
      </c>
      <c r="J238" s="282">
        <f>VLOOKUP(A238,Import!A:J,10,0)</f>
        <v>0</v>
      </c>
      <c r="K238" s="244" t="str">
        <f>VLOOKUP(A238,Import!A:P,11,0)</f>
        <v>İpek Çubuk</v>
      </c>
      <c r="L238" s="150">
        <v>5.545965628E9</v>
      </c>
      <c r="M238" s="150" t="s">
        <v>2666</v>
      </c>
      <c r="N238" s="150" t="s">
        <v>2682</v>
      </c>
      <c r="O238" s="150" t="s">
        <v>3280</v>
      </c>
      <c r="P238" s="244" t="str">
        <f>VLOOKUP(A238,Import!A:P,16,0)</f>
        <v>Geleneksel</v>
      </c>
      <c r="Q238" s="291"/>
      <c r="R238" s="292" t="b">
        <v>1</v>
      </c>
      <c r="S238" s="292" t="b">
        <v>0</v>
      </c>
      <c r="T238" s="149" t="s">
        <v>2714</v>
      </c>
      <c r="U238" s="296"/>
      <c r="V238" s="296"/>
      <c r="W238" s="149" t="s">
        <v>3281</v>
      </c>
      <c r="X238" s="297"/>
      <c r="Y238" s="297"/>
      <c r="Z238" s="288"/>
      <c r="AA238" s="165" t="s">
        <v>2669</v>
      </c>
      <c r="AB238" s="295">
        <v>44489.0</v>
      </c>
      <c r="AC238" s="165" t="s">
        <v>2669</v>
      </c>
      <c r="AD238" s="295">
        <v>44525.0</v>
      </c>
      <c r="AE238" s="160"/>
      <c r="AF238" s="288"/>
      <c r="AG238" s="160"/>
      <c r="AH238" s="288"/>
      <c r="AI238" s="288"/>
      <c r="AJ238" s="288"/>
      <c r="AK238" s="165" t="s">
        <v>1717</v>
      </c>
      <c r="AL238" s="165" t="s">
        <v>1911</v>
      </c>
      <c r="AM238" s="288"/>
      <c r="AN238" s="288"/>
      <c r="AO238" s="288"/>
      <c r="AP238" s="150" t="s">
        <v>2663</v>
      </c>
      <c r="AQ238" s="288"/>
    </row>
    <row r="239">
      <c r="A239" s="150" t="s">
        <v>871</v>
      </c>
      <c r="B239" s="150" t="s">
        <v>872</v>
      </c>
      <c r="C239" s="175" t="str">
        <f>VLOOKUP(A239,Import!A:C,3,false)</f>
        <v>DOĞRU</v>
      </c>
      <c r="D239" s="150" t="s">
        <v>2763</v>
      </c>
      <c r="E239" s="280">
        <f>VLOOKUP(A239,Import!A:J,5,0)</f>
        <v>12817</v>
      </c>
      <c r="F239" s="280">
        <f>VLOOKUP(A239,Import!A:J,6,0)</f>
        <v>282</v>
      </c>
      <c r="G239" s="289">
        <f>VLOOKUP(A239,Import!A:J,7,0)</f>
        <v>25</v>
      </c>
      <c r="H239" s="289">
        <f>VLOOKUP(A239,Import!A:J,8,0)</f>
        <v>10</v>
      </c>
      <c r="I239" s="289">
        <f>VLOOKUP(A239,Import!A:J,9,0)</f>
        <v>35</v>
      </c>
      <c r="J239" s="282">
        <f>VLOOKUP(A239,Import!A:J,10,0)</f>
        <v>0.71</v>
      </c>
      <c r="K239" s="244" t="str">
        <f>VLOOKUP(A239,Import!A:P,11,0)</f>
        <v>Serhat İsmail Çölük</v>
      </c>
      <c r="L239" s="150">
        <v>2.222258256E9</v>
      </c>
      <c r="M239" s="150" t="s">
        <v>1450</v>
      </c>
      <c r="N239" s="150" t="s">
        <v>2705</v>
      </c>
      <c r="O239" s="150" t="s">
        <v>874</v>
      </c>
      <c r="P239" s="244" t="str">
        <f>VLOOKUP(A239,Import!A:P,16,0)</f>
        <v>Geleneksel</v>
      </c>
      <c r="Q239" s="291" t="s">
        <v>2713</v>
      </c>
      <c r="R239" s="292" t="b">
        <v>1</v>
      </c>
      <c r="S239" s="293" t="b">
        <v>0</v>
      </c>
      <c r="T239" s="149" t="s">
        <v>2661</v>
      </c>
      <c r="U239" s="149"/>
      <c r="V239" s="149" t="s">
        <v>13</v>
      </c>
      <c r="W239" s="149" t="s">
        <v>3282</v>
      </c>
      <c r="X239" s="294">
        <v>44256.0</v>
      </c>
      <c r="Y239" s="294">
        <v>44257.0</v>
      </c>
      <c r="Z239" s="288"/>
      <c r="AA239" s="288"/>
      <c r="AB239" s="288"/>
      <c r="AC239" s="288"/>
      <c r="AD239" s="288"/>
      <c r="AE239" s="160"/>
      <c r="AF239" s="288"/>
      <c r="AG239" s="160"/>
      <c r="AH239" s="288"/>
      <c r="AI239" s="288"/>
      <c r="AJ239" s="288"/>
      <c r="AK239" s="288"/>
      <c r="AL239" s="288"/>
      <c r="AM239" s="288"/>
      <c r="AN239" s="288"/>
      <c r="AO239" s="288"/>
      <c r="AP239" s="150" t="s">
        <v>2663</v>
      </c>
      <c r="AQ239" s="288"/>
    </row>
    <row r="240">
      <c r="A240" s="150" t="s">
        <v>3283</v>
      </c>
      <c r="B240" s="150" t="s">
        <v>3284</v>
      </c>
      <c r="C240" s="175" t="str">
        <f>VLOOKUP(A240,Import!A:C,3,false)</f>
        <v>DOĞRU</v>
      </c>
      <c r="D240" s="150" t="s">
        <v>2743</v>
      </c>
      <c r="E240" s="280">
        <f>VLOOKUP(A240,Import!A:J,5,0)</f>
        <v>1681</v>
      </c>
      <c r="F240" s="280" t="str">
        <f>VLOOKUP(A240,Import!A:J,6,0)</f>
        <v/>
      </c>
      <c r="G240" s="289">
        <f>VLOOKUP(A240,Import!A:J,7,0)</f>
        <v>0</v>
      </c>
      <c r="H240" s="289">
        <f>VLOOKUP(A240,Import!A:J,8,0)</f>
        <v>28</v>
      </c>
      <c r="I240" s="289">
        <f>VLOOKUP(A240,Import!A:J,9,0)</f>
        <v>28</v>
      </c>
      <c r="J240" s="282">
        <f>VLOOKUP(A240,Import!A:J,10,0)</f>
        <v>0</v>
      </c>
      <c r="K240" s="244" t="str">
        <f>VLOOKUP(A240,Import!A:P,11,0)</f>
        <v>Müftah Çubuk</v>
      </c>
      <c r="L240" s="150">
        <v>2.223100201E9</v>
      </c>
      <c r="M240" s="150" t="s">
        <v>2666</v>
      </c>
      <c r="N240" s="150" t="s">
        <v>3078</v>
      </c>
      <c r="O240" s="150" t="s">
        <v>3285</v>
      </c>
      <c r="P240" s="244" t="str">
        <f>VLOOKUP(A240,Import!A:P,16,0)</f>
        <v>Geleneksel</v>
      </c>
      <c r="Q240" s="291" t="s">
        <v>2760</v>
      </c>
      <c r="R240" s="292" t="b">
        <v>1</v>
      </c>
      <c r="S240" s="293" t="b">
        <v>0</v>
      </c>
      <c r="T240" s="149" t="s">
        <v>3111</v>
      </c>
      <c r="U240" s="296"/>
      <c r="V240" s="296"/>
      <c r="W240" s="149" t="s">
        <v>3286</v>
      </c>
      <c r="X240" s="297"/>
      <c r="Y240" s="297"/>
      <c r="Z240" s="288"/>
      <c r="AA240" s="288"/>
      <c r="AB240" s="288"/>
      <c r="AC240" s="288"/>
      <c r="AD240" s="288"/>
      <c r="AE240" s="160"/>
      <c r="AF240" s="288"/>
      <c r="AG240" s="160"/>
      <c r="AH240" s="288"/>
      <c r="AI240" s="288"/>
      <c r="AJ240" s="288"/>
      <c r="AK240" s="288"/>
      <c r="AL240" s="288"/>
      <c r="AM240" s="288"/>
      <c r="AN240" s="288"/>
      <c r="AO240" s="288"/>
      <c r="AP240" s="150" t="s">
        <v>2663</v>
      </c>
      <c r="AQ240" s="288"/>
    </row>
    <row r="241">
      <c r="A241" s="150" t="s">
        <v>2255</v>
      </c>
      <c r="B241" s="150" t="s">
        <v>2256</v>
      </c>
      <c r="C241" s="175" t="str">
        <f>VLOOKUP(A241,Import!A:C,3,false)</f>
        <v>DOĞRU</v>
      </c>
      <c r="D241" s="150" t="s">
        <v>2672</v>
      </c>
      <c r="E241" s="280">
        <f>VLOOKUP(A241,Import!A:J,5,0)</f>
        <v>1686</v>
      </c>
      <c r="F241" s="280">
        <f>VLOOKUP(A241,Import!A:J,6,0)</f>
        <v>89</v>
      </c>
      <c r="G241" s="289">
        <f>VLOOKUP(A241,Import!A:J,7,0)</f>
        <v>20</v>
      </c>
      <c r="H241" s="289">
        <f>VLOOKUP(A241,Import!A:J,8,0)</f>
        <v>8</v>
      </c>
      <c r="I241" s="289">
        <f>VLOOKUP(A241,Import!A:J,9,0)</f>
        <v>28</v>
      </c>
      <c r="J241" s="282">
        <f>VLOOKUP(A241,Import!A:J,10,0)</f>
        <v>0.71</v>
      </c>
      <c r="K241" s="290" t="s">
        <v>3287</v>
      </c>
      <c r="L241" s="150">
        <v>2.225031111E9</v>
      </c>
      <c r="M241" s="150" t="s">
        <v>1450</v>
      </c>
      <c r="N241" s="150" t="s">
        <v>2782</v>
      </c>
      <c r="O241" s="150" t="s">
        <v>2258</v>
      </c>
      <c r="P241" s="244" t="str">
        <f>VLOOKUP(A241,Import!A:P,16,0)</f>
        <v>Geleneksel</v>
      </c>
      <c r="Q241" s="291"/>
      <c r="R241" s="292" t="b">
        <v>1</v>
      </c>
      <c r="S241" s="293" t="b">
        <v>0</v>
      </c>
      <c r="T241" s="149" t="s">
        <v>2661</v>
      </c>
      <c r="U241" s="149" t="s">
        <v>1715</v>
      </c>
      <c r="V241" s="296"/>
      <c r="W241" s="149"/>
      <c r="X241" s="294">
        <v>44551.0</v>
      </c>
      <c r="Y241" s="294">
        <v>44559.0</v>
      </c>
      <c r="Z241" s="288"/>
      <c r="AA241" s="165" t="s">
        <v>2669</v>
      </c>
      <c r="AB241" s="295">
        <v>44551.0</v>
      </c>
      <c r="AC241" s="288"/>
      <c r="AD241" s="288"/>
      <c r="AE241" s="160"/>
      <c r="AF241" s="288"/>
      <c r="AG241" s="160"/>
      <c r="AH241" s="288"/>
      <c r="AI241" s="288"/>
      <c r="AJ241" s="288"/>
      <c r="AK241" s="165" t="s">
        <v>1715</v>
      </c>
      <c r="AL241" s="288"/>
      <c r="AM241" s="288"/>
      <c r="AN241" s="288"/>
      <c r="AO241" s="288"/>
      <c r="AP241" s="150" t="s">
        <v>2663</v>
      </c>
      <c r="AQ241" s="288"/>
    </row>
    <row r="242">
      <c r="A242" s="150" t="s">
        <v>1562</v>
      </c>
      <c r="B242" s="150" t="s">
        <v>1563</v>
      </c>
      <c r="C242" s="175" t="str">
        <f>VLOOKUP(A242,Import!A:C,3,false)</f>
        <v>DOĞRU</v>
      </c>
      <c r="D242" s="150" t="s">
        <v>3288</v>
      </c>
      <c r="E242" s="280">
        <f>VLOOKUP(A242,Import!A:J,5,0)</f>
        <v>88</v>
      </c>
      <c r="F242" s="280">
        <f>VLOOKUP(A242,Import!A:J,6,0)</f>
        <v>8</v>
      </c>
      <c r="G242" s="289">
        <f>VLOOKUP(A242,Import!A:J,7,0)</f>
        <v>5</v>
      </c>
      <c r="H242" s="289">
        <f>VLOOKUP(A242,Import!A:J,8,0)</f>
        <v>31</v>
      </c>
      <c r="I242" s="289">
        <f>VLOOKUP(A242,Import!A:J,9,0)</f>
        <v>36</v>
      </c>
      <c r="J242" s="282">
        <f>VLOOKUP(A242,Import!A:J,10,0)</f>
        <v>0.14</v>
      </c>
      <c r="K242" s="244" t="str">
        <f>VLOOKUP(A242,Import!A:P,11,0)</f>
        <v>HÜLYA YEŞİLGİL</v>
      </c>
      <c r="L242" s="150">
        <v>5.325001412E9</v>
      </c>
      <c r="M242" s="150" t="s">
        <v>1450</v>
      </c>
      <c r="N242" s="150" t="s">
        <v>2716</v>
      </c>
      <c r="O242" s="150" t="s">
        <v>1565</v>
      </c>
      <c r="P242" s="244" t="str">
        <f>VLOOKUP(A242,Import!A:P,16,0)</f>
        <v>Geleneksel</v>
      </c>
      <c r="Q242" s="291"/>
      <c r="R242" s="292" t="b">
        <v>1</v>
      </c>
      <c r="S242" s="293" t="b">
        <v>0</v>
      </c>
      <c r="T242" s="149" t="s">
        <v>2661</v>
      </c>
      <c r="U242" s="149" t="s">
        <v>2718</v>
      </c>
      <c r="V242" s="296"/>
      <c r="W242" s="149" t="s">
        <v>3289</v>
      </c>
      <c r="X242" s="294">
        <v>44379.0</v>
      </c>
      <c r="Y242" s="294">
        <v>44384.0</v>
      </c>
      <c r="Z242" s="288"/>
      <c r="AA242" s="165" t="s">
        <v>2688</v>
      </c>
      <c r="AB242" s="295">
        <v>44376.0</v>
      </c>
      <c r="AC242" s="165" t="s">
        <v>2669</v>
      </c>
      <c r="AD242" s="295">
        <v>44379.0</v>
      </c>
      <c r="AE242" s="165" t="s">
        <v>2693</v>
      </c>
      <c r="AF242" s="295">
        <v>44483.0</v>
      </c>
      <c r="AG242" s="165" t="s">
        <v>2688</v>
      </c>
      <c r="AH242" s="295">
        <v>44485.0</v>
      </c>
      <c r="AI242" s="165" t="s">
        <v>2669</v>
      </c>
      <c r="AJ242" s="295">
        <v>44497.0</v>
      </c>
      <c r="AK242" s="165" t="s">
        <v>819</v>
      </c>
      <c r="AL242" s="165" t="s">
        <v>2718</v>
      </c>
      <c r="AM242" s="165" t="s">
        <v>943</v>
      </c>
      <c r="AN242" s="165" t="s">
        <v>1971</v>
      </c>
      <c r="AO242" s="165" t="s">
        <v>1715</v>
      </c>
      <c r="AP242" s="150" t="s">
        <v>2663</v>
      </c>
      <c r="AQ242" s="165"/>
    </row>
    <row r="243">
      <c r="A243" s="150" t="s">
        <v>3290</v>
      </c>
      <c r="B243" s="150" t="s">
        <v>3291</v>
      </c>
      <c r="C243" s="175" t="str">
        <f>VLOOKUP(A243,Import!A:C,3,false)</f>
        <v>DOĞRU</v>
      </c>
      <c r="D243" s="150" t="s">
        <v>2696</v>
      </c>
      <c r="E243" s="280">
        <f>VLOOKUP(A243,Import!A:J,5,0)</f>
        <v>1117</v>
      </c>
      <c r="F243" s="280">
        <f>VLOOKUP(A243,Import!A:J,6,0)</f>
        <v>19</v>
      </c>
      <c r="G243" s="289">
        <f>VLOOKUP(A243,Import!A:J,7,0)</f>
        <v>0</v>
      </c>
      <c r="H243" s="289">
        <f>VLOOKUP(A243,Import!A:J,8,0)</f>
        <v>59</v>
      </c>
      <c r="I243" s="289">
        <f>VLOOKUP(A243,Import!A:J,9,0)</f>
        <v>59</v>
      </c>
      <c r="J243" s="282">
        <f>VLOOKUP(A243,Import!A:J,10,0)</f>
        <v>0</v>
      </c>
      <c r="K243" s="244" t="str">
        <f>VLOOKUP(A243,Import!A:P,11,0)</f>
        <v>SEZER DEMİR</v>
      </c>
      <c r="L243" s="150">
        <v>5.537552671E9</v>
      </c>
      <c r="M243" s="150" t="s">
        <v>2666</v>
      </c>
      <c r="N243" s="150" t="s">
        <v>2876</v>
      </c>
      <c r="O243" s="150" t="s">
        <v>3292</v>
      </c>
      <c r="P243" s="244" t="str">
        <f>VLOOKUP(A243,Import!A:P,16,0)</f>
        <v>Geleneksel</v>
      </c>
      <c r="Q243" s="291" t="s">
        <v>2713</v>
      </c>
      <c r="R243" s="292" t="b">
        <v>1</v>
      </c>
      <c r="S243" s="293" t="b">
        <v>0</v>
      </c>
      <c r="T243" s="149" t="s">
        <v>2693</v>
      </c>
      <c r="U243" s="296"/>
      <c r="V243" s="296"/>
      <c r="W243" s="149" t="s">
        <v>3293</v>
      </c>
      <c r="X243" s="297"/>
      <c r="Y243" s="297"/>
      <c r="Z243" s="288"/>
      <c r="AA243" s="165" t="s">
        <v>2693</v>
      </c>
      <c r="AB243" s="295">
        <v>44590.0</v>
      </c>
      <c r="AC243" s="288"/>
      <c r="AD243" s="288"/>
      <c r="AE243" s="160"/>
      <c r="AF243" s="288"/>
      <c r="AG243" s="160"/>
      <c r="AH243" s="288"/>
      <c r="AI243" s="288"/>
      <c r="AJ243" s="288"/>
      <c r="AK243" s="165" t="s">
        <v>1715</v>
      </c>
      <c r="AL243" s="288"/>
      <c r="AM243" s="288"/>
      <c r="AN243" s="288"/>
      <c r="AO243" s="288"/>
      <c r="AP243" s="150" t="s">
        <v>2663</v>
      </c>
      <c r="AQ243" s="288"/>
    </row>
    <row r="244">
      <c r="A244" s="244" t="s">
        <v>3294</v>
      </c>
      <c r="B244" s="244" t="s">
        <v>3295</v>
      </c>
      <c r="C244" s="175" t="str">
        <f>VLOOKUP(A244,Import!A:C,3,false)</f>
        <v>DOĞRU</v>
      </c>
      <c r="D244" s="175" t="s">
        <v>2867</v>
      </c>
      <c r="E244" s="280">
        <f>VLOOKUP(A244,Import!A:J,5,0)</f>
        <v>15075</v>
      </c>
      <c r="F244" s="280">
        <f>VLOOKUP(A244,Import!A:J,6,0)</f>
        <v>1365</v>
      </c>
      <c r="G244" s="289">
        <f>VLOOKUP(A244,Import!A:J,7,0)</f>
        <v>13</v>
      </c>
      <c r="H244" s="289">
        <f>VLOOKUP(A244,Import!A:J,8,0)</f>
        <v>4</v>
      </c>
      <c r="I244" s="289">
        <f>VLOOKUP(A244,Import!A:J,9,0)</f>
        <v>17</v>
      </c>
      <c r="J244" s="282">
        <f>VLOOKUP(A244,Import!A:J,10,0)</f>
        <v>0.76</v>
      </c>
      <c r="K244" s="244" t="str">
        <f>VLOOKUP(A244,Import!A:P,11,0)</f>
        <v>SÜLEYMAN TOPALOĞLU</v>
      </c>
      <c r="L244" s="283">
        <v>2.223353333E9</v>
      </c>
      <c r="M244" s="175" t="s">
        <v>2666</v>
      </c>
      <c r="N244" s="175" t="s">
        <v>2721</v>
      </c>
      <c r="O244" s="175" t="s">
        <v>3296</v>
      </c>
      <c r="P244" s="244" t="str">
        <f>VLOOKUP(A244,Import!A:P,16,0)</f>
        <v>Geleneksel</v>
      </c>
      <c r="Q244" s="284" t="s">
        <v>2686</v>
      </c>
      <c r="R244" s="285" t="b">
        <v>1</v>
      </c>
      <c r="S244" s="285" t="b">
        <v>1</v>
      </c>
      <c r="T244" s="298"/>
      <c r="U244" s="298"/>
      <c r="V244" s="298"/>
      <c r="W244" s="298"/>
      <c r="X244" s="299"/>
      <c r="Y244" s="299"/>
      <c r="Z244" s="288"/>
      <c r="AA244" s="288"/>
      <c r="AB244" s="288"/>
      <c r="AC244" s="288"/>
      <c r="AD244" s="288"/>
      <c r="AE244" s="160"/>
      <c r="AF244" s="288"/>
      <c r="AG244" s="160"/>
      <c r="AH244" s="288"/>
      <c r="AI244" s="288"/>
      <c r="AJ244" s="288"/>
      <c r="AK244" s="288"/>
      <c r="AL244" s="288"/>
      <c r="AM244" s="288"/>
      <c r="AN244" s="288"/>
      <c r="AO244" s="288"/>
      <c r="AP244" s="150" t="s">
        <v>2663</v>
      </c>
      <c r="AQ244" s="288"/>
    </row>
    <row r="245">
      <c r="A245" s="150" t="s">
        <v>3297</v>
      </c>
      <c r="B245" s="150" t="s">
        <v>3298</v>
      </c>
      <c r="C245" s="175" t="str">
        <f>VLOOKUP(A245,Import!A:C,3,false)</f>
        <v>DOĞRU</v>
      </c>
      <c r="D245" s="150" t="s">
        <v>2763</v>
      </c>
      <c r="E245" s="280">
        <f>VLOOKUP(A245,Import!A:J,5,0)</f>
        <v>1339</v>
      </c>
      <c r="F245" s="280">
        <f>VLOOKUP(A245,Import!A:J,6,0)</f>
        <v>90</v>
      </c>
      <c r="G245" s="289">
        <f>VLOOKUP(A245,Import!A:J,7,0)</f>
        <v>0</v>
      </c>
      <c r="H245" s="289">
        <f>VLOOKUP(A245,Import!A:J,8,0)</f>
        <v>45</v>
      </c>
      <c r="I245" s="289">
        <f>VLOOKUP(A245,Import!A:J,9,0)</f>
        <v>45</v>
      </c>
      <c r="J245" s="282">
        <f>VLOOKUP(A245,Import!A:J,10,0)</f>
        <v>0</v>
      </c>
      <c r="K245" s="244" t="str">
        <f>VLOOKUP(A245,Import!A:P,11,0)</f>
        <v>Dürdane Aldemir</v>
      </c>
      <c r="L245" s="150">
        <v>2.222172717E9</v>
      </c>
      <c r="M245" s="150" t="s">
        <v>1450</v>
      </c>
      <c r="N245" s="150" t="s">
        <v>2674</v>
      </c>
      <c r="O245" s="150" t="s">
        <v>3299</v>
      </c>
      <c r="P245" s="244" t="str">
        <f>VLOOKUP(A245,Import!A:P,16,0)</f>
        <v>Geleneksel</v>
      </c>
      <c r="Q245" s="291"/>
      <c r="R245" s="292" t="b">
        <v>1</v>
      </c>
      <c r="S245" s="293" t="b">
        <v>0</v>
      </c>
      <c r="T245" s="149" t="s">
        <v>2714</v>
      </c>
      <c r="U245" s="296"/>
      <c r="V245" s="296"/>
      <c r="W245" s="149" t="s">
        <v>3300</v>
      </c>
      <c r="X245" s="297"/>
      <c r="Y245" s="297"/>
      <c r="Z245" s="288"/>
      <c r="AA245" s="165" t="s">
        <v>2688</v>
      </c>
      <c r="AB245" s="295">
        <v>44376.0</v>
      </c>
      <c r="AC245" s="165" t="s">
        <v>2772</v>
      </c>
      <c r="AD245" s="295">
        <v>44378.0</v>
      </c>
      <c r="AE245" s="165" t="s">
        <v>2688</v>
      </c>
      <c r="AF245" s="295">
        <v>44536.0</v>
      </c>
      <c r="AG245" s="160"/>
      <c r="AH245" s="288"/>
      <c r="AI245" s="288"/>
      <c r="AJ245" s="288"/>
      <c r="AK245" s="165" t="s">
        <v>819</v>
      </c>
      <c r="AL245" s="165" t="s">
        <v>2718</v>
      </c>
      <c r="AM245" s="165" t="s">
        <v>1715</v>
      </c>
      <c r="AN245" s="288"/>
      <c r="AO245" s="288"/>
      <c r="AP245" s="150" t="s">
        <v>2663</v>
      </c>
      <c r="AQ245" s="288"/>
    </row>
    <row r="246">
      <c r="A246" s="150" t="s">
        <v>3301</v>
      </c>
      <c r="B246" s="150" t="s">
        <v>3302</v>
      </c>
      <c r="C246" s="175" t="str">
        <f>VLOOKUP(A246,Import!A:C,3,false)</f>
        <v>DOĞRU</v>
      </c>
      <c r="D246" s="150" t="s">
        <v>2867</v>
      </c>
      <c r="E246" s="280">
        <f>VLOOKUP(A246,Import!A:J,5,0)</f>
        <v>79</v>
      </c>
      <c r="F246" s="280">
        <f>VLOOKUP(A246,Import!A:J,6,0)</f>
        <v>17</v>
      </c>
      <c r="G246" s="289">
        <f>VLOOKUP(A246,Import!A:J,7,0)</f>
        <v>0</v>
      </c>
      <c r="H246" s="289">
        <f>VLOOKUP(A246,Import!A:J,8,0)</f>
        <v>13</v>
      </c>
      <c r="I246" s="289">
        <f>VLOOKUP(A246,Import!A:J,9,0)</f>
        <v>13</v>
      </c>
      <c r="J246" s="282">
        <f>VLOOKUP(A246,Import!A:J,10,0)</f>
        <v>0</v>
      </c>
      <c r="K246" s="290" t="s">
        <v>3303</v>
      </c>
      <c r="L246" s="150">
        <v>5.446350026E9</v>
      </c>
      <c r="M246" s="150" t="s">
        <v>1450</v>
      </c>
      <c r="N246" s="150" t="s">
        <v>3304</v>
      </c>
      <c r="O246" s="150" t="s">
        <v>3305</v>
      </c>
      <c r="P246" s="244" t="str">
        <f>VLOOKUP(A246,Import!A:P,16,0)</f>
        <v>Geleneksel</v>
      </c>
      <c r="Q246" s="291"/>
      <c r="R246" s="292" t="b">
        <v>0</v>
      </c>
      <c r="S246" s="293" t="b">
        <v>0</v>
      </c>
      <c r="T246" s="149"/>
      <c r="U246" s="296"/>
      <c r="V246" s="296"/>
      <c r="W246" s="149"/>
      <c r="X246" s="297"/>
      <c r="Y246" s="297"/>
      <c r="Z246" s="288"/>
      <c r="AA246" s="165"/>
      <c r="AB246" s="295"/>
      <c r="AC246" s="288"/>
      <c r="AD246" s="288"/>
      <c r="AE246" s="160"/>
      <c r="AF246" s="288"/>
      <c r="AG246" s="160"/>
      <c r="AH246" s="288"/>
      <c r="AI246" s="288"/>
      <c r="AJ246" s="288"/>
      <c r="AK246" s="165"/>
      <c r="AL246" s="288"/>
      <c r="AM246" s="288"/>
      <c r="AN246" s="288"/>
      <c r="AO246" s="165"/>
      <c r="AP246" s="150"/>
      <c r="AQ246" s="165"/>
    </row>
    <row r="247">
      <c r="A247" s="244" t="s">
        <v>3306</v>
      </c>
      <c r="B247" s="244" t="s">
        <v>3307</v>
      </c>
      <c r="C247" s="175" t="str">
        <f>VLOOKUP(A247,Import!A:C,3,false)</f>
        <v>DOĞRU</v>
      </c>
      <c r="D247" s="153" t="s">
        <v>2867</v>
      </c>
      <c r="E247" s="280">
        <f>VLOOKUP(A247,Import!A:J,5,0)</f>
        <v>3930</v>
      </c>
      <c r="F247" s="280">
        <f>VLOOKUP(A247,Import!A:J,6,0)</f>
        <v>125</v>
      </c>
      <c r="G247" s="289">
        <f>VLOOKUP(A247,Import!A:J,7,0)</f>
        <v>0</v>
      </c>
      <c r="H247" s="289">
        <f>VLOOKUP(A247,Import!A:J,8,0)</f>
        <v>12</v>
      </c>
      <c r="I247" s="289">
        <f>VLOOKUP(A247,Import!A:J,9,0)</f>
        <v>12</v>
      </c>
      <c r="J247" s="282">
        <f>VLOOKUP(A247,Import!A:J,10,0)</f>
        <v>0</v>
      </c>
      <c r="K247" s="244" t="str">
        <f>VLOOKUP(A247,Import!A:P,11,0)</f>
        <v>FATİH ARSLAN</v>
      </c>
      <c r="L247" s="340">
        <v>2.227000066E9</v>
      </c>
      <c r="M247" s="153" t="s">
        <v>2666</v>
      </c>
      <c r="N247" s="153" t="s">
        <v>2750</v>
      </c>
      <c r="O247" s="153" t="s">
        <v>3308</v>
      </c>
      <c r="P247" s="244" t="str">
        <f>VLOOKUP(A247,Import!A:P,16,0)</f>
        <v>Geleneksel</v>
      </c>
      <c r="Q247" s="341" t="s">
        <v>2660</v>
      </c>
      <c r="R247" s="342" t="b">
        <v>1</v>
      </c>
      <c r="S247" s="343" t="b">
        <v>0</v>
      </c>
      <c r="T247" s="163" t="s">
        <v>2714</v>
      </c>
      <c r="U247" s="368"/>
      <c r="V247" s="163" t="s">
        <v>3309</v>
      </c>
      <c r="W247" s="368"/>
      <c r="X247" s="369"/>
      <c r="Y247" s="369"/>
      <c r="Z247" s="288"/>
      <c r="AA247" s="288"/>
      <c r="AB247" s="288"/>
      <c r="AC247" s="288"/>
      <c r="AD247" s="288"/>
      <c r="AE247" s="160"/>
      <c r="AF247" s="288"/>
      <c r="AG247" s="160"/>
      <c r="AH247" s="288"/>
      <c r="AI247" s="288"/>
      <c r="AJ247" s="288"/>
      <c r="AK247" s="288"/>
      <c r="AL247" s="288"/>
      <c r="AM247" s="288"/>
      <c r="AN247" s="288"/>
      <c r="AO247" s="288"/>
      <c r="AP247" s="150" t="s">
        <v>2663</v>
      </c>
      <c r="AQ247" s="288"/>
    </row>
    <row r="248">
      <c r="A248" s="150" t="s">
        <v>3310</v>
      </c>
      <c r="B248" s="150" t="s">
        <v>3311</v>
      </c>
      <c r="C248" s="175" t="str">
        <f>VLOOKUP(A248,Import!A:C,3,false)</f>
        <v>DOĞRU</v>
      </c>
      <c r="D248" s="150" t="s">
        <v>2672</v>
      </c>
      <c r="E248" s="280">
        <f>VLOOKUP(A248,Import!A:J,5,0)</f>
        <v>2235</v>
      </c>
      <c r="F248" s="280">
        <f>VLOOKUP(A248,Import!A:J,6,0)</f>
        <v>208</v>
      </c>
      <c r="G248" s="289">
        <f>VLOOKUP(A248,Import!A:J,7,0)</f>
        <v>0</v>
      </c>
      <c r="H248" s="289">
        <f>VLOOKUP(A248,Import!A:J,8,0)</f>
        <v>24</v>
      </c>
      <c r="I248" s="289">
        <f>VLOOKUP(A248,Import!A:J,9,0)</f>
        <v>24</v>
      </c>
      <c r="J248" s="282">
        <f>VLOOKUP(A248,Import!A:J,10,0)</f>
        <v>0</v>
      </c>
      <c r="K248" s="290" t="s">
        <v>3312</v>
      </c>
      <c r="L248" s="150">
        <v>2.222331311E9</v>
      </c>
      <c r="M248" s="150" t="s">
        <v>1450</v>
      </c>
      <c r="N248" s="150" t="s">
        <v>2716</v>
      </c>
      <c r="O248" s="150" t="s">
        <v>3313</v>
      </c>
      <c r="P248" s="244" t="str">
        <f>VLOOKUP(A248,Import!A:P,16,0)</f>
        <v>Geleneksel</v>
      </c>
      <c r="Q248" s="291"/>
      <c r="R248" s="292" t="b">
        <v>1</v>
      </c>
      <c r="S248" s="292" t="b">
        <v>1</v>
      </c>
      <c r="T248" s="296"/>
      <c r="U248" s="296"/>
      <c r="V248" s="312"/>
      <c r="W248" s="149" t="s">
        <v>3314</v>
      </c>
      <c r="X248" s="297"/>
      <c r="Y248" s="297"/>
      <c r="Z248" s="288"/>
      <c r="AA248" s="165" t="s">
        <v>2669</v>
      </c>
      <c r="AB248" s="295">
        <v>44517.0</v>
      </c>
      <c r="AC248" s="165" t="s">
        <v>2669</v>
      </c>
      <c r="AD248" s="295">
        <v>44578.0</v>
      </c>
      <c r="AE248" s="160"/>
      <c r="AF248" s="288"/>
      <c r="AG248" s="160"/>
      <c r="AH248" s="288"/>
      <c r="AI248" s="288"/>
      <c r="AJ248" s="288"/>
      <c r="AK248" s="165" t="s">
        <v>1971</v>
      </c>
      <c r="AL248" s="165" t="s">
        <v>1791</v>
      </c>
      <c r="AM248" s="288"/>
      <c r="AN248" s="288"/>
      <c r="AO248" s="288"/>
      <c r="AP248" s="150" t="s">
        <v>2663</v>
      </c>
      <c r="AQ248" s="288"/>
    </row>
    <row r="249">
      <c r="A249" s="150" t="s">
        <v>3315</v>
      </c>
      <c r="B249" s="150" t="s">
        <v>3316</v>
      </c>
      <c r="C249" s="175" t="str">
        <f>VLOOKUP(A249,Import!A:C,3,false)</f>
        <v>DOĞRU</v>
      </c>
      <c r="D249" s="150" t="s">
        <v>2672</v>
      </c>
      <c r="E249" s="280">
        <f>VLOOKUP(A249,Import!A:J,5,0)</f>
        <v>4825</v>
      </c>
      <c r="F249" s="280">
        <f>VLOOKUP(A249,Import!A:J,6,0)</f>
        <v>458</v>
      </c>
      <c r="G249" s="289">
        <f>VLOOKUP(A249,Import!A:J,7,0)</f>
        <v>0</v>
      </c>
      <c r="H249" s="289">
        <f>VLOOKUP(A249,Import!A:J,8,0)</f>
        <v>24</v>
      </c>
      <c r="I249" s="289">
        <f>VLOOKUP(A249,Import!A:J,9,0)</f>
        <v>24</v>
      </c>
      <c r="J249" s="282">
        <f>VLOOKUP(A249,Import!A:J,10,0)</f>
        <v>0</v>
      </c>
      <c r="K249" s="290" t="s">
        <v>3312</v>
      </c>
      <c r="L249" s="150">
        <v>2.222308322E9</v>
      </c>
      <c r="M249" s="150" t="s">
        <v>2666</v>
      </c>
      <c r="N249" s="150" t="s">
        <v>2682</v>
      </c>
      <c r="O249" s="150" t="s">
        <v>3317</v>
      </c>
      <c r="P249" s="244" t="str">
        <f>VLOOKUP(A249,Import!A:P,16,0)</f>
        <v>Geleneksel</v>
      </c>
      <c r="Q249" s="291"/>
      <c r="R249" s="292" t="b">
        <v>1</v>
      </c>
      <c r="S249" s="293" t="b">
        <v>0</v>
      </c>
      <c r="T249" s="149" t="s">
        <v>2714</v>
      </c>
      <c r="U249" s="296"/>
      <c r="V249" s="296"/>
      <c r="W249" s="149" t="s">
        <v>3318</v>
      </c>
      <c r="X249" s="297"/>
      <c r="Y249" s="297"/>
      <c r="Z249" s="288"/>
      <c r="AA249" s="165" t="s">
        <v>2693</v>
      </c>
      <c r="AB249" s="295">
        <v>44530.0</v>
      </c>
      <c r="AC249" s="165" t="s">
        <v>2699</v>
      </c>
      <c r="AD249" s="295">
        <v>44530.0</v>
      </c>
      <c r="AE249" s="165" t="s">
        <v>2669</v>
      </c>
      <c r="AF249" s="295">
        <v>44571.0</v>
      </c>
      <c r="AG249" s="160"/>
      <c r="AH249" s="288"/>
      <c r="AI249" s="288"/>
      <c r="AJ249" s="288"/>
      <c r="AK249" s="165" t="s">
        <v>1911</v>
      </c>
      <c r="AL249" s="165" t="s">
        <v>1715</v>
      </c>
      <c r="AM249" s="165" t="s">
        <v>819</v>
      </c>
      <c r="AN249" s="288"/>
      <c r="AO249" s="165"/>
      <c r="AP249" s="150" t="s">
        <v>2663</v>
      </c>
      <c r="AQ249" s="165"/>
    </row>
    <row r="250">
      <c r="A250" s="150" t="s">
        <v>3319</v>
      </c>
      <c r="B250" s="150" t="s">
        <v>3320</v>
      </c>
      <c r="C250" s="175" t="str">
        <f>VLOOKUP(A250,Import!A:C,3,false)</f>
        <v>DOĞRU</v>
      </c>
      <c r="D250" s="150" t="s">
        <v>2672</v>
      </c>
      <c r="E250" s="280">
        <f>VLOOKUP(A250,Import!A:J,5,0)</f>
        <v>2092</v>
      </c>
      <c r="F250" s="280">
        <f>VLOOKUP(A250,Import!A:J,6,0)</f>
        <v>160</v>
      </c>
      <c r="G250" s="289">
        <f>VLOOKUP(A250,Import!A:J,7,0)</f>
        <v>0</v>
      </c>
      <c r="H250" s="289">
        <f>VLOOKUP(A250,Import!A:J,8,0)</f>
        <v>25</v>
      </c>
      <c r="I250" s="289">
        <f>VLOOKUP(A250,Import!A:J,9,0)</f>
        <v>25</v>
      </c>
      <c r="J250" s="282">
        <f>VLOOKUP(A250,Import!A:J,10,0)</f>
        <v>0</v>
      </c>
      <c r="K250" s="290" t="s">
        <v>3312</v>
      </c>
      <c r="L250" s="150">
        <v>2.222202877E9</v>
      </c>
      <c r="M250" s="150" t="s">
        <v>1450</v>
      </c>
      <c r="N250" s="150" t="s">
        <v>2700</v>
      </c>
      <c r="O250" s="150" t="s">
        <v>3321</v>
      </c>
      <c r="P250" s="244" t="str">
        <f>VLOOKUP(A250,Import!A:P,16,0)</f>
        <v>Geleneksel</v>
      </c>
      <c r="Q250" s="291"/>
      <c r="R250" s="292" t="b">
        <v>1</v>
      </c>
      <c r="S250" s="292" t="b">
        <v>1</v>
      </c>
      <c r="T250" s="149"/>
      <c r="U250" s="296"/>
      <c r="V250" s="6"/>
      <c r="W250" s="149" t="s">
        <v>3322</v>
      </c>
      <c r="X250" s="297"/>
      <c r="Y250" s="297"/>
      <c r="Z250" s="288"/>
      <c r="AA250" s="165" t="s">
        <v>2669</v>
      </c>
      <c r="AB250" s="295">
        <v>44537.0</v>
      </c>
      <c r="AC250" s="288"/>
      <c r="AD250" s="288"/>
      <c r="AE250" s="160"/>
      <c r="AF250" s="288"/>
      <c r="AG250" s="160"/>
      <c r="AH250" s="288"/>
      <c r="AI250" s="288"/>
      <c r="AJ250" s="288"/>
      <c r="AK250" s="165" t="s">
        <v>1715</v>
      </c>
      <c r="AL250" s="288"/>
      <c r="AM250" s="288"/>
      <c r="AN250" s="288"/>
      <c r="AO250" s="165"/>
      <c r="AP250" s="150" t="s">
        <v>2663</v>
      </c>
      <c r="AQ250" s="165"/>
    </row>
    <row r="251">
      <c r="A251" s="147" t="s">
        <v>1054</v>
      </c>
      <c r="B251" s="147" t="s">
        <v>1055</v>
      </c>
      <c r="C251" s="175" t="str">
        <f>VLOOKUP(A251,Import!A:C,3,false)</f>
        <v>DOĞRU</v>
      </c>
      <c r="D251" s="147" t="s">
        <v>2684</v>
      </c>
      <c r="E251" s="280">
        <f>VLOOKUP(A251,Import!A:J,5,0)</f>
        <v>1793</v>
      </c>
      <c r="F251" s="280">
        <f>VLOOKUP(A251,Import!A:J,6,0)</f>
        <v>129</v>
      </c>
      <c r="G251" s="289">
        <f>VLOOKUP(A251,Import!A:J,7,0)</f>
        <v>64</v>
      </c>
      <c r="H251" s="289">
        <f>VLOOKUP(A251,Import!A:J,8,0)</f>
        <v>14</v>
      </c>
      <c r="I251" s="289">
        <f>VLOOKUP(A251,Import!A:J,9,0)</f>
        <v>78</v>
      </c>
      <c r="J251" s="282">
        <f>VLOOKUP(A251,Import!A:J,10,0)</f>
        <v>0.82</v>
      </c>
      <c r="K251" s="244" t="str">
        <f>VLOOKUP(A251,Import!A:P,11,0)</f>
        <v>Sercan Kale</v>
      </c>
      <c r="L251" s="147">
        <v>2.222342929E9</v>
      </c>
      <c r="M251" s="147" t="s">
        <v>1450</v>
      </c>
      <c r="N251" s="147" t="s">
        <v>3189</v>
      </c>
      <c r="O251" s="147" t="s">
        <v>3323</v>
      </c>
      <c r="P251" s="244" t="str">
        <f>VLOOKUP(A251,Import!A:P,16,0)</f>
        <v>Geleneksel</v>
      </c>
      <c r="Q251" s="291" t="s">
        <v>2713</v>
      </c>
      <c r="R251" s="292" t="b">
        <v>1</v>
      </c>
      <c r="S251" s="293" t="b">
        <v>0</v>
      </c>
      <c r="T251" s="149" t="s">
        <v>2661</v>
      </c>
      <c r="U251" s="149" t="s">
        <v>1000</v>
      </c>
      <c r="V251" s="149" t="s">
        <v>31</v>
      </c>
      <c r="X251" s="294">
        <v>44265.0</v>
      </c>
      <c r="Y251" s="294">
        <v>44266.0</v>
      </c>
      <c r="Z251" s="288"/>
      <c r="AA251" s="288"/>
      <c r="AB251" s="288"/>
      <c r="AC251" s="288"/>
      <c r="AD251" s="288"/>
      <c r="AE251" s="160"/>
      <c r="AF251" s="288"/>
      <c r="AG251" s="160"/>
      <c r="AH251" s="288"/>
      <c r="AI251" s="288"/>
      <c r="AJ251" s="288"/>
      <c r="AK251" s="288"/>
      <c r="AL251" s="288"/>
      <c r="AM251" s="288"/>
      <c r="AN251" s="288"/>
      <c r="AO251" s="288"/>
      <c r="AP251" s="150" t="s">
        <v>2663</v>
      </c>
      <c r="AQ251" s="288"/>
    </row>
    <row r="252">
      <c r="A252" s="150" t="s">
        <v>3324</v>
      </c>
      <c r="B252" s="150" t="s">
        <v>3325</v>
      </c>
      <c r="C252" s="175" t="str">
        <f>VLOOKUP(A252,Import!A:C,3,false)</f>
        <v>DOĞRU</v>
      </c>
      <c r="D252" s="150" t="s">
        <v>2664</v>
      </c>
      <c r="E252" s="280">
        <f>VLOOKUP(A252,Import!A:J,5,0)</f>
        <v>45</v>
      </c>
      <c r="F252" s="280" t="str">
        <f>VLOOKUP(A252,Import!A:J,6,0)</f>
        <v/>
      </c>
      <c r="G252" s="289">
        <f>VLOOKUP(A252,Import!A:J,7,0)</f>
        <v>0</v>
      </c>
      <c r="H252" s="289">
        <f>VLOOKUP(A252,Import!A:J,8,0)</f>
        <v>22</v>
      </c>
      <c r="I252" s="289">
        <f>VLOOKUP(A252,Import!A:J,9,0)</f>
        <v>22</v>
      </c>
      <c r="J252" s="282">
        <f>VLOOKUP(A252,Import!A:J,10,0)</f>
        <v>0</v>
      </c>
      <c r="K252" s="290" t="s">
        <v>3326</v>
      </c>
      <c r="L252" s="150">
        <v>5.451780026E9</v>
      </c>
      <c r="M252" s="150" t="s">
        <v>2666</v>
      </c>
      <c r="N252" s="150" t="s">
        <v>2794</v>
      </c>
      <c r="O252" s="150" t="s">
        <v>2158</v>
      </c>
      <c r="P252" s="244" t="str">
        <f>VLOOKUP(A252,Import!A:P,16,0)</f>
        <v>Geleneksel</v>
      </c>
      <c r="Q252" s="291"/>
      <c r="R252" s="292" t="b">
        <v>1</v>
      </c>
      <c r="S252" s="293" t="b">
        <v>0</v>
      </c>
      <c r="T252" s="149" t="s">
        <v>2770</v>
      </c>
      <c r="U252" s="296"/>
      <c r="V252" s="296"/>
      <c r="W252" s="149" t="s">
        <v>3327</v>
      </c>
      <c r="X252" s="297"/>
      <c r="Y252" s="297"/>
      <c r="Z252" s="288"/>
      <c r="AA252" s="165" t="s">
        <v>2669</v>
      </c>
      <c r="AB252" s="295">
        <v>44622.0</v>
      </c>
      <c r="AC252" s="288"/>
      <c r="AD252" s="288"/>
      <c r="AE252" s="160"/>
      <c r="AF252" s="288"/>
      <c r="AG252" s="160"/>
      <c r="AH252" s="288"/>
      <c r="AI252" s="288"/>
      <c r="AJ252" s="288"/>
      <c r="AK252" s="165" t="s">
        <v>943</v>
      </c>
      <c r="AL252" s="288"/>
      <c r="AM252" s="288"/>
      <c r="AN252" s="288"/>
      <c r="AO252" s="165"/>
      <c r="AP252" s="150"/>
      <c r="AQ252" s="165"/>
    </row>
    <row r="253">
      <c r="A253" s="150" t="s">
        <v>3328</v>
      </c>
      <c r="B253" s="150" t="s">
        <v>3329</v>
      </c>
      <c r="C253" s="175" t="str">
        <f>VLOOKUP(A253,Import!A:C,3,false)</f>
        <v>DOĞRU</v>
      </c>
      <c r="D253" s="150" t="s">
        <v>2672</v>
      </c>
      <c r="E253" s="280" t="str">
        <f>VLOOKUP(A253,Import!A:J,5,0)</f>
        <v/>
      </c>
      <c r="F253" s="280" t="str">
        <f>VLOOKUP(A253,Import!A:J,6,0)</f>
        <v/>
      </c>
      <c r="G253" s="289">
        <f>VLOOKUP(A253,Import!A:J,7,0)</f>
        <v>0</v>
      </c>
      <c r="H253" s="289">
        <f>VLOOKUP(A253,Import!A:J,8,0)</f>
        <v>9</v>
      </c>
      <c r="I253" s="289">
        <f>VLOOKUP(A253,Import!A:J,9,0)</f>
        <v>9</v>
      </c>
      <c r="J253" s="282">
        <f>VLOOKUP(A253,Import!A:J,10,0)</f>
        <v>0</v>
      </c>
      <c r="K253" s="150" t="s">
        <v>3330</v>
      </c>
      <c r="L253" s="150">
        <v>5.356604615E9</v>
      </c>
      <c r="M253" s="150" t="s">
        <v>2666</v>
      </c>
      <c r="N253" s="150" t="s">
        <v>2897</v>
      </c>
      <c r="O253" s="150" t="s">
        <v>3331</v>
      </c>
      <c r="P253" s="244" t="str">
        <f>VLOOKUP(A253,Import!A:P,16,0)</f>
        <v>Geleneksel</v>
      </c>
      <c r="Q253" s="291"/>
      <c r="R253" s="292" t="b">
        <v>0</v>
      </c>
      <c r="S253" s="293" t="b">
        <v>0</v>
      </c>
      <c r="T253" s="149"/>
      <c r="U253" s="296"/>
      <c r="V253" s="296"/>
      <c r="W253" s="149"/>
      <c r="X253" s="297"/>
      <c r="Y253" s="297"/>
      <c r="Z253" s="288"/>
      <c r="AA253" s="165"/>
      <c r="AB253" s="295"/>
      <c r="AC253" s="288"/>
      <c r="AD253" s="288"/>
      <c r="AE253" s="160"/>
      <c r="AF253" s="288"/>
      <c r="AG253" s="160"/>
      <c r="AH253" s="288"/>
      <c r="AI253" s="288"/>
      <c r="AJ253" s="288"/>
      <c r="AK253" s="165"/>
      <c r="AL253" s="288"/>
      <c r="AM253" s="288"/>
      <c r="AN253" s="288"/>
      <c r="AO253" s="165"/>
      <c r="AP253" s="150"/>
      <c r="AQ253" s="165"/>
    </row>
    <row r="254">
      <c r="A254" s="150" t="s">
        <v>3332</v>
      </c>
      <c r="B254" s="150" t="s">
        <v>3333</v>
      </c>
      <c r="C254" s="175" t="str">
        <f>VLOOKUP(A254,Import!A:C,3,false)</f>
        <v>DOĞRU</v>
      </c>
      <c r="D254" s="150" t="s">
        <v>2684</v>
      </c>
      <c r="E254" s="280">
        <f>VLOOKUP(A254,Import!A:J,5,0)</f>
        <v>1308</v>
      </c>
      <c r="F254" s="280">
        <f>VLOOKUP(A254,Import!A:J,6,0)</f>
        <v>32</v>
      </c>
      <c r="G254" s="289">
        <f>VLOOKUP(A254,Import!A:J,7,0)</f>
        <v>0</v>
      </c>
      <c r="H254" s="289">
        <f>VLOOKUP(A254,Import!A:J,8,0)</f>
        <v>84</v>
      </c>
      <c r="I254" s="289">
        <f>VLOOKUP(A254,Import!A:J,9,0)</f>
        <v>84</v>
      </c>
      <c r="J254" s="282">
        <f>VLOOKUP(A254,Import!A:J,10,0)</f>
        <v>0</v>
      </c>
      <c r="K254" s="290" t="s">
        <v>3032</v>
      </c>
      <c r="L254" s="150">
        <v>5.461032626E9</v>
      </c>
      <c r="M254" s="150" t="s">
        <v>2666</v>
      </c>
      <c r="N254" s="150" t="s">
        <v>2801</v>
      </c>
      <c r="O254" s="150" t="s">
        <v>3033</v>
      </c>
      <c r="P254" s="244" t="str">
        <f>VLOOKUP(A254,Import!A:P,16,0)</f>
        <v>Geleneksel</v>
      </c>
      <c r="Q254" s="291"/>
      <c r="R254" s="292" t="b">
        <v>1</v>
      </c>
      <c r="S254" s="292" t="b">
        <v>1</v>
      </c>
      <c r="T254" s="149"/>
      <c r="U254" s="296"/>
      <c r="V254" s="296"/>
      <c r="W254" s="149"/>
      <c r="X254" s="297"/>
      <c r="Y254" s="297"/>
      <c r="Z254" s="288"/>
      <c r="AA254" s="165" t="s">
        <v>2669</v>
      </c>
      <c r="AB254" s="295">
        <v>44540.0</v>
      </c>
      <c r="AC254" s="288"/>
      <c r="AD254" s="288"/>
      <c r="AE254" s="160"/>
      <c r="AF254" s="288"/>
      <c r="AG254" s="160"/>
      <c r="AH254" s="288"/>
      <c r="AI254" s="288"/>
      <c r="AJ254" s="288"/>
      <c r="AK254" s="165" t="s">
        <v>921</v>
      </c>
      <c r="AL254" s="288"/>
      <c r="AM254" s="288"/>
      <c r="AN254" s="288"/>
      <c r="AO254" s="165"/>
      <c r="AP254" s="150" t="s">
        <v>2663</v>
      </c>
      <c r="AQ254" s="165"/>
    </row>
    <row r="255">
      <c r="A255" s="147" t="s">
        <v>1073</v>
      </c>
      <c r="B255" s="147" t="s">
        <v>1074</v>
      </c>
      <c r="C255" s="175" t="str">
        <f>VLOOKUP(A255,Import!A:C,3,false)</f>
        <v>DOĞRU</v>
      </c>
      <c r="D255" s="147" t="s">
        <v>2672</v>
      </c>
      <c r="E255" s="280">
        <f>VLOOKUP(A255,Import!A:J,5,0)</f>
        <v>5550</v>
      </c>
      <c r="F255" s="280">
        <f>VLOOKUP(A255,Import!A:J,6,0)</f>
        <v>162</v>
      </c>
      <c r="G255" s="289">
        <f>VLOOKUP(A255,Import!A:J,7,0)</f>
        <v>13</v>
      </c>
      <c r="H255" s="289">
        <f>VLOOKUP(A255,Import!A:J,8,0)</f>
        <v>49</v>
      </c>
      <c r="I255" s="289">
        <f>VLOOKUP(A255,Import!A:J,9,0)</f>
        <v>62</v>
      </c>
      <c r="J255" s="282">
        <f>VLOOKUP(A255,Import!A:J,10,0)</f>
        <v>0.21</v>
      </c>
      <c r="K255" s="244" t="str">
        <f>VLOOKUP(A255,Import!A:P,11,0)</f>
        <v>Hakim Murat</v>
      </c>
      <c r="L255" s="147">
        <v>2.223355035E9</v>
      </c>
      <c r="M255" s="147" t="s">
        <v>2666</v>
      </c>
      <c r="N255" s="147" t="s">
        <v>2750</v>
      </c>
      <c r="O255" s="147" t="s">
        <v>1077</v>
      </c>
      <c r="P255" s="244" t="str">
        <f>VLOOKUP(A255,Import!A:P,16,0)</f>
        <v>Geleneksel</v>
      </c>
      <c r="Q255" s="291" t="s">
        <v>2713</v>
      </c>
      <c r="R255" s="292" t="b">
        <v>1</v>
      </c>
      <c r="S255" s="293" t="b">
        <v>0</v>
      </c>
      <c r="T255" s="149" t="s">
        <v>2661</v>
      </c>
      <c r="U255" s="149" t="s">
        <v>1000</v>
      </c>
      <c r="V255" s="149" t="s">
        <v>46</v>
      </c>
      <c r="W255" s="149" t="s">
        <v>2898</v>
      </c>
      <c r="X255" s="294">
        <v>44265.0</v>
      </c>
      <c r="Y255" s="294">
        <v>44266.0</v>
      </c>
      <c r="Z255" s="288"/>
      <c r="AA255" s="288"/>
      <c r="AB255" s="288"/>
      <c r="AC255" s="288"/>
      <c r="AD255" s="288"/>
      <c r="AE255" s="160"/>
      <c r="AF255" s="288"/>
      <c r="AG255" s="160"/>
      <c r="AH255" s="288"/>
      <c r="AI255" s="288"/>
      <c r="AJ255" s="288"/>
      <c r="AK255" s="288"/>
      <c r="AL255" s="288"/>
      <c r="AM255" s="288"/>
      <c r="AN255" s="288"/>
      <c r="AO255" s="288"/>
      <c r="AP255" s="150" t="s">
        <v>2663</v>
      </c>
      <c r="AQ255" s="288"/>
    </row>
    <row r="256">
      <c r="A256" s="244" t="s">
        <v>121</v>
      </c>
      <c r="B256" s="244" t="s">
        <v>122</v>
      </c>
      <c r="C256" s="175" t="str">
        <f>VLOOKUP(A256,Import!A:C,3,false)</f>
        <v>DOĞRU</v>
      </c>
      <c r="D256" s="244" t="s">
        <v>2672</v>
      </c>
      <c r="E256" s="280">
        <f>VLOOKUP(A256,Import!A:J,5,0)</f>
        <v>5671</v>
      </c>
      <c r="F256" s="280">
        <f>VLOOKUP(A256,Import!A:J,6,0)</f>
        <v>371</v>
      </c>
      <c r="G256" s="289">
        <f>VLOOKUP(A256,Import!A:J,7,0)</f>
        <v>10</v>
      </c>
      <c r="H256" s="289">
        <f>VLOOKUP(A256,Import!A:J,8,0)</f>
        <v>27</v>
      </c>
      <c r="I256" s="289">
        <f>VLOOKUP(A256,Import!A:J,9,0)</f>
        <v>37</v>
      </c>
      <c r="J256" s="282">
        <f>VLOOKUP(A256,Import!A:J,10,0)</f>
        <v>0.27</v>
      </c>
      <c r="K256" s="244" t="str">
        <f>VLOOKUP(A256,Import!A:P,11,0)</f>
        <v>AZİME AY</v>
      </c>
      <c r="L256" s="280">
        <v>2.224057071E9</v>
      </c>
      <c r="M256" s="244" t="s">
        <v>1450</v>
      </c>
      <c r="N256" s="244" t="s">
        <v>2950</v>
      </c>
      <c r="O256" s="244" t="s">
        <v>80</v>
      </c>
      <c r="P256" s="244" t="str">
        <f>VLOOKUP(A256,Import!A:P,16,0)</f>
        <v>Geleneksel</v>
      </c>
      <c r="Q256" s="291" t="s">
        <v>2760</v>
      </c>
      <c r="R256" s="292" t="b">
        <v>1</v>
      </c>
      <c r="S256" s="293" t="b">
        <v>0</v>
      </c>
      <c r="T256" s="165" t="s">
        <v>2661</v>
      </c>
      <c r="U256" s="165" t="s">
        <v>2913</v>
      </c>
      <c r="V256" s="165"/>
      <c r="W256" s="165" t="s">
        <v>3334</v>
      </c>
      <c r="X256" s="295">
        <v>44377.0</v>
      </c>
      <c r="Y256" s="295">
        <v>44378.0</v>
      </c>
      <c r="Z256" s="328"/>
      <c r="AA256" s="165" t="s">
        <v>2772</v>
      </c>
      <c r="AB256" s="370">
        <v>44377.0</v>
      </c>
      <c r="AC256" s="165" t="s">
        <v>2669</v>
      </c>
      <c r="AD256" s="370">
        <v>44377.0</v>
      </c>
      <c r="AE256" s="160"/>
      <c r="AF256" s="328"/>
      <c r="AG256" s="328"/>
      <c r="AH256" s="328"/>
      <c r="AI256" s="288"/>
      <c r="AJ256" s="328"/>
      <c r="AK256" s="165" t="s">
        <v>2913</v>
      </c>
      <c r="AL256" s="165" t="s">
        <v>2913</v>
      </c>
      <c r="AM256" s="328"/>
      <c r="AN256" s="328"/>
      <c r="AO256" s="328"/>
      <c r="AP256" s="150" t="s">
        <v>2663</v>
      </c>
      <c r="AQ256" s="328"/>
    </row>
    <row r="257">
      <c r="A257" s="150" t="s">
        <v>2295</v>
      </c>
      <c r="B257" s="150" t="s">
        <v>2296</v>
      </c>
      <c r="C257" s="175" t="str">
        <f>VLOOKUP(A257,Import!A:C,3,false)</f>
        <v>DOĞRU</v>
      </c>
      <c r="D257" s="150" t="s">
        <v>2672</v>
      </c>
      <c r="E257" s="280">
        <f>VLOOKUP(A257,Import!A:J,5,0)</f>
        <v>874</v>
      </c>
      <c r="F257" s="280">
        <f>VLOOKUP(A257,Import!A:J,6,0)</f>
        <v>61</v>
      </c>
      <c r="G257" s="289">
        <f>VLOOKUP(A257,Import!A:J,7,0)</f>
        <v>9</v>
      </c>
      <c r="H257" s="289">
        <f>VLOOKUP(A257,Import!A:J,8,0)</f>
        <v>4</v>
      </c>
      <c r="I257" s="289">
        <f>VLOOKUP(A257,Import!A:J,9,0)</f>
        <v>13</v>
      </c>
      <c r="J257" s="282">
        <f>VLOOKUP(A257,Import!A:J,10,0)</f>
        <v>0.69</v>
      </c>
      <c r="K257" s="290" t="s">
        <v>3335</v>
      </c>
      <c r="L257" s="150">
        <v>2.223151111E9</v>
      </c>
      <c r="M257" s="150" t="s">
        <v>2666</v>
      </c>
      <c r="N257" s="150" t="s">
        <v>2685</v>
      </c>
      <c r="O257" s="150" t="s">
        <v>2298</v>
      </c>
      <c r="P257" s="244" t="str">
        <f>VLOOKUP(A257,Import!A:P,16,0)</f>
        <v>Geleneksel</v>
      </c>
      <c r="Q257" s="291"/>
      <c r="R257" s="292" t="b">
        <v>1</v>
      </c>
      <c r="S257" s="293" t="b">
        <v>0</v>
      </c>
      <c r="T257" s="149" t="s">
        <v>2661</v>
      </c>
      <c r="U257" s="149" t="s">
        <v>819</v>
      </c>
      <c r="V257" s="301" t="s">
        <v>1609</v>
      </c>
      <c r="W257" s="149" t="s">
        <v>2297</v>
      </c>
      <c r="X257" s="294">
        <v>44564.0</v>
      </c>
      <c r="Y257" s="294">
        <v>44566.0</v>
      </c>
      <c r="Z257" s="288"/>
      <c r="AA257" s="165" t="s">
        <v>2669</v>
      </c>
      <c r="AB257" s="295">
        <v>44564.0</v>
      </c>
      <c r="AC257" s="288"/>
      <c r="AD257" s="288"/>
      <c r="AE257" s="160"/>
      <c r="AF257" s="288"/>
      <c r="AG257" s="160"/>
      <c r="AH257" s="288"/>
      <c r="AI257" s="288"/>
      <c r="AJ257" s="288"/>
      <c r="AK257" s="165" t="s">
        <v>819</v>
      </c>
      <c r="AL257" s="288"/>
      <c r="AM257" s="288"/>
      <c r="AN257" s="288"/>
      <c r="AO257" s="165"/>
      <c r="AP257" s="150" t="s">
        <v>2663</v>
      </c>
      <c r="AQ257" s="165"/>
    </row>
    <row r="258">
      <c r="A258" s="150" t="s">
        <v>2507</v>
      </c>
      <c r="B258" s="150" t="s">
        <v>2508</v>
      </c>
      <c r="C258" s="175" t="str">
        <f>VLOOKUP(A258,Import!A:C,3,false)</f>
        <v>DOĞRU</v>
      </c>
      <c r="D258" s="150" t="s">
        <v>2672</v>
      </c>
      <c r="E258" s="280">
        <f>VLOOKUP(A258,Import!A:J,5,0)</f>
        <v>94</v>
      </c>
      <c r="F258" s="280">
        <f>VLOOKUP(A258,Import!A:J,6,0)</f>
        <v>9</v>
      </c>
      <c r="G258" s="289">
        <f>VLOOKUP(A258,Import!A:J,7,0)</f>
        <v>6</v>
      </c>
      <c r="H258" s="289">
        <f>VLOOKUP(A258,Import!A:J,8,0)</f>
        <v>18</v>
      </c>
      <c r="I258" s="289">
        <f>VLOOKUP(A258,Import!A:J,9,0)</f>
        <v>24</v>
      </c>
      <c r="J258" s="282">
        <f>VLOOKUP(A258,Import!A:J,10,0)</f>
        <v>0.25</v>
      </c>
      <c r="K258" s="290" t="s">
        <v>3336</v>
      </c>
      <c r="L258" s="150">
        <v>2.223202938E9</v>
      </c>
      <c r="M258" s="150" t="s">
        <v>2666</v>
      </c>
      <c r="N258" s="150" t="s">
        <v>2750</v>
      </c>
      <c r="O258" s="150" t="s">
        <v>2510</v>
      </c>
      <c r="P258" s="244" t="str">
        <f>VLOOKUP(A258,Import!A:P,16,0)</f>
        <v>Geleneksel</v>
      </c>
      <c r="Q258" s="291"/>
      <c r="R258" s="292" t="b">
        <v>1</v>
      </c>
      <c r="S258" s="293" t="b">
        <v>0</v>
      </c>
      <c r="T258" s="149" t="s">
        <v>2661</v>
      </c>
      <c r="U258" s="149" t="s">
        <v>819</v>
      </c>
      <c r="V258" s="149" t="s">
        <v>1609</v>
      </c>
      <c r="W258" s="149" t="s">
        <v>3337</v>
      </c>
      <c r="X258" s="294">
        <v>44620.0</v>
      </c>
      <c r="Y258" s="294">
        <v>44621.0</v>
      </c>
      <c r="Z258" s="288"/>
      <c r="AA258" s="165" t="s">
        <v>2669</v>
      </c>
      <c r="AB258" s="295">
        <v>44620.0</v>
      </c>
      <c r="AC258" s="288"/>
      <c r="AD258" s="288"/>
      <c r="AE258" s="160"/>
      <c r="AF258" s="288"/>
      <c r="AG258" s="160"/>
      <c r="AH258" s="288"/>
      <c r="AI258" s="288"/>
      <c r="AJ258" s="288"/>
      <c r="AK258" s="165" t="s">
        <v>819</v>
      </c>
      <c r="AL258" s="288"/>
      <c r="AM258" s="288"/>
      <c r="AN258" s="288"/>
      <c r="AO258" s="165"/>
      <c r="AP258" s="150"/>
      <c r="AQ258" s="165"/>
    </row>
    <row r="259">
      <c r="A259" s="244" t="s">
        <v>3338</v>
      </c>
      <c r="B259" s="244" t="s">
        <v>3339</v>
      </c>
      <c r="C259" s="175" t="str">
        <f>VLOOKUP(A259,Import!A:C,3,false)</f>
        <v>DOĞRU</v>
      </c>
      <c r="D259" s="244" t="s">
        <v>2672</v>
      </c>
      <c r="E259" s="280">
        <f>VLOOKUP(A259,Import!A:J,5,0)</f>
        <v>39452</v>
      </c>
      <c r="F259" s="280">
        <f>VLOOKUP(A259,Import!A:J,6,0)</f>
        <v>1798</v>
      </c>
      <c r="G259" s="289">
        <f>VLOOKUP(A259,Import!A:J,7,0)</f>
        <v>1</v>
      </c>
      <c r="H259" s="289">
        <f>VLOOKUP(A259,Import!A:J,8,0)</f>
        <v>32</v>
      </c>
      <c r="I259" s="289">
        <f>VLOOKUP(A259,Import!A:J,9,0)</f>
        <v>33</v>
      </c>
      <c r="J259" s="282">
        <f>VLOOKUP(A259,Import!A:J,10,0)</f>
        <v>0.03</v>
      </c>
      <c r="K259" s="244" t="str">
        <f>VLOOKUP(A259,Import!A:P,11,0)</f>
        <v>Birgül Gümüş</v>
      </c>
      <c r="L259" s="280">
        <v>2.225000066E9</v>
      </c>
      <c r="M259" s="244" t="s">
        <v>1450</v>
      </c>
      <c r="N259" s="244" t="s">
        <v>2732</v>
      </c>
      <c r="O259" s="244" t="s">
        <v>3340</v>
      </c>
      <c r="P259" s="244" t="str">
        <f>VLOOKUP(A259,Import!A:P,16,0)</f>
        <v>Geleneksel</v>
      </c>
      <c r="Q259" s="291" t="s">
        <v>2760</v>
      </c>
      <c r="R259" s="292" t="b">
        <v>1</v>
      </c>
      <c r="S259" s="292" t="b">
        <v>1</v>
      </c>
      <c r="T259" s="165" t="s">
        <v>2714</v>
      </c>
      <c r="U259" s="160"/>
      <c r="V259" s="160"/>
      <c r="W259" s="165" t="s">
        <v>3341</v>
      </c>
      <c r="X259" s="288"/>
      <c r="Y259" s="288"/>
      <c r="Z259" s="288"/>
      <c r="AA259" s="165" t="s">
        <v>2772</v>
      </c>
      <c r="AB259" s="295">
        <v>44488.0</v>
      </c>
      <c r="AC259" s="165" t="s">
        <v>2669</v>
      </c>
      <c r="AD259" s="295">
        <v>44494.0</v>
      </c>
      <c r="AE259" s="160"/>
      <c r="AF259" s="288"/>
      <c r="AG259" s="160"/>
      <c r="AH259" s="288"/>
      <c r="AI259" s="288"/>
      <c r="AJ259" s="288"/>
      <c r="AK259" s="165" t="s">
        <v>1717</v>
      </c>
      <c r="AL259" s="165" t="s">
        <v>1791</v>
      </c>
      <c r="AM259" s="288"/>
      <c r="AN259" s="288"/>
      <c r="AO259" s="288"/>
      <c r="AP259" s="150" t="s">
        <v>2663</v>
      </c>
      <c r="AQ259" s="288"/>
    </row>
    <row r="260">
      <c r="A260" s="150" t="s">
        <v>3342</v>
      </c>
      <c r="B260" s="150" t="s">
        <v>3343</v>
      </c>
      <c r="C260" s="175" t="str">
        <f>VLOOKUP(A260,Import!A:C,3,false)</f>
        <v>DOĞRU</v>
      </c>
      <c r="D260" s="150" t="s">
        <v>2672</v>
      </c>
      <c r="E260" s="280">
        <f>VLOOKUP(A260,Import!A:J,5,0)</f>
        <v>3599</v>
      </c>
      <c r="F260" s="280">
        <f>VLOOKUP(A260,Import!A:J,6,0)</f>
        <v>251</v>
      </c>
      <c r="G260" s="289">
        <f>VLOOKUP(A260,Import!A:J,7,0)</f>
        <v>0</v>
      </c>
      <c r="H260" s="289">
        <f>VLOOKUP(A260,Import!A:J,8,0)</f>
        <v>22</v>
      </c>
      <c r="I260" s="289">
        <f>VLOOKUP(A260,Import!A:J,9,0)</f>
        <v>22</v>
      </c>
      <c r="J260" s="282">
        <f>VLOOKUP(A260,Import!A:J,10,0)</f>
        <v>0</v>
      </c>
      <c r="K260" s="290" t="s">
        <v>3344</v>
      </c>
      <c r="L260" s="150">
        <v>5.497870594E9</v>
      </c>
      <c r="M260" s="150" t="s">
        <v>1450</v>
      </c>
      <c r="N260" s="150" t="s">
        <v>2703</v>
      </c>
      <c r="O260" s="150" t="s">
        <v>3345</v>
      </c>
      <c r="P260" s="244" t="str">
        <f>VLOOKUP(A260,Import!A:P,16,0)</f>
        <v>Geleneksel</v>
      </c>
      <c r="Q260" s="291"/>
      <c r="R260" s="292" t="b">
        <v>1</v>
      </c>
      <c r="S260" s="292" t="b">
        <v>1</v>
      </c>
      <c r="T260" s="149" t="s">
        <v>2770</v>
      </c>
      <c r="U260" s="296"/>
      <c r="V260" s="296"/>
      <c r="W260" s="149" t="s">
        <v>3346</v>
      </c>
      <c r="X260" s="297"/>
      <c r="Y260" s="297"/>
      <c r="Z260" s="288"/>
      <c r="AA260" s="165" t="s">
        <v>2669</v>
      </c>
      <c r="AB260" s="295">
        <v>44536.0</v>
      </c>
      <c r="AC260" s="165" t="s">
        <v>2669</v>
      </c>
      <c r="AD260" s="295">
        <v>44578.0</v>
      </c>
      <c r="AE260" s="160"/>
      <c r="AF260" s="288"/>
      <c r="AG260" s="160"/>
      <c r="AH260" s="288"/>
      <c r="AI260" s="288"/>
      <c r="AJ260" s="288"/>
      <c r="AK260" s="165" t="s">
        <v>1715</v>
      </c>
      <c r="AL260" s="165" t="s">
        <v>943</v>
      </c>
      <c r="AM260" s="288"/>
      <c r="AN260" s="288"/>
      <c r="AO260" s="288"/>
      <c r="AP260" s="150" t="s">
        <v>2663</v>
      </c>
      <c r="AQ260" s="288"/>
    </row>
    <row r="261">
      <c r="A261" s="150" t="s">
        <v>3347</v>
      </c>
      <c r="B261" s="150" t="s">
        <v>3348</v>
      </c>
      <c r="C261" s="175" t="str">
        <f>VLOOKUP(A261,Import!A:C,3,false)</f>
        <v>DOĞRU</v>
      </c>
      <c r="D261" s="150" t="s">
        <v>2701</v>
      </c>
      <c r="E261" s="280">
        <f>VLOOKUP(A261,Import!A:J,5,0)</f>
        <v>1008</v>
      </c>
      <c r="F261" s="280">
        <f>VLOOKUP(A261,Import!A:J,6,0)</f>
        <v>193</v>
      </c>
      <c r="G261" s="289">
        <f>VLOOKUP(A261,Import!A:J,7,0)</f>
        <v>29</v>
      </c>
      <c r="H261" s="289">
        <f>VLOOKUP(A261,Import!A:J,8,0)</f>
        <v>25</v>
      </c>
      <c r="I261" s="289">
        <f>VLOOKUP(A261,Import!A:J,9,0)</f>
        <v>54</v>
      </c>
      <c r="J261" s="282">
        <f>VLOOKUP(A261,Import!A:J,10,0)</f>
        <v>0.54</v>
      </c>
      <c r="K261" s="290" t="s">
        <v>3349</v>
      </c>
      <c r="L261" s="150">
        <v>5.337117866E9</v>
      </c>
      <c r="M261" s="150" t="s">
        <v>1450</v>
      </c>
      <c r="N261" s="150" t="s">
        <v>2795</v>
      </c>
      <c r="O261" s="150" t="s">
        <v>3350</v>
      </c>
      <c r="P261" s="244" t="str">
        <f>VLOOKUP(A261,Import!A:P,16,0)</f>
        <v>Geleneksel</v>
      </c>
      <c r="Q261" s="291"/>
      <c r="R261" s="292" t="b">
        <v>1</v>
      </c>
      <c r="S261" s="292" t="b">
        <v>1</v>
      </c>
      <c r="T261" s="149"/>
      <c r="U261" s="296"/>
      <c r="V261" s="312"/>
      <c r="W261" s="149" t="s">
        <v>3351</v>
      </c>
      <c r="X261" s="297"/>
      <c r="Y261" s="297"/>
      <c r="Z261" s="288"/>
      <c r="AA261" s="165" t="s">
        <v>2669</v>
      </c>
      <c r="AB261" s="295">
        <v>44621.0</v>
      </c>
      <c r="AC261" s="288"/>
      <c r="AD261" s="288"/>
      <c r="AE261" s="160"/>
      <c r="AF261" s="288"/>
      <c r="AG261" s="160"/>
      <c r="AH261" s="288"/>
      <c r="AI261" s="288"/>
      <c r="AJ261" s="288"/>
      <c r="AK261" s="165" t="s">
        <v>1791</v>
      </c>
      <c r="AL261" s="288"/>
      <c r="AM261" s="288"/>
      <c r="AN261" s="288"/>
      <c r="AO261" s="165"/>
      <c r="AP261" s="150"/>
      <c r="AQ261" s="165"/>
    </row>
    <row r="262">
      <c r="A262" s="150" t="s">
        <v>3352</v>
      </c>
      <c r="B262" s="150" t="s">
        <v>3353</v>
      </c>
      <c r="C262" s="175" t="str">
        <f>VLOOKUP(A262,Import!A:C,3,false)</f>
        <v>DOĞRU</v>
      </c>
      <c r="D262" s="150" t="s">
        <v>2724</v>
      </c>
      <c r="E262" s="280">
        <f>VLOOKUP(A262,Import!A:J,5,0)</f>
        <v>35</v>
      </c>
      <c r="F262" s="280">
        <f>VLOOKUP(A262,Import!A:J,6,0)</f>
        <v>2</v>
      </c>
      <c r="G262" s="289">
        <f>VLOOKUP(A262,Import!A:J,7,0)</f>
        <v>16</v>
      </c>
      <c r="H262" s="289">
        <f>VLOOKUP(A262,Import!A:J,8,0)</f>
        <v>12</v>
      </c>
      <c r="I262" s="289">
        <f>VLOOKUP(A262,Import!A:J,9,0)</f>
        <v>28</v>
      </c>
      <c r="J262" s="282">
        <f>VLOOKUP(A262,Import!A:J,10,0)</f>
        <v>0.57</v>
      </c>
      <c r="K262" s="244" t="str">
        <f>VLOOKUP(A262,Import!A:P,11,0)</f>
        <v>Nedim Abacı</v>
      </c>
      <c r="L262" s="150">
        <v>2.222211414E9</v>
      </c>
      <c r="M262" s="150" t="s">
        <v>2666</v>
      </c>
      <c r="N262" s="150" t="s">
        <v>2667</v>
      </c>
      <c r="O262" s="150" t="s">
        <v>3354</v>
      </c>
      <c r="P262" s="244" t="str">
        <f>VLOOKUP(A262,Import!A:P,16,0)</f>
        <v>Geleneksel</v>
      </c>
      <c r="Q262" s="291"/>
      <c r="R262" s="292" t="b">
        <v>1</v>
      </c>
      <c r="S262" s="292" t="b">
        <v>1</v>
      </c>
      <c r="T262" s="149"/>
      <c r="U262" s="296"/>
      <c r="V262" s="296"/>
      <c r="W262" s="149" t="s">
        <v>3161</v>
      </c>
      <c r="X262" s="297"/>
      <c r="Y262" s="297"/>
      <c r="Z262" s="288"/>
      <c r="AA262" s="165" t="s">
        <v>2772</v>
      </c>
      <c r="AB262" s="295">
        <v>44509.0</v>
      </c>
      <c r="AC262" s="165" t="s">
        <v>2699</v>
      </c>
      <c r="AD262" s="295">
        <v>44515.0</v>
      </c>
      <c r="AE262" s="165" t="s">
        <v>2699</v>
      </c>
      <c r="AF262" s="295">
        <v>44517.0</v>
      </c>
      <c r="AG262" s="165" t="s">
        <v>2669</v>
      </c>
      <c r="AH262" s="295">
        <v>44524.0</v>
      </c>
      <c r="AI262" s="288"/>
      <c r="AJ262" s="288"/>
      <c r="AK262" s="165" t="s">
        <v>1715</v>
      </c>
      <c r="AL262" s="165" t="s">
        <v>1791</v>
      </c>
      <c r="AM262" s="165" t="s">
        <v>1971</v>
      </c>
      <c r="AN262" s="165" t="s">
        <v>1717</v>
      </c>
      <c r="AO262" s="288"/>
      <c r="AP262" s="150" t="s">
        <v>2663</v>
      </c>
      <c r="AQ262" s="288"/>
    </row>
    <row r="263">
      <c r="A263" s="147" t="s">
        <v>3355</v>
      </c>
      <c r="B263" s="147" t="s">
        <v>3356</v>
      </c>
      <c r="C263" s="175" t="str">
        <f>VLOOKUP(A263,Import!A:C,3,false)</f>
        <v>DOĞRU</v>
      </c>
      <c r="D263" s="147" t="s">
        <v>2684</v>
      </c>
      <c r="E263" s="280">
        <f>VLOOKUP(A263,Import!A:J,5,0)</f>
        <v>3506</v>
      </c>
      <c r="F263" s="280">
        <f>VLOOKUP(A263,Import!A:J,6,0)</f>
        <v>85</v>
      </c>
      <c r="G263" s="289">
        <f>VLOOKUP(A263,Import!A:J,7,0)</f>
        <v>22</v>
      </c>
      <c r="H263" s="289">
        <f>VLOOKUP(A263,Import!A:J,8,0)</f>
        <v>25</v>
      </c>
      <c r="I263" s="289">
        <f>VLOOKUP(A263,Import!A:J,9,0)</f>
        <v>47</v>
      </c>
      <c r="J263" s="282">
        <f>VLOOKUP(A263,Import!A:J,10,0)</f>
        <v>0.47</v>
      </c>
      <c r="K263" s="244" t="str">
        <f>VLOOKUP(A263,Import!A:P,11,0)</f>
        <v>ÖZGÜR GÜVEN</v>
      </c>
      <c r="L263" s="147">
        <v>2.2232245E9</v>
      </c>
      <c r="M263" s="147" t="s">
        <v>2666</v>
      </c>
      <c r="N263" s="147" t="s">
        <v>2721</v>
      </c>
      <c r="O263" s="147" t="s">
        <v>3357</v>
      </c>
      <c r="P263" s="244" t="str">
        <f>VLOOKUP(A263,Import!A:P,16,0)</f>
        <v>Geleneksel</v>
      </c>
      <c r="Q263" s="330"/>
      <c r="R263" s="292" t="b">
        <v>1</v>
      </c>
      <c r="S263" s="292" t="b">
        <v>1</v>
      </c>
      <c r="T263" s="296"/>
      <c r="U263" s="296"/>
      <c r="V263" s="296"/>
      <c r="W263" s="149" t="s">
        <v>3358</v>
      </c>
      <c r="X263" s="297"/>
      <c r="Y263" s="297"/>
      <c r="Z263" s="288"/>
      <c r="AA263" s="165" t="s">
        <v>2669</v>
      </c>
      <c r="AB263" s="295">
        <v>44525.0</v>
      </c>
      <c r="AC263" s="288"/>
      <c r="AD263" s="288"/>
      <c r="AE263" s="160"/>
      <c r="AF263" s="288"/>
      <c r="AG263" s="160"/>
      <c r="AH263" s="288"/>
      <c r="AI263" s="288"/>
      <c r="AJ263" s="288"/>
      <c r="AK263" s="165" t="s">
        <v>1911</v>
      </c>
      <c r="AL263" s="288"/>
      <c r="AM263" s="288"/>
      <c r="AN263" s="288"/>
      <c r="AO263" s="288"/>
      <c r="AP263" s="150" t="s">
        <v>2663</v>
      </c>
      <c r="AQ263" s="288"/>
    </row>
    <row r="264">
      <c r="A264" s="150" t="s">
        <v>3359</v>
      </c>
      <c r="B264" s="150" t="s">
        <v>3360</v>
      </c>
      <c r="C264" s="175" t="str">
        <f>VLOOKUP(A264,Import!A:C,3,false)</f>
        <v>DOĞRU</v>
      </c>
      <c r="D264" s="150" t="s">
        <v>2904</v>
      </c>
      <c r="E264" s="280">
        <f>VLOOKUP(A264,Import!A:J,5,0)</f>
        <v>16</v>
      </c>
      <c r="F264" s="280">
        <f>VLOOKUP(A264,Import!A:J,6,0)</f>
        <v>16</v>
      </c>
      <c r="G264" s="289">
        <f>VLOOKUP(A264,Import!A:J,7,0)</f>
        <v>0</v>
      </c>
      <c r="H264" s="289">
        <f>VLOOKUP(A264,Import!A:J,8,0)</f>
        <v>33</v>
      </c>
      <c r="I264" s="289">
        <f>VLOOKUP(A264,Import!A:J,9,0)</f>
        <v>33</v>
      </c>
      <c r="J264" s="282">
        <f>VLOOKUP(A264,Import!A:J,10,0)</f>
        <v>0</v>
      </c>
      <c r="K264" s="150" t="s">
        <v>3361</v>
      </c>
      <c r="L264" s="150">
        <v>5.352488282E9</v>
      </c>
      <c r="M264" s="150" t="s">
        <v>2666</v>
      </c>
      <c r="N264" s="150" t="s">
        <v>2721</v>
      </c>
      <c r="O264" s="150" t="s">
        <v>3362</v>
      </c>
      <c r="P264" s="244" t="str">
        <f>VLOOKUP(A264,Import!A:P,16,0)</f>
        <v>Geleneksel</v>
      </c>
      <c r="Q264" s="291"/>
      <c r="R264" s="292" t="b">
        <v>0</v>
      </c>
      <c r="S264" s="293" t="b">
        <v>0</v>
      </c>
      <c r="T264" s="149"/>
      <c r="U264" s="296"/>
      <c r="V264" s="296"/>
      <c r="W264" s="149"/>
      <c r="X264" s="297"/>
      <c r="Y264" s="297"/>
      <c r="Z264" s="288"/>
      <c r="AA264" s="165"/>
      <c r="AB264" s="295"/>
      <c r="AC264" s="288"/>
      <c r="AD264" s="288"/>
      <c r="AE264" s="160"/>
      <c r="AF264" s="288"/>
      <c r="AG264" s="160"/>
      <c r="AH264" s="288"/>
      <c r="AI264" s="288"/>
      <c r="AJ264" s="288"/>
      <c r="AK264" s="165"/>
      <c r="AL264" s="288"/>
      <c r="AM264" s="288"/>
      <c r="AN264" s="288"/>
      <c r="AO264" s="165"/>
      <c r="AP264" s="150"/>
      <c r="AQ264" s="165"/>
    </row>
    <row r="265">
      <c r="A265" s="150" t="s">
        <v>3363</v>
      </c>
      <c r="B265" s="150" t="s">
        <v>3364</v>
      </c>
      <c r="C265" s="175" t="str">
        <f>VLOOKUP(A265,Import!A:C,3,false)</f>
        <v>DOĞRU</v>
      </c>
      <c r="D265" s="150" t="s">
        <v>2904</v>
      </c>
      <c r="E265" s="280">
        <f>VLOOKUP(A265,Import!A:J,5,0)</f>
        <v>9436</v>
      </c>
      <c r="F265" s="280">
        <f>VLOOKUP(A265,Import!A:J,6,0)</f>
        <v>238</v>
      </c>
      <c r="G265" s="289">
        <f>VLOOKUP(A265,Import!A:J,7,0)</f>
        <v>52</v>
      </c>
      <c r="H265" s="289">
        <f>VLOOKUP(A265,Import!A:J,8,0)</f>
        <v>32</v>
      </c>
      <c r="I265" s="289">
        <f>VLOOKUP(A265,Import!A:J,9,0)</f>
        <v>84</v>
      </c>
      <c r="J265" s="282">
        <f>VLOOKUP(A265,Import!A:J,10,0)</f>
        <v>0.62</v>
      </c>
      <c r="K265" s="244" t="str">
        <f>VLOOKUP(A265,Import!A:P,11,0)</f>
        <v>Murat Günçal</v>
      </c>
      <c r="L265" s="150">
        <v>2.224082589E9</v>
      </c>
      <c r="M265" s="150" t="s">
        <v>1450</v>
      </c>
      <c r="N265" s="150" t="s">
        <v>2950</v>
      </c>
      <c r="O265" s="150" t="s">
        <v>430</v>
      </c>
      <c r="P265" s="244" t="str">
        <f>VLOOKUP(A265,Import!A:P,16,0)</f>
        <v>Geleneksel</v>
      </c>
      <c r="Q265" s="291" t="s">
        <v>2713</v>
      </c>
      <c r="R265" s="292" t="b">
        <v>1</v>
      </c>
      <c r="S265" s="292" t="b">
        <v>1</v>
      </c>
      <c r="T265" s="296"/>
      <c r="U265" s="296"/>
      <c r="V265" s="296"/>
      <c r="W265" s="149" t="s">
        <v>3365</v>
      </c>
      <c r="X265" s="297"/>
      <c r="Y265" s="297"/>
      <c r="Z265" s="288"/>
      <c r="AA265" s="288"/>
      <c r="AB265" s="288"/>
      <c r="AC265" s="288"/>
      <c r="AD265" s="288"/>
      <c r="AE265" s="160"/>
      <c r="AF265" s="288"/>
      <c r="AG265" s="160"/>
      <c r="AH265" s="288"/>
      <c r="AI265" s="288"/>
      <c r="AJ265" s="288"/>
      <c r="AK265" s="288"/>
      <c r="AL265" s="288"/>
      <c r="AM265" s="288"/>
      <c r="AN265" s="288"/>
      <c r="AO265" s="288"/>
      <c r="AP265" s="150" t="s">
        <v>2663</v>
      </c>
      <c r="AQ265" s="288"/>
    </row>
    <row r="266">
      <c r="A266" s="150" t="s">
        <v>2550</v>
      </c>
      <c r="B266" s="150" t="s">
        <v>2551</v>
      </c>
      <c r="C266" s="175" t="str">
        <f>VLOOKUP(A266,Import!A:C,3,false)</f>
        <v>DOĞRU</v>
      </c>
      <c r="D266" s="150" t="s">
        <v>2672</v>
      </c>
      <c r="E266" s="280">
        <f>VLOOKUP(A266,Import!A:J,5,0)</f>
        <v>97</v>
      </c>
      <c r="F266" s="280">
        <f>VLOOKUP(A266,Import!A:J,6,0)</f>
        <v>53</v>
      </c>
      <c r="G266" s="289">
        <f>VLOOKUP(A266,Import!A:J,7,0)</f>
        <v>2</v>
      </c>
      <c r="H266" s="289">
        <f>VLOOKUP(A266,Import!A:J,8,0)</f>
        <v>31</v>
      </c>
      <c r="I266" s="289">
        <f>VLOOKUP(A266,Import!A:J,9,0)</f>
        <v>33</v>
      </c>
      <c r="J266" s="282">
        <f>VLOOKUP(A266,Import!A:J,10,0)</f>
        <v>0.06</v>
      </c>
      <c r="K266" s="290" t="s">
        <v>3366</v>
      </c>
      <c r="L266" s="150">
        <v>2.223100273E9</v>
      </c>
      <c r="M266" s="150" t="s">
        <v>2666</v>
      </c>
      <c r="N266" s="150" t="s">
        <v>2750</v>
      </c>
      <c r="O266" s="150" t="s">
        <v>174</v>
      </c>
      <c r="P266" s="244" t="str">
        <f>VLOOKUP(A266,Import!A:P,16,0)</f>
        <v>Geleneksel</v>
      </c>
      <c r="Q266" s="291"/>
      <c r="R266" s="292" t="b">
        <v>1</v>
      </c>
      <c r="S266" s="293" t="b">
        <v>0</v>
      </c>
      <c r="T266" s="149" t="s">
        <v>2661</v>
      </c>
      <c r="U266" s="149" t="s">
        <v>1791</v>
      </c>
      <c r="V266" s="269" t="s">
        <v>1609</v>
      </c>
      <c r="W266" s="149"/>
      <c r="X266" s="294">
        <v>44625.0</v>
      </c>
      <c r="Y266" s="294">
        <v>44627.0</v>
      </c>
      <c r="Z266" s="288"/>
      <c r="AA266" s="165" t="s">
        <v>2669</v>
      </c>
      <c r="AB266" s="295">
        <v>44625.0</v>
      </c>
      <c r="AC266" s="288"/>
      <c r="AD266" s="288"/>
      <c r="AE266" s="160"/>
      <c r="AF266" s="288"/>
      <c r="AG266" s="160"/>
      <c r="AH266" s="288"/>
      <c r="AI266" s="288"/>
      <c r="AJ266" s="288"/>
      <c r="AK266" s="165" t="s">
        <v>1791</v>
      </c>
      <c r="AL266" s="288"/>
      <c r="AM266" s="288"/>
      <c r="AN266" s="288"/>
      <c r="AO266" s="165"/>
      <c r="AP266" s="150"/>
      <c r="AQ266" s="165"/>
    </row>
    <row r="267">
      <c r="A267" s="150" t="s">
        <v>3367</v>
      </c>
      <c r="B267" s="150" t="s">
        <v>3368</v>
      </c>
      <c r="C267" s="175" t="str">
        <f>VLOOKUP(A267,Import!A:C,3,false)</f>
        <v>YANLIŞ</v>
      </c>
      <c r="D267" s="150" t="s">
        <v>2658</v>
      </c>
      <c r="E267" s="280" t="str">
        <f>VLOOKUP(A267,Import!A:J,5,0)</f>
        <v/>
      </c>
      <c r="F267" s="280" t="str">
        <f>VLOOKUP(A267,Import!A:J,6,0)</f>
        <v/>
      </c>
      <c r="G267" s="289">
        <f>VLOOKUP(A267,Import!A:J,7,0)</f>
        <v>0</v>
      </c>
      <c r="H267" s="289">
        <f>VLOOKUP(A267,Import!A:J,8,0)</f>
        <v>16</v>
      </c>
      <c r="I267" s="289">
        <f>VLOOKUP(A267,Import!A:J,9,0)</f>
        <v>16</v>
      </c>
      <c r="J267" s="282">
        <f>VLOOKUP(A267,Import!A:J,10,0)</f>
        <v>0</v>
      </c>
      <c r="K267" s="244" t="str">
        <f>VLOOKUP(A267,Import!A:P,11,0)</f>
        <v>Hasan Hüseyin Balcı</v>
      </c>
      <c r="L267" s="150">
        <v>2.222214525E9</v>
      </c>
      <c r="M267" s="150" t="s">
        <v>2666</v>
      </c>
      <c r="N267" s="150" t="s">
        <v>2667</v>
      </c>
      <c r="O267" s="150" t="s">
        <v>3369</v>
      </c>
      <c r="P267" s="244" t="str">
        <f>VLOOKUP(A267,Import!A:P,16,0)</f>
        <v>Geleneksel</v>
      </c>
      <c r="Q267" s="291" t="s">
        <v>2660</v>
      </c>
      <c r="R267" s="292" t="b">
        <v>1</v>
      </c>
      <c r="S267" s="293" t="b">
        <v>0</v>
      </c>
      <c r="T267" s="149" t="s">
        <v>2693</v>
      </c>
      <c r="U267" s="296"/>
      <c r="V267" s="296"/>
      <c r="W267" s="149" t="s">
        <v>3370</v>
      </c>
      <c r="X267" s="297"/>
      <c r="Y267" s="297"/>
      <c r="Z267" s="288"/>
      <c r="AA267" s="165" t="s">
        <v>2693</v>
      </c>
      <c r="AB267" s="295">
        <v>44517.0</v>
      </c>
      <c r="AC267" s="288"/>
      <c r="AD267" s="288"/>
      <c r="AE267" s="160"/>
      <c r="AF267" s="288"/>
      <c r="AG267" s="160"/>
      <c r="AH267" s="288"/>
      <c r="AI267" s="288"/>
      <c r="AJ267" s="288"/>
      <c r="AK267" s="165" t="s">
        <v>1971</v>
      </c>
      <c r="AL267" s="288"/>
      <c r="AM267" s="288"/>
      <c r="AN267" s="288"/>
      <c r="AO267" s="288"/>
      <c r="AP267" s="150" t="s">
        <v>2663</v>
      </c>
      <c r="AQ267" s="288"/>
    </row>
    <row r="268">
      <c r="A268" s="244" t="s">
        <v>1691</v>
      </c>
      <c r="B268" s="244" t="s">
        <v>1692</v>
      </c>
      <c r="C268" s="175" t="str">
        <f>VLOOKUP(A268,Import!A:C,3,false)</f>
        <v>DOĞRU</v>
      </c>
      <c r="D268" s="244" t="s">
        <v>2672</v>
      </c>
      <c r="E268" s="280">
        <f>VLOOKUP(A268,Import!A:J,5,0)</f>
        <v>1152</v>
      </c>
      <c r="F268" s="280">
        <f>VLOOKUP(A268,Import!A:J,6,0)</f>
        <v>17</v>
      </c>
      <c r="G268" s="289">
        <f>VLOOKUP(A268,Import!A:J,7,0)</f>
        <v>25</v>
      </c>
      <c r="H268" s="289">
        <f>VLOOKUP(A268,Import!A:J,8,0)</f>
        <v>1</v>
      </c>
      <c r="I268" s="289">
        <f>VLOOKUP(A268,Import!A:J,9,0)</f>
        <v>26</v>
      </c>
      <c r="J268" s="282">
        <f>VLOOKUP(A268,Import!A:J,10,0)</f>
        <v>0.96</v>
      </c>
      <c r="K268" s="244" t="str">
        <f>VLOOKUP(A268,Import!A:P,11,0)</f>
        <v>MEHMET ALTINTAŞ</v>
      </c>
      <c r="L268" s="280">
        <v>5.467724504E9</v>
      </c>
      <c r="M268" s="244" t="s">
        <v>1450</v>
      </c>
      <c r="N268" s="244" t="s">
        <v>2716</v>
      </c>
      <c r="O268" s="244" t="s">
        <v>1694</v>
      </c>
      <c r="P268" s="244" t="str">
        <f>VLOOKUP(A268,Import!A:P,16,0)</f>
        <v>Geleneksel</v>
      </c>
      <c r="Q268" s="291" t="s">
        <v>2760</v>
      </c>
      <c r="R268" s="292" t="b">
        <v>1</v>
      </c>
      <c r="S268" s="293" t="b">
        <v>0</v>
      </c>
      <c r="T268" s="149" t="s">
        <v>2661</v>
      </c>
      <c r="U268" s="149" t="s">
        <v>819</v>
      </c>
      <c r="V268" s="311" t="s">
        <v>1609</v>
      </c>
      <c r="W268" s="360" t="s">
        <v>3371</v>
      </c>
      <c r="X268" s="294">
        <v>44484.0</v>
      </c>
      <c r="Y268" s="294">
        <v>44484.0</v>
      </c>
      <c r="Z268" s="288"/>
      <c r="AA268" s="165" t="s">
        <v>2669</v>
      </c>
      <c r="AB268" s="295">
        <v>44484.0</v>
      </c>
      <c r="AC268" s="165" t="s">
        <v>2669</v>
      </c>
      <c r="AD268" s="295">
        <v>44539.0</v>
      </c>
      <c r="AE268" s="160"/>
      <c r="AF268" s="288"/>
      <c r="AG268" s="160"/>
      <c r="AH268" s="288"/>
      <c r="AI268" s="288"/>
      <c r="AJ268" s="288"/>
      <c r="AK268" s="165" t="s">
        <v>819</v>
      </c>
      <c r="AL268" s="165" t="s">
        <v>1911</v>
      </c>
      <c r="AM268" s="288"/>
      <c r="AN268" s="288"/>
      <c r="AO268" s="288"/>
      <c r="AP268" s="150" t="s">
        <v>2663</v>
      </c>
      <c r="AQ268" s="288"/>
    </row>
    <row r="269">
      <c r="A269" s="147" t="s">
        <v>1309</v>
      </c>
      <c r="B269" s="147" t="s">
        <v>1310</v>
      </c>
      <c r="C269" s="175" t="str">
        <f>VLOOKUP(A269,Import!A:C,3,false)</f>
        <v>DOĞRU</v>
      </c>
      <c r="D269" s="147" t="s">
        <v>2904</v>
      </c>
      <c r="E269" s="280">
        <f>VLOOKUP(A269,Import!A:J,5,0)</f>
        <v>8438</v>
      </c>
      <c r="F269" s="280">
        <f>VLOOKUP(A269,Import!A:J,6,0)</f>
        <v>386</v>
      </c>
      <c r="G269" s="289">
        <f>VLOOKUP(A269,Import!A:J,7,0)</f>
        <v>0</v>
      </c>
      <c r="H269" s="289">
        <f>VLOOKUP(A269,Import!A:J,8,0)</f>
        <v>35</v>
      </c>
      <c r="I269" s="289">
        <f>VLOOKUP(A269,Import!A:J,9,0)</f>
        <v>35</v>
      </c>
      <c r="J269" s="282">
        <f>VLOOKUP(A269,Import!A:J,10,0)</f>
        <v>0</v>
      </c>
      <c r="K269" s="244" t="str">
        <f>VLOOKUP(A269,Import!A:P,11,0)</f>
        <v>Osman Can Yılmaz</v>
      </c>
      <c r="L269" s="147">
        <v>5.312610028E9</v>
      </c>
      <c r="M269" s="147" t="s">
        <v>2666</v>
      </c>
      <c r="N269" s="147" t="s">
        <v>2794</v>
      </c>
      <c r="O269" s="147" t="s">
        <v>1313</v>
      </c>
      <c r="P269" s="244" t="str">
        <f>VLOOKUP(A269,Import!A:P,16,0)</f>
        <v>Geleneksel</v>
      </c>
      <c r="Q269" s="330"/>
      <c r="R269" s="292" t="b">
        <v>1</v>
      </c>
      <c r="S269" s="293" t="b">
        <v>0</v>
      </c>
      <c r="T269" s="149" t="s">
        <v>2668</v>
      </c>
      <c r="U269" s="149" t="s">
        <v>937</v>
      </c>
      <c r="V269" s="361" t="s">
        <v>13</v>
      </c>
      <c r="W269" s="149" t="s">
        <v>3372</v>
      </c>
      <c r="X269" s="294">
        <v>44308.0</v>
      </c>
      <c r="Y269" s="294">
        <v>44314.0</v>
      </c>
      <c r="Z269" s="288"/>
      <c r="AA269" s="288"/>
      <c r="AB269" s="288"/>
      <c r="AC269" s="288"/>
      <c r="AD269" s="288"/>
      <c r="AE269" s="160"/>
      <c r="AF269" s="288"/>
      <c r="AG269" s="160"/>
      <c r="AH269" s="288"/>
      <c r="AI269" s="288"/>
      <c r="AJ269" s="288"/>
      <c r="AK269" s="288"/>
      <c r="AL269" s="288"/>
      <c r="AM269" s="288"/>
      <c r="AN269" s="288"/>
      <c r="AO269" s="288"/>
      <c r="AP269" s="150" t="s">
        <v>2663</v>
      </c>
      <c r="AQ269" s="288"/>
    </row>
    <row r="270">
      <c r="A270" s="150" t="s">
        <v>970</v>
      </c>
      <c r="B270" s="150" t="s">
        <v>971</v>
      </c>
      <c r="C270" s="175" t="str">
        <f>VLOOKUP(A270,Import!A:C,3,false)</f>
        <v>DOĞRU</v>
      </c>
      <c r="D270" s="150" t="s">
        <v>2658</v>
      </c>
      <c r="E270" s="280">
        <f>VLOOKUP(A270,Import!A:J,5,0)</f>
        <v>2512</v>
      </c>
      <c r="F270" s="280">
        <f>VLOOKUP(A270,Import!A:J,6,0)</f>
        <v>18</v>
      </c>
      <c r="G270" s="289">
        <f>VLOOKUP(A270,Import!A:J,7,0)</f>
        <v>2</v>
      </c>
      <c r="H270" s="289">
        <f>VLOOKUP(A270,Import!A:J,8,0)</f>
        <v>2</v>
      </c>
      <c r="I270" s="289">
        <f>VLOOKUP(A270,Import!A:J,9,0)</f>
        <v>4</v>
      </c>
      <c r="J270" s="282">
        <f>VLOOKUP(A270,Import!A:J,10,0)</f>
        <v>0.5</v>
      </c>
      <c r="K270" s="244" t="str">
        <f>VLOOKUP(A270,Import!A:P,11,0)</f>
        <v>Hüseyin Ejderha</v>
      </c>
      <c r="L270" s="150">
        <v>5.462310037E9</v>
      </c>
      <c r="M270" s="150" t="s">
        <v>2666</v>
      </c>
      <c r="N270" s="150" t="s">
        <v>2667</v>
      </c>
      <c r="O270" s="150" t="s">
        <v>973</v>
      </c>
      <c r="P270" s="244" t="str">
        <f>VLOOKUP(A270,Import!A:P,16,0)</f>
        <v>Geleneksel</v>
      </c>
      <c r="Q270" s="291" t="s">
        <v>2660</v>
      </c>
      <c r="R270" s="292" t="b">
        <v>1</v>
      </c>
      <c r="S270" s="293" t="b">
        <v>0</v>
      </c>
      <c r="T270" s="149" t="s">
        <v>2661</v>
      </c>
      <c r="U270" s="149" t="s">
        <v>945</v>
      </c>
      <c r="V270" s="149" t="s">
        <v>46</v>
      </c>
      <c r="X270" s="294">
        <v>44260.0</v>
      </c>
      <c r="Y270" s="294">
        <v>44263.0</v>
      </c>
      <c r="Z270" s="288"/>
      <c r="AA270" s="288"/>
      <c r="AB270" s="288"/>
      <c r="AC270" s="288"/>
      <c r="AD270" s="288"/>
      <c r="AE270" s="160"/>
      <c r="AF270" s="288"/>
      <c r="AG270" s="160"/>
      <c r="AH270" s="288"/>
      <c r="AI270" s="288"/>
      <c r="AJ270" s="288"/>
      <c r="AK270" s="288"/>
      <c r="AL270" s="288"/>
      <c r="AM270" s="288"/>
      <c r="AN270" s="288"/>
      <c r="AO270" s="288"/>
      <c r="AP270" s="150" t="s">
        <v>2663</v>
      </c>
      <c r="AQ270" s="288"/>
    </row>
    <row r="271">
      <c r="A271" s="150" t="s">
        <v>1886</v>
      </c>
      <c r="B271" s="150" t="s">
        <v>1887</v>
      </c>
      <c r="C271" s="175" t="str">
        <f>VLOOKUP(A271,Import!A:C,3,false)</f>
        <v>DOĞRU</v>
      </c>
      <c r="D271" s="150" t="s">
        <v>2701</v>
      </c>
      <c r="E271" s="280">
        <f>VLOOKUP(A271,Import!A:J,5,0)</f>
        <v>1328</v>
      </c>
      <c r="F271" s="280">
        <f>VLOOKUP(A271,Import!A:J,6,0)</f>
        <v>65</v>
      </c>
      <c r="G271" s="289">
        <f>VLOOKUP(A271,Import!A:J,7,0)</f>
        <v>16</v>
      </c>
      <c r="H271" s="289">
        <f>VLOOKUP(A271,Import!A:J,8,0)</f>
        <v>9</v>
      </c>
      <c r="I271" s="289">
        <f>VLOOKUP(A271,Import!A:J,9,0)</f>
        <v>25</v>
      </c>
      <c r="J271" s="282">
        <f>VLOOKUP(A271,Import!A:J,10,0)</f>
        <v>0.64</v>
      </c>
      <c r="K271" s="244" t="str">
        <f>VLOOKUP(A271,Import!A:P,11,0)</f>
        <v>Arda Tarazan</v>
      </c>
      <c r="L271" s="150">
        <v>5.342999496E9</v>
      </c>
      <c r="M271" s="150" t="s">
        <v>2666</v>
      </c>
      <c r="N271" s="150" t="s">
        <v>2667</v>
      </c>
      <c r="O271" s="150" t="s">
        <v>1889</v>
      </c>
      <c r="P271" s="244" t="str">
        <f>VLOOKUP(A271,Import!A:P,16,0)</f>
        <v>Geleneksel</v>
      </c>
      <c r="Q271" s="291"/>
      <c r="R271" s="292" t="b">
        <v>1</v>
      </c>
      <c r="S271" s="293" t="b">
        <v>0</v>
      </c>
      <c r="T271" s="149" t="s">
        <v>2661</v>
      </c>
      <c r="U271" s="149" t="s">
        <v>1715</v>
      </c>
      <c r="V271" s="296"/>
      <c r="W271" s="149"/>
      <c r="X271" s="294">
        <v>44509.0</v>
      </c>
      <c r="Y271" s="294">
        <v>44511.0</v>
      </c>
      <c r="Z271" s="165" t="s">
        <v>3373</v>
      </c>
      <c r="AA271" s="165" t="s">
        <v>2669</v>
      </c>
      <c r="AB271" s="295">
        <v>44509.0</v>
      </c>
      <c r="AC271" s="288"/>
      <c r="AD271" s="288"/>
      <c r="AE271" s="160"/>
      <c r="AF271" s="288"/>
      <c r="AG271" s="160"/>
      <c r="AH271" s="288"/>
      <c r="AI271" s="288"/>
      <c r="AJ271" s="288"/>
      <c r="AK271" s="165" t="s">
        <v>1715</v>
      </c>
      <c r="AL271" s="288"/>
      <c r="AM271" s="288"/>
      <c r="AN271" s="288"/>
      <c r="AO271" s="288"/>
      <c r="AP271" s="150" t="s">
        <v>2663</v>
      </c>
      <c r="AQ271" s="288"/>
    </row>
    <row r="272">
      <c r="A272" s="150" t="s">
        <v>3374</v>
      </c>
      <c r="B272" s="150" t="s">
        <v>3375</v>
      </c>
      <c r="C272" s="175" t="str">
        <f>VLOOKUP(A272,Import!A:C,3,false)</f>
        <v>DOĞRU</v>
      </c>
      <c r="D272" s="150" t="s">
        <v>2664</v>
      </c>
      <c r="E272" s="280">
        <f>VLOOKUP(A272,Import!A:J,5,0)</f>
        <v>35</v>
      </c>
      <c r="F272" s="280" t="str">
        <f>VLOOKUP(A272,Import!A:J,6,0)</f>
        <v/>
      </c>
      <c r="G272" s="289">
        <f>VLOOKUP(A272,Import!A:J,7,0)</f>
        <v>0</v>
      </c>
      <c r="H272" s="289">
        <f>VLOOKUP(A272,Import!A:J,8,0)</f>
        <v>4</v>
      </c>
      <c r="I272" s="289">
        <f>VLOOKUP(A272,Import!A:J,9,0)</f>
        <v>4</v>
      </c>
      <c r="J272" s="282">
        <f>VLOOKUP(A272,Import!A:J,10,0)</f>
        <v>0</v>
      </c>
      <c r="K272" s="290" t="s">
        <v>3376</v>
      </c>
      <c r="L272" s="150">
        <v>5.079653821E9</v>
      </c>
      <c r="M272" s="150" t="s">
        <v>1450</v>
      </c>
      <c r="N272" s="150" t="s">
        <v>3009</v>
      </c>
      <c r="O272" s="150" t="s">
        <v>3014</v>
      </c>
      <c r="P272" s="244" t="str">
        <f>VLOOKUP(A272,Import!A:P,16,0)</f>
        <v>Geleneksel</v>
      </c>
      <c r="Q272" s="291"/>
      <c r="R272" s="292" t="b">
        <v>1</v>
      </c>
      <c r="S272" s="292" t="b">
        <v>0</v>
      </c>
      <c r="T272" s="149"/>
      <c r="U272" s="296"/>
      <c r="V272" s="296"/>
      <c r="W272" s="149" t="s">
        <v>3377</v>
      </c>
      <c r="X272" s="297"/>
      <c r="Y272" s="297"/>
      <c r="Z272" s="288"/>
      <c r="AA272" s="165" t="s">
        <v>2693</v>
      </c>
      <c r="AB272" s="295">
        <v>44578.0</v>
      </c>
      <c r="AC272" s="288"/>
      <c r="AD272" s="288"/>
      <c r="AE272" s="160"/>
      <c r="AF272" s="288"/>
      <c r="AG272" s="160"/>
      <c r="AH272" s="288"/>
      <c r="AI272" s="288"/>
      <c r="AJ272" s="288"/>
      <c r="AK272" s="165" t="s">
        <v>943</v>
      </c>
      <c r="AL272" s="288"/>
      <c r="AM272" s="288"/>
      <c r="AN272" s="288"/>
      <c r="AO272" s="165"/>
      <c r="AP272" s="150"/>
      <c r="AQ272" s="165"/>
    </row>
    <row r="273">
      <c r="A273" s="150" t="s">
        <v>3378</v>
      </c>
      <c r="B273" s="150" t="s">
        <v>3379</v>
      </c>
      <c r="C273" s="175" t="str">
        <f>VLOOKUP(A273,Import!A:C,3,false)</f>
        <v>DOĞRU</v>
      </c>
      <c r="D273" s="150" t="s">
        <v>2763</v>
      </c>
      <c r="E273" s="280">
        <f>VLOOKUP(A273,Import!A:J,5,0)</f>
        <v>2</v>
      </c>
      <c r="F273" s="280" t="str">
        <f>VLOOKUP(A273,Import!A:J,6,0)</f>
        <v/>
      </c>
      <c r="G273" s="289">
        <f>VLOOKUP(A273,Import!A:J,7,0)</f>
        <v>0</v>
      </c>
      <c r="H273" s="289">
        <f>VLOOKUP(A273,Import!A:J,8,0)</f>
        <v>9</v>
      </c>
      <c r="I273" s="289">
        <f>VLOOKUP(A273,Import!A:J,9,0)</f>
        <v>9</v>
      </c>
      <c r="J273" s="282">
        <f>VLOOKUP(A273,Import!A:J,10,0)</f>
        <v>0</v>
      </c>
      <c r="K273" s="290" t="s">
        <v>3380</v>
      </c>
      <c r="L273" s="150">
        <v>5.538525057E9</v>
      </c>
      <c r="M273" s="150" t="s">
        <v>2666</v>
      </c>
      <c r="N273" s="150" t="s">
        <v>3381</v>
      </c>
      <c r="O273" s="150" t="s">
        <v>3382</v>
      </c>
      <c r="P273" s="244" t="str">
        <f>VLOOKUP(A273,Import!A:P,16,0)</f>
        <v>Geleneksel</v>
      </c>
      <c r="Q273" s="291"/>
      <c r="R273" s="292" t="b">
        <v>0</v>
      </c>
      <c r="S273" s="293" t="b">
        <v>0</v>
      </c>
      <c r="T273" s="149"/>
      <c r="U273" s="296"/>
      <c r="V273" s="296"/>
      <c r="W273" s="149"/>
      <c r="X273" s="297"/>
      <c r="Y273" s="297"/>
      <c r="Z273" s="288"/>
      <c r="AA273" s="165"/>
      <c r="AB273" s="295"/>
      <c r="AC273" s="288"/>
      <c r="AD273" s="288"/>
      <c r="AE273" s="160"/>
      <c r="AF273" s="288"/>
      <c r="AG273" s="160"/>
      <c r="AH273" s="288"/>
      <c r="AI273" s="288"/>
      <c r="AJ273" s="288"/>
      <c r="AK273" s="165"/>
      <c r="AL273" s="288"/>
      <c r="AM273" s="288"/>
      <c r="AN273" s="288"/>
      <c r="AO273" s="165"/>
      <c r="AP273" s="150"/>
      <c r="AQ273" s="165"/>
    </row>
    <row r="274">
      <c r="A274" s="150" t="s">
        <v>842</v>
      </c>
      <c r="B274" s="150" t="s">
        <v>843</v>
      </c>
      <c r="C274" s="175" t="str">
        <f>VLOOKUP(A274,Import!A:C,3,false)</f>
        <v>DOĞRU</v>
      </c>
      <c r="D274" s="150" t="s">
        <v>2850</v>
      </c>
      <c r="E274" s="280">
        <f>VLOOKUP(A274,Import!A:J,5,0)</f>
        <v>847</v>
      </c>
      <c r="F274" s="280">
        <f>VLOOKUP(A274,Import!A:J,6,0)</f>
        <v>38</v>
      </c>
      <c r="G274" s="289">
        <f>VLOOKUP(A274,Import!A:J,7,0)</f>
        <v>4</v>
      </c>
      <c r="H274" s="289">
        <f>VLOOKUP(A274,Import!A:J,8,0)</f>
        <v>3</v>
      </c>
      <c r="I274" s="289">
        <f>VLOOKUP(A274,Import!A:J,9,0)</f>
        <v>7</v>
      </c>
      <c r="J274" s="282">
        <f>VLOOKUP(A274,Import!A:J,10,0)</f>
        <v>0.57</v>
      </c>
      <c r="K274" s="244" t="str">
        <f>VLOOKUP(A274,Import!A:P,11,0)</f>
        <v>Abdulkerim Ölki</v>
      </c>
      <c r="L274" s="150">
        <v>2.222500305E9</v>
      </c>
      <c r="M274" s="150" t="s">
        <v>1450</v>
      </c>
      <c r="N274" s="150" t="s">
        <v>2703</v>
      </c>
      <c r="O274" s="150" t="s">
        <v>846</v>
      </c>
      <c r="P274" s="244" t="str">
        <f>VLOOKUP(A274,Import!A:P,16,0)</f>
        <v>Geleneksel</v>
      </c>
      <c r="Q274" s="291" t="s">
        <v>2760</v>
      </c>
      <c r="R274" s="292" t="b">
        <v>1</v>
      </c>
      <c r="S274" s="292" t="b">
        <v>0</v>
      </c>
      <c r="T274" s="149" t="s">
        <v>2661</v>
      </c>
      <c r="U274" s="149"/>
      <c r="V274" s="149" t="s">
        <v>46</v>
      </c>
      <c r="X274" s="294">
        <v>44254.0</v>
      </c>
      <c r="Y274" s="294">
        <v>44256.0</v>
      </c>
      <c r="Z274" s="288"/>
      <c r="AA274" s="288"/>
      <c r="AB274" s="288"/>
      <c r="AC274" s="288"/>
      <c r="AD274" s="288"/>
      <c r="AE274" s="160"/>
      <c r="AF274" s="288"/>
      <c r="AG274" s="160"/>
      <c r="AH274" s="288"/>
      <c r="AI274" s="288"/>
      <c r="AJ274" s="288"/>
      <c r="AK274" s="288"/>
      <c r="AL274" s="288"/>
      <c r="AM274" s="288"/>
      <c r="AN274" s="288"/>
      <c r="AO274" s="288"/>
      <c r="AP274" s="150" t="s">
        <v>2663</v>
      </c>
      <c r="AQ274" s="288"/>
    </row>
    <row r="275">
      <c r="A275" s="150" t="s">
        <v>1491</v>
      </c>
      <c r="B275" s="150" t="s">
        <v>1492</v>
      </c>
      <c r="C275" s="175" t="str">
        <f>VLOOKUP(A275,Import!A:C,3,false)</f>
        <v>DOĞRU</v>
      </c>
      <c r="D275" s="150" t="s">
        <v>2763</v>
      </c>
      <c r="E275" s="280">
        <f>VLOOKUP(A275,Import!A:J,5,0)</f>
        <v>437</v>
      </c>
      <c r="F275" s="280">
        <f>VLOOKUP(A275,Import!A:J,6,0)</f>
        <v>58</v>
      </c>
      <c r="G275" s="289">
        <f>VLOOKUP(A275,Import!A:J,7,0)</f>
        <v>4</v>
      </c>
      <c r="H275" s="289">
        <f>VLOOKUP(A275,Import!A:J,8,0)</f>
        <v>23</v>
      </c>
      <c r="I275" s="289">
        <f>VLOOKUP(A275,Import!A:J,9,0)</f>
        <v>27</v>
      </c>
      <c r="J275" s="282">
        <f>VLOOKUP(A275,Import!A:J,10,0)</f>
        <v>0.15</v>
      </c>
      <c r="K275" s="244" t="str">
        <f>VLOOKUP(A275,Import!A:P,11,0)</f>
        <v>Cengiz Kumcu</v>
      </c>
      <c r="L275" s="150">
        <v>2.222371296E9</v>
      </c>
      <c r="M275" s="150" t="s">
        <v>1450</v>
      </c>
      <c r="N275" s="150" t="s">
        <v>2905</v>
      </c>
      <c r="O275" s="150" t="s">
        <v>1495</v>
      </c>
      <c r="P275" s="244" t="str">
        <f>VLOOKUP(A275,Import!A:P,16,0)</f>
        <v>Geleneksel</v>
      </c>
      <c r="Q275" s="291"/>
      <c r="R275" s="292" t="b">
        <v>1</v>
      </c>
      <c r="S275" s="293" t="b">
        <v>0</v>
      </c>
      <c r="T275" s="149" t="s">
        <v>2661</v>
      </c>
      <c r="U275" s="149" t="s">
        <v>819</v>
      </c>
      <c r="V275" s="296"/>
      <c r="W275" s="149" t="s">
        <v>3383</v>
      </c>
      <c r="X275" s="294">
        <v>44376.0</v>
      </c>
      <c r="Y275" s="294">
        <v>44378.0</v>
      </c>
      <c r="Z275" s="288"/>
      <c r="AA275" s="165" t="s">
        <v>2669</v>
      </c>
      <c r="AB275" s="295">
        <v>44376.0</v>
      </c>
      <c r="AC275" s="288"/>
      <c r="AD275" s="288"/>
      <c r="AE275" s="160"/>
      <c r="AF275" s="288"/>
      <c r="AG275" s="160"/>
      <c r="AH275" s="288"/>
      <c r="AI275" s="288"/>
      <c r="AJ275" s="288"/>
      <c r="AK275" s="165" t="s">
        <v>819</v>
      </c>
      <c r="AL275" s="288"/>
      <c r="AM275" s="288"/>
      <c r="AN275" s="288"/>
      <c r="AO275" s="288"/>
      <c r="AP275" s="150" t="s">
        <v>2663</v>
      </c>
      <c r="AQ275" s="288"/>
    </row>
    <row r="276">
      <c r="A276" s="150" t="s">
        <v>2602</v>
      </c>
      <c r="B276" s="150" t="s">
        <v>2603</v>
      </c>
      <c r="C276" s="175" t="str">
        <f>VLOOKUP(A276,Import!A:C,3,false)</f>
        <v>DOĞRU</v>
      </c>
      <c r="D276" s="150" t="s">
        <v>2664</v>
      </c>
      <c r="E276" s="280">
        <f>VLOOKUP(A276,Import!A:J,5,0)</f>
        <v>221</v>
      </c>
      <c r="F276" s="280">
        <f>VLOOKUP(A276,Import!A:J,6,0)</f>
        <v>57</v>
      </c>
      <c r="G276" s="289">
        <f>VLOOKUP(A276,Import!A:J,7,0)</f>
        <v>0</v>
      </c>
      <c r="H276" s="289">
        <f>VLOOKUP(A276,Import!A:J,8,0)</f>
        <v>35</v>
      </c>
      <c r="I276" s="289">
        <f>VLOOKUP(A276,Import!A:J,9,0)</f>
        <v>35</v>
      </c>
      <c r="J276" s="282">
        <f>VLOOKUP(A276,Import!A:J,10,0)</f>
        <v>0</v>
      </c>
      <c r="K276" s="290" t="s">
        <v>3384</v>
      </c>
      <c r="L276" s="150">
        <v>2.224000006E9</v>
      </c>
      <c r="M276" s="150" t="s">
        <v>2666</v>
      </c>
      <c r="N276" s="150" t="s">
        <v>2774</v>
      </c>
      <c r="O276" s="150" t="s">
        <v>2605</v>
      </c>
      <c r="P276" s="244" t="str">
        <f>VLOOKUP(A276,Import!A:P,16,0)</f>
        <v>Geleneksel</v>
      </c>
      <c r="Q276" s="291"/>
      <c r="R276" s="292" t="b">
        <v>1</v>
      </c>
      <c r="S276" s="293" t="b">
        <v>0</v>
      </c>
      <c r="T276" s="149" t="s">
        <v>2770</v>
      </c>
      <c r="U276" s="149" t="s">
        <v>819</v>
      </c>
      <c r="V276" s="301" t="s">
        <v>1609</v>
      </c>
      <c r="W276" s="149"/>
      <c r="X276" s="294">
        <v>44655.0</v>
      </c>
      <c r="Y276" s="294">
        <v>44656.0</v>
      </c>
      <c r="Z276" s="288"/>
      <c r="AA276" s="165" t="s">
        <v>2669</v>
      </c>
      <c r="AB276" s="295">
        <v>44648.0</v>
      </c>
      <c r="AC276" s="165" t="s">
        <v>2669</v>
      </c>
      <c r="AD276" s="295">
        <v>44655.0</v>
      </c>
      <c r="AE276" s="160"/>
      <c r="AF276" s="288"/>
      <c r="AG276" s="160"/>
      <c r="AH276" s="288"/>
      <c r="AI276" s="288"/>
      <c r="AJ276" s="288"/>
      <c r="AK276" s="165" t="s">
        <v>1791</v>
      </c>
      <c r="AL276" s="165" t="s">
        <v>819</v>
      </c>
      <c r="AM276" s="288"/>
      <c r="AN276" s="288"/>
      <c r="AO276" s="165"/>
      <c r="AP276" s="150"/>
      <c r="AQ276" s="165"/>
    </row>
    <row r="277">
      <c r="A277" s="150" t="s">
        <v>2363</v>
      </c>
      <c r="B277" s="150" t="s">
        <v>2364</v>
      </c>
      <c r="C277" s="175" t="str">
        <f>VLOOKUP(A277,Import!A:C,3,false)</f>
        <v>DOĞRU</v>
      </c>
      <c r="D277" s="150" t="s">
        <v>2763</v>
      </c>
      <c r="E277" s="280">
        <f>VLOOKUP(A277,Import!A:J,5,0)</f>
        <v>1675</v>
      </c>
      <c r="F277" s="280">
        <f>VLOOKUP(A277,Import!A:J,6,0)</f>
        <v>146</v>
      </c>
      <c r="G277" s="289">
        <f>VLOOKUP(A277,Import!A:J,7,0)</f>
        <v>0</v>
      </c>
      <c r="H277" s="289">
        <f>VLOOKUP(A277,Import!A:J,8,0)</f>
        <v>28</v>
      </c>
      <c r="I277" s="289">
        <f>VLOOKUP(A277,Import!A:J,9,0)</f>
        <v>28</v>
      </c>
      <c r="J277" s="282">
        <f>VLOOKUP(A277,Import!A:J,10,0)</f>
        <v>0</v>
      </c>
      <c r="K277" s="290" t="s">
        <v>3385</v>
      </c>
      <c r="L277" s="150">
        <v>5.520101461E9</v>
      </c>
      <c r="M277" s="150" t="s">
        <v>2666</v>
      </c>
      <c r="N277" s="150" t="s">
        <v>2794</v>
      </c>
      <c r="O277" s="150" t="s">
        <v>2366</v>
      </c>
      <c r="P277" s="244" t="str">
        <f>VLOOKUP(A277,Import!A:P,16,0)</f>
        <v>Geleneksel</v>
      </c>
      <c r="Q277" s="291"/>
      <c r="R277" s="292" t="b">
        <v>1</v>
      </c>
      <c r="S277" s="293" t="b">
        <v>0</v>
      </c>
      <c r="T277" s="149" t="s">
        <v>2770</v>
      </c>
      <c r="U277" s="149" t="s">
        <v>1621</v>
      </c>
      <c r="V277" s="301" t="s">
        <v>1609</v>
      </c>
      <c r="W277" s="150" t="s">
        <v>3386</v>
      </c>
      <c r="X277" s="371">
        <v>44571.0</v>
      </c>
      <c r="Y277" s="294">
        <v>44877.0</v>
      </c>
      <c r="Z277" s="288"/>
      <c r="AA277" s="165" t="s">
        <v>2669</v>
      </c>
      <c r="AB277" s="295">
        <v>44571.0</v>
      </c>
      <c r="AC277" s="165" t="s">
        <v>2669</v>
      </c>
      <c r="AD277" s="295">
        <v>44573.0</v>
      </c>
      <c r="AE277" s="160"/>
      <c r="AF277" s="288"/>
      <c r="AG277" s="160"/>
      <c r="AH277" s="288"/>
      <c r="AI277" s="288"/>
      <c r="AJ277" s="288"/>
      <c r="AK277" s="165" t="s">
        <v>1621</v>
      </c>
      <c r="AL277" s="165" t="s">
        <v>1621</v>
      </c>
      <c r="AM277" s="288"/>
      <c r="AN277" s="288"/>
      <c r="AO277" s="165"/>
      <c r="AP277" s="150"/>
      <c r="AQ277" s="165"/>
    </row>
    <row r="278">
      <c r="A278" s="150" t="s">
        <v>3387</v>
      </c>
      <c r="B278" s="150" t="s">
        <v>3388</v>
      </c>
      <c r="C278" s="175" t="str">
        <f>VLOOKUP(A278,Import!A:C,3,false)</f>
        <v>DOĞRU</v>
      </c>
      <c r="D278" s="150" t="s">
        <v>2773</v>
      </c>
      <c r="E278" s="280">
        <f>VLOOKUP(A278,Import!A:J,5,0)</f>
        <v>23</v>
      </c>
      <c r="F278" s="280">
        <f>VLOOKUP(A278,Import!A:J,6,0)</f>
        <v>5</v>
      </c>
      <c r="G278" s="289">
        <f>VLOOKUP(A278,Import!A:J,7,0)</f>
        <v>0</v>
      </c>
      <c r="H278" s="289">
        <f>VLOOKUP(A278,Import!A:J,8,0)</f>
        <v>12</v>
      </c>
      <c r="I278" s="289">
        <f>VLOOKUP(A278,Import!A:J,9,0)</f>
        <v>12</v>
      </c>
      <c r="J278" s="282">
        <f>VLOOKUP(A278,Import!A:J,10,0)</f>
        <v>0</v>
      </c>
      <c r="K278" s="290" t="s">
        <v>3389</v>
      </c>
      <c r="L278" s="150">
        <v>5.523322646E9</v>
      </c>
      <c r="M278" s="150" t="s">
        <v>2666</v>
      </c>
      <c r="N278" s="150" t="s">
        <v>3000</v>
      </c>
      <c r="O278" s="150" t="s">
        <v>3390</v>
      </c>
      <c r="P278" s="244" t="str">
        <f>VLOOKUP(A278,Import!A:P,16,0)</f>
        <v>Geleneksel</v>
      </c>
      <c r="Q278" s="291"/>
      <c r="R278" s="292" t="b">
        <v>0</v>
      </c>
      <c r="S278" s="293" t="b">
        <v>0</v>
      </c>
      <c r="T278" s="149"/>
      <c r="U278" s="296"/>
      <c r="V278" s="296"/>
      <c r="W278" s="149"/>
      <c r="X278" s="297"/>
      <c r="Y278" s="297"/>
      <c r="Z278" s="288"/>
      <c r="AA278" s="165"/>
      <c r="AB278" s="295"/>
      <c r="AC278" s="288"/>
      <c r="AD278" s="288"/>
      <c r="AE278" s="160"/>
      <c r="AF278" s="288"/>
      <c r="AG278" s="160"/>
      <c r="AH278" s="288"/>
      <c r="AI278" s="288"/>
      <c r="AJ278" s="288"/>
      <c r="AK278" s="165"/>
      <c r="AL278" s="288"/>
      <c r="AM278" s="288"/>
      <c r="AN278" s="288"/>
      <c r="AO278" s="165"/>
      <c r="AP278" s="150"/>
      <c r="AQ278" s="165"/>
    </row>
    <row r="279">
      <c r="A279" s="150" t="s">
        <v>423</v>
      </c>
      <c r="B279" s="150" t="s">
        <v>424</v>
      </c>
      <c r="C279" s="175" t="str">
        <f>VLOOKUP(A279,Import!A:C,3,false)</f>
        <v>DOĞRU</v>
      </c>
      <c r="D279" s="150" t="s">
        <v>2658</v>
      </c>
      <c r="E279" s="280">
        <f>VLOOKUP(A279,Import!A:J,5,0)</f>
        <v>2332</v>
      </c>
      <c r="F279" s="280">
        <f>VLOOKUP(A279,Import!A:J,6,0)</f>
        <v>44</v>
      </c>
      <c r="G279" s="289">
        <f>VLOOKUP(A279,Import!A:J,7,0)</f>
        <v>26</v>
      </c>
      <c r="H279" s="289">
        <f>VLOOKUP(A279,Import!A:J,8,0)</f>
        <v>37</v>
      </c>
      <c r="I279" s="289">
        <f>VLOOKUP(A279,Import!A:J,9,0)</f>
        <v>63</v>
      </c>
      <c r="J279" s="282">
        <f>VLOOKUP(A279,Import!A:J,10,0)</f>
        <v>0.41</v>
      </c>
      <c r="K279" s="244" t="str">
        <f>VLOOKUP(A279,Import!A:P,11,0)</f>
        <v>Murat Erken</v>
      </c>
      <c r="L279" s="150">
        <v>5.367656805E9</v>
      </c>
      <c r="M279" s="150" t="s">
        <v>2666</v>
      </c>
      <c r="N279" s="150" t="s">
        <v>2757</v>
      </c>
      <c r="O279" s="150" t="s">
        <v>3391</v>
      </c>
      <c r="P279" s="244" t="str">
        <f>VLOOKUP(A279,Import!A:P,16,0)</f>
        <v>Geleneksel</v>
      </c>
      <c r="Q279" s="291" t="s">
        <v>2713</v>
      </c>
      <c r="R279" s="292" t="b">
        <v>1</v>
      </c>
      <c r="S279" s="293" t="b">
        <v>0</v>
      </c>
      <c r="T279" s="149" t="s">
        <v>2661</v>
      </c>
      <c r="U279" s="149"/>
      <c r="V279" s="361" t="s">
        <v>13</v>
      </c>
      <c r="X279" s="294">
        <v>44238.0</v>
      </c>
      <c r="Y279" s="294">
        <v>44244.0</v>
      </c>
      <c r="Z279" s="288"/>
      <c r="AA279" s="288"/>
      <c r="AB279" s="288"/>
      <c r="AC279" s="288"/>
      <c r="AD279" s="288"/>
      <c r="AE279" s="160"/>
      <c r="AF279" s="288"/>
      <c r="AG279" s="160"/>
      <c r="AH279" s="288"/>
      <c r="AI279" s="288"/>
      <c r="AJ279" s="288"/>
      <c r="AK279" s="288"/>
      <c r="AL279" s="288"/>
      <c r="AM279" s="288"/>
      <c r="AN279" s="288"/>
      <c r="AO279" s="288"/>
      <c r="AP279" s="150" t="s">
        <v>2663</v>
      </c>
      <c r="AQ279" s="288"/>
    </row>
    <row r="280">
      <c r="A280" s="150" t="s">
        <v>1523</v>
      </c>
      <c r="B280" s="150" t="s">
        <v>1524</v>
      </c>
      <c r="C280" s="175" t="str">
        <f>VLOOKUP(A280,Import!A:C,3,false)</f>
        <v>DOĞRU</v>
      </c>
      <c r="D280" s="150" t="s">
        <v>2763</v>
      </c>
      <c r="E280" s="280">
        <f>VLOOKUP(A280,Import!A:J,5,0)</f>
        <v>1951</v>
      </c>
      <c r="F280" s="280">
        <f>VLOOKUP(A280,Import!A:J,6,0)</f>
        <v>109</v>
      </c>
      <c r="G280" s="289">
        <f>VLOOKUP(A280,Import!A:J,7,0)</f>
        <v>15</v>
      </c>
      <c r="H280" s="289">
        <f>VLOOKUP(A280,Import!A:J,8,0)</f>
        <v>57</v>
      </c>
      <c r="I280" s="289">
        <f>VLOOKUP(A280,Import!A:J,9,0)</f>
        <v>72</v>
      </c>
      <c r="J280" s="282">
        <f>VLOOKUP(A280,Import!A:J,10,0)</f>
        <v>0.21</v>
      </c>
      <c r="K280" s="244" t="str">
        <f>VLOOKUP(A280,Import!A:P,11,0)</f>
        <v>Burak Ketenci</v>
      </c>
      <c r="L280" s="150">
        <v>5.07373555E9</v>
      </c>
      <c r="M280" s="150" t="s">
        <v>1450</v>
      </c>
      <c r="N280" s="150" t="s">
        <v>3009</v>
      </c>
      <c r="O280" s="150" t="s">
        <v>1527</v>
      </c>
      <c r="P280" s="244" t="str">
        <f>VLOOKUP(A280,Import!A:P,16,0)</f>
        <v>Geleneksel</v>
      </c>
      <c r="Q280" s="291"/>
      <c r="R280" s="292" t="b">
        <v>1</v>
      </c>
      <c r="S280" s="293" t="b">
        <v>0</v>
      </c>
      <c r="T280" s="149" t="s">
        <v>2661</v>
      </c>
      <c r="U280" s="149" t="s">
        <v>2718</v>
      </c>
      <c r="V280" s="296"/>
      <c r="W280" s="149" t="s">
        <v>3392</v>
      </c>
      <c r="X280" s="294">
        <v>44378.0</v>
      </c>
      <c r="Y280" s="294">
        <v>44382.0</v>
      </c>
      <c r="Z280" s="288"/>
      <c r="AA280" s="165" t="s">
        <v>2693</v>
      </c>
      <c r="AB280" s="295">
        <v>44378.0</v>
      </c>
      <c r="AC280" s="165" t="s">
        <v>2669</v>
      </c>
      <c r="AD280" s="295">
        <v>44378.0</v>
      </c>
      <c r="AE280" s="160"/>
      <c r="AF280" s="288"/>
      <c r="AG280" s="160"/>
      <c r="AH280" s="288"/>
      <c r="AI280" s="288"/>
      <c r="AJ280" s="288"/>
      <c r="AK280" s="165" t="s">
        <v>2718</v>
      </c>
      <c r="AL280" s="165" t="s">
        <v>2718</v>
      </c>
      <c r="AM280" s="288"/>
      <c r="AN280" s="288"/>
      <c r="AO280" s="288"/>
      <c r="AP280" s="150" t="s">
        <v>2663</v>
      </c>
      <c r="AQ280" s="288"/>
    </row>
    <row r="281">
      <c r="A281" s="150" t="s">
        <v>3393</v>
      </c>
      <c r="B281" s="150" t="s">
        <v>3394</v>
      </c>
      <c r="C281" s="175" t="str">
        <f>VLOOKUP(A281,Import!A:C,3,false)</f>
        <v>DOĞRU</v>
      </c>
      <c r="D281" s="150" t="s">
        <v>2658</v>
      </c>
      <c r="E281" s="280">
        <f>VLOOKUP(A281,Import!A:J,5,0)</f>
        <v>1647</v>
      </c>
      <c r="F281" s="280">
        <f>VLOOKUP(A281,Import!A:J,6,0)</f>
        <v>129</v>
      </c>
      <c r="G281" s="289">
        <f>VLOOKUP(A281,Import!A:J,7,0)</f>
        <v>0</v>
      </c>
      <c r="H281" s="289">
        <f>VLOOKUP(A281,Import!A:J,8,0)</f>
        <v>96</v>
      </c>
      <c r="I281" s="289">
        <f>VLOOKUP(A281,Import!A:J,9,0)</f>
        <v>96</v>
      </c>
      <c r="J281" s="282">
        <f>VLOOKUP(A281,Import!A:J,10,0)</f>
        <v>0</v>
      </c>
      <c r="K281" s="244" t="str">
        <f>VLOOKUP(A281,Import!A:P,11,0)</f>
        <v>Mehmet Önal</v>
      </c>
      <c r="L281" s="150">
        <v>2.222342312E9</v>
      </c>
      <c r="M281" s="150" t="s">
        <v>2666</v>
      </c>
      <c r="N281" s="150" t="s">
        <v>2711</v>
      </c>
      <c r="O281" s="150" t="s">
        <v>3395</v>
      </c>
      <c r="P281" s="244" t="str">
        <f>VLOOKUP(A281,Import!A:P,16,0)</f>
        <v>Geleneksel</v>
      </c>
      <c r="Q281" s="291" t="s">
        <v>2713</v>
      </c>
      <c r="R281" s="292" t="b">
        <v>1</v>
      </c>
      <c r="S281" s="293" t="b">
        <v>0</v>
      </c>
      <c r="T281" s="149" t="s">
        <v>2770</v>
      </c>
      <c r="U281" s="296"/>
      <c r="V281" s="296"/>
      <c r="W281" s="149" t="s">
        <v>3396</v>
      </c>
      <c r="X281" s="297"/>
      <c r="Y281" s="297"/>
      <c r="Z281" s="288"/>
      <c r="AA281" s="165" t="s">
        <v>2669</v>
      </c>
      <c r="AB281" s="295">
        <v>44530.0</v>
      </c>
      <c r="AC281" s="165" t="s">
        <v>2772</v>
      </c>
      <c r="AD281" s="295">
        <v>44548.0</v>
      </c>
      <c r="AE281" s="160"/>
      <c r="AF281" s="288"/>
      <c r="AG281" s="160"/>
      <c r="AH281" s="288"/>
      <c r="AI281" s="288"/>
      <c r="AJ281" s="288"/>
      <c r="AK281" s="165" t="s">
        <v>943</v>
      </c>
      <c r="AL281" s="165" t="s">
        <v>1621</v>
      </c>
      <c r="AM281" s="288"/>
      <c r="AN281" s="288"/>
      <c r="AO281" s="288"/>
      <c r="AP281" s="150" t="s">
        <v>2663</v>
      </c>
      <c r="AQ281" s="288"/>
    </row>
    <row r="282">
      <c r="A282" s="150" t="s">
        <v>1518</v>
      </c>
      <c r="B282" s="150" t="s">
        <v>1519</v>
      </c>
      <c r="C282" s="175" t="str">
        <f>VLOOKUP(A282,Import!A:C,3,false)</f>
        <v>YANLIŞ</v>
      </c>
      <c r="D282" s="150" t="s">
        <v>2672</v>
      </c>
      <c r="E282" s="280">
        <f>VLOOKUP(A282,Import!A:J,5,0)</f>
        <v>471</v>
      </c>
      <c r="F282" s="280" t="str">
        <f>VLOOKUP(A282,Import!A:J,6,0)</f>
        <v/>
      </c>
      <c r="G282" s="289">
        <f>VLOOKUP(A282,Import!A:J,7,0)</f>
        <v>9</v>
      </c>
      <c r="H282" s="289">
        <f>VLOOKUP(A282,Import!A:J,8,0)</f>
        <v>5</v>
      </c>
      <c r="I282" s="289">
        <f>VLOOKUP(A282,Import!A:J,9,0)</f>
        <v>14</v>
      </c>
      <c r="J282" s="282">
        <f>VLOOKUP(A282,Import!A:J,10,0)</f>
        <v>0.64</v>
      </c>
      <c r="K282" s="244" t="str">
        <f>VLOOKUP(A282,Import!A:P,11,0)</f>
        <v>Bayram Ali Aydın</v>
      </c>
      <c r="L282" s="150">
        <v>2.222378005E9</v>
      </c>
      <c r="M282" s="150" t="s">
        <v>1450</v>
      </c>
      <c r="N282" s="150" t="s">
        <v>3397</v>
      </c>
      <c r="O282" s="150" t="s">
        <v>1522</v>
      </c>
      <c r="P282" s="244" t="str">
        <f>VLOOKUP(A282,Import!A:P,16,0)</f>
        <v>Geleneksel</v>
      </c>
      <c r="Q282" s="291" t="s">
        <v>2686</v>
      </c>
      <c r="R282" s="292" t="b">
        <v>1</v>
      </c>
      <c r="S282" s="293" t="b">
        <v>0</v>
      </c>
      <c r="T282" s="149" t="s">
        <v>2661</v>
      </c>
      <c r="U282" s="149" t="s">
        <v>2913</v>
      </c>
      <c r="V282" s="149" t="s">
        <v>3398</v>
      </c>
      <c r="W282" s="149" t="s">
        <v>3399</v>
      </c>
      <c r="X282" s="294">
        <v>44377.0</v>
      </c>
      <c r="Y282" s="294">
        <v>44382.0</v>
      </c>
      <c r="Z282" s="288"/>
      <c r="AA282" s="165" t="s">
        <v>2669</v>
      </c>
      <c r="AB282" s="295">
        <v>44377.0</v>
      </c>
      <c r="AC282" s="288"/>
      <c r="AD282" s="288"/>
      <c r="AE282" s="160"/>
      <c r="AF282" s="288"/>
      <c r="AG282" s="160"/>
      <c r="AH282" s="288"/>
      <c r="AI282" s="288"/>
      <c r="AJ282" s="288"/>
      <c r="AK282" s="165" t="s">
        <v>2913</v>
      </c>
      <c r="AL282" s="288"/>
      <c r="AM282" s="288"/>
      <c r="AN282" s="288"/>
      <c r="AO282" s="288"/>
      <c r="AP282" s="150" t="s">
        <v>2663</v>
      </c>
      <c r="AQ282" s="288"/>
    </row>
    <row r="283">
      <c r="A283" s="150" t="s">
        <v>3400</v>
      </c>
      <c r="B283" s="150" t="s">
        <v>1519</v>
      </c>
      <c r="C283" s="175" t="str">
        <f>VLOOKUP(A283,Import!A:C,3,false)</f>
        <v>DOĞRU</v>
      </c>
      <c r="D283" s="150" t="s">
        <v>2672</v>
      </c>
      <c r="E283" s="280">
        <f>VLOOKUP(A283,Import!A:J,5,0)</f>
        <v>52</v>
      </c>
      <c r="F283" s="280">
        <f>VLOOKUP(A283,Import!A:J,6,0)</f>
        <v>18</v>
      </c>
      <c r="G283" s="289">
        <f>VLOOKUP(A283,Import!A:J,7,0)</f>
        <v>0</v>
      </c>
      <c r="H283" s="289">
        <f>VLOOKUP(A283,Import!A:J,8,0)</f>
        <v>20</v>
      </c>
      <c r="I283" s="289">
        <f>VLOOKUP(A283,Import!A:J,9,0)</f>
        <v>20</v>
      </c>
      <c r="J283" s="282">
        <f>VLOOKUP(A283,Import!A:J,10,0)</f>
        <v>0</v>
      </c>
      <c r="K283" s="290" t="s">
        <v>3401</v>
      </c>
      <c r="L283" s="150">
        <v>2.222378005E9</v>
      </c>
      <c r="M283" s="150" t="s">
        <v>1450</v>
      </c>
      <c r="N283" s="150" t="s">
        <v>2776</v>
      </c>
      <c r="O283" s="150" t="s">
        <v>3402</v>
      </c>
      <c r="P283" s="244" t="str">
        <f>VLOOKUP(A283,Import!A:P,16,0)</f>
        <v>Geleneksel</v>
      </c>
      <c r="Q283" s="291"/>
      <c r="R283" s="292" t="b">
        <v>0</v>
      </c>
      <c r="S283" s="293" t="b">
        <v>0</v>
      </c>
      <c r="T283" s="149"/>
      <c r="U283" s="296"/>
      <c r="V283" s="296"/>
      <c r="W283" s="149"/>
      <c r="X283" s="297"/>
      <c r="Y283" s="297"/>
      <c r="Z283" s="288"/>
      <c r="AA283" s="165"/>
      <c r="AB283" s="295"/>
      <c r="AC283" s="288"/>
      <c r="AD283" s="288"/>
      <c r="AE283" s="160"/>
      <c r="AF283" s="288"/>
      <c r="AG283" s="160"/>
      <c r="AH283" s="288"/>
      <c r="AI283" s="288"/>
      <c r="AJ283" s="288"/>
      <c r="AK283" s="165"/>
      <c r="AL283" s="288"/>
      <c r="AM283" s="288"/>
      <c r="AN283" s="288"/>
      <c r="AO283" s="165"/>
      <c r="AP283" s="150"/>
      <c r="AQ283" s="165"/>
    </row>
    <row r="284">
      <c r="A284" s="150" t="s">
        <v>2538</v>
      </c>
      <c r="B284" s="150" t="s">
        <v>2539</v>
      </c>
      <c r="C284" s="175" t="str">
        <f>VLOOKUP(A284,Import!A:C,3,false)</f>
        <v>DOĞRU</v>
      </c>
      <c r="D284" s="150" t="s">
        <v>2867</v>
      </c>
      <c r="E284" s="280">
        <f>VLOOKUP(A284,Import!A:J,5,0)</f>
        <v>76</v>
      </c>
      <c r="F284" s="280">
        <f>VLOOKUP(A284,Import!A:J,6,0)</f>
        <v>18</v>
      </c>
      <c r="G284" s="289">
        <f>VLOOKUP(A284,Import!A:J,7,0)</f>
        <v>5</v>
      </c>
      <c r="H284" s="289">
        <f>VLOOKUP(A284,Import!A:J,8,0)</f>
        <v>4</v>
      </c>
      <c r="I284" s="289">
        <f>VLOOKUP(A284,Import!A:J,9,0)</f>
        <v>9</v>
      </c>
      <c r="J284" s="282">
        <f>VLOOKUP(A284,Import!A:J,10,0)</f>
        <v>0.56</v>
      </c>
      <c r="K284" s="290" t="s">
        <v>3403</v>
      </c>
      <c r="L284" s="150">
        <v>5.013432634E9</v>
      </c>
      <c r="M284" s="150" t="s">
        <v>2666</v>
      </c>
      <c r="N284" s="150" t="s">
        <v>2774</v>
      </c>
      <c r="O284" s="150" t="s">
        <v>2541</v>
      </c>
      <c r="P284" s="244" t="str">
        <f>VLOOKUP(A284,Import!A:P,16,0)</f>
        <v>Geleneksel</v>
      </c>
      <c r="Q284" s="291"/>
      <c r="R284" s="292" t="b">
        <v>1</v>
      </c>
      <c r="S284" s="293" t="b">
        <v>0</v>
      </c>
      <c r="T284" s="149" t="s">
        <v>2661</v>
      </c>
      <c r="U284" s="149" t="s">
        <v>943</v>
      </c>
      <c r="V284" s="356" t="s">
        <v>1609</v>
      </c>
      <c r="W284" s="149"/>
      <c r="X284" s="294">
        <v>44622.0</v>
      </c>
      <c r="Y284" s="294">
        <v>44623.0</v>
      </c>
      <c r="Z284" s="288"/>
      <c r="AA284" s="165" t="s">
        <v>2669</v>
      </c>
      <c r="AB284" s="295">
        <v>44622.0</v>
      </c>
      <c r="AC284" s="288"/>
      <c r="AD284" s="288"/>
      <c r="AE284" s="160"/>
      <c r="AF284" s="288"/>
      <c r="AG284" s="160"/>
      <c r="AH284" s="288"/>
      <c r="AI284" s="288"/>
      <c r="AJ284" s="288"/>
      <c r="AK284" s="165"/>
      <c r="AL284" s="288"/>
      <c r="AM284" s="288"/>
      <c r="AN284" s="288"/>
      <c r="AO284" s="165"/>
      <c r="AP284" s="150"/>
      <c r="AQ284" s="165"/>
    </row>
    <row r="285">
      <c r="A285" s="150" t="s">
        <v>747</v>
      </c>
      <c r="B285" s="150" t="s">
        <v>748</v>
      </c>
      <c r="C285" s="175" t="str">
        <f>VLOOKUP(A285,Import!A:C,3,false)</f>
        <v>DOĞRU</v>
      </c>
      <c r="D285" s="150" t="s">
        <v>2664</v>
      </c>
      <c r="E285" s="280">
        <f>VLOOKUP(A285,Import!A:J,5,0)</f>
        <v>2196</v>
      </c>
      <c r="F285" s="280">
        <f>VLOOKUP(A285,Import!A:J,6,0)</f>
        <v>29</v>
      </c>
      <c r="G285" s="289">
        <f>VLOOKUP(A285,Import!A:J,7,0)</f>
        <v>19</v>
      </c>
      <c r="H285" s="289">
        <f>VLOOKUP(A285,Import!A:J,8,0)</f>
        <v>58</v>
      </c>
      <c r="I285" s="289">
        <f>VLOOKUP(A285,Import!A:J,9,0)</f>
        <v>77</v>
      </c>
      <c r="J285" s="282">
        <f>VLOOKUP(A285,Import!A:J,10,0)</f>
        <v>0.25</v>
      </c>
      <c r="K285" s="244" t="str">
        <f>VLOOKUP(A285,Import!A:P,11,0)</f>
        <v>HÜLYA DEMİR</v>
      </c>
      <c r="L285" s="150">
        <v>5.423554445E9</v>
      </c>
      <c r="M285" s="150" t="s">
        <v>2666</v>
      </c>
      <c r="N285" s="150" t="s">
        <v>2667</v>
      </c>
      <c r="O285" s="150" t="s">
        <v>749</v>
      </c>
      <c r="P285" s="244" t="str">
        <f>VLOOKUP(A285,Import!A:P,16,0)</f>
        <v>Geleneksel</v>
      </c>
      <c r="Q285" s="291" t="s">
        <v>2713</v>
      </c>
      <c r="R285" s="292" t="b">
        <v>1</v>
      </c>
      <c r="S285" s="293" t="b">
        <v>0</v>
      </c>
      <c r="T285" s="149" t="s">
        <v>2661</v>
      </c>
      <c r="U285" s="149"/>
      <c r="V285" s="149" t="s">
        <v>13</v>
      </c>
      <c r="W285" s="149" t="s">
        <v>3404</v>
      </c>
      <c r="X285" s="294">
        <v>44238.0</v>
      </c>
      <c r="Y285" s="294">
        <v>44252.0</v>
      </c>
      <c r="Z285" s="288"/>
      <c r="AA285" s="165" t="s">
        <v>2669</v>
      </c>
      <c r="AB285" s="295">
        <v>44517.0</v>
      </c>
      <c r="AC285" s="165" t="s">
        <v>2669</v>
      </c>
      <c r="AD285" s="295">
        <v>44571.0</v>
      </c>
      <c r="AE285" s="160"/>
      <c r="AF285" s="288"/>
      <c r="AG285" s="160"/>
      <c r="AH285" s="288"/>
      <c r="AI285" s="288"/>
      <c r="AJ285" s="288"/>
      <c r="AK285" s="165" t="s">
        <v>1971</v>
      </c>
      <c r="AL285" s="165" t="s">
        <v>1715</v>
      </c>
      <c r="AM285" s="288"/>
      <c r="AN285" s="288"/>
      <c r="AO285" s="288"/>
      <c r="AP285" s="150" t="s">
        <v>2663</v>
      </c>
      <c r="AQ285" s="288"/>
    </row>
    <row r="286">
      <c r="A286" s="150" t="s">
        <v>3405</v>
      </c>
      <c r="B286" s="150" t="s">
        <v>3406</v>
      </c>
      <c r="C286" s="175" t="str">
        <f>VLOOKUP(A286,Import!A:C,3,false)</f>
        <v>DOĞRU</v>
      </c>
      <c r="D286" s="150" t="s">
        <v>2664</v>
      </c>
      <c r="E286" s="280">
        <f>VLOOKUP(A286,Import!A:J,5,0)</f>
        <v>2504</v>
      </c>
      <c r="F286" s="280">
        <f>VLOOKUP(A286,Import!A:J,6,0)</f>
        <v>96</v>
      </c>
      <c r="G286" s="289">
        <f>VLOOKUP(A286,Import!A:J,7,0)</f>
        <v>11</v>
      </c>
      <c r="H286" s="289">
        <f>VLOOKUP(A286,Import!A:J,8,0)</f>
        <v>127</v>
      </c>
      <c r="I286" s="289">
        <f>VLOOKUP(A286,Import!A:J,9,0)</f>
        <v>138</v>
      </c>
      <c r="J286" s="282">
        <f>VLOOKUP(A286,Import!A:J,10,0)</f>
        <v>0.08</v>
      </c>
      <c r="K286" s="244" t="str">
        <f>VLOOKUP(A286,Import!A:P,11,0)</f>
        <v>HİLMİ ŞAHİN</v>
      </c>
      <c r="L286" s="150">
        <v>2.22335352E9</v>
      </c>
      <c r="M286" s="150" t="s">
        <v>2666</v>
      </c>
      <c r="N286" s="150" t="s">
        <v>2750</v>
      </c>
      <c r="O286" s="150" t="s">
        <v>572</v>
      </c>
      <c r="P286" s="244" t="str">
        <f>VLOOKUP(A286,Import!A:P,16,0)</f>
        <v>Geleneksel</v>
      </c>
      <c r="Q286" s="291" t="s">
        <v>2713</v>
      </c>
      <c r="R286" s="292" t="b">
        <v>1</v>
      </c>
      <c r="S286" s="293" t="b">
        <v>0</v>
      </c>
      <c r="T286" s="149" t="s">
        <v>2734</v>
      </c>
      <c r="U286" s="296"/>
      <c r="V286" s="296"/>
      <c r="X286" s="297"/>
      <c r="Y286" s="297"/>
      <c r="Z286" s="288"/>
      <c r="AA286" s="288"/>
      <c r="AB286" s="288"/>
      <c r="AC286" s="288"/>
      <c r="AD286" s="288"/>
      <c r="AE286" s="160"/>
      <c r="AF286" s="288"/>
      <c r="AG286" s="160"/>
      <c r="AH286" s="288"/>
      <c r="AI286" s="288"/>
      <c r="AJ286" s="288"/>
      <c r="AK286" s="288"/>
      <c r="AL286" s="288"/>
      <c r="AM286" s="288"/>
      <c r="AN286" s="288"/>
      <c r="AO286" s="288"/>
      <c r="AP286" s="150" t="s">
        <v>2663</v>
      </c>
      <c r="AQ286" s="288"/>
    </row>
    <row r="287">
      <c r="A287" s="150" t="s">
        <v>3407</v>
      </c>
      <c r="B287" s="150" t="s">
        <v>3408</v>
      </c>
      <c r="C287" s="175" t="str">
        <f>VLOOKUP(A287,Import!A:C,3,false)</f>
        <v>DOĞRU</v>
      </c>
      <c r="D287" s="150" t="s">
        <v>2904</v>
      </c>
      <c r="E287" s="280">
        <f>VLOOKUP(A287,Import!A:J,5,0)</f>
        <v>5</v>
      </c>
      <c r="F287" s="280">
        <f>VLOOKUP(A287,Import!A:J,6,0)</f>
        <v>1</v>
      </c>
      <c r="G287" s="289">
        <f>VLOOKUP(A287,Import!A:J,7,0)</f>
        <v>0</v>
      </c>
      <c r="H287" s="289">
        <f>VLOOKUP(A287,Import!A:J,8,0)</f>
        <v>24</v>
      </c>
      <c r="I287" s="289">
        <f>VLOOKUP(A287,Import!A:J,9,0)</f>
        <v>24</v>
      </c>
      <c r="J287" s="282">
        <f>VLOOKUP(A287,Import!A:J,10,0)</f>
        <v>0</v>
      </c>
      <c r="K287" s="290" t="s">
        <v>3024</v>
      </c>
      <c r="L287" s="150">
        <v>5.321636998E9</v>
      </c>
      <c r="M287" s="150" t="s">
        <v>1450</v>
      </c>
      <c r="N287" s="150" t="s">
        <v>2795</v>
      </c>
      <c r="O287" s="150" t="s">
        <v>3025</v>
      </c>
      <c r="P287" s="244" t="str">
        <f>VLOOKUP(A287,Import!A:P,16,0)</f>
        <v>Geleneksel</v>
      </c>
      <c r="Q287" s="291"/>
      <c r="R287" s="292" t="b">
        <v>1</v>
      </c>
      <c r="S287" s="293" t="b">
        <v>0</v>
      </c>
      <c r="T287" s="149" t="s">
        <v>2714</v>
      </c>
      <c r="U287" s="296"/>
      <c r="V287" s="296"/>
      <c r="W287" s="149" t="s">
        <v>3026</v>
      </c>
      <c r="X287" s="297"/>
      <c r="Y287" s="297"/>
      <c r="Z287" s="288"/>
      <c r="AA287" s="165" t="s">
        <v>2669</v>
      </c>
      <c r="AB287" s="295">
        <v>44532.0</v>
      </c>
      <c r="AC287" s="288"/>
      <c r="AD287" s="288"/>
      <c r="AE287" s="160"/>
      <c r="AF287" s="288"/>
      <c r="AG287" s="160"/>
      <c r="AH287" s="288"/>
      <c r="AI287" s="288"/>
      <c r="AJ287" s="288"/>
      <c r="AK287" s="165" t="s">
        <v>1717</v>
      </c>
      <c r="AL287" s="288"/>
      <c r="AM287" s="288"/>
      <c r="AN287" s="288"/>
      <c r="AO287" s="165"/>
      <c r="AP287" s="150" t="s">
        <v>2663</v>
      </c>
      <c r="AQ287" s="165"/>
    </row>
    <row r="288">
      <c r="A288" s="150" t="s">
        <v>3409</v>
      </c>
      <c r="B288" s="150" t="s">
        <v>3410</v>
      </c>
      <c r="C288" s="175" t="str">
        <f>VLOOKUP(A288,Import!A:C,3,false)</f>
        <v>DOĞRU</v>
      </c>
      <c r="D288" s="150" t="s">
        <v>2763</v>
      </c>
      <c r="E288" s="280">
        <f>VLOOKUP(A288,Import!A:J,5,0)</f>
        <v>7973</v>
      </c>
      <c r="F288" s="280">
        <f>VLOOKUP(A288,Import!A:J,6,0)</f>
        <v>222</v>
      </c>
      <c r="G288" s="289">
        <f>VLOOKUP(A288,Import!A:J,7,0)</f>
        <v>0</v>
      </c>
      <c r="H288" s="289">
        <f>VLOOKUP(A288,Import!A:J,8,0)</f>
        <v>42</v>
      </c>
      <c r="I288" s="289">
        <f>VLOOKUP(A288,Import!A:J,9,0)</f>
        <v>42</v>
      </c>
      <c r="J288" s="282">
        <f>VLOOKUP(A288,Import!A:J,10,0)</f>
        <v>0</v>
      </c>
      <c r="K288" s="244" t="str">
        <f>VLOOKUP(A288,Import!A:P,11,0)</f>
        <v>GÜNSELİ TAŞDELEN</v>
      </c>
      <c r="L288" s="150">
        <v>2.222393902E9</v>
      </c>
      <c r="M288" s="150" t="s">
        <v>1450</v>
      </c>
      <c r="N288" s="150" t="s">
        <v>2732</v>
      </c>
      <c r="O288" s="150" t="s">
        <v>3411</v>
      </c>
      <c r="P288" s="244" t="str">
        <f>VLOOKUP(A288,Import!A:P,16,0)</f>
        <v>Geleneksel</v>
      </c>
      <c r="Q288" s="291" t="s">
        <v>2713</v>
      </c>
      <c r="R288" s="292" t="b">
        <v>1</v>
      </c>
      <c r="S288" s="293" t="b">
        <v>0</v>
      </c>
      <c r="T288" s="149" t="s">
        <v>2714</v>
      </c>
      <c r="U288" s="296"/>
      <c r="V288" s="296"/>
      <c r="W288" s="149" t="s">
        <v>3412</v>
      </c>
      <c r="X288" s="297"/>
      <c r="Y288" s="297"/>
      <c r="Z288" s="288"/>
      <c r="AA288" s="165" t="s">
        <v>2772</v>
      </c>
      <c r="AB288" s="295">
        <v>44377.0</v>
      </c>
      <c r="AC288" s="165" t="s">
        <v>2772</v>
      </c>
      <c r="AD288" s="295">
        <v>44488.0</v>
      </c>
      <c r="AE288" s="165" t="s">
        <v>2693</v>
      </c>
      <c r="AF288" s="295">
        <v>44494.0</v>
      </c>
      <c r="AG288" s="165" t="s">
        <v>2669</v>
      </c>
      <c r="AH288" s="295">
        <v>44496.0</v>
      </c>
      <c r="AI288" s="288"/>
      <c r="AJ288" s="288"/>
      <c r="AK288" s="165" t="s">
        <v>2913</v>
      </c>
      <c r="AL288" s="165" t="s">
        <v>1717</v>
      </c>
      <c r="AM288" s="165" t="s">
        <v>1791</v>
      </c>
      <c r="AN288" s="165" t="s">
        <v>819</v>
      </c>
      <c r="AO288" s="288"/>
      <c r="AP288" s="150" t="s">
        <v>2663</v>
      </c>
      <c r="AQ288" s="288"/>
    </row>
    <row r="289">
      <c r="A289" s="150" t="s">
        <v>900</v>
      </c>
      <c r="B289" s="150" t="s">
        <v>901</v>
      </c>
      <c r="C289" s="175" t="str">
        <f>VLOOKUP(A289,Import!A:C,3,false)</f>
        <v>DOĞRU</v>
      </c>
      <c r="D289" s="150" t="s">
        <v>2763</v>
      </c>
      <c r="E289" s="280">
        <f>VLOOKUP(A289,Import!A:J,5,0)</f>
        <v>2971</v>
      </c>
      <c r="F289" s="280">
        <f>VLOOKUP(A289,Import!A:J,6,0)</f>
        <v>49</v>
      </c>
      <c r="G289" s="289">
        <f>VLOOKUP(A289,Import!A:J,7,0)</f>
        <v>20</v>
      </c>
      <c r="H289" s="289">
        <f>VLOOKUP(A289,Import!A:J,8,0)</f>
        <v>58</v>
      </c>
      <c r="I289" s="289">
        <f>VLOOKUP(A289,Import!A:J,9,0)</f>
        <v>78</v>
      </c>
      <c r="J289" s="282">
        <f>VLOOKUP(A289,Import!A:J,10,0)</f>
        <v>0.26</v>
      </c>
      <c r="K289" s="244" t="str">
        <f>VLOOKUP(A289,Import!A:P,11,0)</f>
        <v>ŞENER KARACA</v>
      </c>
      <c r="L289" s="150">
        <v>2.223101212E9</v>
      </c>
      <c r="M289" s="150" t="s">
        <v>2666</v>
      </c>
      <c r="N289" s="150" t="s">
        <v>3000</v>
      </c>
      <c r="O289" s="150" t="s">
        <v>904</v>
      </c>
      <c r="P289" s="244" t="str">
        <f>VLOOKUP(A289,Import!A:P,16,0)</f>
        <v>Geleneksel</v>
      </c>
      <c r="Q289" s="315" t="s">
        <v>2713</v>
      </c>
      <c r="R289" s="292" t="b">
        <v>1</v>
      </c>
      <c r="S289" s="293" t="b">
        <v>0</v>
      </c>
      <c r="T289" s="149" t="s">
        <v>2770</v>
      </c>
      <c r="U289" s="149"/>
      <c r="V289" s="149" t="s">
        <v>46</v>
      </c>
      <c r="W289" s="149" t="s">
        <v>3413</v>
      </c>
      <c r="X289" s="294">
        <v>44254.0</v>
      </c>
      <c r="Y289" s="294">
        <v>44257.0</v>
      </c>
      <c r="Z289" s="288"/>
      <c r="AA289" s="165" t="s">
        <v>2699</v>
      </c>
      <c r="AB289" s="295">
        <v>44517.0</v>
      </c>
      <c r="AC289" s="165" t="s">
        <v>2699</v>
      </c>
      <c r="AD289" s="295">
        <v>44518.0</v>
      </c>
      <c r="AE289" s="165" t="s">
        <v>2669</v>
      </c>
      <c r="AF289" s="295">
        <v>44518.0</v>
      </c>
      <c r="AG289" s="165" t="s">
        <v>2669</v>
      </c>
      <c r="AH289" s="295">
        <v>44565.0</v>
      </c>
      <c r="AI289" s="165" t="s">
        <v>2669</v>
      </c>
      <c r="AJ289" s="295">
        <v>44601.0</v>
      </c>
      <c r="AK289" s="165" t="s">
        <v>1971</v>
      </c>
      <c r="AL289" s="165" t="s">
        <v>1911</v>
      </c>
      <c r="AM289" s="165" t="s">
        <v>1911</v>
      </c>
      <c r="AN289" s="165" t="s">
        <v>1715</v>
      </c>
      <c r="AO289" s="165" t="s">
        <v>2474</v>
      </c>
      <c r="AP289" s="150" t="s">
        <v>2663</v>
      </c>
      <c r="AQ289" s="288"/>
    </row>
    <row r="290">
      <c r="A290" s="244" t="s">
        <v>76</v>
      </c>
      <c r="B290" s="244" t="s">
        <v>77</v>
      </c>
      <c r="C290" s="175" t="str">
        <f>VLOOKUP(A290,Import!A:C,3,false)</f>
        <v>DOĞRU</v>
      </c>
      <c r="D290" s="175" t="s">
        <v>2751</v>
      </c>
      <c r="E290" s="280">
        <f>VLOOKUP(A290,Import!A:J,5,0)</f>
        <v>669</v>
      </c>
      <c r="F290" s="280">
        <f>VLOOKUP(A290,Import!A:J,6,0)</f>
        <v>17</v>
      </c>
      <c r="G290" s="289">
        <f>VLOOKUP(A290,Import!A:J,7,0)</f>
        <v>16</v>
      </c>
      <c r="H290" s="289">
        <f>VLOOKUP(A290,Import!A:J,8,0)</f>
        <v>3</v>
      </c>
      <c r="I290" s="289">
        <f>VLOOKUP(A290,Import!A:J,9,0)</f>
        <v>19</v>
      </c>
      <c r="J290" s="282">
        <f>VLOOKUP(A290,Import!A:J,10,0)</f>
        <v>0.84</v>
      </c>
      <c r="K290" s="244" t="str">
        <f>VLOOKUP(A290,Import!A:P,11,0)</f>
        <v>AYHAN TETİK</v>
      </c>
      <c r="L290" s="283">
        <v>2.222331616E9</v>
      </c>
      <c r="M290" s="175" t="s">
        <v>1450</v>
      </c>
      <c r="N290" s="175" t="s">
        <v>2950</v>
      </c>
      <c r="O290" s="175" t="s">
        <v>3414</v>
      </c>
      <c r="P290" s="244" t="str">
        <f>VLOOKUP(A290,Import!A:P,16,0)</f>
        <v>Geleneksel</v>
      </c>
      <c r="Q290" s="284" t="s">
        <v>2686</v>
      </c>
      <c r="R290" s="285" t="b">
        <v>1</v>
      </c>
      <c r="S290" s="286" t="b">
        <v>0</v>
      </c>
      <c r="T290" s="171" t="s">
        <v>2661</v>
      </c>
      <c r="U290" s="171"/>
      <c r="V290" s="171" t="s">
        <v>31</v>
      </c>
      <c r="W290" s="298"/>
      <c r="X290" s="287">
        <v>44231.0</v>
      </c>
      <c r="Y290" s="287">
        <v>44236.0</v>
      </c>
      <c r="Z290" s="288"/>
      <c r="AA290" s="288"/>
      <c r="AB290" s="288"/>
      <c r="AC290" s="288"/>
      <c r="AD290" s="288"/>
      <c r="AE290" s="160"/>
      <c r="AF290" s="288"/>
      <c r="AG290" s="160"/>
      <c r="AH290" s="288"/>
      <c r="AI290" s="288"/>
      <c r="AJ290" s="288"/>
      <c r="AK290" s="288"/>
      <c r="AL290" s="288"/>
      <c r="AM290" s="288"/>
      <c r="AN290" s="288"/>
      <c r="AO290" s="288"/>
      <c r="AP290" s="150" t="s">
        <v>2663</v>
      </c>
      <c r="AQ290" s="288"/>
    </row>
    <row r="291">
      <c r="A291" s="150" t="s">
        <v>1972</v>
      </c>
      <c r="B291" s="150" t="s">
        <v>1973</v>
      </c>
      <c r="C291" s="175" t="str">
        <f>VLOOKUP(A291,Import!A:C,3,false)</f>
        <v>DOĞRU</v>
      </c>
      <c r="D291" s="150" t="s">
        <v>2896</v>
      </c>
      <c r="E291" s="280">
        <f>VLOOKUP(A291,Import!A:J,5,0)</f>
        <v>438</v>
      </c>
      <c r="F291" s="280">
        <f>VLOOKUP(A291,Import!A:J,6,0)</f>
        <v>16</v>
      </c>
      <c r="G291" s="289">
        <f>VLOOKUP(A291,Import!A:J,7,0)</f>
        <v>14</v>
      </c>
      <c r="H291" s="289">
        <f>VLOOKUP(A291,Import!A:J,8,0)</f>
        <v>16</v>
      </c>
      <c r="I291" s="289">
        <f>VLOOKUP(A291,Import!A:J,9,0)</f>
        <v>30</v>
      </c>
      <c r="J291" s="282">
        <f>VLOOKUP(A291,Import!A:J,10,0)</f>
        <v>0.47</v>
      </c>
      <c r="K291" s="244" t="str">
        <f>VLOOKUP(A291,Import!A:P,11,0)</f>
        <v>Haldun Bayrak</v>
      </c>
      <c r="L291" s="150">
        <v>5.528265326E9</v>
      </c>
      <c r="M291" s="150" t="s">
        <v>2666</v>
      </c>
      <c r="N291" s="150" t="s">
        <v>2667</v>
      </c>
      <c r="O291" s="150" t="s">
        <v>1975</v>
      </c>
      <c r="P291" s="244" t="str">
        <f>VLOOKUP(A291,Import!A:P,16,0)</f>
        <v>Geleneksel</v>
      </c>
      <c r="Q291" s="291"/>
      <c r="R291" s="292" t="b">
        <v>1</v>
      </c>
      <c r="S291" s="293" t="b">
        <v>0</v>
      </c>
      <c r="T291" s="149" t="s">
        <v>2661</v>
      </c>
      <c r="U291" s="149" t="s">
        <v>1971</v>
      </c>
      <c r="V291" s="269" t="s">
        <v>1609</v>
      </c>
      <c r="W291" s="149" t="s">
        <v>3415</v>
      </c>
      <c r="X291" s="294">
        <v>44517.0</v>
      </c>
      <c r="Y291" s="294">
        <v>44518.0</v>
      </c>
      <c r="Z291" s="288"/>
      <c r="AA291" s="165" t="s">
        <v>2693</v>
      </c>
      <c r="AB291" s="295">
        <v>44384.0</v>
      </c>
      <c r="AC291" s="165" t="s">
        <v>2669</v>
      </c>
      <c r="AD291" s="295">
        <v>44517.0</v>
      </c>
      <c r="AE291" s="160"/>
      <c r="AF291" s="288"/>
      <c r="AG291" s="160"/>
      <c r="AH291" s="288"/>
      <c r="AI291" s="288"/>
      <c r="AJ291" s="288"/>
      <c r="AK291" s="165" t="s">
        <v>3416</v>
      </c>
      <c r="AL291" s="165" t="s">
        <v>1971</v>
      </c>
      <c r="AM291" s="288"/>
      <c r="AN291" s="288"/>
      <c r="AO291" s="288"/>
      <c r="AP291" s="150" t="s">
        <v>2663</v>
      </c>
      <c r="AQ291" s="288"/>
    </row>
    <row r="292">
      <c r="A292" s="244" t="s">
        <v>3417</v>
      </c>
      <c r="B292" s="244" t="s">
        <v>3418</v>
      </c>
      <c r="C292" s="175" t="str">
        <f>VLOOKUP(A292,Import!A:C,3,false)</f>
        <v>DOĞRU</v>
      </c>
      <c r="D292" s="320" t="s">
        <v>3419</v>
      </c>
      <c r="E292" s="280">
        <f>VLOOKUP(A292,Import!A:J,5,0)</f>
        <v>3586</v>
      </c>
      <c r="F292" s="280">
        <f>VLOOKUP(A292,Import!A:J,6,0)</f>
        <v>162</v>
      </c>
      <c r="G292" s="289">
        <f>VLOOKUP(A292,Import!A:J,7,0)</f>
        <v>8</v>
      </c>
      <c r="H292" s="289">
        <f>VLOOKUP(A292,Import!A:J,8,0)</f>
        <v>4</v>
      </c>
      <c r="I292" s="289">
        <f>VLOOKUP(A292,Import!A:J,9,0)</f>
        <v>12</v>
      </c>
      <c r="J292" s="282">
        <f>VLOOKUP(A292,Import!A:J,10,0)</f>
        <v>0.67</v>
      </c>
      <c r="K292" s="244" t="str">
        <f>VLOOKUP(A292,Import!A:P,11,0)</f>
        <v>SERVET KESKİN</v>
      </c>
      <c r="L292" s="321">
        <v>5.32204591E9</v>
      </c>
      <c r="M292" s="320" t="s">
        <v>2666</v>
      </c>
      <c r="N292" s="320" t="s">
        <v>2682</v>
      </c>
      <c r="O292" s="320" t="s">
        <v>3420</v>
      </c>
      <c r="P292" s="244" t="str">
        <f>VLOOKUP(A292,Import!A:P,16,0)</f>
        <v>Geleneksel</v>
      </c>
      <c r="Q292" s="322" t="s">
        <v>2660</v>
      </c>
      <c r="R292" s="323" t="b">
        <v>1</v>
      </c>
      <c r="S292" s="323" t="b">
        <v>1</v>
      </c>
      <c r="T292" s="333"/>
      <c r="U292" s="333"/>
      <c r="V292" s="333"/>
      <c r="W292" s="325" t="s">
        <v>3421</v>
      </c>
      <c r="X292" s="345"/>
      <c r="Y292" s="345"/>
      <c r="Z292" s="288"/>
      <c r="AA292" s="165" t="s">
        <v>2669</v>
      </c>
      <c r="AB292" s="295">
        <v>44489.0</v>
      </c>
      <c r="AC292" s="165" t="s">
        <v>2699</v>
      </c>
      <c r="AD292" s="295">
        <v>44525.0</v>
      </c>
      <c r="AE292" s="160"/>
      <c r="AF292" s="288"/>
      <c r="AG292" s="160"/>
      <c r="AH292" s="288"/>
      <c r="AI292" s="288"/>
      <c r="AJ292" s="288"/>
      <c r="AK292" s="165" t="s">
        <v>1717</v>
      </c>
      <c r="AL292" s="165" t="s">
        <v>1911</v>
      </c>
      <c r="AM292" s="288"/>
      <c r="AN292" s="288"/>
      <c r="AO292" s="288"/>
      <c r="AP292" s="150" t="s">
        <v>2663</v>
      </c>
      <c r="AQ292" s="288"/>
    </row>
    <row r="293">
      <c r="A293" s="244" t="s">
        <v>3422</v>
      </c>
      <c r="B293" s="244" t="s">
        <v>3423</v>
      </c>
      <c r="C293" s="175" t="str">
        <f>VLOOKUP(A293,Import!A:C,3,false)</f>
        <v>DOĞRU</v>
      </c>
      <c r="D293" s="320" t="s">
        <v>2684</v>
      </c>
      <c r="E293" s="280">
        <f>VLOOKUP(A293,Import!A:J,5,0)</f>
        <v>3893</v>
      </c>
      <c r="F293" s="280">
        <f>VLOOKUP(A293,Import!A:J,6,0)</f>
        <v>103</v>
      </c>
      <c r="G293" s="289">
        <f>VLOOKUP(A293,Import!A:J,7,0)</f>
        <v>25</v>
      </c>
      <c r="H293" s="289">
        <f>VLOOKUP(A293,Import!A:J,8,0)</f>
        <v>6</v>
      </c>
      <c r="I293" s="289">
        <f>VLOOKUP(A293,Import!A:J,9,0)</f>
        <v>31</v>
      </c>
      <c r="J293" s="282">
        <f>VLOOKUP(A293,Import!A:J,10,0)</f>
        <v>0.81</v>
      </c>
      <c r="K293" s="244" t="str">
        <f>VLOOKUP(A293,Import!A:P,11,0)</f>
        <v>SERVET KESKİN</v>
      </c>
      <c r="L293" s="321">
        <v>5.320570294E9</v>
      </c>
      <c r="M293" s="320" t="s">
        <v>2666</v>
      </c>
      <c r="N293" s="320" t="s">
        <v>2721</v>
      </c>
      <c r="O293" s="320" t="s">
        <v>3424</v>
      </c>
      <c r="P293" s="244" t="str">
        <f>VLOOKUP(A293,Import!A:P,16,0)</f>
        <v>Geleneksel</v>
      </c>
      <c r="Q293" s="322" t="s">
        <v>2760</v>
      </c>
      <c r="R293" s="323" t="b">
        <v>1</v>
      </c>
      <c r="S293" s="323" t="b">
        <v>1</v>
      </c>
      <c r="T293" s="325"/>
      <c r="U293" s="325"/>
      <c r="V293" s="325"/>
      <c r="W293" s="325" t="s">
        <v>3425</v>
      </c>
      <c r="X293" s="327"/>
      <c r="Y293" s="327"/>
      <c r="Z293" s="288"/>
      <c r="AA293" s="165" t="s">
        <v>2699</v>
      </c>
      <c r="AB293" s="295">
        <v>44502.0</v>
      </c>
      <c r="AC293" s="165" t="s">
        <v>2699</v>
      </c>
      <c r="AD293" s="295">
        <v>44525.0</v>
      </c>
      <c r="AE293" s="160"/>
      <c r="AF293" s="288"/>
      <c r="AG293" s="160"/>
      <c r="AH293" s="288"/>
      <c r="AI293" s="288"/>
      <c r="AJ293" s="288"/>
      <c r="AK293" s="165" t="s">
        <v>1791</v>
      </c>
      <c r="AL293" s="165" t="s">
        <v>1911</v>
      </c>
      <c r="AM293" s="288"/>
      <c r="AN293" s="288"/>
      <c r="AO293" s="288"/>
      <c r="AP293" s="150" t="s">
        <v>2663</v>
      </c>
      <c r="AQ293" s="288"/>
    </row>
    <row r="294">
      <c r="A294" s="150" t="s">
        <v>677</v>
      </c>
      <c r="B294" s="150" t="s">
        <v>678</v>
      </c>
      <c r="C294" s="175" t="str">
        <f>VLOOKUP(A294,Import!A:C,3,false)</f>
        <v>DOĞRU</v>
      </c>
      <c r="D294" s="150" t="s">
        <v>2751</v>
      </c>
      <c r="E294" s="280">
        <f>VLOOKUP(A294,Import!A:J,5,0)</f>
        <v>1973</v>
      </c>
      <c r="F294" s="280">
        <f>VLOOKUP(A294,Import!A:J,6,0)</f>
        <v>95</v>
      </c>
      <c r="G294" s="289">
        <f>VLOOKUP(A294,Import!A:J,7,0)</f>
        <v>56</v>
      </c>
      <c r="H294" s="289">
        <f>VLOOKUP(A294,Import!A:J,8,0)</f>
        <v>22</v>
      </c>
      <c r="I294" s="289">
        <f>VLOOKUP(A294,Import!A:J,9,0)</f>
        <v>78</v>
      </c>
      <c r="J294" s="282">
        <f>VLOOKUP(A294,Import!A:J,10,0)</f>
        <v>0.72</v>
      </c>
      <c r="K294" s="244" t="str">
        <f>VLOOKUP(A294,Import!A:P,11,0)</f>
        <v>Utku Harman</v>
      </c>
      <c r="L294" s="150">
        <v>5.452260237E9</v>
      </c>
      <c r="M294" s="150" t="s">
        <v>1450</v>
      </c>
      <c r="N294" s="150" t="s">
        <v>2716</v>
      </c>
      <c r="O294" s="150" t="s">
        <v>680</v>
      </c>
      <c r="P294" s="244" t="str">
        <f>VLOOKUP(A294,Import!A:P,16,0)</f>
        <v>Geleneksel</v>
      </c>
      <c r="Q294" s="291" t="s">
        <v>2713</v>
      </c>
      <c r="R294" s="292" t="b">
        <v>1</v>
      </c>
      <c r="S294" s="293" t="b">
        <v>0</v>
      </c>
      <c r="T294" s="149" t="s">
        <v>2661</v>
      </c>
      <c r="U294" s="149" t="s">
        <v>1791</v>
      </c>
      <c r="V294" s="311" t="s">
        <v>1609</v>
      </c>
      <c r="W294" s="149" t="s">
        <v>3426</v>
      </c>
      <c r="X294" s="294">
        <v>44509.0</v>
      </c>
      <c r="Y294" s="294">
        <v>44510.0</v>
      </c>
      <c r="Z294" s="288"/>
      <c r="AA294" s="165" t="s">
        <v>2669</v>
      </c>
      <c r="AB294" s="295">
        <v>44483.0</v>
      </c>
      <c r="AC294" s="165" t="s">
        <v>2772</v>
      </c>
      <c r="AD294" s="295">
        <v>44487.0</v>
      </c>
      <c r="AE294" s="165" t="s">
        <v>2669</v>
      </c>
      <c r="AF294" s="295">
        <v>44509.0</v>
      </c>
      <c r="AG294" s="165" t="s">
        <v>2688</v>
      </c>
      <c r="AH294" s="295">
        <v>44550.0</v>
      </c>
      <c r="AI294" s="288"/>
      <c r="AJ294" s="288"/>
      <c r="AK294" s="165" t="s">
        <v>943</v>
      </c>
      <c r="AL294" s="165" t="s">
        <v>1715</v>
      </c>
      <c r="AM294" s="165" t="s">
        <v>1791</v>
      </c>
      <c r="AN294" s="165" t="s">
        <v>1791</v>
      </c>
      <c r="AO294" s="288"/>
      <c r="AP294" s="150" t="s">
        <v>2663</v>
      </c>
      <c r="AQ294" s="288"/>
    </row>
    <row r="295">
      <c r="A295" s="150" t="s">
        <v>3427</v>
      </c>
      <c r="B295" s="150" t="s">
        <v>3428</v>
      </c>
      <c r="C295" s="175" t="str">
        <f>VLOOKUP(A295,Import!A:C,3,false)</f>
        <v>DOĞRU</v>
      </c>
      <c r="D295" s="150" t="s">
        <v>2724</v>
      </c>
      <c r="E295" s="280">
        <f>VLOOKUP(A295,Import!A:J,5,0)</f>
        <v>14537</v>
      </c>
      <c r="F295" s="280">
        <f>VLOOKUP(A295,Import!A:J,6,0)</f>
        <v>502</v>
      </c>
      <c r="G295" s="289">
        <f>VLOOKUP(A295,Import!A:J,7,0)</f>
        <v>0</v>
      </c>
      <c r="H295" s="289">
        <f>VLOOKUP(A295,Import!A:J,8,0)</f>
        <v>44</v>
      </c>
      <c r="I295" s="289">
        <f>VLOOKUP(A295,Import!A:J,9,0)</f>
        <v>44</v>
      </c>
      <c r="J295" s="282">
        <f>VLOOKUP(A295,Import!A:J,10,0)</f>
        <v>0</v>
      </c>
      <c r="K295" s="244" t="str">
        <f>VLOOKUP(A295,Import!A:P,11,0)</f>
        <v>SATIA AKSOY</v>
      </c>
      <c r="L295" s="150">
        <v>2.2223399E9</v>
      </c>
      <c r="M295" s="150" t="s">
        <v>1450</v>
      </c>
      <c r="N295" s="150" t="s">
        <v>2732</v>
      </c>
      <c r="O295" s="150" t="s">
        <v>3429</v>
      </c>
      <c r="P295" s="244" t="str">
        <f>VLOOKUP(A295,Import!A:P,16,0)</f>
        <v>Geleneksel</v>
      </c>
      <c r="Q295" s="291" t="s">
        <v>2713</v>
      </c>
      <c r="R295" s="292" t="b">
        <v>1</v>
      </c>
      <c r="S295" s="293" t="b">
        <v>0</v>
      </c>
      <c r="T295" s="149" t="s">
        <v>2714</v>
      </c>
      <c r="U295" s="296"/>
      <c r="V295" s="296"/>
      <c r="W295" s="149" t="s">
        <v>3430</v>
      </c>
      <c r="X295" s="297"/>
      <c r="Y295" s="297"/>
      <c r="Z295" s="288"/>
      <c r="AA295" s="165" t="s">
        <v>2688</v>
      </c>
      <c r="AB295" s="295">
        <v>44377.0</v>
      </c>
      <c r="AC295" s="165" t="s">
        <v>2693</v>
      </c>
      <c r="AD295" s="295">
        <v>44494.0</v>
      </c>
      <c r="AE295" s="165" t="s">
        <v>2669</v>
      </c>
      <c r="AF295" s="295">
        <v>44497.0</v>
      </c>
      <c r="AG295" s="160"/>
      <c r="AH295" s="288"/>
      <c r="AI295" s="288"/>
      <c r="AJ295" s="288"/>
      <c r="AK295" s="165" t="s">
        <v>2913</v>
      </c>
      <c r="AL295" s="165" t="s">
        <v>1791</v>
      </c>
      <c r="AM295" s="165" t="s">
        <v>1715</v>
      </c>
      <c r="AN295" s="288"/>
      <c r="AO295" s="288"/>
      <c r="AP295" s="150" t="s">
        <v>2663</v>
      </c>
      <c r="AQ295" s="288"/>
    </row>
    <row r="296">
      <c r="A296" s="150" t="s">
        <v>3431</v>
      </c>
      <c r="B296" s="150" t="s">
        <v>3432</v>
      </c>
      <c r="C296" s="175" t="str">
        <f>VLOOKUP(A296,Import!A:C,3,false)</f>
        <v>DOĞRU</v>
      </c>
      <c r="D296" s="150" t="s">
        <v>2696</v>
      </c>
      <c r="E296" s="280">
        <f>VLOOKUP(A296,Import!A:J,5,0)</f>
        <v>31</v>
      </c>
      <c r="F296" s="280">
        <f>VLOOKUP(A296,Import!A:J,6,0)</f>
        <v>11</v>
      </c>
      <c r="G296" s="289">
        <f>VLOOKUP(A296,Import!A:J,7,0)</f>
        <v>0</v>
      </c>
      <c r="H296" s="289">
        <f>VLOOKUP(A296,Import!A:J,8,0)</f>
        <v>39</v>
      </c>
      <c r="I296" s="289">
        <f>VLOOKUP(A296,Import!A:J,9,0)</f>
        <v>39</v>
      </c>
      <c r="J296" s="282">
        <f>VLOOKUP(A296,Import!A:J,10,0)</f>
        <v>0</v>
      </c>
      <c r="K296" s="290" t="s">
        <v>3433</v>
      </c>
      <c r="L296" s="150">
        <v>5.327266945E9</v>
      </c>
      <c r="M296" s="150" t="s">
        <v>1450</v>
      </c>
      <c r="N296" s="150" t="s">
        <v>2732</v>
      </c>
      <c r="O296" s="150" t="s">
        <v>2579</v>
      </c>
      <c r="P296" s="244" t="str">
        <f>VLOOKUP(A296,Import!A:P,16,0)</f>
        <v>Geleneksel</v>
      </c>
      <c r="Q296" s="291"/>
      <c r="R296" s="292" t="b">
        <v>1</v>
      </c>
      <c r="S296" s="293" t="b">
        <v>0</v>
      </c>
      <c r="T296" s="149" t="s">
        <v>2770</v>
      </c>
      <c r="U296" s="296"/>
      <c r="V296" s="296"/>
      <c r="W296" s="149" t="s">
        <v>3434</v>
      </c>
      <c r="X296" s="297"/>
      <c r="Y296" s="297"/>
      <c r="Z296" s="288"/>
      <c r="AA296" s="165" t="s">
        <v>2669</v>
      </c>
      <c r="AB296" s="295">
        <v>44625.0</v>
      </c>
      <c r="AC296" s="165" t="s">
        <v>2699</v>
      </c>
      <c r="AD296" s="295">
        <v>44628.0</v>
      </c>
      <c r="AE296" s="160"/>
      <c r="AF296" s="288"/>
      <c r="AG296" s="160"/>
      <c r="AH296" s="288"/>
      <c r="AI296" s="288"/>
      <c r="AJ296" s="288"/>
      <c r="AK296" s="165" t="s">
        <v>943</v>
      </c>
      <c r="AL296" s="165" t="s">
        <v>1791</v>
      </c>
      <c r="AM296" s="288"/>
      <c r="AN296" s="288"/>
      <c r="AO296" s="165"/>
      <c r="AP296" s="150"/>
      <c r="AQ296" s="165"/>
    </row>
    <row r="297">
      <c r="A297" s="244" t="s">
        <v>483</v>
      </c>
      <c r="B297" s="244" t="s">
        <v>484</v>
      </c>
      <c r="C297" s="175" t="str">
        <f>VLOOKUP(A297,Import!A:C,3,false)</f>
        <v>DOĞRU</v>
      </c>
      <c r="D297" s="244" t="s">
        <v>2978</v>
      </c>
      <c r="E297" s="280">
        <f>VLOOKUP(A297,Import!A:J,5,0)</f>
        <v>4780</v>
      </c>
      <c r="F297" s="280">
        <f>VLOOKUP(A297,Import!A:J,6,0)</f>
        <v>148</v>
      </c>
      <c r="G297" s="289">
        <f>VLOOKUP(A297,Import!A:J,7,0)</f>
        <v>6</v>
      </c>
      <c r="H297" s="289">
        <f>VLOOKUP(A297,Import!A:J,8,0)</f>
        <v>19</v>
      </c>
      <c r="I297" s="289">
        <f>VLOOKUP(A297,Import!A:J,9,0)</f>
        <v>25</v>
      </c>
      <c r="J297" s="282">
        <f>VLOOKUP(A297,Import!A:J,10,0)</f>
        <v>0.24</v>
      </c>
      <c r="K297" s="244" t="str">
        <f>VLOOKUP(A297,Import!A:P,11,0)</f>
        <v>Hakan Taşçı</v>
      </c>
      <c r="L297" s="280">
        <v>2.22234495E9</v>
      </c>
      <c r="M297" s="244" t="s">
        <v>1450</v>
      </c>
      <c r="N297" s="244" t="s">
        <v>2716</v>
      </c>
      <c r="O297" s="244" t="s">
        <v>486</v>
      </c>
      <c r="P297" s="244" t="str">
        <f>VLOOKUP(A297,Import!A:P,16,0)</f>
        <v>Geleneksel</v>
      </c>
      <c r="Q297" s="291" t="s">
        <v>2660</v>
      </c>
      <c r="R297" s="292" t="b">
        <v>1</v>
      </c>
      <c r="S297" s="293" t="b">
        <v>0</v>
      </c>
      <c r="T297" s="165" t="s">
        <v>2688</v>
      </c>
      <c r="U297" s="165"/>
      <c r="V297" s="165" t="s">
        <v>3435</v>
      </c>
      <c r="W297" s="165" t="s">
        <v>3436</v>
      </c>
      <c r="X297" s="295">
        <v>44238.0</v>
      </c>
      <c r="Y297" s="295">
        <v>44244.0</v>
      </c>
      <c r="Z297" s="288"/>
      <c r="AA297" s="165" t="s">
        <v>2688</v>
      </c>
      <c r="AB297" s="295">
        <v>44377.0</v>
      </c>
      <c r="AC297" s="165" t="s">
        <v>2669</v>
      </c>
      <c r="AD297" s="295">
        <v>44480.0</v>
      </c>
      <c r="AE297" s="165" t="s">
        <v>2669</v>
      </c>
      <c r="AF297" s="295">
        <v>44487.0</v>
      </c>
      <c r="AG297" s="165" t="s">
        <v>2693</v>
      </c>
      <c r="AH297" s="295">
        <v>44498.0</v>
      </c>
      <c r="AI297" s="165" t="s">
        <v>2699</v>
      </c>
      <c r="AJ297" s="295">
        <v>44550.0</v>
      </c>
      <c r="AK297" s="165" t="s">
        <v>2718</v>
      </c>
      <c r="AL297" s="165" t="s">
        <v>1824</v>
      </c>
      <c r="AM297" s="165" t="s">
        <v>1715</v>
      </c>
      <c r="AN297" s="165" t="s">
        <v>1824</v>
      </c>
      <c r="AO297" s="165" t="s">
        <v>1791</v>
      </c>
      <c r="AP297" s="150" t="s">
        <v>2663</v>
      </c>
      <c r="AQ297" s="165"/>
    </row>
    <row r="298">
      <c r="A298" s="150" t="s">
        <v>3437</v>
      </c>
      <c r="B298" s="150" t="s">
        <v>3438</v>
      </c>
      <c r="C298" s="175" t="str">
        <f>VLOOKUP(A298,Import!A:C,3,false)</f>
        <v>DOĞRU</v>
      </c>
      <c r="D298" s="150" t="s">
        <v>2684</v>
      </c>
      <c r="E298" s="280">
        <f>VLOOKUP(A298,Import!A:J,5,0)</f>
        <v>209</v>
      </c>
      <c r="F298" s="280">
        <f>VLOOKUP(A298,Import!A:J,6,0)</f>
        <v>27</v>
      </c>
      <c r="G298" s="289">
        <f>VLOOKUP(A298,Import!A:J,7,0)</f>
        <v>9</v>
      </c>
      <c r="H298" s="289">
        <f>VLOOKUP(A298,Import!A:J,8,0)</f>
        <v>27</v>
      </c>
      <c r="I298" s="289">
        <f>VLOOKUP(A298,Import!A:J,9,0)</f>
        <v>36</v>
      </c>
      <c r="J298" s="282">
        <f>VLOOKUP(A298,Import!A:J,10,0)</f>
        <v>0.25</v>
      </c>
      <c r="K298" s="290" t="s">
        <v>3203</v>
      </c>
      <c r="L298" s="150">
        <v>5.013482626E9</v>
      </c>
      <c r="M298" s="150" t="s">
        <v>2666</v>
      </c>
      <c r="N298" s="150" t="s">
        <v>3000</v>
      </c>
      <c r="O298" s="150" t="s">
        <v>3439</v>
      </c>
      <c r="P298" s="244" t="str">
        <f>VLOOKUP(A298,Import!A:P,16,0)</f>
        <v>Geleneksel</v>
      </c>
      <c r="Q298" s="291"/>
      <c r="R298" s="292" t="b">
        <v>1</v>
      </c>
      <c r="S298" s="292" t="b">
        <v>1</v>
      </c>
      <c r="T298" s="149"/>
      <c r="U298" s="296"/>
      <c r="V298" s="312"/>
      <c r="W298" s="149" t="s">
        <v>3205</v>
      </c>
      <c r="X298" s="297"/>
      <c r="Y298" s="297"/>
      <c r="Z298" s="288"/>
      <c r="AA298" s="165" t="s">
        <v>2693</v>
      </c>
      <c r="AB298" s="295">
        <v>44565.0</v>
      </c>
      <c r="AC298" s="165" t="s">
        <v>2669</v>
      </c>
      <c r="AD298" s="295">
        <v>44601.0</v>
      </c>
      <c r="AE298" s="160"/>
      <c r="AF298" s="288"/>
      <c r="AG298" s="160"/>
      <c r="AH298" s="288"/>
      <c r="AI298" s="288"/>
      <c r="AJ298" s="288"/>
      <c r="AK298" s="165" t="s">
        <v>1621</v>
      </c>
      <c r="AL298" s="165" t="s">
        <v>2474</v>
      </c>
      <c r="AM298" s="288"/>
      <c r="AN298" s="288"/>
      <c r="AO298" s="165"/>
      <c r="AP298" s="150" t="s">
        <v>2663</v>
      </c>
      <c r="AQ298" s="165"/>
    </row>
    <row r="299">
      <c r="A299" s="150" t="s">
        <v>3440</v>
      </c>
      <c r="B299" s="150" t="s">
        <v>3441</v>
      </c>
      <c r="C299" s="175" t="str">
        <f>VLOOKUP(A299,Import!A:C,3,false)</f>
        <v>DOĞRU</v>
      </c>
      <c r="D299" s="150" t="s">
        <v>2684</v>
      </c>
      <c r="E299" s="280">
        <f>VLOOKUP(A299,Import!A:J,5,0)</f>
        <v>919</v>
      </c>
      <c r="F299" s="280">
        <f>VLOOKUP(A299,Import!A:J,6,0)</f>
        <v>91</v>
      </c>
      <c r="G299" s="289">
        <f>VLOOKUP(A299,Import!A:J,7,0)</f>
        <v>6</v>
      </c>
      <c r="H299" s="289">
        <f>VLOOKUP(A299,Import!A:J,8,0)</f>
        <v>29</v>
      </c>
      <c r="I299" s="289">
        <f>VLOOKUP(A299,Import!A:J,9,0)</f>
        <v>35</v>
      </c>
      <c r="J299" s="282">
        <f>VLOOKUP(A299,Import!A:J,10,0)</f>
        <v>0.17</v>
      </c>
      <c r="K299" s="290" t="s">
        <v>3203</v>
      </c>
      <c r="L299" s="150">
        <v>5.013482626E9</v>
      </c>
      <c r="M299" s="150" t="s">
        <v>2666</v>
      </c>
      <c r="N299" s="150" t="s">
        <v>2855</v>
      </c>
      <c r="O299" s="150" t="s">
        <v>3208</v>
      </c>
      <c r="P299" s="244" t="str">
        <f>VLOOKUP(A299,Import!A:P,16,0)</f>
        <v>Geleneksel</v>
      </c>
      <c r="Q299" s="291"/>
      <c r="R299" s="292" t="b">
        <v>1</v>
      </c>
      <c r="S299" s="293" t="b">
        <v>0</v>
      </c>
      <c r="T299" s="149" t="s">
        <v>2688</v>
      </c>
      <c r="U299" s="296"/>
      <c r="V299" s="296"/>
      <c r="W299" s="149" t="s">
        <v>3209</v>
      </c>
      <c r="X299" s="297"/>
      <c r="Y299" s="297"/>
      <c r="Z299" s="288"/>
      <c r="AA299" s="165" t="s">
        <v>2693</v>
      </c>
      <c r="AB299" s="295">
        <v>44524.0</v>
      </c>
      <c r="AC299" s="165" t="s">
        <v>2693</v>
      </c>
      <c r="AD299" s="295">
        <v>44524.0</v>
      </c>
      <c r="AE299" s="165" t="s">
        <v>2693</v>
      </c>
      <c r="AF299" s="295">
        <v>44530.0</v>
      </c>
      <c r="AG299" s="165" t="s">
        <v>2688</v>
      </c>
      <c r="AH299" s="295">
        <v>44548.0</v>
      </c>
      <c r="AI299" s="288"/>
      <c r="AJ299" s="288"/>
      <c r="AK299" s="165" t="s">
        <v>819</v>
      </c>
      <c r="AL299" s="165" t="s">
        <v>1717</v>
      </c>
      <c r="AM299" s="165" t="s">
        <v>1911</v>
      </c>
      <c r="AN299" s="165" t="s">
        <v>1621</v>
      </c>
      <c r="AO299" s="165"/>
      <c r="AP299" s="150" t="s">
        <v>2663</v>
      </c>
      <c r="AQ299" s="165"/>
    </row>
    <row r="300">
      <c r="A300" s="150" t="s">
        <v>2310</v>
      </c>
      <c r="B300" s="150" t="s">
        <v>2311</v>
      </c>
      <c r="C300" s="175" t="str">
        <f>VLOOKUP(A300,Import!A:C,3,false)</f>
        <v>DOĞRU</v>
      </c>
      <c r="D300" s="150" t="s">
        <v>2850</v>
      </c>
      <c r="E300" s="280">
        <f>VLOOKUP(A300,Import!A:J,5,0)</f>
        <v>586</v>
      </c>
      <c r="F300" s="280">
        <f>VLOOKUP(A300,Import!A:J,6,0)</f>
        <v>29</v>
      </c>
      <c r="G300" s="289">
        <f>VLOOKUP(A300,Import!A:J,7,0)</f>
        <v>30</v>
      </c>
      <c r="H300" s="289">
        <f>VLOOKUP(A300,Import!A:J,8,0)</f>
        <v>1</v>
      </c>
      <c r="I300" s="289">
        <f>VLOOKUP(A300,Import!A:J,9,0)</f>
        <v>31</v>
      </c>
      <c r="J300" s="282">
        <f>VLOOKUP(A300,Import!A:J,10,0)</f>
        <v>0.97</v>
      </c>
      <c r="K300" s="290" t="s">
        <v>3442</v>
      </c>
      <c r="L300" s="150">
        <v>5.525663126E9</v>
      </c>
      <c r="M300" s="150" t="s">
        <v>2666</v>
      </c>
      <c r="N300" s="150" t="s">
        <v>2682</v>
      </c>
      <c r="O300" s="150" t="s">
        <v>2313</v>
      </c>
      <c r="P300" s="244" t="str">
        <f>VLOOKUP(A300,Import!A:P,16,0)</f>
        <v>Geleneksel</v>
      </c>
      <c r="Q300" s="291"/>
      <c r="R300" s="292" t="b">
        <v>1</v>
      </c>
      <c r="S300" s="293" t="b">
        <v>0</v>
      </c>
      <c r="T300" s="149" t="s">
        <v>2661</v>
      </c>
      <c r="U300" s="149" t="s">
        <v>1715</v>
      </c>
      <c r="V300" s="296"/>
      <c r="W300" s="149"/>
      <c r="X300" s="294">
        <v>44566.0</v>
      </c>
      <c r="Y300" s="294">
        <v>44566.0</v>
      </c>
      <c r="Z300" s="288"/>
      <c r="AA300" s="165" t="s">
        <v>2669</v>
      </c>
      <c r="AB300" s="295">
        <v>44566.0</v>
      </c>
      <c r="AC300" s="288"/>
      <c r="AD300" s="288"/>
      <c r="AE300" s="160"/>
      <c r="AF300" s="288"/>
      <c r="AG300" s="160"/>
      <c r="AH300" s="288"/>
      <c r="AI300" s="288"/>
      <c r="AJ300" s="288"/>
      <c r="AK300" s="165" t="s">
        <v>1715</v>
      </c>
      <c r="AL300" s="288"/>
      <c r="AM300" s="288"/>
      <c r="AN300" s="288"/>
      <c r="AO300" s="165"/>
      <c r="AP300" s="150"/>
      <c r="AQ300" s="165"/>
    </row>
    <row r="301">
      <c r="A301" s="150" t="s">
        <v>3443</v>
      </c>
      <c r="B301" s="150" t="s">
        <v>3444</v>
      </c>
      <c r="C301" s="175" t="str">
        <f>VLOOKUP(A301,Import!A:C,3,false)</f>
        <v>DOĞRU</v>
      </c>
      <c r="D301" s="150" t="s">
        <v>2867</v>
      </c>
      <c r="E301" s="280">
        <f>VLOOKUP(A301,Import!A:J,5,0)</f>
        <v>4</v>
      </c>
      <c r="F301" s="280">
        <f>VLOOKUP(A301,Import!A:J,6,0)</f>
        <v>4</v>
      </c>
      <c r="G301" s="289">
        <f>VLOOKUP(A301,Import!A:J,7,0)</f>
        <v>0</v>
      </c>
      <c r="H301" s="289">
        <f>VLOOKUP(A301,Import!A:J,8,0)</f>
        <v>34</v>
      </c>
      <c r="I301" s="289">
        <f>VLOOKUP(A301,Import!A:J,9,0)</f>
        <v>34</v>
      </c>
      <c r="J301" s="282">
        <f>VLOOKUP(A301,Import!A:J,10,0)</f>
        <v>0</v>
      </c>
      <c r="K301" s="150" t="s">
        <v>2857</v>
      </c>
      <c r="L301" s="150">
        <v>2.2232395E9</v>
      </c>
      <c r="M301" s="150" t="s">
        <v>2666</v>
      </c>
      <c r="N301" s="150" t="s">
        <v>2855</v>
      </c>
      <c r="O301" s="150" t="s">
        <v>2056</v>
      </c>
      <c r="P301" s="244" t="str">
        <f>VLOOKUP(A301,Import!A:P,16,0)</f>
        <v>Geleneksel</v>
      </c>
      <c r="Q301" s="291"/>
      <c r="R301" s="292" t="b">
        <v>0</v>
      </c>
      <c r="S301" s="293" t="b">
        <v>0</v>
      </c>
      <c r="T301" s="149"/>
      <c r="U301" s="296"/>
      <c r="V301" s="296"/>
      <c r="W301" s="149"/>
      <c r="X301" s="297"/>
      <c r="Y301" s="297"/>
      <c r="Z301" s="288"/>
      <c r="AA301" s="165"/>
      <c r="AB301" s="295"/>
      <c r="AC301" s="288"/>
      <c r="AD301" s="288"/>
      <c r="AE301" s="160"/>
      <c r="AF301" s="288"/>
      <c r="AG301" s="160"/>
      <c r="AH301" s="288"/>
      <c r="AI301" s="288"/>
      <c r="AJ301" s="288"/>
      <c r="AK301" s="165"/>
      <c r="AL301" s="288"/>
      <c r="AM301" s="288"/>
      <c r="AN301" s="288"/>
      <c r="AO301" s="165"/>
      <c r="AP301" s="150"/>
      <c r="AQ301" s="165"/>
    </row>
    <row r="302">
      <c r="A302" s="150" t="s">
        <v>3445</v>
      </c>
      <c r="B302" s="150" t="s">
        <v>3446</v>
      </c>
      <c r="C302" s="175" t="str">
        <f>VLOOKUP(A302,Import!A:C,3,false)</f>
        <v>DOĞRU</v>
      </c>
      <c r="D302" s="162" t="s">
        <v>2684</v>
      </c>
      <c r="E302" s="280">
        <f>VLOOKUP(A302,Import!A:J,5,0)</f>
        <v>31198</v>
      </c>
      <c r="F302" s="280">
        <f>VLOOKUP(A302,Import!A:J,6,0)</f>
        <v>433</v>
      </c>
      <c r="G302" s="289">
        <f>VLOOKUP(A302,Import!A:J,7,0)</f>
        <v>8</v>
      </c>
      <c r="H302" s="289">
        <f>VLOOKUP(A302,Import!A:J,8,0)</f>
        <v>23</v>
      </c>
      <c r="I302" s="289">
        <f>VLOOKUP(A302,Import!A:J,9,0)</f>
        <v>31</v>
      </c>
      <c r="J302" s="282">
        <f>VLOOKUP(A302,Import!A:J,10,0)</f>
        <v>0.26</v>
      </c>
      <c r="K302" s="244" t="str">
        <f>VLOOKUP(A302,Import!A:P,11,0)</f>
        <v>Selçuk Yeni</v>
      </c>
      <c r="L302" s="162">
        <v>2.223353344E9</v>
      </c>
      <c r="M302" s="162" t="s">
        <v>2666</v>
      </c>
      <c r="N302" s="162" t="s">
        <v>2682</v>
      </c>
      <c r="O302" s="162" t="s">
        <v>3447</v>
      </c>
      <c r="P302" s="244" t="str">
        <f>VLOOKUP(A302,Import!A:P,16,0)</f>
        <v>Geleneksel</v>
      </c>
      <c r="Q302" s="284" t="s">
        <v>2713</v>
      </c>
      <c r="R302" s="285" t="b">
        <v>1</v>
      </c>
      <c r="S302" s="285" t="b">
        <v>0</v>
      </c>
      <c r="T302" s="358"/>
      <c r="U302" s="358"/>
      <c r="V302" s="358"/>
      <c r="W302" s="145" t="s">
        <v>3448</v>
      </c>
      <c r="X302" s="359"/>
      <c r="Y302" s="359"/>
      <c r="Z302" s="288"/>
      <c r="AA302" s="288"/>
      <c r="AB302" s="288"/>
      <c r="AC302" s="288"/>
      <c r="AD302" s="288"/>
      <c r="AE302" s="160"/>
      <c r="AF302" s="288"/>
      <c r="AG302" s="160"/>
      <c r="AH302" s="288"/>
      <c r="AI302" s="288"/>
      <c r="AJ302" s="288"/>
      <c r="AK302" s="288"/>
      <c r="AL302" s="288"/>
      <c r="AM302" s="288"/>
      <c r="AN302" s="288"/>
      <c r="AO302" s="288"/>
      <c r="AP302" s="150" t="s">
        <v>2663</v>
      </c>
      <c r="AQ302" s="288"/>
    </row>
    <row r="303">
      <c r="A303" s="150" t="s">
        <v>3449</v>
      </c>
      <c r="B303" s="150" t="s">
        <v>3450</v>
      </c>
      <c r="C303" s="175" t="str">
        <f>VLOOKUP(A303,Import!A:C,3,false)</f>
        <v>DOĞRU</v>
      </c>
      <c r="D303" s="162" t="s">
        <v>2684</v>
      </c>
      <c r="E303" s="280">
        <f>VLOOKUP(A303,Import!A:J,5,0)</f>
        <v>10845</v>
      </c>
      <c r="F303" s="280">
        <f>VLOOKUP(A303,Import!A:J,6,0)</f>
        <v>166</v>
      </c>
      <c r="G303" s="289">
        <f>VLOOKUP(A303,Import!A:J,7,0)</f>
        <v>0</v>
      </c>
      <c r="H303" s="289">
        <f>VLOOKUP(A303,Import!A:J,8,0)</f>
        <v>18</v>
      </c>
      <c r="I303" s="289">
        <f>VLOOKUP(A303,Import!A:J,9,0)</f>
        <v>18</v>
      </c>
      <c r="J303" s="282">
        <f>VLOOKUP(A303,Import!A:J,10,0)</f>
        <v>0</v>
      </c>
      <c r="K303" s="244" t="str">
        <f>VLOOKUP(A303,Import!A:P,11,0)</f>
        <v>AKIN KORAY HAN</v>
      </c>
      <c r="L303" s="162">
        <v>2.222399696E9</v>
      </c>
      <c r="M303" s="162" t="s">
        <v>1450</v>
      </c>
      <c r="N303" s="162" t="s">
        <v>2732</v>
      </c>
      <c r="O303" s="162" t="s">
        <v>3451</v>
      </c>
      <c r="P303" s="244" t="str">
        <f>VLOOKUP(A303,Import!A:P,16,0)</f>
        <v>Geleneksel</v>
      </c>
      <c r="Q303" s="284" t="s">
        <v>2713</v>
      </c>
      <c r="R303" s="285" t="b">
        <v>1</v>
      </c>
      <c r="S303" s="285" t="b">
        <v>1</v>
      </c>
      <c r="T303" s="145" t="s">
        <v>2925</v>
      </c>
      <c r="U303" s="358"/>
      <c r="V303" s="358"/>
      <c r="W303" s="358"/>
      <c r="X303" s="359"/>
      <c r="Y303" s="359"/>
      <c r="Z303" s="288"/>
      <c r="AA303" s="165" t="s">
        <v>2669</v>
      </c>
      <c r="AB303" s="295">
        <v>44547.0</v>
      </c>
      <c r="AC303" s="288"/>
      <c r="AD303" s="288"/>
      <c r="AE303" s="160"/>
      <c r="AF303" s="288"/>
      <c r="AG303" s="160"/>
      <c r="AH303" s="288"/>
      <c r="AI303" s="288"/>
      <c r="AJ303" s="288"/>
      <c r="AK303" s="165" t="s">
        <v>1971</v>
      </c>
      <c r="AL303" s="288"/>
      <c r="AM303" s="288"/>
      <c r="AN303" s="288"/>
      <c r="AO303" s="288"/>
      <c r="AP303" s="150" t="s">
        <v>2663</v>
      </c>
      <c r="AQ303" s="288"/>
    </row>
    <row r="304">
      <c r="A304" s="150" t="s">
        <v>2525</v>
      </c>
      <c r="B304" s="150" t="s">
        <v>2526</v>
      </c>
      <c r="C304" s="175" t="str">
        <f>VLOOKUP(A304,Import!A:C,3,false)</f>
        <v>DOĞRU</v>
      </c>
      <c r="D304" s="150" t="s">
        <v>2684</v>
      </c>
      <c r="E304" s="280">
        <f>VLOOKUP(A304,Import!A:J,5,0)</f>
        <v>76</v>
      </c>
      <c r="F304" s="280">
        <f>VLOOKUP(A304,Import!A:J,6,0)</f>
        <v>24</v>
      </c>
      <c r="G304" s="289">
        <f>VLOOKUP(A304,Import!A:J,7,0)</f>
        <v>1</v>
      </c>
      <c r="H304" s="289">
        <f>VLOOKUP(A304,Import!A:J,8,0)</f>
        <v>14</v>
      </c>
      <c r="I304" s="289">
        <f>VLOOKUP(A304,Import!A:J,9,0)</f>
        <v>15</v>
      </c>
      <c r="J304" s="282">
        <f>VLOOKUP(A304,Import!A:J,10,0)</f>
        <v>0.07</v>
      </c>
      <c r="K304" s="290" t="s">
        <v>3452</v>
      </c>
      <c r="L304" s="150">
        <v>5.367094081E9</v>
      </c>
      <c r="M304" s="150" t="s">
        <v>2666</v>
      </c>
      <c r="N304" s="150" t="s">
        <v>2682</v>
      </c>
      <c r="O304" s="150" t="s">
        <v>2528</v>
      </c>
      <c r="P304" s="244" t="str">
        <f>VLOOKUP(A304,Import!A:P,16,0)</f>
        <v>Geleneksel</v>
      </c>
      <c r="Q304" s="291"/>
      <c r="R304" s="292" t="b">
        <v>1</v>
      </c>
      <c r="S304" s="293" t="b">
        <v>0</v>
      </c>
      <c r="T304" s="149" t="s">
        <v>2661</v>
      </c>
      <c r="U304" s="149" t="s">
        <v>943</v>
      </c>
      <c r="V304" s="356" t="s">
        <v>1609</v>
      </c>
      <c r="W304" s="149"/>
      <c r="X304" s="294">
        <v>44622.0</v>
      </c>
      <c r="Y304" s="294">
        <v>44623.0</v>
      </c>
      <c r="Z304" s="288"/>
      <c r="AA304" s="165" t="s">
        <v>2669</v>
      </c>
      <c r="AB304" s="295">
        <v>44622.0</v>
      </c>
      <c r="AC304" s="288"/>
      <c r="AD304" s="288"/>
      <c r="AE304" s="160"/>
      <c r="AF304" s="288"/>
      <c r="AG304" s="160"/>
      <c r="AH304" s="288"/>
      <c r="AI304" s="288"/>
      <c r="AJ304" s="288"/>
      <c r="AK304" s="165" t="s">
        <v>943</v>
      </c>
      <c r="AL304" s="288"/>
      <c r="AM304" s="288"/>
      <c r="AN304" s="288"/>
      <c r="AO304" s="165"/>
      <c r="AP304" s="150"/>
      <c r="AQ304" s="165"/>
    </row>
    <row r="305">
      <c r="A305" s="244" t="s">
        <v>646</v>
      </c>
      <c r="B305" s="244" t="s">
        <v>647</v>
      </c>
      <c r="C305" s="175" t="str">
        <f>VLOOKUP(A305,Import!A:C,3,false)</f>
        <v>DOĞRU</v>
      </c>
      <c r="D305" s="244" t="s">
        <v>2672</v>
      </c>
      <c r="E305" s="280">
        <f>VLOOKUP(A305,Import!A:J,5,0)</f>
        <v>9545</v>
      </c>
      <c r="F305" s="280">
        <f>VLOOKUP(A305,Import!A:J,6,0)</f>
        <v>227</v>
      </c>
      <c r="G305" s="289">
        <f>VLOOKUP(A305,Import!A:J,7,0)</f>
        <v>14</v>
      </c>
      <c r="H305" s="289">
        <f>VLOOKUP(A305,Import!A:J,8,0)</f>
        <v>36</v>
      </c>
      <c r="I305" s="289">
        <f>VLOOKUP(A305,Import!A:J,9,0)</f>
        <v>50</v>
      </c>
      <c r="J305" s="282">
        <f>VLOOKUP(A305,Import!A:J,10,0)</f>
        <v>0.28</v>
      </c>
      <c r="K305" s="244" t="str">
        <f>VLOOKUP(A305,Import!A:P,11,0)</f>
        <v>Gulhan Celiker</v>
      </c>
      <c r="L305" s="280">
        <v>2.22221001E9</v>
      </c>
      <c r="M305" s="244" t="s">
        <v>1450</v>
      </c>
      <c r="N305" s="244" t="s">
        <v>2700</v>
      </c>
      <c r="O305" s="244" t="s">
        <v>649</v>
      </c>
      <c r="P305" s="244" t="str">
        <f>VLOOKUP(A305,Import!A:P,16,0)</f>
        <v>Geleneksel</v>
      </c>
      <c r="Q305" s="291" t="s">
        <v>2686</v>
      </c>
      <c r="R305" s="292" t="b">
        <v>1</v>
      </c>
      <c r="S305" s="293" t="b">
        <v>0</v>
      </c>
      <c r="T305" s="165" t="s">
        <v>2661</v>
      </c>
      <c r="U305" s="165" t="s">
        <v>2718</v>
      </c>
      <c r="V305" s="160"/>
      <c r="W305" s="165" t="s">
        <v>3453</v>
      </c>
      <c r="X305" s="295">
        <v>44377.0</v>
      </c>
      <c r="Y305" s="295">
        <v>44385.0</v>
      </c>
      <c r="Z305" s="288"/>
      <c r="AA305" s="165" t="s">
        <v>2669</v>
      </c>
      <c r="AB305" s="295">
        <v>44377.0</v>
      </c>
      <c r="AC305" s="165" t="s">
        <v>2669</v>
      </c>
      <c r="AD305" s="295">
        <v>44483.0</v>
      </c>
      <c r="AE305" s="165" t="s">
        <v>2669</v>
      </c>
      <c r="AF305" s="295">
        <v>44601.0</v>
      </c>
      <c r="AG305" s="160"/>
      <c r="AH305" s="288"/>
      <c r="AI305" s="288"/>
      <c r="AJ305" s="288"/>
      <c r="AK305" s="165" t="s">
        <v>2718</v>
      </c>
      <c r="AL305" s="165" t="s">
        <v>943</v>
      </c>
      <c r="AM305" s="165" t="s">
        <v>2474</v>
      </c>
      <c r="AN305" s="288"/>
      <c r="AO305" s="288"/>
      <c r="AP305" s="150" t="s">
        <v>2663</v>
      </c>
      <c r="AQ305" s="288"/>
    </row>
    <row r="306">
      <c r="A306" s="150" t="s">
        <v>3454</v>
      </c>
      <c r="B306" s="150" t="s">
        <v>3455</v>
      </c>
      <c r="C306" s="175" t="str">
        <f>VLOOKUP(A306,Import!A:C,3,false)</f>
        <v>DOĞRU</v>
      </c>
      <c r="D306" s="150" t="s">
        <v>2664</v>
      </c>
      <c r="E306" s="280">
        <f>VLOOKUP(A306,Import!A:J,5,0)</f>
        <v>537</v>
      </c>
      <c r="F306" s="280">
        <f>VLOOKUP(A306,Import!A:J,6,0)</f>
        <v>71</v>
      </c>
      <c r="G306" s="289">
        <f>VLOOKUP(A306,Import!A:J,7,0)</f>
        <v>0</v>
      </c>
      <c r="H306" s="289">
        <f>VLOOKUP(A306,Import!A:J,8,0)</f>
        <v>20</v>
      </c>
      <c r="I306" s="289">
        <f>VLOOKUP(A306,Import!A:J,9,0)</f>
        <v>20</v>
      </c>
      <c r="J306" s="282">
        <f>VLOOKUP(A306,Import!A:J,10,0)</f>
        <v>0</v>
      </c>
      <c r="K306" s="290" t="s">
        <v>3456</v>
      </c>
      <c r="L306" s="150">
        <v>2.22221001E9</v>
      </c>
      <c r="M306" s="150" t="s">
        <v>1450</v>
      </c>
      <c r="N306" s="150" t="s">
        <v>2700</v>
      </c>
      <c r="O306" s="150" t="s">
        <v>649</v>
      </c>
      <c r="P306" s="244" t="str">
        <f>VLOOKUP(A306,Import!A:P,16,0)</f>
        <v>Geleneksel</v>
      </c>
      <c r="Q306" s="291"/>
      <c r="R306" s="292" t="b">
        <v>1</v>
      </c>
      <c r="S306" s="293" t="b">
        <v>0</v>
      </c>
      <c r="T306" s="149" t="s">
        <v>2770</v>
      </c>
      <c r="U306" s="296"/>
      <c r="V306" s="312"/>
      <c r="W306" s="149" t="s">
        <v>3457</v>
      </c>
      <c r="X306" s="297"/>
      <c r="Y306" s="297"/>
      <c r="Z306" s="288"/>
      <c r="AA306" s="165" t="s">
        <v>2669</v>
      </c>
      <c r="AB306" s="295">
        <v>44601.0</v>
      </c>
      <c r="AC306" s="165" t="s">
        <v>2669</v>
      </c>
      <c r="AD306" s="295">
        <v>44628.0</v>
      </c>
      <c r="AE306" s="160"/>
      <c r="AF306" s="288"/>
      <c r="AG306" s="160"/>
      <c r="AH306" s="288"/>
      <c r="AI306" s="288"/>
      <c r="AJ306" s="288"/>
      <c r="AK306" s="165" t="s">
        <v>2474</v>
      </c>
      <c r="AL306" s="165" t="s">
        <v>1791</v>
      </c>
      <c r="AM306" s="288"/>
      <c r="AN306" s="288"/>
      <c r="AO306" s="165"/>
      <c r="AP306" s="150"/>
      <c r="AQ306" s="165"/>
    </row>
    <row r="307">
      <c r="A307" s="150" t="s">
        <v>2542</v>
      </c>
      <c r="B307" s="150" t="s">
        <v>2543</v>
      </c>
      <c r="C307" s="175" t="str">
        <f>VLOOKUP(A307,Import!A:C,3,false)</f>
        <v>DOĞRU</v>
      </c>
      <c r="D307" s="150" t="s">
        <v>2696</v>
      </c>
      <c r="E307" s="280">
        <f>VLOOKUP(A307,Import!A:J,5,0)</f>
        <v>674</v>
      </c>
      <c r="F307" s="280">
        <f>VLOOKUP(A307,Import!A:J,6,0)</f>
        <v>80</v>
      </c>
      <c r="G307" s="289">
        <f>VLOOKUP(A307,Import!A:J,7,0)</f>
        <v>6</v>
      </c>
      <c r="H307" s="289">
        <f>VLOOKUP(A307,Import!A:J,8,0)</f>
        <v>24</v>
      </c>
      <c r="I307" s="289">
        <f>VLOOKUP(A307,Import!A:J,9,0)</f>
        <v>30</v>
      </c>
      <c r="J307" s="282">
        <f>VLOOKUP(A307,Import!A:J,10,0)</f>
        <v>0.2</v>
      </c>
      <c r="K307" s="290" t="s">
        <v>3458</v>
      </c>
      <c r="L307" s="150">
        <v>2.223232321E9</v>
      </c>
      <c r="M307" s="150" t="s">
        <v>2666</v>
      </c>
      <c r="N307" s="150" t="s">
        <v>2774</v>
      </c>
      <c r="O307" s="150" t="s">
        <v>2545</v>
      </c>
      <c r="P307" s="244" t="str">
        <f>VLOOKUP(A307,Import!A:P,16,0)</f>
        <v>Geleneksel</v>
      </c>
      <c r="Q307" s="291"/>
      <c r="R307" s="292" t="b">
        <v>1</v>
      </c>
      <c r="S307" s="293" t="b">
        <v>0</v>
      </c>
      <c r="T307" s="149" t="s">
        <v>2661</v>
      </c>
      <c r="U307" s="149" t="s">
        <v>943</v>
      </c>
      <c r="V307" s="356" t="s">
        <v>1609</v>
      </c>
      <c r="X307" s="294">
        <v>44622.0</v>
      </c>
      <c r="Y307" s="294">
        <v>44624.0</v>
      </c>
      <c r="Z307" s="288"/>
      <c r="AA307" s="165" t="s">
        <v>2699</v>
      </c>
      <c r="AB307" s="295">
        <v>44596.0</v>
      </c>
      <c r="AC307" s="165" t="s">
        <v>2669</v>
      </c>
      <c r="AD307" s="295">
        <v>44622.0</v>
      </c>
      <c r="AE307" s="160"/>
      <c r="AF307" s="288"/>
      <c r="AG307" s="160"/>
      <c r="AH307" s="288"/>
      <c r="AI307" s="288"/>
      <c r="AJ307" s="288"/>
      <c r="AK307" s="165" t="s">
        <v>819</v>
      </c>
      <c r="AL307" s="165" t="s">
        <v>943</v>
      </c>
      <c r="AM307" s="288"/>
      <c r="AN307" s="288"/>
      <c r="AO307" s="165"/>
      <c r="AP307" s="150"/>
      <c r="AQ307" s="165"/>
    </row>
    <row r="308">
      <c r="A308" s="150" t="s">
        <v>1918</v>
      </c>
      <c r="B308" s="150" t="s">
        <v>1919</v>
      </c>
      <c r="C308" s="175" t="str">
        <f>VLOOKUP(A308,Import!A:C,3,false)</f>
        <v>DOĞRU</v>
      </c>
      <c r="D308" s="150" t="s">
        <v>2763</v>
      </c>
      <c r="E308" s="280">
        <f>VLOOKUP(A308,Import!A:J,5,0)</f>
        <v>1562</v>
      </c>
      <c r="F308" s="280">
        <f>VLOOKUP(A308,Import!A:J,6,0)</f>
        <v>80</v>
      </c>
      <c r="G308" s="289">
        <f>VLOOKUP(A308,Import!A:J,7,0)</f>
        <v>9</v>
      </c>
      <c r="H308" s="289">
        <f>VLOOKUP(A308,Import!A:J,8,0)</f>
        <v>9</v>
      </c>
      <c r="I308" s="289">
        <f>VLOOKUP(A308,Import!A:J,9,0)</f>
        <v>18</v>
      </c>
      <c r="J308" s="282">
        <f>VLOOKUP(A308,Import!A:J,10,0)</f>
        <v>0.5</v>
      </c>
      <c r="K308" s="244" t="str">
        <f>VLOOKUP(A308,Import!A:P,11,0)</f>
        <v>Mahmut Yücebaş</v>
      </c>
      <c r="L308" s="150">
        <v>5.376746287E9</v>
      </c>
      <c r="M308" s="150" t="s">
        <v>2666</v>
      </c>
      <c r="N308" s="150" t="s">
        <v>2809</v>
      </c>
      <c r="O308" s="150" t="s">
        <v>1922</v>
      </c>
      <c r="P308" s="244" t="str">
        <f>VLOOKUP(A308,Import!A:P,16,0)</f>
        <v>Geleneksel</v>
      </c>
      <c r="Q308" s="291"/>
      <c r="R308" s="292" t="b">
        <v>1</v>
      </c>
      <c r="S308" s="293" t="b">
        <v>0</v>
      </c>
      <c r="T308" s="149" t="s">
        <v>2661</v>
      </c>
      <c r="U308" s="149" t="s">
        <v>1911</v>
      </c>
      <c r="V308" s="149" t="s">
        <v>2958</v>
      </c>
      <c r="W308" s="149" t="s">
        <v>3459</v>
      </c>
      <c r="X308" s="294">
        <v>44511.0</v>
      </c>
      <c r="Y308" s="294">
        <v>44515.0</v>
      </c>
      <c r="Z308" s="288"/>
      <c r="AA308" s="165" t="s">
        <v>2669</v>
      </c>
      <c r="AB308" s="295">
        <v>44511.0</v>
      </c>
      <c r="AC308" s="288"/>
      <c r="AD308" s="288"/>
      <c r="AE308" s="160"/>
      <c r="AF308" s="288"/>
      <c r="AG308" s="160"/>
      <c r="AH308" s="288"/>
      <c r="AI308" s="288"/>
      <c r="AJ308" s="288"/>
      <c r="AK308" s="165" t="s">
        <v>1911</v>
      </c>
      <c r="AL308" s="288"/>
      <c r="AM308" s="288"/>
      <c r="AN308" s="288"/>
      <c r="AO308" s="288"/>
      <c r="AP308" s="150" t="s">
        <v>2663</v>
      </c>
      <c r="AQ308" s="288"/>
    </row>
    <row r="309">
      <c r="A309" s="150" t="s">
        <v>3460</v>
      </c>
      <c r="B309" s="150" t="s">
        <v>3461</v>
      </c>
      <c r="C309" s="175" t="str">
        <f>VLOOKUP(A309,Import!A:C,3,false)</f>
        <v>DOĞRU</v>
      </c>
      <c r="D309" s="150" t="s">
        <v>2763</v>
      </c>
      <c r="E309" s="280">
        <f>VLOOKUP(A309,Import!A:J,5,0)</f>
        <v>445</v>
      </c>
      <c r="F309" s="280" t="str">
        <f>VLOOKUP(A309,Import!A:J,6,0)</f>
        <v/>
      </c>
      <c r="G309" s="289">
        <f>VLOOKUP(A309,Import!A:J,7,0)</f>
        <v>0</v>
      </c>
      <c r="H309" s="289">
        <f>VLOOKUP(A309,Import!A:J,8,0)</f>
        <v>12</v>
      </c>
      <c r="I309" s="289">
        <f>VLOOKUP(A309,Import!A:J,9,0)</f>
        <v>12</v>
      </c>
      <c r="J309" s="282">
        <f>VLOOKUP(A309,Import!A:J,10,0)</f>
        <v>0</v>
      </c>
      <c r="K309" s="244" t="str">
        <f>VLOOKUP(A309,Import!A:P,11,0)</f>
        <v>Ümit Kesik</v>
      </c>
      <c r="L309" s="150">
        <v>5.43334896E9</v>
      </c>
      <c r="M309" s="150" t="s">
        <v>1450</v>
      </c>
      <c r="N309" s="150" t="s">
        <v>2950</v>
      </c>
      <c r="O309" s="150" t="s">
        <v>2951</v>
      </c>
      <c r="P309" s="244" t="str">
        <f>VLOOKUP(A309,Import!A:P,16,0)</f>
        <v>Geleneksel</v>
      </c>
      <c r="Q309" s="291" t="s">
        <v>2760</v>
      </c>
      <c r="R309" s="292" t="b">
        <v>1</v>
      </c>
      <c r="S309" s="293" t="b">
        <v>0</v>
      </c>
      <c r="T309" s="149" t="s">
        <v>2714</v>
      </c>
      <c r="U309" s="296"/>
      <c r="V309" s="296"/>
      <c r="W309" s="149" t="s">
        <v>3462</v>
      </c>
      <c r="X309" s="297"/>
      <c r="Y309" s="297"/>
      <c r="Z309" s="288"/>
      <c r="AA309" s="165" t="s">
        <v>2693</v>
      </c>
      <c r="AB309" s="295">
        <v>44377.0</v>
      </c>
      <c r="AC309" s="165" t="s">
        <v>2669</v>
      </c>
      <c r="AD309" s="295">
        <v>44561.0</v>
      </c>
      <c r="AE309" s="160"/>
      <c r="AF309" s="288"/>
      <c r="AG309" s="160"/>
      <c r="AH309" s="288"/>
      <c r="AI309" s="288"/>
      <c r="AJ309" s="288"/>
      <c r="AK309" s="165" t="s">
        <v>2913</v>
      </c>
      <c r="AL309" s="165" t="s">
        <v>1715</v>
      </c>
      <c r="AM309" s="288"/>
      <c r="AN309" s="288"/>
      <c r="AO309" s="288"/>
      <c r="AP309" s="150" t="s">
        <v>2663</v>
      </c>
      <c r="AQ309" s="288"/>
    </row>
    <row r="310">
      <c r="A310" s="244" t="s">
        <v>1587</v>
      </c>
      <c r="B310" s="244" t="s">
        <v>1588</v>
      </c>
      <c r="C310" s="175" t="str">
        <f>VLOOKUP(A310,Import!A:C,3,false)</f>
        <v>DOĞRU</v>
      </c>
      <c r="D310" s="372" t="s">
        <v>2845</v>
      </c>
      <c r="E310" s="280">
        <f>VLOOKUP(A310,Import!A:J,5,0)</f>
        <v>4061</v>
      </c>
      <c r="F310" s="280">
        <f>VLOOKUP(A310,Import!A:J,6,0)</f>
        <v>50</v>
      </c>
      <c r="G310" s="289">
        <f>VLOOKUP(A310,Import!A:J,7,0)</f>
        <v>8</v>
      </c>
      <c r="H310" s="289">
        <f>VLOOKUP(A310,Import!A:J,8,0)</f>
        <v>4</v>
      </c>
      <c r="I310" s="289">
        <f>VLOOKUP(A310,Import!A:J,9,0)</f>
        <v>12</v>
      </c>
      <c r="J310" s="282">
        <f>VLOOKUP(A310,Import!A:J,10,0)</f>
        <v>0.67</v>
      </c>
      <c r="K310" s="244" t="str">
        <f>VLOOKUP(A310,Import!A:P,11,0)</f>
        <v>HASAN ALİ AYBAR</v>
      </c>
      <c r="L310" s="373">
        <v>5.44819611E9</v>
      </c>
      <c r="M310" s="372" t="s">
        <v>2666</v>
      </c>
      <c r="N310" s="372" t="s">
        <v>2667</v>
      </c>
      <c r="O310" s="372" t="s">
        <v>1591</v>
      </c>
      <c r="P310" s="244" t="str">
        <f>VLOOKUP(A310,Import!A:P,16,0)</f>
        <v>Geleneksel</v>
      </c>
      <c r="Q310" s="374" t="s">
        <v>2660</v>
      </c>
      <c r="R310" s="375" t="b">
        <v>1</v>
      </c>
      <c r="S310" s="375" t="b">
        <v>0</v>
      </c>
      <c r="T310" s="376"/>
      <c r="U310" s="376"/>
      <c r="V310" s="376"/>
      <c r="W310" s="376"/>
      <c r="X310" s="377"/>
      <c r="Y310" s="377"/>
      <c r="Z310" s="288"/>
      <c r="AA310" s="288"/>
      <c r="AB310" s="288"/>
      <c r="AC310" s="288"/>
      <c r="AD310" s="288"/>
      <c r="AE310" s="160"/>
      <c r="AF310" s="288"/>
      <c r="AG310" s="160"/>
      <c r="AH310" s="288"/>
      <c r="AI310" s="288"/>
      <c r="AJ310" s="288"/>
      <c r="AK310" s="288"/>
      <c r="AL310" s="288"/>
      <c r="AM310" s="288"/>
      <c r="AN310" s="288"/>
      <c r="AO310" s="288"/>
      <c r="AP310" s="150" t="s">
        <v>2663</v>
      </c>
      <c r="AQ310" s="288"/>
    </row>
    <row r="311">
      <c r="A311" s="150" t="s">
        <v>2229</v>
      </c>
      <c r="B311" s="150" t="s">
        <v>2230</v>
      </c>
      <c r="C311" s="175" t="str">
        <f>VLOOKUP(A311,Import!A:C,3,false)</f>
        <v>DOĞRU</v>
      </c>
      <c r="D311" s="150" t="s">
        <v>2664</v>
      </c>
      <c r="E311" s="280">
        <f>VLOOKUP(A311,Import!A:J,5,0)</f>
        <v>302</v>
      </c>
      <c r="F311" s="280">
        <f>VLOOKUP(A311,Import!A:J,6,0)</f>
        <v>57</v>
      </c>
      <c r="G311" s="289">
        <f>VLOOKUP(A311,Import!A:J,7,0)</f>
        <v>14</v>
      </c>
      <c r="H311" s="289">
        <f>VLOOKUP(A311,Import!A:J,8,0)</f>
        <v>7</v>
      </c>
      <c r="I311" s="289">
        <f>VLOOKUP(A311,Import!A:J,9,0)</f>
        <v>21</v>
      </c>
      <c r="J311" s="282">
        <f>VLOOKUP(A311,Import!A:J,10,0)</f>
        <v>0.67</v>
      </c>
      <c r="K311" s="290" t="s">
        <v>3463</v>
      </c>
      <c r="L311" s="150">
        <v>2.222398828E9</v>
      </c>
      <c r="M311" s="150" t="s">
        <v>1450</v>
      </c>
      <c r="N311" s="150" t="s">
        <v>2732</v>
      </c>
      <c r="O311" s="150" t="s">
        <v>2232</v>
      </c>
      <c r="P311" s="244" t="str">
        <f>VLOOKUP(A311,Import!A:P,16,0)</f>
        <v>Geleneksel</v>
      </c>
      <c r="Q311" s="291"/>
      <c r="R311" s="292" t="b">
        <v>1</v>
      </c>
      <c r="S311" s="293" t="b">
        <v>0</v>
      </c>
      <c r="T311" s="149" t="s">
        <v>2661</v>
      </c>
      <c r="U311" s="149" t="s">
        <v>2161</v>
      </c>
      <c r="V311" s="301" t="s">
        <v>1609</v>
      </c>
      <c r="W311" s="149">
        <v>5.456093291E9</v>
      </c>
      <c r="X311" s="294">
        <v>44552.0</v>
      </c>
      <c r="Y311" s="294">
        <v>44565.0</v>
      </c>
      <c r="Z311" s="288"/>
      <c r="AA311" s="165" t="s">
        <v>2669</v>
      </c>
      <c r="AB311" s="295">
        <v>44550.0</v>
      </c>
      <c r="AC311" s="165" t="s">
        <v>2669</v>
      </c>
      <c r="AD311" s="295">
        <v>44552.0</v>
      </c>
      <c r="AE311" s="165" t="s">
        <v>2669</v>
      </c>
      <c r="AF311" s="295">
        <v>44554.0</v>
      </c>
      <c r="AG311" s="165" t="s">
        <v>2669</v>
      </c>
      <c r="AH311" s="295">
        <v>44558.0</v>
      </c>
      <c r="AI311" s="288"/>
      <c r="AJ311" s="288"/>
      <c r="AK311" s="165" t="s">
        <v>819</v>
      </c>
      <c r="AL311" s="165" t="s">
        <v>2161</v>
      </c>
      <c r="AM311" s="165" t="s">
        <v>2161</v>
      </c>
      <c r="AN311" s="165" t="s">
        <v>2161</v>
      </c>
      <c r="AO311" s="165"/>
      <c r="AP311" s="150"/>
      <c r="AQ311" s="165"/>
    </row>
    <row r="312">
      <c r="A312" s="150" t="s">
        <v>461</v>
      </c>
      <c r="B312" s="150" t="s">
        <v>462</v>
      </c>
      <c r="C312" s="175" t="str">
        <f>VLOOKUP(A312,Import!A:C,3,false)</f>
        <v>DOĞRU</v>
      </c>
      <c r="D312" s="150" t="s">
        <v>2664</v>
      </c>
      <c r="E312" s="280">
        <f>VLOOKUP(A312,Import!A:J,5,0)</f>
        <v>12149</v>
      </c>
      <c r="F312" s="280">
        <f>VLOOKUP(A312,Import!A:J,6,0)</f>
        <v>412</v>
      </c>
      <c r="G312" s="289">
        <f>VLOOKUP(A312,Import!A:J,7,0)</f>
        <v>22</v>
      </c>
      <c r="H312" s="289">
        <f>VLOOKUP(A312,Import!A:J,8,0)</f>
        <v>66</v>
      </c>
      <c r="I312" s="289">
        <f>VLOOKUP(A312,Import!A:J,9,0)</f>
        <v>88</v>
      </c>
      <c r="J312" s="282">
        <f>VLOOKUP(A312,Import!A:J,10,0)</f>
        <v>0.25</v>
      </c>
      <c r="K312" s="244" t="str">
        <f>VLOOKUP(A312,Import!A:P,11,0)</f>
        <v>ŞERİFE BURCU ÖZEGE</v>
      </c>
      <c r="L312" s="150">
        <v>5.530634999E9</v>
      </c>
      <c r="M312" s="150" t="s">
        <v>1450</v>
      </c>
      <c r="N312" s="150" t="s">
        <v>2732</v>
      </c>
      <c r="O312" s="150" t="s">
        <v>464</v>
      </c>
      <c r="P312" s="244" t="str">
        <f>VLOOKUP(A312,Import!A:P,16,0)</f>
        <v>Geleneksel</v>
      </c>
      <c r="Q312" s="291" t="s">
        <v>2713</v>
      </c>
      <c r="R312" s="292" t="b">
        <v>1</v>
      </c>
      <c r="S312" s="293" t="b">
        <v>0</v>
      </c>
      <c r="T312" s="149" t="s">
        <v>2661</v>
      </c>
      <c r="U312" s="149"/>
      <c r="V312" s="149" t="s">
        <v>46</v>
      </c>
      <c r="W312" s="149" t="s">
        <v>3464</v>
      </c>
      <c r="X312" s="294">
        <v>44238.0</v>
      </c>
      <c r="Y312" s="294">
        <v>44244.0</v>
      </c>
      <c r="Z312" s="288"/>
      <c r="AA312" s="165" t="s">
        <v>2669</v>
      </c>
      <c r="AB312" s="295">
        <v>44488.0</v>
      </c>
      <c r="AC312" s="165" t="s">
        <v>2669</v>
      </c>
      <c r="AD312" s="295">
        <v>44495.0</v>
      </c>
      <c r="AE312" s="165" t="s">
        <v>2669</v>
      </c>
      <c r="AF312" s="295">
        <v>44641.0</v>
      </c>
      <c r="AG312" s="160"/>
      <c r="AH312" s="288"/>
      <c r="AI312" s="288"/>
      <c r="AJ312" s="288"/>
      <c r="AK312" s="165" t="s">
        <v>1717</v>
      </c>
      <c r="AL312" s="165" t="s">
        <v>819</v>
      </c>
      <c r="AM312" s="165" t="s">
        <v>1791</v>
      </c>
      <c r="AN312" s="288"/>
      <c r="AO312" s="288"/>
      <c r="AP312" s="150" t="s">
        <v>2663</v>
      </c>
      <c r="AQ312" s="288"/>
    </row>
    <row r="313">
      <c r="A313" s="150" t="s">
        <v>3465</v>
      </c>
      <c r="B313" s="150" t="s">
        <v>3466</v>
      </c>
      <c r="C313" s="175" t="str">
        <f>VLOOKUP(A313,Import!A:C,3,false)</f>
        <v>DOĞRU</v>
      </c>
      <c r="D313" s="162" t="s">
        <v>2724</v>
      </c>
      <c r="E313" s="280">
        <f>VLOOKUP(A313,Import!A:J,5,0)</f>
        <v>18291</v>
      </c>
      <c r="F313" s="280">
        <f>VLOOKUP(A313,Import!A:J,6,0)</f>
        <v>269</v>
      </c>
      <c r="G313" s="289">
        <f>VLOOKUP(A313,Import!A:J,7,0)</f>
        <v>16</v>
      </c>
      <c r="H313" s="289">
        <f>VLOOKUP(A313,Import!A:J,8,0)</f>
        <v>18</v>
      </c>
      <c r="I313" s="289">
        <f>VLOOKUP(A313,Import!A:J,9,0)</f>
        <v>34</v>
      </c>
      <c r="J313" s="282">
        <f>VLOOKUP(A313,Import!A:J,10,0)</f>
        <v>0.47</v>
      </c>
      <c r="K313" s="244" t="str">
        <f>VLOOKUP(A313,Import!A:P,11,0)</f>
        <v>AHMET MUSAB TÜRKYILMAZ</v>
      </c>
      <c r="L313" s="162">
        <v>5.46972266E9</v>
      </c>
      <c r="M313" s="162" t="s">
        <v>2666</v>
      </c>
      <c r="N313" s="162" t="s">
        <v>2855</v>
      </c>
      <c r="O313" s="162" t="s">
        <v>3467</v>
      </c>
      <c r="P313" s="244" t="str">
        <f>VLOOKUP(A313,Import!A:P,16,0)</f>
        <v>Geleneksel</v>
      </c>
      <c r="Q313" s="300" t="s">
        <v>2713</v>
      </c>
      <c r="R313" s="286" t="b">
        <v>0</v>
      </c>
      <c r="S313" s="285" t="b">
        <v>0</v>
      </c>
      <c r="T313" s="358"/>
      <c r="U313" s="358"/>
      <c r="V313" s="358"/>
      <c r="W313" s="358"/>
      <c r="X313" s="359"/>
      <c r="Y313" s="359"/>
      <c r="Z313" s="288"/>
      <c r="AA313" s="288"/>
      <c r="AB313" s="288"/>
      <c r="AC313" s="288"/>
      <c r="AD313" s="288"/>
      <c r="AE313" s="160"/>
      <c r="AF313" s="288"/>
      <c r="AG313" s="160"/>
      <c r="AH313" s="288"/>
      <c r="AI313" s="288"/>
      <c r="AJ313" s="288"/>
      <c r="AK313" s="288"/>
      <c r="AL313" s="288"/>
      <c r="AM313" s="288"/>
      <c r="AN313" s="288"/>
      <c r="AO313" s="288"/>
      <c r="AP313" s="150" t="s">
        <v>2663</v>
      </c>
      <c r="AQ313" s="288"/>
    </row>
    <row r="314">
      <c r="A314" s="150" t="s">
        <v>3468</v>
      </c>
      <c r="B314" s="150" t="s">
        <v>3469</v>
      </c>
      <c r="C314" s="175" t="str">
        <f>VLOOKUP(A314,Import!A:C,3,false)</f>
        <v>DOĞRU</v>
      </c>
      <c r="D314" s="150" t="s">
        <v>2724</v>
      </c>
      <c r="E314" s="280">
        <f>VLOOKUP(A314,Import!A:J,5,0)</f>
        <v>5911</v>
      </c>
      <c r="F314" s="280">
        <f>VLOOKUP(A314,Import!A:J,6,0)</f>
        <v>149</v>
      </c>
      <c r="G314" s="289">
        <f>VLOOKUP(A314,Import!A:J,7,0)</f>
        <v>0</v>
      </c>
      <c r="H314" s="289">
        <f>VLOOKUP(A314,Import!A:J,8,0)</f>
        <v>80</v>
      </c>
      <c r="I314" s="289">
        <f>VLOOKUP(A314,Import!A:J,9,0)</f>
        <v>80</v>
      </c>
      <c r="J314" s="282">
        <f>VLOOKUP(A314,Import!A:J,10,0)</f>
        <v>0</v>
      </c>
      <c r="K314" s="244" t="str">
        <f>VLOOKUP(A314,Import!A:P,11,0)</f>
        <v>ENGİN MEHMET AKIN</v>
      </c>
      <c r="L314" s="150">
        <v>2.223212788E9</v>
      </c>
      <c r="M314" s="150" t="s">
        <v>2666</v>
      </c>
      <c r="N314" s="150" t="s">
        <v>2721</v>
      </c>
      <c r="O314" s="150" t="s">
        <v>3470</v>
      </c>
      <c r="P314" s="244" t="str">
        <f>VLOOKUP(A314,Import!A:P,16,0)</f>
        <v>Geleneksel</v>
      </c>
      <c r="Q314" s="291" t="s">
        <v>2713</v>
      </c>
      <c r="R314" s="292" t="b">
        <v>1</v>
      </c>
      <c r="S314" s="292" t="b">
        <v>1</v>
      </c>
      <c r="T314" s="296"/>
      <c r="U314" s="296"/>
      <c r="V314" s="296"/>
      <c r="W314" s="149" t="s">
        <v>3471</v>
      </c>
      <c r="X314" s="297"/>
      <c r="Y314" s="297"/>
      <c r="Z314" s="288"/>
      <c r="AA314" s="165" t="s">
        <v>2669</v>
      </c>
      <c r="AB314" s="295">
        <v>44525.0</v>
      </c>
      <c r="AC314" s="288"/>
      <c r="AD314" s="288"/>
      <c r="AE314" s="160"/>
      <c r="AF314" s="288"/>
      <c r="AG314" s="160"/>
      <c r="AH314" s="288"/>
      <c r="AI314" s="288"/>
      <c r="AJ314" s="288"/>
      <c r="AK314" s="165" t="s">
        <v>1911</v>
      </c>
      <c r="AL314" s="288"/>
      <c r="AM314" s="288"/>
      <c r="AN314" s="288"/>
      <c r="AO314" s="288"/>
      <c r="AP314" s="150" t="s">
        <v>2663</v>
      </c>
      <c r="AQ314" s="288"/>
    </row>
    <row r="315">
      <c r="A315" s="244" t="s">
        <v>207</v>
      </c>
      <c r="B315" s="244" t="s">
        <v>208</v>
      </c>
      <c r="C315" s="175" t="str">
        <f>VLOOKUP(A315,Import!A:C,3,false)</f>
        <v>DOĞRU</v>
      </c>
      <c r="D315" s="303" t="s">
        <v>2658</v>
      </c>
      <c r="E315" s="280">
        <f>VLOOKUP(A315,Import!A:J,5,0)</f>
        <v>502</v>
      </c>
      <c r="F315" s="280" t="str">
        <f>VLOOKUP(A315,Import!A:J,6,0)</f>
        <v/>
      </c>
      <c r="G315" s="289">
        <f>VLOOKUP(A315,Import!A:J,7,0)</f>
        <v>7</v>
      </c>
      <c r="H315" s="289">
        <f>VLOOKUP(A315,Import!A:J,8,0)</f>
        <v>14</v>
      </c>
      <c r="I315" s="289">
        <f>VLOOKUP(A315,Import!A:J,9,0)</f>
        <v>21</v>
      </c>
      <c r="J315" s="282">
        <f>VLOOKUP(A315,Import!A:J,10,0)</f>
        <v>0.33</v>
      </c>
      <c r="K315" s="244" t="str">
        <f>VLOOKUP(A315,Import!A:P,11,0)</f>
        <v>Ahmet Atay</v>
      </c>
      <c r="L315" s="304">
        <v>2.222200221E9</v>
      </c>
      <c r="M315" s="303" t="s">
        <v>2666</v>
      </c>
      <c r="N315" s="303" t="s">
        <v>2667</v>
      </c>
      <c r="O315" s="303" t="s">
        <v>211</v>
      </c>
      <c r="P315" s="244" t="str">
        <f>VLOOKUP(A315,Import!A:P,16,0)</f>
        <v>Geleneksel</v>
      </c>
      <c r="Q315" s="305" t="s">
        <v>2686</v>
      </c>
      <c r="R315" s="306" t="b">
        <v>1</v>
      </c>
      <c r="S315" s="307" t="b">
        <v>0</v>
      </c>
      <c r="T315" s="309" t="s">
        <v>2661</v>
      </c>
      <c r="U315" s="309"/>
      <c r="V315" s="309" t="s">
        <v>13</v>
      </c>
      <c r="W315" s="309" t="s">
        <v>2898</v>
      </c>
      <c r="X315" s="310">
        <v>44231.0</v>
      </c>
      <c r="Y315" s="310">
        <v>44238.0</v>
      </c>
      <c r="Z315" s="288"/>
      <c r="AA315" s="288"/>
      <c r="AB315" s="288"/>
      <c r="AC315" s="288"/>
      <c r="AD315" s="288"/>
      <c r="AE315" s="160"/>
      <c r="AF315" s="288"/>
      <c r="AG315" s="160"/>
      <c r="AH315" s="288"/>
      <c r="AI315" s="288"/>
      <c r="AJ315" s="288"/>
      <c r="AK315" s="288"/>
      <c r="AL315" s="288"/>
      <c r="AM315" s="288"/>
      <c r="AN315" s="288"/>
      <c r="AO315" s="288"/>
      <c r="AP315" s="150" t="s">
        <v>2663</v>
      </c>
      <c r="AQ315" s="288"/>
    </row>
    <row r="316">
      <c r="A316" s="150" t="s">
        <v>3472</v>
      </c>
      <c r="B316" s="150" t="s">
        <v>3473</v>
      </c>
      <c r="C316" s="175" t="str">
        <f>VLOOKUP(A316,Import!A:C,3,false)</f>
        <v>YANLIŞ</v>
      </c>
      <c r="D316" s="162" t="s">
        <v>2696</v>
      </c>
      <c r="E316" s="280">
        <f>VLOOKUP(A316,Import!A:J,5,0)</f>
        <v>1005</v>
      </c>
      <c r="F316" s="280" t="str">
        <f>VLOOKUP(A316,Import!A:J,6,0)</f>
        <v/>
      </c>
      <c r="G316" s="289">
        <f>VLOOKUP(A316,Import!A:J,7,0)</f>
        <v>8</v>
      </c>
      <c r="H316" s="289">
        <f>VLOOKUP(A316,Import!A:J,8,0)</f>
        <v>36</v>
      </c>
      <c r="I316" s="289">
        <f>VLOOKUP(A316,Import!A:J,9,0)</f>
        <v>44</v>
      </c>
      <c r="J316" s="282">
        <f>VLOOKUP(A316,Import!A:J,10,0)</f>
        <v>0.18</v>
      </c>
      <c r="K316" s="244" t="str">
        <f>VLOOKUP(A316,Import!A:P,11,0)</f>
        <v>Cafer Er</v>
      </c>
      <c r="L316" s="162">
        <v>2.222205282E9</v>
      </c>
      <c r="M316" s="162" t="s">
        <v>2666</v>
      </c>
      <c r="N316" s="162" t="s">
        <v>2667</v>
      </c>
      <c r="O316" s="162" t="s">
        <v>3474</v>
      </c>
      <c r="P316" s="244" t="str">
        <f>VLOOKUP(A316,Import!A:P,16,0)</f>
        <v>Geleneksel</v>
      </c>
      <c r="Q316" s="300" t="s">
        <v>2713</v>
      </c>
      <c r="R316" s="285" t="b">
        <v>1</v>
      </c>
      <c r="S316" s="285" t="b">
        <v>0</v>
      </c>
      <c r="T316" s="358"/>
      <c r="U316" s="358"/>
      <c r="V316" s="378"/>
      <c r="W316" s="145" t="s">
        <v>3475</v>
      </c>
      <c r="X316" s="359"/>
      <c r="Y316" s="359"/>
      <c r="Z316" s="288"/>
      <c r="AA316" s="165" t="s">
        <v>2772</v>
      </c>
      <c r="AB316" s="295">
        <v>44517.0</v>
      </c>
      <c r="AC316" s="288"/>
      <c r="AD316" s="288"/>
      <c r="AE316" s="160"/>
      <c r="AF316" s="288"/>
      <c r="AG316" s="160"/>
      <c r="AH316" s="288"/>
      <c r="AI316" s="288"/>
      <c r="AJ316" s="288"/>
      <c r="AK316" s="165" t="s">
        <v>1971</v>
      </c>
      <c r="AL316" s="288"/>
      <c r="AM316" s="288"/>
      <c r="AN316" s="288"/>
      <c r="AO316" s="288"/>
      <c r="AP316" s="150" t="s">
        <v>2663</v>
      </c>
      <c r="AQ316" s="288"/>
    </row>
    <row r="317">
      <c r="A317" s="150" t="s">
        <v>3476</v>
      </c>
      <c r="B317" s="150" t="s">
        <v>3477</v>
      </c>
      <c r="C317" s="175" t="str">
        <f>VLOOKUP(A317,Import!A:C,3,false)</f>
        <v>DOĞRU</v>
      </c>
      <c r="D317" s="150" t="s">
        <v>2763</v>
      </c>
      <c r="E317" s="280">
        <f>VLOOKUP(A317,Import!A:J,5,0)</f>
        <v>10026</v>
      </c>
      <c r="F317" s="280">
        <f>VLOOKUP(A317,Import!A:J,6,0)</f>
        <v>236</v>
      </c>
      <c r="G317" s="289">
        <f>VLOOKUP(A317,Import!A:J,7,0)</f>
        <v>0</v>
      </c>
      <c r="H317" s="289">
        <f>VLOOKUP(A317,Import!A:J,8,0)</f>
        <v>45</v>
      </c>
      <c r="I317" s="289">
        <f>VLOOKUP(A317,Import!A:J,9,0)</f>
        <v>45</v>
      </c>
      <c r="J317" s="282">
        <f>VLOOKUP(A317,Import!A:J,10,0)</f>
        <v>0</v>
      </c>
      <c r="K317" s="244" t="str">
        <f>VLOOKUP(A317,Import!A:P,11,0)</f>
        <v>MEHMET YALPI</v>
      </c>
      <c r="L317" s="150">
        <v>5.544546644E9</v>
      </c>
      <c r="M317" s="150" t="s">
        <v>1450</v>
      </c>
      <c r="N317" s="150" t="s">
        <v>2795</v>
      </c>
      <c r="O317" s="150" t="s">
        <v>3478</v>
      </c>
      <c r="P317" s="244" t="str">
        <f>VLOOKUP(A317,Import!A:P,16,0)</f>
        <v>Geleneksel</v>
      </c>
      <c r="Q317" s="291" t="s">
        <v>2713</v>
      </c>
      <c r="R317" s="292" t="b">
        <v>1</v>
      </c>
      <c r="S317" s="293" t="b">
        <v>0</v>
      </c>
      <c r="T317" s="149" t="s">
        <v>2770</v>
      </c>
      <c r="U317" s="296"/>
      <c r="V317" s="296"/>
      <c r="W317" s="149" t="s">
        <v>3479</v>
      </c>
      <c r="X317" s="297"/>
      <c r="Y317" s="297"/>
      <c r="Z317" s="288"/>
      <c r="AA317" s="165" t="s">
        <v>2772</v>
      </c>
      <c r="AB317" s="295">
        <v>44377.0</v>
      </c>
      <c r="AC317" s="165" t="s">
        <v>2669</v>
      </c>
      <c r="AD317" s="295">
        <v>44496.0</v>
      </c>
      <c r="AE317" s="160"/>
      <c r="AF317" s="288"/>
      <c r="AG317" s="160"/>
      <c r="AH317" s="288"/>
      <c r="AI317" s="288"/>
      <c r="AJ317" s="288"/>
      <c r="AK317" s="165" t="s">
        <v>2913</v>
      </c>
      <c r="AL317" s="165" t="s">
        <v>1824</v>
      </c>
      <c r="AM317" s="288"/>
      <c r="AN317" s="288"/>
      <c r="AO317" s="288"/>
      <c r="AP317" s="150" t="s">
        <v>2663</v>
      </c>
      <c r="AQ317" s="288"/>
    </row>
    <row r="318">
      <c r="A318" s="150" t="s">
        <v>1976</v>
      </c>
      <c r="B318" s="150" t="s">
        <v>1977</v>
      </c>
      <c r="C318" s="175" t="str">
        <f>VLOOKUP(A318,Import!A:C,3,false)</f>
        <v>DOĞRU</v>
      </c>
      <c r="D318" s="150" t="s">
        <v>2701</v>
      </c>
      <c r="E318" s="280">
        <f>VLOOKUP(A318,Import!A:J,5,0)</f>
        <v>1335</v>
      </c>
      <c r="F318" s="280">
        <f>VLOOKUP(A318,Import!A:J,6,0)</f>
        <v>30</v>
      </c>
      <c r="G318" s="289">
        <f>VLOOKUP(A318,Import!A:J,7,0)</f>
        <v>35</v>
      </c>
      <c r="H318" s="289">
        <f>VLOOKUP(A318,Import!A:J,8,0)</f>
        <v>22</v>
      </c>
      <c r="I318" s="289">
        <f>VLOOKUP(A318,Import!A:J,9,0)</f>
        <v>57</v>
      </c>
      <c r="J318" s="282">
        <f>VLOOKUP(A318,Import!A:J,10,0)</f>
        <v>0.61</v>
      </c>
      <c r="K318" s="244" t="str">
        <f>VLOOKUP(A318,Import!A:P,11,0)</f>
        <v>Cuma Dandan</v>
      </c>
      <c r="L318" s="150">
        <v>5.457142627E9</v>
      </c>
      <c r="M318" s="150" t="s">
        <v>2666</v>
      </c>
      <c r="N318" s="150" t="s">
        <v>3000</v>
      </c>
      <c r="O318" s="150" t="s">
        <v>1979</v>
      </c>
      <c r="P318" s="244" t="str">
        <f>VLOOKUP(A318,Import!A:P,16,0)</f>
        <v>Geleneksel</v>
      </c>
      <c r="Q318" s="291"/>
      <c r="R318" s="292" t="b">
        <v>1</v>
      </c>
      <c r="S318" s="293" t="b">
        <v>0</v>
      </c>
      <c r="T318" s="149" t="s">
        <v>2661</v>
      </c>
      <c r="U318" s="149" t="s">
        <v>943</v>
      </c>
      <c r="V318" s="149" t="s">
        <v>1609</v>
      </c>
      <c r="W318" s="149" t="s">
        <v>3480</v>
      </c>
      <c r="X318" s="294">
        <v>44627.0</v>
      </c>
      <c r="Y318" s="294">
        <v>44628.0</v>
      </c>
      <c r="Z318" s="288"/>
      <c r="AA318" s="165" t="s">
        <v>2669</v>
      </c>
      <c r="AB318" s="295">
        <v>44516.0</v>
      </c>
      <c r="AC318" s="165" t="s">
        <v>2669</v>
      </c>
      <c r="AD318" s="295">
        <v>44601.0</v>
      </c>
      <c r="AE318" s="165" t="s">
        <v>2669</v>
      </c>
      <c r="AF318" s="295">
        <v>44602.0</v>
      </c>
      <c r="AG318" s="165" t="s">
        <v>2669</v>
      </c>
      <c r="AH318" s="295">
        <v>44627.0</v>
      </c>
      <c r="AI318" s="288"/>
      <c r="AJ318" s="288"/>
      <c r="AK318" s="165" t="s">
        <v>1621</v>
      </c>
      <c r="AL318" s="165" t="s">
        <v>2474</v>
      </c>
      <c r="AM318" s="165" t="s">
        <v>2474</v>
      </c>
      <c r="AN318" s="165" t="s">
        <v>943</v>
      </c>
      <c r="AO318" s="288"/>
      <c r="AP318" s="150" t="s">
        <v>2663</v>
      </c>
      <c r="AQ318" s="288"/>
    </row>
    <row r="319">
      <c r="A319" s="150" t="s">
        <v>3481</v>
      </c>
      <c r="B319" s="150" t="s">
        <v>3482</v>
      </c>
      <c r="C319" s="175" t="str">
        <f>VLOOKUP(A319,Import!A:C,3,false)</f>
        <v>DOĞRU</v>
      </c>
      <c r="D319" s="150" t="s">
        <v>2701</v>
      </c>
      <c r="E319" s="280">
        <f>VLOOKUP(A319,Import!A:J,5,0)</f>
        <v>75</v>
      </c>
      <c r="F319" s="280">
        <f>VLOOKUP(A319,Import!A:J,6,0)</f>
        <v>11</v>
      </c>
      <c r="G319" s="289">
        <f>VLOOKUP(A319,Import!A:J,7,0)</f>
        <v>0</v>
      </c>
      <c r="H319" s="289">
        <f>VLOOKUP(A319,Import!A:J,8,0)</f>
        <v>10</v>
      </c>
      <c r="I319" s="289">
        <f>VLOOKUP(A319,Import!A:J,9,0)</f>
        <v>10</v>
      </c>
      <c r="J319" s="282">
        <f>VLOOKUP(A319,Import!A:J,10,0)</f>
        <v>0</v>
      </c>
      <c r="K319" s="290" t="s">
        <v>2775</v>
      </c>
      <c r="L319" s="150">
        <v>5.456606594E9</v>
      </c>
      <c r="M319" s="150" t="s">
        <v>1450</v>
      </c>
      <c r="N319" s="150" t="s">
        <v>2776</v>
      </c>
      <c r="O319" s="150" t="s">
        <v>2395</v>
      </c>
      <c r="P319" s="244" t="str">
        <f>VLOOKUP(A319,Import!A:P,16,0)</f>
        <v>Geleneksel</v>
      </c>
      <c r="Q319" s="291"/>
      <c r="R319" s="292" t="b">
        <v>1</v>
      </c>
      <c r="S319" s="293" t="b">
        <v>0</v>
      </c>
      <c r="T319" s="149" t="s">
        <v>2734</v>
      </c>
      <c r="U319" s="296"/>
      <c r="V319" s="296"/>
      <c r="W319" s="149" t="s">
        <v>3483</v>
      </c>
      <c r="X319" s="297"/>
      <c r="Y319" s="297"/>
      <c r="Z319" s="288"/>
      <c r="AA319" s="165"/>
      <c r="AB319" s="295"/>
      <c r="AC319" s="288"/>
      <c r="AD319" s="288"/>
      <c r="AE319" s="160"/>
      <c r="AF319" s="288"/>
      <c r="AG319" s="160"/>
      <c r="AH319" s="288"/>
      <c r="AI319" s="288"/>
      <c r="AJ319" s="288"/>
      <c r="AK319" s="165"/>
      <c r="AL319" s="288"/>
      <c r="AM319" s="288"/>
      <c r="AN319" s="288"/>
      <c r="AO319" s="165"/>
      <c r="AP319" s="150"/>
      <c r="AQ319" s="165"/>
    </row>
    <row r="320">
      <c r="A320" s="150" t="s">
        <v>2291</v>
      </c>
      <c r="B320" s="150" t="s">
        <v>2292</v>
      </c>
      <c r="C320" s="175" t="str">
        <f>VLOOKUP(A320,Import!A:C,3,false)</f>
        <v>DOĞRU</v>
      </c>
      <c r="D320" s="150" t="s">
        <v>2701</v>
      </c>
      <c r="E320" s="280">
        <f>VLOOKUP(A320,Import!A:J,5,0)</f>
        <v>261</v>
      </c>
      <c r="F320" s="280">
        <f>VLOOKUP(A320,Import!A:J,6,0)</f>
        <v>25</v>
      </c>
      <c r="G320" s="289">
        <f>VLOOKUP(A320,Import!A:J,7,0)</f>
        <v>9</v>
      </c>
      <c r="H320" s="289">
        <f>VLOOKUP(A320,Import!A:J,8,0)</f>
        <v>1</v>
      </c>
      <c r="I320" s="289">
        <f>VLOOKUP(A320,Import!A:J,9,0)</f>
        <v>10</v>
      </c>
      <c r="J320" s="282">
        <f>VLOOKUP(A320,Import!A:J,10,0)</f>
        <v>0.9</v>
      </c>
      <c r="K320" s="290" t="s">
        <v>2775</v>
      </c>
      <c r="L320" s="150">
        <v>2.222399522E9</v>
      </c>
      <c r="M320" s="150" t="s">
        <v>1450</v>
      </c>
      <c r="N320" s="150" t="s">
        <v>2732</v>
      </c>
      <c r="O320" s="150" t="s">
        <v>1222</v>
      </c>
      <c r="P320" s="244" t="str">
        <f>VLOOKUP(A320,Import!A:P,16,0)</f>
        <v>Geleneksel</v>
      </c>
      <c r="Q320" s="291"/>
      <c r="R320" s="292" t="b">
        <v>1</v>
      </c>
      <c r="S320" s="293" t="b">
        <v>0</v>
      </c>
      <c r="T320" s="149" t="s">
        <v>2661</v>
      </c>
      <c r="U320" s="149" t="s">
        <v>1715</v>
      </c>
      <c r="V320" s="149" t="s">
        <v>2783</v>
      </c>
      <c r="W320" s="149" t="s">
        <v>2789</v>
      </c>
      <c r="X320" s="294">
        <v>44561.0</v>
      </c>
      <c r="Y320" s="294">
        <v>44565.0</v>
      </c>
      <c r="Z320" s="288"/>
      <c r="AA320" s="165" t="s">
        <v>2669</v>
      </c>
      <c r="AB320" s="295">
        <v>44561.0</v>
      </c>
      <c r="AC320" s="288"/>
      <c r="AD320" s="288"/>
      <c r="AE320" s="160"/>
      <c r="AF320" s="288"/>
      <c r="AG320" s="160"/>
      <c r="AH320" s="288"/>
      <c r="AI320" s="288"/>
      <c r="AJ320" s="288"/>
      <c r="AK320" s="165" t="s">
        <v>1715</v>
      </c>
      <c r="AL320" s="288"/>
      <c r="AM320" s="288"/>
      <c r="AN320" s="288"/>
      <c r="AO320" s="165"/>
      <c r="AP320" s="150"/>
      <c r="AQ320" s="165"/>
    </row>
    <row r="321">
      <c r="A321" s="150" t="s">
        <v>3484</v>
      </c>
      <c r="B321" s="150" t="s">
        <v>3485</v>
      </c>
      <c r="C321" s="175" t="str">
        <f>VLOOKUP(A321,Import!A:C,3,false)</f>
        <v>DOĞRU</v>
      </c>
      <c r="D321" s="150" t="s">
        <v>2763</v>
      </c>
      <c r="E321" s="280">
        <f>VLOOKUP(A321,Import!A:J,5,0)</f>
        <v>132</v>
      </c>
      <c r="F321" s="280">
        <f>VLOOKUP(A321,Import!A:J,6,0)</f>
        <v>28</v>
      </c>
      <c r="G321" s="289">
        <f>VLOOKUP(A321,Import!A:J,7,0)</f>
        <v>0</v>
      </c>
      <c r="H321" s="289">
        <f>VLOOKUP(A321,Import!A:J,8,0)</f>
        <v>14</v>
      </c>
      <c r="I321" s="289">
        <f>VLOOKUP(A321,Import!A:J,9,0)</f>
        <v>14</v>
      </c>
      <c r="J321" s="282">
        <f>VLOOKUP(A321,Import!A:J,10,0)</f>
        <v>0</v>
      </c>
      <c r="K321" s="290" t="s">
        <v>3486</v>
      </c>
      <c r="L321" s="150">
        <v>5.353859212E9</v>
      </c>
      <c r="M321" s="150" t="s">
        <v>1450</v>
      </c>
      <c r="N321" s="150" t="s">
        <v>2703</v>
      </c>
      <c r="O321" s="150" t="s">
        <v>3487</v>
      </c>
      <c r="P321" s="244" t="str">
        <f>VLOOKUP(A321,Import!A:P,16,0)</f>
        <v>Geleneksel</v>
      </c>
      <c r="Q321" s="291"/>
      <c r="R321" s="292" t="b">
        <v>0</v>
      </c>
      <c r="S321" s="293" t="b">
        <v>0</v>
      </c>
      <c r="T321" s="149"/>
      <c r="U321" s="296"/>
      <c r="V321" s="312"/>
      <c r="W321" s="149"/>
      <c r="X321" s="297"/>
      <c r="Y321" s="297"/>
      <c r="Z321" s="288"/>
      <c r="AA321" s="165"/>
      <c r="AB321" s="295"/>
      <c r="AC321" s="288"/>
      <c r="AD321" s="288"/>
      <c r="AE321" s="160"/>
      <c r="AF321" s="288"/>
      <c r="AG321" s="160"/>
      <c r="AH321" s="288"/>
      <c r="AI321" s="288"/>
      <c r="AJ321" s="288"/>
      <c r="AK321" s="165"/>
      <c r="AL321" s="288"/>
      <c r="AM321" s="288"/>
      <c r="AN321" s="288"/>
      <c r="AO321" s="165"/>
      <c r="AP321" s="150"/>
      <c r="AQ321" s="165"/>
    </row>
    <row r="322">
      <c r="A322" s="150" t="s">
        <v>3488</v>
      </c>
      <c r="B322" s="150" t="s">
        <v>3489</v>
      </c>
      <c r="C322" s="175" t="str">
        <f>VLOOKUP(A322,Import!A:C,3,false)</f>
        <v>DOĞRU</v>
      </c>
      <c r="D322" s="150" t="s">
        <v>2701</v>
      </c>
      <c r="E322" s="280">
        <f>VLOOKUP(A322,Import!A:J,5,0)</f>
        <v>18</v>
      </c>
      <c r="F322" s="280">
        <f>VLOOKUP(A322,Import!A:J,6,0)</f>
        <v>3</v>
      </c>
      <c r="G322" s="289">
        <f>VLOOKUP(A322,Import!A:J,7,0)</f>
        <v>0</v>
      </c>
      <c r="H322" s="289">
        <f>VLOOKUP(A322,Import!A:J,8,0)</f>
        <v>20</v>
      </c>
      <c r="I322" s="289">
        <f>VLOOKUP(A322,Import!A:J,9,0)</f>
        <v>20</v>
      </c>
      <c r="J322" s="282">
        <f>VLOOKUP(A322,Import!A:J,10,0)</f>
        <v>0</v>
      </c>
      <c r="K322" s="290" t="s">
        <v>3490</v>
      </c>
      <c r="L322" s="150">
        <v>5.307070937E9</v>
      </c>
      <c r="M322" s="150" t="s">
        <v>2666</v>
      </c>
      <c r="N322" s="150" t="s">
        <v>2879</v>
      </c>
      <c r="O322" s="150" t="s">
        <v>3491</v>
      </c>
      <c r="P322" s="244" t="str">
        <f>VLOOKUP(A322,Import!A:P,16,0)</f>
        <v>Geleneksel</v>
      </c>
      <c r="Q322" s="291"/>
      <c r="R322" s="292" t="b">
        <v>0</v>
      </c>
      <c r="S322" s="293" t="b">
        <v>0</v>
      </c>
      <c r="T322" s="149"/>
      <c r="U322" s="296"/>
      <c r="V322" s="296"/>
      <c r="W322" s="149"/>
      <c r="X322" s="297"/>
      <c r="Y322" s="297"/>
      <c r="Z322" s="288"/>
      <c r="AA322" s="165"/>
      <c r="AB322" s="295"/>
      <c r="AC322" s="288"/>
      <c r="AD322" s="288"/>
      <c r="AE322" s="160"/>
      <c r="AF322" s="288"/>
      <c r="AG322" s="160"/>
      <c r="AH322" s="288"/>
      <c r="AI322" s="288"/>
      <c r="AJ322" s="288"/>
      <c r="AK322" s="165"/>
      <c r="AL322" s="288"/>
      <c r="AM322" s="288"/>
      <c r="AN322" s="288"/>
      <c r="AO322" s="165"/>
      <c r="AP322" s="150"/>
      <c r="AQ322" s="165"/>
    </row>
    <row r="323">
      <c r="A323" s="150" t="s">
        <v>2180</v>
      </c>
      <c r="B323" s="150" t="s">
        <v>2181</v>
      </c>
      <c r="C323" s="175" t="str">
        <f>VLOOKUP(A323,Import!A:C,3,false)</f>
        <v>DOĞRU</v>
      </c>
      <c r="D323" s="150" t="s">
        <v>2696</v>
      </c>
      <c r="E323" s="280">
        <f>VLOOKUP(A323,Import!A:J,5,0)</f>
        <v>360</v>
      </c>
      <c r="F323" s="280" t="str">
        <f>VLOOKUP(A323,Import!A:J,6,0)</f>
        <v/>
      </c>
      <c r="G323" s="289">
        <f>VLOOKUP(A323,Import!A:J,7,0)</f>
        <v>9</v>
      </c>
      <c r="H323" s="289">
        <f>VLOOKUP(A323,Import!A:J,8,0)</f>
        <v>9</v>
      </c>
      <c r="I323" s="289">
        <f>VLOOKUP(A323,Import!A:J,9,0)</f>
        <v>18</v>
      </c>
      <c r="J323" s="282">
        <f>VLOOKUP(A323,Import!A:J,10,0)</f>
        <v>0.5</v>
      </c>
      <c r="K323" s="290" t="s">
        <v>3492</v>
      </c>
      <c r="L323" s="150">
        <v>2.223214046E9</v>
      </c>
      <c r="M323" s="150" t="s">
        <v>2666</v>
      </c>
      <c r="N323" s="150" t="s">
        <v>3131</v>
      </c>
      <c r="O323" s="150" t="s">
        <v>2183</v>
      </c>
      <c r="P323" s="244" t="str">
        <f>VLOOKUP(A323,Import!A:P,16,0)</f>
        <v>Geleneksel</v>
      </c>
      <c r="Q323" s="291"/>
      <c r="R323" s="292" t="b">
        <v>1</v>
      </c>
      <c r="S323" s="293" t="b">
        <v>0</v>
      </c>
      <c r="T323" s="149" t="s">
        <v>2661</v>
      </c>
      <c r="U323" s="149" t="s">
        <v>921</v>
      </c>
      <c r="V323" s="361" t="s">
        <v>1609</v>
      </c>
      <c r="W323" s="149">
        <v>5.073281525E9</v>
      </c>
      <c r="X323" s="294">
        <v>44540.0</v>
      </c>
      <c r="Y323" s="294">
        <v>44545.0</v>
      </c>
      <c r="Z323" s="288"/>
      <c r="AA323" s="165" t="s">
        <v>2669</v>
      </c>
      <c r="AB323" s="295">
        <v>44540.0</v>
      </c>
      <c r="AC323" s="288"/>
      <c r="AD323" s="288"/>
      <c r="AE323" s="160"/>
      <c r="AF323" s="288"/>
      <c r="AG323" s="160"/>
      <c r="AH323" s="288"/>
      <c r="AI323" s="288"/>
      <c r="AJ323" s="288"/>
      <c r="AK323" s="165" t="s">
        <v>921</v>
      </c>
      <c r="AL323" s="288"/>
      <c r="AM323" s="288"/>
      <c r="AN323" s="288"/>
      <c r="AO323" s="165"/>
      <c r="AP323" s="150" t="s">
        <v>2663</v>
      </c>
      <c r="AQ323" s="165"/>
    </row>
    <row r="324">
      <c r="A324" s="244" t="s">
        <v>917</v>
      </c>
      <c r="B324" s="244" t="s">
        <v>918</v>
      </c>
      <c r="C324" s="175" t="str">
        <f>VLOOKUP(A324,Import!A:C,3,false)</f>
        <v>DOĞRU</v>
      </c>
      <c r="D324" s="244" t="s">
        <v>2763</v>
      </c>
      <c r="E324" s="280">
        <f>VLOOKUP(A324,Import!A:J,5,0)</f>
        <v>1696</v>
      </c>
      <c r="F324" s="280">
        <f>VLOOKUP(A324,Import!A:J,6,0)</f>
        <v>47</v>
      </c>
      <c r="G324" s="289">
        <f>VLOOKUP(A324,Import!A:J,7,0)</f>
        <v>10</v>
      </c>
      <c r="H324" s="289">
        <f>VLOOKUP(A324,Import!A:J,8,0)</f>
        <v>7</v>
      </c>
      <c r="I324" s="289">
        <f>VLOOKUP(A324,Import!A:J,9,0)</f>
        <v>17</v>
      </c>
      <c r="J324" s="282">
        <f>VLOOKUP(A324,Import!A:J,10,0)</f>
        <v>0.59</v>
      </c>
      <c r="K324" s="244" t="str">
        <f>VLOOKUP(A324,Import!A:P,11,0)</f>
        <v>YAKUP TUNÇKAYA</v>
      </c>
      <c r="L324" s="280">
        <v>2.222344831E9</v>
      </c>
      <c r="M324" s="244" t="s">
        <v>1450</v>
      </c>
      <c r="N324" s="244" t="s">
        <v>2659</v>
      </c>
      <c r="O324" s="244" t="s">
        <v>920</v>
      </c>
      <c r="P324" s="244" t="str">
        <f>VLOOKUP(A324,Import!A:P,16,0)</f>
        <v>Geleneksel</v>
      </c>
      <c r="Q324" s="291" t="s">
        <v>2760</v>
      </c>
      <c r="R324" s="292" t="b">
        <v>1</v>
      </c>
      <c r="S324" s="292" t="b">
        <v>0</v>
      </c>
      <c r="T324" s="165" t="s">
        <v>2661</v>
      </c>
      <c r="U324" s="165"/>
      <c r="V324" s="165" t="s">
        <v>46</v>
      </c>
      <c r="W324" s="165"/>
      <c r="X324" s="295">
        <v>44256.0</v>
      </c>
      <c r="Y324" s="295">
        <v>44257.0</v>
      </c>
      <c r="Z324" s="288"/>
      <c r="AA324" s="288"/>
      <c r="AB324" s="288"/>
      <c r="AC324" s="288"/>
      <c r="AD324" s="288"/>
      <c r="AE324" s="160"/>
      <c r="AF324" s="288"/>
      <c r="AG324" s="160"/>
      <c r="AH324" s="288"/>
      <c r="AI324" s="288"/>
      <c r="AJ324" s="288"/>
      <c r="AK324" s="288"/>
      <c r="AL324" s="288"/>
      <c r="AM324" s="288"/>
      <c r="AN324" s="288"/>
      <c r="AO324" s="288"/>
      <c r="AP324" s="150" t="s">
        <v>2663</v>
      </c>
      <c r="AQ324" s="288"/>
    </row>
    <row r="325">
      <c r="A325" s="150" t="s">
        <v>2469</v>
      </c>
      <c r="B325" s="150" t="s">
        <v>2470</v>
      </c>
      <c r="C325" s="175" t="str">
        <f>VLOOKUP(A325,Import!A:C,3,false)</f>
        <v>DOĞRU</v>
      </c>
      <c r="D325" s="150" t="s">
        <v>2701</v>
      </c>
      <c r="E325" s="280">
        <f>VLOOKUP(A325,Import!A:J,5,0)</f>
        <v>1925</v>
      </c>
      <c r="F325" s="280">
        <f>VLOOKUP(A325,Import!A:J,6,0)</f>
        <v>37</v>
      </c>
      <c r="G325" s="289">
        <f>VLOOKUP(A325,Import!A:J,7,0)</f>
        <v>48</v>
      </c>
      <c r="H325" s="289">
        <f>VLOOKUP(A325,Import!A:J,8,0)</f>
        <v>14</v>
      </c>
      <c r="I325" s="289">
        <f>VLOOKUP(A325,Import!A:J,9,0)</f>
        <v>62</v>
      </c>
      <c r="J325" s="282">
        <f>VLOOKUP(A325,Import!A:J,10,0)</f>
        <v>0.77</v>
      </c>
      <c r="K325" s="244" t="str">
        <f>VLOOKUP(A325,Import!A:P,11,0)</f>
        <v>EYÜP ÖZİŞ</v>
      </c>
      <c r="L325" s="150">
        <v>5.46427959E8</v>
      </c>
      <c r="M325" s="150" t="s">
        <v>1450</v>
      </c>
      <c r="N325" s="150" t="s">
        <v>2732</v>
      </c>
      <c r="O325" s="150" t="s">
        <v>3493</v>
      </c>
      <c r="P325" s="244" t="str">
        <f>VLOOKUP(A325,Import!A:P,16,0)</f>
        <v>Geleneksel</v>
      </c>
      <c r="Q325" s="315" t="s">
        <v>2660</v>
      </c>
      <c r="R325" s="292" t="b">
        <v>1</v>
      </c>
      <c r="S325" s="292" t="b">
        <v>0</v>
      </c>
      <c r="T325" s="149" t="s">
        <v>2661</v>
      </c>
      <c r="U325" s="149" t="s">
        <v>819</v>
      </c>
      <c r="V325" s="366" t="s">
        <v>1609</v>
      </c>
      <c r="W325" s="379" t="s">
        <v>3494</v>
      </c>
      <c r="X325" s="294">
        <v>44599.0</v>
      </c>
      <c r="Y325" s="294">
        <v>44600.0</v>
      </c>
      <c r="Z325" s="288"/>
      <c r="AA325" s="165" t="s">
        <v>2693</v>
      </c>
      <c r="AB325" s="295">
        <v>44488.0</v>
      </c>
      <c r="AC325" s="165" t="s">
        <v>2772</v>
      </c>
      <c r="AD325" s="295">
        <v>44497.0</v>
      </c>
      <c r="AE325" s="165" t="s">
        <v>2693</v>
      </c>
      <c r="AF325" s="295">
        <v>44568.0</v>
      </c>
      <c r="AG325" s="165" t="s">
        <v>2669</v>
      </c>
      <c r="AH325" s="295">
        <v>44599.0</v>
      </c>
      <c r="AI325" s="288"/>
      <c r="AJ325" s="288"/>
      <c r="AK325" s="165" t="s">
        <v>1911</v>
      </c>
      <c r="AL325" s="165" t="s">
        <v>1715</v>
      </c>
      <c r="AM325" s="165" t="s">
        <v>1717</v>
      </c>
      <c r="AN325" s="165" t="s">
        <v>819</v>
      </c>
      <c r="AO325" s="288"/>
      <c r="AP325" s="150" t="s">
        <v>2663</v>
      </c>
      <c r="AQ325" s="288"/>
    </row>
    <row r="326">
      <c r="A326" s="147" t="s">
        <v>3495</v>
      </c>
      <c r="B326" s="147" t="s">
        <v>3496</v>
      </c>
      <c r="C326" s="175" t="str">
        <f>VLOOKUP(A326,Import!A:C,3,false)</f>
        <v>DOĞRU</v>
      </c>
      <c r="D326" s="147" t="s">
        <v>2701</v>
      </c>
      <c r="E326" s="280">
        <f>VLOOKUP(A326,Import!A:J,5,0)</f>
        <v>208</v>
      </c>
      <c r="F326" s="280">
        <f>VLOOKUP(A326,Import!A:J,6,0)</f>
        <v>1</v>
      </c>
      <c r="G326" s="289">
        <f>VLOOKUP(A326,Import!A:J,7,0)</f>
        <v>21</v>
      </c>
      <c r="H326" s="289">
        <f>VLOOKUP(A326,Import!A:J,8,0)</f>
        <v>40</v>
      </c>
      <c r="I326" s="289">
        <f>VLOOKUP(A326,Import!A:J,9,0)</f>
        <v>61</v>
      </c>
      <c r="J326" s="282">
        <f>VLOOKUP(A326,Import!A:J,10,0)</f>
        <v>0.34</v>
      </c>
      <c r="K326" s="244" t="str">
        <f>VLOOKUP(A326,Import!A:P,11,0)</f>
        <v>Mehmet Çakmak</v>
      </c>
      <c r="L326" s="147">
        <v>5.367109309E9</v>
      </c>
      <c r="M326" s="147" t="s">
        <v>2666</v>
      </c>
      <c r="N326" s="147" t="s">
        <v>2801</v>
      </c>
      <c r="O326" s="147" t="s">
        <v>3497</v>
      </c>
      <c r="P326" s="244" t="str">
        <f>VLOOKUP(A326,Import!A:P,16,0)</f>
        <v>Geleneksel</v>
      </c>
      <c r="Q326" s="330"/>
      <c r="R326" s="292" t="b">
        <v>1</v>
      </c>
      <c r="S326" s="293" t="b">
        <v>0</v>
      </c>
      <c r="T326" s="149" t="s">
        <v>2770</v>
      </c>
      <c r="U326" s="296"/>
      <c r="V326" s="296"/>
      <c r="W326" s="149" t="s">
        <v>3498</v>
      </c>
      <c r="X326" s="297"/>
      <c r="Y326" s="297"/>
      <c r="Z326" s="288"/>
      <c r="AA326" s="165" t="s">
        <v>2772</v>
      </c>
      <c r="AB326" s="295">
        <v>44490.0</v>
      </c>
      <c r="AC326" s="165" t="s">
        <v>2693</v>
      </c>
      <c r="AD326" s="295">
        <v>44516.0</v>
      </c>
      <c r="AE326" s="160"/>
      <c r="AF326" s="288"/>
      <c r="AG326" s="160"/>
      <c r="AH326" s="288"/>
      <c r="AI326" s="288"/>
      <c r="AJ326" s="288"/>
      <c r="AK326" s="165" t="s">
        <v>1754</v>
      </c>
      <c r="AL326" s="165" t="s">
        <v>1621</v>
      </c>
      <c r="AM326" s="288"/>
      <c r="AN326" s="288"/>
      <c r="AO326" s="288"/>
      <c r="AP326" s="150" t="s">
        <v>2663</v>
      </c>
      <c r="AQ326" s="288"/>
    </row>
    <row r="327">
      <c r="A327" s="150" t="s">
        <v>3499</v>
      </c>
      <c r="B327" s="150" t="s">
        <v>3500</v>
      </c>
      <c r="C327" s="175" t="str">
        <f>VLOOKUP(A327,Import!A:C,3,false)</f>
        <v>DOĞRU</v>
      </c>
      <c r="D327" s="150" t="s">
        <v>2696</v>
      </c>
      <c r="E327" s="280">
        <f>VLOOKUP(A327,Import!A:J,5,0)</f>
        <v>3646</v>
      </c>
      <c r="F327" s="280">
        <f>VLOOKUP(A327,Import!A:J,6,0)</f>
        <v>85</v>
      </c>
      <c r="G327" s="289">
        <f>VLOOKUP(A327,Import!A:J,7,0)</f>
        <v>67</v>
      </c>
      <c r="H327" s="289">
        <f>VLOOKUP(A327,Import!A:J,8,0)</f>
        <v>29</v>
      </c>
      <c r="I327" s="289">
        <f>VLOOKUP(A327,Import!A:J,9,0)</f>
        <v>96</v>
      </c>
      <c r="J327" s="282">
        <f>VLOOKUP(A327,Import!A:J,10,0)</f>
        <v>0.7</v>
      </c>
      <c r="K327" s="244" t="str">
        <f>VLOOKUP(A327,Import!A:P,11,0)</f>
        <v>Hacı Hasanoğlu</v>
      </c>
      <c r="L327" s="150">
        <v>5.348144324E9</v>
      </c>
      <c r="M327" s="150" t="s">
        <v>1450</v>
      </c>
      <c r="N327" s="150" t="s">
        <v>2782</v>
      </c>
      <c r="O327" s="150" t="s">
        <v>3501</v>
      </c>
      <c r="P327" s="244" t="str">
        <f>VLOOKUP(A327,Import!A:P,16,0)</f>
        <v>Geleneksel</v>
      </c>
      <c r="Q327" s="291" t="s">
        <v>2713</v>
      </c>
      <c r="R327" s="292" t="b">
        <v>1</v>
      </c>
      <c r="S327" s="292" t="b">
        <v>1</v>
      </c>
      <c r="T327" s="296"/>
      <c r="U327" s="296"/>
      <c r="V327" s="296"/>
      <c r="X327" s="297"/>
      <c r="Y327" s="297"/>
      <c r="Z327" s="288"/>
      <c r="AA327" s="288"/>
      <c r="AB327" s="288"/>
      <c r="AC327" s="288"/>
      <c r="AD327" s="288"/>
      <c r="AE327" s="160"/>
      <c r="AF327" s="288"/>
      <c r="AG327" s="160"/>
      <c r="AH327" s="288"/>
      <c r="AI327" s="288"/>
      <c r="AJ327" s="288"/>
      <c r="AK327" s="288"/>
      <c r="AL327" s="288"/>
      <c r="AM327" s="288"/>
      <c r="AN327" s="288"/>
      <c r="AO327" s="288"/>
      <c r="AP327" s="150" t="s">
        <v>2663</v>
      </c>
      <c r="AQ327" s="288"/>
    </row>
    <row r="328">
      <c r="A328" s="150" t="s">
        <v>693</v>
      </c>
      <c r="B328" s="150" t="s">
        <v>694</v>
      </c>
      <c r="C328" s="175" t="str">
        <f>VLOOKUP(A328,Import!A:C,3,false)</f>
        <v>DOĞRU</v>
      </c>
      <c r="D328" s="150" t="s">
        <v>2763</v>
      </c>
      <c r="E328" s="280">
        <f>VLOOKUP(A328,Import!A:J,5,0)</f>
        <v>1043</v>
      </c>
      <c r="F328" s="280">
        <f>VLOOKUP(A328,Import!A:J,6,0)</f>
        <v>7</v>
      </c>
      <c r="G328" s="289">
        <f>VLOOKUP(A328,Import!A:J,7,0)</f>
        <v>0</v>
      </c>
      <c r="H328" s="289">
        <f>VLOOKUP(A328,Import!A:J,8,0)</f>
        <v>16</v>
      </c>
      <c r="I328" s="289">
        <f>VLOOKUP(A328,Import!A:J,9,0)</f>
        <v>16</v>
      </c>
      <c r="J328" s="282">
        <f>VLOOKUP(A328,Import!A:J,10,0)</f>
        <v>0</v>
      </c>
      <c r="K328" s="244" t="str">
        <f>VLOOKUP(A328,Import!A:P,11,0)</f>
        <v>HÜSEYİN ÇİÇEK</v>
      </c>
      <c r="L328" s="150">
        <v>2.223202737E9</v>
      </c>
      <c r="M328" s="150" t="s">
        <v>2666</v>
      </c>
      <c r="N328" s="150" t="s">
        <v>3084</v>
      </c>
      <c r="O328" s="150" t="s">
        <v>697</v>
      </c>
      <c r="P328" s="244" t="str">
        <f>VLOOKUP(A328,Import!A:P,16,0)</f>
        <v>Geleneksel</v>
      </c>
      <c r="Q328" s="291" t="s">
        <v>2686</v>
      </c>
      <c r="R328" s="292" t="b">
        <v>1</v>
      </c>
      <c r="S328" s="293" t="b">
        <v>0</v>
      </c>
      <c r="T328" s="149" t="s">
        <v>2714</v>
      </c>
      <c r="U328" s="149"/>
      <c r="V328" s="149"/>
      <c r="X328" s="294">
        <v>44244.0</v>
      </c>
      <c r="Y328" s="294">
        <v>44251.0</v>
      </c>
      <c r="Z328" s="288"/>
      <c r="AA328" s="165" t="s">
        <v>2669</v>
      </c>
      <c r="AB328" s="295">
        <v>44565.0</v>
      </c>
      <c r="AC328" s="288"/>
      <c r="AD328" s="288"/>
      <c r="AE328" s="160"/>
      <c r="AF328" s="288"/>
      <c r="AG328" s="160"/>
      <c r="AH328" s="288"/>
      <c r="AI328" s="288"/>
      <c r="AJ328" s="288"/>
      <c r="AK328" s="165" t="s">
        <v>2161</v>
      </c>
      <c r="AL328" s="288"/>
      <c r="AM328" s="288"/>
      <c r="AN328" s="288"/>
      <c r="AO328" s="288"/>
      <c r="AP328" s="150" t="s">
        <v>2663</v>
      </c>
      <c r="AQ328" s="288"/>
    </row>
    <row r="329">
      <c r="A329" s="147" t="s">
        <v>1411</v>
      </c>
      <c r="B329" s="147" t="s">
        <v>1412</v>
      </c>
      <c r="C329" s="175" t="str">
        <f>VLOOKUP(A329,Import!A:C,3,false)</f>
        <v>DOĞRU</v>
      </c>
      <c r="D329" s="147" t="s">
        <v>2763</v>
      </c>
      <c r="E329" s="280">
        <f>VLOOKUP(A329,Import!A:J,5,0)</f>
        <v>727</v>
      </c>
      <c r="F329" s="280" t="str">
        <f>VLOOKUP(A329,Import!A:J,6,0)</f>
        <v/>
      </c>
      <c r="G329" s="289">
        <f>VLOOKUP(A329,Import!A:J,7,0)</f>
        <v>9</v>
      </c>
      <c r="H329" s="289">
        <f>VLOOKUP(A329,Import!A:J,8,0)</f>
        <v>10</v>
      </c>
      <c r="I329" s="289">
        <f>VLOOKUP(A329,Import!A:J,9,0)</f>
        <v>19</v>
      </c>
      <c r="J329" s="282">
        <f>VLOOKUP(A329,Import!A:J,10,0)</f>
        <v>0.47</v>
      </c>
      <c r="K329" s="244" t="str">
        <f>VLOOKUP(A329,Import!A:P,11,0)</f>
        <v>Şaban Dertliçoban</v>
      </c>
      <c r="L329" s="147">
        <v>5.07821847E9</v>
      </c>
      <c r="M329" s="147" t="s">
        <v>1450</v>
      </c>
      <c r="N329" s="147" t="s">
        <v>2705</v>
      </c>
      <c r="O329" s="147" t="s">
        <v>1415</v>
      </c>
      <c r="P329" s="244" t="str">
        <f>VLOOKUP(A329,Import!A:P,16,0)</f>
        <v>Geleneksel</v>
      </c>
      <c r="Q329" s="330"/>
      <c r="R329" s="292" t="b">
        <v>1</v>
      </c>
      <c r="S329" s="293" t="b">
        <v>0</v>
      </c>
      <c r="T329" s="149" t="s">
        <v>2661</v>
      </c>
      <c r="U329" s="149" t="s">
        <v>819</v>
      </c>
      <c r="V329" s="149" t="s">
        <v>1343</v>
      </c>
      <c r="W329" s="149" t="s">
        <v>2810</v>
      </c>
      <c r="X329" s="294">
        <v>44336.0</v>
      </c>
      <c r="Y329" s="294">
        <v>44338.0</v>
      </c>
      <c r="Z329" s="288"/>
      <c r="AA329" s="288"/>
      <c r="AB329" s="288"/>
      <c r="AC329" s="288"/>
      <c r="AD329" s="288"/>
      <c r="AE329" s="160"/>
      <c r="AF329" s="288"/>
      <c r="AG329" s="160"/>
      <c r="AH329" s="288"/>
      <c r="AI329" s="288"/>
      <c r="AJ329" s="288"/>
      <c r="AK329" s="288"/>
      <c r="AL329" s="288"/>
      <c r="AM329" s="288"/>
      <c r="AN329" s="288"/>
      <c r="AO329" s="288"/>
      <c r="AP329" s="150" t="s">
        <v>2663</v>
      </c>
      <c r="AQ329" s="288"/>
    </row>
    <row r="330">
      <c r="A330" s="244" t="s">
        <v>3502</v>
      </c>
      <c r="B330" s="244" t="s">
        <v>3503</v>
      </c>
      <c r="C330" s="175" t="str">
        <f>VLOOKUP(A330,Import!A:C,3,false)</f>
        <v>DOĞRU</v>
      </c>
      <c r="D330" s="362" t="s">
        <v>2696</v>
      </c>
      <c r="E330" s="280">
        <f>VLOOKUP(A330,Import!A:J,5,0)</f>
        <v>2871</v>
      </c>
      <c r="F330" s="280">
        <f>VLOOKUP(A330,Import!A:J,6,0)</f>
        <v>34</v>
      </c>
      <c r="G330" s="289">
        <f>VLOOKUP(A330,Import!A:J,7,0)</f>
        <v>0</v>
      </c>
      <c r="H330" s="289">
        <f>VLOOKUP(A330,Import!A:J,8,0)</f>
        <v>22</v>
      </c>
      <c r="I330" s="289">
        <f>VLOOKUP(A330,Import!A:J,9,0)</f>
        <v>22</v>
      </c>
      <c r="J330" s="282">
        <f>VLOOKUP(A330,Import!A:J,10,0)</f>
        <v>0</v>
      </c>
      <c r="K330" s="244" t="str">
        <f>VLOOKUP(A330,Import!A:P,11,0)</f>
        <v>Mustafa Haleplioğlu</v>
      </c>
      <c r="L330" s="280">
        <v>5.382311093E9</v>
      </c>
      <c r="M330" s="244" t="s">
        <v>2666</v>
      </c>
      <c r="N330" s="244" t="s">
        <v>2879</v>
      </c>
      <c r="O330" s="244" t="s">
        <v>3504</v>
      </c>
      <c r="P330" s="244" t="str">
        <f>VLOOKUP(A330,Import!A:P,16,0)</f>
        <v>Geleneksel</v>
      </c>
      <c r="Q330" s="291" t="s">
        <v>2686</v>
      </c>
      <c r="R330" s="292" t="b">
        <v>1</v>
      </c>
      <c r="S330" s="293" t="b">
        <v>0</v>
      </c>
      <c r="T330" s="165" t="s">
        <v>2714</v>
      </c>
      <c r="U330" s="160"/>
      <c r="V330" s="364"/>
      <c r="W330" s="165" t="s">
        <v>3505</v>
      </c>
      <c r="X330" s="288"/>
      <c r="Y330" s="288"/>
      <c r="Z330" s="288"/>
      <c r="AA330" s="288"/>
      <c r="AB330" s="288"/>
      <c r="AC330" s="288"/>
      <c r="AD330" s="288"/>
      <c r="AE330" s="160"/>
      <c r="AF330" s="288"/>
      <c r="AG330" s="160"/>
      <c r="AH330" s="288"/>
      <c r="AI330" s="288"/>
      <c r="AJ330" s="288"/>
      <c r="AK330" s="288"/>
      <c r="AL330" s="288"/>
      <c r="AM330" s="288"/>
      <c r="AN330" s="288"/>
      <c r="AO330" s="288"/>
      <c r="AP330" s="150" t="s">
        <v>2663</v>
      </c>
      <c r="AQ330" s="288"/>
    </row>
    <row r="331">
      <c r="A331" s="244" t="s">
        <v>112</v>
      </c>
      <c r="B331" s="244" t="s">
        <v>113</v>
      </c>
      <c r="C331" s="175" t="str">
        <f>VLOOKUP(A331,Import!A:C,3,false)</f>
        <v>DOĞRU</v>
      </c>
      <c r="D331" s="303" t="s">
        <v>2701</v>
      </c>
      <c r="E331" s="280">
        <f>VLOOKUP(A331,Import!A:J,5,0)</f>
        <v>9675</v>
      </c>
      <c r="F331" s="280">
        <f>VLOOKUP(A331,Import!A:J,6,0)</f>
        <v>289</v>
      </c>
      <c r="G331" s="289">
        <f>VLOOKUP(A331,Import!A:J,7,0)</f>
        <v>14</v>
      </c>
      <c r="H331" s="289">
        <f>VLOOKUP(A331,Import!A:J,8,0)</f>
        <v>19</v>
      </c>
      <c r="I331" s="289">
        <f>VLOOKUP(A331,Import!A:J,9,0)</f>
        <v>33</v>
      </c>
      <c r="J331" s="282">
        <f>VLOOKUP(A331,Import!A:J,10,0)</f>
        <v>0.42</v>
      </c>
      <c r="K331" s="244" t="str">
        <f>VLOOKUP(A331,Import!A:P,11,0)</f>
        <v>AHMET TOPRAK</v>
      </c>
      <c r="L331" s="304">
        <v>5.465485545E9</v>
      </c>
      <c r="M331" s="303" t="s">
        <v>1450</v>
      </c>
      <c r="N331" s="303" t="s">
        <v>2950</v>
      </c>
      <c r="O331" s="303" t="s">
        <v>115</v>
      </c>
      <c r="P331" s="244" t="str">
        <f>VLOOKUP(A331,Import!A:P,16,0)</f>
        <v>Geleneksel</v>
      </c>
      <c r="Q331" s="305" t="s">
        <v>2686</v>
      </c>
      <c r="R331" s="306" t="b">
        <v>1</v>
      </c>
      <c r="S331" s="307" t="b">
        <v>0</v>
      </c>
      <c r="T331" s="309" t="s">
        <v>2661</v>
      </c>
      <c r="U331" s="309"/>
      <c r="V331" s="309" t="s">
        <v>46</v>
      </c>
      <c r="W331" s="308"/>
      <c r="X331" s="310">
        <v>44231.0</v>
      </c>
      <c r="Y331" s="310">
        <v>44236.0</v>
      </c>
      <c r="Z331" s="288"/>
      <c r="AA331" s="288"/>
      <c r="AB331" s="288"/>
      <c r="AC331" s="288"/>
      <c r="AD331" s="288"/>
      <c r="AE331" s="160"/>
      <c r="AF331" s="288"/>
      <c r="AG331" s="160"/>
      <c r="AH331" s="288"/>
      <c r="AI331" s="288"/>
      <c r="AJ331" s="288"/>
      <c r="AK331" s="288"/>
      <c r="AL331" s="288"/>
      <c r="AM331" s="288"/>
      <c r="AN331" s="288"/>
      <c r="AO331" s="288"/>
      <c r="AP331" s="150" t="s">
        <v>2663</v>
      </c>
      <c r="AQ331" s="288"/>
    </row>
    <row r="332">
      <c r="A332" s="244" t="s">
        <v>638</v>
      </c>
      <c r="B332" s="244" t="s">
        <v>639</v>
      </c>
      <c r="C332" s="175" t="str">
        <f>VLOOKUP(A332,Import!A:C,3,false)</f>
        <v>DOĞRU</v>
      </c>
      <c r="D332" s="244" t="s">
        <v>2850</v>
      </c>
      <c r="E332" s="280">
        <f>VLOOKUP(A332,Import!A:J,5,0)</f>
        <v>1480</v>
      </c>
      <c r="F332" s="280">
        <f>VLOOKUP(A332,Import!A:J,6,0)</f>
        <v>47</v>
      </c>
      <c r="G332" s="289">
        <f>VLOOKUP(A332,Import!A:J,7,0)</f>
        <v>5</v>
      </c>
      <c r="H332" s="289">
        <f>VLOOKUP(A332,Import!A:J,8,0)</f>
        <v>6</v>
      </c>
      <c r="I332" s="289">
        <f>VLOOKUP(A332,Import!A:J,9,0)</f>
        <v>11</v>
      </c>
      <c r="J332" s="282">
        <f>VLOOKUP(A332,Import!A:J,10,0)</f>
        <v>0.45</v>
      </c>
      <c r="K332" s="244" t="str">
        <f>VLOOKUP(A332,Import!A:P,11,0)</f>
        <v>ALPER BALCI</v>
      </c>
      <c r="L332" s="280">
        <v>2.222312722E9</v>
      </c>
      <c r="M332" s="244" t="s">
        <v>1450</v>
      </c>
      <c r="N332" s="244" t="s">
        <v>2716</v>
      </c>
      <c r="O332" s="244" t="s">
        <v>641</v>
      </c>
      <c r="P332" s="244" t="str">
        <f>VLOOKUP(A332,Import!A:P,16,0)</f>
        <v>Geleneksel</v>
      </c>
      <c r="Q332" s="291" t="s">
        <v>2660</v>
      </c>
      <c r="R332" s="292" t="b">
        <v>1</v>
      </c>
      <c r="S332" s="293" t="b">
        <v>0</v>
      </c>
      <c r="T332" s="165" t="s">
        <v>2661</v>
      </c>
      <c r="U332" s="165"/>
      <c r="V332" s="165" t="s">
        <v>13</v>
      </c>
      <c r="W332" s="165" t="s">
        <v>3249</v>
      </c>
      <c r="X332" s="295">
        <v>44238.0</v>
      </c>
      <c r="Y332" s="295">
        <v>44250.0</v>
      </c>
      <c r="Z332" s="288"/>
      <c r="AA332" s="288"/>
      <c r="AB332" s="288"/>
      <c r="AC332" s="288"/>
      <c r="AD332" s="288"/>
      <c r="AE332" s="160"/>
      <c r="AF332" s="288"/>
      <c r="AG332" s="160"/>
      <c r="AH332" s="288"/>
      <c r="AI332" s="288"/>
      <c r="AJ332" s="288"/>
      <c r="AK332" s="288"/>
      <c r="AL332" s="288"/>
      <c r="AM332" s="288"/>
      <c r="AN332" s="288"/>
      <c r="AO332" s="288"/>
      <c r="AP332" s="150" t="s">
        <v>2663</v>
      </c>
      <c r="AQ332" s="288"/>
    </row>
    <row r="333">
      <c r="A333" s="150" t="s">
        <v>2044</v>
      </c>
      <c r="B333" s="150" t="s">
        <v>2045</v>
      </c>
      <c r="C333" s="175" t="str">
        <f>VLOOKUP(A333,Import!A:C,3,false)</f>
        <v>DOĞRU</v>
      </c>
      <c r="D333" s="150" t="s">
        <v>2773</v>
      </c>
      <c r="E333" s="280">
        <f>VLOOKUP(A333,Import!A:J,5,0)</f>
        <v>1220</v>
      </c>
      <c r="F333" s="280" t="str">
        <f>VLOOKUP(A333,Import!A:J,6,0)</f>
        <v/>
      </c>
      <c r="G333" s="289">
        <f>VLOOKUP(A333,Import!A:J,7,0)</f>
        <v>8</v>
      </c>
      <c r="H333" s="289">
        <f>VLOOKUP(A333,Import!A:J,8,0)</f>
        <v>8</v>
      </c>
      <c r="I333" s="289">
        <f>VLOOKUP(A333,Import!A:J,9,0)</f>
        <v>16</v>
      </c>
      <c r="J333" s="282">
        <f>VLOOKUP(A333,Import!A:J,10,0)</f>
        <v>0.5</v>
      </c>
      <c r="K333" s="244" t="str">
        <f>VLOOKUP(A333,Import!A:P,11,0)</f>
        <v>İlknur Ünsal</v>
      </c>
      <c r="L333" s="150">
        <v>5.071435857E9</v>
      </c>
      <c r="M333" s="150" t="s">
        <v>2666</v>
      </c>
      <c r="N333" s="150" t="s">
        <v>3131</v>
      </c>
      <c r="O333" s="150" t="s">
        <v>390</v>
      </c>
      <c r="P333" s="244" t="str">
        <f>VLOOKUP(A333,Import!A:P,16,0)</f>
        <v>Geleneksel</v>
      </c>
      <c r="Q333" s="291"/>
      <c r="R333" s="292" t="b">
        <v>1</v>
      </c>
      <c r="S333" s="293" t="b">
        <v>0</v>
      </c>
      <c r="T333" s="149" t="s">
        <v>2661</v>
      </c>
      <c r="U333" s="149" t="s">
        <v>1717</v>
      </c>
      <c r="V333" s="269" t="s">
        <v>1609</v>
      </c>
      <c r="W333" s="149" t="s">
        <v>3506</v>
      </c>
      <c r="X333" s="294">
        <v>44524.0</v>
      </c>
      <c r="Y333" s="294">
        <v>44526.0</v>
      </c>
      <c r="Z333" s="288"/>
      <c r="AA333" s="165" t="s">
        <v>2693</v>
      </c>
      <c r="AB333" s="295">
        <v>44524.0</v>
      </c>
      <c r="AC333" s="165" t="s">
        <v>2669</v>
      </c>
      <c r="AD333" s="295">
        <v>44524.0</v>
      </c>
      <c r="AE333" s="160"/>
      <c r="AF333" s="288"/>
      <c r="AG333" s="160"/>
      <c r="AH333" s="288"/>
      <c r="AI333" s="288"/>
      <c r="AJ333" s="288"/>
      <c r="AK333" s="165" t="s">
        <v>1717</v>
      </c>
      <c r="AL333" s="165" t="s">
        <v>1717</v>
      </c>
      <c r="AM333" s="288"/>
      <c r="AN333" s="288"/>
      <c r="AO333" s="288"/>
      <c r="AP333" s="150" t="s">
        <v>2663</v>
      </c>
      <c r="AQ333" s="288"/>
    </row>
    <row r="334">
      <c r="A334" s="150" t="s">
        <v>3507</v>
      </c>
      <c r="B334" s="150" t="s">
        <v>3508</v>
      </c>
      <c r="C334" s="175" t="str">
        <f>VLOOKUP(A334,Import!A:C,3,false)</f>
        <v>DOĞRU</v>
      </c>
      <c r="D334" s="150" t="s">
        <v>2664</v>
      </c>
      <c r="E334" s="280" t="str">
        <f>VLOOKUP(A334,Import!A:J,5,0)</f>
        <v/>
      </c>
      <c r="F334" s="280" t="str">
        <f>VLOOKUP(A334,Import!A:J,6,0)</f>
        <v/>
      </c>
      <c r="G334" s="289">
        <f>VLOOKUP(A334,Import!A:J,7,0)</f>
        <v>0</v>
      </c>
      <c r="H334" s="289">
        <f>VLOOKUP(A334,Import!A:J,8,0)</f>
        <v>16</v>
      </c>
      <c r="I334" s="289">
        <f>VLOOKUP(A334,Import!A:J,9,0)</f>
        <v>16</v>
      </c>
      <c r="J334" s="282">
        <f>VLOOKUP(A334,Import!A:J,10,0)</f>
        <v>0</v>
      </c>
      <c r="K334" s="150" t="s">
        <v>3509</v>
      </c>
      <c r="L334" s="150">
        <v>5.531846576E9</v>
      </c>
      <c r="M334" s="150" t="s">
        <v>2666</v>
      </c>
      <c r="N334" s="150" t="s">
        <v>2757</v>
      </c>
      <c r="O334" s="150" t="s">
        <v>3510</v>
      </c>
      <c r="P334" s="244" t="str">
        <f>VLOOKUP(A334,Import!A:P,16,0)</f>
        <v>Geleneksel</v>
      </c>
      <c r="Q334" s="291"/>
      <c r="R334" s="292" t="b">
        <v>0</v>
      </c>
      <c r="S334" s="293" t="b">
        <v>0</v>
      </c>
      <c r="T334" s="149"/>
      <c r="U334" s="296"/>
      <c r="V334" s="312"/>
      <c r="W334" s="149"/>
      <c r="X334" s="297"/>
      <c r="Y334" s="297"/>
      <c r="Z334" s="288"/>
      <c r="AA334" s="165"/>
      <c r="AB334" s="295"/>
      <c r="AC334" s="288"/>
      <c r="AD334" s="288"/>
      <c r="AE334" s="160"/>
      <c r="AF334" s="288"/>
      <c r="AG334" s="160"/>
      <c r="AH334" s="288"/>
      <c r="AI334" s="288"/>
      <c r="AJ334" s="288"/>
      <c r="AK334" s="165"/>
      <c r="AL334" s="288"/>
      <c r="AM334" s="288"/>
      <c r="AN334" s="288"/>
      <c r="AO334" s="165"/>
      <c r="AP334" s="150"/>
      <c r="AQ334" s="165"/>
    </row>
    <row r="335">
      <c r="A335" s="150" t="s">
        <v>3511</v>
      </c>
      <c r="B335" s="150" t="s">
        <v>3512</v>
      </c>
      <c r="C335" s="175" t="str">
        <f>VLOOKUP(A335,Import!A:C,3,false)</f>
        <v>DOĞRU</v>
      </c>
      <c r="D335" s="150" t="s">
        <v>2684</v>
      </c>
      <c r="E335" s="280">
        <f>VLOOKUP(A335,Import!A:J,5,0)</f>
        <v>7</v>
      </c>
      <c r="F335" s="280">
        <f>VLOOKUP(A335,Import!A:J,6,0)</f>
        <v>4</v>
      </c>
      <c r="G335" s="289">
        <f>VLOOKUP(A335,Import!A:J,7,0)</f>
        <v>0</v>
      </c>
      <c r="H335" s="289">
        <f>VLOOKUP(A335,Import!A:J,8,0)</f>
        <v>23</v>
      </c>
      <c r="I335" s="289">
        <f>VLOOKUP(A335,Import!A:J,9,0)</f>
        <v>23</v>
      </c>
      <c r="J335" s="282">
        <f>VLOOKUP(A335,Import!A:J,10,0)</f>
        <v>0</v>
      </c>
      <c r="K335" s="290" t="s">
        <v>3513</v>
      </c>
      <c r="L335" s="150">
        <v>2.225000066E9</v>
      </c>
      <c r="M335" s="150" t="s">
        <v>1450</v>
      </c>
      <c r="N335" s="150" t="s">
        <v>2732</v>
      </c>
      <c r="O335" s="150" t="s">
        <v>3340</v>
      </c>
      <c r="P335" s="244" t="str">
        <f>VLOOKUP(A335,Import!A:P,16,0)</f>
        <v>Geleneksel</v>
      </c>
      <c r="Q335" s="291"/>
      <c r="R335" s="292" t="b">
        <v>1</v>
      </c>
      <c r="S335" s="293" t="b">
        <v>0</v>
      </c>
      <c r="T335" s="149" t="s">
        <v>2864</v>
      </c>
      <c r="U335" s="296"/>
      <c r="V335" s="312"/>
      <c r="W335" s="149" t="s">
        <v>3514</v>
      </c>
      <c r="X335" s="297"/>
      <c r="Y335" s="297"/>
      <c r="Z335" s="288"/>
      <c r="AA335" s="165" t="s">
        <v>2669</v>
      </c>
      <c r="AB335" s="295">
        <v>44628.0</v>
      </c>
      <c r="AC335" s="288"/>
      <c r="AD335" s="288"/>
      <c r="AE335" s="160"/>
      <c r="AF335" s="288"/>
      <c r="AG335" s="160"/>
      <c r="AH335" s="288"/>
      <c r="AI335" s="288"/>
      <c r="AJ335" s="288"/>
      <c r="AK335" s="165" t="s">
        <v>1717</v>
      </c>
      <c r="AL335" s="288"/>
      <c r="AM335" s="288"/>
      <c r="AN335" s="288"/>
      <c r="AO335" s="165"/>
      <c r="AP335" s="150"/>
      <c r="AQ335" s="165"/>
    </row>
    <row r="336">
      <c r="A336" s="150" t="s">
        <v>3515</v>
      </c>
      <c r="B336" s="150" t="s">
        <v>3516</v>
      </c>
      <c r="C336" s="175" t="str">
        <f>VLOOKUP(A336,Import!A:C,3,false)</f>
        <v>DOĞRU</v>
      </c>
      <c r="D336" s="150" t="s">
        <v>2684</v>
      </c>
      <c r="E336" s="280" t="str">
        <f>VLOOKUP(A336,Import!A:J,5,0)</f>
        <v/>
      </c>
      <c r="F336" s="280" t="str">
        <f>VLOOKUP(A336,Import!A:J,6,0)</f>
        <v/>
      </c>
      <c r="G336" s="289">
        <f>VLOOKUP(A336,Import!A:J,7,0)</f>
        <v>0</v>
      </c>
      <c r="H336" s="289">
        <f>VLOOKUP(A336,Import!A:J,8,0)</f>
        <v>24</v>
      </c>
      <c r="I336" s="289">
        <f>VLOOKUP(A336,Import!A:J,9,0)</f>
        <v>24</v>
      </c>
      <c r="J336" s="282">
        <f>VLOOKUP(A336,Import!A:J,10,0)</f>
        <v>0</v>
      </c>
      <c r="K336" s="290" t="s">
        <v>3344</v>
      </c>
      <c r="L336" s="150">
        <v>5.497870594E9</v>
      </c>
      <c r="M336" s="150" t="s">
        <v>1450</v>
      </c>
      <c r="N336" s="150" t="s">
        <v>2703</v>
      </c>
      <c r="O336" s="150" t="s">
        <v>3345</v>
      </c>
      <c r="P336" s="244" t="str">
        <f>VLOOKUP(A336,Import!A:P,16,0)</f>
        <v>Geleneksel</v>
      </c>
      <c r="Q336" s="291"/>
      <c r="R336" s="292" t="b">
        <v>1</v>
      </c>
      <c r="S336" s="293" t="b">
        <v>0</v>
      </c>
      <c r="T336" s="149" t="s">
        <v>2864</v>
      </c>
      <c r="U336" s="296"/>
      <c r="V336" s="296"/>
      <c r="W336" s="149" t="s">
        <v>3514</v>
      </c>
      <c r="X336" s="297"/>
      <c r="Y336" s="297"/>
      <c r="Z336" s="288"/>
      <c r="AA336" s="165" t="s">
        <v>2669</v>
      </c>
      <c r="AB336" s="295">
        <v>44628.0</v>
      </c>
      <c r="AC336" s="288"/>
      <c r="AD336" s="288"/>
      <c r="AE336" s="160"/>
      <c r="AF336" s="288"/>
      <c r="AG336" s="160"/>
      <c r="AH336" s="288"/>
      <c r="AI336" s="288"/>
      <c r="AJ336" s="288"/>
      <c r="AK336" s="165" t="s">
        <v>1717</v>
      </c>
      <c r="AL336" s="288"/>
      <c r="AM336" s="288"/>
      <c r="AN336" s="288"/>
      <c r="AO336" s="165"/>
      <c r="AP336" s="150"/>
      <c r="AQ336" s="165"/>
    </row>
    <row r="337">
      <c r="A337" s="150" t="s">
        <v>3517</v>
      </c>
      <c r="B337" s="150" t="s">
        <v>3518</v>
      </c>
      <c r="C337" s="175" t="str">
        <f>VLOOKUP(A337,Import!A:C,3,false)</f>
        <v>DOĞRU</v>
      </c>
      <c r="D337" s="150" t="s">
        <v>2978</v>
      </c>
      <c r="E337" s="280">
        <f>VLOOKUP(A337,Import!A:J,5,0)</f>
        <v>10</v>
      </c>
      <c r="F337" s="280">
        <f>VLOOKUP(A337,Import!A:J,6,0)</f>
        <v>4</v>
      </c>
      <c r="G337" s="289">
        <f>VLOOKUP(A337,Import!A:J,7,0)</f>
        <v>6</v>
      </c>
      <c r="H337" s="289">
        <f>VLOOKUP(A337,Import!A:J,8,0)</f>
        <v>3</v>
      </c>
      <c r="I337" s="289">
        <f>VLOOKUP(A337,Import!A:J,9,0)</f>
        <v>9</v>
      </c>
      <c r="J337" s="282">
        <f>VLOOKUP(A337,Import!A:J,10,0)</f>
        <v>0.67</v>
      </c>
      <c r="K337" s="290" t="s">
        <v>3519</v>
      </c>
      <c r="L337" s="150">
        <v>5.525722695E9</v>
      </c>
      <c r="M337" s="150" t="s">
        <v>1450</v>
      </c>
      <c r="N337" s="150" t="s">
        <v>2700</v>
      </c>
      <c r="O337" s="150" t="s">
        <v>3520</v>
      </c>
      <c r="P337" s="244" t="str">
        <f>VLOOKUP(A337,Import!A:P,16,0)</f>
        <v>Geleneksel</v>
      </c>
      <c r="Q337" s="291"/>
      <c r="R337" s="292" t="b">
        <v>1</v>
      </c>
      <c r="S337" s="292" t="b">
        <v>1</v>
      </c>
      <c r="T337" s="149"/>
      <c r="U337" s="296"/>
      <c r="V337" s="312"/>
      <c r="W337" s="149" t="s">
        <v>3521</v>
      </c>
      <c r="X337" s="297"/>
      <c r="Y337" s="297"/>
      <c r="Z337" s="288"/>
      <c r="AA337" s="165" t="s">
        <v>2669</v>
      </c>
      <c r="AB337" s="295">
        <v>44648.0</v>
      </c>
      <c r="AC337" s="288"/>
      <c r="AD337" s="288"/>
      <c r="AE337" s="160"/>
      <c r="AF337" s="288"/>
      <c r="AG337" s="160"/>
      <c r="AH337" s="288"/>
      <c r="AI337" s="288"/>
      <c r="AJ337" s="288"/>
      <c r="AK337" s="165" t="s">
        <v>1791</v>
      </c>
      <c r="AL337" s="288"/>
      <c r="AM337" s="288"/>
      <c r="AN337" s="288"/>
      <c r="AO337" s="165"/>
      <c r="AP337" s="150"/>
      <c r="AQ337" s="165"/>
    </row>
    <row r="338">
      <c r="A338" s="147" t="s">
        <v>1349</v>
      </c>
      <c r="B338" s="147" t="s">
        <v>1350</v>
      </c>
      <c r="C338" s="175" t="str">
        <f>VLOOKUP(A338,Import!A:C,3,false)</f>
        <v>DOĞRU</v>
      </c>
      <c r="D338" s="147" t="s">
        <v>2751</v>
      </c>
      <c r="E338" s="280">
        <f>VLOOKUP(A338,Import!A:J,5,0)</f>
        <v>256</v>
      </c>
      <c r="F338" s="280" t="str">
        <f>VLOOKUP(A338,Import!A:J,6,0)</f>
        <v/>
      </c>
      <c r="G338" s="289">
        <f>VLOOKUP(A338,Import!A:J,7,0)</f>
        <v>2</v>
      </c>
      <c r="H338" s="289">
        <f>VLOOKUP(A338,Import!A:J,8,0)</f>
        <v>7</v>
      </c>
      <c r="I338" s="289">
        <f>VLOOKUP(A338,Import!A:J,9,0)</f>
        <v>9</v>
      </c>
      <c r="J338" s="282">
        <f>VLOOKUP(A338,Import!A:J,10,0)</f>
        <v>0.22</v>
      </c>
      <c r="K338" s="244" t="str">
        <f>VLOOKUP(A338,Import!A:P,11,0)</f>
        <v>Hakan Caferler</v>
      </c>
      <c r="L338" s="147">
        <v>2.222220026E9</v>
      </c>
      <c r="M338" s="147" t="s">
        <v>1450</v>
      </c>
      <c r="N338" s="147" t="s">
        <v>2716</v>
      </c>
      <c r="O338" s="147" t="s">
        <v>1352</v>
      </c>
      <c r="P338" s="244" t="str">
        <f>VLOOKUP(A338,Import!A:P,16,0)</f>
        <v>Geleneksel</v>
      </c>
      <c r="Q338" s="330"/>
      <c r="R338" s="292" t="b">
        <v>1</v>
      </c>
      <c r="S338" s="293" t="b">
        <v>0</v>
      </c>
      <c r="T338" s="149" t="s">
        <v>2661</v>
      </c>
      <c r="U338" s="149" t="s">
        <v>819</v>
      </c>
      <c r="V338" s="149" t="s">
        <v>1343</v>
      </c>
      <c r="W338" s="149" t="s">
        <v>3522</v>
      </c>
      <c r="X338" s="294">
        <v>44333.0</v>
      </c>
      <c r="Y338" s="294">
        <v>44334.0</v>
      </c>
      <c r="Z338" s="288"/>
      <c r="AA338" s="288"/>
      <c r="AB338" s="288"/>
      <c r="AC338" s="288"/>
      <c r="AD338" s="288"/>
      <c r="AE338" s="160"/>
      <c r="AF338" s="288"/>
      <c r="AG338" s="160"/>
      <c r="AH338" s="288"/>
      <c r="AI338" s="288"/>
      <c r="AJ338" s="288"/>
      <c r="AK338" s="288"/>
      <c r="AL338" s="288"/>
      <c r="AM338" s="288"/>
      <c r="AN338" s="288"/>
      <c r="AO338" s="288"/>
      <c r="AP338" s="150" t="s">
        <v>2663</v>
      </c>
      <c r="AQ338" s="288"/>
    </row>
    <row r="339">
      <c r="A339" s="150" t="s">
        <v>3523</v>
      </c>
      <c r="B339" s="150" t="s">
        <v>3524</v>
      </c>
      <c r="C339" s="175" t="str">
        <f>VLOOKUP(A339,Import!A:C,3,false)</f>
        <v>DOĞRU</v>
      </c>
      <c r="D339" s="150" t="s">
        <v>2672</v>
      </c>
      <c r="E339" s="280">
        <f>VLOOKUP(A339,Import!A:J,5,0)</f>
        <v>1580</v>
      </c>
      <c r="F339" s="280">
        <f>VLOOKUP(A339,Import!A:J,6,0)</f>
        <v>485</v>
      </c>
      <c r="G339" s="289">
        <f>VLOOKUP(A339,Import!A:J,7,0)</f>
        <v>0</v>
      </c>
      <c r="H339" s="289">
        <f>VLOOKUP(A339,Import!A:J,8,0)</f>
        <v>29</v>
      </c>
      <c r="I339" s="289">
        <f>VLOOKUP(A339,Import!A:J,9,0)</f>
        <v>29</v>
      </c>
      <c r="J339" s="282">
        <f>VLOOKUP(A339,Import!A:J,10,0)</f>
        <v>0</v>
      </c>
      <c r="K339" s="290" t="s">
        <v>3184</v>
      </c>
      <c r="L339" s="150">
        <v>5.413470202E9</v>
      </c>
      <c r="M339" s="150" t="s">
        <v>2666</v>
      </c>
      <c r="N339" s="150" t="s">
        <v>2721</v>
      </c>
      <c r="O339" s="150" t="s">
        <v>3186</v>
      </c>
      <c r="P339" s="244" t="str">
        <f>VLOOKUP(A339,Import!A:P,16,0)</f>
        <v>Geleneksel</v>
      </c>
      <c r="Q339" s="291"/>
      <c r="R339" s="292" t="b">
        <v>1</v>
      </c>
      <c r="S339" s="292" t="b">
        <v>1</v>
      </c>
      <c r="T339" s="149" t="s">
        <v>2714</v>
      </c>
      <c r="U339" s="296"/>
      <c r="V339" s="296"/>
      <c r="W339" s="149" t="s">
        <v>3161</v>
      </c>
      <c r="X339" s="297"/>
      <c r="Y339" s="297"/>
      <c r="Z339" s="288"/>
      <c r="AA339" s="165" t="s">
        <v>2669</v>
      </c>
      <c r="AB339" s="295">
        <v>44622.0</v>
      </c>
      <c r="AC339" s="288"/>
      <c r="AD339" s="288"/>
      <c r="AE339" s="160"/>
      <c r="AF339" s="288"/>
      <c r="AG339" s="160"/>
      <c r="AH339" s="288"/>
      <c r="AI339" s="288"/>
      <c r="AJ339" s="288"/>
      <c r="AK339" s="165" t="s">
        <v>943</v>
      </c>
      <c r="AL339" s="288"/>
      <c r="AM339" s="288"/>
      <c r="AN339" s="288"/>
      <c r="AO339" s="165"/>
      <c r="AP339" s="150"/>
      <c r="AQ339" s="165"/>
    </row>
    <row r="340">
      <c r="A340" s="244" t="s">
        <v>1113</v>
      </c>
      <c r="B340" s="244" t="s">
        <v>2972</v>
      </c>
      <c r="C340" s="175" t="str">
        <f>VLOOKUP(A340,Import!A:C,3,false)</f>
        <v>DOĞRU</v>
      </c>
      <c r="D340" s="175" t="s">
        <v>2658</v>
      </c>
      <c r="E340" s="280">
        <f>VLOOKUP(A340,Import!A:J,5,0)</f>
        <v>5631</v>
      </c>
      <c r="F340" s="280">
        <f>VLOOKUP(A340,Import!A:J,6,0)</f>
        <v>28</v>
      </c>
      <c r="G340" s="289">
        <f>VLOOKUP(A340,Import!A:J,7,0)</f>
        <v>14</v>
      </c>
      <c r="H340" s="289">
        <f>VLOOKUP(A340,Import!A:J,8,0)</f>
        <v>2</v>
      </c>
      <c r="I340" s="289">
        <f>VLOOKUP(A340,Import!A:J,9,0)</f>
        <v>16</v>
      </c>
      <c r="J340" s="282">
        <f>VLOOKUP(A340,Import!A:J,10,0)</f>
        <v>0.88</v>
      </c>
      <c r="K340" s="244" t="str">
        <f>VLOOKUP(A340,Import!A:P,11,0)</f>
        <v>İhsan Bezenmiş</v>
      </c>
      <c r="L340" s="283">
        <v>5.37471696E9</v>
      </c>
      <c r="M340" s="175" t="s">
        <v>2666</v>
      </c>
      <c r="N340" s="175" t="s">
        <v>2855</v>
      </c>
      <c r="O340" s="175" t="s">
        <v>3525</v>
      </c>
      <c r="P340" s="244" t="str">
        <f>VLOOKUP(A340,Import!A:P,16,0)</f>
        <v>Geleneksel</v>
      </c>
      <c r="Q340" s="284" t="s">
        <v>2686</v>
      </c>
      <c r="R340" s="285" t="b">
        <v>1</v>
      </c>
      <c r="S340" s="285" t="b">
        <v>1</v>
      </c>
      <c r="T340" s="171" t="s">
        <v>2661</v>
      </c>
      <c r="U340" s="171" t="s">
        <v>1000</v>
      </c>
      <c r="V340" s="171" t="s">
        <v>46</v>
      </c>
      <c r="W340" s="298"/>
      <c r="X340" s="287">
        <v>44266.0</v>
      </c>
      <c r="Y340" s="287">
        <v>44267.0</v>
      </c>
      <c r="Z340" s="288"/>
      <c r="AA340" s="288"/>
      <c r="AB340" s="288"/>
      <c r="AC340" s="288"/>
      <c r="AD340" s="288"/>
      <c r="AE340" s="160"/>
      <c r="AF340" s="288"/>
      <c r="AG340" s="160"/>
      <c r="AH340" s="288"/>
      <c r="AI340" s="288"/>
      <c r="AJ340" s="288"/>
      <c r="AK340" s="288"/>
      <c r="AL340" s="288"/>
      <c r="AM340" s="288"/>
      <c r="AN340" s="288"/>
      <c r="AO340" s="288"/>
      <c r="AP340" s="150" t="s">
        <v>2663</v>
      </c>
      <c r="AQ340" s="288"/>
    </row>
    <row r="341">
      <c r="A341" s="150" t="s">
        <v>3526</v>
      </c>
      <c r="B341" s="150" t="s">
        <v>3527</v>
      </c>
      <c r="C341" s="175" t="str">
        <f>VLOOKUP(A341,Import!A:C,3,false)</f>
        <v>DOĞRU</v>
      </c>
      <c r="D341" s="150" t="s">
        <v>2751</v>
      </c>
      <c r="E341" s="280">
        <f>VLOOKUP(A341,Import!A:J,5,0)</f>
        <v>923</v>
      </c>
      <c r="F341" s="280">
        <f>VLOOKUP(A341,Import!A:J,6,0)</f>
        <v>227</v>
      </c>
      <c r="G341" s="289">
        <f>VLOOKUP(A341,Import!A:J,7,0)</f>
        <v>0</v>
      </c>
      <c r="H341" s="289">
        <f>VLOOKUP(A341,Import!A:J,8,0)</f>
        <v>40</v>
      </c>
      <c r="I341" s="289">
        <f>VLOOKUP(A341,Import!A:J,9,0)</f>
        <v>40</v>
      </c>
      <c r="J341" s="282">
        <f>VLOOKUP(A341,Import!A:J,10,0)</f>
        <v>0</v>
      </c>
      <c r="K341" s="290" t="s">
        <v>3032</v>
      </c>
      <c r="L341" s="150">
        <v>5.461032626E9</v>
      </c>
      <c r="M341" s="150" t="s">
        <v>2666</v>
      </c>
      <c r="N341" s="150" t="s">
        <v>2801</v>
      </c>
      <c r="O341" s="150" t="s">
        <v>3033</v>
      </c>
      <c r="P341" s="244" t="str">
        <f>VLOOKUP(A341,Import!A:P,16,0)</f>
        <v>Geleneksel</v>
      </c>
      <c r="Q341" s="291"/>
      <c r="R341" s="292" t="b">
        <v>1</v>
      </c>
      <c r="S341" s="292" t="b">
        <v>1</v>
      </c>
      <c r="T341" s="149"/>
      <c r="U341" s="296"/>
      <c r="V341" s="296"/>
      <c r="W341" s="149" t="s">
        <v>3161</v>
      </c>
      <c r="X341" s="297"/>
      <c r="Y341" s="297"/>
      <c r="Z341" s="288"/>
      <c r="AA341" s="165" t="s">
        <v>2669</v>
      </c>
      <c r="AB341" s="295">
        <v>44564.0</v>
      </c>
      <c r="AC341" s="288"/>
      <c r="AD341" s="288"/>
      <c r="AE341" s="160"/>
      <c r="AF341" s="288"/>
      <c r="AG341" s="160"/>
      <c r="AH341" s="288"/>
      <c r="AI341" s="288"/>
      <c r="AJ341" s="288"/>
      <c r="AK341" s="165" t="s">
        <v>819</v>
      </c>
      <c r="AL341" s="288"/>
      <c r="AM341" s="288"/>
      <c r="AN341" s="288"/>
      <c r="AO341" s="165"/>
      <c r="AP341" s="150"/>
      <c r="AQ341" s="165"/>
    </row>
    <row r="342">
      <c r="A342" s="150" t="s">
        <v>1771</v>
      </c>
      <c r="B342" s="150" t="s">
        <v>1772</v>
      </c>
      <c r="C342" s="175" t="str">
        <f>VLOOKUP(A342,Import!A:C,3,false)</f>
        <v>DOĞRU</v>
      </c>
      <c r="D342" s="150" t="s">
        <v>2896</v>
      </c>
      <c r="E342" s="280">
        <f>VLOOKUP(A342,Import!A:J,5,0)</f>
        <v>3079</v>
      </c>
      <c r="F342" s="280">
        <f>VLOOKUP(A342,Import!A:J,6,0)</f>
        <v>3</v>
      </c>
      <c r="G342" s="289">
        <f>VLOOKUP(A342,Import!A:J,7,0)</f>
        <v>26</v>
      </c>
      <c r="H342" s="289">
        <f>VLOOKUP(A342,Import!A:J,8,0)</f>
        <v>0</v>
      </c>
      <c r="I342" s="289">
        <f>VLOOKUP(A342,Import!A:J,9,0)</f>
        <v>26</v>
      </c>
      <c r="J342" s="282">
        <f>VLOOKUP(A342,Import!A:J,10,0)</f>
        <v>1</v>
      </c>
      <c r="K342" s="244" t="str">
        <f>VLOOKUP(A342,Import!A:P,11,0)</f>
        <v>Osman Çelik</v>
      </c>
      <c r="L342" s="150">
        <v>5.303677526E9</v>
      </c>
      <c r="M342" s="150" t="s">
        <v>2666</v>
      </c>
      <c r="N342" s="150" t="s">
        <v>2801</v>
      </c>
      <c r="O342" s="150" t="s">
        <v>3528</v>
      </c>
      <c r="P342" s="244" t="str">
        <f>VLOOKUP(A342,Import!A:P,16,0)</f>
        <v>Geleneksel</v>
      </c>
      <c r="Q342" s="291" t="s">
        <v>2760</v>
      </c>
      <c r="R342" s="292" t="b">
        <v>1</v>
      </c>
      <c r="S342" s="292" t="b">
        <v>0</v>
      </c>
      <c r="T342" s="149" t="s">
        <v>2661</v>
      </c>
      <c r="U342" s="149" t="s">
        <v>1754</v>
      </c>
      <c r="V342" s="149" t="s">
        <v>1609</v>
      </c>
      <c r="X342" s="294">
        <v>44491.0</v>
      </c>
      <c r="Y342" s="294">
        <v>44491.0</v>
      </c>
      <c r="Z342" s="288"/>
      <c r="AA342" s="165" t="s">
        <v>2669</v>
      </c>
      <c r="AB342" s="295">
        <v>44491.0</v>
      </c>
      <c r="AC342" s="288"/>
      <c r="AD342" s="288"/>
      <c r="AE342" s="160"/>
      <c r="AF342" s="288"/>
      <c r="AG342" s="160"/>
      <c r="AH342" s="288"/>
      <c r="AI342" s="288"/>
      <c r="AJ342" s="288"/>
      <c r="AK342" s="165" t="s">
        <v>1754</v>
      </c>
      <c r="AL342" s="288"/>
      <c r="AM342" s="288"/>
      <c r="AN342" s="288"/>
      <c r="AO342" s="288"/>
      <c r="AP342" s="150" t="s">
        <v>2663</v>
      </c>
      <c r="AQ342" s="288"/>
    </row>
    <row r="343">
      <c r="A343" s="150" t="s">
        <v>3529</v>
      </c>
      <c r="B343" s="150" t="s">
        <v>3530</v>
      </c>
      <c r="C343" s="175" t="str">
        <f>VLOOKUP(A343,Import!A:C,3,false)</f>
        <v>DOĞRU</v>
      </c>
      <c r="D343" s="150" t="s">
        <v>2724</v>
      </c>
      <c r="E343" s="280">
        <f>VLOOKUP(A343,Import!A:J,5,0)</f>
        <v>6302</v>
      </c>
      <c r="F343" s="280">
        <f>VLOOKUP(A343,Import!A:J,6,0)</f>
        <v>176</v>
      </c>
      <c r="G343" s="289">
        <f>VLOOKUP(A343,Import!A:J,7,0)</f>
        <v>0</v>
      </c>
      <c r="H343" s="289">
        <f>VLOOKUP(A343,Import!A:J,8,0)</f>
        <v>69</v>
      </c>
      <c r="I343" s="289">
        <f>VLOOKUP(A343,Import!A:J,9,0)</f>
        <v>69</v>
      </c>
      <c r="J343" s="282">
        <f>VLOOKUP(A343,Import!A:J,10,0)</f>
        <v>0</v>
      </c>
      <c r="K343" s="244" t="str">
        <f>VLOOKUP(A343,Import!A:P,11,0)</f>
        <v>Barış Çalık</v>
      </c>
      <c r="L343" s="150">
        <v>2.223151551E9</v>
      </c>
      <c r="M343" s="150" t="s">
        <v>2666</v>
      </c>
      <c r="N343" s="150" t="s">
        <v>2685</v>
      </c>
      <c r="O343" s="150" t="s">
        <v>3531</v>
      </c>
      <c r="P343" s="244" t="str">
        <f>VLOOKUP(A343,Import!A:P,16,0)</f>
        <v>Geleneksel</v>
      </c>
      <c r="Q343" s="291" t="s">
        <v>2713</v>
      </c>
      <c r="R343" s="292" t="b">
        <v>1</v>
      </c>
      <c r="S343" s="293" t="b">
        <v>0</v>
      </c>
      <c r="T343" s="149" t="s">
        <v>2714</v>
      </c>
      <c r="U343" s="296"/>
      <c r="V343" s="6"/>
      <c r="W343" s="149" t="s">
        <v>3532</v>
      </c>
      <c r="X343" s="297"/>
      <c r="Y343" s="297"/>
      <c r="Z343" s="288"/>
      <c r="AA343" s="288"/>
      <c r="AB343" s="288"/>
      <c r="AC343" s="288"/>
      <c r="AD343" s="288"/>
      <c r="AE343" s="160"/>
      <c r="AF343" s="288"/>
      <c r="AG343" s="160"/>
      <c r="AH343" s="288"/>
      <c r="AI343" s="288"/>
      <c r="AJ343" s="288"/>
      <c r="AK343" s="288"/>
      <c r="AL343" s="288"/>
      <c r="AM343" s="288"/>
      <c r="AN343" s="288"/>
      <c r="AO343" s="288"/>
      <c r="AP343" s="150" t="s">
        <v>2663</v>
      </c>
      <c r="AQ343" s="288"/>
    </row>
    <row r="344">
      <c r="A344" s="150" t="s">
        <v>3533</v>
      </c>
      <c r="B344" s="150" t="s">
        <v>3534</v>
      </c>
      <c r="C344" s="175" t="str">
        <f>VLOOKUP(A344,Import!A:C,3,false)</f>
        <v>DOĞRU</v>
      </c>
      <c r="D344" s="150" t="s">
        <v>2904</v>
      </c>
      <c r="E344" s="280">
        <f>VLOOKUP(A344,Import!A:J,5,0)</f>
        <v>1322</v>
      </c>
      <c r="F344" s="280">
        <f>VLOOKUP(A344,Import!A:J,6,0)</f>
        <v>67</v>
      </c>
      <c r="G344" s="289">
        <f>VLOOKUP(A344,Import!A:J,7,0)</f>
        <v>0</v>
      </c>
      <c r="H344" s="289">
        <f>VLOOKUP(A344,Import!A:J,8,0)</f>
        <v>49</v>
      </c>
      <c r="I344" s="289">
        <f>VLOOKUP(A344,Import!A:J,9,0)</f>
        <v>49</v>
      </c>
      <c r="J344" s="282">
        <f>VLOOKUP(A344,Import!A:J,10,0)</f>
        <v>0</v>
      </c>
      <c r="K344" s="244" t="str">
        <f>VLOOKUP(A344,Import!A:P,11,0)</f>
        <v>SENA GÜR</v>
      </c>
      <c r="L344" s="150">
        <v>5.357866678E9</v>
      </c>
      <c r="M344" s="150" t="s">
        <v>2666</v>
      </c>
      <c r="N344" s="150" t="s">
        <v>2801</v>
      </c>
      <c r="O344" s="150" t="s">
        <v>3535</v>
      </c>
      <c r="P344" s="244" t="str">
        <f>VLOOKUP(A344,Import!A:P,16,0)</f>
        <v>Geleneksel</v>
      </c>
      <c r="Q344" s="315" t="s">
        <v>2713</v>
      </c>
      <c r="R344" s="292" t="b">
        <v>1</v>
      </c>
      <c r="S344" s="293" t="b">
        <v>0</v>
      </c>
      <c r="T344" s="149" t="s">
        <v>3111</v>
      </c>
      <c r="U344" s="296"/>
      <c r="V344" s="296"/>
      <c r="W344" s="149" t="s">
        <v>3536</v>
      </c>
      <c r="X344" s="297"/>
      <c r="Y344" s="297"/>
      <c r="Z344" s="288"/>
      <c r="AA344" s="288"/>
      <c r="AB344" s="288"/>
      <c r="AC344" s="288"/>
      <c r="AD344" s="288"/>
      <c r="AE344" s="160"/>
      <c r="AF344" s="288"/>
      <c r="AG344" s="160"/>
      <c r="AH344" s="288"/>
      <c r="AI344" s="288"/>
      <c r="AJ344" s="288"/>
      <c r="AK344" s="288"/>
      <c r="AL344" s="288"/>
      <c r="AM344" s="288"/>
      <c r="AN344" s="288"/>
      <c r="AO344" s="288"/>
      <c r="AP344" s="150" t="s">
        <v>2663</v>
      </c>
      <c r="AQ344" s="288"/>
    </row>
    <row r="345">
      <c r="A345" s="150" t="s">
        <v>551</v>
      </c>
      <c r="B345" s="150" t="s">
        <v>552</v>
      </c>
      <c r="C345" s="175" t="str">
        <f>VLOOKUP(A345,Import!A:C,3,false)</f>
        <v>DOĞRU</v>
      </c>
      <c r="D345" s="150" t="s">
        <v>2706</v>
      </c>
      <c r="E345" s="280">
        <f>VLOOKUP(A345,Import!A:J,5,0)</f>
        <v>2378</v>
      </c>
      <c r="F345" s="280">
        <f>VLOOKUP(A345,Import!A:J,6,0)</f>
        <v>90</v>
      </c>
      <c r="G345" s="289">
        <f>VLOOKUP(A345,Import!A:J,7,0)</f>
        <v>66</v>
      </c>
      <c r="H345" s="289">
        <f>VLOOKUP(A345,Import!A:J,8,0)</f>
        <v>28</v>
      </c>
      <c r="I345" s="289">
        <f>VLOOKUP(A345,Import!A:J,9,0)</f>
        <v>94</v>
      </c>
      <c r="J345" s="282">
        <f>VLOOKUP(A345,Import!A:J,10,0)</f>
        <v>0.7</v>
      </c>
      <c r="K345" s="244" t="str">
        <f>VLOOKUP(A345,Import!A:P,11,0)</f>
        <v>MESUT YILMAZ</v>
      </c>
      <c r="L345" s="150">
        <v>2.222217999E9</v>
      </c>
      <c r="M345" s="150" t="s">
        <v>2666</v>
      </c>
      <c r="N345" s="150" t="s">
        <v>2711</v>
      </c>
      <c r="O345" s="150" t="s">
        <v>555</v>
      </c>
      <c r="P345" s="244" t="str">
        <f>VLOOKUP(A345,Import!A:P,16,0)</f>
        <v>Geleneksel</v>
      </c>
      <c r="Q345" s="291" t="s">
        <v>2713</v>
      </c>
      <c r="R345" s="292" t="b">
        <v>1</v>
      </c>
      <c r="S345" s="293" t="b">
        <v>0</v>
      </c>
      <c r="T345" s="149" t="s">
        <v>2661</v>
      </c>
      <c r="U345" s="149" t="s">
        <v>819</v>
      </c>
      <c r="V345" s="380" t="s">
        <v>1609</v>
      </c>
      <c r="W345" s="149" t="s">
        <v>1096</v>
      </c>
      <c r="X345" s="294">
        <v>44508.0</v>
      </c>
      <c r="Y345" s="294">
        <v>44508.0</v>
      </c>
      <c r="Z345" s="288"/>
      <c r="AA345" s="165" t="s">
        <v>2669</v>
      </c>
      <c r="AB345" s="295">
        <v>44496.0</v>
      </c>
      <c r="AC345" s="165" t="s">
        <v>2669</v>
      </c>
      <c r="AD345" s="295">
        <v>44508.0</v>
      </c>
      <c r="AE345" s="160"/>
      <c r="AF345" s="288"/>
      <c r="AG345" s="160"/>
      <c r="AH345" s="288"/>
      <c r="AI345" s="288"/>
      <c r="AJ345" s="288"/>
      <c r="AK345" s="165" t="s">
        <v>819</v>
      </c>
      <c r="AL345" s="165" t="s">
        <v>819</v>
      </c>
      <c r="AM345" s="288"/>
      <c r="AN345" s="288"/>
      <c r="AO345" s="288"/>
      <c r="AP345" s="150" t="s">
        <v>2663</v>
      </c>
      <c r="AQ345" s="288"/>
    </row>
    <row r="346">
      <c r="A346" s="150" t="s">
        <v>3537</v>
      </c>
      <c r="B346" s="150" t="s">
        <v>3538</v>
      </c>
      <c r="C346" s="175" t="str">
        <f>VLOOKUP(A346,Import!A:C,3,false)</f>
        <v>DOĞRU</v>
      </c>
      <c r="D346" s="150" t="s">
        <v>2850</v>
      </c>
      <c r="E346" s="280">
        <f>VLOOKUP(A346,Import!A:J,5,0)</f>
        <v>1</v>
      </c>
      <c r="F346" s="280">
        <f>VLOOKUP(A346,Import!A:J,6,0)</f>
        <v>1</v>
      </c>
      <c r="G346" s="289">
        <f>VLOOKUP(A346,Import!A:J,7,0)</f>
        <v>0</v>
      </c>
      <c r="H346" s="289">
        <f>VLOOKUP(A346,Import!A:J,8,0)</f>
        <v>21</v>
      </c>
      <c r="I346" s="289">
        <f>VLOOKUP(A346,Import!A:J,9,0)</f>
        <v>21</v>
      </c>
      <c r="J346" s="282">
        <f>VLOOKUP(A346,Import!A:J,10,0)</f>
        <v>0</v>
      </c>
      <c r="K346" s="150" t="s">
        <v>3539</v>
      </c>
      <c r="L346" s="150">
        <v>2.22503304E9</v>
      </c>
      <c r="M346" s="150" t="s">
        <v>2666</v>
      </c>
      <c r="N346" s="150" t="s">
        <v>2809</v>
      </c>
      <c r="O346" s="150" t="s">
        <v>3540</v>
      </c>
      <c r="P346" s="244" t="str">
        <f>VLOOKUP(A346,Import!A:P,16,0)</f>
        <v>Geleneksel</v>
      </c>
      <c r="Q346" s="291"/>
      <c r="R346" s="292" t="b">
        <v>0</v>
      </c>
      <c r="S346" s="293" t="b">
        <v>0</v>
      </c>
      <c r="T346" s="149"/>
      <c r="U346" s="296"/>
      <c r="V346" s="296"/>
      <c r="W346" s="149"/>
      <c r="X346" s="297"/>
      <c r="Y346" s="297"/>
      <c r="Z346" s="288"/>
      <c r="AA346" s="165"/>
      <c r="AB346" s="295"/>
      <c r="AC346" s="288"/>
      <c r="AD346" s="288"/>
      <c r="AE346" s="160"/>
      <c r="AF346" s="288"/>
      <c r="AG346" s="160"/>
      <c r="AH346" s="288"/>
      <c r="AI346" s="288"/>
      <c r="AJ346" s="288"/>
      <c r="AK346" s="165"/>
      <c r="AL346" s="288"/>
      <c r="AM346" s="288"/>
      <c r="AN346" s="288"/>
      <c r="AO346" s="165"/>
      <c r="AP346" s="150"/>
      <c r="AQ346" s="165"/>
    </row>
    <row r="347">
      <c r="A347" s="150" t="s">
        <v>3541</v>
      </c>
      <c r="B347" s="150" t="s">
        <v>3542</v>
      </c>
      <c r="C347" s="175" t="str">
        <f>VLOOKUP(A347,Import!A:C,3,false)</f>
        <v>DOĞRU</v>
      </c>
      <c r="D347" s="150" t="s">
        <v>2773</v>
      </c>
      <c r="E347" s="280">
        <f>VLOOKUP(A347,Import!A:J,5,0)</f>
        <v>40</v>
      </c>
      <c r="F347" s="280">
        <f>VLOOKUP(A347,Import!A:J,6,0)</f>
        <v>10</v>
      </c>
      <c r="G347" s="289">
        <f>VLOOKUP(A347,Import!A:J,7,0)</f>
        <v>0</v>
      </c>
      <c r="H347" s="289">
        <f>VLOOKUP(A347,Import!A:J,8,0)</f>
        <v>10</v>
      </c>
      <c r="I347" s="289">
        <f>VLOOKUP(A347,Import!A:J,9,0)</f>
        <v>10</v>
      </c>
      <c r="J347" s="282">
        <f>VLOOKUP(A347,Import!A:J,10,0)</f>
        <v>0</v>
      </c>
      <c r="K347" s="290" t="s">
        <v>3543</v>
      </c>
      <c r="L347" s="150">
        <v>5.350712764E9</v>
      </c>
      <c r="M347" s="150" t="s">
        <v>2666</v>
      </c>
      <c r="N347" s="150" t="s">
        <v>3000</v>
      </c>
      <c r="O347" s="150" t="s">
        <v>3544</v>
      </c>
      <c r="P347" s="244" t="str">
        <f>VLOOKUP(A347,Import!A:P,16,0)</f>
        <v>Geleneksel</v>
      </c>
      <c r="Q347" s="291"/>
      <c r="R347" s="292" t="b">
        <v>1</v>
      </c>
      <c r="S347" s="293" t="b">
        <v>0</v>
      </c>
      <c r="T347" s="149" t="s">
        <v>2770</v>
      </c>
      <c r="U347" s="296"/>
      <c r="V347" s="381"/>
      <c r="W347" s="149" t="s">
        <v>3545</v>
      </c>
      <c r="X347" s="294"/>
      <c r="Y347" s="294"/>
      <c r="Z347" s="288"/>
      <c r="AA347" s="165" t="s">
        <v>2669</v>
      </c>
      <c r="AB347" s="295">
        <v>44627.0</v>
      </c>
      <c r="AC347" s="288"/>
      <c r="AD347" s="288"/>
      <c r="AE347" s="160"/>
      <c r="AF347" s="288"/>
      <c r="AG347" s="160"/>
      <c r="AH347" s="288"/>
      <c r="AI347" s="288"/>
      <c r="AJ347" s="288"/>
      <c r="AK347" s="165" t="s">
        <v>943</v>
      </c>
      <c r="AL347" s="288"/>
      <c r="AM347" s="288"/>
      <c r="AN347" s="288"/>
      <c r="AO347" s="165"/>
      <c r="AP347" s="150"/>
      <c r="AQ347" s="165"/>
    </row>
    <row r="348">
      <c r="A348" s="150" t="s">
        <v>2129</v>
      </c>
      <c r="B348" s="150" t="s">
        <v>2130</v>
      </c>
      <c r="C348" s="175" t="str">
        <f>VLOOKUP(A348,Import!A:C,3,false)</f>
        <v>DOĞRU</v>
      </c>
      <c r="D348" s="150" t="s">
        <v>2664</v>
      </c>
      <c r="E348" s="280">
        <f>VLOOKUP(A348,Import!A:J,5,0)</f>
        <v>58</v>
      </c>
      <c r="F348" s="280">
        <f>VLOOKUP(A348,Import!A:J,6,0)</f>
        <v>5</v>
      </c>
      <c r="G348" s="289">
        <f>VLOOKUP(A348,Import!A:J,7,0)</f>
        <v>20</v>
      </c>
      <c r="H348" s="289">
        <f>VLOOKUP(A348,Import!A:J,8,0)</f>
        <v>24</v>
      </c>
      <c r="I348" s="289">
        <f>VLOOKUP(A348,Import!A:J,9,0)</f>
        <v>44</v>
      </c>
      <c r="J348" s="282">
        <f>VLOOKUP(A348,Import!A:J,10,0)</f>
        <v>0.45</v>
      </c>
      <c r="K348" s="290" t="s">
        <v>3546</v>
      </c>
      <c r="L348" s="150">
        <v>5.510785383E9</v>
      </c>
      <c r="M348" s="150" t="s">
        <v>1450</v>
      </c>
      <c r="N348" s="150" t="s">
        <v>2700</v>
      </c>
      <c r="O348" s="150" t="s">
        <v>2132</v>
      </c>
      <c r="P348" s="244" t="str">
        <f>VLOOKUP(A348,Import!A:P,16,0)</f>
        <v>Geleneksel</v>
      </c>
      <c r="Q348" s="291"/>
      <c r="R348" s="292" t="b">
        <v>1</v>
      </c>
      <c r="S348" s="293" t="b">
        <v>0</v>
      </c>
      <c r="T348" s="149" t="s">
        <v>2661</v>
      </c>
      <c r="U348" s="149" t="s">
        <v>1715</v>
      </c>
      <c r="V348" s="296"/>
      <c r="W348" s="149"/>
      <c r="X348" s="294">
        <v>44537.0</v>
      </c>
      <c r="Y348" s="294">
        <v>44538.0</v>
      </c>
      <c r="Z348" s="288"/>
      <c r="AA348" s="165" t="s">
        <v>2669</v>
      </c>
      <c r="AB348" s="295">
        <v>44537.0</v>
      </c>
      <c r="AC348" s="288"/>
      <c r="AD348" s="288"/>
      <c r="AE348" s="160"/>
      <c r="AF348" s="288"/>
      <c r="AG348" s="160"/>
      <c r="AH348" s="288"/>
      <c r="AI348" s="288"/>
      <c r="AJ348" s="288"/>
      <c r="AK348" s="165" t="s">
        <v>1715</v>
      </c>
      <c r="AL348" s="288"/>
      <c r="AM348" s="288"/>
      <c r="AN348" s="288"/>
      <c r="AO348" s="165"/>
      <c r="AP348" s="150" t="s">
        <v>2663</v>
      </c>
      <c r="AQ348" s="165"/>
    </row>
    <row r="349">
      <c r="A349" s="150" t="s">
        <v>2326</v>
      </c>
      <c r="B349" s="150" t="s">
        <v>2327</v>
      </c>
      <c r="C349" s="175" t="str">
        <f>VLOOKUP(A349,Import!A:C,3,false)</f>
        <v>DOĞRU</v>
      </c>
      <c r="D349" s="150" t="s">
        <v>2763</v>
      </c>
      <c r="E349" s="280">
        <f>VLOOKUP(A349,Import!A:J,5,0)</f>
        <v>169</v>
      </c>
      <c r="F349" s="280">
        <f>VLOOKUP(A349,Import!A:J,6,0)</f>
        <v>10</v>
      </c>
      <c r="G349" s="289">
        <f>VLOOKUP(A349,Import!A:J,7,0)</f>
        <v>0</v>
      </c>
      <c r="H349" s="289">
        <f>VLOOKUP(A349,Import!A:J,8,0)</f>
        <v>18</v>
      </c>
      <c r="I349" s="289">
        <f>VLOOKUP(A349,Import!A:J,9,0)</f>
        <v>18</v>
      </c>
      <c r="J349" s="282">
        <f>VLOOKUP(A349,Import!A:J,10,0)</f>
        <v>0</v>
      </c>
      <c r="K349" s="290" t="s">
        <v>3547</v>
      </c>
      <c r="L349" s="150">
        <v>5.616117277E9</v>
      </c>
      <c r="M349" s="150" t="s">
        <v>2666</v>
      </c>
      <c r="N349" s="150" t="s">
        <v>3084</v>
      </c>
      <c r="O349" s="150" t="s">
        <v>2324</v>
      </c>
      <c r="P349" s="244" t="str">
        <f>VLOOKUP(A349,Import!A:P,16,0)</f>
        <v>Geleneksel</v>
      </c>
      <c r="Q349" s="291"/>
      <c r="R349" s="292" t="b">
        <v>1</v>
      </c>
      <c r="S349" s="293" t="b">
        <v>0</v>
      </c>
      <c r="T349" s="149" t="s">
        <v>2661</v>
      </c>
      <c r="U349" s="149" t="s">
        <v>1715</v>
      </c>
      <c r="V349" s="101" t="s">
        <v>2783</v>
      </c>
      <c r="W349" s="149"/>
      <c r="X349" s="294">
        <v>44565.0</v>
      </c>
      <c r="Y349" s="294">
        <v>44567.0</v>
      </c>
      <c r="Z349" s="288"/>
      <c r="AA349" s="165" t="s">
        <v>2669</v>
      </c>
      <c r="AB349" s="295">
        <v>44565.0</v>
      </c>
      <c r="AC349" s="288"/>
      <c r="AD349" s="288"/>
      <c r="AE349" s="160"/>
      <c r="AF349" s="288"/>
      <c r="AG349" s="160"/>
      <c r="AH349" s="288"/>
      <c r="AI349" s="288"/>
      <c r="AJ349" s="288"/>
      <c r="AK349" s="165" t="s">
        <v>1715</v>
      </c>
      <c r="AL349" s="288"/>
      <c r="AM349" s="288"/>
      <c r="AN349" s="288"/>
      <c r="AO349" s="165"/>
      <c r="AP349" s="150"/>
      <c r="AQ349" s="165"/>
    </row>
    <row r="350">
      <c r="A350" s="150" t="s">
        <v>3548</v>
      </c>
      <c r="B350" s="150" t="s">
        <v>3549</v>
      </c>
      <c r="C350" s="175" t="str">
        <f>VLOOKUP(A350,Import!A:C,3,false)</f>
        <v>DOĞRU</v>
      </c>
      <c r="D350" s="150" t="s">
        <v>2763</v>
      </c>
      <c r="E350" s="280">
        <f>VLOOKUP(A350,Import!A:J,5,0)</f>
        <v>245</v>
      </c>
      <c r="F350" s="280">
        <f>VLOOKUP(A350,Import!A:J,6,0)</f>
        <v>8</v>
      </c>
      <c r="G350" s="289">
        <f>VLOOKUP(A350,Import!A:J,7,0)</f>
        <v>0</v>
      </c>
      <c r="H350" s="289">
        <f>VLOOKUP(A350,Import!A:J,8,0)</f>
        <v>24</v>
      </c>
      <c r="I350" s="289">
        <f>VLOOKUP(A350,Import!A:J,9,0)</f>
        <v>24</v>
      </c>
      <c r="J350" s="282">
        <f>VLOOKUP(A350,Import!A:J,10,0)</f>
        <v>0</v>
      </c>
      <c r="K350" s="290" t="s">
        <v>3550</v>
      </c>
      <c r="L350" s="150">
        <v>5.531029147E9</v>
      </c>
      <c r="M350" s="150" t="s">
        <v>1450</v>
      </c>
      <c r="N350" s="150" t="s">
        <v>2732</v>
      </c>
      <c r="O350" s="150" t="s">
        <v>3551</v>
      </c>
      <c r="P350" s="244" t="str">
        <f>VLOOKUP(A350,Import!A:P,16,0)</f>
        <v>Geleneksel</v>
      </c>
      <c r="Q350" s="291"/>
      <c r="R350" s="292" t="b">
        <v>1</v>
      </c>
      <c r="S350" s="293" t="b">
        <v>0</v>
      </c>
      <c r="T350" s="149" t="s">
        <v>2864</v>
      </c>
      <c r="U350" s="296"/>
      <c r="V350" s="296"/>
      <c r="W350" s="149" t="s">
        <v>3552</v>
      </c>
      <c r="X350" s="297"/>
      <c r="Y350" s="297"/>
      <c r="Z350" s="288"/>
      <c r="AA350" s="165"/>
      <c r="AB350" s="295"/>
      <c r="AC350" s="288"/>
      <c r="AD350" s="288"/>
      <c r="AE350" s="160"/>
      <c r="AF350" s="288"/>
      <c r="AG350" s="160"/>
      <c r="AH350" s="288"/>
      <c r="AI350" s="288"/>
      <c r="AJ350" s="288"/>
      <c r="AK350" s="165"/>
      <c r="AL350" s="288"/>
      <c r="AM350" s="288"/>
      <c r="AN350" s="288"/>
      <c r="AO350" s="165"/>
      <c r="AP350" s="150"/>
      <c r="AQ350" s="165"/>
    </row>
    <row r="351">
      <c r="A351" s="150" t="s">
        <v>3553</v>
      </c>
      <c r="B351" s="150" t="s">
        <v>3554</v>
      </c>
      <c r="C351" s="175" t="str">
        <f>VLOOKUP(A351,Import!A:C,3,false)</f>
        <v>DOĞRU</v>
      </c>
      <c r="D351" s="150" t="s">
        <v>2724</v>
      </c>
      <c r="E351" s="280">
        <f>VLOOKUP(A351,Import!A:J,5,0)</f>
        <v>2</v>
      </c>
      <c r="F351" s="280">
        <f>VLOOKUP(A351,Import!A:J,6,0)</f>
        <v>2</v>
      </c>
      <c r="G351" s="289">
        <f>VLOOKUP(A351,Import!A:J,7,0)</f>
        <v>0</v>
      </c>
      <c r="H351" s="289">
        <f>VLOOKUP(A351,Import!A:J,8,0)</f>
        <v>27</v>
      </c>
      <c r="I351" s="289">
        <f>VLOOKUP(A351,Import!A:J,9,0)</f>
        <v>27</v>
      </c>
      <c r="J351" s="282">
        <f>VLOOKUP(A351,Import!A:J,10,0)</f>
        <v>0</v>
      </c>
      <c r="K351" s="150" t="s">
        <v>3555</v>
      </c>
      <c r="L351" s="150">
        <v>5.448313732E9</v>
      </c>
      <c r="M351" s="150" t="s">
        <v>1450</v>
      </c>
      <c r="N351" s="150" t="s">
        <v>2705</v>
      </c>
      <c r="O351" s="150" t="s">
        <v>3556</v>
      </c>
      <c r="P351" s="244" t="str">
        <f>VLOOKUP(A351,Import!A:P,16,0)</f>
        <v>Geleneksel</v>
      </c>
      <c r="Q351" s="291"/>
      <c r="R351" s="292" t="b">
        <v>0</v>
      </c>
      <c r="S351" s="293" t="b">
        <v>0</v>
      </c>
      <c r="T351" s="149"/>
      <c r="U351" s="296"/>
      <c r="V351" s="296"/>
      <c r="W351" s="149"/>
      <c r="X351" s="297"/>
      <c r="Y351" s="297"/>
      <c r="Z351" s="288"/>
      <c r="AA351" s="165"/>
      <c r="AB351" s="295"/>
      <c r="AC351" s="288"/>
      <c r="AD351" s="288"/>
      <c r="AE351" s="160"/>
      <c r="AF351" s="288"/>
      <c r="AG351" s="160"/>
      <c r="AH351" s="288"/>
      <c r="AI351" s="288"/>
      <c r="AJ351" s="288"/>
      <c r="AK351" s="165"/>
      <c r="AL351" s="288"/>
      <c r="AM351" s="288"/>
      <c r="AN351" s="288"/>
      <c r="AO351" s="165"/>
      <c r="AP351" s="150"/>
      <c r="AQ351" s="165"/>
    </row>
    <row r="352">
      <c r="A352" s="150" t="s">
        <v>1905</v>
      </c>
      <c r="B352" s="150" t="s">
        <v>1906</v>
      </c>
      <c r="C352" s="175" t="str">
        <f>VLOOKUP(A352,Import!A:C,3,false)</f>
        <v>DOĞRU</v>
      </c>
      <c r="D352" s="150" t="s">
        <v>2763</v>
      </c>
      <c r="E352" s="280">
        <f>VLOOKUP(A352,Import!A:J,5,0)</f>
        <v>1413</v>
      </c>
      <c r="F352" s="280">
        <f>VLOOKUP(A352,Import!A:J,6,0)</f>
        <v>19</v>
      </c>
      <c r="G352" s="289">
        <f>VLOOKUP(A352,Import!A:J,7,0)</f>
        <v>9</v>
      </c>
      <c r="H352" s="289">
        <f>VLOOKUP(A352,Import!A:J,8,0)</f>
        <v>25</v>
      </c>
      <c r="I352" s="289">
        <f>VLOOKUP(A352,Import!A:J,9,0)</f>
        <v>34</v>
      </c>
      <c r="J352" s="282">
        <f>VLOOKUP(A352,Import!A:J,10,0)</f>
        <v>0.26</v>
      </c>
      <c r="K352" s="244" t="str">
        <f>VLOOKUP(A352,Import!A:P,11,0)</f>
        <v>Ahmet Eraslan</v>
      </c>
      <c r="L352" s="150">
        <v>2.223308939E9</v>
      </c>
      <c r="M352" s="150" t="s">
        <v>2666</v>
      </c>
      <c r="N352" s="150" t="s">
        <v>2750</v>
      </c>
      <c r="O352" s="150" t="s">
        <v>1909</v>
      </c>
      <c r="P352" s="244" t="str">
        <f>VLOOKUP(A352,Import!A:P,16,0)</f>
        <v>Geleneksel</v>
      </c>
      <c r="Q352" s="291"/>
      <c r="R352" s="292" t="b">
        <v>1</v>
      </c>
      <c r="S352" s="293" t="b">
        <v>0</v>
      </c>
      <c r="T352" s="149" t="s">
        <v>2661</v>
      </c>
      <c r="U352" s="149" t="s">
        <v>943</v>
      </c>
      <c r="V352" s="149" t="s">
        <v>1910</v>
      </c>
      <c r="W352" s="149"/>
      <c r="X352" s="294">
        <v>44510.0</v>
      </c>
      <c r="Y352" s="294">
        <v>44512.0</v>
      </c>
      <c r="Z352" s="288"/>
      <c r="AA352" s="165" t="s">
        <v>2669</v>
      </c>
      <c r="AB352" s="295">
        <v>44510.0</v>
      </c>
      <c r="AC352" s="288"/>
      <c r="AD352" s="288"/>
      <c r="AE352" s="160"/>
      <c r="AF352" s="288"/>
      <c r="AG352" s="160"/>
      <c r="AH352" s="288"/>
      <c r="AI352" s="288"/>
      <c r="AJ352" s="288"/>
      <c r="AK352" s="165" t="s">
        <v>943</v>
      </c>
      <c r="AL352" s="288"/>
      <c r="AM352" s="288"/>
      <c r="AN352" s="288"/>
      <c r="AO352" s="288"/>
      <c r="AP352" s="150" t="s">
        <v>2663</v>
      </c>
      <c r="AQ352" s="288"/>
    </row>
    <row r="353">
      <c r="A353" s="150" t="s">
        <v>547</v>
      </c>
      <c r="B353" s="150" t="s">
        <v>548</v>
      </c>
      <c r="C353" s="175" t="str">
        <f>VLOOKUP(A353,Import!A:C,3,false)</f>
        <v>YANLIŞ</v>
      </c>
      <c r="D353" s="155" t="s">
        <v>2696</v>
      </c>
      <c r="E353" s="280">
        <f>VLOOKUP(A353,Import!A:J,5,0)</f>
        <v>202</v>
      </c>
      <c r="F353" s="280" t="str">
        <f>VLOOKUP(A353,Import!A:J,6,0)</f>
        <v/>
      </c>
      <c r="G353" s="289">
        <f>VLOOKUP(A353,Import!A:J,7,0)</f>
        <v>0</v>
      </c>
      <c r="H353" s="289">
        <f>VLOOKUP(A353,Import!A:J,8,0)</f>
        <v>48</v>
      </c>
      <c r="I353" s="289">
        <f>VLOOKUP(A353,Import!A:J,9,0)</f>
        <v>48</v>
      </c>
      <c r="J353" s="282">
        <f>VLOOKUP(A353,Import!A:J,10,0)</f>
        <v>0</v>
      </c>
      <c r="K353" s="244" t="str">
        <f>VLOOKUP(A353,Import!A:P,11,0)</f>
        <v>Aynur Bozkaya</v>
      </c>
      <c r="L353" s="155">
        <v>2.223152315E9</v>
      </c>
      <c r="M353" s="155" t="s">
        <v>2666</v>
      </c>
      <c r="N353" s="155" t="s">
        <v>2685</v>
      </c>
      <c r="O353" s="155" t="s">
        <v>550</v>
      </c>
      <c r="P353" s="244" t="str">
        <f>VLOOKUP(A353,Import!A:P,16,0)</f>
        <v>Geleneksel</v>
      </c>
      <c r="Q353" s="341" t="s">
        <v>2713</v>
      </c>
      <c r="R353" s="342" t="b">
        <v>1</v>
      </c>
      <c r="S353" s="343" t="b">
        <v>0</v>
      </c>
      <c r="T353" s="148" t="s">
        <v>2668</v>
      </c>
      <c r="U353" s="148"/>
      <c r="V353" s="148" t="s">
        <v>31</v>
      </c>
      <c r="W353" s="148" t="s">
        <v>3557</v>
      </c>
      <c r="X353" s="382">
        <v>44237.0</v>
      </c>
      <c r="Y353" s="382">
        <v>44246.0</v>
      </c>
      <c r="Z353" s="288"/>
      <c r="AA353" s="288"/>
      <c r="AB353" s="288"/>
      <c r="AC353" s="288"/>
      <c r="AD353" s="288"/>
      <c r="AE353" s="160"/>
      <c r="AF353" s="288"/>
      <c r="AG353" s="160"/>
      <c r="AH353" s="288"/>
      <c r="AI353" s="288"/>
      <c r="AJ353" s="288"/>
      <c r="AK353" s="288"/>
      <c r="AL353" s="288"/>
      <c r="AM353" s="288"/>
      <c r="AN353" s="288"/>
      <c r="AO353" s="288"/>
      <c r="AP353" s="150" t="s">
        <v>2663</v>
      </c>
      <c r="AQ353" s="288"/>
    </row>
    <row r="354">
      <c r="A354" s="150" t="s">
        <v>974</v>
      </c>
      <c r="B354" s="150" t="s">
        <v>975</v>
      </c>
      <c r="C354" s="175" t="str">
        <f>VLOOKUP(A354,Import!A:C,3,false)</f>
        <v>DOĞRU</v>
      </c>
      <c r="D354" s="150" t="s">
        <v>2701</v>
      </c>
      <c r="E354" s="280">
        <f>VLOOKUP(A354,Import!A:J,5,0)</f>
        <v>2717</v>
      </c>
      <c r="F354" s="280">
        <f>VLOOKUP(A354,Import!A:J,6,0)</f>
        <v>86</v>
      </c>
      <c r="G354" s="289">
        <f>VLOOKUP(A354,Import!A:J,7,0)</f>
        <v>0</v>
      </c>
      <c r="H354" s="289">
        <f>VLOOKUP(A354,Import!A:J,8,0)</f>
        <v>44</v>
      </c>
      <c r="I354" s="289">
        <f>VLOOKUP(A354,Import!A:J,9,0)</f>
        <v>44</v>
      </c>
      <c r="J354" s="282">
        <f>VLOOKUP(A354,Import!A:J,10,0)</f>
        <v>0</v>
      </c>
      <c r="K354" s="244" t="str">
        <f>VLOOKUP(A354,Import!A:P,11,0)</f>
        <v>Tuğba Yılmaz</v>
      </c>
      <c r="L354" s="150">
        <v>5.323992666E9</v>
      </c>
      <c r="M354" s="150" t="s">
        <v>1450</v>
      </c>
      <c r="N354" s="150" t="s">
        <v>2795</v>
      </c>
      <c r="O354" s="150" t="s">
        <v>977</v>
      </c>
      <c r="P354" s="244" t="str">
        <f>VLOOKUP(A354,Import!A:P,16,0)</f>
        <v>Geleneksel</v>
      </c>
      <c r="Q354" s="291" t="s">
        <v>2760</v>
      </c>
      <c r="R354" s="292" t="b">
        <v>1</v>
      </c>
      <c r="S354" s="293" t="b">
        <v>0</v>
      </c>
      <c r="T354" s="149" t="s">
        <v>2668</v>
      </c>
      <c r="U354" s="149" t="s">
        <v>945</v>
      </c>
      <c r="V354" s="149" t="s">
        <v>46</v>
      </c>
      <c r="W354" s="149" t="s">
        <v>3558</v>
      </c>
      <c r="X354" s="294">
        <v>44260.0</v>
      </c>
      <c r="Y354" s="294">
        <v>44263.0</v>
      </c>
      <c r="Z354" s="288"/>
      <c r="AA354" s="165" t="s">
        <v>2669</v>
      </c>
      <c r="AB354" s="295">
        <v>44478.0</v>
      </c>
      <c r="AC354" s="165" t="s">
        <v>2669</v>
      </c>
      <c r="AD354" s="295">
        <v>44642.0</v>
      </c>
      <c r="AE354" s="160"/>
      <c r="AF354" s="288"/>
      <c r="AG354" s="160"/>
      <c r="AH354" s="288"/>
      <c r="AI354" s="288"/>
      <c r="AJ354" s="288"/>
      <c r="AK354" s="165" t="s">
        <v>1824</v>
      </c>
      <c r="AL354" s="165" t="s">
        <v>943</v>
      </c>
      <c r="AM354" s="288"/>
      <c r="AN354" s="288"/>
      <c r="AO354" s="288"/>
      <c r="AP354" s="150" t="s">
        <v>2663</v>
      </c>
      <c r="AQ354" s="288"/>
    </row>
    <row r="355">
      <c r="A355" s="150" t="s">
        <v>3559</v>
      </c>
      <c r="B355" s="150" t="s">
        <v>3560</v>
      </c>
      <c r="C355" s="175" t="str">
        <f>VLOOKUP(A355,Import!A:C,3,false)</f>
        <v>DOĞRU</v>
      </c>
      <c r="D355" s="150" t="s">
        <v>3561</v>
      </c>
      <c r="E355" s="280">
        <f>VLOOKUP(A355,Import!A:J,5,0)</f>
        <v>93</v>
      </c>
      <c r="F355" s="280">
        <f>VLOOKUP(A355,Import!A:J,6,0)</f>
        <v>6</v>
      </c>
      <c r="G355" s="289">
        <f>VLOOKUP(A355,Import!A:J,7,0)</f>
        <v>0</v>
      </c>
      <c r="H355" s="289">
        <f>VLOOKUP(A355,Import!A:J,8,0)</f>
        <v>2</v>
      </c>
      <c r="I355" s="289">
        <f>VLOOKUP(A355,Import!A:J,9,0)</f>
        <v>2</v>
      </c>
      <c r="J355" s="282">
        <f>VLOOKUP(A355,Import!A:J,10,0)</f>
        <v>0</v>
      </c>
      <c r="K355" s="290" t="s">
        <v>3562</v>
      </c>
      <c r="L355" s="150">
        <v>5.333303746E9</v>
      </c>
      <c r="M355" s="150" t="s">
        <v>1450</v>
      </c>
      <c r="N355" s="150" t="s">
        <v>2950</v>
      </c>
      <c r="O355" s="150" t="s">
        <v>3563</v>
      </c>
      <c r="P355" s="244" t="str">
        <f>VLOOKUP(A355,Import!A:P,16,0)</f>
        <v>Geleneksel</v>
      </c>
      <c r="Q355" s="291"/>
      <c r="R355" s="292" t="b">
        <v>1</v>
      </c>
      <c r="S355" s="293" t="b">
        <v>0</v>
      </c>
      <c r="T355" s="149" t="s">
        <v>2693</v>
      </c>
      <c r="U355" s="296"/>
      <c r="V355" s="312"/>
      <c r="W355" s="149" t="s">
        <v>3564</v>
      </c>
      <c r="X355" s="297"/>
      <c r="Y355" s="297"/>
      <c r="Z355" s="288"/>
      <c r="AA355" s="165" t="s">
        <v>2772</v>
      </c>
      <c r="AB355" s="295">
        <v>44596.0</v>
      </c>
      <c r="AC355" s="165" t="s">
        <v>2772</v>
      </c>
      <c r="AD355" s="295">
        <v>44599.0</v>
      </c>
      <c r="AE355" s="160"/>
      <c r="AF355" s="288"/>
      <c r="AG355" s="160"/>
      <c r="AH355" s="288"/>
      <c r="AI355" s="288"/>
      <c r="AJ355" s="288"/>
      <c r="AK355" s="165" t="s">
        <v>819</v>
      </c>
      <c r="AL355" s="165" t="s">
        <v>819</v>
      </c>
      <c r="AM355" s="288"/>
      <c r="AN355" s="288"/>
      <c r="AO355" s="165"/>
      <c r="AP355" s="150"/>
      <c r="AQ355" s="165"/>
    </row>
    <row r="356">
      <c r="A356" s="150" t="s">
        <v>2281</v>
      </c>
      <c r="B356" s="150" t="s">
        <v>2282</v>
      </c>
      <c r="C356" s="175" t="str">
        <f>VLOOKUP(A356,Import!A:C,3,false)</f>
        <v>DOĞRU</v>
      </c>
      <c r="D356" s="150" t="s">
        <v>2701</v>
      </c>
      <c r="E356" s="280">
        <f>VLOOKUP(A356,Import!A:J,5,0)</f>
        <v>117</v>
      </c>
      <c r="F356" s="280">
        <f>VLOOKUP(A356,Import!A:J,6,0)</f>
        <v>7</v>
      </c>
      <c r="G356" s="289">
        <f>VLOOKUP(A356,Import!A:J,7,0)</f>
        <v>4</v>
      </c>
      <c r="H356" s="289">
        <f>VLOOKUP(A356,Import!A:J,8,0)</f>
        <v>0</v>
      </c>
      <c r="I356" s="289">
        <f>VLOOKUP(A356,Import!A:J,9,0)</f>
        <v>4</v>
      </c>
      <c r="J356" s="282">
        <f>VLOOKUP(A356,Import!A:J,10,0)</f>
        <v>1</v>
      </c>
      <c r="K356" s="290" t="s">
        <v>3094</v>
      </c>
      <c r="L356" s="150">
        <v>5.395072904E9</v>
      </c>
      <c r="M356" s="150" t="s">
        <v>2666</v>
      </c>
      <c r="N356" s="150" t="s">
        <v>2750</v>
      </c>
      <c r="O356" s="150" t="s">
        <v>1946</v>
      </c>
      <c r="P356" s="244" t="str">
        <f>VLOOKUP(A356,Import!A:P,16,0)</f>
        <v>Geleneksel</v>
      </c>
      <c r="Q356" s="291"/>
      <c r="R356" s="292" t="b">
        <v>1</v>
      </c>
      <c r="S356" s="293" t="b">
        <v>0</v>
      </c>
      <c r="T356" s="149" t="s">
        <v>2661</v>
      </c>
      <c r="U356" s="149" t="s">
        <v>1717</v>
      </c>
      <c r="V356" s="383" t="s">
        <v>1609</v>
      </c>
      <c r="W356" s="149"/>
      <c r="X356" s="294">
        <v>44558.0</v>
      </c>
      <c r="Y356" s="294">
        <v>44560.0</v>
      </c>
      <c r="Z356" s="288"/>
      <c r="AA356" s="165" t="s">
        <v>2669</v>
      </c>
      <c r="AB356" s="295">
        <v>44558.0</v>
      </c>
      <c r="AC356" s="288"/>
      <c r="AD356" s="288"/>
      <c r="AE356" s="160"/>
      <c r="AF356" s="288"/>
      <c r="AG356" s="160"/>
      <c r="AH356" s="288"/>
      <c r="AI356" s="288"/>
      <c r="AJ356" s="288"/>
      <c r="AK356" s="165" t="s">
        <v>1717</v>
      </c>
      <c r="AL356" s="288"/>
      <c r="AM356" s="288"/>
      <c r="AN356" s="288"/>
      <c r="AO356" s="165"/>
      <c r="AP356" s="150"/>
      <c r="AQ356" s="165"/>
    </row>
    <row r="357">
      <c r="A357" s="150" t="s">
        <v>3565</v>
      </c>
      <c r="B357" s="150" t="s">
        <v>3566</v>
      </c>
      <c r="C357" s="175" t="str">
        <f>VLOOKUP(A357,Import!A:C,3,false)</f>
        <v>DOĞRU</v>
      </c>
      <c r="D357" s="150" t="s">
        <v>2845</v>
      </c>
      <c r="E357" s="280">
        <f>VLOOKUP(A357,Import!A:J,5,0)</f>
        <v>7408</v>
      </c>
      <c r="F357" s="280">
        <f>VLOOKUP(A357,Import!A:J,6,0)</f>
        <v>163</v>
      </c>
      <c r="G357" s="289">
        <f>VLOOKUP(A357,Import!A:J,7,0)</f>
        <v>0</v>
      </c>
      <c r="H357" s="289">
        <f>VLOOKUP(A357,Import!A:J,8,0)</f>
        <v>65</v>
      </c>
      <c r="I357" s="289">
        <f>VLOOKUP(A357,Import!A:J,9,0)</f>
        <v>65</v>
      </c>
      <c r="J357" s="282">
        <f>VLOOKUP(A357,Import!A:J,10,0)</f>
        <v>0</v>
      </c>
      <c r="K357" s="244" t="str">
        <f>VLOOKUP(A357,Import!A:P,11,0)</f>
        <v>TOLGAY GÖKKILIÇ</v>
      </c>
      <c r="L357" s="150">
        <v>5.304924953E9</v>
      </c>
      <c r="M357" s="150" t="s">
        <v>2666</v>
      </c>
      <c r="N357" s="150" t="s">
        <v>2801</v>
      </c>
      <c r="O357" s="150" t="s">
        <v>3567</v>
      </c>
      <c r="P357" s="244" t="str">
        <f>VLOOKUP(A357,Import!A:P,16,0)</f>
        <v>Geleneksel</v>
      </c>
      <c r="Q357" s="291" t="s">
        <v>2713</v>
      </c>
      <c r="R357" s="292" t="b">
        <v>1</v>
      </c>
      <c r="S357" s="292" t="b">
        <v>1</v>
      </c>
      <c r="T357" s="296"/>
      <c r="U357" s="296"/>
      <c r="V357" s="296"/>
      <c r="W357" s="149" t="s">
        <v>3568</v>
      </c>
      <c r="X357" s="297"/>
      <c r="Y357" s="297"/>
      <c r="Z357" s="288"/>
      <c r="AA357" s="165" t="s">
        <v>2669</v>
      </c>
      <c r="AB357" s="295">
        <v>44490.0</v>
      </c>
      <c r="AC357" s="288"/>
      <c r="AD357" s="288"/>
      <c r="AE357" s="160"/>
      <c r="AF357" s="288"/>
      <c r="AG357" s="160"/>
      <c r="AH357" s="288"/>
      <c r="AI357" s="288"/>
      <c r="AJ357" s="288"/>
      <c r="AK357" s="165" t="s">
        <v>1754</v>
      </c>
      <c r="AL357" s="288"/>
      <c r="AM357" s="288"/>
      <c r="AN357" s="288"/>
      <c r="AO357" s="288"/>
      <c r="AP357" s="150" t="s">
        <v>2663</v>
      </c>
      <c r="AQ357" s="288"/>
    </row>
    <row r="358">
      <c r="A358" s="147" t="s">
        <v>1402</v>
      </c>
      <c r="B358" s="147" t="s">
        <v>1403</v>
      </c>
      <c r="C358" s="175" t="str">
        <f>VLOOKUP(A358,Import!A:C,3,false)</f>
        <v>DOĞRU</v>
      </c>
      <c r="D358" s="147" t="s">
        <v>2763</v>
      </c>
      <c r="E358" s="280">
        <f>VLOOKUP(A358,Import!A:J,5,0)</f>
        <v>443</v>
      </c>
      <c r="F358" s="280">
        <f>VLOOKUP(A358,Import!A:J,6,0)</f>
        <v>41</v>
      </c>
      <c r="G358" s="289">
        <f>VLOOKUP(A358,Import!A:J,7,0)</f>
        <v>0</v>
      </c>
      <c r="H358" s="289">
        <f>VLOOKUP(A358,Import!A:J,8,0)</f>
        <v>34</v>
      </c>
      <c r="I358" s="289">
        <f>VLOOKUP(A358,Import!A:J,9,0)</f>
        <v>34</v>
      </c>
      <c r="J358" s="282">
        <f>VLOOKUP(A358,Import!A:J,10,0)</f>
        <v>0</v>
      </c>
      <c r="K358" s="244" t="str">
        <f>VLOOKUP(A358,Import!A:P,11,0)</f>
        <v>HASAN KARAKAŞ</v>
      </c>
      <c r="L358" s="147">
        <v>2.22240561E9</v>
      </c>
      <c r="M358" s="147" t="s">
        <v>1450</v>
      </c>
      <c r="N358" s="147" t="s">
        <v>2659</v>
      </c>
      <c r="O358" s="147" t="s">
        <v>1405</v>
      </c>
      <c r="P358" s="244" t="str">
        <f>VLOOKUP(A358,Import!A:P,16,0)</f>
        <v>Geleneksel</v>
      </c>
      <c r="Q358" s="330"/>
      <c r="R358" s="292" t="b">
        <v>1</v>
      </c>
      <c r="S358" s="293" t="b">
        <v>0</v>
      </c>
      <c r="T358" s="149" t="s">
        <v>2770</v>
      </c>
      <c r="U358" s="149" t="s">
        <v>819</v>
      </c>
      <c r="V358" s="361" t="s">
        <v>1343</v>
      </c>
      <c r="W358" s="149" t="s">
        <v>3569</v>
      </c>
      <c r="X358" s="294">
        <v>44336.0</v>
      </c>
      <c r="Y358" s="294">
        <v>44338.0</v>
      </c>
      <c r="Z358" s="288"/>
      <c r="AA358" s="165" t="s">
        <v>2699</v>
      </c>
      <c r="AB358" s="295">
        <v>44503.0</v>
      </c>
      <c r="AC358" s="165" t="s">
        <v>2669</v>
      </c>
      <c r="AD358" s="295">
        <v>44602.0</v>
      </c>
      <c r="AE358" s="160"/>
      <c r="AF358" s="288"/>
      <c r="AG358" s="160"/>
      <c r="AH358" s="288"/>
      <c r="AI358" s="288"/>
      <c r="AJ358" s="288"/>
      <c r="AK358" s="165" t="s">
        <v>819</v>
      </c>
      <c r="AL358" s="165" t="s">
        <v>2474</v>
      </c>
      <c r="AM358" s="288"/>
      <c r="AN358" s="288"/>
      <c r="AO358" s="288"/>
      <c r="AP358" s="150" t="s">
        <v>2663</v>
      </c>
      <c r="AQ358" s="288"/>
    </row>
    <row r="359">
      <c r="A359" s="150" t="s">
        <v>3570</v>
      </c>
      <c r="B359" s="150" t="s">
        <v>3571</v>
      </c>
      <c r="C359" s="175" t="str">
        <f>VLOOKUP(A359,Import!A:C,3,false)</f>
        <v>DOĞRU</v>
      </c>
      <c r="D359" s="150" t="s">
        <v>2684</v>
      </c>
      <c r="E359" s="280">
        <f>VLOOKUP(A359,Import!A:J,5,0)</f>
        <v>24275</v>
      </c>
      <c r="F359" s="280">
        <f>VLOOKUP(A359,Import!A:J,6,0)</f>
        <v>451</v>
      </c>
      <c r="G359" s="289">
        <f>VLOOKUP(A359,Import!A:J,7,0)</f>
        <v>40</v>
      </c>
      <c r="H359" s="289">
        <f>VLOOKUP(A359,Import!A:J,8,0)</f>
        <v>10</v>
      </c>
      <c r="I359" s="289">
        <f>VLOOKUP(A359,Import!A:J,9,0)</f>
        <v>50</v>
      </c>
      <c r="J359" s="282">
        <f>VLOOKUP(A359,Import!A:J,10,0)</f>
        <v>0.8</v>
      </c>
      <c r="K359" s="244" t="str">
        <f>VLOOKUP(A359,Import!A:P,11,0)</f>
        <v>KADRİYE ÇELİKOĞLU</v>
      </c>
      <c r="L359" s="150">
        <v>2.222214943E9</v>
      </c>
      <c r="M359" s="150" t="s">
        <v>2666</v>
      </c>
      <c r="N359" s="150" t="s">
        <v>2667</v>
      </c>
      <c r="O359" s="150" t="s">
        <v>3572</v>
      </c>
      <c r="P359" s="244" t="str">
        <f>VLOOKUP(A359,Import!A:P,16,0)</f>
        <v>Geleneksel</v>
      </c>
      <c r="Q359" s="291" t="s">
        <v>2713</v>
      </c>
      <c r="R359" s="292" t="b">
        <v>1</v>
      </c>
      <c r="S359" s="292" t="b">
        <v>1</v>
      </c>
      <c r="T359" s="296"/>
      <c r="U359" s="296"/>
      <c r="V359" s="296"/>
      <c r="W359" s="149" t="s">
        <v>3573</v>
      </c>
      <c r="X359" s="297"/>
      <c r="Y359" s="297"/>
      <c r="Z359" s="288"/>
      <c r="AA359" s="288"/>
      <c r="AB359" s="288"/>
      <c r="AC359" s="288"/>
      <c r="AD359" s="288"/>
      <c r="AE359" s="160"/>
      <c r="AF359" s="288"/>
      <c r="AG359" s="160"/>
      <c r="AH359" s="288"/>
      <c r="AI359" s="288"/>
      <c r="AJ359" s="288"/>
      <c r="AK359" s="288"/>
      <c r="AL359" s="288"/>
      <c r="AM359" s="288"/>
      <c r="AN359" s="288"/>
      <c r="AO359" s="288"/>
      <c r="AP359" s="150" t="s">
        <v>2663</v>
      </c>
      <c r="AQ359" s="288"/>
    </row>
    <row r="360">
      <c r="A360" s="147" t="s">
        <v>1987</v>
      </c>
      <c r="B360" s="147" t="s">
        <v>1988</v>
      </c>
      <c r="C360" s="175" t="str">
        <f>VLOOKUP(A360,Import!A:C,3,false)</f>
        <v>YANLIŞ</v>
      </c>
      <c r="D360" s="147" t="s">
        <v>2701</v>
      </c>
      <c r="E360" s="280">
        <f>VLOOKUP(A360,Import!A:J,5,0)</f>
        <v>1263</v>
      </c>
      <c r="F360" s="280" t="str">
        <f>VLOOKUP(A360,Import!A:J,6,0)</f>
        <v/>
      </c>
      <c r="G360" s="289">
        <f>VLOOKUP(A360,Import!A:J,7,0)</f>
        <v>27</v>
      </c>
      <c r="H360" s="289">
        <f>VLOOKUP(A360,Import!A:J,8,0)</f>
        <v>4</v>
      </c>
      <c r="I360" s="289">
        <f>VLOOKUP(A360,Import!A:J,9,0)</f>
        <v>31</v>
      </c>
      <c r="J360" s="282">
        <f>VLOOKUP(A360,Import!A:J,10,0)</f>
        <v>0.87</v>
      </c>
      <c r="K360" s="244" t="str">
        <f>VLOOKUP(A360,Import!A:P,11,0)</f>
        <v>Cihan Bozacılar</v>
      </c>
      <c r="L360" s="147">
        <v>5.558545614E9</v>
      </c>
      <c r="M360" s="147" t="s">
        <v>2666</v>
      </c>
      <c r="N360" s="147" t="s">
        <v>2711</v>
      </c>
      <c r="O360" s="147" t="s">
        <v>1990</v>
      </c>
      <c r="P360" s="244" t="str">
        <f>VLOOKUP(A360,Import!A:P,16,0)</f>
        <v>Geleneksel</v>
      </c>
      <c r="Q360" s="330"/>
      <c r="R360" s="292" t="b">
        <v>1</v>
      </c>
      <c r="S360" s="293" t="b">
        <v>0</v>
      </c>
      <c r="T360" s="149" t="s">
        <v>2661</v>
      </c>
      <c r="U360" s="149" t="s">
        <v>1971</v>
      </c>
      <c r="V360" s="269" t="s">
        <v>1609</v>
      </c>
      <c r="W360" s="149" t="s">
        <v>3574</v>
      </c>
      <c r="X360" s="294">
        <v>44517.0</v>
      </c>
      <c r="Y360" s="294">
        <v>44522.0</v>
      </c>
      <c r="Z360" s="288"/>
      <c r="AA360" s="165" t="s">
        <v>2669</v>
      </c>
      <c r="AB360" s="295">
        <v>44517.0</v>
      </c>
      <c r="AC360" s="288"/>
      <c r="AD360" s="288"/>
      <c r="AE360" s="160"/>
      <c r="AF360" s="288"/>
      <c r="AG360" s="160"/>
      <c r="AH360" s="288"/>
      <c r="AI360" s="288"/>
      <c r="AJ360" s="288"/>
      <c r="AK360" s="165" t="s">
        <v>1971</v>
      </c>
      <c r="AL360" s="288"/>
      <c r="AM360" s="288"/>
      <c r="AN360" s="288"/>
      <c r="AO360" s="288"/>
      <c r="AP360" s="150" t="s">
        <v>2663</v>
      </c>
      <c r="AQ360" s="288"/>
    </row>
    <row r="361">
      <c r="A361" s="150" t="s">
        <v>1846</v>
      </c>
      <c r="B361" s="150" t="s">
        <v>1847</v>
      </c>
      <c r="C361" s="175" t="str">
        <f>VLOOKUP(A361,Import!A:C,3,false)</f>
        <v>DOĞRU</v>
      </c>
      <c r="D361" s="150" t="s">
        <v>2701</v>
      </c>
      <c r="E361" s="280">
        <f>VLOOKUP(A361,Import!A:J,5,0)</f>
        <v>555</v>
      </c>
      <c r="F361" s="280">
        <f>VLOOKUP(A361,Import!A:J,6,0)</f>
        <v>28</v>
      </c>
      <c r="G361" s="289">
        <f>VLOOKUP(A361,Import!A:J,7,0)</f>
        <v>34</v>
      </c>
      <c r="H361" s="289">
        <f>VLOOKUP(A361,Import!A:J,8,0)</f>
        <v>11</v>
      </c>
      <c r="I361" s="289">
        <f>VLOOKUP(A361,Import!A:J,9,0)</f>
        <v>45</v>
      </c>
      <c r="J361" s="282">
        <f>VLOOKUP(A361,Import!A:J,10,0)</f>
        <v>0.76</v>
      </c>
      <c r="K361" s="244" t="str">
        <f>VLOOKUP(A361,Import!A:P,11,0)</f>
        <v>EMRE EŞENBUĞA</v>
      </c>
      <c r="L361" s="150">
        <v>5.445016618E9</v>
      </c>
      <c r="M361" s="150" t="s">
        <v>2666</v>
      </c>
      <c r="N361" s="150" t="s">
        <v>2721</v>
      </c>
      <c r="O361" s="150" t="s">
        <v>1849</v>
      </c>
      <c r="P361" s="244" t="str">
        <f>VLOOKUP(A361,Import!A:P,16,0)</f>
        <v>Geleneksel</v>
      </c>
      <c r="Q361" s="291"/>
      <c r="R361" s="292" t="b">
        <v>1</v>
      </c>
      <c r="S361" s="293" t="b">
        <v>0</v>
      </c>
      <c r="T361" s="149" t="s">
        <v>2661</v>
      </c>
      <c r="U361" s="149" t="s">
        <v>1791</v>
      </c>
      <c r="V361" s="269" t="s">
        <v>1609</v>
      </c>
      <c r="W361" s="149"/>
      <c r="X361" s="294">
        <v>44502.0</v>
      </c>
      <c r="Y361" s="294">
        <v>44503.0</v>
      </c>
      <c r="Z361" s="288"/>
      <c r="AA361" s="165" t="s">
        <v>2669</v>
      </c>
      <c r="AB361" s="295">
        <v>44502.0</v>
      </c>
      <c r="AC361" s="288"/>
      <c r="AD361" s="288"/>
      <c r="AE361" s="160"/>
      <c r="AF361" s="288"/>
      <c r="AG361" s="160"/>
      <c r="AH361" s="288"/>
      <c r="AI361" s="288"/>
      <c r="AJ361" s="288"/>
      <c r="AK361" s="165" t="s">
        <v>1791</v>
      </c>
      <c r="AL361" s="288"/>
      <c r="AM361" s="288"/>
      <c r="AN361" s="288"/>
      <c r="AO361" s="288"/>
      <c r="AP361" s="150" t="s">
        <v>2663</v>
      </c>
      <c r="AQ361" s="288"/>
    </row>
    <row r="362">
      <c r="A362" s="150" t="s">
        <v>2553</v>
      </c>
      <c r="B362" s="150" t="s">
        <v>2554</v>
      </c>
      <c r="C362" s="175" t="str">
        <f>VLOOKUP(A362,Import!A:C,3,false)</f>
        <v>DOĞRU</v>
      </c>
      <c r="D362" s="150" t="s">
        <v>2664</v>
      </c>
      <c r="E362" s="280">
        <f>VLOOKUP(A362,Import!A:J,5,0)</f>
        <v>116</v>
      </c>
      <c r="F362" s="280">
        <f>VLOOKUP(A362,Import!A:J,6,0)</f>
        <v>26</v>
      </c>
      <c r="G362" s="289">
        <f>VLOOKUP(A362,Import!A:J,7,0)</f>
        <v>6</v>
      </c>
      <c r="H362" s="289">
        <f>VLOOKUP(A362,Import!A:J,8,0)</f>
        <v>30</v>
      </c>
      <c r="I362" s="289">
        <f>VLOOKUP(A362,Import!A:J,9,0)</f>
        <v>36</v>
      </c>
      <c r="J362" s="282">
        <f>VLOOKUP(A362,Import!A:J,10,0)</f>
        <v>0.17</v>
      </c>
      <c r="K362" s="290" t="s">
        <v>3575</v>
      </c>
      <c r="L362" s="150">
        <v>5.416394979E9</v>
      </c>
      <c r="M362" s="150" t="s">
        <v>2666</v>
      </c>
      <c r="N362" s="150" t="s">
        <v>2685</v>
      </c>
      <c r="O362" s="150" t="s">
        <v>2557</v>
      </c>
      <c r="P362" s="244" t="str">
        <f>VLOOKUP(A362,Import!A:P,16,0)</f>
        <v>Geleneksel</v>
      </c>
      <c r="Q362" s="291"/>
      <c r="R362" s="292" t="b">
        <v>1</v>
      </c>
      <c r="S362" s="293" t="b">
        <v>0</v>
      </c>
      <c r="T362" s="149" t="s">
        <v>2661</v>
      </c>
      <c r="U362" s="149" t="s">
        <v>921</v>
      </c>
      <c r="V362" s="301" t="s">
        <v>1609</v>
      </c>
      <c r="W362" s="149"/>
      <c r="X362" s="294">
        <v>44625.0</v>
      </c>
      <c r="Y362" s="294">
        <v>44628.0</v>
      </c>
      <c r="Z362" s="288"/>
      <c r="AA362" s="165" t="s">
        <v>2669</v>
      </c>
      <c r="AB362" s="295">
        <v>44625.0</v>
      </c>
      <c r="AC362" s="288"/>
      <c r="AD362" s="288"/>
      <c r="AE362" s="160"/>
      <c r="AF362" s="288"/>
      <c r="AG362" s="160"/>
      <c r="AH362" s="288"/>
      <c r="AI362" s="288"/>
      <c r="AJ362" s="288"/>
      <c r="AK362" s="165" t="s">
        <v>921</v>
      </c>
      <c r="AL362" s="288"/>
      <c r="AM362" s="288"/>
      <c r="AN362" s="288"/>
      <c r="AO362" s="165"/>
      <c r="AP362" s="150"/>
      <c r="AQ362" s="165"/>
    </row>
    <row r="363">
      <c r="A363" s="150" t="s">
        <v>1539</v>
      </c>
      <c r="B363" s="150" t="s">
        <v>1540</v>
      </c>
      <c r="C363" s="175" t="str">
        <f>VLOOKUP(A363,Import!A:C,3,false)</f>
        <v>YANLIŞ</v>
      </c>
      <c r="D363" s="150" t="s">
        <v>3145</v>
      </c>
      <c r="E363" s="280">
        <f>VLOOKUP(A363,Import!A:J,5,0)</f>
        <v>63</v>
      </c>
      <c r="F363" s="280" t="str">
        <f>VLOOKUP(A363,Import!A:J,6,0)</f>
        <v/>
      </c>
      <c r="G363" s="289">
        <f>VLOOKUP(A363,Import!A:J,7,0)</f>
        <v>0</v>
      </c>
      <c r="H363" s="289">
        <f>VLOOKUP(A363,Import!A:J,8,0)</f>
        <v>84</v>
      </c>
      <c r="I363" s="289">
        <f>VLOOKUP(A363,Import!A:J,9,0)</f>
        <v>84</v>
      </c>
      <c r="J363" s="282">
        <f>VLOOKUP(A363,Import!A:J,10,0)</f>
        <v>0</v>
      </c>
      <c r="K363" s="244" t="str">
        <f>VLOOKUP(A363,Import!A:P,11,0)</f>
        <v>Başar Doğu Ayhan- Burak Banaz Adi Ortaklık</v>
      </c>
      <c r="L363" s="150">
        <v>5.416394979E9</v>
      </c>
      <c r="M363" s="150" t="s">
        <v>1450</v>
      </c>
      <c r="N363" s="150" t="s">
        <v>2795</v>
      </c>
      <c r="O363" s="150" t="s">
        <v>1543</v>
      </c>
      <c r="P363" s="244" t="str">
        <f>VLOOKUP(A363,Import!A:P,16,0)</f>
        <v>Geleneksel</v>
      </c>
      <c r="Q363" s="291" t="s">
        <v>2713</v>
      </c>
      <c r="R363" s="292" t="b">
        <v>1</v>
      </c>
      <c r="S363" s="293" t="b">
        <v>0</v>
      </c>
      <c r="T363" s="149" t="s">
        <v>2668</v>
      </c>
      <c r="U363" s="149" t="s">
        <v>2718</v>
      </c>
      <c r="V363" s="312"/>
      <c r="W363" s="384" t="s">
        <v>3576</v>
      </c>
      <c r="X363" s="294">
        <v>44378.0</v>
      </c>
      <c r="Y363" s="294">
        <v>44383.0</v>
      </c>
      <c r="Z363" s="288"/>
      <c r="AA363" s="165" t="s">
        <v>2669</v>
      </c>
      <c r="AB363" s="295">
        <v>44378.0</v>
      </c>
      <c r="AC363" s="165" t="s">
        <v>2669</v>
      </c>
      <c r="AD363" s="295">
        <v>44480.0</v>
      </c>
      <c r="AE363" s="160"/>
      <c r="AF363" s="288"/>
      <c r="AG363" s="160"/>
      <c r="AH363" s="288"/>
      <c r="AI363" s="288"/>
      <c r="AJ363" s="288"/>
      <c r="AK363" s="165" t="s">
        <v>2718</v>
      </c>
      <c r="AL363" s="165" t="s">
        <v>1824</v>
      </c>
      <c r="AM363" s="288"/>
      <c r="AN363" s="288"/>
      <c r="AO363" s="288"/>
      <c r="AP363" s="150" t="s">
        <v>2663</v>
      </c>
      <c r="AQ363" s="288"/>
    </row>
    <row r="364">
      <c r="A364" s="150" t="s">
        <v>613</v>
      </c>
      <c r="B364" s="150" t="s">
        <v>614</v>
      </c>
      <c r="C364" s="175" t="str">
        <f>VLOOKUP(A364,Import!A:C,3,false)</f>
        <v>YANLIŞ</v>
      </c>
      <c r="D364" s="150" t="s">
        <v>3145</v>
      </c>
      <c r="E364" s="280">
        <f>VLOOKUP(A364,Import!A:J,5,0)</f>
        <v>1578</v>
      </c>
      <c r="F364" s="280" t="str">
        <f>VLOOKUP(A364,Import!A:J,6,0)</f>
        <v/>
      </c>
      <c r="G364" s="289">
        <f>VLOOKUP(A364,Import!A:J,7,0)</f>
        <v>3</v>
      </c>
      <c r="H364" s="289">
        <f>VLOOKUP(A364,Import!A:J,8,0)</f>
        <v>9</v>
      </c>
      <c r="I364" s="289">
        <f>VLOOKUP(A364,Import!A:J,9,0)</f>
        <v>12</v>
      </c>
      <c r="J364" s="282">
        <f>VLOOKUP(A364,Import!A:J,10,0)</f>
        <v>0.25</v>
      </c>
      <c r="K364" s="244" t="str">
        <f>VLOOKUP(A364,Import!A:P,11,0)</f>
        <v>Başar Doğu Ayhan</v>
      </c>
      <c r="L364" s="150">
        <v>5.416394979E9</v>
      </c>
      <c r="M364" s="150" t="s">
        <v>2666</v>
      </c>
      <c r="N364" s="150" t="s">
        <v>2682</v>
      </c>
      <c r="O364" s="150" t="s">
        <v>617</v>
      </c>
      <c r="P364" s="244" t="str">
        <f>VLOOKUP(A364,Import!A:P,16,0)</f>
        <v>Geleneksel</v>
      </c>
      <c r="Q364" s="291" t="s">
        <v>2713</v>
      </c>
      <c r="R364" s="292" t="b">
        <v>1</v>
      </c>
      <c r="S364" s="293" t="b">
        <v>0</v>
      </c>
      <c r="T364" s="149" t="s">
        <v>2661</v>
      </c>
      <c r="U364" s="149"/>
      <c r="V364" s="149" t="s">
        <v>13</v>
      </c>
      <c r="W364" s="149" t="s">
        <v>3577</v>
      </c>
      <c r="X364" s="294">
        <v>44267.0</v>
      </c>
      <c r="Y364" s="294">
        <v>44270.0</v>
      </c>
      <c r="Z364" s="288"/>
      <c r="AA364" s="288"/>
      <c r="AB364" s="288"/>
      <c r="AC364" s="288"/>
      <c r="AD364" s="288"/>
      <c r="AE364" s="160"/>
      <c r="AF364" s="288"/>
      <c r="AG364" s="160"/>
      <c r="AH364" s="288"/>
      <c r="AI364" s="288"/>
      <c r="AJ364" s="288"/>
      <c r="AK364" s="288"/>
      <c r="AL364" s="288"/>
      <c r="AM364" s="288"/>
      <c r="AN364" s="288"/>
      <c r="AO364" s="288"/>
      <c r="AP364" s="150" t="s">
        <v>2663</v>
      </c>
      <c r="AQ364" s="288"/>
    </row>
    <row r="365">
      <c r="A365" s="150" t="s">
        <v>3578</v>
      </c>
      <c r="B365" s="150" t="s">
        <v>3579</v>
      </c>
      <c r="C365" s="175" t="str">
        <f>VLOOKUP(A365,Import!A:C,3,false)</f>
        <v>DOĞRU</v>
      </c>
      <c r="D365" s="150" t="s">
        <v>2684</v>
      </c>
      <c r="E365" s="280">
        <f>VLOOKUP(A365,Import!A:J,5,0)</f>
        <v>34913</v>
      </c>
      <c r="F365" s="280">
        <f>VLOOKUP(A365,Import!A:J,6,0)</f>
        <v>1107</v>
      </c>
      <c r="G365" s="289">
        <f>VLOOKUP(A365,Import!A:J,7,0)</f>
        <v>39</v>
      </c>
      <c r="H365" s="289">
        <f>VLOOKUP(A365,Import!A:J,8,0)</f>
        <v>2</v>
      </c>
      <c r="I365" s="289">
        <f>VLOOKUP(A365,Import!A:J,9,0)</f>
        <v>41</v>
      </c>
      <c r="J365" s="282">
        <f>VLOOKUP(A365,Import!A:J,10,0)</f>
        <v>0.95</v>
      </c>
      <c r="K365" s="244" t="str">
        <f>VLOOKUP(A365,Import!A:P,11,0)</f>
        <v>ZELAL ZENGİN</v>
      </c>
      <c r="L365" s="150">
        <v>5.333753243E9</v>
      </c>
      <c r="M365" s="150" t="s">
        <v>2666</v>
      </c>
      <c r="N365" s="150" t="s">
        <v>2721</v>
      </c>
      <c r="O365" s="150" t="s">
        <v>3580</v>
      </c>
      <c r="P365" s="244" t="str">
        <f>VLOOKUP(A365,Import!A:P,16,0)</f>
        <v>Geleneksel</v>
      </c>
      <c r="Q365" s="291" t="s">
        <v>2760</v>
      </c>
      <c r="R365" s="292" t="b">
        <v>1</v>
      </c>
      <c r="S365" s="292" t="b">
        <v>1</v>
      </c>
      <c r="T365" s="296"/>
      <c r="U365" s="296"/>
      <c r="V365" s="296"/>
      <c r="W365" s="149" t="s">
        <v>3581</v>
      </c>
      <c r="X365" s="297"/>
      <c r="Y365" s="297"/>
      <c r="Z365" s="288"/>
      <c r="AA365" s="165" t="s">
        <v>2693</v>
      </c>
      <c r="AB365" s="295">
        <v>44525.0</v>
      </c>
      <c r="AC365" s="288"/>
      <c r="AD365" s="288"/>
      <c r="AE365" s="160"/>
      <c r="AF365" s="288"/>
      <c r="AG365" s="160"/>
      <c r="AH365" s="288"/>
      <c r="AI365" s="288"/>
      <c r="AJ365" s="288"/>
      <c r="AK365" s="165" t="s">
        <v>1911</v>
      </c>
      <c r="AL365" s="288"/>
      <c r="AM365" s="288"/>
      <c r="AN365" s="288"/>
      <c r="AO365" s="288"/>
      <c r="AP365" s="150" t="s">
        <v>2663</v>
      </c>
      <c r="AQ365" s="288"/>
    </row>
    <row r="366">
      <c r="A366" s="150" t="s">
        <v>543</v>
      </c>
      <c r="B366" s="150" t="s">
        <v>544</v>
      </c>
      <c r="C366" s="175" t="str">
        <f>VLOOKUP(A366,Import!A:C,3,false)</f>
        <v>DOĞRU</v>
      </c>
      <c r="D366" s="150" t="s">
        <v>2684</v>
      </c>
      <c r="E366" s="280">
        <f>VLOOKUP(A366,Import!A:J,5,0)</f>
        <v>1512</v>
      </c>
      <c r="F366" s="280">
        <f>VLOOKUP(A366,Import!A:J,6,0)</f>
        <v>66</v>
      </c>
      <c r="G366" s="289">
        <f>VLOOKUP(A366,Import!A:J,7,0)</f>
        <v>0</v>
      </c>
      <c r="H366" s="289">
        <f>VLOOKUP(A366,Import!A:J,8,0)</f>
        <v>35</v>
      </c>
      <c r="I366" s="289">
        <f>VLOOKUP(A366,Import!A:J,9,0)</f>
        <v>35</v>
      </c>
      <c r="J366" s="282">
        <f>VLOOKUP(A366,Import!A:J,10,0)</f>
        <v>0</v>
      </c>
      <c r="K366" s="244" t="str">
        <f>VLOOKUP(A366,Import!A:P,11,0)</f>
        <v>MURAT HASIRCI</v>
      </c>
      <c r="L366" s="150">
        <v>2.22502707E9</v>
      </c>
      <c r="M366" s="150" t="s">
        <v>2666</v>
      </c>
      <c r="N366" s="150" t="s">
        <v>2711</v>
      </c>
      <c r="O366" s="150" t="s">
        <v>546</v>
      </c>
      <c r="P366" s="244" t="str">
        <f>VLOOKUP(A366,Import!A:P,16,0)</f>
        <v>Geleneksel</v>
      </c>
      <c r="Q366" s="291" t="s">
        <v>2713</v>
      </c>
      <c r="R366" s="292" t="b">
        <v>1</v>
      </c>
      <c r="S366" s="293" t="b">
        <v>0</v>
      </c>
      <c r="T366" s="149" t="s">
        <v>2661</v>
      </c>
      <c r="U366" s="149"/>
      <c r="V366" s="149" t="s">
        <v>31</v>
      </c>
      <c r="W366" s="149" t="s">
        <v>3582</v>
      </c>
      <c r="X366" s="294">
        <v>44244.0</v>
      </c>
      <c r="Y366" s="294">
        <v>44246.0</v>
      </c>
      <c r="Z366" s="288"/>
      <c r="AA366" s="165" t="s">
        <v>2669</v>
      </c>
      <c r="AB366" s="295">
        <v>44530.0</v>
      </c>
      <c r="AC366" s="288"/>
      <c r="AD366" s="288"/>
      <c r="AE366" s="160"/>
      <c r="AF366" s="288"/>
      <c r="AG366" s="160"/>
      <c r="AH366" s="288"/>
      <c r="AI366" s="288"/>
      <c r="AJ366" s="288"/>
      <c r="AK366" s="165" t="s">
        <v>943</v>
      </c>
      <c r="AL366" s="288"/>
      <c r="AM366" s="288"/>
      <c r="AN366" s="288"/>
      <c r="AO366" s="288"/>
      <c r="AP366" s="150" t="s">
        <v>2663</v>
      </c>
      <c r="AQ366" s="288"/>
    </row>
    <row r="367">
      <c r="A367" s="150" t="s">
        <v>2592</v>
      </c>
      <c r="B367" s="150" t="s">
        <v>2593</v>
      </c>
      <c r="C367" s="175" t="str">
        <f>VLOOKUP(A367,Import!A:C,3,false)</f>
        <v>DOĞRU</v>
      </c>
      <c r="D367" s="150" t="s">
        <v>2684</v>
      </c>
      <c r="E367" s="280">
        <f>VLOOKUP(A367,Import!A:J,5,0)</f>
        <v>674</v>
      </c>
      <c r="F367" s="280" t="str">
        <f>VLOOKUP(A367,Import!A:J,6,0)</f>
        <v/>
      </c>
      <c r="G367" s="289">
        <f>VLOOKUP(A367,Import!A:J,7,0)</f>
        <v>7</v>
      </c>
      <c r="H367" s="289">
        <f>VLOOKUP(A367,Import!A:J,8,0)</f>
        <v>21</v>
      </c>
      <c r="I367" s="289">
        <f>VLOOKUP(A367,Import!A:J,9,0)</f>
        <v>28</v>
      </c>
      <c r="J367" s="282">
        <f>VLOOKUP(A367,Import!A:J,10,0)</f>
        <v>0.25</v>
      </c>
      <c r="K367" s="290" t="s">
        <v>3583</v>
      </c>
      <c r="L367" s="150">
        <v>5.013745406E9</v>
      </c>
      <c r="M367" s="150" t="s">
        <v>1450</v>
      </c>
      <c r="N367" s="150" t="s">
        <v>2795</v>
      </c>
      <c r="O367" s="150" t="s">
        <v>2595</v>
      </c>
      <c r="P367" s="244" t="str">
        <f>VLOOKUP(A367,Import!A:P,16,0)</f>
        <v>Geleneksel</v>
      </c>
      <c r="Q367" s="291"/>
      <c r="R367" s="292" t="b">
        <v>1</v>
      </c>
      <c r="S367" s="293" t="b">
        <v>0</v>
      </c>
      <c r="T367" s="149" t="s">
        <v>2661</v>
      </c>
      <c r="U367" s="149" t="s">
        <v>943</v>
      </c>
      <c r="V367" s="313" t="s">
        <v>1609</v>
      </c>
      <c r="W367" s="149"/>
      <c r="X367" s="294">
        <v>44642.0</v>
      </c>
      <c r="Y367" s="294">
        <v>44644.0</v>
      </c>
      <c r="Z367" s="288"/>
      <c r="AA367" s="165" t="s">
        <v>2669</v>
      </c>
      <c r="AB367" s="295">
        <v>44642.0</v>
      </c>
      <c r="AC367" s="288"/>
      <c r="AD367" s="288"/>
      <c r="AE367" s="160"/>
      <c r="AF367" s="288"/>
      <c r="AG367" s="160"/>
      <c r="AH367" s="288"/>
      <c r="AI367" s="288"/>
      <c r="AJ367" s="288"/>
      <c r="AK367" s="165" t="s">
        <v>943</v>
      </c>
      <c r="AL367" s="288"/>
      <c r="AM367" s="288"/>
      <c r="AN367" s="288"/>
      <c r="AO367" s="165"/>
      <c r="AP367" s="150"/>
      <c r="AQ367" s="165"/>
    </row>
    <row r="368">
      <c r="A368" s="147" t="s">
        <v>1279</v>
      </c>
      <c r="B368" s="147" t="s">
        <v>1280</v>
      </c>
      <c r="C368" s="175" t="str">
        <f>VLOOKUP(A368,Import!A:C,3,false)</f>
        <v>DOĞRU</v>
      </c>
      <c r="D368" s="147" t="s">
        <v>2672</v>
      </c>
      <c r="E368" s="280">
        <f>VLOOKUP(A368,Import!A:J,5,0)</f>
        <v>3569</v>
      </c>
      <c r="F368" s="280">
        <f>VLOOKUP(A368,Import!A:J,6,0)</f>
        <v>187</v>
      </c>
      <c r="G368" s="289">
        <f>VLOOKUP(A368,Import!A:J,7,0)</f>
        <v>0</v>
      </c>
      <c r="H368" s="289">
        <f>VLOOKUP(A368,Import!A:J,8,0)</f>
        <v>36</v>
      </c>
      <c r="I368" s="289">
        <f>VLOOKUP(A368,Import!A:J,9,0)</f>
        <v>36</v>
      </c>
      <c r="J368" s="282">
        <f>VLOOKUP(A368,Import!A:J,10,0)</f>
        <v>0</v>
      </c>
      <c r="K368" s="244" t="str">
        <f>VLOOKUP(A368,Import!A:P,11,0)</f>
        <v>TOLGA KUMRU</v>
      </c>
      <c r="L368" s="147">
        <v>5.547101747E9</v>
      </c>
      <c r="M368" s="147" t="s">
        <v>2666</v>
      </c>
      <c r="N368" s="147" t="s">
        <v>2750</v>
      </c>
      <c r="O368" s="147" t="s">
        <v>3065</v>
      </c>
      <c r="P368" s="244" t="str">
        <f>VLOOKUP(A368,Import!A:P,16,0)</f>
        <v>Geleneksel</v>
      </c>
      <c r="Q368" s="330"/>
      <c r="R368" s="292" t="b">
        <v>1</v>
      </c>
      <c r="S368" s="293" t="b">
        <v>0</v>
      </c>
      <c r="T368" s="149" t="s">
        <v>2770</v>
      </c>
      <c r="U368" s="149" t="s">
        <v>819</v>
      </c>
      <c r="V368" s="149" t="s">
        <v>13</v>
      </c>
      <c r="W368" s="149" t="s">
        <v>3584</v>
      </c>
      <c r="X368" s="294">
        <v>44306.0</v>
      </c>
      <c r="Y368" s="294">
        <v>44308.0</v>
      </c>
      <c r="Z368" s="288"/>
      <c r="AA368" s="165" t="s">
        <v>2669</v>
      </c>
      <c r="AB368" s="295">
        <v>44516.0</v>
      </c>
      <c r="AC368" s="288"/>
      <c r="AD368" s="288"/>
      <c r="AE368" s="160"/>
      <c r="AF368" s="288"/>
      <c r="AG368" s="160"/>
      <c r="AH368" s="288"/>
      <c r="AI368" s="288"/>
      <c r="AJ368" s="288"/>
      <c r="AK368" s="165" t="s">
        <v>1621</v>
      </c>
      <c r="AL368" s="288"/>
      <c r="AM368" s="288"/>
      <c r="AN368" s="288"/>
      <c r="AO368" s="288"/>
      <c r="AP368" s="150" t="s">
        <v>2663</v>
      </c>
      <c r="AQ368" s="288"/>
    </row>
    <row r="369">
      <c r="A369" s="150" t="s">
        <v>721</v>
      </c>
      <c r="B369" s="150" t="s">
        <v>722</v>
      </c>
      <c r="C369" s="175" t="str">
        <f>VLOOKUP(A369,Import!A:C,3,false)</f>
        <v>DOĞRU</v>
      </c>
      <c r="D369" s="150" t="s">
        <v>2978</v>
      </c>
      <c r="E369" s="280">
        <f>VLOOKUP(A369,Import!A:J,5,0)</f>
        <v>4393</v>
      </c>
      <c r="F369" s="280">
        <f>VLOOKUP(A369,Import!A:J,6,0)</f>
        <v>189</v>
      </c>
      <c r="G369" s="289">
        <f>VLOOKUP(A369,Import!A:J,7,0)</f>
        <v>29</v>
      </c>
      <c r="H369" s="289">
        <f>VLOOKUP(A369,Import!A:J,8,0)</f>
        <v>12</v>
      </c>
      <c r="I369" s="289">
        <f>VLOOKUP(A369,Import!A:J,9,0)</f>
        <v>41</v>
      </c>
      <c r="J369" s="282">
        <f>VLOOKUP(A369,Import!A:J,10,0)</f>
        <v>0.71</v>
      </c>
      <c r="K369" s="244" t="str">
        <f>VLOOKUP(A369,Import!A:P,11,0)</f>
        <v>İDRİS NEBİ GÜVENDİ</v>
      </c>
      <c r="L369" s="150">
        <v>5.318870585E9</v>
      </c>
      <c r="M369" s="150" t="s">
        <v>1450</v>
      </c>
      <c r="N369" s="150" t="s">
        <v>2795</v>
      </c>
      <c r="O369" s="150" t="s">
        <v>724</v>
      </c>
      <c r="P369" s="244" t="str">
        <f>VLOOKUP(A369,Import!A:P,16,0)</f>
        <v>Geleneksel</v>
      </c>
      <c r="Q369" s="291" t="s">
        <v>2713</v>
      </c>
      <c r="R369" s="292" t="b">
        <v>1</v>
      </c>
      <c r="S369" s="293" t="b">
        <v>0</v>
      </c>
      <c r="T369" s="149" t="s">
        <v>2770</v>
      </c>
      <c r="U369" s="149"/>
      <c r="V369" s="149" t="s">
        <v>46</v>
      </c>
      <c r="W369" s="149" t="s">
        <v>3585</v>
      </c>
      <c r="X369" s="294">
        <v>44245.0</v>
      </c>
      <c r="Y369" s="294">
        <v>44251.0</v>
      </c>
      <c r="Z369" s="288"/>
      <c r="AA369" s="165" t="s">
        <v>2772</v>
      </c>
      <c r="AB369" s="295">
        <v>44378.0</v>
      </c>
      <c r="AC369" s="165" t="s">
        <v>2669</v>
      </c>
      <c r="AD369" s="295">
        <v>44480.0</v>
      </c>
      <c r="AE369" s="165" t="s">
        <v>2772</v>
      </c>
      <c r="AF369" s="295">
        <v>44568.0</v>
      </c>
      <c r="AG369" s="160"/>
      <c r="AH369" s="288"/>
      <c r="AI369" s="288"/>
      <c r="AJ369" s="288"/>
      <c r="AK369" s="165" t="s">
        <v>2718</v>
      </c>
      <c r="AL369" s="288"/>
      <c r="AM369" s="165" t="s">
        <v>1715</v>
      </c>
      <c r="AN369" s="288"/>
      <c r="AO369" s="288"/>
      <c r="AP369" s="150" t="s">
        <v>2663</v>
      </c>
      <c r="AQ369" s="288"/>
    </row>
    <row r="370">
      <c r="A370" s="244" t="s">
        <v>2184</v>
      </c>
      <c r="B370" s="244" t="s">
        <v>2185</v>
      </c>
      <c r="C370" s="175" t="str">
        <f>VLOOKUP(A370,Import!A:C,3,false)</f>
        <v>DOĞRU</v>
      </c>
      <c r="D370" s="244" t="s">
        <v>2763</v>
      </c>
      <c r="E370" s="280">
        <f>VLOOKUP(A370,Import!A:J,5,0)</f>
        <v>25915</v>
      </c>
      <c r="F370" s="280">
        <f>VLOOKUP(A370,Import!A:J,6,0)</f>
        <v>755</v>
      </c>
      <c r="G370" s="289">
        <f>VLOOKUP(A370,Import!A:J,7,0)</f>
        <v>6</v>
      </c>
      <c r="H370" s="289">
        <f>VLOOKUP(A370,Import!A:J,8,0)</f>
        <v>10</v>
      </c>
      <c r="I370" s="289">
        <f>VLOOKUP(A370,Import!A:J,9,0)</f>
        <v>16</v>
      </c>
      <c r="J370" s="282">
        <f>VLOOKUP(A370,Import!A:J,10,0)</f>
        <v>0.38</v>
      </c>
      <c r="K370" s="244" t="str">
        <f>VLOOKUP(A370,Import!A:P,11,0)</f>
        <v>Mustafa Güçlü</v>
      </c>
      <c r="L370" s="385">
        <v>5.434229627E9</v>
      </c>
      <c r="M370" s="244" t="s">
        <v>2666</v>
      </c>
      <c r="N370" s="244" t="s">
        <v>2801</v>
      </c>
      <c r="O370" s="244" t="s">
        <v>2183</v>
      </c>
      <c r="P370" s="244" t="str">
        <f>VLOOKUP(A370,Import!A:P,16,0)</f>
        <v>Geleneksel</v>
      </c>
      <c r="Q370" s="291" t="s">
        <v>2686</v>
      </c>
      <c r="R370" s="292" t="b">
        <v>1</v>
      </c>
      <c r="S370" s="293" t="b">
        <v>0</v>
      </c>
      <c r="T370" s="165" t="s">
        <v>2661</v>
      </c>
      <c r="U370" s="165" t="s">
        <v>819</v>
      </c>
      <c r="V370" s="383" t="s">
        <v>1609</v>
      </c>
      <c r="W370" s="165"/>
      <c r="X370" s="295">
        <v>44545.0</v>
      </c>
      <c r="Y370" s="295">
        <v>44545.0</v>
      </c>
      <c r="Z370" s="288"/>
      <c r="AA370" s="165" t="s">
        <v>2669</v>
      </c>
      <c r="AB370" s="295">
        <v>44545.0</v>
      </c>
      <c r="AC370" s="288"/>
      <c r="AD370" s="288"/>
      <c r="AE370" s="160"/>
      <c r="AF370" s="288"/>
      <c r="AG370" s="160"/>
      <c r="AH370" s="288"/>
      <c r="AI370" s="288"/>
      <c r="AJ370" s="288"/>
      <c r="AK370" s="165" t="s">
        <v>819</v>
      </c>
      <c r="AL370" s="288"/>
      <c r="AM370" s="288"/>
      <c r="AN370" s="288"/>
      <c r="AO370" s="288"/>
      <c r="AP370" s="150" t="s">
        <v>2663</v>
      </c>
      <c r="AQ370" s="288"/>
    </row>
    <row r="371">
      <c r="A371" s="150" t="s">
        <v>2299</v>
      </c>
      <c r="B371" s="150" t="s">
        <v>2300</v>
      </c>
      <c r="C371" s="175" t="str">
        <f>VLOOKUP(A371,Import!A:C,3,false)</f>
        <v>DOĞRU</v>
      </c>
      <c r="D371" s="150" t="s">
        <v>2696</v>
      </c>
      <c r="E371" s="280">
        <f>VLOOKUP(A371,Import!A:J,5,0)</f>
        <v>102</v>
      </c>
      <c r="F371" s="280">
        <f>VLOOKUP(A371,Import!A:J,6,0)</f>
        <v>32</v>
      </c>
      <c r="G371" s="289">
        <f>VLOOKUP(A371,Import!A:J,7,0)</f>
        <v>5</v>
      </c>
      <c r="H371" s="289">
        <f>VLOOKUP(A371,Import!A:J,8,0)</f>
        <v>34</v>
      </c>
      <c r="I371" s="289">
        <f>VLOOKUP(A371,Import!A:J,9,0)</f>
        <v>39</v>
      </c>
      <c r="J371" s="282">
        <f>VLOOKUP(A371,Import!A:J,10,0)</f>
        <v>0.13</v>
      </c>
      <c r="K371" s="290" t="s">
        <v>3586</v>
      </c>
      <c r="L371" s="150">
        <v>5.322165577E9</v>
      </c>
      <c r="M371" s="150" t="s">
        <v>2666</v>
      </c>
      <c r="N371" s="150" t="s">
        <v>3000</v>
      </c>
      <c r="O371" s="150" t="s">
        <v>2302</v>
      </c>
      <c r="P371" s="244" t="str">
        <f>VLOOKUP(A371,Import!A:P,16,0)</f>
        <v>Geleneksel</v>
      </c>
      <c r="Q371" s="291"/>
      <c r="R371" s="292" t="b">
        <v>1</v>
      </c>
      <c r="S371" s="293" t="b">
        <v>0</v>
      </c>
      <c r="T371" s="149" t="s">
        <v>2661</v>
      </c>
      <c r="U371" s="149" t="s">
        <v>2161</v>
      </c>
      <c r="V371" s="386" t="s">
        <v>1609</v>
      </c>
      <c r="W371" s="149" t="s">
        <v>2759</v>
      </c>
      <c r="X371" s="294">
        <v>44565.0</v>
      </c>
      <c r="Y371" s="294">
        <v>44568.0</v>
      </c>
      <c r="Z371" s="288"/>
      <c r="AA371" s="165" t="s">
        <v>2693</v>
      </c>
      <c r="AB371" s="295">
        <v>44564.0</v>
      </c>
      <c r="AC371" s="165" t="s">
        <v>2669</v>
      </c>
      <c r="AD371" s="295">
        <v>44564.0</v>
      </c>
      <c r="AE371" s="165" t="s">
        <v>2669</v>
      </c>
      <c r="AF371" s="295">
        <v>44565.0</v>
      </c>
      <c r="AG371" s="160"/>
      <c r="AH371" s="288"/>
      <c r="AI371" s="288"/>
      <c r="AJ371" s="288"/>
      <c r="AK371" s="165" t="s">
        <v>819</v>
      </c>
      <c r="AL371" s="165" t="s">
        <v>2161</v>
      </c>
      <c r="AM371" s="288"/>
      <c r="AN371" s="288"/>
      <c r="AO371" s="165"/>
      <c r="AP371" s="150" t="s">
        <v>2663</v>
      </c>
      <c r="AQ371" s="165"/>
    </row>
    <row r="372">
      <c r="A372" s="147" t="s">
        <v>1498</v>
      </c>
      <c r="B372" s="147" t="s">
        <v>1499</v>
      </c>
      <c r="C372" s="175" t="str">
        <f>VLOOKUP(A372,Import!A:C,3,false)</f>
        <v>DOĞRU</v>
      </c>
      <c r="D372" s="147" t="s">
        <v>2763</v>
      </c>
      <c r="E372" s="280">
        <f>VLOOKUP(A372,Import!A:J,5,0)</f>
        <v>4726</v>
      </c>
      <c r="F372" s="280">
        <f>VLOOKUP(A372,Import!A:J,6,0)</f>
        <v>150</v>
      </c>
      <c r="G372" s="289">
        <f>VLOOKUP(A372,Import!A:J,7,0)</f>
        <v>0</v>
      </c>
      <c r="H372" s="289">
        <f>VLOOKUP(A372,Import!A:J,8,0)</f>
        <v>72</v>
      </c>
      <c r="I372" s="289">
        <f>VLOOKUP(A372,Import!A:J,9,0)</f>
        <v>72</v>
      </c>
      <c r="J372" s="282">
        <f>VLOOKUP(A372,Import!A:J,10,0)</f>
        <v>0</v>
      </c>
      <c r="K372" s="244" t="str">
        <f>VLOOKUP(A372,Import!A:P,11,0)</f>
        <v>Ahmet Demir</v>
      </c>
      <c r="L372" s="147">
        <v>2.222390158E9</v>
      </c>
      <c r="M372" s="147" t="s">
        <v>1450</v>
      </c>
      <c r="N372" s="147" t="s">
        <v>2732</v>
      </c>
      <c r="O372" s="147" t="s">
        <v>1501</v>
      </c>
      <c r="P372" s="244" t="str">
        <f>VLOOKUP(A372,Import!A:P,16,0)</f>
        <v>Geleneksel</v>
      </c>
      <c r="Q372" s="291" t="s">
        <v>2713</v>
      </c>
      <c r="R372" s="292" t="b">
        <v>1</v>
      </c>
      <c r="S372" s="292" t="b">
        <v>0</v>
      </c>
      <c r="T372" s="149" t="s">
        <v>2714</v>
      </c>
      <c r="U372" s="149" t="s">
        <v>1971</v>
      </c>
      <c r="V372" s="269" t="s">
        <v>1609</v>
      </c>
      <c r="W372" s="149" t="s">
        <v>3587</v>
      </c>
      <c r="X372" s="294">
        <v>44547.0</v>
      </c>
      <c r="Y372" s="294">
        <v>44552.0</v>
      </c>
      <c r="Z372" s="288"/>
      <c r="AA372" s="165" t="s">
        <v>2669</v>
      </c>
      <c r="AB372" s="295">
        <v>44377.0</v>
      </c>
      <c r="AC372" s="165" t="s">
        <v>2669</v>
      </c>
      <c r="AD372" s="295">
        <v>44488.0</v>
      </c>
      <c r="AE372" s="165" t="s">
        <v>2699</v>
      </c>
      <c r="AF372" s="295">
        <v>44546.0</v>
      </c>
      <c r="AG372" s="165" t="s">
        <v>2669</v>
      </c>
      <c r="AH372" s="295">
        <v>44547.0</v>
      </c>
      <c r="AI372" s="165" t="s">
        <v>2669</v>
      </c>
      <c r="AJ372" s="295">
        <v>44552.0</v>
      </c>
      <c r="AK372" s="165" t="s">
        <v>819</v>
      </c>
      <c r="AL372" s="165" t="s">
        <v>1717</v>
      </c>
      <c r="AM372" s="165" t="s">
        <v>1911</v>
      </c>
      <c r="AN372" s="165" t="s">
        <v>1971</v>
      </c>
      <c r="AO372" s="165" t="s">
        <v>1971</v>
      </c>
      <c r="AP372" s="150" t="s">
        <v>2663</v>
      </c>
      <c r="AQ372" s="288"/>
    </row>
    <row r="373">
      <c r="A373" s="150" t="s">
        <v>2357</v>
      </c>
      <c r="B373" s="150" t="s">
        <v>2358</v>
      </c>
      <c r="C373" s="175" t="str">
        <f>VLOOKUP(A373,Import!A:C,3,false)</f>
        <v>DOĞRU</v>
      </c>
      <c r="D373" s="150" t="s">
        <v>2684</v>
      </c>
      <c r="E373" s="280" t="str">
        <f>VLOOKUP(A373,Import!A:J,5,0)</f>
        <v/>
      </c>
      <c r="F373" s="280" t="str">
        <f>VLOOKUP(A373,Import!A:J,6,0)</f>
        <v/>
      </c>
      <c r="G373" s="289">
        <f>VLOOKUP(A373,Import!A:J,7,0)</f>
        <v>8</v>
      </c>
      <c r="H373" s="289">
        <f>VLOOKUP(A373,Import!A:J,8,0)</f>
        <v>9</v>
      </c>
      <c r="I373" s="289">
        <f>VLOOKUP(A373,Import!A:J,9,0)</f>
        <v>17</v>
      </c>
      <c r="J373" s="282">
        <f>VLOOKUP(A373,Import!A:J,10,0)</f>
        <v>0.47</v>
      </c>
      <c r="K373" s="290" t="s">
        <v>3588</v>
      </c>
      <c r="L373" s="150">
        <v>5.301083583E9</v>
      </c>
      <c r="M373" s="150" t="s">
        <v>2666</v>
      </c>
      <c r="N373" s="150" t="s">
        <v>2682</v>
      </c>
      <c r="O373" s="150" t="s">
        <v>2360</v>
      </c>
      <c r="P373" s="244" t="str">
        <f>VLOOKUP(A373,Import!A:P,16,0)</f>
        <v>Geleneksel</v>
      </c>
      <c r="Q373" s="291"/>
      <c r="R373" s="292" t="b">
        <v>1</v>
      </c>
      <c r="S373" s="293" t="b">
        <v>0</v>
      </c>
      <c r="T373" s="149" t="s">
        <v>2661</v>
      </c>
      <c r="U373" s="149" t="s">
        <v>819</v>
      </c>
      <c r="V373" s="149" t="s">
        <v>1609</v>
      </c>
      <c r="W373" s="149" t="s">
        <v>3589</v>
      </c>
      <c r="X373" s="294">
        <v>44571.0</v>
      </c>
      <c r="Y373" s="294">
        <v>44573.0</v>
      </c>
      <c r="Z373" s="288"/>
      <c r="AA373" s="165" t="s">
        <v>2669</v>
      </c>
      <c r="AB373" s="295">
        <v>44571.0</v>
      </c>
      <c r="AC373" s="288"/>
      <c r="AD373" s="288"/>
      <c r="AE373" s="160"/>
      <c r="AF373" s="288"/>
      <c r="AG373" s="160"/>
      <c r="AH373" s="288"/>
      <c r="AI373" s="288"/>
      <c r="AJ373" s="288"/>
      <c r="AK373" s="165" t="s">
        <v>819</v>
      </c>
      <c r="AL373" s="288"/>
      <c r="AM373" s="288"/>
      <c r="AN373" s="288"/>
      <c r="AO373" s="165"/>
      <c r="AP373" s="150"/>
      <c r="AQ373" s="165"/>
    </row>
    <row r="374">
      <c r="A374" s="150" t="s">
        <v>2113</v>
      </c>
      <c r="B374" s="150" t="s">
        <v>2114</v>
      </c>
      <c r="C374" s="175" t="str">
        <f>VLOOKUP(A374,Import!A:C,3,false)</f>
        <v>DOĞRU</v>
      </c>
      <c r="D374" s="150" t="s">
        <v>2664</v>
      </c>
      <c r="E374" s="280">
        <f>VLOOKUP(A374,Import!A:J,5,0)</f>
        <v>545</v>
      </c>
      <c r="F374" s="280">
        <f>VLOOKUP(A374,Import!A:J,6,0)</f>
        <v>31</v>
      </c>
      <c r="G374" s="289">
        <f>VLOOKUP(A374,Import!A:J,7,0)</f>
        <v>6</v>
      </c>
      <c r="H374" s="289">
        <f>VLOOKUP(A374,Import!A:J,8,0)</f>
        <v>0</v>
      </c>
      <c r="I374" s="289">
        <f>VLOOKUP(A374,Import!A:J,9,0)</f>
        <v>6</v>
      </c>
      <c r="J374" s="282">
        <f>VLOOKUP(A374,Import!A:J,10,0)</f>
        <v>1</v>
      </c>
      <c r="K374" s="290" t="s">
        <v>3590</v>
      </c>
      <c r="L374" s="150">
        <v>2.222377575E9</v>
      </c>
      <c r="M374" s="150" t="s">
        <v>1450</v>
      </c>
      <c r="N374" s="150" t="s">
        <v>2795</v>
      </c>
      <c r="O374" s="150" t="s">
        <v>2116</v>
      </c>
      <c r="P374" s="244" t="str">
        <f>VLOOKUP(A374,Import!A:P,16,0)</f>
        <v>Geleneksel</v>
      </c>
      <c r="Q374" s="291"/>
      <c r="R374" s="292" t="b">
        <v>1</v>
      </c>
      <c r="S374" s="293" t="b">
        <v>0</v>
      </c>
      <c r="T374" s="149" t="s">
        <v>2661</v>
      </c>
      <c r="U374" s="149" t="s">
        <v>1717</v>
      </c>
      <c r="V374" s="269" t="s">
        <v>1609</v>
      </c>
      <c r="W374" s="149" t="s">
        <v>3591</v>
      </c>
      <c r="X374" s="294">
        <v>44532.0</v>
      </c>
      <c r="Y374" s="294">
        <v>44536.0</v>
      </c>
      <c r="Z374" s="288"/>
      <c r="AA374" s="165" t="s">
        <v>2772</v>
      </c>
      <c r="AB374" s="295">
        <v>44532.0</v>
      </c>
      <c r="AC374" s="165" t="s">
        <v>2669</v>
      </c>
      <c r="AD374" s="295">
        <v>44532.0</v>
      </c>
      <c r="AE374" s="160"/>
      <c r="AF374" s="288"/>
      <c r="AG374" s="160"/>
      <c r="AH374" s="288"/>
      <c r="AI374" s="288"/>
      <c r="AJ374" s="288"/>
      <c r="AK374" s="165" t="s">
        <v>1717</v>
      </c>
      <c r="AL374" s="165" t="s">
        <v>1717</v>
      </c>
      <c r="AM374" s="288"/>
      <c r="AN374" s="288"/>
      <c r="AO374" s="288"/>
      <c r="AP374" s="150" t="s">
        <v>2663</v>
      </c>
      <c r="AQ374" s="288"/>
    </row>
    <row r="375">
      <c r="A375" s="244" t="s">
        <v>1704</v>
      </c>
      <c r="B375" s="244" t="s">
        <v>1705</v>
      </c>
      <c r="C375" s="175" t="str">
        <f>VLOOKUP(A375,Import!A:C,3,false)</f>
        <v>DOĞRU</v>
      </c>
      <c r="D375" s="175" t="s">
        <v>2684</v>
      </c>
      <c r="E375" s="280">
        <f>VLOOKUP(A375,Import!A:J,5,0)</f>
        <v>4180</v>
      </c>
      <c r="F375" s="280">
        <f>VLOOKUP(A375,Import!A:J,6,0)</f>
        <v>19</v>
      </c>
      <c r="G375" s="289">
        <f>VLOOKUP(A375,Import!A:J,7,0)</f>
        <v>13</v>
      </c>
      <c r="H375" s="289">
        <f>VLOOKUP(A375,Import!A:J,8,0)</f>
        <v>10</v>
      </c>
      <c r="I375" s="289">
        <f>VLOOKUP(A375,Import!A:J,9,0)</f>
        <v>23</v>
      </c>
      <c r="J375" s="282">
        <f>VLOOKUP(A375,Import!A:J,10,0)</f>
        <v>0.57</v>
      </c>
      <c r="K375" s="244" t="str">
        <f>VLOOKUP(A375,Import!A:P,11,0)</f>
        <v>ALAATTİN KARABİBER</v>
      </c>
      <c r="L375" s="283">
        <v>5.4186026E9</v>
      </c>
      <c r="M375" s="175" t="s">
        <v>1450</v>
      </c>
      <c r="N375" s="175" t="s">
        <v>2700</v>
      </c>
      <c r="O375" s="175" t="s">
        <v>1651</v>
      </c>
      <c r="P375" s="244" t="str">
        <f>VLOOKUP(A375,Import!A:P,16,0)</f>
        <v>Geleneksel</v>
      </c>
      <c r="Q375" s="284" t="s">
        <v>2660</v>
      </c>
      <c r="R375" s="285" t="b">
        <v>1</v>
      </c>
      <c r="S375" s="286" t="b">
        <v>0</v>
      </c>
      <c r="T375" s="171" t="s">
        <v>2661</v>
      </c>
      <c r="U375" s="171" t="s">
        <v>819</v>
      </c>
      <c r="V375" s="387" t="s">
        <v>1609</v>
      </c>
      <c r="W375" s="171" t="s">
        <v>3592</v>
      </c>
      <c r="X375" s="287">
        <v>44485.0</v>
      </c>
      <c r="Y375" s="287">
        <v>44485.0</v>
      </c>
      <c r="Z375" s="288"/>
      <c r="AA375" s="165" t="s">
        <v>2669</v>
      </c>
      <c r="AB375" s="295">
        <v>44485.0</v>
      </c>
      <c r="AC375" s="165" t="s">
        <v>2669</v>
      </c>
      <c r="AD375" s="295">
        <v>44539.0</v>
      </c>
      <c r="AE375" s="160"/>
      <c r="AF375" s="288"/>
      <c r="AG375" s="160"/>
      <c r="AH375" s="288"/>
      <c r="AI375" s="288"/>
      <c r="AJ375" s="288"/>
      <c r="AK375" s="165" t="s">
        <v>819</v>
      </c>
      <c r="AL375" s="165" t="s">
        <v>1911</v>
      </c>
      <c r="AM375" s="288"/>
      <c r="AN375" s="288"/>
      <c r="AO375" s="288"/>
      <c r="AP375" s="150" t="s">
        <v>2663</v>
      </c>
      <c r="AQ375" s="288"/>
    </row>
    <row r="376">
      <c r="A376" s="150" t="s">
        <v>2314</v>
      </c>
      <c r="B376" s="150" t="s">
        <v>2315</v>
      </c>
      <c r="C376" s="175" t="str">
        <f>VLOOKUP(A376,Import!A:C,3,false)</f>
        <v>DOĞRU</v>
      </c>
      <c r="D376" s="150" t="s">
        <v>2672</v>
      </c>
      <c r="E376" s="280">
        <f>VLOOKUP(A376,Import!A:J,5,0)</f>
        <v>1266</v>
      </c>
      <c r="F376" s="280">
        <f>VLOOKUP(A376,Import!A:J,6,0)</f>
        <v>71</v>
      </c>
      <c r="G376" s="289">
        <f>VLOOKUP(A376,Import!A:J,7,0)</f>
        <v>9</v>
      </c>
      <c r="H376" s="289">
        <f>VLOOKUP(A376,Import!A:J,8,0)</f>
        <v>11</v>
      </c>
      <c r="I376" s="289">
        <f>VLOOKUP(A376,Import!A:J,9,0)</f>
        <v>20</v>
      </c>
      <c r="J376" s="282">
        <f>VLOOKUP(A376,Import!A:J,10,0)</f>
        <v>0.45</v>
      </c>
      <c r="K376" s="290" t="s">
        <v>3593</v>
      </c>
      <c r="L376" s="150">
        <v>2.222315121E9</v>
      </c>
      <c r="M376" s="150" t="s">
        <v>2666</v>
      </c>
      <c r="N376" s="150" t="s">
        <v>2682</v>
      </c>
      <c r="O376" s="150" t="s">
        <v>2318</v>
      </c>
      <c r="P376" s="244" t="str">
        <f>VLOOKUP(A376,Import!A:P,16,0)</f>
        <v>Geleneksel</v>
      </c>
      <c r="Q376" s="291"/>
      <c r="R376" s="292" t="b">
        <v>1</v>
      </c>
      <c r="S376" s="293" t="b">
        <v>0</v>
      </c>
      <c r="T376" s="149" t="s">
        <v>2661</v>
      </c>
      <c r="U376" s="149" t="s">
        <v>1715</v>
      </c>
      <c r="V376" s="149" t="s">
        <v>2783</v>
      </c>
      <c r="W376" s="149"/>
      <c r="X376" s="294">
        <v>44565.0</v>
      </c>
      <c r="Y376" s="294">
        <v>44567.0</v>
      </c>
      <c r="Z376" s="288"/>
      <c r="AA376" s="165" t="s">
        <v>2669</v>
      </c>
      <c r="AB376" s="295">
        <v>44565.0</v>
      </c>
      <c r="AC376" s="288"/>
      <c r="AD376" s="288"/>
      <c r="AE376" s="160"/>
      <c r="AF376" s="288"/>
      <c r="AG376" s="160"/>
      <c r="AH376" s="288"/>
      <c r="AI376" s="288"/>
      <c r="AJ376" s="288"/>
      <c r="AK376" s="165" t="s">
        <v>1715</v>
      </c>
      <c r="AL376" s="288"/>
      <c r="AM376" s="288"/>
      <c r="AN376" s="288"/>
      <c r="AO376" s="165"/>
      <c r="AP376" s="150"/>
      <c r="AQ376" s="165"/>
    </row>
    <row r="377">
      <c r="A377" s="244" t="s">
        <v>3594</v>
      </c>
      <c r="B377" s="244" t="s">
        <v>3595</v>
      </c>
      <c r="C377" s="175" t="str">
        <f>VLOOKUP(A377,Import!A:C,3,false)</f>
        <v>DOĞRU</v>
      </c>
      <c r="D377" s="175" t="s">
        <v>2658</v>
      </c>
      <c r="E377" s="280">
        <f>VLOOKUP(A377,Import!A:J,5,0)</f>
        <v>1609</v>
      </c>
      <c r="F377" s="280">
        <f>VLOOKUP(A377,Import!A:J,6,0)</f>
        <v>25</v>
      </c>
      <c r="G377" s="289">
        <f>VLOOKUP(A377,Import!A:J,7,0)</f>
        <v>3</v>
      </c>
      <c r="H377" s="289">
        <f>VLOOKUP(A377,Import!A:J,8,0)</f>
        <v>8</v>
      </c>
      <c r="I377" s="289">
        <f>VLOOKUP(A377,Import!A:J,9,0)</f>
        <v>11</v>
      </c>
      <c r="J377" s="282">
        <f>VLOOKUP(A377,Import!A:J,10,0)</f>
        <v>0.27</v>
      </c>
      <c r="K377" s="244" t="str">
        <f>VLOOKUP(A377,Import!A:P,11,0)</f>
        <v>SEDAT YAKAN</v>
      </c>
      <c r="L377" s="283">
        <v>2.222213915E9</v>
      </c>
      <c r="M377" s="175" t="s">
        <v>1450</v>
      </c>
      <c r="N377" s="175" t="s">
        <v>2659</v>
      </c>
      <c r="O377" s="175" t="s">
        <v>3596</v>
      </c>
      <c r="P377" s="244" t="str">
        <f>VLOOKUP(A377,Import!A:P,16,0)</f>
        <v>Geleneksel</v>
      </c>
      <c r="Q377" s="284" t="s">
        <v>2686</v>
      </c>
      <c r="R377" s="285" t="b">
        <v>1</v>
      </c>
      <c r="S377" s="286" t="b">
        <v>0</v>
      </c>
      <c r="T377" s="171" t="s">
        <v>2734</v>
      </c>
      <c r="U377" s="298"/>
      <c r="V377" s="298"/>
      <c r="W377" s="298"/>
      <c r="X377" s="299"/>
      <c r="Y377" s="299"/>
      <c r="Z377" s="288"/>
      <c r="AA377" s="288"/>
      <c r="AB377" s="288"/>
      <c r="AC377" s="288"/>
      <c r="AD377" s="288"/>
      <c r="AE377" s="160"/>
      <c r="AF377" s="288"/>
      <c r="AG377" s="160"/>
      <c r="AH377" s="288"/>
      <c r="AI377" s="288"/>
      <c r="AJ377" s="288"/>
      <c r="AK377" s="288"/>
      <c r="AL377" s="288"/>
      <c r="AM377" s="288"/>
      <c r="AN377" s="288"/>
      <c r="AO377" s="288"/>
      <c r="AP377" s="150" t="s">
        <v>2663</v>
      </c>
      <c r="AQ377" s="288"/>
    </row>
    <row r="378">
      <c r="A378" s="150" t="s">
        <v>2562</v>
      </c>
      <c r="B378" s="150" t="s">
        <v>2563</v>
      </c>
      <c r="C378" s="175" t="str">
        <f>VLOOKUP(A378,Import!A:C,3,false)</f>
        <v>DOĞRU</v>
      </c>
      <c r="D378" s="150" t="s">
        <v>2763</v>
      </c>
      <c r="E378" s="280">
        <f>VLOOKUP(A378,Import!A:J,5,0)</f>
        <v>1488</v>
      </c>
      <c r="F378" s="280">
        <f>VLOOKUP(A378,Import!A:J,6,0)</f>
        <v>115</v>
      </c>
      <c r="G378" s="289">
        <f>VLOOKUP(A378,Import!A:J,7,0)</f>
        <v>0</v>
      </c>
      <c r="H378" s="289">
        <f>VLOOKUP(A378,Import!A:J,8,0)</f>
        <v>56</v>
      </c>
      <c r="I378" s="289">
        <f>VLOOKUP(A378,Import!A:J,9,0)</f>
        <v>56</v>
      </c>
      <c r="J378" s="282">
        <f>VLOOKUP(A378,Import!A:J,10,0)</f>
        <v>0</v>
      </c>
      <c r="K378" s="244" t="str">
        <f>VLOOKUP(A378,Import!A:P,11,0)</f>
        <v>ÇETİN ÖZER</v>
      </c>
      <c r="L378" s="150">
        <v>5.544636989E9</v>
      </c>
      <c r="M378" s="150" t="s">
        <v>1450</v>
      </c>
      <c r="N378" s="150" t="s">
        <v>2950</v>
      </c>
      <c r="O378" s="150" t="s">
        <v>3597</v>
      </c>
      <c r="P378" s="244" t="str">
        <f>VLOOKUP(A378,Import!A:P,16,0)</f>
        <v>Geleneksel</v>
      </c>
      <c r="Q378" s="291" t="s">
        <v>2713</v>
      </c>
      <c r="R378" s="292" t="b">
        <v>1</v>
      </c>
      <c r="S378" s="293" t="b">
        <v>0</v>
      </c>
      <c r="T378" s="149" t="s">
        <v>2770</v>
      </c>
      <c r="U378" s="149" t="s">
        <v>819</v>
      </c>
      <c r="V378" s="301" t="s">
        <v>1609</v>
      </c>
      <c r="W378" s="149" t="s">
        <v>3598</v>
      </c>
      <c r="X378" s="294">
        <v>44628.0</v>
      </c>
      <c r="Y378" s="294">
        <v>44629.0</v>
      </c>
      <c r="Z378" s="288"/>
      <c r="AA378" s="165" t="s">
        <v>2772</v>
      </c>
      <c r="AB378" s="295">
        <v>44377.0</v>
      </c>
      <c r="AC378" s="165" t="s">
        <v>2772</v>
      </c>
      <c r="AD378" s="295">
        <v>44547.0</v>
      </c>
      <c r="AE378" s="165" t="s">
        <v>2669</v>
      </c>
      <c r="AF378" s="295">
        <v>44628.0</v>
      </c>
      <c r="AG378" s="160"/>
      <c r="AH378" s="288"/>
      <c r="AI378" s="288"/>
      <c r="AJ378" s="288"/>
      <c r="AK378" s="165" t="s">
        <v>2913</v>
      </c>
      <c r="AL378" s="165" t="s">
        <v>819</v>
      </c>
      <c r="AM378" s="165" t="s">
        <v>819</v>
      </c>
      <c r="AN378" s="288"/>
      <c r="AO378" s="288"/>
      <c r="AP378" s="150" t="s">
        <v>2663</v>
      </c>
      <c r="AQ378" s="288"/>
    </row>
    <row r="379">
      <c r="A379" s="244" t="s">
        <v>3599</v>
      </c>
      <c r="B379" s="244" t="s">
        <v>3600</v>
      </c>
      <c r="C379" s="175" t="str">
        <f>VLOOKUP(A379,Import!A:C,3,false)</f>
        <v>DOĞRU</v>
      </c>
      <c r="D379" s="244" t="s">
        <v>2658</v>
      </c>
      <c r="E379" s="280">
        <f>VLOOKUP(A379,Import!A:J,5,0)</f>
        <v>514</v>
      </c>
      <c r="F379" s="280">
        <f>VLOOKUP(A379,Import!A:J,6,0)</f>
        <v>6</v>
      </c>
      <c r="G379" s="289">
        <f>VLOOKUP(A379,Import!A:J,7,0)</f>
        <v>12</v>
      </c>
      <c r="H379" s="289">
        <f>VLOOKUP(A379,Import!A:J,8,0)</f>
        <v>13</v>
      </c>
      <c r="I379" s="289">
        <f>VLOOKUP(A379,Import!A:J,9,0)</f>
        <v>25</v>
      </c>
      <c r="J379" s="282">
        <f>VLOOKUP(A379,Import!A:J,10,0)</f>
        <v>0.48</v>
      </c>
      <c r="K379" s="244" t="str">
        <f>VLOOKUP(A379,Import!A:P,11,0)</f>
        <v>mehmet tüfenk</v>
      </c>
      <c r="L379" s="280">
        <v>5.337761568E9</v>
      </c>
      <c r="M379" s="244" t="s">
        <v>2666</v>
      </c>
      <c r="N379" s="244" t="s">
        <v>2774</v>
      </c>
      <c r="O379" s="244" t="s">
        <v>94</v>
      </c>
      <c r="P379" s="244" t="str">
        <f>VLOOKUP(A379,Import!A:P,16,0)</f>
        <v>Geleneksel</v>
      </c>
      <c r="Q379" s="291" t="s">
        <v>2686</v>
      </c>
      <c r="R379" s="292" t="b">
        <v>1</v>
      </c>
      <c r="S379" s="293" t="b">
        <v>0</v>
      </c>
      <c r="T379" s="145" t="s">
        <v>2734</v>
      </c>
      <c r="U379" s="160"/>
      <c r="V379" s="160"/>
      <c r="W379" s="165" t="s">
        <v>2753</v>
      </c>
      <c r="X379" s="288"/>
      <c r="Y379" s="288"/>
      <c r="Z379" s="288"/>
      <c r="AA379" s="288"/>
      <c r="AB379" s="288"/>
      <c r="AC379" s="288"/>
      <c r="AD379" s="288"/>
      <c r="AE379" s="160"/>
      <c r="AF379" s="288"/>
      <c r="AG379" s="160"/>
      <c r="AH379" s="288"/>
      <c r="AI379" s="288"/>
      <c r="AJ379" s="288"/>
      <c r="AK379" s="288"/>
      <c r="AL379" s="288"/>
      <c r="AM379" s="288"/>
      <c r="AN379" s="288"/>
      <c r="AO379" s="288"/>
      <c r="AP379" s="150" t="s">
        <v>2663</v>
      </c>
      <c r="AQ379" s="288"/>
    </row>
    <row r="380">
      <c r="A380" s="150" t="s">
        <v>3601</v>
      </c>
      <c r="B380" s="150" t="s">
        <v>3602</v>
      </c>
      <c r="C380" s="175" t="str">
        <f>VLOOKUP(A380,Import!A:C,3,false)</f>
        <v>DOĞRU</v>
      </c>
      <c r="D380" s="150" t="s">
        <v>2845</v>
      </c>
      <c r="E380" s="280">
        <f>VLOOKUP(A380,Import!A:J,5,0)</f>
        <v>2055</v>
      </c>
      <c r="F380" s="280" t="str">
        <f>VLOOKUP(A380,Import!A:J,6,0)</f>
        <v/>
      </c>
      <c r="G380" s="289">
        <f>VLOOKUP(A380,Import!A:J,7,0)</f>
        <v>0</v>
      </c>
      <c r="H380" s="289">
        <f>VLOOKUP(A380,Import!A:J,8,0)</f>
        <v>17</v>
      </c>
      <c r="I380" s="289">
        <f>VLOOKUP(A380,Import!A:J,9,0)</f>
        <v>17</v>
      </c>
      <c r="J380" s="282">
        <f>VLOOKUP(A380,Import!A:J,10,0)</f>
        <v>0</v>
      </c>
      <c r="K380" s="244" t="str">
        <f>VLOOKUP(A380,Import!A:P,11,0)</f>
        <v>Nebahat Topçu</v>
      </c>
      <c r="L380" s="150">
        <v>2.223232851E9</v>
      </c>
      <c r="M380" s="150" t="s">
        <v>2666</v>
      </c>
      <c r="N380" s="150" t="s">
        <v>2809</v>
      </c>
      <c r="O380" s="150" t="s">
        <v>3603</v>
      </c>
      <c r="P380" s="244" t="str">
        <f>VLOOKUP(A380,Import!A:P,16,0)</f>
        <v>Geleneksel</v>
      </c>
      <c r="Q380" s="291" t="s">
        <v>2686</v>
      </c>
      <c r="R380" s="292" t="b">
        <v>1</v>
      </c>
      <c r="S380" s="292" t="b">
        <v>1</v>
      </c>
      <c r="T380" s="296"/>
      <c r="U380" s="296"/>
      <c r="V380" s="296"/>
      <c r="X380" s="297"/>
      <c r="Y380" s="297"/>
      <c r="Z380" s="288"/>
      <c r="AA380" s="288"/>
      <c r="AB380" s="288"/>
      <c r="AC380" s="288"/>
      <c r="AD380" s="288"/>
      <c r="AE380" s="160"/>
      <c r="AF380" s="288"/>
      <c r="AG380" s="160"/>
      <c r="AH380" s="288"/>
      <c r="AI380" s="288"/>
      <c r="AJ380" s="288"/>
      <c r="AK380" s="288"/>
      <c r="AL380" s="288"/>
      <c r="AM380" s="288"/>
      <c r="AN380" s="288"/>
      <c r="AO380" s="288"/>
      <c r="AP380" s="150" t="s">
        <v>2663</v>
      </c>
      <c r="AQ380" s="288"/>
    </row>
    <row r="381">
      <c r="A381" s="150" t="s">
        <v>3604</v>
      </c>
      <c r="B381" s="150" t="s">
        <v>3605</v>
      </c>
      <c r="C381" s="175" t="str">
        <f>VLOOKUP(A381,Import!A:C,3,false)</f>
        <v>DOĞRU</v>
      </c>
      <c r="D381" s="150" t="s">
        <v>2672</v>
      </c>
      <c r="E381" s="280">
        <f>VLOOKUP(A381,Import!A:J,5,0)</f>
        <v>271</v>
      </c>
      <c r="F381" s="280">
        <f>VLOOKUP(A381,Import!A:J,6,0)</f>
        <v>16</v>
      </c>
      <c r="G381" s="289">
        <f>VLOOKUP(A381,Import!A:J,7,0)</f>
        <v>0</v>
      </c>
      <c r="H381" s="289">
        <f>VLOOKUP(A381,Import!A:J,8,0)</f>
        <v>25</v>
      </c>
      <c r="I381" s="289">
        <f>VLOOKUP(A381,Import!A:J,9,0)</f>
        <v>25</v>
      </c>
      <c r="J381" s="282">
        <f>VLOOKUP(A381,Import!A:J,10,0)</f>
        <v>0</v>
      </c>
      <c r="K381" s="290" t="s">
        <v>3606</v>
      </c>
      <c r="L381" s="150">
        <v>5.326667723E9</v>
      </c>
      <c r="M381" s="150" t="s">
        <v>2666</v>
      </c>
      <c r="N381" s="150" t="s">
        <v>2667</v>
      </c>
      <c r="O381" s="150" t="s">
        <v>3607</v>
      </c>
      <c r="P381" s="244" t="str">
        <f>VLOOKUP(A381,Import!A:P,16,0)</f>
        <v>Geleneksel</v>
      </c>
      <c r="Q381" s="291"/>
      <c r="R381" s="292" t="b">
        <v>1</v>
      </c>
      <c r="S381" s="292" t="b">
        <v>1</v>
      </c>
      <c r="T381" s="296"/>
      <c r="U381" s="296"/>
      <c r="V381" s="296"/>
      <c r="W381" s="149" t="s">
        <v>3608</v>
      </c>
      <c r="X381" s="297"/>
      <c r="Y381" s="297"/>
      <c r="Z381" s="288"/>
      <c r="AA381" s="165" t="s">
        <v>2688</v>
      </c>
      <c r="AB381" s="295">
        <v>44571.0</v>
      </c>
      <c r="AC381" s="165" t="s">
        <v>2669</v>
      </c>
      <c r="AD381" s="295">
        <v>44642.0</v>
      </c>
      <c r="AE381" s="160"/>
      <c r="AF381" s="288"/>
      <c r="AG381" s="160"/>
      <c r="AH381" s="288"/>
      <c r="AI381" s="288"/>
      <c r="AJ381" s="288"/>
      <c r="AK381" s="165" t="s">
        <v>819</v>
      </c>
      <c r="AL381" s="165" t="s">
        <v>1791</v>
      </c>
      <c r="AM381" s="288"/>
      <c r="AN381" s="288"/>
      <c r="AO381" s="165"/>
      <c r="AP381" s="150"/>
      <c r="AQ381" s="165"/>
    </row>
    <row r="382">
      <c r="A382" s="244" t="s">
        <v>3609</v>
      </c>
      <c r="B382" s="244" t="s">
        <v>3610</v>
      </c>
      <c r="C382" s="175" t="str">
        <f>VLOOKUP(A382,Import!A:C,3,false)</f>
        <v>DOĞRU</v>
      </c>
      <c r="D382" s="244" t="s">
        <v>2763</v>
      </c>
      <c r="E382" s="280">
        <f>VLOOKUP(A382,Import!A:J,5,0)</f>
        <v>3568</v>
      </c>
      <c r="F382" s="280">
        <f>VLOOKUP(A382,Import!A:J,6,0)</f>
        <v>60</v>
      </c>
      <c r="G382" s="289">
        <f>VLOOKUP(A382,Import!A:J,7,0)</f>
        <v>0</v>
      </c>
      <c r="H382" s="289">
        <f>VLOOKUP(A382,Import!A:J,8,0)</f>
        <v>10</v>
      </c>
      <c r="I382" s="289">
        <f>VLOOKUP(A382,Import!A:J,9,0)</f>
        <v>10</v>
      </c>
      <c r="J382" s="282">
        <f>VLOOKUP(A382,Import!A:J,10,0)</f>
        <v>0</v>
      </c>
      <c r="K382" s="244" t="str">
        <f>VLOOKUP(A382,Import!A:P,11,0)</f>
        <v>İSMAİL GÖLÜKÇÜ</v>
      </c>
      <c r="L382" s="280">
        <v>5.51954929E9</v>
      </c>
      <c r="M382" s="244" t="s">
        <v>1450</v>
      </c>
      <c r="N382" s="244" t="s">
        <v>2732</v>
      </c>
      <c r="O382" s="244" t="s">
        <v>3611</v>
      </c>
      <c r="P382" s="244" t="str">
        <f>VLOOKUP(A382,Import!A:P,16,0)</f>
        <v>Geleneksel</v>
      </c>
      <c r="Q382" s="291" t="s">
        <v>2660</v>
      </c>
      <c r="R382" s="292" t="b">
        <v>1</v>
      </c>
      <c r="S382" s="293" t="b">
        <v>0</v>
      </c>
      <c r="T382" s="165" t="s">
        <v>2714</v>
      </c>
      <c r="U382" s="160"/>
      <c r="V382" s="160"/>
      <c r="W382" s="165" t="s">
        <v>3612</v>
      </c>
      <c r="X382" s="288"/>
      <c r="Y382" s="288"/>
      <c r="Z382" s="288"/>
      <c r="AA382" s="165" t="s">
        <v>2693</v>
      </c>
      <c r="AB382" s="295">
        <v>44377.0</v>
      </c>
      <c r="AC382" s="165" t="s">
        <v>2669</v>
      </c>
      <c r="AD382" s="295">
        <v>44494.0</v>
      </c>
      <c r="AE382" s="160"/>
      <c r="AF382" s="288"/>
      <c r="AG382" s="160"/>
      <c r="AH382" s="288"/>
      <c r="AI382" s="288"/>
      <c r="AJ382" s="288"/>
      <c r="AK382" s="165" t="s">
        <v>2913</v>
      </c>
      <c r="AL382" s="165" t="s">
        <v>1791</v>
      </c>
      <c r="AM382" s="288"/>
      <c r="AN382" s="288"/>
      <c r="AO382" s="288"/>
      <c r="AP382" s="150" t="s">
        <v>2663</v>
      </c>
      <c r="AQ382" s="288"/>
    </row>
    <row r="383">
      <c r="A383" s="244" t="s">
        <v>318</v>
      </c>
      <c r="B383" s="244" t="s">
        <v>319</v>
      </c>
      <c r="C383" s="175" t="str">
        <f>VLOOKUP(A383,Import!A:C,3,false)</f>
        <v>DOĞRU</v>
      </c>
      <c r="D383" s="303" t="s">
        <v>2672</v>
      </c>
      <c r="E383" s="280">
        <f>VLOOKUP(A383,Import!A:J,5,0)</f>
        <v>6923</v>
      </c>
      <c r="F383" s="280">
        <f>VLOOKUP(A383,Import!A:J,6,0)</f>
        <v>351</v>
      </c>
      <c r="G383" s="289">
        <f>VLOOKUP(A383,Import!A:J,7,0)</f>
        <v>9</v>
      </c>
      <c r="H383" s="289">
        <f>VLOOKUP(A383,Import!A:J,8,0)</f>
        <v>12</v>
      </c>
      <c r="I383" s="289">
        <f>VLOOKUP(A383,Import!A:J,9,0)</f>
        <v>21</v>
      </c>
      <c r="J383" s="282">
        <f>VLOOKUP(A383,Import!A:J,10,0)</f>
        <v>0.43</v>
      </c>
      <c r="K383" s="244" t="str">
        <f>VLOOKUP(A383,Import!A:P,11,0)</f>
        <v>Mehmet Maşuk Cengiz</v>
      </c>
      <c r="L383" s="304">
        <v>2.22322505E9</v>
      </c>
      <c r="M383" s="303" t="s">
        <v>2666</v>
      </c>
      <c r="N383" s="303" t="s">
        <v>2721</v>
      </c>
      <c r="O383" s="303" t="s">
        <v>321</v>
      </c>
      <c r="P383" s="244" t="str">
        <f>VLOOKUP(A383,Import!A:P,16,0)</f>
        <v>Geleneksel</v>
      </c>
      <c r="Q383" s="305" t="s">
        <v>2760</v>
      </c>
      <c r="R383" s="306" t="b">
        <v>1</v>
      </c>
      <c r="S383" s="307" t="b">
        <v>0</v>
      </c>
      <c r="T383" s="309" t="s">
        <v>2661</v>
      </c>
      <c r="U383" s="309"/>
      <c r="V383" s="309" t="s">
        <v>13</v>
      </c>
      <c r="W383" s="308"/>
      <c r="X383" s="310">
        <v>44230.0</v>
      </c>
      <c r="Y383" s="310">
        <v>44239.0</v>
      </c>
      <c r="Z383" s="288"/>
      <c r="AA383" s="288"/>
      <c r="AB383" s="288"/>
      <c r="AC383" s="288"/>
      <c r="AD383" s="288"/>
      <c r="AE383" s="160"/>
      <c r="AF383" s="288"/>
      <c r="AG383" s="160"/>
      <c r="AH383" s="288"/>
      <c r="AI383" s="288"/>
      <c r="AJ383" s="288"/>
      <c r="AK383" s="288"/>
      <c r="AL383" s="288"/>
      <c r="AM383" s="288"/>
      <c r="AN383" s="288"/>
      <c r="AO383" s="288"/>
      <c r="AP383" s="150" t="s">
        <v>2663</v>
      </c>
      <c r="AQ383" s="288"/>
    </row>
    <row r="384">
      <c r="A384" s="147" t="s">
        <v>3613</v>
      </c>
      <c r="B384" s="147" t="s">
        <v>3614</v>
      </c>
      <c r="C384" s="175" t="str">
        <f>VLOOKUP(A384,Import!A:C,3,false)</f>
        <v>YANLIŞ</v>
      </c>
      <c r="D384" s="147" t="s">
        <v>2773</v>
      </c>
      <c r="E384" s="280" t="str">
        <f>VLOOKUP(A384,Import!A:J,5,0)</f>
        <v/>
      </c>
      <c r="F384" s="280" t="str">
        <f>VLOOKUP(A384,Import!A:J,6,0)</f>
        <v/>
      </c>
      <c r="G384" s="289">
        <f>VLOOKUP(A384,Import!A:J,7,0)</f>
        <v>0</v>
      </c>
      <c r="H384" s="289">
        <f>VLOOKUP(A384,Import!A:J,8,0)</f>
        <v>24</v>
      </c>
      <c r="I384" s="289">
        <f>VLOOKUP(A384,Import!A:J,9,0)</f>
        <v>24</v>
      </c>
      <c r="J384" s="282">
        <f>VLOOKUP(A384,Import!A:J,10,0)</f>
        <v>0</v>
      </c>
      <c r="K384" s="244" t="str">
        <f>VLOOKUP(A384,Import!A:P,11,0)</f>
        <v>Sinan Güler</v>
      </c>
      <c r="L384" s="147">
        <v>5.524179417E9</v>
      </c>
      <c r="M384" s="147" t="s">
        <v>2666</v>
      </c>
      <c r="N384" s="147" t="s">
        <v>2750</v>
      </c>
      <c r="O384" s="147" t="s">
        <v>3615</v>
      </c>
      <c r="P384" s="244" t="str">
        <f>VLOOKUP(A384,Import!A:P,16,0)</f>
        <v>Geleneksel</v>
      </c>
      <c r="Q384" s="330"/>
      <c r="R384" s="292" t="b">
        <v>1</v>
      </c>
      <c r="S384" s="293" t="b">
        <v>0</v>
      </c>
      <c r="T384" s="149" t="s">
        <v>2925</v>
      </c>
      <c r="U384" s="296"/>
      <c r="V384" s="296"/>
      <c r="X384" s="297"/>
      <c r="Y384" s="297"/>
      <c r="Z384" s="288"/>
      <c r="AA384" s="288"/>
      <c r="AB384" s="288"/>
      <c r="AC384" s="288"/>
      <c r="AD384" s="288"/>
      <c r="AE384" s="160"/>
      <c r="AF384" s="288"/>
      <c r="AG384" s="160"/>
      <c r="AH384" s="288"/>
      <c r="AI384" s="288"/>
      <c r="AJ384" s="288"/>
      <c r="AK384" s="288"/>
      <c r="AL384" s="288"/>
      <c r="AM384" s="288"/>
      <c r="AN384" s="288"/>
      <c r="AO384" s="288"/>
      <c r="AP384" s="150" t="s">
        <v>2663</v>
      </c>
      <c r="AQ384" s="288"/>
    </row>
    <row r="385">
      <c r="A385" s="150" t="s">
        <v>3616</v>
      </c>
      <c r="B385" s="150" t="s">
        <v>3617</v>
      </c>
      <c r="C385" s="175" t="str">
        <f>VLOOKUP(A385,Import!A:C,3,false)</f>
        <v>DOĞRU</v>
      </c>
      <c r="D385" s="150" t="s">
        <v>2664</v>
      </c>
      <c r="E385" s="280">
        <f>VLOOKUP(A385,Import!A:J,5,0)</f>
        <v>856</v>
      </c>
      <c r="F385" s="280">
        <f>VLOOKUP(A385,Import!A:J,6,0)</f>
        <v>61</v>
      </c>
      <c r="G385" s="289">
        <f>VLOOKUP(A385,Import!A:J,7,0)</f>
        <v>0</v>
      </c>
      <c r="H385" s="289">
        <f>VLOOKUP(A385,Import!A:J,8,0)</f>
        <v>71</v>
      </c>
      <c r="I385" s="289">
        <f>VLOOKUP(A385,Import!A:J,9,0)</f>
        <v>71</v>
      </c>
      <c r="J385" s="282">
        <f>VLOOKUP(A385,Import!A:J,10,0)</f>
        <v>0</v>
      </c>
      <c r="K385" s="290" t="s">
        <v>3618</v>
      </c>
      <c r="L385" s="150">
        <v>5.369639063E9</v>
      </c>
      <c r="M385" s="150" t="s">
        <v>1450</v>
      </c>
      <c r="N385" s="150" t="s">
        <v>2700</v>
      </c>
      <c r="O385" s="150" t="s">
        <v>3619</v>
      </c>
      <c r="P385" s="244" t="str">
        <f>VLOOKUP(A385,Import!A:P,16,0)</f>
        <v>Geleneksel</v>
      </c>
      <c r="Q385" s="291"/>
      <c r="R385" s="292" t="b">
        <v>1</v>
      </c>
      <c r="S385" s="293" t="b">
        <v>0</v>
      </c>
      <c r="T385" s="149" t="s">
        <v>2714</v>
      </c>
      <c r="U385" s="296"/>
      <c r="V385" s="296"/>
      <c r="W385" s="149" t="s">
        <v>3620</v>
      </c>
      <c r="X385" s="297"/>
      <c r="Y385" s="297"/>
      <c r="Z385" s="288"/>
      <c r="AA385" s="165" t="s">
        <v>2669</v>
      </c>
      <c r="AB385" s="295">
        <v>44550.0</v>
      </c>
      <c r="AC385" s="165" t="s">
        <v>2669</v>
      </c>
      <c r="AD385" s="295">
        <v>44582.0</v>
      </c>
      <c r="AE385" s="160"/>
      <c r="AF385" s="288"/>
      <c r="AG385" s="160"/>
      <c r="AH385" s="288"/>
      <c r="AI385" s="288"/>
      <c r="AJ385" s="288"/>
      <c r="AK385" s="165" t="s">
        <v>819</v>
      </c>
      <c r="AL385" s="165" t="s">
        <v>1791</v>
      </c>
      <c r="AM385" s="288"/>
      <c r="AN385" s="288"/>
      <c r="AO385" s="165"/>
      <c r="AP385" s="150"/>
      <c r="AQ385" s="165"/>
    </row>
    <row r="386">
      <c r="A386" s="150" t="s">
        <v>634</v>
      </c>
      <c r="B386" s="150" t="s">
        <v>635</v>
      </c>
      <c r="C386" s="175" t="str">
        <f>VLOOKUP(A386,Import!A:C,3,false)</f>
        <v>DOĞRU</v>
      </c>
      <c r="D386" s="150" t="s">
        <v>2658</v>
      </c>
      <c r="E386" s="280">
        <f>VLOOKUP(A386,Import!A:J,5,0)</f>
        <v>1009</v>
      </c>
      <c r="F386" s="280">
        <f>VLOOKUP(A386,Import!A:J,6,0)</f>
        <v>50</v>
      </c>
      <c r="G386" s="289">
        <f>VLOOKUP(A386,Import!A:J,7,0)</f>
        <v>12</v>
      </c>
      <c r="H386" s="289">
        <f>VLOOKUP(A386,Import!A:J,8,0)</f>
        <v>18</v>
      </c>
      <c r="I386" s="289">
        <f>VLOOKUP(A386,Import!A:J,9,0)</f>
        <v>30</v>
      </c>
      <c r="J386" s="282">
        <f>VLOOKUP(A386,Import!A:J,10,0)</f>
        <v>0.4</v>
      </c>
      <c r="K386" s="244" t="str">
        <f>VLOOKUP(A386,Import!A:P,11,0)</f>
        <v>TEZCAN KILINÇ</v>
      </c>
      <c r="L386" s="150">
        <v>5.444717658E9</v>
      </c>
      <c r="M386" s="150" t="s">
        <v>1450</v>
      </c>
      <c r="N386" s="150" t="s">
        <v>2703</v>
      </c>
      <c r="O386" s="150" t="s">
        <v>637</v>
      </c>
      <c r="P386" s="244" t="str">
        <f>VLOOKUP(A386,Import!A:P,16,0)</f>
        <v>Geleneksel</v>
      </c>
      <c r="Q386" s="291" t="s">
        <v>2713</v>
      </c>
      <c r="R386" s="292" t="b">
        <v>1</v>
      </c>
      <c r="S386" s="293" t="b">
        <v>0</v>
      </c>
      <c r="T386" s="149" t="s">
        <v>2661</v>
      </c>
      <c r="U386" s="149"/>
      <c r="V386" s="149" t="s">
        <v>31</v>
      </c>
      <c r="X386" s="294">
        <v>44237.0</v>
      </c>
      <c r="Y386" s="294">
        <v>44249.0</v>
      </c>
      <c r="Z386" s="288"/>
      <c r="AA386" s="288"/>
      <c r="AB386" s="288"/>
      <c r="AC386" s="288"/>
      <c r="AD386" s="288"/>
      <c r="AE386" s="160"/>
      <c r="AF386" s="288"/>
      <c r="AG386" s="160"/>
      <c r="AH386" s="288"/>
      <c r="AI386" s="288"/>
      <c r="AJ386" s="288"/>
      <c r="AK386" s="288"/>
      <c r="AL386" s="288"/>
      <c r="AM386" s="288"/>
      <c r="AN386" s="288"/>
      <c r="AO386" s="288"/>
      <c r="AP386" s="150" t="s">
        <v>2663</v>
      </c>
      <c r="AQ386" s="288"/>
    </row>
    <row r="387">
      <c r="A387" s="244" t="s">
        <v>212</v>
      </c>
      <c r="B387" s="244" t="s">
        <v>213</v>
      </c>
      <c r="C387" s="175" t="str">
        <f>VLOOKUP(A387,Import!A:C,3,false)</f>
        <v>DOĞRU</v>
      </c>
      <c r="D387" s="303" t="s">
        <v>2664</v>
      </c>
      <c r="E387" s="280">
        <f>VLOOKUP(A387,Import!A:J,5,0)</f>
        <v>29122</v>
      </c>
      <c r="F387" s="280">
        <f>VLOOKUP(A387,Import!A:J,6,0)</f>
        <v>1346</v>
      </c>
      <c r="G387" s="289">
        <f>VLOOKUP(A387,Import!A:J,7,0)</f>
        <v>32</v>
      </c>
      <c r="H387" s="289">
        <f>VLOOKUP(A387,Import!A:J,8,0)</f>
        <v>6</v>
      </c>
      <c r="I387" s="289">
        <f>VLOOKUP(A387,Import!A:J,9,0)</f>
        <v>38</v>
      </c>
      <c r="J387" s="282">
        <f>VLOOKUP(A387,Import!A:J,10,0)</f>
        <v>0.84</v>
      </c>
      <c r="K387" s="244" t="str">
        <f>VLOOKUP(A387,Import!A:P,11,0)</f>
        <v>TOLGA KUMRU</v>
      </c>
      <c r="L387" s="304">
        <v>2.223353516E9</v>
      </c>
      <c r="M387" s="303" t="s">
        <v>2666</v>
      </c>
      <c r="N387" s="303" t="s">
        <v>2750</v>
      </c>
      <c r="O387" s="303" t="s">
        <v>216</v>
      </c>
      <c r="P387" s="244" t="str">
        <f>VLOOKUP(A387,Import!A:P,16,0)</f>
        <v>Geleneksel</v>
      </c>
      <c r="Q387" s="334" t="s">
        <v>2760</v>
      </c>
      <c r="R387" s="335" t="b">
        <v>1</v>
      </c>
      <c r="S387" s="336" t="b">
        <v>0</v>
      </c>
      <c r="T387" s="337" t="s">
        <v>2661</v>
      </c>
      <c r="U387" s="337" t="s">
        <v>819</v>
      </c>
      <c r="V387" s="386" t="s">
        <v>1609</v>
      </c>
      <c r="W387" s="337" t="s">
        <v>3621</v>
      </c>
      <c r="X387" s="338">
        <v>44551.0</v>
      </c>
      <c r="Y387" s="338">
        <v>44557.0</v>
      </c>
      <c r="Z387" s="288"/>
      <c r="AA387" s="165" t="s">
        <v>2669</v>
      </c>
      <c r="AB387" s="295">
        <v>44551.0</v>
      </c>
      <c r="AC387" s="288"/>
      <c r="AD387" s="288"/>
      <c r="AE387" s="160"/>
      <c r="AF387" s="288"/>
      <c r="AG387" s="160"/>
      <c r="AH387" s="288"/>
      <c r="AI387" s="288"/>
      <c r="AJ387" s="288"/>
      <c r="AK387" s="165" t="s">
        <v>819</v>
      </c>
      <c r="AL387" s="288"/>
      <c r="AM387" s="288"/>
      <c r="AN387" s="288"/>
      <c r="AO387" s="288"/>
      <c r="AP387" s="150" t="s">
        <v>2663</v>
      </c>
      <c r="AQ387" s="288"/>
    </row>
    <row r="388">
      <c r="A388" s="150" t="s">
        <v>3622</v>
      </c>
      <c r="B388" s="150" t="s">
        <v>3623</v>
      </c>
      <c r="C388" s="175" t="str">
        <f>VLOOKUP(A388,Import!A:C,3,false)</f>
        <v>DOĞRU</v>
      </c>
      <c r="D388" s="150" t="s">
        <v>2664</v>
      </c>
      <c r="E388" s="280">
        <f>VLOOKUP(A388,Import!A:J,5,0)</f>
        <v>722</v>
      </c>
      <c r="F388" s="280" t="str">
        <f>VLOOKUP(A388,Import!A:J,6,0)</f>
        <v/>
      </c>
      <c r="G388" s="289">
        <f>VLOOKUP(A388,Import!A:J,7,0)</f>
        <v>0</v>
      </c>
      <c r="H388" s="289">
        <f>VLOOKUP(A388,Import!A:J,8,0)</f>
        <v>20</v>
      </c>
      <c r="I388" s="289">
        <f>VLOOKUP(A388,Import!A:J,9,0)</f>
        <v>20</v>
      </c>
      <c r="J388" s="282">
        <f>VLOOKUP(A388,Import!A:J,10,0)</f>
        <v>0</v>
      </c>
      <c r="K388" s="290" t="s">
        <v>3624</v>
      </c>
      <c r="L388" s="150">
        <v>5.46878194E9</v>
      </c>
      <c r="M388" s="150" t="s">
        <v>2666</v>
      </c>
      <c r="N388" s="150" t="s">
        <v>2801</v>
      </c>
      <c r="O388" s="150" t="s">
        <v>2148</v>
      </c>
      <c r="P388" s="244" t="str">
        <f>VLOOKUP(A388,Import!A:P,16,0)</f>
        <v>Geleneksel</v>
      </c>
      <c r="Q388" s="291"/>
      <c r="R388" s="292" t="b">
        <v>1</v>
      </c>
      <c r="S388" s="293" t="b">
        <v>0</v>
      </c>
      <c r="T388" s="149" t="s">
        <v>2693</v>
      </c>
      <c r="U388" s="296"/>
      <c r="V388" s="296"/>
      <c r="W388" s="149" t="s">
        <v>3625</v>
      </c>
      <c r="X388" s="297"/>
      <c r="Y388" s="297"/>
      <c r="Z388" s="288"/>
      <c r="AA388" s="165" t="s">
        <v>2693</v>
      </c>
      <c r="AB388" s="295">
        <v>44540.0</v>
      </c>
      <c r="AC388" s="165" t="s">
        <v>2669</v>
      </c>
      <c r="AD388" s="295">
        <v>44548.0</v>
      </c>
      <c r="AE388" s="160"/>
      <c r="AF388" s="288"/>
      <c r="AG388" s="160"/>
      <c r="AH388" s="288"/>
      <c r="AI388" s="288"/>
      <c r="AJ388" s="288"/>
      <c r="AK388" s="165" t="s">
        <v>921</v>
      </c>
      <c r="AL388" s="165" t="s">
        <v>1621</v>
      </c>
      <c r="AM388" s="288"/>
      <c r="AN388" s="288"/>
      <c r="AO388" s="165"/>
      <c r="AP388" s="150" t="s">
        <v>2663</v>
      </c>
      <c r="AQ388" s="165"/>
    </row>
    <row r="389">
      <c r="A389" s="150" t="s">
        <v>1727</v>
      </c>
      <c r="B389" s="150" t="s">
        <v>1728</v>
      </c>
      <c r="C389" s="175" t="str">
        <f>VLOOKUP(A389,Import!A:C,3,false)</f>
        <v>DOĞRU</v>
      </c>
      <c r="D389" s="150" t="s">
        <v>2684</v>
      </c>
      <c r="E389" s="280">
        <f>VLOOKUP(A389,Import!A:J,5,0)</f>
        <v>1065</v>
      </c>
      <c r="F389" s="280">
        <f>VLOOKUP(A389,Import!A:J,6,0)</f>
        <v>152</v>
      </c>
      <c r="G389" s="289">
        <f>VLOOKUP(A389,Import!A:J,7,0)</f>
        <v>11</v>
      </c>
      <c r="H389" s="289">
        <f>VLOOKUP(A389,Import!A:J,8,0)</f>
        <v>10</v>
      </c>
      <c r="I389" s="289">
        <f>VLOOKUP(A389,Import!A:J,9,0)</f>
        <v>21</v>
      </c>
      <c r="J389" s="282">
        <f>VLOOKUP(A389,Import!A:J,10,0)</f>
        <v>0.52</v>
      </c>
      <c r="K389" s="244" t="str">
        <f>VLOOKUP(A389,Import!A:P,11,0)</f>
        <v>SONER AKAGÜNDÜZ</v>
      </c>
      <c r="L389" s="150">
        <v>2.222398483E9</v>
      </c>
      <c r="M389" s="150" t="s">
        <v>1450</v>
      </c>
      <c r="N389" s="150" t="s">
        <v>2732</v>
      </c>
      <c r="O389" s="150" t="s">
        <v>734</v>
      </c>
      <c r="P389" s="244" t="str">
        <f>VLOOKUP(A389,Import!A:P,16,0)</f>
        <v>Geleneksel</v>
      </c>
      <c r="Q389" s="291"/>
      <c r="R389" s="292" t="b">
        <v>1</v>
      </c>
      <c r="S389" s="293" t="b">
        <v>0</v>
      </c>
      <c r="T389" s="149" t="s">
        <v>2688</v>
      </c>
      <c r="U389" s="296"/>
      <c r="V389" s="296"/>
      <c r="W389" s="149" t="s">
        <v>3626</v>
      </c>
      <c r="X389" s="297"/>
      <c r="Y389" s="297"/>
      <c r="Z389" s="288"/>
      <c r="AA389" s="165" t="s">
        <v>2699</v>
      </c>
      <c r="AB389" s="295">
        <v>44488.0</v>
      </c>
      <c r="AC389" s="165" t="s">
        <v>2699</v>
      </c>
      <c r="AD389" s="295">
        <v>44494.0</v>
      </c>
      <c r="AE389" s="165" t="s">
        <v>2669</v>
      </c>
      <c r="AF389" s="295">
        <v>44539.0</v>
      </c>
      <c r="AG389" s="160"/>
      <c r="AH389" s="288"/>
      <c r="AI389" s="288"/>
      <c r="AJ389" s="288"/>
      <c r="AK389" s="165" t="s">
        <v>1717</v>
      </c>
      <c r="AL389" s="165" t="s">
        <v>1791</v>
      </c>
      <c r="AM389" s="165" t="s">
        <v>1911</v>
      </c>
      <c r="AN389" s="288"/>
      <c r="AO389" s="288"/>
      <c r="AP389" s="150" t="s">
        <v>2663</v>
      </c>
      <c r="AQ389" s="288"/>
    </row>
    <row r="390">
      <c r="A390" s="244" t="s">
        <v>107</v>
      </c>
      <c r="B390" s="244" t="s">
        <v>108</v>
      </c>
      <c r="C390" s="175" t="str">
        <f>VLOOKUP(A390,Import!A:C,3,false)</f>
        <v>DOĞRU</v>
      </c>
      <c r="D390" s="303" t="s">
        <v>2867</v>
      </c>
      <c r="E390" s="280">
        <f>VLOOKUP(A390,Import!A:J,5,0)</f>
        <v>768</v>
      </c>
      <c r="F390" s="280">
        <f>VLOOKUP(A390,Import!A:J,6,0)</f>
        <v>13</v>
      </c>
      <c r="G390" s="289">
        <f>VLOOKUP(A390,Import!A:J,7,0)</f>
        <v>16</v>
      </c>
      <c r="H390" s="289">
        <f>VLOOKUP(A390,Import!A:J,8,0)</f>
        <v>11</v>
      </c>
      <c r="I390" s="289">
        <f>VLOOKUP(A390,Import!A:J,9,0)</f>
        <v>27</v>
      </c>
      <c r="J390" s="282">
        <f>VLOOKUP(A390,Import!A:J,10,0)</f>
        <v>0.59</v>
      </c>
      <c r="K390" s="244" t="str">
        <f>VLOOKUP(A390,Import!A:P,11,0)</f>
        <v>SUAT KARADAĞ</v>
      </c>
      <c r="L390" s="304">
        <v>5.433429699E9</v>
      </c>
      <c r="M390" s="303" t="s">
        <v>2666</v>
      </c>
      <c r="N390" s="303" t="s">
        <v>2682</v>
      </c>
      <c r="O390" s="303" t="s">
        <v>111</v>
      </c>
      <c r="P390" s="244" t="str">
        <f>VLOOKUP(A390,Import!A:P,16,0)</f>
        <v>Geleneksel</v>
      </c>
      <c r="Q390" s="305" t="s">
        <v>2660</v>
      </c>
      <c r="R390" s="306" t="b">
        <v>1</v>
      </c>
      <c r="S390" s="307" t="b">
        <v>0</v>
      </c>
      <c r="T390" s="309" t="s">
        <v>2661</v>
      </c>
      <c r="U390" s="309" t="s">
        <v>943</v>
      </c>
      <c r="V390" s="309" t="s">
        <v>1910</v>
      </c>
      <c r="W390" s="308"/>
      <c r="X390" s="310">
        <v>44501.0</v>
      </c>
      <c r="Y390" s="310">
        <v>44502.0</v>
      </c>
      <c r="Z390" s="288"/>
      <c r="AA390" s="165" t="s">
        <v>2669</v>
      </c>
      <c r="AB390" s="295">
        <v>44501.0</v>
      </c>
      <c r="AC390" s="288"/>
      <c r="AD390" s="288"/>
      <c r="AE390" s="160"/>
      <c r="AF390" s="288"/>
      <c r="AG390" s="160"/>
      <c r="AH390" s="288"/>
      <c r="AI390" s="288"/>
      <c r="AJ390" s="288"/>
      <c r="AK390" s="165" t="s">
        <v>943</v>
      </c>
      <c r="AL390" s="288"/>
      <c r="AM390" s="288"/>
      <c r="AN390" s="288"/>
      <c r="AO390" s="288"/>
      <c r="AP390" s="150" t="s">
        <v>2663</v>
      </c>
      <c r="AQ390" s="288"/>
    </row>
    <row r="391">
      <c r="A391" s="150" t="s">
        <v>3627</v>
      </c>
      <c r="B391" s="150" t="s">
        <v>3628</v>
      </c>
      <c r="C391" s="175" t="str">
        <f>VLOOKUP(A391,Import!A:C,3,false)</f>
        <v>DOĞRU</v>
      </c>
      <c r="D391" s="150" t="s">
        <v>2845</v>
      </c>
      <c r="E391" s="280">
        <f>VLOOKUP(A391,Import!A:J,5,0)</f>
        <v>266</v>
      </c>
      <c r="F391" s="280">
        <f>VLOOKUP(A391,Import!A:J,6,0)</f>
        <v>51</v>
      </c>
      <c r="G391" s="289">
        <f>VLOOKUP(A391,Import!A:J,7,0)</f>
        <v>0</v>
      </c>
      <c r="H391" s="289">
        <f>VLOOKUP(A391,Import!A:J,8,0)</f>
        <v>19</v>
      </c>
      <c r="I391" s="289">
        <f>VLOOKUP(A391,Import!A:J,9,0)</f>
        <v>19</v>
      </c>
      <c r="J391" s="282">
        <f>VLOOKUP(A391,Import!A:J,10,0)</f>
        <v>0</v>
      </c>
      <c r="K391" s="290" t="s">
        <v>3629</v>
      </c>
      <c r="L391" s="150">
        <v>2.222392537E9</v>
      </c>
      <c r="M391" s="150" t="s">
        <v>1450</v>
      </c>
      <c r="N391" s="150" t="s">
        <v>2732</v>
      </c>
      <c r="O391" s="150" t="s">
        <v>398</v>
      </c>
      <c r="P391" s="244" t="str">
        <f>VLOOKUP(A391,Import!A:P,16,0)</f>
        <v>Geleneksel</v>
      </c>
      <c r="Q391" s="291"/>
      <c r="R391" s="292" t="b">
        <v>1</v>
      </c>
      <c r="S391" s="293" t="b">
        <v>0</v>
      </c>
      <c r="T391" s="149" t="s">
        <v>2714</v>
      </c>
      <c r="U391" s="296"/>
      <c r="V391" s="296"/>
      <c r="W391" s="149" t="s">
        <v>3630</v>
      </c>
      <c r="X391" s="297"/>
      <c r="Y391" s="297"/>
      <c r="Z391" s="288"/>
      <c r="AA391" s="165" t="s">
        <v>2669</v>
      </c>
      <c r="AB391" s="295">
        <v>44530.0</v>
      </c>
      <c r="AC391" s="288"/>
      <c r="AD391" s="288"/>
      <c r="AE391" s="160"/>
      <c r="AF391" s="288"/>
      <c r="AG391" s="160"/>
      <c r="AH391" s="288"/>
      <c r="AI391" s="288"/>
      <c r="AJ391" s="295"/>
      <c r="AK391" s="165" t="s">
        <v>819</v>
      </c>
      <c r="AL391" s="288"/>
      <c r="AM391" s="288"/>
      <c r="AN391" s="288"/>
      <c r="AO391" s="165"/>
      <c r="AP391" s="150" t="s">
        <v>2663</v>
      </c>
      <c r="AQ391" s="165"/>
    </row>
    <row r="392">
      <c r="A392" s="150" t="s">
        <v>3631</v>
      </c>
      <c r="B392" s="150" t="s">
        <v>3632</v>
      </c>
      <c r="C392" s="175" t="str">
        <f>VLOOKUP(A392,Import!A:C,3,false)</f>
        <v>DOĞRU</v>
      </c>
      <c r="D392" s="150" t="s">
        <v>2751</v>
      </c>
      <c r="E392" s="280">
        <f>VLOOKUP(A392,Import!A:J,5,0)</f>
        <v>76</v>
      </c>
      <c r="F392" s="280">
        <f>VLOOKUP(A392,Import!A:J,6,0)</f>
        <v>46</v>
      </c>
      <c r="G392" s="289">
        <f>VLOOKUP(A392,Import!A:J,7,0)</f>
        <v>0</v>
      </c>
      <c r="H392" s="289">
        <f>VLOOKUP(A392,Import!A:J,8,0)</f>
        <v>48</v>
      </c>
      <c r="I392" s="289">
        <f>VLOOKUP(A392,Import!A:J,9,0)</f>
        <v>48</v>
      </c>
      <c r="J392" s="282">
        <f>VLOOKUP(A392,Import!A:J,10,0)</f>
        <v>0</v>
      </c>
      <c r="K392" s="290" t="s">
        <v>3633</v>
      </c>
      <c r="L392" s="150">
        <v>5.013359526E9</v>
      </c>
      <c r="M392" s="150" t="s">
        <v>2666</v>
      </c>
      <c r="N392" s="150" t="s">
        <v>3000</v>
      </c>
      <c r="O392" s="150" t="s">
        <v>3634</v>
      </c>
      <c r="P392" s="244" t="str">
        <f>VLOOKUP(A392,Import!A:P,16,0)</f>
        <v>Geleneksel</v>
      </c>
      <c r="Q392" s="291"/>
      <c r="R392" s="292" t="b">
        <v>0</v>
      </c>
      <c r="S392" s="293" t="b">
        <v>0</v>
      </c>
      <c r="T392" s="149"/>
      <c r="U392" s="296"/>
      <c r="V392" s="312"/>
      <c r="W392" s="149"/>
      <c r="X392" s="297"/>
      <c r="Y392" s="297"/>
      <c r="Z392" s="288"/>
      <c r="AA392" s="165"/>
      <c r="AB392" s="295"/>
      <c r="AC392" s="288"/>
      <c r="AD392" s="288"/>
      <c r="AE392" s="160"/>
      <c r="AF392" s="288"/>
      <c r="AG392" s="160"/>
      <c r="AH392" s="288"/>
      <c r="AI392" s="288"/>
      <c r="AJ392" s="288"/>
      <c r="AK392" s="165"/>
      <c r="AL392" s="288"/>
      <c r="AM392" s="288"/>
      <c r="AN392" s="288"/>
      <c r="AO392" s="165"/>
      <c r="AP392" s="150"/>
      <c r="AQ392" s="165"/>
    </row>
    <row r="393">
      <c r="A393" s="150" t="s">
        <v>2341</v>
      </c>
      <c r="B393" s="150" t="s">
        <v>2342</v>
      </c>
      <c r="C393" s="175" t="str">
        <f>VLOOKUP(A393,Import!A:C,3,false)</f>
        <v>DOĞRU</v>
      </c>
      <c r="D393" s="150" t="s">
        <v>2664</v>
      </c>
      <c r="E393" s="280">
        <f>VLOOKUP(A393,Import!A:J,5,0)</f>
        <v>342</v>
      </c>
      <c r="F393" s="280">
        <f>VLOOKUP(A393,Import!A:J,6,0)</f>
        <v>1</v>
      </c>
      <c r="G393" s="289">
        <f>VLOOKUP(A393,Import!A:J,7,0)</f>
        <v>0</v>
      </c>
      <c r="H393" s="289">
        <f>VLOOKUP(A393,Import!A:J,8,0)</f>
        <v>31</v>
      </c>
      <c r="I393" s="289">
        <f>VLOOKUP(A393,Import!A:J,9,0)</f>
        <v>31</v>
      </c>
      <c r="J393" s="282">
        <f>VLOOKUP(A393,Import!A:J,10,0)</f>
        <v>0</v>
      </c>
      <c r="K393" s="290" t="s">
        <v>3635</v>
      </c>
      <c r="L393" s="150">
        <v>2.222400088E9</v>
      </c>
      <c r="M393" s="150" t="s">
        <v>1450</v>
      </c>
      <c r="N393" s="150" t="s">
        <v>2659</v>
      </c>
      <c r="O393" s="150" t="s">
        <v>2344</v>
      </c>
      <c r="P393" s="244" t="str">
        <f>VLOOKUP(A393,Import!A:P,16,0)</f>
        <v>Geleneksel</v>
      </c>
      <c r="Q393" s="291"/>
      <c r="R393" s="292" t="b">
        <v>1</v>
      </c>
      <c r="S393" s="293" t="b">
        <v>0</v>
      </c>
      <c r="T393" s="149" t="s">
        <v>2668</v>
      </c>
      <c r="U393" s="149" t="s">
        <v>1715</v>
      </c>
      <c r="V393" s="312"/>
      <c r="W393" s="149" t="s">
        <v>3636</v>
      </c>
      <c r="X393" s="294">
        <v>44568.0</v>
      </c>
      <c r="Y393" s="294">
        <v>44571.0</v>
      </c>
      <c r="Z393" s="288"/>
      <c r="AA393" s="165" t="s">
        <v>2772</v>
      </c>
      <c r="AB393" s="295">
        <v>44536.0</v>
      </c>
      <c r="AC393" s="165" t="s">
        <v>2669</v>
      </c>
      <c r="AD393" s="295">
        <v>44568.0</v>
      </c>
      <c r="AE393" s="165" t="s">
        <v>2772</v>
      </c>
      <c r="AF393" s="295">
        <v>44602.0</v>
      </c>
      <c r="AG393" s="160"/>
      <c r="AH393" s="288"/>
      <c r="AI393" s="288"/>
      <c r="AJ393" s="288"/>
      <c r="AK393" s="165" t="s">
        <v>1715</v>
      </c>
      <c r="AL393" s="165" t="s">
        <v>1715</v>
      </c>
      <c r="AM393" s="165" t="s">
        <v>2474</v>
      </c>
      <c r="AN393" s="288"/>
      <c r="AO393" s="165"/>
      <c r="AP393" s="150" t="s">
        <v>2663</v>
      </c>
      <c r="AQ393" s="165"/>
    </row>
    <row r="394">
      <c r="A394" s="150" t="s">
        <v>2028</v>
      </c>
      <c r="B394" s="150" t="s">
        <v>2029</v>
      </c>
      <c r="C394" s="175" t="str">
        <f>VLOOKUP(A394,Import!A:C,3,false)</f>
        <v>DOĞRU</v>
      </c>
      <c r="D394" s="150" t="s">
        <v>2706</v>
      </c>
      <c r="E394" s="280">
        <f>VLOOKUP(A394,Import!A:J,5,0)</f>
        <v>10</v>
      </c>
      <c r="F394" s="280">
        <f>VLOOKUP(A394,Import!A:J,6,0)</f>
        <v>2</v>
      </c>
      <c r="G394" s="289">
        <f>VLOOKUP(A394,Import!A:J,7,0)</f>
        <v>12</v>
      </c>
      <c r="H394" s="289">
        <f>VLOOKUP(A394,Import!A:J,8,0)</f>
        <v>12</v>
      </c>
      <c r="I394" s="289">
        <f>VLOOKUP(A394,Import!A:J,9,0)</f>
        <v>24</v>
      </c>
      <c r="J394" s="282">
        <f>VLOOKUP(A394,Import!A:J,10,0)</f>
        <v>0.5</v>
      </c>
      <c r="K394" s="290" t="s">
        <v>3637</v>
      </c>
      <c r="L394" s="150">
        <v>5.557527221E9</v>
      </c>
      <c r="M394" s="150" t="s">
        <v>2666</v>
      </c>
      <c r="N394" s="150" t="s">
        <v>2711</v>
      </c>
      <c r="O394" s="150" t="s">
        <v>2031</v>
      </c>
      <c r="P394" s="244" t="str">
        <f>VLOOKUP(A394,Import!A:P,16,0)</f>
        <v>Geleneksel</v>
      </c>
      <c r="Q394" s="291"/>
      <c r="R394" s="292" t="b">
        <v>1</v>
      </c>
      <c r="S394" s="293" t="b">
        <v>0</v>
      </c>
      <c r="T394" s="149" t="s">
        <v>2661</v>
      </c>
      <c r="U394" s="149" t="s">
        <v>819</v>
      </c>
      <c r="V394" s="380" t="s">
        <v>1609</v>
      </c>
      <c r="X394" s="294">
        <v>44524.0</v>
      </c>
      <c r="Y394" s="294">
        <v>44524.0</v>
      </c>
      <c r="Z394" s="288"/>
      <c r="AA394" s="165" t="s">
        <v>2693</v>
      </c>
      <c r="AB394" s="295">
        <v>44523.0</v>
      </c>
      <c r="AC394" s="165" t="s">
        <v>2669</v>
      </c>
      <c r="AD394" s="295">
        <v>44524.0</v>
      </c>
      <c r="AE394" s="160"/>
      <c r="AF394" s="288"/>
      <c r="AG394" s="160"/>
      <c r="AH394" s="288"/>
      <c r="AI394" s="288"/>
      <c r="AJ394" s="288"/>
      <c r="AK394" s="165" t="s">
        <v>819</v>
      </c>
      <c r="AL394" s="165" t="s">
        <v>819</v>
      </c>
      <c r="AM394" s="288"/>
      <c r="AN394" s="288"/>
      <c r="AO394" s="165"/>
      <c r="AP394" s="150" t="s">
        <v>2663</v>
      </c>
      <c r="AQ394" s="165"/>
    </row>
    <row r="395">
      <c r="A395" s="150" t="s">
        <v>3638</v>
      </c>
      <c r="B395" s="150" t="s">
        <v>3639</v>
      </c>
      <c r="C395" s="175" t="str">
        <f>VLOOKUP(A395,Import!A:C,3,false)</f>
        <v>DOĞRU</v>
      </c>
      <c r="D395" s="150" t="s">
        <v>2696</v>
      </c>
      <c r="E395" s="280">
        <f>VLOOKUP(A395,Import!A:J,5,0)</f>
        <v>349</v>
      </c>
      <c r="F395" s="280">
        <f>VLOOKUP(A395,Import!A:J,6,0)</f>
        <v>46</v>
      </c>
      <c r="G395" s="289">
        <f>VLOOKUP(A395,Import!A:J,7,0)</f>
        <v>0</v>
      </c>
      <c r="H395" s="289">
        <f>VLOOKUP(A395,Import!A:J,8,0)</f>
        <v>8</v>
      </c>
      <c r="I395" s="289">
        <f>VLOOKUP(A395,Import!A:J,9,0)</f>
        <v>8</v>
      </c>
      <c r="J395" s="282">
        <f>VLOOKUP(A395,Import!A:J,10,0)</f>
        <v>0</v>
      </c>
      <c r="K395" s="290" t="s">
        <v>3640</v>
      </c>
      <c r="L395" s="150">
        <v>5.316725626E9</v>
      </c>
      <c r="M395" s="150" t="s">
        <v>2666</v>
      </c>
      <c r="N395" s="150" t="s">
        <v>3000</v>
      </c>
      <c r="O395" s="150" t="s">
        <v>3641</v>
      </c>
      <c r="P395" s="244" t="str">
        <f>VLOOKUP(A395,Import!A:P,16,0)</f>
        <v>Geleneksel</v>
      </c>
      <c r="Q395" s="291"/>
      <c r="R395" s="292" t="b">
        <v>1</v>
      </c>
      <c r="S395" s="293" t="b">
        <v>0</v>
      </c>
      <c r="T395" s="149" t="s">
        <v>2714</v>
      </c>
      <c r="U395" s="296"/>
      <c r="V395" s="6"/>
      <c r="W395" s="149"/>
      <c r="X395" s="297"/>
      <c r="Y395" s="297"/>
      <c r="Z395" s="288"/>
      <c r="AA395" s="165" t="s">
        <v>2669</v>
      </c>
      <c r="AB395" s="295">
        <v>44565.0</v>
      </c>
      <c r="AC395" s="288"/>
      <c r="AD395" s="288"/>
      <c r="AE395" s="160"/>
      <c r="AF395" s="288"/>
      <c r="AG395" s="160"/>
      <c r="AH395" s="288"/>
      <c r="AI395" s="288"/>
      <c r="AJ395" s="288"/>
      <c r="AK395" s="165" t="s">
        <v>1715</v>
      </c>
      <c r="AL395" s="288"/>
      <c r="AM395" s="288"/>
      <c r="AN395" s="288"/>
      <c r="AO395" s="165"/>
      <c r="AP395" s="150" t="s">
        <v>2663</v>
      </c>
      <c r="AQ395" s="165"/>
    </row>
    <row r="396">
      <c r="A396" s="150" t="s">
        <v>3642</v>
      </c>
      <c r="B396" s="150" t="s">
        <v>3643</v>
      </c>
      <c r="C396" s="175" t="str">
        <f>VLOOKUP(A396,Import!A:C,3,false)</f>
        <v>DOĞRU</v>
      </c>
      <c r="D396" s="150" t="s">
        <v>2658</v>
      </c>
      <c r="E396" s="280">
        <f>VLOOKUP(A396,Import!A:J,5,0)</f>
        <v>3017</v>
      </c>
      <c r="F396" s="280">
        <f>VLOOKUP(A396,Import!A:J,6,0)</f>
        <v>95</v>
      </c>
      <c r="G396" s="289">
        <f>VLOOKUP(A396,Import!A:J,7,0)</f>
        <v>9</v>
      </c>
      <c r="H396" s="289">
        <f>VLOOKUP(A396,Import!A:J,8,0)</f>
        <v>25</v>
      </c>
      <c r="I396" s="289">
        <f>VLOOKUP(A396,Import!A:J,9,0)</f>
        <v>34</v>
      </c>
      <c r="J396" s="282">
        <f>VLOOKUP(A396,Import!A:J,10,0)</f>
        <v>0.26</v>
      </c>
      <c r="K396" s="244" t="str">
        <f>VLOOKUP(A396,Import!A:P,11,0)</f>
        <v>YAĞMUR ŞATIR</v>
      </c>
      <c r="L396" s="150">
        <v>5.382743426E9</v>
      </c>
      <c r="M396" s="150" t="s">
        <v>1450</v>
      </c>
      <c r="N396" s="150" t="s">
        <v>2732</v>
      </c>
      <c r="O396" s="150" t="s">
        <v>3644</v>
      </c>
      <c r="P396" s="244" t="str">
        <f>VLOOKUP(A396,Import!A:P,16,0)</f>
        <v>Geleneksel</v>
      </c>
      <c r="Q396" s="315" t="s">
        <v>2713</v>
      </c>
      <c r="R396" s="292" t="b">
        <v>1</v>
      </c>
      <c r="S396" s="293" t="b">
        <v>0</v>
      </c>
      <c r="T396" s="149" t="s">
        <v>2734</v>
      </c>
      <c r="U396" s="296"/>
      <c r="V396" s="312"/>
      <c r="X396" s="297"/>
      <c r="Y396" s="297"/>
      <c r="Z396" s="288"/>
      <c r="AA396" s="288"/>
      <c r="AB396" s="288"/>
      <c r="AC396" s="288"/>
      <c r="AD396" s="288"/>
      <c r="AE396" s="160"/>
      <c r="AF396" s="288"/>
      <c r="AG396" s="160"/>
      <c r="AH396" s="288"/>
      <c r="AI396" s="288"/>
      <c r="AJ396" s="288"/>
      <c r="AK396" s="288"/>
      <c r="AL396" s="288"/>
      <c r="AM396" s="288"/>
      <c r="AN396" s="288"/>
      <c r="AO396" s="288"/>
      <c r="AP396" s="150" t="s">
        <v>2663</v>
      </c>
      <c r="AQ396" s="288"/>
    </row>
    <row r="397">
      <c r="A397" s="150" t="s">
        <v>437</v>
      </c>
      <c r="B397" s="150" t="s">
        <v>438</v>
      </c>
      <c r="C397" s="175" t="str">
        <f>VLOOKUP(A397,Import!A:C,3,false)</f>
        <v>DOĞRU</v>
      </c>
      <c r="D397" s="150" t="s">
        <v>2773</v>
      </c>
      <c r="E397" s="280">
        <f>VLOOKUP(A397,Import!A:J,5,0)</f>
        <v>1716</v>
      </c>
      <c r="F397" s="280">
        <f>VLOOKUP(A397,Import!A:J,6,0)</f>
        <v>10</v>
      </c>
      <c r="G397" s="289">
        <f>VLOOKUP(A397,Import!A:J,7,0)</f>
        <v>46</v>
      </c>
      <c r="H397" s="289">
        <f>VLOOKUP(A397,Import!A:J,8,0)</f>
        <v>1</v>
      </c>
      <c r="I397" s="289">
        <f>VLOOKUP(A397,Import!A:J,9,0)</f>
        <v>47</v>
      </c>
      <c r="J397" s="282">
        <f>VLOOKUP(A397,Import!A:J,10,0)</f>
        <v>0.98</v>
      </c>
      <c r="K397" s="244" t="str">
        <f>VLOOKUP(A397,Import!A:P,11,0)</f>
        <v>ISMAHAN TUZYURDU</v>
      </c>
      <c r="L397" s="150">
        <v>5.427300626E9</v>
      </c>
      <c r="M397" s="150" t="s">
        <v>2666</v>
      </c>
      <c r="N397" s="150" t="s">
        <v>2721</v>
      </c>
      <c r="O397" s="150" t="s">
        <v>439</v>
      </c>
      <c r="P397" s="244" t="str">
        <f>VLOOKUP(A397,Import!A:P,16,0)</f>
        <v>Geleneksel</v>
      </c>
      <c r="Q397" s="291" t="s">
        <v>2713</v>
      </c>
      <c r="R397" s="292" t="b">
        <v>1</v>
      </c>
      <c r="S397" s="293" t="b">
        <v>0</v>
      </c>
      <c r="T397" s="149" t="s">
        <v>2661</v>
      </c>
      <c r="U397" s="149" t="s">
        <v>1000</v>
      </c>
      <c r="V397" s="149" t="s">
        <v>13</v>
      </c>
      <c r="W397" s="149" t="s">
        <v>3645</v>
      </c>
      <c r="X397" s="294">
        <v>44267.0</v>
      </c>
      <c r="Y397" s="294">
        <v>44270.0</v>
      </c>
      <c r="Z397" s="288"/>
      <c r="AA397" s="288"/>
      <c r="AB397" s="288"/>
      <c r="AC397" s="288"/>
      <c r="AD397" s="288"/>
      <c r="AE397" s="160"/>
      <c r="AF397" s="288"/>
      <c r="AG397" s="160"/>
      <c r="AH397" s="288"/>
      <c r="AI397" s="288"/>
      <c r="AJ397" s="288"/>
      <c r="AK397" s="288"/>
      <c r="AL397" s="288"/>
      <c r="AM397" s="288"/>
      <c r="AN397" s="288"/>
      <c r="AO397" s="288"/>
      <c r="AP397" s="150" t="s">
        <v>2663</v>
      </c>
      <c r="AQ397" s="288"/>
    </row>
    <row r="398">
      <c r="A398" s="147" t="s">
        <v>3646</v>
      </c>
      <c r="B398" s="147" t="s">
        <v>3647</v>
      </c>
      <c r="C398" s="175" t="str">
        <f>VLOOKUP(A398,Import!A:C,3,false)</f>
        <v>DOĞRU</v>
      </c>
      <c r="D398" s="147" t="s">
        <v>2773</v>
      </c>
      <c r="E398" s="280">
        <f>VLOOKUP(A398,Import!A:J,5,0)</f>
        <v>531</v>
      </c>
      <c r="F398" s="280">
        <f>VLOOKUP(A398,Import!A:J,6,0)</f>
        <v>10</v>
      </c>
      <c r="G398" s="289">
        <f>VLOOKUP(A398,Import!A:J,7,0)</f>
        <v>14</v>
      </c>
      <c r="H398" s="289">
        <f>VLOOKUP(A398,Import!A:J,8,0)</f>
        <v>33</v>
      </c>
      <c r="I398" s="289">
        <f>VLOOKUP(A398,Import!A:J,9,0)</f>
        <v>47</v>
      </c>
      <c r="J398" s="282">
        <f>VLOOKUP(A398,Import!A:J,10,0)</f>
        <v>0.3</v>
      </c>
      <c r="K398" s="244" t="str">
        <f>VLOOKUP(A398,Import!A:P,11,0)</f>
        <v>Ismahan Tuzyurdu</v>
      </c>
      <c r="L398" s="147">
        <v>5.32715619E9</v>
      </c>
      <c r="M398" s="147" t="s">
        <v>2666</v>
      </c>
      <c r="N398" s="147" t="s">
        <v>2809</v>
      </c>
      <c r="O398" s="147" t="s">
        <v>3648</v>
      </c>
      <c r="P398" s="244" t="str">
        <f>VLOOKUP(A398,Import!A:P,16,0)</f>
        <v>Geleneksel</v>
      </c>
      <c r="Q398" s="330"/>
      <c r="R398" s="293" t="b">
        <v>0</v>
      </c>
      <c r="S398" s="293" t="b">
        <v>0</v>
      </c>
      <c r="T398" s="149" t="s">
        <v>2925</v>
      </c>
      <c r="U398" s="296"/>
      <c r="V398" s="312"/>
      <c r="X398" s="297"/>
      <c r="Y398" s="297"/>
      <c r="Z398" s="288"/>
      <c r="AA398" s="288"/>
      <c r="AB398" s="288"/>
      <c r="AC398" s="288"/>
      <c r="AD398" s="288"/>
      <c r="AE398" s="160"/>
      <c r="AF398" s="288"/>
      <c r="AG398" s="160"/>
      <c r="AH398" s="288"/>
      <c r="AI398" s="288"/>
      <c r="AJ398" s="288"/>
      <c r="AK398" s="288"/>
      <c r="AL398" s="288"/>
      <c r="AM398" s="288"/>
      <c r="AN398" s="288"/>
      <c r="AO398" s="288"/>
      <c r="AP398" s="150" t="s">
        <v>2663</v>
      </c>
      <c r="AQ398" s="288"/>
    </row>
    <row r="399">
      <c r="A399" s="150" t="s">
        <v>3649</v>
      </c>
      <c r="B399" s="150" t="s">
        <v>3650</v>
      </c>
      <c r="C399" s="175" t="str">
        <f>VLOOKUP(A399,Import!A:C,3,false)</f>
        <v>DOĞRU</v>
      </c>
      <c r="D399" s="150" t="s">
        <v>2706</v>
      </c>
      <c r="E399" s="280">
        <f>VLOOKUP(A399,Import!A:J,5,0)</f>
        <v>1461</v>
      </c>
      <c r="F399" s="280">
        <f>VLOOKUP(A399,Import!A:J,6,0)</f>
        <v>95</v>
      </c>
      <c r="G399" s="289">
        <f>VLOOKUP(A399,Import!A:J,7,0)</f>
        <v>0</v>
      </c>
      <c r="H399" s="289">
        <f>VLOOKUP(A399,Import!A:J,8,0)</f>
        <v>48</v>
      </c>
      <c r="I399" s="289">
        <f>VLOOKUP(A399,Import!A:J,9,0)</f>
        <v>48</v>
      </c>
      <c r="J399" s="282">
        <f>VLOOKUP(A399,Import!A:J,10,0)</f>
        <v>0</v>
      </c>
      <c r="K399" s="290" t="s">
        <v>3651</v>
      </c>
      <c r="L399" s="150">
        <v>2.22335352E9</v>
      </c>
      <c r="M399" s="150" t="s">
        <v>2666</v>
      </c>
      <c r="N399" s="150" t="s">
        <v>2750</v>
      </c>
      <c r="O399" s="150" t="s">
        <v>572</v>
      </c>
      <c r="P399" s="244" t="str">
        <f>VLOOKUP(A399,Import!A:P,16,0)</f>
        <v>Geleneksel</v>
      </c>
      <c r="Q399" s="291"/>
      <c r="R399" s="292" t="b">
        <v>1</v>
      </c>
      <c r="S399" s="293" t="b">
        <v>0</v>
      </c>
      <c r="T399" s="149" t="s">
        <v>2734</v>
      </c>
      <c r="U399" s="296"/>
      <c r="V399" s="296"/>
      <c r="W399" s="149" t="s">
        <v>3652</v>
      </c>
      <c r="X399" s="297"/>
      <c r="Y399" s="297"/>
      <c r="Z399" s="288"/>
      <c r="AA399" s="165"/>
      <c r="AB399" s="295"/>
      <c r="AC399" s="288"/>
      <c r="AD399" s="288"/>
      <c r="AE399" s="160"/>
      <c r="AF399" s="288"/>
      <c r="AG399" s="160"/>
      <c r="AH399" s="288"/>
      <c r="AI399" s="288"/>
      <c r="AJ399" s="288"/>
      <c r="AK399" s="165"/>
      <c r="AL399" s="288"/>
      <c r="AM399" s="288"/>
      <c r="AN399" s="288"/>
      <c r="AO399" s="165"/>
      <c r="AP399" s="150"/>
      <c r="AQ399" s="165"/>
    </row>
    <row r="400">
      <c r="A400" s="150" t="s">
        <v>2460</v>
      </c>
      <c r="B400" s="150" t="s">
        <v>2461</v>
      </c>
      <c r="C400" s="175" t="str">
        <f>VLOOKUP(A400,Import!A:C,3,false)</f>
        <v>DOĞRU</v>
      </c>
      <c r="D400" s="150" t="s">
        <v>2664</v>
      </c>
      <c r="E400" s="280">
        <f>VLOOKUP(A400,Import!A:J,5,0)</f>
        <v>28</v>
      </c>
      <c r="F400" s="280">
        <f>VLOOKUP(A400,Import!A:J,6,0)</f>
        <v>14</v>
      </c>
      <c r="G400" s="289">
        <f>VLOOKUP(A400,Import!A:J,7,0)</f>
        <v>7</v>
      </c>
      <c r="H400" s="289">
        <f>VLOOKUP(A400,Import!A:J,8,0)</f>
        <v>37</v>
      </c>
      <c r="I400" s="289">
        <f>VLOOKUP(A400,Import!A:J,9,0)</f>
        <v>44</v>
      </c>
      <c r="J400" s="282">
        <f>VLOOKUP(A400,Import!A:J,10,0)</f>
        <v>0.16</v>
      </c>
      <c r="K400" s="290" t="s">
        <v>3653</v>
      </c>
      <c r="L400" s="150">
        <v>5.332382867E9</v>
      </c>
      <c r="M400" s="150" t="s">
        <v>1450</v>
      </c>
      <c r="N400" s="150" t="s">
        <v>2732</v>
      </c>
      <c r="O400" s="150" t="s">
        <v>2463</v>
      </c>
      <c r="P400" s="244" t="str">
        <f>VLOOKUP(A400,Import!A:P,16,0)</f>
        <v>Geleneksel</v>
      </c>
      <c r="Q400" s="291"/>
      <c r="R400" s="292" t="b">
        <v>1</v>
      </c>
      <c r="S400" s="293" t="b">
        <v>0</v>
      </c>
      <c r="T400" s="149" t="s">
        <v>2661</v>
      </c>
      <c r="U400" s="149" t="s">
        <v>819</v>
      </c>
      <c r="V400" s="301" t="s">
        <v>1609</v>
      </c>
      <c r="W400" s="149" t="s">
        <v>3654</v>
      </c>
      <c r="X400" s="294">
        <v>44599.0</v>
      </c>
      <c r="Y400" s="294">
        <v>44600.0</v>
      </c>
      <c r="Z400" s="288"/>
      <c r="AA400" s="165" t="s">
        <v>2669</v>
      </c>
      <c r="AB400" s="295">
        <v>44599.0</v>
      </c>
      <c r="AC400" s="288"/>
      <c r="AD400" s="288"/>
      <c r="AE400" s="160"/>
      <c r="AF400" s="288"/>
      <c r="AG400" s="160"/>
      <c r="AH400" s="288"/>
      <c r="AI400" s="288"/>
      <c r="AJ400" s="288"/>
      <c r="AK400" s="165" t="s">
        <v>819</v>
      </c>
      <c r="AL400" s="288"/>
      <c r="AM400" s="288"/>
      <c r="AN400" s="288"/>
      <c r="AO400" s="165"/>
      <c r="AP400" s="150"/>
      <c r="AQ400" s="165"/>
    </row>
    <row r="401">
      <c r="A401" s="150" t="s">
        <v>2513</v>
      </c>
      <c r="B401" s="150" t="s">
        <v>2514</v>
      </c>
      <c r="C401" s="175" t="str">
        <f>VLOOKUP(A401,Import!A:C,3,false)</f>
        <v>DOĞRU</v>
      </c>
      <c r="D401" s="150" t="s">
        <v>2701</v>
      </c>
      <c r="E401" s="280">
        <f>VLOOKUP(A401,Import!A:J,5,0)</f>
        <v>82</v>
      </c>
      <c r="F401" s="280">
        <f>VLOOKUP(A401,Import!A:J,6,0)</f>
        <v>37</v>
      </c>
      <c r="G401" s="289">
        <f>VLOOKUP(A401,Import!A:J,7,0)</f>
        <v>29</v>
      </c>
      <c r="H401" s="289">
        <f>VLOOKUP(A401,Import!A:J,8,0)</f>
        <v>4</v>
      </c>
      <c r="I401" s="289">
        <f>VLOOKUP(A401,Import!A:J,9,0)</f>
        <v>33</v>
      </c>
      <c r="J401" s="282">
        <f>VLOOKUP(A401,Import!A:J,10,0)</f>
        <v>0.88</v>
      </c>
      <c r="K401" s="290" t="s">
        <v>3655</v>
      </c>
      <c r="L401" s="150">
        <v>2.222392646E9</v>
      </c>
      <c r="M401" s="150" t="s">
        <v>1450</v>
      </c>
      <c r="N401" s="150" t="s">
        <v>2732</v>
      </c>
      <c r="O401" s="150" t="s">
        <v>2516</v>
      </c>
      <c r="P401" s="244" t="str">
        <f>VLOOKUP(A401,Import!A:P,16,0)</f>
        <v>Geleneksel</v>
      </c>
      <c r="Q401" s="291"/>
      <c r="R401" s="292" t="b">
        <v>1</v>
      </c>
      <c r="S401" s="293" t="b">
        <v>0</v>
      </c>
      <c r="T401" s="149" t="s">
        <v>2661</v>
      </c>
      <c r="U401" s="149" t="s">
        <v>1791</v>
      </c>
      <c r="V401" s="149" t="s">
        <v>2835</v>
      </c>
      <c r="W401" s="149"/>
      <c r="X401" s="294">
        <v>44621.0</v>
      </c>
      <c r="Y401" s="294">
        <v>44622.0</v>
      </c>
      <c r="Z401" s="288"/>
      <c r="AA401" s="165" t="s">
        <v>2669</v>
      </c>
      <c r="AB401" s="295">
        <v>44621.0</v>
      </c>
      <c r="AC401" s="288"/>
      <c r="AD401" s="288"/>
      <c r="AE401" s="160"/>
      <c r="AF401" s="288"/>
      <c r="AG401" s="160"/>
      <c r="AH401" s="288"/>
      <c r="AI401" s="288"/>
      <c r="AJ401" s="288"/>
      <c r="AK401" s="165" t="s">
        <v>1791</v>
      </c>
      <c r="AL401" s="288"/>
      <c r="AM401" s="288"/>
      <c r="AN401" s="288"/>
      <c r="AO401" s="165"/>
      <c r="AP401" s="150"/>
      <c r="AQ401" s="165"/>
    </row>
    <row r="402">
      <c r="A402" s="244" t="s">
        <v>3656</v>
      </c>
      <c r="B402" s="244" t="s">
        <v>3657</v>
      </c>
      <c r="C402" s="175" t="str">
        <f>VLOOKUP(A402,Import!A:C,3,false)</f>
        <v>DOĞRU</v>
      </c>
      <c r="D402" s="320" t="s">
        <v>2867</v>
      </c>
      <c r="E402" s="280">
        <f>VLOOKUP(A402,Import!A:J,5,0)</f>
        <v>942</v>
      </c>
      <c r="F402" s="280" t="str">
        <f>VLOOKUP(A402,Import!A:J,6,0)</f>
        <v/>
      </c>
      <c r="G402" s="289">
        <f>VLOOKUP(A402,Import!A:J,7,0)</f>
        <v>0</v>
      </c>
      <c r="H402" s="289">
        <f>VLOOKUP(A402,Import!A:J,8,0)</f>
        <v>7</v>
      </c>
      <c r="I402" s="289">
        <f>VLOOKUP(A402,Import!A:J,9,0)</f>
        <v>7</v>
      </c>
      <c r="J402" s="282">
        <f>VLOOKUP(A402,Import!A:J,10,0)</f>
        <v>0</v>
      </c>
      <c r="K402" s="244" t="str">
        <f>VLOOKUP(A402,Import!A:P,11,0)</f>
        <v>İBRAHİM ÖZ</v>
      </c>
      <c r="L402" s="321">
        <v>5.4148926E9</v>
      </c>
      <c r="M402" s="320" t="s">
        <v>1450</v>
      </c>
      <c r="N402" s="320" t="s">
        <v>2703</v>
      </c>
      <c r="O402" s="320" t="s">
        <v>3658</v>
      </c>
      <c r="P402" s="244" t="str">
        <f>VLOOKUP(A402,Import!A:P,16,0)</f>
        <v>Geleneksel</v>
      </c>
      <c r="Q402" s="322" t="s">
        <v>2660</v>
      </c>
      <c r="R402" s="323" t="b">
        <v>1</v>
      </c>
      <c r="S402" s="324" t="b">
        <v>0</v>
      </c>
      <c r="T402" s="325" t="s">
        <v>2714</v>
      </c>
      <c r="U402" s="333"/>
      <c r="V402" s="333"/>
      <c r="W402" s="325" t="s">
        <v>3659</v>
      </c>
      <c r="X402" s="345"/>
      <c r="Y402" s="345"/>
      <c r="Z402" s="288"/>
      <c r="AA402" s="165" t="s">
        <v>2699</v>
      </c>
      <c r="AB402" s="295">
        <v>44377.0</v>
      </c>
      <c r="AC402" s="165" t="s">
        <v>2693</v>
      </c>
      <c r="AD402" s="295">
        <v>44578.0</v>
      </c>
      <c r="AE402" s="165" t="s">
        <v>2669</v>
      </c>
      <c r="AF402" s="295">
        <v>44628.0</v>
      </c>
      <c r="AG402" s="160"/>
      <c r="AH402" s="288"/>
      <c r="AI402" s="288"/>
      <c r="AJ402" s="288"/>
      <c r="AK402" s="165" t="s">
        <v>2913</v>
      </c>
      <c r="AL402" s="165" t="s">
        <v>943</v>
      </c>
      <c r="AM402" s="165" t="s">
        <v>1791</v>
      </c>
      <c r="AN402" s="288"/>
      <c r="AO402" s="288"/>
      <c r="AP402" s="150" t="s">
        <v>2663</v>
      </c>
      <c r="AQ402" s="288"/>
    </row>
    <row r="403">
      <c r="A403" s="150" t="s">
        <v>3660</v>
      </c>
      <c r="B403" s="150" t="s">
        <v>1005</v>
      </c>
      <c r="C403" s="175" t="str">
        <f>VLOOKUP(A403,Import!A:C,3,false)</f>
        <v>DOĞRU</v>
      </c>
      <c r="D403" s="150" t="s">
        <v>2684</v>
      </c>
      <c r="E403" s="280">
        <f>VLOOKUP(A403,Import!A:J,5,0)</f>
        <v>35629</v>
      </c>
      <c r="F403" s="280">
        <f>VLOOKUP(A403,Import!A:J,6,0)</f>
        <v>1091</v>
      </c>
      <c r="G403" s="289">
        <f>VLOOKUP(A403,Import!A:J,7,0)</f>
        <v>11</v>
      </c>
      <c r="H403" s="289">
        <f>VLOOKUP(A403,Import!A:J,8,0)</f>
        <v>30</v>
      </c>
      <c r="I403" s="289">
        <f>VLOOKUP(A403,Import!A:J,9,0)</f>
        <v>41</v>
      </c>
      <c r="J403" s="282">
        <f>VLOOKUP(A403,Import!A:J,10,0)</f>
        <v>0.27</v>
      </c>
      <c r="K403" s="244" t="str">
        <f>VLOOKUP(A403,Import!A:P,11,0)</f>
        <v>SERKAN ALTAY</v>
      </c>
      <c r="L403" s="150">
        <v>5.314508303E9</v>
      </c>
      <c r="M403" s="150" t="s">
        <v>2666</v>
      </c>
      <c r="N403" s="150" t="s">
        <v>2682</v>
      </c>
      <c r="O403" s="150" t="s">
        <v>1007</v>
      </c>
      <c r="P403" s="244" t="str">
        <f>VLOOKUP(A403,Import!A:P,16,0)</f>
        <v>Geleneksel</v>
      </c>
      <c r="Q403" s="291" t="s">
        <v>2713</v>
      </c>
      <c r="R403" s="292" t="b">
        <v>1</v>
      </c>
      <c r="S403" s="293" t="b">
        <v>0</v>
      </c>
      <c r="T403" s="149" t="s">
        <v>2661</v>
      </c>
      <c r="U403" s="149" t="s">
        <v>943</v>
      </c>
      <c r="V403" s="149" t="s">
        <v>13</v>
      </c>
      <c r="W403" s="149" t="s">
        <v>3661</v>
      </c>
      <c r="X403" s="294">
        <v>44260.0</v>
      </c>
      <c r="Y403" s="294">
        <v>44265.0</v>
      </c>
      <c r="Z403" s="288"/>
      <c r="AA403" s="288"/>
      <c r="AB403" s="288"/>
      <c r="AC403" s="288"/>
      <c r="AD403" s="288"/>
      <c r="AE403" s="160"/>
      <c r="AF403" s="288"/>
      <c r="AG403" s="160"/>
      <c r="AH403" s="288"/>
      <c r="AI403" s="288"/>
      <c r="AJ403" s="288"/>
      <c r="AK403" s="288"/>
      <c r="AL403" s="288"/>
      <c r="AM403" s="288"/>
      <c r="AN403" s="288"/>
      <c r="AO403" s="288"/>
      <c r="AP403" s="150" t="s">
        <v>2663</v>
      </c>
      <c r="AQ403" s="288"/>
    </row>
    <row r="404">
      <c r="A404" s="244" t="s">
        <v>277</v>
      </c>
      <c r="B404" s="244" t="s">
        <v>278</v>
      </c>
      <c r="C404" s="175" t="str">
        <f>VLOOKUP(A404,Import!A:C,3,false)</f>
        <v>DOĞRU</v>
      </c>
      <c r="D404" s="303" t="s">
        <v>2658</v>
      </c>
      <c r="E404" s="280">
        <f>VLOOKUP(A404,Import!A:J,5,0)</f>
        <v>4032</v>
      </c>
      <c r="F404" s="280">
        <f>VLOOKUP(A404,Import!A:J,6,0)</f>
        <v>97</v>
      </c>
      <c r="G404" s="289">
        <f>VLOOKUP(A404,Import!A:J,7,0)</f>
        <v>1</v>
      </c>
      <c r="H404" s="289">
        <f>VLOOKUP(A404,Import!A:J,8,0)</f>
        <v>11</v>
      </c>
      <c r="I404" s="289">
        <f>VLOOKUP(A404,Import!A:J,9,0)</f>
        <v>12</v>
      </c>
      <c r="J404" s="282">
        <f>VLOOKUP(A404,Import!A:J,10,0)</f>
        <v>0.08</v>
      </c>
      <c r="K404" s="244" t="str">
        <f>VLOOKUP(A404,Import!A:P,11,0)</f>
        <v>HASAN ÖZEL</v>
      </c>
      <c r="L404" s="304">
        <v>5.526283031E9</v>
      </c>
      <c r="M404" s="303" t="s">
        <v>1450</v>
      </c>
      <c r="N404" s="303" t="s">
        <v>2732</v>
      </c>
      <c r="O404" s="303" t="s">
        <v>280</v>
      </c>
      <c r="P404" s="244" t="str">
        <f>VLOOKUP(A404,Import!A:P,16,0)</f>
        <v>Geleneksel</v>
      </c>
      <c r="Q404" s="305" t="s">
        <v>2660</v>
      </c>
      <c r="R404" s="306" t="b">
        <v>1</v>
      </c>
      <c r="S404" s="307" t="b">
        <v>0</v>
      </c>
      <c r="T404" s="318" t="s">
        <v>2770</v>
      </c>
      <c r="U404" s="318" t="s">
        <v>2161</v>
      </c>
      <c r="V404" s="356" t="s">
        <v>1609</v>
      </c>
      <c r="W404" s="329" t="s">
        <v>3662</v>
      </c>
      <c r="X404" s="319">
        <v>44541.0</v>
      </c>
      <c r="Y404" s="319">
        <v>44544.0</v>
      </c>
      <c r="Z404" s="288"/>
      <c r="AA404" s="165" t="s">
        <v>2699</v>
      </c>
      <c r="AB404" s="295">
        <v>44497.0</v>
      </c>
      <c r="AC404" s="165" t="s">
        <v>2669</v>
      </c>
      <c r="AD404" s="295">
        <v>44541.0</v>
      </c>
      <c r="AE404" s="160"/>
      <c r="AF404" s="288"/>
      <c r="AG404" s="160"/>
      <c r="AH404" s="288"/>
      <c r="AI404" s="288"/>
      <c r="AJ404" s="288"/>
      <c r="AK404" s="165" t="s">
        <v>1715</v>
      </c>
      <c r="AL404" s="165" t="s">
        <v>2161</v>
      </c>
      <c r="AM404" s="288"/>
      <c r="AN404" s="288"/>
      <c r="AO404" s="288"/>
      <c r="AP404" s="150" t="s">
        <v>2663</v>
      </c>
      <c r="AQ404" s="288"/>
    </row>
    <row r="405">
      <c r="A405" s="150" t="s">
        <v>2328</v>
      </c>
      <c r="B405" s="150" t="s">
        <v>2329</v>
      </c>
      <c r="C405" s="175" t="str">
        <f>VLOOKUP(A405,Import!A:C,3,false)</f>
        <v>DOĞRU</v>
      </c>
      <c r="D405" s="150" t="s">
        <v>2763</v>
      </c>
      <c r="E405" s="280">
        <f>VLOOKUP(A405,Import!A:J,5,0)</f>
        <v>942</v>
      </c>
      <c r="F405" s="280">
        <f>VLOOKUP(A405,Import!A:J,6,0)</f>
        <v>31</v>
      </c>
      <c r="G405" s="289">
        <f>VLOOKUP(A405,Import!A:J,7,0)</f>
        <v>5</v>
      </c>
      <c r="H405" s="289">
        <f>VLOOKUP(A405,Import!A:J,8,0)</f>
        <v>54</v>
      </c>
      <c r="I405" s="289">
        <f>VLOOKUP(A405,Import!A:J,9,0)</f>
        <v>59</v>
      </c>
      <c r="J405" s="282">
        <f>VLOOKUP(A405,Import!A:J,10,0)</f>
        <v>0.08</v>
      </c>
      <c r="K405" s="244" t="str">
        <f>VLOOKUP(A405,Import!A:P,11,0)</f>
        <v>KORAY İSMAİL AKYÜZ</v>
      </c>
      <c r="L405" s="150">
        <v>5.616117277E9</v>
      </c>
      <c r="M405" s="150" t="s">
        <v>2666</v>
      </c>
      <c r="N405" s="150" t="s">
        <v>3084</v>
      </c>
      <c r="O405" s="150" t="s">
        <v>2324</v>
      </c>
      <c r="P405" s="244" t="str">
        <f>VLOOKUP(A405,Import!A:P,16,0)</f>
        <v>Geleneksel</v>
      </c>
      <c r="Q405" s="291" t="s">
        <v>2713</v>
      </c>
      <c r="R405" s="292" t="b">
        <v>1</v>
      </c>
      <c r="S405" s="292" t="b">
        <v>0</v>
      </c>
      <c r="T405" s="149" t="s">
        <v>2661</v>
      </c>
      <c r="U405" s="149" t="s">
        <v>1715</v>
      </c>
      <c r="V405" s="149" t="s">
        <v>2783</v>
      </c>
      <c r="X405" s="294">
        <v>44565.0</v>
      </c>
      <c r="Y405" s="294">
        <v>44567.0</v>
      </c>
      <c r="Z405" s="288"/>
      <c r="AA405" s="165" t="s">
        <v>2669</v>
      </c>
      <c r="AB405" s="295">
        <v>44565.0</v>
      </c>
      <c r="AC405" s="288"/>
      <c r="AD405" s="288"/>
      <c r="AE405" s="160"/>
      <c r="AF405" s="288"/>
      <c r="AG405" s="160"/>
      <c r="AH405" s="288"/>
      <c r="AI405" s="288"/>
      <c r="AJ405" s="288"/>
      <c r="AK405" s="165" t="s">
        <v>1715</v>
      </c>
      <c r="AL405" s="288"/>
      <c r="AM405" s="288"/>
      <c r="AN405" s="288"/>
      <c r="AO405" s="288"/>
      <c r="AP405" s="150" t="s">
        <v>2663</v>
      </c>
      <c r="AQ405" s="288"/>
    </row>
    <row r="406">
      <c r="A406" s="150" t="s">
        <v>735</v>
      </c>
      <c r="B406" s="150" t="s">
        <v>736</v>
      </c>
      <c r="C406" s="175" t="str">
        <f>VLOOKUP(A406,Import!A:C,3,false)</f>
        <v>DOĞRU</v>
      </c>
      <c r="D406" s="150" t="s">
        <v>2701</v>
      </c>
      <c r="E406" s="280">
        <f>VLOOKUP(A406,Import!A:J,5,0)</f>
        <v>3889</v>
      </c>
      <c r="F406" s="280">
        <f>VLOOKUP(A406,Import!A:J,6,0)</f>
        <v>74</v>
      </c>
      <c r="G406" s="289">
        <f>VLOOKUP(A406,Import!A:J,7,0)</f>
        <v>35</v>
      </c>
      <c r="H406" s="289">
        <f>VLOOKUP(A406,Import!A:J,8,0)</f>
        <v>34</v>
      </c>
      <c r="I406" s="289">
        <f>VLOOKUP(A406,Import!A:J,9,0)</f>
        <v>69</v>
      </c>
      <c r="J406" s="282">
        <f>VLOOKUP(A406,Import!A:J,10,0)</f>
        <v>0.51</v>
      </c>
      <c r="K406" s="244" t="str">
        <f>VLOOKUP(A406,Import!A:P,11,0)</f>
        <v>AHMET KARAÇOR</v>
      </c>
      <c r="L406" s="150">
        <v>2.222207123E9</v>
      </c>
      <c r="M406" s="150" t="s">
        <v>1450</v>
      </c>
      <c r="N406" s="150" t="s">
        <v>2700</v>
      </c>
      <c r="O406" s="150" t="s">
        <v>738</v>
      </c>
      <c r="P406" s="244" t="str">
        <f>VLOOKUP(A406,Import!A:P,16,0)</f>
        <v>Geleneksel</v>
      </c>
      <c r="Q406" s="291" t="s">
        <v>2713</v>
      </c>
      <c r="R406" s="292" t="b">
        <v>1</v>
      </c>
      <c r="S406" s="293" t="b">
        <v>0</v>
      </c>
      <c r="T406" s="149" t="s">
        <v>2661</v>
      </c>
      <c r="U406" s="149" t="s">
        <v>1717</v>
      </c>
      <c r="V406" s="383" t="s">
        <v>1609</v>
      </c>
      <c r="W406" s="149" t="s">
        <v>3663</v>
      </c>
      <c r="X406" s="294">
        <v>44509.0</v>
      </c>
      <c r="Y406" s="294">
        <v>44511.0</v>
      </c>
      <c r="Z406" s="288"/>
      <c r="AA406" s="165" t="s">
        <v>2669</v>
      </c>
      <c r="AB406" s="295">
        <v>44483.0</v>
      </c>
      <c r="AC406" s="165" t="s">
        <v>2669</v>
      </c>
      <c r="AD406" s="295">
        <v>44509.0</v>
      </c>
      <c r="AE406" s="165" t="s">
        <v>2669</v>
      </c>
      <c r="AF406" s="295">
        <v>44601.0</v>
      </c>
      <c r="AG406" s="160"/>
      <c r="AH406" s="288"/>
      <c r="AI406" s="288"/>
      <c r="AJ406" s="288"/>
      <c r="AK406" s="165" t="s">
        <v>943</v>
      </c>
      <c r="AL406" s="165" t="s">
        <v>1717</v>
      </c>
      <c r="AM406" s="165" t="s">
        <v>2474</v>
      </c>
      <c r="AN406" s="288"/>
      <c r="AO406" s="288"/>
      <c r="AP406" s="150" t="s">
        <v>2663</v>
      </c>
      <c r="AQ406" s="288"/>
    </row>
    <row r="407">
      <c r="A407" s="150" t="s">
        <v>512</v>
      </c>
      <c r="B407" s="150" t="s">
        <v>513</v>
      </c>
      <c r="C407" s="175" t="str">
        <f>VLOOKUP(A407,Import!A:C,3,false)</f>
        <v>DOĞRU</v>
      </c>
      <c r="D407" s="150" t="s">
        <v>2696</v>
      </c>
      <c r="E407" s="280">
        <f>VLOOKUP(A407,Import!A:J,5,0)</f>
        <v>1569</v>
      </c>
      <c r="F407" s="280">
        <f>VLOOKUP(A407,Import!A:J,6,0)</f>
        <v>32</v>
      </c>
      <c r="G407" s="289">
        <f>VLOOKUP(A407,Import!A:J,7,0)</f>
        <v>32</v>
      </c>
      <c r="H407" s="289">
        <f>VLOOKUP(A407,Import!A:J,8,0)</f>
        <v>5</v>
      </c>
      <c r="I407" s="289">
        <f>VLOOKUP(A407,Import!A:J,9,0)</f>
        <v>37</v>
      </c>
      <c r="J407" s="282">
        <f>VLOOKUP(A407,Import!A:J,10,0)</f>
        <v>0.86</v>
      </c>
      <c r="K407" s="244" t="str">
        <f>VLOOKUP(A407,Import!A:P,11,0)</f>
        <v>İLYAS BOZKURT</v>
      </c>
      <c r="L407" s="150">
        <v>5.352791245E9</v>
      </c>
      <c r="M407" s="150" t="s">
        <v>1450</v>
      </c>
      <c r="N407" s="150" t="s">
        <v>2705</v>
      </c>
      <c r="O407" s="150" t="s">
        <v>3664</v>
      </c>
      <c r="P407" s="244" t="str">
        <f>VLOOKUP(A407,Import!A:P,16,0)</f>
        <v>Geleneksel</v>
      </c>
      <c r="Q407" s="291" t="s">
        <v>2760</v>
      </c>
      <c r="R407" s="292" t="b">
        <v>1</v>
      </c>
      <c r="S407" s="293" t="b">
        <v>0</v>
      </c>
      <c r="T407" s="149" t="s">
        <v>2661</v>
      </c>
      <c r="U407" s="149" t="s">
        <v>1000</v>
      </c>
      <c r="V407" s="149" t="s">
        <v>13</v>
      </c>
      <c r="W407" s="149" t="s">
        <v>3665</v>
      </c>
      <c r="X407" s="294">
        <v>44271.0</v>
      </c>
      <c r="Y407" s="294">
        <v>44272.0</v>
      </c>
      <c r="Z407" s="288"/>
      <c r="AA407" s="288"/>
      <c r="AB407" s="288"/>
      <c r="AC407" s="288"/>
      <c r="AD407" s="288"/>
      <c r="AE407" s="160"/>
      <c r="AF407" s="288"/>
      <c r="AG407" s="160"/>
      <c r="AH407" s="288"/>
      <c r="AI407" s="288"/>
      <c r="AJ407" s="288"/>
      <c r="AK407" s="288"/>
      <c r="AL407" s="288"/>
      <c r="AM407" s="288"/>
      <c r="AN407" s="288"/>
      <c r="AO407" s="288"/>
      <c r="AP407" s="150" t="s">
        <v>2663</v>
      </c>
      <c r="AQ407" s="288"/>
    </row>
    <row r="408">
      <c r="A408" s="150" t="s">
        <v>2104</v>
      </c>
      <c r="B408" s="150" t="s">
        <v>2105</v>
      </c>
      <c r="C408" s="175" t="str">
        <f>VLOOKUP(A408,Import!A:C,3,false)</f>
        <v>DOĞRU</v>
      </c>
      <c r="D408" s="150" t="s">
        <v>2701</v>
      </c>
      <c r="E408" s="280">
        <f>VLOOKUP(A408,Import!A:J,5,0)</f>
        <v>132</v>
      </c>
      <c r="F408" s="280" t="str">
        <f>VLOOKUP(A408,Import!A:J,6,0)</f>
        <v/>
      </c>
      <c r="G408" s="289">
        <f>VLOOKUP(A408,Import!A:J,7,0)</f>
        <v>0</v>
      </c>
      <c r="H408" s="289">
        <f>VLOOKUP(A408,Import!A:J,8,0)</f>
        <v>8</v>
      </c>
      <c r="I408" s="289">
        <f>VLOOKUP(A408,Import!A:J,9,0)</f>
        <v>8</v>
      </c>
      <c r="J408" s="282">
        <f>VLOOKUP(A408,Import!A:J,10,0)</f>
        <v>0</v>
      </c>
      <c r="K408" s="290" t="s">
        <v>3666</v>
      </c>
      <c r="L408" s="150">
        <v>5.516763032E9</v>
      </c>
      <c r="M408" s="150" t="s">
        <v>1450</v>
      </c>
      <c r="N408" s="150" t="s">
        <v>2905</v>
      </c>
      <c r="O408" s="150" t="s">
        <v>2107</v>
      </c>
      <c r="P408" s="244" t="str">
        <f>VLOOKUP(A408,Import!A:P,16,0)</f>
        <v>Geleneksel</v>
      </c>
      <c r="Q408" s="291"/>
      <c r="R408" s="292" t="b">
        <v>1</v>
      </c>
      <c r="S408" s="293" t="b">
        <v>0</v>
      </c>
      <c r="T408" s="149" t="s">
        <v>2668</v>
      </c>
      <c r="U408" s="149" t="s">
        <v>1715</v>
      </c>
      <c r="V408" s="149" t="s">
        <v>2835</v>
      </c>
      <c r="W408" s="149"/>
      <c r="X408" s="294">
        <v>44533.0</v>
      </c>
      <c r="Y408" s="294">
        <v>44538.0</v>
      </c>
      <c r="Z408" s="288"/>
      <c r="AA408" s="165" t="s">
        <v>2669</v>
      </c>
      <c r="AB408" s="295">
        <v>44531.0</v>
      </c>
      <c r="AC408" s="165"/>
      <c r="AD408" s="288"/>
      <c r="AE408" s="160"/>
      <c r="AF408" s="288"/>
      <c r="AG408" s="160"/>
      <c r="AH408" s="288"/>
      <c r="AI408" s="288"/>
      <c r="AJ408" s="288"/>
      <c r="AK408" s="165" t="s">
        <v>1715</v>
      </c>
      <c r="AL408" s="288"/>
      <c r="AM408" s="288"/>
      <c r="AN408" s="288"/>
      <c r="AO408" s="288"/>
      <c r="AP408" s="150" t="s">
        <v>2663</v>
      </c>
      <c r="AQ408" s="288"/>
    </row>
    <row r="409">
      <c r="A409" s="147" t="s">
        <v>3667</v>
      </c>
      <c r="B409" s="147" t="s">
        <v>3668</v>
      </c>
      <c r="C409" s="175" t="str">
        <f>VLOOKUP(A409,Import!A:C,3,false)</f>
        <v>DOĞRU</v>
      </c>
      <c r="D409" s="147" t="s">
        <v>2896</v>
      </c>
      <c r="E409" s="280">
        <f>VLOOKUP(A409,Import!A:J,5,0)</f>
        <v>2053</v>
      </c>
      <c r="F409" s="280">
        <f>VLOOKUP(A409,Import!A:J,6,0)</f>
        <v>63</v>
      </c>
      <c r="G409" s="289">
        <f>VLOOKUP(A409,Import!A:J,7,0)</f>
        <v>5</v>
      </c>
      <c r="H409" s="289">
        <f>VLOOKUP(A409,Import!A:J,8,0)</f>
        <v>0</v>
      </c>
      <c r="I409" s="289">
        <f>VLOOKUP(A409,Import!A:J,9,0)</f>
        <v>5</v>
      </c>
      <c r="J409" s="282">
        <f>VLOOKUP(A409,Import!A:J,10,0)</f>
        <v>1</v>
      </c>
      <c r="K409" s="244" t="str">
        <f>VLOOKUP(A409,Import!A:P,11,0)</f>
        <v>Serhan Ürersoy</v>
      </c>
      <c r="L409" s="147">
        <v>2.222215645E9</v>
      </c>
      <c r="M409" s="147" t="s">
        <v>1450</v>
      </c>
      <c r="N409" s="147" t="s">
        <v>3189</v>
      </c>
      <c r="O409" s="147" t="s">
        <v>3669</v>
      </c>
      <c r="P409" s="244" t="str">
        <f>VLOOKUP(A409,Import!A:P,16,0)</f>
        <v>Geleneksel</v>
      </c>
      <c r="Q409" s="330"/>
      <c r="R409" s="292" t="b">
        <v>1</v>
      </c>
      <c r="S409" s="292" t="b">
        <v>1</v>
      </c>
      <c r="T409" s="296"/>
      <c r="U409" s="296"/>
      <c r="V409" s="296"/>
      <c r="W409" s="149" t="s">
        <v>3670</v>
      </c>
      <c r="X409" s="297"/>
      <c r="Y409" s="297"/>
      <c r="Z409" s="288"/>
      <c r="AA409" s="288"/>
      <c r="AB409" s="288"/>
      <c r="AC409" s="288"/>
      <c r="AD409" s="288"/>
      <c r="AE409" s="160"/>
      <c r="AF409" s="288"/>
      <c r="AG409" s="160"/>
      <c r="AH409" s="288"/>
      <c r="AI409" s="288"/>
      <c r="AJ409" s="288"/>
      <c r="AK409" s="288"/>
      <c r="AL409" s="288"/>
      <c r="AM409" s="288"/>
      <c r="AN409" s="288"/>
      <c r="AO409" s="288"/>
      <c r="AP409" s="150" t="s">
        <v>2663</v>
      </c>
      <c r="AQ409" s="288"/>
    </row>
    <row r="410">
      <c r="A410" s="244" t="s">
        <v>330</v>
      </c>
      <c r="B410" s="244" t="s">
        <v>331</v>
      </c>
      <c r="C410" s="175" t="str">
        <f>VLOOKUP(A410,Import!A:C,3,false)</f>
        <v>DOĞRU</v>
      </c>
      <c r="D410" s="244" t="s">
        <v>2696</v>
      </c>
      <c r="E410" s="280">
        <f>VLOOKUP(A410,Import!A:J,5,0)</f>
        <v>2206</v>
      </c>
      <c r="F410" s="280">
        <f>VLOOKUP(A410,Import!A:J,6,0)</f>
        <v>20</v>
      </c>
      <c r="G410" s="289">
        <f>VLOOKUP(A410,Import!A:J,7,0)</f>
        <v>18</v>
      </c>
      <c r="H410" s="289">
        <f>VLOOKUP(A410,Import!A:J,8,0)</f>
        <v>10</v>
      </c>
      <c r="I410" s="289">
        <f>VLOOKUP(A410,Import!A:J,9,0)</f>
        <v>28</v>
      </c>
      <c r="J410" s="282">
        <f>VLOOKUP(A410,Import!A:J,10,0)</f>
        <v>0.64</v>
      </c>
      <c r="K410" s="244" t="str">
        <f>VLOOKUP(A410,Import!A:P,11,0)</f>
        <v>Simay Karabıçak</v>
      </c>
      <c r="L410" s="280">
        <v>5.42220051E9</v>
      </c>
      <c r="M410" s="244" t="s">
        <v>1450</v>
      </c>
      <c r="N410" s="244" t="s">
        <v>2732</v>
      </c>
      <c r="O410" s="244" t="s">
        <v>333</v>
      </c>
      <c r="P410" s="244" t="str">
        <f>VLOOKUP(A410,Import!A:P,16,0)</f>
        <v>Geleneksel</v>
      </c>
      <c r="Q410" s="291" t="s">
        <v>2686</v>
      </c>
      <c r="R410" s="292" t="b">
        <v>1</v>
      </c>
      <c r="S410" s="293" t="b">
        <v>0</v>
      </c>
      <c r="T410" s="149" t="s">
        <v>2661</v>
      </c>
      <c r="U410" s="149"/>
      <c r="V410" s="149" t="s">
        <v>46</v>
      </c>
      <c r="X410" s="294">
        <v>44265.0</v>
      </c>
      <c r="Y410" s="294">
        <v>44266.0</v>
      </c>
      <c r="Z410" s="288"/>
      <c r="AA410" s="288"/>
      <c r="AB410" s="288"/>
      <c r="AC410" s="288"/>
      <c r="AD410" s="288"/>
      <c r="AE410" s="160"/>
      <c r="AF410" s="288"/>
      <c r="AG410" s="160"/>
      <c r="AH410" s="288"/>
      <c r="AI410" s="288"/>
      <c r="AJ410" s="288"/>
      <c r="AK410" s="288"/>
      <c r="AL410" s="288"/>
      <c r="AM410" s="288"/>
      <c r="AN410" s="288"/>
      <c r="AO410" s="288"/>
      <c r="AP410" s="150" t="s">
        <v>2663</v>
      </c>
      <c r="AQ410" s="288"/>
    </row>
    <row r="411">
      <c r="A411" s="150" t="s">
        <v>3671</v>
      </c>
      <c r="B411" s="150" t="s">
        <v>3672</v>
      </c>
      <c r="C411" s="175" t="str">
        <f>VLOOKUP(A411,Import!A:C,3,false)</f>
        <v>DOĞRU</v>
      </c>
      <c r="D411" s="150" t="s">
        <v>2672</v>
      </c>
      <c r="E411" s="280" t="str">
        <f>VLOOKUP(A411,Import!A:J,5,0)</f>
        <v/>
      </c>
      <c r="F411" s="280" t="str">
        <f>VLOOKUP(A411,Import!A:J,6,0)</f>
        <v/>
      </c>
      <c r="G411" s="289">
        <f>VLOOKUP(A411,Import!A:J,7,0)</f>
        <v>0</v>
      </c>
      <c r="H411" s="289">
        <f>VLOOKUP(A411,Import!A:J,8,0)</f>
        <v>47</v>
      </c>
      <c r="I411" s="289">
        <f>VLOOKUP(A411,Import!A:J,9,0)</f>
        <v>47</v>
      </c>
      <c r="J411" s="282">
        <f>VLOOKUP(A411,Import!A:J,10,0)</f>
        <v>0</v>
      </c>
      <c r="K411" s="150" t="s">
        <v>3673</v>
      </c>
      <c r="L411" s="150">
        <v>5.459098866E9</v>
      </c>
      <c r="M411" s="150" t="s">
        <v>2666</v>
      </c>
      <c r="N411" s="150" t="s">
        <v>3000</v>
      </c>
      <c r="O411" s="150" t="s">
        <v>3674</v>
      </c>
      <c r="P411" s="244" t="str">
        <f>VLOOKUP(A411,Import!A:P,16,0)</f>
        <v>Geleneksel</v>
      </c>
      <c r="Q411" s="291"/>
      <c r="R411" s="292" t="b">
        <v>0</v>
      </c>
      <c r="S411" s="293" t="b">
        <v>0</v>
      </c>
      <c r="T411" s="149"/>
      <c r="U411" s="296"/>
      <c r="V411" s="296"/>
      <c r="W411" s="101"/>
      <c r="X411" s="297"/>
      <c r="Y411" s="297"/>
      <c r="Z411" s="288"/>
      <c r="AA411" s="165"/>
      <c r="AB411" s="295"/>
      <c r="AC411" s="288"/>
      <c r="AD411" s="288"/>
      <c r="AE411" s="160"/>
      <c r="AF411" s="288"/>
      <c r="AG411" s="160"/>
      <c r="AH411" s="288"/>
      <c r="AI411" s="288"/>
      <c r="AJ411" s="288"/>
      <c r="AK411" s="165"/>
      <c r="AL411" s="288"/>
      <c r="AM411" s="288"/>
      <c r="AN411" s="288"/>
      <c r="AO411" s="165"/>
      <c r="AP411" s="150"/>
      <c r="AQ411" s="165"/>
    </row>
    <row r="412">
      <c r="A412" s="147" t="s">
        <v>1298</v>
      </c>
      <c r="B412" s="147" t="s">
        <v>1299</v>
      </c>
      <c r="C412" s="175" t="str">
        <f>VLOOKUP(A412,Import!A:C,3,false)</f>
        <v>DOĞRU</v>
      </c>
      <c r="D412" s="147" t="s">
        <v>2658</v>
      </c>
      <c r="E412" s="280">
        <f>VLOOKUP(A412,Import!A:J,5,0)</f>
        <v>3121</v>
      </c>
      <c r="F412" s="280">
        <f>VLOOKUP(A412,Import!A:J,6,0)</f>
        <v>84</v>
      </c>
      <c r="G412" s="289">
        <f>VLOOKUP(A412,Import!A:J,7,0)</f>
        <v>9</v>
      </c>
      <c r="H412" s="289">
        <f>VLOOKUP(A412,Import!A:J,8,0)</f>
        <v>21</v>
      </c>
      <c r="I412" s="289">
        <f>VLOOKUP(A412,Import!A:J,9,0)</f>
        <v>30</v>
      </c>
      <c r="J412" s="282">
        <f>VLOOKUP(A412,Import!A:J,10,0)</f>
        <v>0.3</v>
      </c>
      <c r="K412" s="244" t="str">
        <f>VLOOKUP(A412,Import!A:P,11,0)</f>
        <v>ALİ ERDÖNMEZ</v>
      </c>
      <c r="L412" s="147">
        <v>5.354946989E9</v>
      </c>
      <c r="M412" s="147" t="s">
        <v>2666</v>
      </c>
      <c r="N412" s="147" t="s">
        <v>2750</v>
      </c>
      <c r="O412" s="147" t="s">
        <v>1301</v>
      </c>
      <c r="P412" s="244" t="str">
        <f>VLOOKUP(A412,Import!A:P,16,0)</f>
        <v>Geleneksel</v>
      </c>
      <c r="Q412" s="330"/>
      <c r="R412" s="292" t="b">
        <v>1</v>
      </c>
      <c r="S412" s="293" t="b">
        <v>0</v>
      </c>
      <c r="T412" s="149" t="s">
        <v>2661</v>
      </c>
      <c r="U412" s="149" t="s">
        <v>937</v>
      </c>
      <c r="V412" s="361" t="s">
        <v>13</v>
      </c>
      <c r="W412" s="149" t="s">
        <v>3675</v>
      </c>
      <c r="X412" s="294">
        <v>44308.0</v>
      </c>
      <c r="Y412" s="294">
        <v>44313.0</v>
      </c>
      <c r="Z412" s="288"/>
      <c r="AA412" s="165" t="s">
        <v>2669</v>
      </c>
      <c r="AB412" s="295">
        <v>44510.0</v>
      </c>
      <c r="AC412" s="288"/>
      <c r="AD412" s="288"/>
      <c r="AE412" s="160"/>
      <c r="AF412" s="288"/>
      <c r="AG412" s="160"/>
      <c r="AH412" s="288"/>
      <c r="AI412" s="288"/>
      <c r="AJ412" s="288"/>
      <c r="AK412" s="288"/>
      <c r="AL412" s="288"/>
      <c r="AM412" s="288"/>
      <c r="AN412" s="288"/>
      <c r="AO412" s="288"/>
      <c r="AP412" s="150" t="s">
        <v>2663</v>
      </c>
      <c r="AQ412" s="288"/>
    </row>
    <row r="413">
      <c r="A413" s="147" t="s">
        <v>1451</v>
      </c>
      <c r="B413" s="147" t="s">
        <v>1452</v>
      </c>
      <c r="C413" s="175" t="str">
        <f>VLOOKUP(A413,Import!A:C,3,false)</f>
        <v>DOĞRU</v>
      </c>
      <c r="D413" s="147" t="s">
        <v>2696</v>
      </c>
      <c r="E413" s="280">
        <f>VLOOKUP(A413,Import!A:J,5,0)</f>
        <v>2130</v>
      </c>
      <c r="F413" s="280">
        <f>VLOOKUP(A413,Import!A:J,6,0)</f>
        <v>81</v>
      </c>
      <c r="G413" s="289">
        <f>VLOOKUP(A413,Import!A:J,7,0)</f>
        <v>0</v>
      </c>
      <c r="H413" s="289">
        <f>VLOOKUP(A413,Import!A:J,8,0)</f>
        <v>33</v>
      </c>
      <c r="I413" s="289">
        <f>VLOOKUP(A413,Import!A:J,9,0)</f>
        <v>33</v>
      </c>
      <c r="J413" s="282">
        <f>VLOOKUP(A413,Import!A:J,10,0)</f>
        <v>0</v>
      </c>
      <c r="K413" s="244" t="str">
        <f>VLOOKUP(A413,Import!A:P,11,0)</f>
        <v>Ahmet Kelek</v>
      </c>
      <c r="L413" s="147">
        <v>5.393351823E9</v>
      </c>
      <c r="M413" s="147" t="s">
        <v>1450</v>
      </c>
      <c r="N413" s="147" t="s">
        <v>2707</v>
      </c>
      <c r="O413" s="147" t="s">
        <v>1454</v>
      </c>
      <c r="P413" s="244" t="str">
        <f>VLOOKUP(A413,Import!A:P,16,0)</f>
        <v>Geleneksel</v>
      </c>
      <c r="Q413" s="330"/>
      <c r="R413" s="292" t="b">
        <v>1</v>
      </c>
      <c r="S413" s="292" t="b">
        <v>0</v>
      </c>
      <c r="T413" s="149" t="s">
        <v>2714</v>
      </c>
      <c r="U413" s="149" t="s">
        <v>819</v>
      </c>
      <c r="V413" s="149" t="s">
        <v>1343</v>
      </c>
      <c r="W413" s="149" t="s">
        <v>3676</v>
      </c>
      <c r="X413" s="294">
        <v>44337.0</v>
      </c>
      <c r="Y413" s="294">
        <v>44344.0</v>
      </c>
      <c r="Z413" s="288"/>
      <c r="AA413" s="165" t="s">
        <v>2772</v>
      </c>
      <c r="AB413" s="295">
        <v>44378.0</v>
      </c>
      <c r="AC413" s="165" t="s">
        <v>2669</v>
      </c>
      <c r="AD413" s="295">
        <v>44541.0</v>
      </c>
      <c r="AE413" s="160"/>
      <c r="AF413" s="288"/>
      <c r="AG413" s="160"/>
      <c r="AH413" s="288"/>
      <c r="AI413" s="288"/>
      <c r="AJ413" s="288"/>
      <c r="AK413" s="165" t="s">
        <v>2718</v>
      </c>
      <c r="AL413" s="165" t="s">
        <v>2161</v>
      </c>
      <c r="AM413" s="288"/>
      <c r="AN413" s="288"/>
      <c r="AO413" s="288"/>
      <c r="AP413" s="150" t="s">
        <v>2663</v>
      </c>
      <c r="AQ413" s="288"/>
    </row>
    <row r="414">
      <c r="A414" s="150" t="s">
        <v>3677</v>
      </c>
      <c r="B414" s="150" t="s">
        <v>3678</v>
      </c>
      <c r="C414" s="175" t="str">
        <f>VLOOKUP(A414,Import!A:C,3,false)</f>
        <v>DOĞRU</v>
      </c>
      <c r="D414" s="150" t="s">
        <v>2696</v>
      </c>
      <c r="E414" s="280">
        <f>VLOOKUP(A414,Import!A:J,5,0)</f>
        <v>1200</v>
      </c>
      <c r="F414" s="280">
        <f>VLOOKUP(A414,Import!A:J,6,0)</f>
        <v>101</v>
      </c>
      <c r="G414" s="289">
        <f>VLOOKUP(A414,Import!A:J,7,0)</f>
        <v>10</v>
      </c>
      <c r="H414" s="289">
        <f>VLOOKUP(A414,Import!A:J,8,0)</f>
        <v>11</v>
      </c>
      <c r="I414" s="289">
        <f>VLOOKUP(A414,Import!A:J,9,0)</f>
        <v>21</v>
      </c>
      <c r="J414" s="282">
        <f>VLOOKUP(A414,Import!A:J,10,0)</f>
        <v>0.48</v>
      </c>
      <c r="K414" s="244" t="str">
        <f>VLOOKUP(A414,Import!A:P,11,0)</f>
        <v>Halit Arpacı</v>
      </c>
      <c r="L414" s="150">
        <v>2.222200085E9</v>
      </c>
      <c r="M414" s="150" t="s">
        <v>1450</v>
      </c>
      <c r="N414" s="150" t="s">
        <v>2716</v>
      </c>
      <c r="O414" s="150" t="s">
        <v>3679</v>
      </c>
      <c r="P414" s="244" t="str">
        <f>VLOOKUP(A414,Import!A:P,16,0)</f>
        <v>Geleneksel</v>
      </c>
      <c r="Q414" s="291"/>
      <c r="R414" s="292" t="b">
        <v>1</v>
      </c>
      <c r="S414" s="293" t="b">
        <v>0</v>
      </c>
      <c r="T414" s="145" t="s">
        <v>2734</v>
      </c>
      <c r="U414" s="296"/>
      <c r="V414" s="296"/>
      <c r="W414" s="149" t="s">
        <v>3680</v>
      </c>
      <c r="X414" s="297"/>
      <c r="Y414" s="297"/>
      <c r="Z414" s="288"/>
      <c r="AA414" s="165" t="s">
        <v>2669</v>
      </c>
      <c r="AB414" s="295">
        <v>44482.0</v>
      </c>
      <c r="AC414" s="165" t="s">
        <v>2669</v>
      </c>
      <c r="AD414" s="295">
        <v>44487.0</v>
      </c>
      <c r="AE414" s="160"/>
      <c r="AF414" s="288"/>
      <c r="AG414" s="160"/>
      <c r="AH414" s="288"/>
      <c r="AI414" s="288"/>
      <c r="AJ414" s="288"/>
      <c r="AK414" s="165" t="s">
        <v>943</v>
      </c>
      <c r="AL414" s="165" t="s">
        <v>1715</v>
      </c>
      <c r="AM414" s="288"/>
      <c r="AN414" s="288"/>
      <c r="AO414" s="288"/>
      <c r="AP414" s="150" t="s">
        <v>2663</v>
      </c>
      <c r="AQ414" s="288"/>
    </row>
    <row r="415">
      <c r="A415" s="244" t="s">
        <v>3681</v>
      </c>
      <c r="B415" s="244" t="s">
        <v>3682</v>
      </c>
      <c r="C415" s="175" t="str">
        <f>VLOOKUP(A415,Import!A:C,3,false)</f>
        <v>DOĞRU</v>
      </c>
      <c r="D415" s="320" t="s">
        <v>2664</v>
      </c>
      <c r="E415" s="280">
        <f>VLOOKUP(A415,Import!A:J,5,0)</f>
        <v>5581</v>
      </c>
      <c r="F415" s="280">
        <f>VLOOKUP(A415,Import!A:J,6,0)</f>
        <v>526</v>
      </c>
      <c r="G415" s="289">
        <f>VLOOKUP(A415,Import!A:J,7,0)</f>
        <v>0</v>
      </c>
      <c r="H415" s="289">
        <f>VLOOKUP(A415,Import!A:J,8,0)</f>
        <v>21</v>
      </c>
      <c r="I415" s="289">
        <f>VLOOKUP(A415,Import!A:J,9,0)</f>
        <v>21</v>
      </c>
      <c r="J415" s="282">
        <f>VLOOKUP(A415,Import!A:J,10,0)</f>
        <v>0</v>
      </c>
      <c r="K415" s="244" t="str">
        <f>VLOOKUP(A415,Import!A:P,11,0)</f>
        <v>Tugay Ateş</v>
      </c>
      <c r="L415" s="321">
        <v>5.425373131E9</v>
      </c>
      <c r="M415" s="320" t="s">
        <v>2666</v>
      </c>
      <c r="N415" s="320" t="s">
        <v>2774</v>
      </c>
      <c r="O415" s="320" t="s">
        <v>3683</v>
      </c>
      <c r="P415" s="244" t="str">
        <f>VLOOKUP(A415,Import!A:P,16,0)</f>
        <v>Geleneksel</v>
      </c>
      <c r="Q415" s="322" t="s">
        <v>2660</v>
      </c>
      <c r="R415" s="323" t="b">
        <v>1</v>
      </c>
      <c r="S415" s="323" t="b">
        <v>1</v>
      </c>
      <c r="T415" s="333"/>
      <c r="U415" s="333"/>
      <c r="V415" s="333"/>
      <c r="W415" s="325"/>
      <c r="X415" s="345"/>
      <c r="Y415" s="345"/>
      <c r="Z415" s="288"/>
      <c r="AA415" s="288"/>
      <c r="AB415" s="288"/>
      <c r="AC415" s="288"/>
      <c r="AD415" s="288"/>
      <c r="AE415" s="160"/>
      <c r="AF415" s="288"/>
      <c r="AG415" s="160"/>
      <c r="AH415" s="288"/>
      <c r="AI415" s="288"/>
      <c r="AJ415" s="288"/>
      <c r="AK415" s="288"/>
      <c r="AL415" s="288"/>
      <c r="AM415" s="288"/>
      <c r="AN415" s="288"/>
      <c r="AO415" s="288"/>
      <c r="AP415" s="150" t="s">
        <v>2663</v>
      </c>
      <c r="AQ415" s="288"/>
    </row>
    <row r="416">
      <c r="A416" s="150" t="s">
        <v>3684</v>
      </c>
      <c r="B416" s="150" t="s">
        <v>3685</v>
      </c>
      <c r="C416" s="175" t="str">
        <f>VLOOKUP(A416,Import!A:C,3,false)</f>
        <v>DOĞRU</v>
      </c>
      <c r="D416" s="150" t="s">
        <v>2696</v>
      </c>
      <c r="E416" s="280">
        <f>VLOOKUP(A416,Import!A:J,5,0)</f>
        <v>1071</v>
      </c>
      <c r="F416" s="280">
        <f>VLOOKUP(A416,Import!A:J,6,0)</f>
        <v>15</v>
      </c>
      <c r="G416" s="289">
        <f>VLOOKUP(A416,Import!A:J,7,0)</f>
        <v>14</v>
      </c>
      <c r="H416" s="289">
        <f>VLOOKUP(A416,Import!A:J,8,0)</f>
        <v>16</v>
      </c>
      <c r="I416" s="289">
        <f>VLOOKUP(A416,Import!A:J,9,0)</f>
        <v>30</v>
      </c>
      <c r="J416" s="282">
        <f>VLOOKUP(A416,Import!A:J,10,0)</f>
        <v>0.47</v>
      </c>
      <c r="K416" s="244" t="str">
        <f>VLOOKUP(A416,Import!A:P,11,0)</f>
        <v>MEHMET KIZILPINAR</v>
      </c>
      <c r="L416" s="150">
        <v>2.222901549E9</v>
      </c>
      <c r="M416" s="150" t="s">
        <v>1450</v>
      </c>
      <c r="N416" s="150" t="s">
        <v>2732</v>
      </c>
      <c r="O416" s="150" t="s">
        <v>3686</v>
      </c>
      <c r="P416" s="244" t="str">
        <f>VLOOKUP(A416,Import!A:P,16,0)</f>
        <v>Geleneksel</v>
      </c>
      <c r="Q416" s="291" t="s">
        <v>2713</v>
      </c>
      <c r="R416" s="292" t="b">
        <v>1</v>
      </c>
      <c r="S416" s="292" t="b">
        <v>0</v>
      </c>
      <c r="T416" s="149" t="s">
        <v>2734</v>
      </c>
      <c r="U416" s="296"/>
      <c r="V416" s="296"/>
      <c r="W416" s="388" t="s">
        <v>789</v>
      </c>
      <c r="X416" s="297"/>
      <c r="Y416" s="297"/>
      <c r="Z416" s="288"/>
      <c r="AA416" s="288"/>
      <c r="AB416" s="288"/>
      <c r="AC416" s="288"/>
      <c r="AD416" s="288"/>
      <c r="AE416" s="160"/>
      <c r="AF416" s="288"/>
      <c r="AG416" s="160"/>
      <c r="AH416" s="288"/>
      <c r="AI416" s="288"/>
      <c r="AJ416" s="288"/>
      <c r="AK416" s="288"/>
      <c r="AL416" s="288"/>
      <c r="AM416" s="288"/>
      <c r="AN416" s="288"/>
      <c r="AO416" s="288"/>
      <c r="AP416" s="150" t="s">
        <v>2663</v>
      </c>
      <c r="AQ416" s="288"/>
    </row>
    <row r="417">
      <c r="A417" s="150" t="s">
        <v>1059</v>
      </c>
      <c r="B417" s="150" t="s">
        <v>1060</v>
      </c>
      <c r="C417" s="175" t="str">
        <f>VLOOKUP(A417,Import!A:C,3,false)</f>
        <v>DOĞRU</v>
      </c>
      <c r="D417" s="150" t="s">
        <v>2701</v>
      </c>
      <c r="E417" s="280">
        <f>VLOOKUP(A417,Import!A:J,5,0)</f>
        <v>6030</v>
      </c>
      <c r="F417" s="280">
        <f>VLOOKUP(A417,Import!A:J,6,0)</f>
        <v>220</v>
      </c>
      <c r="G417" s="289">
        <f>VLOOKUP(A417,Import!A:J,7,0)</f>
        <v>35</v>
      </c>
      <c r="H417" s="289">
        <f>VLOOKUP(A417,Import!A:J,8,0)</f>
        <v>152</v>
      </c>
      <c r="I417" s="289">
        <f>VLOOKUP(A417,Import!A:J,9,0)</f>
        <v>187</v>
      </c>
      <c r="J417" s="282">
        <f>VLOOKUP(A417,Import!A:J,10,0)</f>
        <v>0.19</v>
      </c>
      <c r="K417" s="244" t="str">
        <f>VLOOKUP(A417,Import!A:P,11,0)</f>
        <v>Burcu Baran</v>
      </c>
      <c r="L417" s="150">
        <v>5.321391222E9</v>
      </c>
      <c r="M417" s="150" t="s">
        <v>1450</v>
      </c>
      <c r="N417" s="150" t="s">
        <v>2795</v>
      </c>
      <c r="O417" s="150" t="s">
        <v>1062</v>
      </c>
      <c r="P417" s="244" t="str">
        <f>VLOOKUP(A417,Import!A:P,16,0)</f>
        <v>Geleneksel</v>
      </c>
      <c r="Q417" s="291" t="s">
        <v>2713</v>
      </c>
      <c r="R417" s="292" t="b">
        <v>1</v>
      </c>
      <c r="S417" s="293" t="b">
        <v>0</v>
      </c>
      <c r="T417" s="149" t="s">
        <v>2770</v>
      </c>
      <c r="U417" s="149" t="s">
        <v>1000</v>
      </c>
      <c r="V417" s="149" t="s">
        <v>31</v>
      </c>
      <c r="W417" s="149" t="s">
        <v>3687</v>
      </c>
      <c r="X417" s="294">
        <v>44265.0</v>
      </c>
      <c r="Y417" s="294">
        <v>44266.0</v>
      </c>
      <c r="Z417" s="288"/>
      <c r="AA417" s="288"/>
      <c r="AB417" s="288"/>
      <c r="AC417" s="288"/>
      <c r="AD417" s="288"/>
      <c r="AE417" s="160"/>
      <c r="AF417" s="288"/>
      <c r="AG417" s="160"/>
      <c r="AH417" s="288"/>
      <c r="AI417" s="288"/>
      <c r="AJ417" s="288"/>
      <c r="AK417" s="288"/>
      <c r="AL417" s="288"/>
      <c r="AM417" s="288"/>
      <c r="AN417" s="288"/>
      <c r="AO417" s="288"/>
      <c r="AP417" s="150" t="s">
        <v>2663</v>
      </c>
      <c r="AQ417" s="288"/>
    </row>
    <row r="418">
      <c r="A418" s="244" t="s">
        <v>221</v>
      </c>
      <c r="B418" s="244" t="s">
        <v>222</v>
      </c>
      <c r="C418" s="175" t="str">
        <f>VLOOKUP(A418,Import!A:C,3,false)</f>
        <v>DOĞRU</v>
      </c>
      <c r="D418" s="303" t="s">
        <v>2658</v>
      </c>
      <c r="E418" s="280">
        <f>VLOOKUP(A418,Import!A:J,5,0)</f>
        <v>2967</v>
      </c>
      <c r="F418" s="280">
        <f>VLOOKUP(A418,Import!A:J,6,0)</f>
        <v>170</v>
      </c>
      <c r="G418" s="289">
        <f>VLOOKUP(A418,Import!A:J,7,0)</f>
        <v>20</v>
      </c>
      <c r="H418" s="289">
        <f>VLOOKUP(A418,Import!A:J,8,0)</f>
        <v>22</v>
      </c>
      <c r="I418" s="289">
        <f>VLOOKUP(A418,Import!A:J,9,0)</f>
        <v>42</v>
      </c>
      <c r="J418" s="282">
        <f>VLOOKUP(A418,Import!A:J,10,0)</f>
        <v>0.48</v>
      </c>
      <c r="K418" s="244" t="str">
        <f>VLOOKUP(A418,Import!A:P,11,0)</f>
        <v>TUĞÇE SOLMAZ</v>
      </c>
      <c r="L418" s="304">
        <v>2.222390393E9</v>
      </c>
      <c r="M418" s="303" t="s">
        <v>1450</v>
      </c>
      <c r="N418" s="303" t="s">
        <v>3688</v>
      </c>
      <c r="O418" s="303" t="s">
        <v>226</v>
      </c>
      <c r="P418" s="244" t="str">
        <f>VLOOKUP(A418,Import!A:P,16,0)</f>
        <v>Geleneksel</v>
      </c>
      <c r="Q418" s="305" t="s">
        <v>2760</v>
      </c>
      <c r="R418" s="306" t="b">
        <v>1</v>
      </c>
      <c r="S418" s="307" t="b">
        <v>0</v>
      </c>
      <c r="T418" s="309" t="s">
        <v>2661</v>
      </c>
      <c r="U418" s="309"/>
      <c r="V418" s="309" t="s">
        <v>13</v>
      </c>
      <c r="W418" s="308"/>
      <c r="X418" s="310">
        <v>44232.0</v>
      </c>
      <c r="Y418" s="310">
        <v>44238.0</v>
      </c>
      <c r="Z418" s="288"/>
      <c r="AA418" s="288"/>
      <c r="AB418" s="288"/>
      <c r="AC418" s="288"/>
      <c r="AD418" s="288"/>
      <c r="AE418" s="160"/>
      <c r="AF418" s="288"/>
      <c r="AG418" s="160"/>
      <c r="AH418" s="288"/>
      <c r="AI418" s="288"/>
      <c r="AJ418" s="288"/>
      <c r="AK418" s="288"/>
      <c r="AL418" s="288"/>
      <c r="AM418" s="288"/>
      <c r="AN418" s="288"/>
      <c r="AO418" s="288"/>
      <c r="AP418" s="150" t="s">
        <v>2663</v>
      </c>
      <c r="AQ418" s="288"/>
    </row>
    <row r="419">
      <c r="A419" s="150" t="s">
        <v>3689</v>
      </c>
      <c r="B419" s="150" t="s">
        <v>3690</v>
      </c>
      <c r="C419" s="175" t="str">
        <f>VLOOKUP(A419,Import!A:C,3,false)</f>
        <v>DOĞRU</v>
      </c>
      <c r="D419" s="150" t="s">
        <v>2696</v>
      </c>
      <c r="E419" s="280">
        <f>VLOOKUP(A419,Import!A:J,5,0)</f>
        <v>3223</v>
      </c>
      <c r="F419" s="280">
        <f>VLOOKUP(A419,Import!A:J,6,0)</f>
        <v>114</v>
      </c>
      <c r="G419" s="289">
        <f>VLOOKUP(A419,Import!A:J,7,0)</f>
        <v>0</v>
      </c>
      <c r="H419" s="289">
        <f>VLOOKUP(A419,Import!A:J,8,0)</f>
        <v>67</v>
      </c>
      <c r="I419" s="289">
        <f>VLOOKUP(A419,Import!A:J,9,0)</f>
        <v>67</v>
      </c>
      <c r="J419" s="282">
        <f>VLOOKUP(A419,Import!A:J,10,0)</f>
        <v>0</v>
      </c>
      <c r="K419" s="244" t="str">
        <f>VLOOKUP(A419,Import!A:P,11,0)</f>
        <v>KERİM BEBİK</v>
      </c>
      <c r="L419" s="150">
        <v>5.068883962E9</v>
      </c>
      <c r="M419" s="150" t="s">
        <v>1450</v>
      </c>
      <c r="N419" s="150" t="s">
        <v>2905</v>
      </c>
      <c r="O419" s="150" t="s">
        <v>3691</v>
      </c>
      <c r="P419" s="244" t="str">
        <f>VLOOKUP(A419,Import!A:P,16,0)</f>
        <v>Geleneksel</v>
      </c>
      <c r="Q419" s="291"/>
      <c r="R419" s="292" t="b">
        <v>1</v>
      </c>
      <c r="S419" s="293" t="b">
        <v>0</v>
      </c>
      <c r="T419" s="149" t="s">
        <v>2688</v>
      </c>
      <c r="U419" s="296"/>
      <c r="V419" s="296"/>
      <c r="W419" s="149" t="s">
        <v>3692</v>
      </c>
      <c r="X419" s="297"/>
      <c r="Y419" s="297"/>
      <c r="Z419" s="288"/>
      <c r="AA419" s="165" t="s">
        <v>2688</v>
      </c>
      <c r="AB419" s="295">
        <v>44531.0</v>
      </c>
      <c r="AC419" s="165" t="s">
        <v>2688</v>
      </c>
      <c r="AD419" s="295">
        <v>44536.0</v>
      </c>
      <c r="AE419" s="160"/>
      <c r="AF419" s="288"/>
      <c r="AG419" s="160"/>
      <c r="AH419" s="288"/>
      <c r="AI419" s="288"/>
      <c r="AJ419" s="288"/>
      <c r="AK419" s="165" t="s">
        <v>1715</v>
      </c>
      <c r="AL419" s="165" t="s">
        <v>1715</v>
      </c>
      <c r="AM419" s="288"/>
      <c r="AN419" s="288"/>
      <c r="AO419" s="288"/>
      <c r="AP419" s="150" t="s">
        <v>2663</v>
      </c>
      <c r="AQ419" s="288"/>
    </row>
    <row r="420">
      <c r="A420" s="147" t="s">
        <v>1239</v>
      </c>
      <c r="B420" s="147" t="s">
        <v>1240</v>
      </c>
      <c r="C420" s="175" t="str">
        <f>VLOOKUP(A420,Import!A:C,3,false)</f>
        <v>DOĞRU</v>
      </c>
      <c r="D420" s="147" t="s">
        <v>2672</v>
      </c>
      <c r="E420" s="280">
        <f>VLOOKUP(A420,Import!A:J,5,0)</f>
        <v>915</v>
      </c>
      <c r="F420" s="280">
        <f>VLOOKUP(A420,Import!A:J,6,0)</f>
        <v>20</v>
      </c>
      <c r="G420" s="289">
        <f>VLOOKUP(A420,Import!A:J,7,0)</f>
        <v>12</v>
      </c>
      <c r="H420" s="289">
        <f>VLOOKUP(A420,Import!A:J,8,0)</f>
        <v>5</v>
      </c>
      <c r="I420" s="289">
        <f>VLOOKUP(A420,Import!A:J,9,0)</f>
        <v>17</v>
      </c>
      <c r="J420" s="282">
        <f>VLOOKUP(A420,Import!A:J,10,0)</f>
        <v>0.71</v>
      </c>
      <c r="K420" s="244" t="str">
        <f>VLOOKUP(A420,Import!A:P,11,0)</f>
        <v>Mehmet Cavat Keskin</v>
      </c>
      <c r="L420" s="147">
        <v>2.222206867E9</v>
      </c>
      <c r="M420" s="147" t="s">
        <v>1450</v>
      </c>
      <c r="N420" s="147" t="s">
        <v>2700</v>
      </c>
      <c r="O420" s="147" t="s">
        <v>1242</v>
      </c>
      <c r="P420" s="244" t="str">
        <f>VLOOKUP(A420,Import!A:P,16,0)</f>
        <v>Geleneksel</v>
      </c>
      <c r="Q420" s="330"/>
      <c r="R420" s="292" t="b">
        <v>1</v>
      </c>
      <c r="S420" s="293" t="b">
        <v>0</v>
      </c>
      <c r="T420" s="149" t="s">
        <v>2661</v>
      </c>
      <c r="U420" s="149" t="s">
        <v>819</v>
      </c>
      <c r="V420" s="149" t="s">
        <v>13</v>
      </c>
      <c r="X420" s="294">
        <v>44305.0</v>
      </c>
      <c r="Y420" s="294">
        <v>44306.0</v>
      </c>
      <c r="Z420" s="288"/>
      <c r="AA420" s="288"/>
      <c r="AB420" s="288"/>
      <c r="AC420" s="288"/>
      <c r="AD420" s="288"/>
      <c r="AE420" s="160"/>
      <c r="AF420" s="288"/>
      <c r="AG420" s="160"/>
      <c r="AH420" s="288"/>
      <c r="AI420" s="288"/>
      <c r="AJ420" s="288"/>
      <c r="AK420" s="288"/>
      <c r="AL420" s="288"/>
      <c r="AM420" s="288"/>
      <c r="AN420" s="288"/>
      <c r="AO420" s="288"/>
      <c r="AP420" s="150" t="s">
        <v>2663</v>
      </c>
      <c r="AQ420" s="288"/>
    </row>
    <row r="421">
      <c r="A421" s="150" t="s">
        <v>1659</v>
      </c>
      <c r="B421" s="150" t="s">
        <v>1660</v>
      </c>
      <c r="C421" s="175" t="str">
        <f>VLOOKUP(A421,Import!A:C,3,false)</f>
        <v>DOĞRU</v>
      </c>
      <c r="D421" s="150" t="s">
        <v>2672</v>
      </c>
      <c r="E421" s="280">
        <f>VLOOKUP(A421,Import!A:J,5,0)</f>
        <v>168</v>
      </c>
      <c r="F421" s="280">
        <f>VLOOKUP(A421,Import!A:J,6,0)</f>
        <v>2</v>
      </c>
      <c r="G421" s="289">
        <f>VLOOKUP(A421,Import!A:J,7,0)</f>
        <v>3</v>
      </c>
      <c r="H421" s="289">
        <f>VLOOKUP(A421,Import!A:J,8,0)</f>
        <v>10</v>
      </c>
      <c r="I421" s="289">
        <f>VLOOKUP(A421,Import!A:J,9,0)</f>
        <v>13</v>
      </c>
      <c r="J421" s="282">
        <f>VLOOKUP(A421,Import!A:J,10,0)</f>
        <v>0.23</v>
      </c>
      <c r="K421" s="244" t="str">
        <f>VLOOKUP(A421,Import!A:P,11,0)</f>
        <v>Halil Yılmaz</v>
      </c>
      <c r="L421" s="150">
        <v>5.528245164E9</v>
      </c>
      <c r="M421" s="150" t="s">
        <v>1450</v>
      </c>
      <c r="N421" s="150" t="s">
        <v>2700</v>
      </c>
      <c r="O421" s="150" t="s">
        <v>1663</v>
      </c>
      <c r="P421" s="244" t="str">
        <f>VLOOKUP(A421,Import!A:P,16,0)</f>
        <v>Geleneksel</v>
      </c>
      <c r="Q421" s="291"/>
      <c r="R421" s="292" t="b">
        <v>1</v>
      </c>
      <c r="S421" s="293" t="b">
        <v>0</v>
      </c>
      <c r="T421" s="149" t="s">
        <v>2661</v>
      </c>
      <c r="U421" s="149" t="s">
        <v>943</v>
      </c>
      <c r="V421" s="149" t="s">
        <v>3693</v>
      </c>
      <c r="W421" s="149" t="s">
        <v>3694</v>
      </c>
      <c r="X421" s="294">
        <v>44509.0</v>
      </c>
      <c r="Y421" s="294">
        <v>44510.0</v>
      </c>
      <c r="Z421" s="288"/>
      <c r="AA421" s="165" t="s">
        <v>2669</v>
      </c>
      <c r="AB421" s="295">
        <v>44482.0</v>
      </c>
      <c r="AC421" s="165" t="s">
        <v>2669</v>
      </c>
      <c r="AD421" s="295">
        <v>44509.0</v>
      </c>
      <c r="AE421" s="165" t="s">
        <v>2669</v>
      </c>
      <c r="AF421" s="295">
        <v>44540.0</v>
      </c>
      <c r="AG421" s="160"/>
      <c r="AH421" s="288"/>
      <c r="AI421" s="288"/>
      <c r="AJ421" s="288"/>
      <c r="AK421" s="165" t="s">
        <v>943</v>
      </c>
      <c r="AL421" s="165" t="s">
        <v>943</v>
      </c>
      <c r="AM421" s="165" t="s">
        <v>1911</v>
      </c>
      <c r="AN421" s="288"/>
      <c r="AO421" s="288"/>
      <c r="AP421" s="150" t="s">
        <v>2663</v>
      </c>
      <c r="AQ421" s="288"/>
    </row>
    <row r="422">
      <c r="A422" s="150" t="s">
        <v>3695</v>
      </c>
      <c r="B422" s="150" t="s">
        <v>3696</v>
      </c>
      <c r="C422" s="175" t="str">
        <f>VLOOKUP(A422,Import!A:C,3,false)</f>
        <v>DOĞRU</v>
      </c>
      <c r="D422" s="150" t="s">
        <v>2664</v>
      </c>
      <c r="E422" s="280" t="str">
        <f>VLOOKUP(A422,Import!A:J,5,0)</f>
        <v/>
      </c>
      <c r="F422" s="280" t="str">
        <f>VLOOKUP(A422,Import!A:J,6,0)</f>
        <v/>
      </c>
      <c r="G422" s="289">
        <f>VLOOKUP(A422,Import!A:J,7,0)</f>
        <v>0</v>
      </c>
      <c r="H422" s="289">
        <f>VLOOKUP(A422,Import!A:J,8,0)</f>
        <v>6</v>
      </c>
      <c r="I422" s="289">
        <f>VLOOKUP(A422,Import!A:J,9,0)</f>
        <v>6</v>
      </c>
      <c r="J422" s="282">
        <f>VLOOKUP(A422,Import!A:J,10,0)</f>
        <v>0</v>
      </c>
      <c r="K422" s="150" t="s">
        <v>3697</v>
      </c>
      <c r="L422" s="150">
        <v>5.528265326E9</v>
      </c>
      <c r="M422" s="150" t="s">
        <v>2666</v>
      </c>
      <c r="N422" s="150" t="s">
        <v>2667</v>
      </c>
      <c r="O422" s="150" t="s">
        <v>1975</v>
      </c>
      <c r="P422" s="244" t="str">
        <f>VLOOKUP(A422,Import!A:P,16,0)</f>
        <v>Geleneksel</v>
      </c>
      <c r="Q422" s="291"/>
      <c r="R422" s="292" t="b">
        <v>0</v>
      </c>
      <c r="S422" s="293" t="b">
        <v>0</v>
      </c>
      <c r="T422" s="149"/>
      <c r="U422" s="296"/>
      <c r="V422" s="296"/>
      <c r="W422" s="149"/>
      <c r="X422" s="297"/>
      <c r="Y422" s="297"/>
      <c r="Z422" s="288"/>
      <c r="AA422" s="165"/>
      <c r="AB422" s="295"/>
      <c r="AC422" s="288"/>
      <c r="AD422" s="288"/>
      <c r="AE422" s="160"/>
      <c r="AF422" s="288"/>
      <c r="AG422" s="160"/>
      <c r="AH422" s="288"/>
      <c r="AI422" s="288"/>
      <c r="AJ422" s="288"/>
      <c r="AK422" s="165"/>
      <c r="AL422" s="288"/>
      <c r="AM422" s="288"/>
      <c r="AN422" s="288"/>
      <c r="AO422" s="165"/>
      <c r="AP422" s="150"/>
      <c r="AQ422" s="165"/>
    </row>
    <row r="423">
      <c r="A423" s="150" t="s">
        <v>1582</v>
      </c>
      <c r="B423" s="150" t="s">
        <v>1583</v>
      </c>
      <c r="C423" s="175" t="str">
        <f>VLOOKUP(A423,Import!A:C,3,false)</f>
        <v>DOĞRU</v>
      </c>
      <c r="D423" s="150" t="s">
        <v>2696</v>
      </c>
      <c r="E423" s="280">
        <f>VLOOKUP(A423,Import!A:J,5,0)</f>
        <v>256</v>
      </c>
      <c r="F423" s="280">
        <f>VLOOKUP(A423,Import!A:J,6,0)</f>
        <v>5</v>
      </c>
      <c r="G423" s="289">
        <f>VLOOKUP(A423,Import!A:J,7,0)</f>
        <v>5</v>
      </c>
      <c r="H423" s="289">
        <f>VLOOKUP(A423,Import!A:J,8,0)</f>
        <v>2</v>
      </c>
      <c r="I423" s="289">
        <f>VLOOKUP(A423,Import!A:J,9,0)</f>
        <v>7</v>
      </c>
      <c r="J423" s="282">
        <f>VLOOKUP(A423,Import!A:J,10,0)</f>
        <v>0.71</v>
      </c>
      <c r="K423" s="244" t="str">
        <f>VLOOKUP(A423,Import!A:P,11,0)</f>
        <v>Kadir Koç</v>
      </c>
      <c r="L423" s="150">
        <v>2.222200992E9</v>
      </c>
      <c r="M423" s="150" t="s">
        <v>2666</v>
      </c>
      <c r="N423" s="150" t="s">
        <v>2667</v>
      </c>
      <c r="O423" s="150" t="s">
        <v>1585</v>
      </c>
      <c r="P423" s="244" t="str">
        <f>VLOOKUP(A423,Import!A:P,16,0)</f>
        <v>Geleneksel</v>
      </c>
      <c r="Q423" s="291"/>
      <c r="R423" s="292" t="b">
        <v>1</v>
      </c>
      <c r="S423" s="293" t="b">
        <v>0</v>
      </c>
      <c r="T423" s="149" t="s">
        <v>2661</v>
      </c>
      <c r="U423" s="149" t="s">
        <v>3416</v>
      </c>
      <c r="V423" s="296"/>
      <c r="W423" s="149"/>
      <c r="X423" s="294">
        <v>44384.0</v>
      </c>
      <c r="Y423" s="294">
        <v>44385.0</v>
      </c>
      <c r="Z423" s="165" t="s">
        <v>2907</v>
      </c>
      <c r="AA423" s="165" t="s">
        <v>2669</v>
      </c>
      <c r="AB423" s="295">
        <v>44384.0</v>
      </c>
      <c r="AC423" s="288"/>
      <c r="AD423" s="288"/>
      <c r="AE423" s="160"/>
      <c r="AF423" s="288"/>
      <c r="AG423" s="160"/>
      <c r="AH423" s="288"/>
      <c r="AI423" s="288"/>
      <c r="AJ423" s="288"/>
      <c r="AK423" s="165" t="s">
        <v>3416</v>
      </c>
      <c r="AL423" s="288"/>
      <c r="AM423" s="288"/>
      <c r="AN423" s="288"/>
      <c r="AO423" s="288"/>
      <c r="AP423" s="150" t="s">
        <v>2663</v>
      </c>
      <c r="AQ423" s="288"/>
    </row>
    <row r="424">
      <c r="A424" s="150" t="s">
        <v>3698</v>
      </c>
      <c r="B424" s="150" t="s">
        <v>3699</v>
      </c>
      <c r="C424" s="175" t="str">
        <f>VLOOKUP(A424,Import!A:C,3,false)</f>
        <v>DOĞRU</v>
      </c>
      <c r="D424" s="150" t="s">
        <v>2658</v>
      </c>
      <c r="E424" s="280">
        <f>VLOOKUP(A424,Import!A:J,5,0)</f>
        <v>554</v>
      </c>
      <c r="F424" s="280">
        <f>VLOOKUP(A424,Import!A:J,6,0)</f>
        <v>17</v>
      </c>
      <c r="G424" s="289">
        <f>VLOOKUP(A424,Import!A:J,7,0)</f>
        <v>0</v>
      </c>
      <c r="H424" s="289">
        <f>VLOOKUP(A424,Import!A:J,8,0)</f>
        <v>9</v>
      </c>
      <c r="I424" s="289">
        <f>VLOOKUP(A424,Import!A:J,9,0)</f>
        <v>9</v>
      </c>
      <c r="J424" s="282">
        <f>VLOOKUP(A424,Import!A:J,10,0)</f>
        <v>0</v>
      </c>
      <c r="K424" s="244" t="str">
        <f>VLOOKUP(A424,Import!A:P,11,0)</f>
        <v>Yavuz Şentürk</v>
      </c>
      <c r="L424" s="150">
        <v>5.4614426E9</v>
      </c>
      <c r="M424" s="150" t="s">
        <v>2666</v>
      </c>
      <c r="N424" s="150" t="s">
        <v>3000</v>
      </c>
      <c r="O424" s="150" t="s">
        <v>3700</v>
      </c>
      <c r="P424" s="244" t="str">
        <f>VLOOKUP(A424,Import!A:P,16,0)</f>
        <v>Geleneksel</v>
      </c>
      <c r="Q424" s="291"/>
      <c r="R424" s="292" t="b">
        <v>1</v>
      </c>
      <c r="S424" s="293" t="b">
        <v>0</v>
      </c>
      <c r="T424" s="149"/>
      <c r="U424" s="296"/>
      <c r="V424" s="296"/>
      <c r="W424" s="149" t="s">
        <v>3701</v>
      </c>
      <c r="X424" s="297"/>
      <c r="Y424" s="297"/>
      <c r="Z424" s="288"/>
      <c r="AA424" s="165" t="s">
        <v>2693</v>
      </c>
      <c r="AB424" s="295">
        <v>44517.0</v>
      </c>
      <c r="AC424" s="165" t="s">
        <v>2772</v>
      </c>
      <c r="AD424" s="295">
        <v>44517.0</v>
      </c>
      <c r="AE424" s="165" t="s">
        <v>2693</v>
      </c>
      <c r="AF424" s="295">
        <v>44518.0</v>
      </c>
      <c r="AG424" s="165" t="s">
        <v>2693</v>
      </c>
      <c r="AH424" s="295">
        <v>44518.0</v>
      </c>
      <c r="AI424" s="165" t="s">
        <v>2693</v>
      </c>
      <c r="AJ424" s="295">
        <v>44518.0</v>
      </c>
      <c r="AK424" s="165" t="s">
        <v>1971</v>
      </c>
      <c r="AL424" s="165" t="s">
        <v>1791</v>
      </c>
      <c r="AM424" s="165" t="s">
        <v>1911</v>
      </c>
      <c r="AN424" s="165" t="s">
        <v>1911</v>
      </c>
      <c r="AO424" s="165" t="s">
        <v>1911</v>
      </c>
      <c r="AP424" s="150" t="s">
        <v>2663</v>
      </c>
      <c r="AQ424" s="165"/>
    </row>
    <row r="425">
      <c r="A425" s="150" t="s">
        <v>1636</v>
      </c>
      <c r="B425" s="150" t="s">
        <v>1637</v>
      </c>
      <c r="C425" s="175" t="str">
        <f>VLOOKUP(A425,Import!A:C,3,false)</f>
        <v>DOĞRU</v>
      </c>
      <c r="D425" s="150" t="s">
        <v>2658</v>
      </c>
      <c r="E425" s="280">
        <f>VLOOKUP(A425,Import!A:J,5,0)</f>
        <v>440</v>
      </c>
      <c r="F425" s="280">
        <f>VLOOKUP(A425,Import!A:J,6,0)</f>
        <v>42</v>
      </c>
      <c r="G425" s="289">
        <f>VLOOKUP(A425,Import!A:J,7,0)</f>
        <v>2</v>
      </c>
      <c r="H425" s="289">
        <f>VLOOKUP(A425,Import!A:J,8,0)</f>
        <v>1</v>
      </c>
      <c r="I425" s="289">
        <f>VLOOKUP(A425,Import!A:J,9,0)</f>
        <v>3</v>
      </c>
      <c r="J425" s="282">
        <f>VLOOKUP(A425,Import!A:J,10,0)</f>
        <v>0.67</v>
      </c>
      <c r="K425" s="244" t="str">
        <f>VLOOKUP(A425,Import!A:P,11,0)</f>
        <v>Mehmet Kurşun</v>
      </c>
      <c r="L425" s="150">
        <v>5.434232985E9</v>
      </c>
      <c r="M425" s="150" t="s">
        <v>1450</v>
      </c>
      <c r="N425" s="150" t="s">
        <v>3189</v>
      </c>
      <c r="O425" s="150" t="s">
        <v>1640</v>
      </c>
      <c r="P425" s="244" t="str">
        <f>VLOOKUP(A425,Import!A:P,16,0)</f>
        <v>Geleneksel</v>
      </c>
      <c r="Q425" s="291"/>
      <c r="R425" s="292" t="b">
        <v>1</v>
      </c>
      <c r="S425" s="293" t="b">
        <v>0</v>
      </c>
      <c r="T425" s="149" t="s">
        <v>2661</v>
      </c>
      <c r="U425" s="149" t="s">
        <v>2161</v>
      </c>
      <c r="V425" s="313" t="s">
        <v>1609</v>
      </c>
      <c r="W425" s="165" t="s">
        <v>2193</v>
      </c>
      <c r="X425" s="294">
        <v>44541.0</v>
      </c>
      <c r="Y425" s="294">
        <v>44547.0</v>
      </c>
      <c r="Z425" s="288"/>
      <c r="AA425" s="165" t="s">
        <v>2669</v>
      </c>
      <c r="AB425" s="295">
        <v>44481.0</v>
      </c>
      <c r="AC425" s="165" t="s">
        <v>2772</v>
      </c>
      <c r="AD425" s="295">
        <v>44508.0</v>
      </c>
      <c r="AE425" s="165" t="s">
        <v>2669</v>
      </c>
      <c r="AF425" s="295">
        <v>44541.0</v>
      </c>
      <c r="AG425" s="160"/>
      <c r="AH425" s="288"/>
      <c r="AI425" s="288"/>
      <c r="AJ425" s="288"/>
      <c r="AK425" s="165" t="s">
        <v>1621</v>
      </c>
      <c r="AL425" s="165" t="s">
        <v>1621</v>
      </c>
      <c r="AM425" s="165" t="s">
        <v>2161</v>
      </c>
      <c r="AN425" s="288"/>
      <c r="AO425" s="288"/>
      <c r="AP425" s="150" t="s">
        <v>2663</v>
      </c>
      <c r="AQ425" s="288"/>
    </row>
    <row r="426">
      <c r="A426" s="150" t="s">
        <v>778</v>
      </c>
      <c r="B426" s="150" t="s">
        <v>779</v>
      </c>
      <c r="C426" s="175" t="str">
        <f>VLOOKUP(A426,Import!A:C,3,false)</f>
        <v>DOĞRU</v>
      </c>
      <c r="D426" s="150" t="s">
        <v>2763</v>
      </c>
      <c r="E426" s="280">
        <f>VLOOKUP(A426,Import!A:J,5,0)</f>
        <v>446</v>
      </c>
      <c r="F426" s="280">
        <f>VLOOKUP(A426,Import!A:J,6,0)</f>
        <v>30</v>
      </c>
      <c r="G426" s="289">
        <f>VLOOKUP(A426,Import!A:J,7,0)</f>
        <v>9</v>
      </c>
      <c r="H426" s="289">
        <f>VLOOKUP(A426,Import!A:J,8,0)</f>
        <v>22</v>
      </c>
      <c r="I426" s="289">
        <f>VLOOKUP(A426,Import!A:J,9,0)</f>
        <v>31</v>
      </c>
      <c r="J426" s="282">
        <f>VLOOKUP(A426,Import!A:J,10,0)</f>
        <v>0.29</v>
      </c>
      <c r="K426" s="244" t="str">
        <f>VLOOKUP(A426,Import!A:P,11,0)</f>
        <v>AYFER ALPHAN</v>
      </c>
      <c r="L426" s="150">
        <v>5.41786107E8</v>
      </c>
      <c r="M426" s="150" t="s">
        <v>1450</v>
      </c>
      <c r="N426" s="150" t="s">
        <v>2705</v>
      </c>
      <c r="O426" s="150" t="s">
        <v>782</v>
      </c>
      <c r="P426" s="244" t="str">
        <f>VLOOKUP(A426,Import!A:P,16,0)</f>
        <v>Geleneksel</v>
      </c>
      <c r="Q426" s="315" t="s">
        <v>2760</v>
      </c>
      <c r="R426" s="292" t="b">
        <v>1</v>
      </c>
      <c r="S426" s="293" t="b">
        <v>0</v>
      </c>
      <c r="T426" s="149" t="s">
        <v>2661</v>
      </c>
      <c r="U426" s="149"/>
      <c r="V426" s="149" t="s">
        <v>31</v>
      </c>
      <c r="W426" s="149" t="s">
        <v>3702</v>
      </c>
      <c r="X426" s="294">
        <v>44251.0</v>
      </c>
      <c r="Y426" s="294">
        <v>44253.0</v>
      </c>
      <c r="Z426" s="288"/>
      <c r="AA426" s="288"/>
      <c r="AB426" s="288"/>
      <c r="AC426" s="288"/>
      <c r="AD426" s="288"/>
      <c r="AE426" s="160"/>
      <c r="AF426" s="288"/>
      <c r="AG426" s="160"/>
      <c r="AH426" s="288"/>
      <c r="AI426" s="288"/>
      <c r="AJ426" s="288"/>
      <c r="AK426" s="288"/>
      <c r="AL426" s="288"/>
      <c r="AM426" s="288"/>
      <c r="AN426" s="288"/>
      <c r="AO426" s="288"/>
      <c r="AP426" s="150" t="s">
        <v>2663</v>
      </c>
      <c r="AQ426" s="288"/>
    </row>
    <row r="427">
      <c r="A427" s="150" t="s">
        <v>3703</v>
      </c>
      <c r="B427" s="150" t="s">
        <v>3704</v>
      </c>
      <c r="C427" s="175" t="str">
        <f>VLOOKUP(A427,Import!A:C,3,false)</f>
        <v>DOĞRU</v>
      </c>
      <c r="D427" s="150" t="s">
        <v>2743</v>
      </c>
      <c r="E427" s="280">
        <f>VLOOKUP(A427,Import!A:J,5,0)</f>
        <v>41</v>
      </c>
      <c r="F427" s="280">
        <f>VLOOKUP(A427,Import!A:J,6,0)</f>
        <v>21</v>
      </c>
      <c r="G427" s="289">
        <f>VLOOKUP(A427,Import!A:J,7,0)</f>
        <v>0</v>
      </c>
      <c r="H427" s="289">
        <f>VLOOKUP(A427,Import!A:J,8,0)</f>
        <v>22</v>
      </c>
      <c r="I427" s="289">
        <f>VLOOKUP(A427,Import!A:J,9,0)</f>
        <v>22</v>
      </c>
      <c r="J427" s="282">
        <f>VLOOKUP(A427,Import!A:J,10,0)</f>
        <v>0</v>
      </c>
      <c r="K427" s="290" t="s">
        <v>3705</v>
      </c>
      <c r="L427" s="150">
        <v>5.07439698E9</v>
      </c>
      <c r="M427" s="150" t="s">
        <v>1450</v>
      </c>
      <c r="N427" s="150" t="s">
        <v>2659</v>
      </c>
      <c r="O427" s="150" t="s">
        <v>3706</v>
      </c>
      <c r="P427" s="244" t="str">
        <f>VLOOKUP(A427,Import!A:P,16,0)</f>
        <v>Geleneksel</v>
      </c>
      <c r="Q427" s="291"/>
      <c r="R427" s="292" t="b">
        <v>0</v>
      </c>
      <c r="S427" s="293" t="b">
        <v>0</v>
      </c>
      <c r="T427" s="149"/>
      <c r="U427" s="296"/>
      <c r="V427" s="296"/>
      <c r="W427" s="149"/>
      <c r="X427" s="297"/>
      <c r="Y427" s="297"/>
      <c r="Z427" s="288"/>
      <c r="AA427" s="165"/>
      <c r="AB427" s="295"/>
      <c r="AC427" s="288"/>
      <c r="AD427" s="288"/>
      <c r="AE427" s="160"/>
      <c r="AF427" s="288"/>
      <c r="AG427" s="160"/>
      <c r="AH427" s="288"/>
      <c r="AI427" s="288"/>
      <c r="AJ427" s="288"/>
      <c r="AK427" s="165"/>
      <c r="AL427" s="288"/>
      <c r="AM427" s="288"/>
      <c r="AN427" s="288"/>
      <c r="AO427" s="165"/>
      <c r="AP427" s="150"/>
      <c r="AQ427" s="165"/>
    </row>
    <row r="428">
      <c r="A428" s="150" t="s">
        <v>1814</v>
      </c>
      <c r="B428" s="150" t="s">
        <v>1815</v>
      </c>
      <c r="C428" s="175" t="str">
        <f>VLOOKUP(A428,Import!A:C,3,false)</f>
        <v>DOĞRU</v>
      </c>
      <c r="D428" s="150" t="s">
        <v>2763</v>
      </c>
      <c r="E428" s="280">
        <f>VLOOKUP(A428,Import!A:J,5,0)</f>
        <v>1235</v>
      </c>
      <c r="F428" s="280">
        <f>VLOOKUP(A428,Import!A:J,6,0)</f>
        <v>89</v>
      </c>
      <c r="G428" s="289">
        <f>VLOOKUP(A428,Import!A:J,7,0)</f>
        <v>6</v>
      </c>
      <c r="H428" s="289">
        <f>VLOOKUP(A428,Import!A:J,8,0)</f>
        <v>7</v>
      </c>
      <c r="I428" s="289">
        <f>VLOOKUP(A428,Import!A:J,9,0)</f>
        <v>13</v>
      </c>
      <c r="J428" s="282">
        <f>VLOOKUP(A428,Import!A:J,10,0)</f>
        <v>0.46</v>
      </c>
      <c r="K428" s="290" t="s">
        <v>3707</v>
      </c>
      <c r="L428" s="150">
        <v>5.348161599E9</v>
      </c>
      <c r="M428" s="150" t="s">
        <v>1450</v>
      </c>
      <c r="N428" s="150" t="s">
        <v>2732</v>
      </c>
      <c r="O428" s="150" t="s">
        <v>1817</v>
      </c>
      <c r="P428" s="244" t="str">
        <f>VLOOKUP(A428,Import!A:P,16,0)</f>
        <v>Geleneksel</v>
      </c>
      <c r="Q428" s="291"/>
      <c r="R428" s="292" t="b">
        <v>1</v>
      </c>
      <c r="S428" s="293" t="b">
        <v>0</v>
      </c>
      <c r="T428" s="149" t="s">
        <v>2661</v>
      </c>
      <c r="U428" s="149" t="s">
        <v>1715</v>
      </c>
      <c r="V428" s="149" t="s">
        <v>2783</v>
      </c>
      <c r="W428" s="149"/>
      <c r="X428" s="294">
        <v>44497.0</v>
      </c>
      <c r="Y428" s="294">
        <v>44498.0</v>
      </c>
      <c r="Z428" s="288"/>
      <c r="AA428" s="165" t="s">
        <v>2669</v>
      </c>
      <c r="AB428" s="295">
        <v>44497.0</v>
      </c>
      <c r="AC428" s="288"/>
      <c r="AD428" s="288"/>
      <c r="AE428" s="160"/>
      <c r="AF428" s="288"/>
      <c r="AG428" s="160"/>
      <c r="AH428" s="288"/>
      <c r="AI428" s="288"/>
      <c r="AJ428" s="288"/>
      <c r="AK428" s="165" t="s">
        <v>1715</v>
      </c>
      <c r="AL428" s="288"/>
      <c r="AM428" s="288"/>
      <c r="AN428" s="288"/>
      <c r="AO428" s="288"/>
      <c r="AP428" s="150" t="s">
        <v>2663</v>
      </c>
      <c r="AQ428" s="288"/>
    </row>
    <row r="429">
      <c r="A429" s="150" t="s">
        <v>2529</v>
      </c>
      <c r="B429" s="150" t="s">
        <v>2530</v>
      </c>
      <c r="C429" s="175" t="str">
        <f>VLOOKUP(A429,Import!A:C,3,false)</f>
        <v>DOĞRU</v>
      </c>
      <c r="D429" s="150" t="s">
        <v>2696</v>
      </c>
      <c r="E429" s="280">
        <f>VLOOKUP(A429,Import!A:J,5,0)</f>
        <v>8208</v>
      </c>
      <c r="F429" s="280">
        <f>VLOOKUP(A429,Import!A:J,6,0)</f>
        <v>893</v>
      </c>
      <c r="G429" s="289">
        <f>VLOOKUP(A429,Import!A:J,7,0)</f>
        <v>20</v>
      </c>
      <c r="H429" s="289">
        <f>VLOOKUP(A429,Import!A:J,8,0)</f>
        <v>68</v>
      </c>
      <c r="I429" s="289">
        <f>VLOOKUP(A429,Import!A:J,9,0)</f>
        <v>88</v>
      </c>
      <c r="J429" s="282">
        <f>VLOOKUP(A429,Import!A:J,10,0)</f>
        <v>0.23</v>
      </c>
      <c r="K429" s="244" t="str">
        <f>VLOOKUP(A429,Import!A:P,11,0)</f>
        <v>Semanur Erbay</v>
      </c>
      <c r="L429" s="150">
        <v>2.223226252E9</v>
      </c>
      <c r="M429" s="150" t="s">
        <v>2666</v>
      </c>
      <c r="N429" s="150" t="s">
        <v>2801</v>
      </c>
      <c r="O429" s="150" t="s">
        <v>2532</v>
      </c>
      <c r="P429" s="244" t="str">
        <f>VLOOKUP(A429,Import!A:P,16,0)</f>
        <v>Geleneksel</v>
      </c>
      <c r="Q429" s="291" t="s">
        <v>2713</v>
      </c>
      <c r="R429" s="292" t="b">
        <v>1</v>
      </c>
      <c r="S429" s="293" t="b">
        <v>0</v>
      </c>
      <c r="T429" s="149" t="s">
        <v>2661</v>
      </c>
      <c r="U429" s="149" t="s">
        <v>943</v>
      </c>
      <c r="V429" s="356" t="s">
        <v>1609</v>
      </c>
      <c r="X429" s="294">
        <v>44622.0</v>
      </c>
      <c r="Y429" s="294">
        <v>44623.0</v>
      </c>
      <c r="Z429" s="288"/>
      <c r="AA429" s="165" t="s">
        <v>2772</v>
      </c>
      <c r="AB429" s="295">
        <v>44490.0</v>
      </c>
      <c r="AC429" s="165" t="s">
        <v>2699</v>
      </c>
      <c r="AD429" s="295">
        <v>44516.0</v>
      </c>
      <c r="AE429" s="165" t="s">
        <v>2669</v>
      </c>
      <c r="AF429" s="295">
        <v>44622.0</v>
      </c>
      <c r="AG429" s="160"/>
      <c r="AH429" s="288"/>
      <c r="AI429" s="288"/>
      <c r="AJ429" s="288"/>
      <c r="AK429" s="165" t="s">
        <v>1754</v>
      </c>
      <c r="AL429" s="165" t="s">
        <v>1621</v>
      </c>
      <c r="AM429" s="165" t="s">
        <v>943</v>
      </c>
      <c r="AN429" s="288"/>
      <c r="AO429" s="288"/>
      <c r="AP429" s="150" t="s">
        <v>2663</v>
      </c>
      <c r="AQ429" s="288"/>
    </row>
    <row r="430">
      <c r="A430" s="150" t="s">
        <v>3708</v>
      </c>
      <c r="B430" s="150" t="s">
        <v>3709</v>
      </c>
      <c r="C430" s="175" t="str">
        <f>VLOOKUP(A430,Import!A:C,3,false)</f>
        <v>DOĞRU</v>
      </c>
      <c r="D430" s="150" t="s">
        <v>2763</v>
      </c>
      <c r="E430" s="280">
        <f>VLOOKUP(A430,Import!A:J,5,0)</f>
        <v>1432</v>
      </c>
      <c r="F430" s="280">
        <f>VLOOKUP(A430,Import!A:J,6,0)</f>
        <v>177</v>
      </c>
      <c r="G430" s="289">
        <f>VLOOKUP(A430,Import!A:J,7,0)</f>
        <v>0</v>
      </c>
      <c r="H430" s="289">
        <f>VLOOKUP(A430,Import!A:J,8,0)</f>
        <v>34</v>
      </c>
      <c r="I430" s="289">
        <f>VLOOKUP(A430,Import!A:J,9,0)</f>
        <v>34</v>
      </c>
      <c r="J430" s="282">
        <f>VLOOKUP(A430,Import!A:J,10,0)</f>
        <v>0</v>
      </c>
      <c r="K430" s="290" t="s">
        <v>3710</v>
      </c>
      <c r="L430" s="150">
        <v>5.306143842E9</v>
      </c>
      <c r="M430" s="150" t="s">
        <v>2666</v>
      </c>
      <c r="N430" s="150" t="s">
        <v>2807</v>
      </c>
      <c r="O430" s="150" t="s">
        <v>3711</v>
      </c>
      <c r="P430" s="244" t="str">
        <f>VLOOKUP(A430,Import!A:P,16,0)</f>
        <v>Geleneksel</v>
      </c>
      <c r="Q430" s="291"/>
      <c r="R430" s="292" t="b">
        <v>1</v>
      </c>
      <c r="S430" s="293" t="b">
        <v>0</v>
      </c>
      <c r="T430" s="149" t="s">
        <v>2714</v>
      </c>
      <c r="U430" s="296"/>
      <c r="V430" s="296"/>
      <c r="W430" s="149" t="s">
        <v>3712</v>
      </c>
      <c r="X430" s="297"/>
      <c r="Y430" s="297"/>
      <c r="Z430" s="288"/>
      <c r="AA430" s="165" t="s">
        <v>2669</v>
      </c>
      <c r="AB430" s="295">
        <v>44522.0</v>
      </c>
      <c r="AC430" s="288"/>
      <c r="AD430" s="288"/>
      <c r="AE430" s="160"/>
      <c r="AF430" s="288"/>
      <c r="AG430" s="160"/>
      <c r="AH430" s="288"/>
      <c r="AI430" s="288"/>
      <c r="AJ430" s="288"/>
      <c r="AK430" s="165" t="s">
        <v>1715</v>
      </c>
      <c r="AL430" s="288"/>
      <c r="AM430" s="288"/>
      <c r="AN430" s="288"/>
      <c r="AO430" s="288"/>
      <c r="AP430" s="150" t="s">
        <v>2663</v>
      </c>
      <c r="AQ430" s="288"/>
    </row>
    <row r="431">
      <c r="A431" s="244" t="s">
        <v>760</v>
      </c>
      <c r="B431" s="244" t="s">
        <v>761</v>
      </c>
      <c r="C431" s="175" t="str">
        <f>VLOOKUP(A431,Import!A:C,3,false)</f>
        <v>DOĞRU</v>
      </c>
      <c r="D431" s="244" t="s">
        <v>2763</v>
      </c>
      <c r="E431" s="280">
        <f>VLOOKUP(A431,Import!A:J,5,0)</f>
        <v>902</v>
      </c>
      <c r="F431" s="280">
        <f>VLOOKUP(A431,Import!A:J,6,0)</f>
        <v>31</v>
      </c>
      <c r="G431" s="289">
        <f>VLOOKUP(A431,Import!A:J,7,0)</f>
        <v>8</v>
      </c>
      <c r="H431" s="289">
        <f>VLOOKUP(A431,Import!A:J,8,0)</f>
        <v>6</v>
      </c>
      <c r="I431" s="289">
        <f>VLOOKUP(A431,Import!A:J,9,0)</f>
        <v>14</v>
      </c>
      <c r="J431" s="282">
        <f>VLOOKUP(A431,Import!A:J,10,0)</f>
        <v>0.57</v>
      </c>
      <c r="K431" s="244" t="str">
        <f>VLOOKUP(A431,Import!A:P,11,0)</f>
        <v>Süleyman Tekin</v>
      </c>
      <c r="L431" s="280">
        <v>2.222253661E9</v>
      </c>
      <c r="M431" s="244" t="s">
        <v>1450</v>
      </c>
      <c r="N431" s="244" t="s">
        <v>2795</v>
      </c>
      <c r="O431" s="244" t="s">
        <v>763</v>
      </c>
      <c r="P431" s="244" t="str">
        <f>VLOOKUP(A431,Import!A:P,16,0)</f>
        <v>Geleneksel</v>
      </c>
      <c r="Q431" s="291" t="s">
        <v>2660</v>
      </c>
      <c r="R431" s="292" t="b">
        <v>1</v>
      </c>
      <c r="S431" s="293" t="b">
        <v>0</v>
      </c>
      <c r="T431" s="165" t="s">
        <v>2661</v>
      </c>
      <c r="U431" s="165"/>
      <c r="V431" s="165" t="s">
        <v>46</v>
      </c>
      <c r="W431" s="160"/>
      <c r="X431" s="295">
        <v>44245.0</v>
      </c>
      <c r="Y431" s="295">
        <v>44252.0</v>
      </c>
      <c r="Z431" s="288"/>
      <c r="AA431" s="288"/>
      <c r="AB431" s="288"/>
      <c r="AC431" s="288"/>
      <c r="AD431" s="288"/>
      <c r="AE431" s="160"/>
      <c r="AF431" s="288"/>
      <c r="AG431" s="160"/>
      <c r="AH431" s="288"/>
      <c r="AI431" s="288"/>
      <c r="AJ431" s="288"/>
      <c r="AK431" s="288"/>
      <c r="AL431" s="288"/>
      <c r="AM431" s="288"/>
      <c r="AN431" s="288"/>
      <c r="AO431" s="288"/>
      <c r="AP431" s="150" t="s">
        <v>2663</v>
      </c>
      <c r="AQ431" s="288"/>
    </row>
    <row r="432">
      <c r="A432" s="150" t="s">
        <v>3713</v>
      </c>
      <c r="B432" s="150" t="s">
        <v>3714</v>
      </c>
      <c r="C432" s="175" t="str">
        <f>VLOOKUP(A432,Import!A:C,3,false)</f>
        <v>DOĞRU</v>
      </c>
      <c r="D432" s="150" t="s">
        <v>2763</v>
      </c>
      <c r="E432" s="280">
        <f>VLOOKUP(A432,Import!A:J,5,0)</f>
        <v>18</v>
      </c>
      <c r="F432" s="280" t="str">
        <f>VLOOKUP(A432,Import!A:J,6,0)</f>
        <v/>
      </c>
      <c r="G432" s="289">
        <f>VLOOKUP(A432,Import!A:J,7,0)</f>
        <v>0</v>
      </c>
      <c r="H432" s="289">
        <f>VLOOKUP(A432,Import!A:J,8,0)</f>
        <v>19</v>
      </c>
      <c r="I432" s="289">
        <f>VLOOKUP(A432,Import!A:J,9,0)</f>
        <v>19</v>
      </c>
      <c r="J432" s="282">
        <f>VLOOKUP(A432,Import!A:J,10,0)</f>
        <v>0</v>
      </c>
      <c r="K432" s="290" t="s">
        <v>3715</v>
      </c>
      <c r="L432" s="150">
        <v>5.413662656E9</v>
      </c>
      <c r="M432" s="150" t="s">
        <v>2666</v>
      </c>
      <c r="N432" s="150" t="s">
        <v>2750</v>
      </c>
      <c r="O432" s="150" t="s">
        <v>3716</v>
      </c>
      <c r="P432" s="244" t="str">
        <f>VLOOKUP(A432,Import!A:P,16,0)</f>
        <v>Geleneksel</v>
      </c>
      <c r="Q432" s="291"/>
      <c r="R432" s="292" t="b">
        <v>1</v>
      </c>
      <c r="S432" s="293" t="b">
        <v>0</v>
      </c>
      <c r="T432" s="149"/>
      <c r="U432" s="296"/>
      <c r="V432" s="389"/>
      <c r="W432" s="149"/>
      <c r="X432" s="297"/>
      <c r="Y432" s="297"/>
      <c r="Z432" s="288"/>
      <c r="AA432" s="165" t="s">
        <v>2772</v>
      </c>
      <c r="AB432" s="295">
        <v>44625.0</v>
      </c>
      <c r="AC432" s="288"/>
      <c r="AD432" s="288"/>
      <c r="AE432" s="160"/>
      <c r="AF432" s="288"/>
      <c r="AG432" s="160"/>
      <c r="AH432" s="288"/>
      <c r="AI432" s="288"/>
      <c r="AJ432" s="288"/>
      <c r="AK432" s="165" t="s">
        <v>921</v>
      </c>
      <c r="AL432" s="288"/>
      <c r="AM432" s="288"/>
      <c r="AN432" s="288"/>
      <c r="AO432" s="165"/>
      <c r="AP432" s="150"/>
      <c r="AQ432" s="165"/>
    </row>
    <row r="433">
      <c r="A433" s="150" t="s">
        <v>3717</v>
      </c>
      <c r="B433" s="150" t="s">
        <v>3718</v>
      </c>
      <c r="C433" s="175" t="str">
        <f>VLOOKUP(A433,Import!A:C,3,false)</f>
        <v>DOĞRU</v>
      </c>
      <c r="D433" s="150" t="s">
        <v>2763</v>
      </c>
      <c r="E433" s="280">
        <f>VLOOKUP(A433,Import!A:J,5,0)</f>
        <v>12</v>
      </c>
      <c r="F433" s="280">
        <f>VLOOKUP(A433,Import!A:J,6,0)</f>
        <v>12</v>
      </c>
      <c r="G433" s="289">
        <f>VLOOKUP(A433,Import!A:J,7,0)</f>
        <v>0</v>
      </c>
      <c r="H433" s="289">
        <f>VLOOKUP(A433,Import!A:J,8,0)</f>
        <v>12</v>
      </c>
      <c r="I433" s="289">
        <f>VLOOKUP(A433,Import!A:J,9,0)</f>
        <v>12</v>
      </c>
      <c r="J433" s="282">
        <f>VLOOKUP(A433,Import!A:J,10,0)</f>
        <v>0</v>
      </c>
      <c r="K433" s="150" t="s">
        <v>3719</v>
      </c>
      <c r="L433" s="150">
        <v>2.2223125E9</v>
      </c>
      <c r="M433" s="150" t="s">
        <v>1450</v>
      </c>
      <c r="N433" s="150" t="s">
        <v>2659</v>
      </c>
      <c r="O433" s="150" t="s">
        <v>3720</v>
      </c>
      <c r="P433" s="244" t="str">
        <f>VLOOKUP(A433,Import!A:P,16,0)</f>
        <v>Geleneksel</v>
      </c>
      <c r="Q433" s="291"/>
      <c r="R433" s="292" t="b">
        <v>0</v>
      </c>
      <c r="S433" s="293" t="b">
        <v>0</v>
      </c>
      <c r="T433" s="149"/>
      <c r="U433" s="296"/>
      <c r="V433" s="296"/>
      <c r="W433" s="149"/>
      <c r="X433" s="297"/>
      <c r="Y433" s="297"/>
      <c r="Z433" s="288"/>
      <c r="AA433" s="165"/>
      <c r="AB433" s="295"/>
      <c r="AC433" s="288"/>
      <c r="AD433" s="288"/>
      <c r="AE433" s="160"/>
      <c r="AF433" s="288"/>
      <c r="AG433" s="160"/>
      <c r="AH433" s="288"/>
      <c r="AI433" s="288"/>
      <c r="AJ433" s="288"/>
      <c r="AK433" s="165"/>
      <c r="AL433" s="288"/>
      <c r="AM433" s="288"/>
      <c r="AN433" s="288"/>
      <c r="AO433" s="165"/>
      <c r="AP433" s="150"/>
      <c r="AQ433" s="165"/>
    </row>
    <row r="434">
      <c r="A434" s="244" t="s">
        <v>3721</v>
      </c>
      <c r="B434" s="244" t="s">
        <v>3722</v>
      </c>
      <c r="C434" s="175" t="str">
        <f>VLOOKUP(A434,Import!A:C,3,false)</f>
        <v>DOĞRU</v>
      </c>
      <c r="D434" s="244" t="s">
        <v>2658</v>
      </c>
      <c r="E434" s="280">
        <f>VLOOKUP(A434,Import!A:J,5,0)</f>
        <v>1627</v>
      </c>
      <c r="F434" s="280">
        <f>VLOOKUP(A434,Import!A:J,6,0)</f>
        <v>31</v>
      </c>
      <c r="G434" s="289">
        <f>VLOOKUP(A434,Import!A:J,7,0)</f>
        <v>0</v>
      </c>
      <c r="H434" s="289">
        <f>VLOOKUP(A434,Import!A:J,8,0)</f>
        <v>19</v>
      </c>
      <c r="I434" s="289">
        <f>VLOOKUP(A434,Import!A:J,9,0)</f>
        <v>19</v>
      </c>
      <c r="J434" s="282">
        <f>VLOOKUP(A434,Import!A:J,10,0)</f>
        <v>0</v>
      </c>
      <c r="K434" s="244" t="str">
        <f>VLOOKUP(A434,Import!A:P,11,0)</f>
        <v>İsmail Korkmaz</v>
      </c>
      <c r="L434" s="280">
        <v>5.455302526E9</v>
      </c>
      <c r="M434" s="244" t="s">
        <v>1450</v>
      </c>
      <c r="N434" s="244" t="s">
        <v>2703</v>
      </c>
      <c r="O434" s="244" t="s">
        <v>3723</v>
      </c>
      <c r="P434" s="244" t="str">
        <f>VLOOKUP(A434,Import!A:P,16,0)</f>
        <v>Geleneksel</v>
      </c>
      <c r="Q434" s="291" t="s">
        <v>2686</v>
      </c>
      <c r="R434" s="292" t="b">
        <v>1</v>
      </c>
      <c r="S434" s="293" t="b">
        <v>0</v>
      </c>
      <c r="T434" s="165" t="s">
        <v>2714</v>
      </c>
      <c r="U434" s="160"/>
      <c r="V434" s="160"/>
      <c r="W434" s="165" t="s">
        <v>2815</v>
      </c>
      <c r="X434" s="288"/>
      <c r="Y434" s="288"/>
      <c r="Z434" s="288"/>
      <c r="AA434" s="165" t="s">
        <v>2693</v>
      </c>
      <c r="AB434" s="295">
        <v>44379.0</v>
      </c>
      <c r="AC434" s="165" t="s">
        <v>2693</v>
      </c>
      <c r="AD434" s="295">
        <v>44578.0</v>
      </c>
      <c r="AE434" s="160"/>
      <c r="AF434" s="288"/>
      <c r="AG434" s="160"/>
      <c r="AH434" s="288"/>
      <c r="AI434" s="288"/>
      <c r="AJ434" s="288"/>
      <c r="AK434" s="165" t="s">
        <v>2718</v>
      </c>
      <c r="AL434" s="165" t="s">
        <v>943</v>
      </c>
      <c r="AM434" s="288"/>
      <c r="AN434" s="288"/>
      <c r="AO434" s="288"/>
      <c r="AP434" s="150" t="s">
        <v>2663</v>
      </c>
      <c r="AQ434" s="288"/>
    </row>
    <row r="435">
      <c r="A435" s="150" t="s">
        <v>3724</v>
      </c>
      <c r="B435" s="150" t="s">
        <v>3725</v>
      </c>
      <c r="C435" s="175" t="str">
        <f>VLOOKUP(A435,Import!A:C,3,false)</f>
        <v>DOĞRU</v>
      </c>
      <c r="D435" s="150" t="s">
        <v>2696</v>
      </c>
      <c r="E435" s="280">
        <f>VLOOKUP(A435,Import!A:J,5,0)</f>
        <v>14468</v>
      </c>
      <c r="F435" s="280">
        <f>VLOOKUP(A435,Import!A:J,6,0)</f>
        <v>300</v>
      </c>
      <c r="G435" s="289">
        <f>VLOOKUP(A435,Import!A:J,7,0)</f>
        <v>12</v>
      </c>
      <c r="H435" s="289">
        <f>VLOOKUP(A435,Import!A:J,8,0)</f>
        <v>60</v>
      </c>
      <c r="I435" s="289">
        <f>VLOOKUP(A435,Import!A:J,9,0)</f>
        <v>72</v>
      </c>
      <c r="J435" s="282">
        <f>VLOOKUP(A435,Import!A:J,10,0)</f>
        <v>0.17</v>
      </c>
      <c r="K435" s="244" t="str">
        <f>VLOOKUP(A435,Import!A:P,11,0)</f>
        <v>SEZER DEMİR</v>
      </c>
      <c r="L435" s="150">
        <v>5.525007171E9</v>
      </c>
      <c r="M435" s="150" t="s">
        <v>2666</v>
      </c>
      <c r="N435" s="150" t="s">
        <v>2667</v>
      </c>
      <c r="O435" s="150" t="s">
        <v>2765</v>
      </c>
      <c r="P435" s="244" t="str">
        <f>VLOOKUP(A435,Import!A:P,16,0)</f>
        <v>Geleneksel</v>
      </c>
      <c r="Q435" s="291" t="s">
        <v>2713</v>
      </c>
      <c r="R435" s="292" t="b">
        <v>1</v>
      </c>
      <c r="S435" s="293" t="b">
        <v>0</v>
      </c>
      <c r="T435" s="149" t="s">
        <v>2770</v>
      </c>
      <c r="U435" s="296"/>
      <c r="V435" s="296"/>
      <c r="W435" s="149" t="s">
        <v>3726</v>
      </c>
      <c r="X435" s="297"/>
      <c r="Y435" s="297"/>
      <c r="Z435" s="165" t="s">
        <v>2907</v>
      </c>
      <c r="AA435" s="165" t="s">
        <v>2772</v>
      </c>
      <c r="AB435" s="295">
        <v>44517.0</v>
      </c>
      <c r="AC435" s="165" t="s">
        <v>2693</v>
      </c>
      <c r="AD435" s="295">
        <v>44518.0</v>
      </c>
      <c r="AE435" s="165" t="s">
        <v>2772</v>
      </c>
      <c r="AF435" s="295">
        <v>44530.0</v>
      </c>
      <c r="AG435" s="165" t="s">
        <v>2772</v>
      </c>
      <c r="AH435" s="295">
        <v>44641.0</v>
      </c>
      <c r="AI435" s="288"/>
      <c r="AJ435" s="288"/>
      <c r="AK435" s="165" t="s">
        <v>1971</v>
      </c>
      <c r="AL435" s="165" t="s">
        <v>1715</v>
      </c>
      <c r="AM435" s="165" t="s">
        <v>1911</v>
      </c>
      <c r="AN435" s="165" t="s">
        <v>1791</v>
      </c>
      <c r="AO435" s="288"/>
      <c r="AP435" s="150" t="s">
        <v>2663</v>
      </c>
      <c r="AQ435" s="288"/>
    </row>
    <row r="436">
      <c r="A436" s="244" t="s">
        <v>85</v>
      </c>
      <c r="B436" s="244" t="s">
        <v>86</v>
      </c>
      <c r="C436" s="175" t="str">
        <f>VLOOKUP(A436,Import!A:C,3,false)</f>
        <v>DOĞRU</v>
      </c>
      <c r="D436" s="303" t="s">
        <v>2904</v>
      </c>
      <c r="E436" s="280">
        <f>VLOOKUP(A436,Import!A:J,5,0)</f>
        <v>1655</v>
      </c>
      <c r="F436" s="280">
        <f>VLOOKUP(A436,Import!A:J,6,0)</f>
        <v>63</v>
      </c>
      <c r="G436" s="289">
        <f>VLOOKUP(A436,Import!A:J,7,0)</f>
        <v>5</v>
      </c>
      <c r="H436" s="289">
        <f>VLOOKUP(A436,Import!A:J,8,0)</f>
        <v>1</v>
      </c>
      <c r="I436" s="289">
        <f>VLOOKUP(A436,Import!A:J,9,0)</f>
        <v>6</v>
      </c>
      <c r="J436" s="282">
        <f>VLOOKUP(A436,Import!A:J,10,0)</f>
        <v>0.83</v>
      </c>
      <c r="K436" s="244" t="str">
        <f>VLOOKUP(A436,Import!A:P,11,0)</f>
        <v>AYŞE KELEBEK</v>
      </c>
      <c r="L436" s="304">
        <v>2.222335101E9</v>
      </c>
      <c r="M436" s="303" t="s">
        <v>2666</v>
      </c>
      <c r="N436" s="303" t="s">
        <v>2667</v>
      </c>
      <c r="O436" s="303" t="s">
        <v>89</v>
      </c>
      <c r="P436" s="244" t="str">
        <f>VLOOKUP(A436,Import!A:P,16,0)</f>
        <v>Geleneksel</v>
      </c>
      <c r="Q436" s="305" t="s">
        <v>2660</v>
      </c>
      <c r="R436" s="306" t="b">
        <v>1</v>
      </c>
      <c r="S436" s="307" t="b">
        <v>0</v>
      </c>
      <c r="T436" s="309" t="s">
        <v>2661</v>
      </c>
      <c r="U436" s="309"/>
      <c r="V436" s="309" t="s">
        <v>31</v>
      </c>
      <c r="W436" s="308"/>
      <c r="X436" s="310">
        <v>44231.0</v>
      </c>
      <c r="Y436" s="310">
        <v>44236.0</v>
      </c>
      <c r="Z436" s="288"/>
      <c r="AA436" s="288"/>
      <c r="AB436" s="288"/>
      <c r="AC436" s="288"/>
      <c r="AD436" s="288"/>
      <c r="AE436" s="160"/>
      <c r="AF436" s="288"/>
      <c r="AG436" s="160"/>
      <c r="AH436" s="288"/>
      <c r="AI436" s="288"/>
      <c r="AJ436" s="288"/>
      <c r="AK436" s="288"/>
      <c r="AL436" s="288"/>
      <c r="AM436" s="288"/>
      <c r="AN436" s="288"/>
      <c r="AO436" s="288"/>
      <c r="AP436" s="150" t="s">
        <v>2663</v>
      </c>
      <c r="AQ436" s="288"/>
    </row>
    <row r="437">
      <c r="A437" s="150" t="s">
        <v>854</v>
      </c>
      <c r="B437" s="150" t="s">
        <v>855</v>
      </c>
      <c r="C437" s="175" t="str">
        <f>VLOOKUP(A437,Import!A:C,3,false)</f>
        <v>DOĞRU</v>
      </c>
      <c r="D437" s="150" t="s">
        <v>2904</v>
      </c>
      <c r="E437" s="280">
        <f>VLOOKUP(A437,Import!A:J,5,0)</f>
        <v>2030</v>
      </c>
      <c r="F437" s="280">
        <f>VLOOKUP(A437,Import!A:J,6,0)</f>
        <v>82</v>
      </c>
      <c r="G437" s="289">
        <f>VLOOKUP(A437,Import!A:J,7,0)</f>
        <v>3</v>
      </c>
      <c r="H437" s="289">
        <f>VLOOKUP(A437,Import!A:J,8,0)</f>
        <v>1</v>
      </c>
      <c r="I437" s="289">
        <f>VLOOKUP(A437,Import!A:J,9,0)</f>
        <v>4</v>
      </c>
      <c r="J437" s="282">
        <f>VLOOKUP(A437,Import!A:J,10,0)</f>
        <v>0.75</v>
      </c>
      <c r="K437" s="244" t="str">
        <f>VLOOKUP(A437,Import!A:P,11,0)</f>
        <v>Ali Nurullah Aydemir</v>
      </c>
      <c r="L437" s="150">
        <v>2.222332952E9</v>
      </c>
      <c r="M437" s="150" t="s">
        <v>2666</v>
      </c>
      <c r="N437" s="150" t="s">
        <v>2667</v>
      </c>
      <c r="O437" s="150" t="s">
        <v>858</v>
      </c>
      <c r="P437" s="244" t="str">
        <f>VLOOKUP(A437,Import!A:P,16,0)</f>
        <v>Geleneksel</v>
      </c>
      <c r="Q437" s="291" t="s">
        <v>2660</v>
      </c>
      <c r="R437" s="292" t="b">
        <v>1</v>
      </c>
      <c r="S437" s="293" t="b">
        <v>0</v>
      </c>
      <c r="T437" s="149" t="s">
        <v>2661</v>
      </c>
      <c r="U437" s="149" t="s">
        <v>1000</v>
      </c>
      <c r="V437" s="149" t="s">
        <v>13</v>
      </c>
      <c r="W437" s="6"/>
      <c r="X437" s="294">
        <v>44267.0</v>
      </c>
      <c r="Y437" s="294">
        <v>44271.0</v>
      </c>
      <c r="Z437" s="288"/>
      <c r="AA437" s="288"/>
      <c r="AB437" s="288"/>
      <c r="AC437" s="288"/>
      <c r="AD437" s="288"/>
      <c r="AE437" s="160"/>
      <c r="AF437" s="288"/>
      <c r="AG437" s="160"/>
      <c r="AH437" s="288"/>
      <c r="AI437" s="288"/>
      <c r="AJ437" s="288"/>
      <c r="AK437" s="288"/>
      <c r="AL437" s="288"/>
      <c r="AM437" s="288"/>
      <c r="AN437" s="288"/>
      <c r="AO437" s="288"/>
      <c r="AP437" s="150" t="s">
        <v>2663</v>
      </c>
      <c r="AQ437" s="288"/>
    </row>
    <row r="438">
      <c r="A438" s="150" t="s">
        <v>1101</v>
      </c>
      <c r="B438" s="150" t="s">
        <v>1102</v>
      </c>
      <c r="C438" s="175" t="str">
        <f>VLOOKUP(A438,Import!A:C,3,false)</f>
        <v>DOĞRU</v>
      </c>
      <c r="D438" s="150" t="s">
        <v>2904</v>
      </c>
      <c r="E438" s="280">
        <f>VLOOKUP(A438,Import!A:J,5,0)</f>
        <v>17509</v>
      </c>
      <c r="F438" s="280">
        <f>VLOOKUP(A438,Import!A:J,6,0)</f>
        <v>835</v>
      </c>
      <c r="G438" s="289">
        <f>VLOOKUP(A438,Import!A:J,7,0)</f>
        <v>6</v>
      </c>
      <c r="H438" s="289">
        <f>VLOOKUP(A438,Import!A:J,8,0)</f>
        <v>23</v>
      </c>
      <c r="I438" s="289">
        <f>VLOOKUP(A438,Import!A:J,9,0)</f>
        <v>29</v>
      </c>
      <c r="J438" s="282">
        <f>VLOOKUP(A438,Import!A:J,10,0)</f>
        <v>0.21</v>
      </c>
      <c r="K438" s="244" t="str">
        <f>VLOOKUP(A438,Import!A:P,11,0)</f>
        <v>MURAT YAŞAR ERAT</v>
      </c>
      <c r="L438" s="150">
        <v>2.223224243E9</v>
      </c>
      <c r="M438" s="150" t="s">
        <v>2666</v>
      </c>
      <c r="N438" s="150" t="s">
        <v>2876</v>
      </c>
      <c r="O438" s="150" t="s">
        <v>1105</v>
      </c>
      <c r="P438" s="244" t="str">
        <f>VLOOKUP(A438,Import!A:P,16,0)</f>
        <v>Geleneksel</v>
      </c>
      <c r="Q438" s="291" t="s">
        <v>2713</v>
      </c>
      <c r="R438" s="292" t="b">
        <v>1</v>
      </c>
      <c r="S438" s="293" t="b">
        <v>0</v>
      </c>
      <c r="T438" s="149" t="s">
        <v>2661</v>
      </c>
      <c r="U438" s="149" t="s">
        <v>943</v>
      </c>
      <c r="V438" s="149" t="s">
        <v>13</v>
      </c>
      <c r="W438" s="149" t="s">
        <v>2708</v>
      </c>
      <c r="X438" s="294">
        <v>44260.0</v>
      </c>
      <c r="Y438" s="294">
        <v>44267.0</v>
      </c>
      <c r="Z438" s="288"/>
      <c r="AA438" s="288"/>
      <c r="AB438" s="288"/>
      <c r="AC438" s="288"/>
      <c r="AD438" s="288"/>
      <c r="AE438" s="160"/>
      <c r="AF438" s="288"/>
      <c r="AG438" s="160"/>
      <c r="AH438" s="288"/>
      <c r="AI438" s="288"/>
      <c r="AJ438" s="288"/>
      <c r="AK438" s="288"/>
      <c r="AL438" s="288"/>
      <c r="AM438" s="288"/>
      <c r="AN438" s="288"/>
      <c r="AO438" s="288"/>
      <c r="AP438" s="150" t="s">
        <v>2663</v>
      </c>
      <c r="AQ438" s="288"/>
    </row>
    <row r="439">
      <c r="A439" s="244" t="s">
        <v>689</v>
      </c>
      <c r="B439" s="244" t="s">
        <v>690</v>
      </c>
      <c r="C439" s="175" t="str">
        <f>VLOOKUP(A439,Import!A:C,3,false)</f>
        <v>DOĞRU</v>
      </c>
      <c r="D439" s="244" t="s">
        <v>2904</v>
      </c>
      <c r="E439" s="280">
        <f>VLOOKUP(A439,Import!A:J,5,0)</f>
        <v>3984</v>
      </c>
      <c r="F439" s="280">
        <f>VLOOKUP(A439,Import!A:J,6,0)</f>
        <v>73</v>
      </c>
      <c r="G439" s="289">
        <f>VLOOKUP(A439,Import!A:J,7,0)</f>
        <v>3</v>
      </c>
      <c r="H439" s="289">
        <f>VLOOKUP(A439,Import!A:J,8,0)</f>
        <v>1</v>
      </c>
      <c r="I439" s="289">
        <f>VLOOKUP(A439,Import!A:J,9,0)</f>
        <v>4</v>
      </c>
      <c r="J439" s="282">
        <f>VLOOKUP(A439,Import!A:J,10,0)</f>
        <v>0.75</v>
      </c>
      <c r="K439" s="244" t="str">
        <f>VLOOKUP(A439,Import!A:P,11,0)</f>
        <v>Murat Balkan</v>
      </c>
      <c r="L439" s="280">
        <v>2.223211171E9</v>
      </c>
      <c r="M439" s="244" t="s">
        <v>2666</v>
      </c>
      <c r="N439" s="244" t="s">
        <v>2774</v>
      </c>
      <c r="O439" s="244" t="s">
        <v>692</v>
      </c>
      <c r="P439" s="244" t="str">
        <f>VLOOKUP(A439,Import!A:P,16,0)</f>
        <v>Geleneksel</v>
      </c>
      <c r="Q439" s="291" t="s">
        <v>2660</v>
      </c>
      <c r="R439" s="292" t="b">
        <v>1</v>
      </c>
      <c r="S439" s="293" t="b">
        <v>0</v>
      </c>
      <c r="T439" s="165" t="s">
        <v>2661</v>
      </c>
      <c r="U439" s="165"/>
      <c r="V439" s="165" t="s">
        <v>13</v>
      </c>
      <c r="W439" s="160"/>
      <c r="X439" s="295">
        <v>44244.0</v>
      </c>
      <c r="Y439" s="295">
        <v>44251.0</v>
      </c>
      <c r="Z439" s="288"/>
      <c r="AA439" s="288"/>
      <c r="AB439" s="288"/>
      <c r="AC439" s="288"/>
      <c r="AD439" s="288"/>
      <c r="AE439" s="160"/>
      <c r="AF439" s="288"/>
      <c r="AG439" s="160"/>
      <c r="AH439" s="288"/>
      <c r="AI439" s="288"/>
      <c r="AJ439" s="288"/>
      <c r="AK439" s="288"/>
      <c r="AL439" s="288"/>
      <c r="AM439" s="288"/>
      <c r="AN439" s="288"/>
      <c r="AO439" s="288"/>
      <c r="AP439" s="150" t="s">
        <v>2663</v>
      </c>
      <c r="AQ439" s="288"/>
    </row>
    <row r="440">
      <c r="A440" s="150" t="s">
        <v>3727</v>
      </c>
      <c r="B440" s="150" t="s">
        <v>3728</v>
      </c>
      <c r="C440" s="175" t="str">
        <f>VLOOKUP(A440,Import!A:C,3,false)</f>
        <v>DOĞRU</v>
      </c>
      <c r="D440" s="150" t="s">
        <v>2904</v>
      </c>
      <c r="E440" s="280">
        <f>VLOOKUP(A440,Import!A:J,5,0)</f>
        <v>8</v>
      </c>
      <c r="F440" s="280">
        <f>VLOOKUP(A440,Import!A:J,6,0)</f>
        <v>6</v>
      </c>
      <c r="G440" s="289">
        <f>VLOOKUP(A440,Import!A:J,7,0)</f>
        <v>0</v>
      </c>
      <c r="H440" s="289">
        <f>VLOOKUP(A440,Import!A:J,8,0)</f>
        <v>5</v>
      </c>
      <c r="I440" s="289">
        <f>VLOOKUP(A440,Import!A:J,9,0)</f>
        <v>5</v>
      </c>
      <c r="J440" s="282">
        <f>VLOOKUP(A440,Import!A:J,10,0)</f>
        <v>0</v>
      </c>
      <c r="K440" s="150" t="s">
        <v>3729</v>
      </c>
      <c r="L440" s="150">
        <v>5.323005757E9</v>
      </c>
      <c r="M440" s="150" t="s">
        <v>2666</v>
      </c>
      <c r="N440" s="150" t="s">
        <v>2667</v>
      </c>
      <c r="O440" s="150" t="s">
        <v>3730</v>
      </c>
      <c r="P440" s="244" t="str">
        <f>VLOOKUP(A440,Import!A:P,16,0)</f>
        <v>Geleneksel</v>
      </c>
      <c r="Q440" s="291"/>
      <c r="R440" s="292" t="b">
        <v>0</v>
      </c>
      <c r="S440" s="293" t="b">
        <v>0</v>
      </c>
      <c r="T440" s="149"/>
      <c r="U440" s="296"/>
      <c r="V440" s="296"/>
      <c r="W440" s="149"/>
      <c r="X440" s="297"/>
      <c r="Y440" s="297"/>
      <c r="Z440" s="288"/>
      <c r="AA440" s="165"/>
      <c r="AB440" s="295"/>
      <c r="AC440" s="288"/>
      <c r="AD440" s="288"/>
      <c r="AE440" s="160"/>
      <c r="AF440" s="288"/>
      <c r="AG440" s="160"/>
      <c r="AH440" s="288"/>
      <c r="AI440" s="288"/>
      <c r="AJ440" s="288"/>
      <c r="AK440" s="165"/>
      <c r="AL440" s="288"/>
      <c r="AM440" s="288"/>
      <c r="AN440" s="288"/>
      <c r="AO440" s="165"/>
      <c r="AP440" s="150"/>
      <c r="AQ440" s="165"/>
    </row>
    <row r="441">
      <c r="A441" s="147" t="s">
        <v>1861</v>
      </c>
      <c r="B441" s="147" t="s">
        <v>1862</v>
      </c>
      <c r="C441" s="175" t="str">
        <f>VLOOKUP(A441,Import!A:C,3,false)</f>
        <v>DOĞRU</v>
      </c>
      <c r="D441" s="147" t="s">
        <v>2904</v>
      </c>
      <c r="E441" s="280">
        <f>VLOOKUP(A441,Import!A:J,5,0)</f>
        <v>669</v>
      </c>
      <c r="F441" s="280">
        <f>VLOOKUP(A441,Import!A:J,6,0)</f>
        <v>22</v>
      </c>
      <c r="G441" s="289">
        <f>VLOOKUP(A441,Import!A:J,7,0)</f>
        <v>4</v>
      </c>
      <c r="H441" s="289">
        <f>VLOOKUP(A441,Import!A:J,8,0)</f>
        <v>2</v>
      </c>
      <c r="I441" s="289">
        <f>VLOOKUP(A441,Import!A:J,9,0)</f>
        <v>6</v>
      </c>
      <c r="J441" s="282">
        <f>VLOOKUP(A441,Import!A:J,10,0)</f>
        <v>0.67</v>
      </c>
      <c r="K441" s="244" t="str">
        <f>VLOOKUP(A441,Import!A:P,11,0)</f>
        <v>Semih Yüreklier</v>
      </c>
      <c r="L441" s="147">
        <v>2.222211221E9</v>
      </c>
      <c r="M441" s="147" t="s">
        <v>1450</v>
      </c>
      <c r="N441" s="147" t="s">
        <v>2716</v>
      </c>
      <c r="O441" s="147" t="s">
        <v>1864</v>
      </c>
      <c r="P441" s="244" t="str">
        <f>VLOOKUP(A441,Import!A:P,16,0)</f>
        <v>Geleneksel</v>
      </c>
      <c r="Q441" s="330"/>
      <c r="R441" s="292" t="b">
        <v>1</v>
      </c>
      <c r="S441" s="293" t="b">
        <v>0</v>
      </c>
      <c r="T441" s="149" t="s">
        <v>2661</v>
      </c>
      <c r="U441" s="149" t="s">
        <v>1717</v>
      </c>
      <c r="V441" s="313" t="s">
        <v>1609</v>
      </c>
      <c r="W441" s="149" t="s">
        <v>3731</v>
      </c>
      <c r="X441" s="294">
        <v>44503.0</v>
      </c>
      <c r="Y441" s="294">
        <v>44504.0</v>
      </c>
      <c r="Z441" s="288"/>
      <c r="AA441" s="165" t="s">
        <v>2699</v>
      </c>
      <c r="AB441" s="295">
        <v>44497.0</v>
      </c>
      <c r="AC441" s="165" t="s">
        <v>2693</v>
      </c>
      <c r="AD441" s="295">
        <v>44498.0</v>
      </c>
      <c r="AE441" s="165" t="s">
        <v>2669</v>
      </c>
      <c r="AF441" s="295">
        <v>44503.0</v>
      </c>
      <c r="AG441" s="165" t="s">
        <v>2693</v>
      </c>
      <c r="AH441" s="295">
        <v>44509.0</v>
      </c>
      <c r="AI441" s="288"/>
      <c r="AJ441" s="288"/>
      <c r="AK441" s="165" t="s">
        <v>1715</v>
      </c>
      <c r="AL441" s="165" t="s">
        <v>1824</v>
      </c>
      <c r="AM441" s="165" t="s">
        <v>1717</v>
      </c>
      <c r="AN441" s="165" t="s">
        <v>943</v>
      </c>
      <c r="AO441" s="288"/>
      <c r="AP441" s="150" t="s">
        <v>2663</v>
      </c>
      <c r="AQ441" s="288"/>
    </row>
    <row r="442">
      <c r="A442" s="150" t="s">
        <v>3732</v>
      </c>
      <c r="B442" s="150" t="s">
        <v>3733</v>
      </c>
      <c r="C442" s="175" t="str">
        <f>VLOOKUP(A442,Import!A:C,3,false)</f>
        <v>DOĞRU</v>
      </c>
      <c r="D442" s="150" t="s">
        <v>2904</v>
      </c>
      <c r="E442" s="280">
        <f>VLOOKUP(A442,Import!A:J,5,0)</f>
        <v>1768</v>
      </c>
      <c r="F442" s="280">
        <f>VLOOKUP(A442,Import!A:J,6,0)</f>
        <v>59</v>
      </c>
      <c r="G442" s="289">
        <f>VLOOKUP(A442,Import!A:J,7,0)</f>
        <v>0</v>
      </c>
      <c r="H442" s="289">
        <f>VLOOKUP(A442,Import!A:J,8,0)</f>
        <v>46</v>
      </c>
      <c r="I442" s="289">
        <f>VLOOKUP(A442,Import!A:J,9,0)</f>
        <v>46</v>
      </c>
      <c r="J442" s="282">
        <f>VLOOKUP(A442,Import!A:J,10,0)</f>
        <v>0</v>
      </c>
      <c r="K442" s="244" t="str">
        <f>VLOOKUP(A442,Import!A:P,11,0)</f>
        <v>ALİ KOCADAĞ</v>
      </c>
      <c r="L442" s="150">
        <v>2.222330708E9</v>
      </c>
      <c r="M442" s="150" t="s">
        <v>2666</v>
      </c>
      <c r="N442" s="150" t="s">
        <v>2794</v>
      </c>
      <c r="O442" s="150" t="s">
        <v>3734</v>
      </c>
      <c r="P442" s="244" t="str">
        <f>VLOOKUP(A442,Import!A:P,16,0)</f>
        <v>Geleneksel</v>
      </c>
      <c r="Q442" s="291" t="s">
        <v>2713</v>
      </c>
      <c r="R442" s="292" t="b">
        <v>1</v>
      </c>
      <c r="S442" s="293" t="b">
        <v>0</v>
      </c>
      <c r="T442" s="149" t="s">
        <v>2770</v>
      </c>
      <c r="U442" s="296"/>
      <c r="V442" s="296"/>
      <c r="W442" s="149" t="s">
        <v>3735</v>
      </c>
      <c r="X442" s="297"/>
      <c r="Y442" s="297"/>
      <c r="Z442" s="288"/>
      <c r="AA442" s="288"/>
      <c r="AB442" s="288"/>
      <c r="AC442" s="288"/>
      <c r="AD442" s="288"/>
      <c r="AE442" s="160"/>
      <c r="AF442" s="288"/>
      <c r="AG442" s="160"/>
      <c r="AH442" s="288"/>
      <c r="AI442" s="288"/>
      <c r="AJ442" s="288"/>
      <c r="AK442" s="288"/>
      <c r="AL442" s="288"/>
      <c r="AM442" s="288"/>
      <c r="AN442" s="288"/>
      <c r="AO442" s="288"/>
      <c r="AP442" s="150" t="s">
        <v>2663</v>
      </c>
      <c r="AQ442" s="288"/>
    </row>
    <row r="443">
      <c r="A443" s="150" t="s">
        <v>1669</v>
      </c>
      <c r="B443" s="150" t="s">
        <v>1670</v>
      </c>
      <c r="C443" s="175" t="str">
        <f>VLOOKUP(A443,Import!A:C,3,false)</f>
        <v>YANLIŞ</v>
      </c>
      <c r="D443" s="150" t="s">
        <v>2696</v>
      </c>
      <c r="E443" s="280">
        <f>VLOOKUP(A443,Import!A:J,5,0)</f>
        <v>254</v>
      </c>
      <c r="F443" s="280" t="str">
        <f>VLOOKUP(A443,Import!A:J,6,0)</f>
        <v/>
      </c>
      <c r="G443" s="289">
        <f>VLOOKUP(A443,Import!A:J,7,0)</f>
        <v>2</v>
      </c>
      <c r="H443" s="289">
        <f>VLOOKUP(A443,Import!A:J,8,0)</f>
        <v>17</v>
      </c>
      <c r="I443" s="289">
        <f>VLOOKUP(A443,Import!A:J,9,0)</f>
        <v>19</v>
      </c>
      <c r="J443" s="282">
        <f>VLOOKUP(A443,Import!A:J,10,0)</f>
        <v>0.11</v>
      </c>
      <c r="K443" s="244" t="str">
        <f>VLOOKUP(A443,Import!A:P,11,0)</f>
        <v>Dilan Kaplan</v>
      </c>
      <c r="L443" s="150">
        <v>2.222213454E9</v>
      </c>
      <c r="M443" s="150" t="s">
        <v>1450</v>
      </c>
      <c r="N443" s="150" t="s">
        <v>2659</v>
      </c>
      <c r="O443" s="150" t="s">
        <v>1673</v>
      </c>
      <c r="P443" s="244" t="str">
        <f>VLOOKUP(A443,Import!A:P,16,0)</f>
        <v>Geleneksel</v>
      </c>
      <c r="Q443" s="291"/>
      <c r="R443" s="292" t="b">
        <v>1</v>
      </c>
      <c r="S443" s="293" t="b">
        <v>0</v>
      </c>
      <c r="T443" s="149" t="s">
        <v>2661</v>
      </c>
      <c r="U443" s="149" t="s">
        <v>943</v>
      </c>
      <c r="V443" s="296"/>
      <c r="W443" s="149" t="s">
        <v>3736</v>
      </c>
      <c r="X443" s="294">
        <v>44482.0</v>
      </c>
      <c r="Y443" s="294">
        <v>44483.0</v>
      </c>
      <c r="Z443" s="288"/>
      <c r="AA443" s="165" t="s">
        <v>2669</v>
      </c>
      <c r="AB443" s="295">
        <v>44482.0</v>
      </c>
      <c r="AC443" s="165" t="s">
        <v>2693</v>
      </c>
      <c r="AD443" s="295">
        <v>44540.0</v>
      </c>
      <c r="AE443" s="160"/>
      <c r="AF443" s="288"/>
      <c r="AG443" s="160"/>
      <c r="AH443" s="288"/>
      <c r="AI443" s="288"/>
      <c r="AJ443" s="288"/>
      <c r="AK443" s="165" t="s">
        <v>943</v>
      </c>
      <c r="AL443" s="165" t="s">
        <v>1911</v>
      </c>
      <c r="AM443" s="288"/>
      <c r="AN443" s="288"/>
      <c r="AO443" s="288"/>
      <c r="AP443" s="150" t="s">
        <v>2663</v>
      </c>
      <c r="AQ443" s="288"/>
    </row>
    <row r="444">
      <c r="A444" s="244" t="s">
        <v>3737</v>
      </c>
      <c r="B444" s="244" t="s">
        <v>3738</v>
      </c>
      <c r="C444" s="175" t="str">
        <f>VLOOKUP(A444,Import!A:C,3,false)</f>
        <v>DOĞRU</v>
      </c>
      <c r="D444" s="362" t="s">
        <v>2658</v>
      </c>
      <c r="E444" s="280">
        <f>VLOOKUP(A444,Import!A:J,5,0)</f>
        <v>729</v>
      </c>
      <c r="F444" s="280">
        <f>VLOOKUP(A444,Import!A:J,6,0)</f>
        <v>26</v>
      </c>
      <c r="G444" s="289">
        <f>VLOOKUP(A444,Import!A:J,7,0)</f>
        <v>0</v>
      </c>
      <c r="H444" s="289">
        <f>VLOOKUP(A444,Import!A:J,8,0)</f>
        <v>26</v>
      </c>
      <c r="I444" s="289">
        <f>VLOOKUP(A444,Import!A:J,9,0)</f>
        <v>26</v>
      </c>
      <c r="J444" s="282">
        <f>VLOOKUP(A444,Import!A:J,10,0)</f>
        <v>0</v>
      </c>
      <c r="K444" s="244" t="str">
        <f>VLOOKUP(A444,Import!A:P,11,0)</f>
        <v>ALİ KOCADAĞ</v>
      </c>
      <c r="L444" s="280">
        <v>5.388383778E9</v>
      </c>
      <c r="M444" s="244" t="s">
        <v>2666</v>
      </c>
      <c r="N444" s="244" t="s">
        <v>2794</v>
      </c>
      <c r="O444" s="244" t="s">
        <v>3739</v>
      </c>
      <c r="P444" s="244" t="str">
        <f>VLOOKUP(A444,Import!A:P,16,0)</f>
        <v>Geleneksel</v>
      </c>
      <c r="Q444" s="291" t="s">
        <v>2686</v>
      </c>
      <c r="R444" s="292" t="b">
        <v>1</v>
      </c>
      <c r="S444" s="293" t="b">
        <v>0</v>
      </c>
      <c r="T444" s="149" t="s">
        <v>2770</v>
      </c>
      <c r="U444" s="296"/>
      <c r="V444" s="296"/>
      <c r="X444" s="297"/>
      <c r="Y444" s="297"/>
      <c r="Z444" s="288"/>
      <c r="AA444" s="288"/>
      <c r="AB444" s="288"/>
      <c r="AC444" s="288"/>
      <c r="AD444" s="288"/>
      <c r="AE444" s="160"/>
      <c r="AF444" s="288"/>
      <c r="AG444" s="160"/>
      <c r="AH444" s="288"/>
      <c r="AI444" s="288"/>
      <c r="AJ444" s="288"/>
      <c r="AK444" s="288"/>
      <c r="AL444" s="288"/>
      <c r="AM444" s="288"/>
      <c r="AN444" s="288"/>
      <c r="AO444" s="288"/>
      <c r="AP444" s="150" t="s">
        <v>2663</v>
      </c>
      <c r="AQ444" s="288"/>
    </row>
    <row r="445">
      <c r="A445" s="150" t="s">
        <v>3740</v>
      </c>
      <c r="B445" s="150" t="s">
        <v>3741</v>
      </c>
      <c r="C445" s="175" t="str">
        <f>VLOOKUP(A445,Import!A:C,3,false)</f>
        <v>DOĞRU</v>
      </c>
      <c r="D445" s="150" t="s">
        <v>2664</v>
      </c>
      <c r="E445" s="280">
        <f>VLOOKUP(A445,Import!A:J,5,0)</f>
        <v>301</v>
      </c>
      <c r="F445" s="280" t="str">
        <f>VLOOKUP(A445,Import!A:J,6,0)</f>
        <v/>
      </c>
      <c r="G445" s="289">
        <f>VLOOKUP(A445,Import!A:J,7,0)</f>
        <v>0</v>
      </c>
      <c r="H445" s="289">
        <f>VLOOKUP(A445,Import!A:J,8,0)</f>
        <v>24</v>
      </c>
      <c r="I445" s="289">
        <f>VLOOKUP(A445,Import!A:J,9,0)</f>
        <v>24</v>
      </c>
      <c r="J445" s="282">
        <f>VLOOKUP(A445,Import!A:J,10,0)</f>
        <v>0</v>
      </c>
      <c r="K445" s="290" t="s">
        <v>3742</v>
      </c>
      <c r="L445" s="150">
        <v>2.225027626E9</v>
      </c>
      <c r="M445" s="150" t="s">
        <v>2666</v>
      </c>
      <c r="N445" s="150" t="s">
        <v>2721</v>
      </c>
      <c r="O445" s="150" t="s">
        <v>354</v>
      </c>
      <c r="P445" s="244" t="str">
        <f>VLOOKUP(A445,Import!A:P,16,0)</f>
        <v>Geleneksel</v>
      </c>
      <c r="Q445" s="291"/>
      <c r="R445" s="292" t="b">
        <v>1</v>
      </c>
      <c r="S445" s="293" t="b">
        <v>0</v>
      </c>
      <c r="T445" s="149" t="s">
        <v>2770</v>
      </c>
      <c r="U445" s="296"/>
      <c r="V445" s="296"/>
      <c r="W445" s="149" t="s">
        <v>3743</v>
      </c>
      <c r="X445" s="297"/>
      <c r="Y445" s="297"/>
      <c r="Z445" s="288"/>
      <c r="AA445" s="165" t="s">
        <v>2693</v>
      </c>
      <c r="AB445" s="295">
        <v>44524.0</v>
      </c>
      <c r="AC445" s="165" t="s">
        <v>2693</v>
      </c>
      <c r="AD445" s="295">
        <v>44530.0</v>
      </c>
      <c r="AE445" s="165" t="s">
        <v>2693</v>
      </c>
      <c r="AF445" s="295">
        <v>44548.0</v>
      </c>
      <c r="AG445" s="165" t="s">
        <v>2693</v>
      </c>
      <c r="AH445" s="295">
        <v>44551.0</v>
      </c>
      <c r="AI445" s="288"/>
      <c r="AJ445" s="288"/>
      <c r="AK445" s="165" t="s">
        <v>819</v>
      </c>
      <c r="AL445" s="165" t="s">
        <v>1911</v>
      </c>
      <c r="AM445" s="165" t="s">
        <v>1621</v>
      </c>
      <c r="AN445" s="165" t="s">
        <v>819</v>
      </c>
      <c r="AO445" s="288"/>
      <c r="AP445" s="150" t="s">
        <v>2663</v>
      </c>
      <c r="AQ445" s="288"/>
    </row>
    <row r="446">
      <c r="A446" s="150" t="s">
        <v>3744</v>
      </c>
      <c r="B446" s="150" t="s">
        <v>3745</v>
      </c>
      <c r="C446" s="175" t="str">
        <f>VLOOKUP(A446,Import!A:C,3,false)</f>
        <v>DOĞRU</v>
      </c>
      <c r="D446" s="150" t="s">
        <v>2701</v>
      </c>
      <c r="E446" s="280">
        <f>VLOOKUP(A446,Import!A:J,5,0)</f>
        <v>104</v>
      </c>
      <c r="F446" s="280" t="str">
        <f>VLOOKUP(A446,Import!A:J,6,0)</f>
        <v/>
      </c>
      <c r="G446" s="289">
        <f>VLOOKUP(A446,Import!A:J,7,0)</f>
        <v>0</v>
      </c>
      <c r="H446" s="289">
        <f>VLOOKUP(A446,Import!A:J,8,0)</f>
        <v>10</v>
      </c>
      <c r="I446" s="289">
        <f>VLOOKUP(A446,Import!A:J,9,0)</f>
        <v>10</v>
      </c>
      <c r="J446" s="282">
        <f>VLOOKUP(A446,Import!A:J,10,0)</f>
        <v>0</v>
      </c>
      <c r="K446" s="290" t="s">
        <v>3746</v>
      </c>
      <c r="L446" s="150">
        <v>5.53429868E9</v>
      </c>
      <c r="M446" s="150" t="s">
        <v>2666</v>
      </c>
      <c r="N446" s="150" t="s">
        <v>2809</v>
      </c>
      <c r="O446" s="150" t="s">
        <v>1758</v>
      </c>
      <c r="P446" s="244" t="str">
        <f>VLOOKUP(A446,Import!A:P,16,0)</f>
        <v>Geleneksel</v>
      </c>
      <c r="Q446" s="291"/>
      <c r="R446" s="292" t="b">
        <v>1</v>
      </c>
      <c r="S446" s="293" t="b">
        <v>0</v>
      </c>
      <c r="T446" s="149" t="s">
        <v>2688</v>
      </c>
      <c r="U446" s="296"/>
      <c r="V446" s="296"/>
      <c r="W446" s="149" t="s">
        <v>3747</v>
      </c>
      <c r="X446" s="297"/>
      <c r="Y446" s="297"/>
      <c r="Z446" s="288"/>
      <c r="AA446" s="165" t="s">
        <v>2688</v>
      </c>
      <c r="AB446" s="295">
        <v>44596.0</v>
      </c>
      <c r="AC446" s="288"/>
      <c r="AD446" s="288"/>
      <c r="AE446" s="160"/>
      <c r="AF446" s="288"/>
      <c r="AG446" s="160"/>
      <c r="AH446" s="288"/>
      <c r="AI446" s="288"/>
      <c r="AJ446" s="288"/>
      <c r="AK446" s="165" t="s">
        <v>819</v>
      </c>
      <c r="AL446" s="288"/>
      <c r="AM446" s="288"/>
      <c r="AN446" s="288"/>
      <c r="AO446" s="165"/>
      <c r="AP446" s="150"/>
      <c r="AQ446" s="165"/>
    </row>
    <row r="447">
      <c r="A447" s="150" t="s">
        <v>3748</v>
      </c>
      <c r="B447" s="150" t="s">
        <v>3749</v>
      </c>
      <c r="C447" s="175" t="str">
        <f>VLOOKUP(A447,Import!A:C,3,false)</f>
        <v>YANLIŞ</v>
      </c>
      <c r="D447" s="150" t="s">
        <v>2658</v>
      </c>
      <c r="E447" s="280" t="str">
        <f>VLOOKUP(A447,Import!A:J,5,0)</f>
        <v/>
      </c>
      <c r="F447" s="280" t="str">
        <f>VLOOKUP(A447,Import!A:J,6,0)</f>
        <v/>
      </c>
      <c r="G447" s="289">
        <f>VLOOKUP(A447,Import!A:J,7,0)</f>
        <v>0</v>
      </c>
      <c r="H447" s="289">
        <f>VLOOKUP(A447,Import!A:J,8,0)</f>
        <v>19</v>
      </c>
      <c r="I447" s="289">
        <f>VLOOKUP(A447,Import!A:J,9,0)</f>
        <v>19</v>
      </c>
      <c r="J447" s="282">
        <f>VLOOKUP(A447,Import!A:J,10,0)</f>
        <v>0</v>
      </c>
      <c r="K447" s="244" t="str">
        <f>VLOOKUP(A447,Import!A:P,11,0)</f>
        <v>ÜMİT KESİK</v>
      </c>
      <c r="L447" s="150">
        <v>5.510835078E9</v>
      </c>
      <c r="M447" s="150" t="s">
        <v>2666</v>
      </c>
      <c r="N447" s="150" t="s">
        <v>2750</v>
      </c>
      <c r="O447" s="150" t="s">
        <v>3750</v>
      </c>
      <c r="P447" s="244" t="str">
        <f>VLOOKUP(A447,Import!A:P,16,0)</f>
        <v>Geleneksel</v>
      </c>
      <c r="Q447" s="291"/>
      <c r="R447" s="292" t="b">
        <v>1</v>
      </c>
      <c r="S447" s="293" t="b">
        <v>0</v>
      </c>
      <c r="T447" s="149" t="s">
        <v>2693</v>
      </c>
      <c r="U447" s="296"/>
      <c r="V447" s="296"/>
      <c r="W447" s="149" t="s">
        <v>3751</v>
      </c>
      <c r="X447" s="297"/>
      <c r="Y447" s="297"/>
      <c r="Z447" s="288"/>
      <c r="AA447" s="165" t="s">
        <v>2693</v>
      </c>
      <c r="AB447" s="295">
        <v>44516.0</v>
      </c>
      <c r="AC447" s="165" t="s">
        <v>2693</v>
      </c>
      <c r="AD447" s="295">
        <v>44625.0</v>
      </c>
      <c r="AE447" s="160"/>
      <c r="AF447" s="288"/>
      <c r="AG447" s="160"/>
      <c r="AH447" s="288"/>
      <c r="AI447" s="288"/>
      <c r="AJ447" s="288"/>
      <c r="AK447" s="165" t="s">
        <v>1621</v>
      </c>
      <c r="AL447" s="165" t="s">
        <v>943</v>
      </c>
      <c r="AM447" s="288"/>
      <c r="AN447" s="288"/>
      <c r="AO447" s="288"/>
      <c r="AP447" s="150" t="s">
        <v>2663</v>
      </c>
      <c r="AQ447" s="288"/>
    </row>
    <row r="448">
      <c r="A448" s="244" t="s">
        <v>51</v>
      </c>
      <c r="B448" s="244" t="s">
        <v>52</v>
      </c>
      <c r="C448" s="175" t="str">
        <f>VLOOKUP(A448,Import!A:C,3,false)</f>
        <v>DOĞRU</v>
      </c>
      <c r="D448" s="175" t="s">
        <v>2664</v>
      </c>
      <c r="E448" s="280">
        <f>VLOOKUP(A448,Import!A:J,5,0)</f>
        <v>6679</v>
      </c>
      <c r="F448" s="280">
        <f>VLOOKUP(A448,Import!A:J,6,0)</f>
        <v>315</v>
      </c>
      <c r="G448" s="289">
        <f>VLOOKUP(A448,Import!A:J,7,0)</f>
        <v>8</v>
      </c>
      <c r="H448" s="289">
        <f>VLOOKUP(A448,Import!A:J,8,0)</f>
        <v>1</v>
      </c>
      <c r="I448" s="289">
        <f>VLOOKUP(A448,Import!A:J,9,0)</f>
        <v>9</v>
      </c>
      <c r="J448" s="282">
        <f>VLOOKUP(A448,Import!A:J,10,0)</f>
        <v>0.89</v>
      </c>
      <c r="K448" s="244" t="str">
        <f>VLOOKUP(A448,Import!A:P,11,0)</f>
        <v>SAFİYE BULUŞ</v>
      </c>
      <c r="L448" s="283">
        <v>5.073695868E9</v>
      </c>
      <c r="M448" s="175" t="s">
        <v>2666</v>
      </c>
      <c r="N448" s="175" t="s">
        <v>2855</v>
      </c>
      <c r="O448" s="175" t="s">
        <v>55</v>
      </c>
      <c r="P448" s="244" t="str">
        <f>VLOOKUP(A448,Import!A:P,16,0)</f>
        <v>Geleneksel</v>
      </c>
      <c r="Q448" s="284" t="s">
        <v>2660</v>
      </c>
      <c r="R448" s="285" t="b">
        <v>1</v>
      </c>
      <c r="S448" s="286" t="b">
        <v>0</v>
      </c>
      <c r="T448" s="171" t="s">
        <v>2661</v>
      </c>
      <c r="U448" s="171"/>
      <c r="V448" s="171" t="s">
        <v>46</v>
      </c>
      <c r="W448" s="298"/>
      <c r="X448" s="287">
        <v>44231.0</v>
      </c>
      <c r="Y448" s="287">
        <v>44235.0</v>
      </c>
      <c r="Z448" s="288"/>
      <c r="AA448" s="288"/>
      <c r="AB448" s="288"/>
      <c r="AC448" s="288"/>
      <c r="AD448" s="288"/>
      <c r="AE448" s="160"/>
      <c r="AF448" s="288"/>
      <c r="AG448" s="160"/>
      <c r="AH448" s="288"/>
      <c r="AI448" s="288"/>
      <c r="AJ448" s="288"/>
      <c r="AK448" s="288"/>
      <c r="AL448" s="288"/>
      <c r="AM448" s="288"/>
      <c r="AN448" s="288"/>
      <c r="AO448" s="288"/>
      <c r="AP448" s="150" t="s">
        <v>2663</v>
      </c>
      <c r="AQ448" s="288"/>
    </row>
    <row r="449">
      <c r="A449" s="244" t="s">
        <v>1783</v>
      </c>
      <c r="B449" s="244" t="s">
        <v>1784</v>
      </c>
      <c r="C449" s="175" t="str">
        <f>VLOOKUP(A449,Import!A:C,3,false)</f>
        <v>DOĞRU</v>
      </c>
      <c r="D449" s="244" t="s">
        <v>2724</v>
      </c>
      <c r="E449" s="280">
        <f>VLOOKUP(A449,Import!A:J,5,0)</f>
        <v>1384</v>
      </c>
      <c r="F449" s="280">
        <f>VLOOKUP(A449,Import!A:J,6,0)</f>
        <v>22</v>
      </c>
      <c r="G449" s="289">
        <f>VLOOKUP(A449,Import!A:J,7,0)</f>
        <v>0</v>
      </c>
      <c r="H449" s="289">
        <f>VLOOKUP(A449,Import!A:J,8,0)</f>
        <v>123</v>
      </c>
      <c r="I449" s="289">
        <f>VLOOKUP(A449,Import!A:J,9,0)</f>
        <v>123</v>
      </c>
      <c r="J449" s="282">
        <f>VLOOKUP(A449,Import!A:J,10,0)</f>
        <v>0</v>
      </c>
      <c r="K449" s="244" t="str">
        <f>VLOOKUP(A449,Import!A:P,11,0)</f>
        <v>AHMET EKİN ÜNAL</v>
      </c>
      <c r="L449" s="280">
        <v>2.222393906E9</v>
      </c>
      <c r="M449" s="244" t="s">
        <v>1450</v>
      </c>
      <c r="N449" s="244" t="s">
        <v>2732</v>
      </c>
      <c r="O449" s="244" t="s">
        <v>3752</v>
      </c>
      <c r="P449" s="244" t="str">
        <f>VLOOKUP(A449,Import!A:P,16,0)</f>
        <v>Geleneksel</v>
      </c>
      <c r="Q449" s="291" t="s">
        <v>2686</v>
      </c>
      <c r="R449" s="292" t="b">
        <v>1</v>
      </c>
      <c r="S449" s="292" t="b">
        <v>0</v>
      </c>
      <c r="T449" s="165" t="s">
        <v>2688</v>
      </c>
      <c r="U449" s="165" t="s">
        <v>1717</v>
      </c>
      <c r="V449" s="356" t="s">
        <v>1609</v>
      </c>
      <c r="W449" s="149" t="s">
        <v>3753</v>
      </c>
      <c r="X449" s="295">
        <v>44488.0</v>
      </c>
      <c r="Y449" s="295">
        <v>44495.0</v>
      </c>
      <c r="Z449" s="288"/>
      <c r="AA449" s="165" t="s">
        <v>2669</v>
      </c>
      <c r="AB449" s="295">
        <v>44488.0</v>
      </c>
      <c r="AC449" s="165" t="s">
        <v>2669</v>
      </c>
      <c r="AD449" s="295">
        <v>44496.0</v>
      </c>
      <c r="AE449" s="165" t="s">
        <v>2669</v>
      </c>
      <c r="AF449" s="295">
        <v>44497.0</v>
      </c>
      <c r="AG449" s="160"/>
      <c r="AH449" s="288"/>
      <c r="AI449" s="288"/>
      <c r="AJ449" s="288"/>
      <c r="AK449" s="165" t="s">
        <v>1717</v>
      </c>
      <c r="AL449" s="165" t="s">
        <v>1717</v>
      </c>
      <c r="AM449" s="165" t="s">
        <v>1715</v>
      </c>
      <c r="AN449" s="288"/>
      <c r="AO449" s="288"/>
      <c r="AP449" s="150" t="s">
        <v>2663</v>
      </c>
      <c r="AQ449" s="288"/>
    </row>
    <row r="450">
      <c r="A450" s="150" t="s">
        <v>1894</v>
      </c>
      <c r="B450" s="150" t="s">
        <v>1895</v>
      </c>
      <c r="C450" s="175" t="str">
        <f>VLOOKUP(A450,Import!A:C,3,false)</f>
        <v>DOĞRU</v>
      </c>
      <c r="D450" s="150" t="s">
        <v>2664</v>
      </c>
      <c r="E450" s="280">
        <f>VLOOKUP(A450,Import!A:J,5,0)</f>
        <v>730</v>
      </c>
      <c r="F450" s="280">
        <f>VLOOKUP(A450,Import!A:J,6,0)</f>
        <v>81</v>
      </c>
      <c r="G450" s="289">
        <f>VLOOKUP(A450,Import!A:J,7,0)</f>
        <v>38</v>
      </c>
      <c r="H450" s="289">
        <f>VLOOKUP(A450,Import!A:J,8,0)</f>
        <v>61</v>
      </c>
      <c r="I450" s="289">
        <f>VLOOKUP(A450,Import!A:J,9,0)</f>
        <v>99</v>
      </c>
      <c r="J450" s="282">
        <f>VLOOKUP(A450,Import!A:J,10,0)</f>
        <v>0.38</v>
      </c>
      <c r="K450" s="244" t="str">
        <f>VLOOKUP(A450,Import!A:P,11,0)</f>
        <v>Çınar Keskin</v>
      </c>
      <c r="L450" s="150">
        <v>2.22221705E9</v>
      </c>
      <c r="M450" s="150" t="s">
        <v>2666</v>
      </c>
      <c r="N450" s="150" t="s">
        <v>2667</v>
      </c>
      <c r="O450" s="150" t="s">
        <v>1897</v>
      </c>
      <c r="P450" s="244" t="str">
        <f>VLOOKUP(A450,Import!A:P,16,0)</f>
        <v>Geleneksel</v>
      </c>
      <c r="Q450" s="291"/>
      <c r="R450" s="292" t="b">
        <v>1</v>
      </c>
      <c r="S450" s="293" t="b">
        <v>0</v>
      </c>
      <c r="T450" s="149" t="s">
        <v>2661</v>
      </c>
      <c r="U450" s="149" t="s">
        <v>819</v>
      </c>
      <c r="V450" s="356" t="s">
        <v>1609</v>
      </c>
      <c r="W450" s="149" t="s">
        <v>1096</v>
      </c>
      <c r="X450" s="294">
        <v>44511.0</v>
      </c>
      <c r="Y450" s="294">
        <v>44516.0</v>
      </c>
      <c r="Z450" s="288"/>
      <c r="AA450" s="165" t="s">
        <v>2669</v>
      </c>
      <c r="AB450" s="295">
        <v>44509.0</v>
      </c>
      <c r="AC450" s="165" t="s">
        <v>2669</v>
      </c>
      <c r="AD450" s="295">
        <v>44511.0</v>
      </c>
      <c r="AE450" s="160"/>
      <c r="AF450" s="288"/>
      <c r="AG450" s="160"/>
      <c r="AH450" s="288"/>
      <c r="AI450" s="288"/>
      <c r="AJ450" s="288"/>
      <c r="AK450" s="165" t="s">
        <v>1715</v>
      </c>
      <c r="AL450" s="165" t="s">
        <v>819</v>
      </c>
      <c r="AM450" s="288"/>
      <c r="AN450" s="288"/>
      <c r="AO450" s="288"/>
      <c r="AP450" s="150" t="s">
        <v>2663</v>
      </c>
      <c r="AQ450" s="288"/>
    </row>
    <row r="451">
      <c r="A451" s="244" t="s">
        <v>959</v>
      </c>
      <c r="B451" s="244" t="s">
        <v>960</v>
      </c>
      <c r="C451" s="175" t="str">
        <f>VLOOKUP(A451,Import!A:C,3,false)</f>
        <v>DOĞRU</v>
      </c>
      <c r="D451" s="303" t="s">
        <v>2672</v>
      </c>
      <c r="E451" s="280">
        <f>VLOOKUP(A451,Import!A:J,5,0)</f>
        <v>28082</v>
      </c>
      <c r="F451" s="280">
        <f>VLOOKUP(A451,Import!A:J,6,0)</f>
        <v>774</v>
      </c>
      <c r="G451" s="289">
        <f>VLOOKUP(A451,Import!A:J,7,0)</f>
        <v>12</v>
      </c>
      <c r="H451" s="289">
        <f>VLOOKUP(A451,Import!A:J,8,0)</f>
        <v>9</v>
      </c>
      <c r="I451" s="289">
        <f>VLOOKUP(A451,Import!A:J,9,0)</f>
        <v>21</v>
      </c>
      <c r="J451" s="282">
        <f>VLOOKUP(A451,Import!A:J,10,0)</f>
        <v>0.57</v>
      </c>
      <c r="K451" s="244" t="str">
        <f>VLOOKUP(A451,Import!A:P,11,0)</f>
        <v>HAKAN AYSEKİN</v>
      </c>
      <c r="L451" s="304">
        <v>5.523293319E9</v>
      </c>
      <c r="M451" s="303" t="s">
        <v>1450</v>
      </c>
      <c r="N451" s="303" t="s">
        <v>2732</v>
      </c>
      <c r="O451" s="303" t="s">
        <v>962</v>
      </c>
      <c r="P451" s="244" t="str">
        <f>VLOOKUP(A451,Import!A:P,16,0)</f>
        <v>Geleneksel</v>
      </c>
      <c r="Q451" s="305" t="s">
        <v>2686</v>
      </c>
      <c r="R451" s="306" t="b">
        <v>1</v>
      </c>
      <c r="S451" s="307" t="b">
        <v>0</v>
      </c>
      <c r="T451" s="309" t="s">
        <v>2661</v>
      </c>
      <c r="U451" s="309" t="s">
        <v>958</v>
      </c>
      <c r="V451" s="308"/>
      <c r="W451" s="309" t="s">
        <v>3754</v>
      </c>
      <c r="X451" s="390"/>
      <c r="Y451" s="390"/>
      <c r="Z451" s="288"/>
      <c r="AA451" s="288"/>
      <c r="AB451" s="288"/>
      <c r="AC451" s="288"/>
      <c r="AD451" s="288"/>
      <c r="AE451" s="160"/>
      <c r="AF451" s="288"/>
      <c r="AG451" s="160"/>
      <c r="AH451" s="288"/>
      <c r="AI451" s="288"/>
      <c r="AJ451" s="288"/>
      <c r="AK451" s="288"/>
      <c r="AL451" s="288"/>
      <c r="AM451" s="288"/>
      <c r="AN451" s="288"/>
      <c r="AO451" s="288"/>
      <c r="AP451" s="150" t="s">
        <v>2663</v>
      </c>
      <c r="AQ451" s="288"/>
    </row>
    <row r="452">
      <c r="A452" s="150" t="s">
        <v>3755</v>
      </c>
      <c r="B452" s="150" t="s">
        <v>3756</v>
      </c>
      <c r="C452" s="175" t="str">
        <f>VLOOKUP(A452,Import!A:C,3,false)</f>
        <v>DOĞRU</v>
      </c>
      <c r="D452" s="150" t="s">
        <v>2743</v>
      </c>
      <c r="E452" s="280">
        <f>VLOOKUP(A452,Import!A:J,5,0)</f>
        <v>922</v>
      </c>
      <c r="F452" s="280">
        <f>VLOOKUP(A452,Import!A:J,6,0)</f>
        <v>69</v>
      </c>
      <c r="G452" s="289">
        <f>VLOOKUP(A452,Import!A:J,7,0)</f>
        <v>0</v>
      </c>
      <c r="H452" s="289">
        <f>VLOOKUP(A452,Import!A:J,8,0)</f>
        <v>40</v>
      </c>
      <c r="I452" s="289">
        <f>VLOOKUP(A452,Import!A:J,9,0)</f>
        <v>40</v>
      </c>
      <c r="J452" s="282">
        <f>VLOOKUP(A452,Import!A:J,10,0)</f>
        <v>0</v>
      </c>
      <c r="K452" s="290" t="s">
        <v>3550</v>
      </c>
      <c r="L452" s="150">
        <v>5.531029147E9</v>
      </c>
      <c r="M452" s="150" t="s">
        <v>1450</v>
      </c>
      <c r="N452" s="150" t="s">
        <v>2732</v>
      </c>
      <c r="O452" s="150" t="s">
        <v>3757</v>
      </c>
      <c r="P452" s="244" t="str">
        <f>VLOOKUP(A452,Import!A:P,16,0)</f>
        <v>Geleneksel</v>
      </c>
      <c r="Q452" s="291"/>
      <c r="R452" s="292" t="b">
        <v>1</v>
      </c>
      <c r="S452" s="292" t="b">
        <v>0</v>
      </c>
      <c r="T452" s="149" t="s">
        <v>2714</v>
      </c>
      <c r="U452" s="296"/>
      <c r="V452" s="296"/>
      <c r="W452" s="149" t="s">
        <v>3758</v>
      </c>
      <c r="X452" s="297"/>
      <c r="Y452" s="297"/>
      <c r="Z452" s="288"/>
      <c r="AA452" s="165" t="s">
        <v>2669</v>
      </c>
      <c r="AB452" s="295">
        <v>44578.0</v>
      </c>
      <c r="AC452" s="288"/>
      <c r="AD452" s="288"/>
      <c r="AE452" s="160"/>
      <c r="AF452" s="288"/>
      <c r="AG452" s="160"/>
      <c r="AH452" s="288"/>
      <c r="AI452" s="288"/>
      <c r="AJ452" s="288"/>
      <c r="AK452" s="165" t="s">
        <v>1791</v>
      </c>
      <c r="AL452" s="288"/>
      <c r="AM452" s="288"/>
      <c r="AN452" s="288"/>
      <c r="AO452" s="165"/>
      <c r="AP452" s="150"/>
      <c r="AQ452" s="165"/>
    </row>
    <row r="453">
      <c r="A453" s="244" t="s">
        <v>3759</v>
      </c>
      <c r="B453" s="244" t="s">
        <v>3760</v>
      </c>
      <c r="C453" s="175" t="str">
        <f>VLOOKUP(A453,Import!A:C,3,false)</f>
        <v>DOĞRU</v>
      </c>
      <c r="D453" s="362" t="s">
        <v>2658</v>
      </c>
      <c r="E453" s="280">
        <f>VLOOKUP(A453,Import!A:J,5,0)</f>
        <v>1983</v>
      </c>
      <c r="F453" s="280">
        <f>VLOOKUP(A453,Import!A:J,6,0)</f>
        <v>25</v>
      </c>
      <c r="G453" s="289">
        <f>VLOOKUP(A453,Import!A:J,7,0)</f>
        <v>0</v>
      </c>
      <c r="H453" s="289">
        <f>VLOOKUP(A453,Import!A:J,8,0)</f>
        <v>12</v>
      </c>
      <c r="I453" s="289">
        <f>VLOOKUP(A453,Import!A:J,9,0)</f>
        <v>12</v>
      </c>
      <c r="J453" s="282">
        <f>VLOOKUP(A453,Import!A:J,10,0)</f>
        <v>0</v>
      </c>
      <c r="K453" s="244" t="str">
        <f>VLOOKUP(A453,Import!A:P,11,0)</f>
        <v>İBRAHİM ÖZ</v>
      </c>
      <c r="L453" s="280">
        <v>2.22226451E9</v>
      </c>
      <c r="M453" s="244" t="s">
        <v>1450</v>
      </c>
      <c r="N453" s="244" t="s">
        <v>2703</v>
      </c>
      <c r="O453" s="244" t="s">
        <v>3761</v>
      </c>
      <c r="P453" s="244" t="str">
        <f>VLOOKUP(A453,Import!A:P,16,0)</f>
        <v>Geleneksel</v>
      </c>
      <c r="Q453" s="291" t="s">
        <v>2686</v>
      </c>
      <c r="R453" s="292" t="b">
        <v>1</v>
      </c>
      <c r="S453" s="293" t="b">
        <v>0</v>
      </c>
      <c r="T453" s="160"/>
      <c r="U453" s="160"/>
      <c r="V453" s="160"/>
      <c r="W453" s="165" t="s">
        <v>3762</v>
      </c>
      <c r="X453" s="288"/>
      <c r="Y453" s="288"/>
      <c r="Z453" s="288"/>
      <c r="AA453" s="288"/>
      <c r="AB453" s="288"/>
      <c r="AC453" s="288"/>
      <c r="AD453" s="288"/>
      <c r="AE453" s="160"/>
      <c r="AF453" s="288"/>
      <c r="AG453" s="160"/>
      <c r="AH453" s="288"/>
      <c r="AI453" s="288"/>
      <c r="AJ453" s="288"/>
      <c r="AK453" s="288"/>
      <c r="AL453" s="288"/>
      <c r="AM453" s="288"/>
      <c r="AN453" s="288"/>
      <c r="AO453" s="288"/>
      <c r="AP453" s="150" t="s">
        <v>2663</v>
      </c>
      <c r="AQ453" s="288"/>
    </row>
    <row r="454">
      <c r="A454" s="150" t="s">
        <v>2145</v>
      </c>
      <c r="B454" s="150" t="s">
        <v>2146</v>
      </c>
      <c r="C454" s="175" t="str">
        <f>VLOOKUP(A454,Import!A:C,3,false)</f>
        <v>DOĞRU</v>
      </c>
      <c r="D454" s="150" t="s">
        <v>2672</v>
      </c>
      <c r="E454" s="280">
        <f>VLOOKUP(A454,Import!A:J,5,0)</f>
        <v>1596</v>
      </c>
      <c r="F454" s="280" t="str">
        <f>VLOOKUP(A454,Import!A:J,6,0)</f>
        <v/>
      </c>
      <c r="G454" s="289">
        <f>VLOOKUP(A454,Import!A:J,7,0)</f>
        <v>16</v>
      </c>
      <c r="H454" s="289">
        <f>VLOOKUP(A454,Import!A:J,8,0)</f>
        <v>16</v>
      </c>
      <c r="I454" s="289">
        <f>VLOOKUP(A454,Import!A:J,9,0)</f>
        <v>32</v>
      </c>
      <c r="J454" s="282">
        <f>VLOOKUP(A454,Import!A:J,10,0)</f>
        <v>0.5</v>
      </c>
      <c r="K454" s="290" t="s">
        <v>3624</v>
      </c>
      <c r="L454" s="150">
        <v>5.46878194E9</v>
      </c>
      <c r="M454" s="150" t="s">
        <v>2666</v>
      </c>
      <c r="N454" s="150" t="s">
        <v>2801</v>
      </c>
      <c r="O454" s="150" t="s">
        <v>2148</v>
      </c>
      <c r="P454" s="244" t="str">
        <f>VLOOKUP(A454,Import!A:P,16,0)</f>
        <v>Geleneksel</v>
      </c>
      <c r="Q454" s="291"/>
      <c r="R454" s="292" t="b">
        <v>1</v>
      </c>
      <c r="S454" s="293" t="b">
        <v>0</v>
      </c>
      <c r="T454" s="149" t="s">
        <v>2661</v>
      </c>
      <c r="U454" s="149" t="s">
        <v>921</v>
      </c>
      <c r="V454" s="149" t="s">
        <v>1609</v>
      </c>
      <c r="W454" s="149"/>
      <c r="X454" s="294">
        <v>44540.0</v>
      </c>
      <c r="Y454" s="294">
        <v>44543.0</v>
      </c>
      <c r="Z454" s="288"/>
      <c r="AA454" s="165" t="s">
        <v>2669</v>
      </c>
      <c r="AB454" s="295">
        <v>44540.0</v>
      </c>
      <c r="AC454" s="288"/>
      <c r="AD454" s="288"/>
      <c r="AE454" s="160"/>
      <c r="AF454" s="288"/>
      <c r="AG454" s="160"/>
      <c r="AH454" s="288"/>
      <c r="AI454" s="288"/>
      <c r="AJ454" s="288"/>
      <c r="AK454" s="165" t="s">
        <v>921</v>
      </c>
      <c r="AL454" s="288"/>
      <c r="AM454" s="288"/>
      <c r="AN454" s="288"/>
      <c r="AO454" s="165"/>
      <c r="AP454" s="150" t="s">
        <v>2663</v>
      </c>
      <c r="AQ454" s="165"/>
    </row>
    <row r="455">
      <c r="A455" s="150" t="s">
        <v>3763</v>
      </c>
      <c r="B455" s="150" t="s">
        <v>3764</v>
      </c>
      <c r="C455" s="175" t="str">
        <f>VLOOKUP(A455,Import!A:C,3,false)</f>
        <v>DOĞRU</v>
      </c>
      <c r="D455" s="150" t="s">
        <v>2696</v>
      </c>
      <c r="E455" s="280">
        <f>VLOOKUP(A455,Import!A:J,5,0)</f>
        <v>1351</v>
      </c>
      <c r="F455" s="280">
        <f>VLOOKUP(A455,Import!A:J,6,0)</f>
        <v>18</v>
      </c>
      <c r="G455" s="289">
        <f>VLOOKUP(A455,Import!A:J,7,0)</f>
        <v>0</v>
      </c>
      <c r="H455" s="289">
        <f>VLOOKUP(A455,Import!A:J,8,0)</f>
        <v>40</v>
      </c>
      <c r="I455" s="289">
        <f>VLOOKUP(A455,Import!A:J,9,0)</f>
        <v>40</v>
      </c>
      <c r="J455" s="282">
        <f>VLOOKUP(A455,Import!A:J,10,0)</f>
        <v>0</v>
      </c>
      <c r="K455" s="244" t="str">
        <f>VLOOKUP(A455,Import!A:P,11,0)</f>
        <v>AHMET ERİM</v>
      </c>
      <c r="L455" s="150">
        <v>5.531029147E9</v>
      </c>
      <c r="M455" s="150" t="s">
        <v>1450</v>
      </c>
      <c r="N455" s="150" t="s">
        <v>2732</v>
      </c>
      <c r="O455" s="150" t="s">
        <v>3757</v>
      </c>
      <c r="P455" s="244" t="str">
        <f>VLOOKUP(A455,Import!A:P,16,0)</f>
        <v>Geleneksel</v>
      </c>
      <c r="Q455" s="291" t="s">
        <v>2713</v>
      </c>
      <c r="R455" s="292" t="b">
        <v>1</v>
      </c>
      <c r="S455" s="292" t="b">
        <v>1</v>
      </c>
      <c r="T455" s="149" t="s">
        <v>2864</v>
      </c>
      <c r="U455" s="296"/>
      <c r="V455" s="296"/>
      <c r="W455" s="391" t="s">
        <v>3765</v>
      </c>
      <c r="X455" s="297"/>
      <c r="Y455" s="297"/>
      <c r="Z455" s="288"/>
      <c r="AA455" s="165" t="s">
        <v>2693</v>
      </c>
      <c r="AB455" s="295">
        <v>44488.0</v>
      </c>
      <c r="AC455" s="165" t="s">
        <v>2669</v>
      </c>
      <c r="AD455" s="295">
        <v>44547.0</v>
      </c>
      <c r="AE455" s="160"/>
      <c r="AF455" s="288"/>
      <c r="AG455" s="160"/>
      <c r="AH455" s="288"/>
      <c r="AI455" s="288"/>
      <c r="AJ455" s="288"/>
      <c r="AK455" s="165" t="s">
        <v>1717</v>
      </c>
      <c r="AL455" s="165" t="s">
        <v>1971</v>
      </c>
      <c r="AM455" s="288"/>
      <c r="AN455" s="288"/>
      <c r="AO455" s="288"/>
      <c r="AP455" s="150" t="s">
        <v>2663</v>
      </c>
      <c r="AQ455" s="288"/>
    </row>
    <row r="456">
      <c r="A456" s="150" t="s">
        <v>3766</v>
      </c>
      <c r="B456" s="150" t="s">
        <v>3767</v>
      </c>
      <c r="C456" s="175" t="str">
        <f>VLOOKUP(A456,Import!A:C,3,false)</f>
        <v>DOĞRU</v>
      </c>
      <c r="D456" s="150" t="s">
        <v>2867</v>
      </c>
      <c r="E456" s="280">
        <f>VLOOKUP(A456,Import!A:J,5,0)</f>
        <v>3074</v>
      </c>
      <c r="F456" s="280" t="str">
        <f>VLOOKUP(A456,Import!A:J,6,0)</f>
        <v/>
      </c>
      <c r="G456" s="289">
        <f>VLOOKUP(A456,Import!A:J,7,0)</f>
        <v>0</v>
      </c>
      <c r="H456" s="289">
        <f>VLOOKUP(A456,Import!A:J,8,0)</f>
        <v>23</v>
      </c>
      <c r="I456" s="289">
        <f>VLOOKUP(A456,Import!A:J,9,0)</f>
        <v>23</v>
      </c>
      <c r="J456" s="282">
        <f>VLOOKUP(A456,Import!A:J,10,0)</f>
        <v>0</v>
      </c>
      <c r="K456" s="244" t="str">
        <f>VLOOKUP(A456,Import!A:P,11,0)</f>
        <v>Ferda Küçükoğlu</v>
      </c>
      <c r="L456" s="150">
        <v>5.322845992E9</v>
      </c>
      <c r="M456" s="150" t="s">
        <v>2666</v>
      </c>
      <c r="N456" s="150" t="s">
        <v>2682</v>
      </c>
      <c r="O456" s="150" t="s">
        <v>3768</v>
      </c>
      <c r="P456" s="244" t="str">
        <f>VLOOKUP(A456,Import!A:P,16,0)</f>
        <v>Geleneksel</v>
      </c>
      <c r="Q456" s="291"/>
      <c r="R456" s="292" t="b">
        <v>1</v>
      </c>
      <c r="S456" s="292" t="b">
        <v>1</v>
      </c>
      <c r="T456" s="149"/>
      <c r="U456" s="296"/>
      <c r="V456" s="296"/>
      <c r="W456" s="392" t="s">
        <v>3769</v>
      </c>
      <c r="X456" s="393"/>
      <c r="Y456" s="297"/>
      <c r="Z456" s="288"/>
      <c r="AA456" s="165" t="s">
        <v>2669</v>
      </c>
      <c r="AB456" s="295">
        <v>44489.0</v>
      </c>
      <c r="AC456" s="288"/>
      <c r="AD456" s="288"/>
      <c r="AE456" s="160"/>
      <c r="AF456" s="288"/>
      <c r="AG456" s="160"/>
      <c r="AH456" s="288"/>
      <c r="AI456" s="288"/>
      <c r="AJ456" s="288"/>
      <c r="AK456" s="165" t="s">
        <v>1717</v>
      </c>
      <c r="AL456" s="288"/>
      <c r="AM456" s="288"/>
      <c r="AN456" s="288"/>
      <c r="AO456" s="288"/>
      <c r="AP456" s="150" t="s">
        <v>2663</v>
      </c>
      <c r="AQ456" s="288"/>
    </row>
    <row r="457">
      <c r="A457" s="150" t="s">
        <v>202</v>
      </c>
      <c r="B457" s="150" t="s">
        <v>203</v>
      </c>
      <c r="C457" s="175" t="str">
        <f>VLOOKUP(A457,Import!A:C,3,false)</f>
        <v>DOĞRU</v>
      </c>
      <c r="D457" s="150" t="s">
        <v>2696</v>
      </c>
      <c r="E457" s="280">
        <f>VLOOKUP(A457,Import!A:J,5,0)</f>
        <v>1358</v>
      </c>
      <c r="F457" s="280">
        <f>VLOOKUP(A457,Import!A:J,6,0)</f>
        <v>21</v>
      </c>
      <c r="G457" s="289">
        <f>VLOOKUP(A457,Import!A:J,7,0)</f>
        <v>10</v>
      </c>
      <c r="H457" s="289">
        <f>VLOOKUP(A457,Import!A:J,8,0)</f>
        <v>11</v>
      </c>
      <c r="I457" s="289">
        <f>VLOOKUP(A457,Import!A:J,9,0)</f>
        <v>21</v>
      </c>
      <c r="J457" s="282">
        <f>VLOOKUP(A457,Import!A:J,10,0)</f>
        <v>0.48</v>
      </c>
      <c r="K457" s="244" t="str">
        <f>VLOOKUP(A457,Import!A:P,11,0)</f>
        <v>MESUT GENÇYILMAZ</v>
      </c>
      <c r="L457" s="150">
        <v>2.223208202E9</v>
      </c>
      <c r="M457" s="150" t="s">
        <v>2666</v>
      </c>
      <c r="N457" s="150" t="s">
        <v>2685</v>
      </c>
      <c r="O457" s="150" t="s">
        <v>206</v>
      </c>
      <c r="P457" s="244" t="str">
        <f>VLOOKUP(A457,Import!A:P,16,0)</f>
        <v>Geleneksel</v>
      </c>
      <c r="Q457" s="291" t="s">
        <v>2713</v>
      </c>
      <c r="R457" s="292" t="b">
        <v>1</v>
      </c>
      <c r="S457" s="293" t="b">
        <v>0</v>
      </c>
      <c r="T457" s="149" t="s">
        <v>2661</v>
      </c>
      <c r="U457" s="149"/>
      <c r="V457" s="149" t="s">
        <v>13</v>
      </c>
      <c r="X457" s="294">
        <v>44237.0</v>
      </c>
      <c r="Y457" s="294">
        <v>44238.0</v>
      </c>
      <c r="Z457" s="288"/>
      <c r="AA457" s="288"/>
      <c r="AB457" s="288"/>
      <c r="AC457" s="288"/>
      <c r="AD457" s="288"/>
      <c r="AE457" s="160"/>
      <c r="AF457" s="288"/>
      <c r="AG457" s="160"/>
      <c r="AH457" s="288"/>
      <c r="AI457" s="288"/>
      <c r="AJ457" s="288"/>
      <c r="AK457" s="288"/>
      <c r="AL457" s="288"/>
      <c r="AM457" s="288"/>
      <c r="AN457" s="288"/>
      <c r="AO457" s="288"/>
      <c r="AP457" s="150" t="s">
        <v>2663</v>
      </c>
      <c r="AQ457" s="288"/>
    </row>
    <row r="458">
      <c r="A458" s="244" t="s">
        <v>3770</v>
      </c>
      <c r="B458" s="244" t="s">
        <v>3771</v>
      </c>
      <c r="C458" s="175" t="str">
        <f>VLOOKUP(A458,Import!A:C,3,false)</f>
        <v>DOĞRU</v>
      </c>
      <c r="D458" s="244" t="s">
        <v>2845</v>
      </c>
      <c r="E458" s="280">
        <f>VLOOKUP(A458,Import!A:J,5,0)</f>
        <v>952</v>
      </c>
      <c r="F458" s="280">
        <f>VLOOKUP(A458,Import!A:J,6,0)</f>
        <v>6</v>
      </c>
      <c r="G458" s="289">
        <f>VLOOKUP(A458,Import!A:J,7,0)</f>
        <v>0</v>
      </c>
      <c r="H458" s="289">
        <f>VLOOKUP(A458,Import!A:J,8,0)</f>
        <v>38</v>
      </c>
      <c r="I458" s="289">
        <f>VLOOKUP(A458,Import!A:J,9,0)</f>
        <v>38</v>
      </c>
      <c r="J458" s="282">
        <f>VLOOKUP(A458,Import!A:J,10,0)</f>
        <v>0</v>
      </c>
      <c r="K458" s="244" t="str">
        <f>VLOOKUP(A458,Import!A:P,11,0)</f>
        <v>BURCU MALKOÇ</v>
      </c>
      <c r="L458" s="280">
        <v>5.452552615E9</v>
      </c>
      <c r="M458" s="244" t="s">
        <v>2666</v>
      </c>
      <c r="N458" s="244" t="s">
        <v>2685</v>
      </c>
      <c r="O458" s="244" t="s">
        <v>3772</v>
      </c>
      <c r="P458" s="244" t="str">
        <f>VLOOKUP(A458,Import!A:P,16,0)</f>
        <v>Geleneksel</v>
      </c>
      <c r="Q458" s="291" t="s">
        <v>2760</v>
      </c>
      <c r="R458" s="292" t="b">
        <v>1</v>
      </c>
      <c r="S458" s="293" t="b">
        <v>0</v>
      </c>
      <c r="T458" s="165" t="s">
        <v>2693</v>
      </c>
      <c r="U458" s="160"/>
      <c r="V458" s="160"/>
      <c r="W458" s="165" t="s">
        <v>3773</v>
      </c>
      <c r="X458" s="288"/>
      <c r="Y458" s="288"/>
      <c r="Z458" s="288"/>
      <c r="AA458" s="165" t="s">
        <v>2693</v>
      </c>
      <c r="AB458" s="295">
        <v>44518.0</v>
      </c>
      <c r="AC458" s="165" t="s">
        <v>2693</v>
      </c>
      <c r="AD458" s="295">
        <v>44601.0</v>
      </c>
      <c r="AE458" s="160"/>
      <c r="AF458" s="288"/>
      <c r="AG458" s="160"/>
      <c r="AH458" s="288"/>
      <c r="AI458" s="288"/>
      <c r="AJ458" s="288"/>
      <c r="AK458" s="165" t="s">
        <v>1911</v>
      </c>
      <c r="AL458" s="165" t="s">
        <v>2474</v>
      </c>
      <c r="AM458" s="288"/>
      <c r="AN458" s="288"/>
      <c r="AO458" s="288"/>
      <c r="AP458" s="150" t="s">
        <v>2663</v>
      </c>
      <c r="AQ458" s="288"/>
    </row>
    <row r="459">
      <c r="A459" s="150" t="s">
        <v>3774</v>
      </c>
      <c r="B459" s="150" t="s">
        <v>3775</v>
      </c>
      <c r="C459" s="175" t="str">
        <f>VLOOKUP(A459,Import!A:C,3,false)</f>
        <v>DOĞRU</v>
      </c>
      <c r="D459" s="150" t="s">
        <v>2684</v>
      </c>
      <c r="E459" s="280">
        <f>VLOOKUP(A459,Import!A:J,5,0)</f>
        <v>65</v>
      </c>
      <c r="F459" s="280">
        <f>VLOOKUP(A459,Import!A:J,6,0)</f>
        <v>58</v>
      </c>
      <c r="G459" s="289">
        <f>VLOOKUP(A459,Import!A:J,7,0)</f>
        <v>0</v>
      </c>
      <c r="H459" s="289">
        <f>VLOOKUP(A459,Import!A:J,8,0)</f>
        <v>19</v>
      </c>
      <c r="I459" s="289">
        <f>VLOOKUP(A459,Import!A:J,9,0)</f>
        <v>19</v>
      </c>
      <c r="J459" s="282">
        <f>VLOOKUP(A459,Import!A:J,10,0)</f>
        <v>0</v>
      </c>
      <c r="K459" s="150" t="s">
        <v>3776</v>
      </c>
      <c r="L459" s="150">
        <v>5.300188135E9</v>
      </c>
      <c r="M459" s="150" t="s">
        <v>2666</v>
      </c>
      <c r="N459" s="150" t="s">
        <v>2685</v>
      </c>
      <c r="O459" s="150" t="s">
        <v>3777</v>
      </c>
      <c r="P459" s="244" t="str">
        <f>VLOOKUP(A459,Import!A:P,16,0)</f>
        <v>Geleneksel</v>
      </c>
      <c r="Q459" s="291"/>
      <c r="R459" s="292" t="b">
        <v>0</v>
      </c>
      <c r="S459" s="293" t="b">
        <v>0</v>
      </c>
      <c r="T459" s="149"/>
      <c r="U459" s="296"/>
      <c r="V459" s="296"/>
      <c r="W459" s="149"/>
      <c r="X459" s="297"/>
      <c r="Y459" s="297"/>
      <c r="Z459" s="288"/>
      <c r="AA459" s="165"/>
      <c r="AB459" s="295"/>
      <c r="AC459" s="288"/>
      <c r="AD459" s="288"/>
      <c r="AE459" s="160"/>
      <c r="AF459" s="288"/>
      <c r="AG459" s="160"/>
      <c r="AH459" s="288"/>
      <c r="AI459" s="288"/>
      <c r="AJ459" s="288"/>
      <c r="AK459" s="165"/>
      <c r="AL459" s="288"/>
      <c r="AM459" s="288"/>
      <c r="AN459" s="288"/>
      <c r="AO459" s="165"/>
      <c r="AP459" s="150"/>
      <c r="AQ459" s="165"/>
    </row>
    <row r="460">
      <c r="A460" s="244" t="s">
        <v>198</v>
      </c>
      <c r="B460" s="244" t="s">
        <v>199</v>
      </c>
      <c r="C460" s="175" t="str">
        <f>VLOOKUP(A460,Import!A:C,3,false)</f>
        <v>DOĞRU</v>
      </c>
      <c r="D460" s="303" t="s">
        <v>2664</v>
      </c>
      <c r="E460" s="280">
        <f>VLOOKUP(A460,Import!A:J,5,0)</f>
        <v>14</v>
      </c>
      <c r="F460" s="280" t="str">
        <f>VLOOKUP(A460,Import!A:J,6,0)</f>
        <v/>
      </c>
      <c r="G460" s="289">
        <f>VLOOKUP(A460,Import!A:J,7,0)</f>
        <v>1</v>
      </c>
      <c r="H460" s="289">
        <f>VLOOKUP(A460,Import!A:J,8,0)</f>
        <v>19</v>
      </c>
      <c r="I460" s="289">
        <f>VLOOKUP(A460,Import!A:J,9,0)</f>
        <v>20</v>
      </c>
      <c r="J460" s="282">
        <f>VLOOKUP(A460,Import!A:J,10,0)</f>
        <v>0.05</v>
      </c>
      <c r="K460" s="244" t="str">
        <f>VLOOKUP(A460,Import!A:P,11,0)</f>
        <v>Esra Esin Toraman</v>
      </c>
      <c r="L460" s="304">
        <v>5.3331056E9</v>
      </c>
      <c r="M460" s="303" t="s">
        <v>2666</v>
      </c>
      <c r="N460" s="303" t="s">
        <v>2667</v>
      </c>
      <c r="O460" s="303" t="s">
        <v>201</v>
      </c>
      <c r="P460" s="244" t="str">
        <f>VLOOKUP(A460,Import!A:P,16,0)</f>
        <v>Geleneksel</v>
      </c>
      <c r="Q460" s="305" t="s">
        <v>2660</v>
      </c>
      <c r="R460" s="306" t="b">
        <v>1</v>
      </c>
      <c r="S460" s="306" t="b">
        <v>1</v>
      </c>
      <c r="T460" s="318"/>
      <c r="U460" s="318" t="s">
        <v>1971</v>
      </c>
      <c r="V460" s="269" t="s">
        <v>1609</v>
      </c>
      <c r="W460" s="318" t="s">
        <v>3778</v>
      </c>
      <c r="X460" s="319">
        <v>44517.0</v>
      </c>
      <c r="Y460" s="319">
        <v>44523.0</v>
      </c>
      <c r="Z460" s="288"/>
      <c r="AA460" s="165" t="s">
        <v>2669</v>
      </c>
      <c r="AB460" s="295">
        <v>44517.0</v>
      </c>
      <c r="AC460" s="288"/>
      <c r="AD460" s="288"/>
      <c r="AE460" s="160"/>
      <c r="AF460" s="288"/>
      <c r="AG460" s="160"/>
      <c r="AH460" s="288"/>
      <c r="AI460" s="288"/>
      <c r="AJ460" s="288"/>
      <c r="AK460" s="165" t="s">
        <v>1971</v>
      </c>
      <c r="AL460" s="288"/>
      <c r="AM460" s="288"/>
      <c r="AN460" s="288"/>
      <c r="AO460" s="288"/>
      <c r="AP460" s="150" t="s">
        <v>2663</v>
      </c>
      <c r="AQ460" s="288"/>
    </row>
    <row r="461">
      <c r="A461" s="150" t="s">
        <v>2094</v>
      </c>
      <c r="B461" s="150" t="s">
        <v>2095</v>
      </c>
      <c r="C461" s="175" t="str">
        <f>VLOOKUP(A461,Import!A:C,3,false)</f>
        <v>DOĞRU</v>
      </c>
      <c r="D461" s="150" t="s">
        <v>2751</v>
      </c>
      <c r="E461" s="280">
        <f>VLOOKUP(A461,Import!A:J,5,0)</f>
        <v>389</v>
      </c>
      <c r="F461" s="280">
        <f>VLOOKUP(A461,Import!A:J,6,0)</f>
        <v>69</v>
      </c>
      <c r="G461" s="289">
        <f>VLOOKUP(A461,Import!A:J,7,0)</f>
        <v>21</v>
      </c>
      <c r="H461" s="289">
        <f>VLOOKUP(A461,Import!A:J,8,0)</f>
        <v>65</v>
      </c>
      <c r="I461" s="289">
        <f>VLOOKUP(A461,Import!A:J,9,0)</f>
        <v>86</v>
      </c>
      <c r="J461" s="282">
        <f>VLOOKUP(A461,Import!A:J,10,0)</f>
        <v>0.24</v>
      </c>
      <c r="K461" s="290" t="s">
        <v>3779</v>
      </c>
      <c r="L461" s="150">
        <v>5.389415379E9</v>
      </c>
      <c r="M461" s="150" t="s">
        <v>1450</v>
      </c>
      <c r="N461" s="150" t="s">
        <v>2905</v>
      </c>
      <c r="O461" s="150" t="s">
        <v>2098</v>
      </c>
      <c r="P461" s="244" t="str">
        <f>VLOOKUP(A461,Import!A:P,16,0)</f>
        <v>Geleneksel</v>
      </c>
      <c r="Q461" s="291"/>
      <c r="R461" s="292" t="b">
        <v>1</v>
      </c>
      <c r="S461" s="293" t="b">
        <v>0</v>
      </c>
      <c r="T461" s="149" t="s">
        <v>2661</v>
      </c>
      <c r="U461" s="149" t="s">
        <v>1715</v>
      </c>
      <c r="V461" s="149" t="s">
        <v>2835</v>
      </c>
      <c r="W461" s="149"/>
      <c r="X461" s="294">
        <v>44531.0</v>
      </c>
      <c r="Y461" s="294">
        <v>44533.0</v>
      </c>
      <c r="Z461" s="288"/>
      <c r="AA461" s="165" t="s">
        <v>2669</v>
      </c>
      <c r="AB461" s="295">
        <v>44531.0</v>
      </c>
      <c r="AC461" s="288"/>
      <c r="AD461" s="288"/>
      <c r="AE461" s="160"/>
      <c r="AF461" s="288"/>
      <c r="AG461" s="160"/>
      <c r="AH461" s="288"/>
      <c r="AI461" s="288"/>
      <c r="AJ461" s="288"/>
      <c r="AK461" s="165" t="s">
        <v>1715</v>
      </c>
      <c r="AL461" s="288"/>
      <c r="AM461" s="288"/>
      <c r="AN461" s="288"/>
      <c r="AO461" s="165"/>
      <c r="AP461" s="150" t="s">
        <v>2663</v>
      </c>
      <c r="AQ461" s="165"/>
    </row>
    <row r="462">
      <c r="A462" s="150" t="s">
        <v>3780</v>
      </c>
      <c r="B462" s="150" t="s">
        <v>3781</v>
      </c>
      <c r="C462" s="175" t="str">
        <f>VLOOKUP(A462,Import!A:C,3,false)</f>
        <v>DOĞRU</v>
      </c>
      <c r="D462" s="150" t="s">
        <v>2867</v>
      </c>
      <c r="E462" s="280">
        <f>VLOOKUP(A462,Import!A:J,5,0)</f>
        <v>296</v>
      </c>
      <c r="F462" s="280" t="str">
        <f>VLOOKUP(A462,Import!A:J,6,0)</f>
        <v/>
      </c>
      <c r="G462" s="289">
        <f>VLOOKUP(A462,Import!A:J,7,0)</f>
        <v>19</v>
      </c>
      <c r="H462" s="289">
        <f>VLOOKUP(A462,Import!A:J,8,0)</f>
        <v>45</v>
      </c>
      <c r="I462" s="289">
        <f>VLOOKUP(A462,Import!A:J,9,0)</f>
        <v>64</v>
      </c>
      <c r="J462" s="282">
        <f>VLOOKUP(A462,Import!A:J,10,0)</f>
        <v>0.3</v>
      </c>
      <c r="K462" s="244" t="str">
        <f>VLOOKUP(A462,Import!A:P,11,0)</f>
        <v>Osman Çelik</v>
      </c>
      <c r="L462" s="150">
        <v>5.469251906E9</v>
      </c>
      <c r="M462" s="150" t="s">
        <v>2666</v>
      </c>
      <c r="N462" s="150" t="s">
        <v>2801</v>
      </c>
      <c r="O462" s="150" t="s">
        <v>1767</v>
      </c>
      <c r="P462" s="244" t="str">
        <f>VLOOKUP(A462,Import!A:P,16,0)</f>
        <v>Geleneksel</v>
      </c>
      <c r="Q462" s="291"/>
      <c r="R462" s="292" t="b">
        <v>1</v>
      </c>
      <c r="S462" s="293" t="b">
        <v>0</v>
      </c>
      <c r="T462" s="145" t="s">
        <v>2734</v>
      </c>
      <c r="U462" s="296"/>
      <c r="V462" s="296"/>
      <c r="W462" s="149" t="s">
        <v>3782</v>
      </c>
      <c r="X462" s="297"/>
      <c r="Y462" s="297"/>
      <c r="Z462" s="288"/>
      <c r="AA462" s="165" t="s">
        <v>2669</v>
      </c>
      <c r="AB462" s="295">
        <v>44490.0</v>
      </c>
      <c r="AC462" s="165" t="s">
        <v>2669</v>
      </c>
      <c r="AD462" s="295">
        <v>44516.0</v>
      </c>
      <c r="AE462" s="160"/>
      <c r="AF462" s="288"/>
      <c r="AG462" s="160"/>
      <c r="AH462" s="288"/>
      <c r="AI462" s="288"/>
      <c r="AJ462" s="288"/>
      <c r="AK462" s="165" t="s">
        <v>1754</v>
      </c>
      <c r="AL462" s="165" t="s">
        <v>1621</v>
      </c>
      <c r="AM462" s="288"/>
      <c r="AN462" s="288"/>
      <c r="AO462" s="288"/>
      <c r="AP462" s="150" t="s">
        <v>2663</v>
      </c>
      <c r="AQ462" s="288"/>
    </row>
    <row r="463">
      <c r="A463" s="150" t="s">
        <v>335</v>
      </c>
      <c r="B463" s="150" t="s">
        <v>336</v>
      </c>
      <c r="C463" s="175" t="str">
        <f>VLOOKUP(A463,Import!A:C,3,false)</f>
        <v>YANLIŞ</v>
      </c>
      <c r="D463" s="150" t="s">
        <v>3145</v>
      </c>
      <c r="E463" s="280">
        <f>VLOOKUP(A463,Import!A:J,5,0)</f>
        <v>3294</v>
      </c>
      <c r="F463" s="280" t="str">
        <f>VLOOKUP(A463,Import!A:J,6,0)</f>
        <v/>
      </c>
      <c r="G463" s="289">
        <f>VLOOKUP(A463,Import!A:J,7,0)</f>
        <v>3</v>
      </c>
      <c r="H463" s="289">
        <f>VLOOKUP(A463,Import!A:J,8,0)</f>
        <v>48</v>
      </c>
      <c r="I463" s="289">
        <f>VLOOKUP(A463,Import!A:J,9,0)</f>
        <v>51</v>
      </c>
      <c r="J463" s="282">
        <f>VLOOKUP(A463,Import!A:J,10,0)</f>
        <v>0.06</v>
      </c>
      <c r="K463" s="244" t="str">
        <f>VLOOKUP(A463,Import!A:P,11,0)</f>
        <v>SERHAN KUM</v>
      </c>
      <c r="L463" s="150">
        <v>5.079519127E9</v>
      </c>
      <c r="M463" s="150" t="s">
        <v>2666</v>
      </c>
      <c r="N463" s="150" t="s">
        <v>2682</v>
      </c>
      <c r="O463" s="150" t="s">
        <v>339</v>
      </c>
      <c r="P463" s="244" t="str">
        <f>VLOOKUP(A463,Import!A:P,16,0)</f>
        <v>Geleneksel</v>
      </c>
      <c r="Q463" s="315" t="s">
        <v>2713</v>
      </c>
      <c r="R463" s="292" t="b">
        <v>1</v>
      </c>
      <c r="S463" s="293" t="b">
        <v>0</v>
      </c>
      <c r="T463" s="149" t="s">
        <v>2668</v>
      </c>
      <c r="U463" s="149" t="s">
        <v>1717</v>
      </c>
      <c r="V463" s="301" t="s">
        <v>1609</v>
      </c>
      <c r="W463" s="302" t="s">
        <v>3783</v>
      </c>
      <c r="X463" s="294">
        <v>44489.0</v>
      </c>
      <c r="Y463" s="294">
        <v>44490.0</v>
      </c>
      <c r="Z463" s="288"/>
      <c r="AA463" s="165" t="s">
        <v>2669</v>
      </c>
      <c r="AB463" s="295">
        <v>44489.0</v>
      </c>
      <c r="AC463" s="288"/>
      <c r="AD463" s="288"/>
      <c r="AE463" s="160"/>
      <c r="AF463" s="288"/>
      <c r="AG463" s="160"/>
      <c r="AH463" s="288"/>
      <c r="AI463" s="288"/>
      <c r="AJ463" s="288"/>
      <c r="AK463" s="165" t="s">
        <v>1717</v>
      </c>
      <c r="AL463" s="288"/>
      <c r="AM463" s="288"/>
      <c r="AN463" s="288"/>
      <c r="AO463" s="288"/>
      <c r="AP463" s="150" t="s">
        <v>2663</v>
      </c>
      <c r="AQ463" s="288"/>
    </row>
    <row r="464">
      <c r="A464" s="150" t="s">
        <v>1966</v>
      </c>
      <c r="B464" s="150" t="s">
        <v>1967</v>
      </c>
      <c r="C464" s="175" t="str">
        <f>VLOOKUP(A464,Import!A:C,3,false)</f>
        <v>DOĞRU</v>
      </c>
      <c r="D464" s="150" t="s">
        <v>2773</v>
      </c>
      <c r="E464" s="280">
        <f>VLOOKUP(A464,Import!A:J,5,0)</f>
        <v>1674</v>
      </c>
      <c r="F464" s="280">
        <f>VLOOKUP(A464,Import!A:J,6,0)</f>
        <v>154</v>
      </c>
      <c r="G464" s="289">
        <f>VLOOKUP(A464,Import!A:J,7,0)</f>
        <v>6</v>
      </c>
      <c r="H464" s="289">
        <f>VLOOKUP(A464,Import!A:J,8,0)</f>
        <v>11</v>
      </c>
      <c r="I464" s="289">
        <f>VLOOKUP(A464,Import!A:J,9,0)</f>
        <v>17</v>
      </c>
      <c r="J464" s="282">
        <f>VLOOKUP(A464,Import!A:J,10,0)</f>
        <v>0.35</v>
      </c>
      <c r="K464" s="244" t="str">
        <f>VLOOKUP(A464,Import!A:P,11,0)</f>
        <v>Bünyamin Erkaya</v>
      </c>
      <c r="L464" s="150">
        <v>5.323210226E9</v>
      </c>
      <c r="M464" s="150" t="s">
        <v>2666</v>
      </c>
      <c r="N464" s="150" t="s">
        <v>2721</v>
      </c>
      <c r="O464" s="150" t="s">
        <v>1970</v>
      </c>
      <c r="P464" s="244" t="str">
        <f>VLOOKUP(A464,Import!A:P,16,0)</f>
        <v>Geleneksel</v>
      </c>
      <c r="Q464" s="291"/>
      <c r="R464" s="292" t="b">
        <v>1</v>
      </c>
      <c r="S464" s="293" t="b">
        <v>0</v>
      </c>
      <c r="T464" s="149" t="s">
        <v>2661</v>
      </c>
      <c r="U464" s="149" t="s">
        <v>1791</v>
      </c>
      <c r="V464" s="269" t="s">
        <v>1609</v>
      </c>
      <c r="W464" s="149"/>
      <c r="X464" s="294">
        <v>44517.0</v>
      </c>
      <c r="Y464" s="294">
        <v>44518.0</v>
      </c>
      <c r="Z464" s="288"/>
      <c r="AA464" s="165" t="s">
        <v>2669</v>
      </c>
      <c r="AB464" s="295">
        <v>44517.0</v>
      </c>
      <c r="AC464" s="288"/>
      <c r="AD464" s="288"/>
      <c r="AE464" s="160"/>
      <c r="AF464" s="288"/>
      <c r="AG464" s="160"/>
      <c r="AH464" s="288"/>
      <c r="AI464" s="288"/>
      <c r="AJ464" s="288"/>
      <c r="AK464" s="165" t="s">
        <v>1791</v>
      </c>
      <c r="AL464" s="288"/>
      <c r="AM464" s="288"/>
      <c r="AN464" s="288"/>
      <c r="AO464" s="288"/>
      <c r="AP464" s="150" t="s">
        <v>2663</v>
      </c>
      <c r="AQ464" s="288"/>
    </row>
    <row r="465">
      <c r="A465" s="150" t="s">
        <v>3784</v>
      </c>
      <c r="B465" s="150" t="s">
        <v>3785</v>
      </c>
      <c r="C465" s="175" t="str">
        <f>VLOOKUP(A465,Import!A:C,3,false)</f>
        <v>DOĞRU</v>
      </c>
      <c r="D465" s="150" t="s">
        <v>2664</v>
      </c>
      <c r="E465" s="280">
        <f>VLOOKUP(A465,Import!A:J,5,0)</f>
        <v>264</v>
      </c>
      <c r="F465" s="280" t="str">
        <f>VLOOKUP(A465,Import!A:J,6,0)</f>
        <v/>
      </c>
      <c r="G465" s="289">
        <f>VLOOKUP(A465,Import!A:J,7,0)</f>
        <v>0</v>
      </c>
      <c r="H465" s="289">
        <f>VLOOKUP(A465,Import!A:J,8,0)</f>
        <v>25</v>
      </c>
      <c r="I465" s="289">
        <f>VLOOKUP(A465,Import!A:J,9,0)</f>
        <v>25</v>
      </c>
      <c r="J465" s="282">
        <f>VLOOKUP(A465,Import!A:J,10,0)</f>
        <v>0</v>
      </c>
      <c r="K465" s="290" t="s">
        <v>3326</v>
      </c>
      <c r="L465" s="150">
        <v>5.539075064E9</v>
      </c>
      <c r="M465" s="150" t="s">
        <v>2666</v>
      </c>
      <c r="N465" s="150" t="s">
        <v>2794</v>
      </c>
      <c r="O465" s="150" t="s">
        <v>2158</v>
      </c>
      <c r="P465" s="244" t="str">
        <f>VLOOKUP(A465,Import!A:P,16,0)</f>
        <v>Geleneksel</v>
      </c>
      <c r="Q465" s="291"/>
      <c r="R465" s="292" t="b">
        <v>1</v>
      </c>
      <c r="S465" s="292" t="b">
        <v>1</v>
      </c>
      <c r="T465" s="149"/>
      <c r="U465" s="296"/>
      <c r="V465" s="296"/>
      <c r="W465" s="149" t="s">
        <v>2999</v>
      </c>
      <c r="X465" s="297"/>
      <c r="Y465" s="297"/>
      <c r="Z465" s="288"/>
      <c r="AA465" s="165" t="s">
        <v>2669</v>
      </c>
      <c r="AB465" s="295">
        <v>44596.0</v>
      </c>
      <c r="AC465" s="288"/>
      <c r="AD465" s="288"/>
      <c r="AE465" s="160"/>
      <c r="AF465" s="288"/>
      <c r="AG465" s="160"/>
      <c r="AH465" s="288"/>
      <c r="AI465" s="288"/>
      <c r="AJ465" s="288"/>
      <c r="AK465" s="165" t="s">
        <v>819</v>
      </c>
      <c r="AL465" s="288"/>
      <c r="AM465" s="288"/>
      <c r="AN465" s="288"/>
      <c r="AO465" s="165"/>
      <c r="AP465" s="150"/>
      <c r="AQ465" s="165"/>
    </row>
    <row r="466">
      <c r="A466" s="150" t="s">
        <v>3786</v>
      </c>
      <c r="B466" s="150" t="s">
        <v>3787</v>
      </c>
      <c r="C466" s="175" t="str">
        <f>VLOOKUP(A466,Import!A:C,3,false)</f>
        <v>DOĞRU</v>
      </c>
      <c r="D466" s="150" t="s">
        <v>2706</v>
      </c>
      <c r="E466" s="280">
        <f>VLOOKUP(A466,Import!A:J,5,0)</f>
        <v>300</v>
      </c>
      <c r="F466" s="280" t="str">
        <f>VLOOKUP(A466,Import!A:J,6,0)</f>
        <v/>
      </c>
      <c r="G466" s="289">
        <f>VLOOKUP(A466,Import!A:J,7,0)</f>
        <v>17</v>
      </c>
      <c r="H466" s="289">
        <f>VLOOKUP(A466,Import!A:J,8,0)</f>
        <v>14</v>
      </c>
      <c r="I466" s="289">
        <f>VLOOKUP(A466,Import!A:J,9,0)</f>
        <v>31</v>
      </c>
      <c r="J466" s="282">
        <f>VLOOKUP(A466,Import!A:J,10,0)</f>
        <v>0.55</v>
      </c>
      <c r="K466" s="244" t="str">
        <f>VLOOKUP(A466,Import!A:P,11,0)</f>
        <v>Osman Çelik</v>
      </c>
      <c r="L466" s="150">
        <v>5.469251906E9</v>
      </c>
      <c r="M466" s="150" t="s">
        <v>2666</v>
      </c>
      <c r="N466" s="150" t="s">
        <v>2801</v>
      </c>
      <c r="O466" s="150" t="s">
        <v>1767</v>
      </c>
      <c r="P466" s="244" t="str">
        <f>VLOOKUP(A466,Import!A:P,16,0)</f>
        <v>Geleneksel</v>
      </c>
      <c r="Q466" s="291"/>
      <c r="R466" s="292" t="b">
        <v>1</v>
      </c>
      <c r="S466" s="293" t="b">
        <v>0</v>
      </c>
      <c r="T466" s="145" t="s">
        <v>2734</v>
      </c>
      <c r="U466" s="296"/>
      <c r="V466" s="296"/>
      <c r="W466" s="149" t="s">
        <v>3788</v>
      </c>
      <c r="X466" s="297"/>
      <c r="Y466" s="297"/>
      <c r="Z466" s="288"/>
      <c r="AA466" s="165" t="s">
        <v>2669</v>
      </c>
      <c r="AB466" s="295">
        <v>44490.0</v>
      </c>
      <c r="AC466" s="165" t="s">
        <v>2669</v>
      </c>
      <c r="AD466" s="295">
        <v>44516.0</v>
      </c>
      <c r="AE466" s="160"/>
      <c r="AF466" s="288"/>
      <c r="AG466" s="160"/>
      <c r="AH466" s="288"/>
      <c r="AI466" s="288"/>
      <c r="AJ466" s="288"/>
      <c r="AK466" s="165" t="s">
        <v>1754</v>
      </c>
      <c r="AL466" s="165" t="s">
        <v>1621</v>
      </c>
      <c r="AM466" s="288"/>
      <c r="AN466" s="288"/>
      <c r="AO466" s="288"/>
      <c r="AP466" s="150" t="s">
        <v>2663</v>
      </c>
      <c r="AQ466" s="288"/>
    </row>
    <row r="467">
      <c r="A467" s="244" t="s">
        <v>3789</v>
      </c>
      <c r="B467" s="244" t="s">
        <v>3790</v>
      </c>
      <c r="C467" s="175" t="str">
        <f>VLOOKUP(A467,Import!A:C,3,false)</f>
        <v>DOĞRU</v>
      </c>
      <c r="D467" s="244" t="s">
        <v>2672</v>
      </c>
      <c r="E467" s="280">
        <f>VLOOKUP(A467,Import!A:J,5,0)</f>
        <v>10298</v>
      </c>
      <c r="F467" s="280">
        <f>VLOOKUP(A467,Import!A:J,6,0)</f>
        <v>204</v>
      </c>
      <c r="G467" s="289">
        <f>VLOOKUP(A467,Import!A:J,7,0)</f>
        <v>0</v>
      </c>
      <c r="H467" s="289">
        <f>VLOOKUP(A467,Import!A:J,8,0)</f>
        <v>13</v>
      </c>
      <c r="I467" s="289">
        <f>VLOOKUP(A467,Import!A:J,9,0)</f>
        <v>13</v>
      </c>
      <c r="J467" s="282">
        <f>VLOOKUP(A467,Import!A:J,10,0)</f>
        <v>0</v>
      </c>
      <c r="K467" s="244" t="str">
        <f>VLOOKUP(A467,Import!A:P,11,0)</f>
        <v>Safiye Ermiş</v>
      </c>
      <c r="L467" s="280">
        <v>5.436221965E9</v>
      </c>
      <c r="M467" s="244" t="s">
        <v>2666</v>
      </c>
      <c r="N467" s="244" t="s">
        <v>2801</v>
      </c>
      <c r="O467" s="244" t="s">
        <v>3791</v>
      </c>
      <c r="P467" s="244" t="str">
        <f>VLOOKUP(A467,Import!A:P,16,0)</f>
        <v>Geleneksel</v>
      </c>
      <c r="Q467" s="291" t="s">
        <v>2660</v>
      </c>
      <c r="R467" s="292" t="b">
        <v>1</v>
      </c>
      <c r="S467" s="292" t="b">
        <v>1</v>
      </c>
      <c r="T467" s="160"/>
      <c r="U467" s="160"/>
      <c r="V467" s="160"/>
      <c r="W467" s="165"/>
      <c r="X467" s="288"/>
      <c r="Y467" s="288"/>
      <c r="Z467" s="288"/>
      <c r="AA467" s="165" t="s">
        <v>2693</v>
      </c>
      <c r="AB467" s="295">
        <v>44490.0</v>
      </c>
      <c r="AC467" s="288"/>
      <c r="AD467" s="288"/>
      <c r="AE467" s="160"/>
      <c r="AF467" s="288"/>
      <c r="AG467" s="160"/>
      <c r="AH467" s="288"/>
      <c r="AI467" s="288"/>
      <c r="AJ467" s="288"/>
      <c r="AK467" s="165" t="s">
        <v>1754</v>
      </c>
      <c r="AL467" s="288"/>
      <c r="AM467" s="288"/>
      <c r="AN467" s="288"/>
      <c r="AO467" s="288"/>
      <c r="AP467" s="150" t="s">
        <v>2663</v>
      </c>
      <c r="AQ467" s="288"/>
    </row>
    <row r="468">
      <c r="A468" s="150" t="s">
        <v>1797</v>
      </c>
      <c r="B468" s="150" t="s">
        <v>1798</v>
      </c>
      <c r="C468" s="175" t="str">
        <f>VLOOKUP(A468,Import!A:C,3,false)</f>
        <v>DOĞRU</v>
      </c>
      <c r="D468" s="150" t="s">
        <v>2701</v>
      </c>
      <c r="E468" s="280">
        <f>VLOOKUP(A468,Import!A:J,5,0)</f>
        <v>88</v>
      </c>
      <c r="F468" s="280">
        <f>VLOOKUP(A468,Import!A:J,6,0)</f>
        <v>2</v>
      </c>
      <c r="G468" s="289">
        <f>VLOOKUP(A468,Import!A:J,7,0)</f>
        <v>43</v>
      </c>
      <c r="H468" s="289">
        <f>VLOOKUP(A468,Import!A:J,8,0)</f>
        <v>1</v>
      </c>
      <c r="I468" s="289">
        <f>VLOOKUP(A468,Import!A:J,9,0)</f>
        <v>44</v>
      </c>
      <c r="J468" s="282">
        <f>VLOOKUP(A468,Import!A:J,10,0)</f>
        <v>0.98</v>
      </c>
      <c r="K468" s="244" t="str">
        <f>VLOOKUP(A468,Import!A:P,11,0)</f>
        <v>MESUT YILMAZ</v>
      </c>
      <c r="L468" s="150">
        <v>2.222217999E9</v>
      </c>
      <c r="M468" s="150" t="s">
        <v>2666</v>
      </c>
      <c r="N468" s="150" t="s">
        <v>2711</v>
      </c>
      <c r="O468" s="150" t="s">
        <v>555</v>
      </c>
      <c r="P468" s="244" t="str">
        <f>VLOOKUP(A468,Import!A:P,16,0)</f>
        <v>Geleneksel</v>
      </c>
      <c r="Q468" s="291"/>
      <c r="R468" s="292" t="b">
        <v>1</v>
      </c>
      <c r="S468" s="293" t="b">
        <v>0</v>
      </c>
      <c r="T468" s="149" t="s">
        <v>2661</v>
      </c>
      <c r="U468" s="149" t="s">
        <v>819</v>
      </c>
      <c r="V468" s="301" t="s">
        <v>1609</v>
      </c>
      <c r="W468" s="149" t="s">
        <v>3792</v>
      </c>
      <c r="X468" s="294">
        <v>44503.0</v>
      </c>
      <c r="Y468" s="294">
        <v>44508.0</v>
      </c>
      <c r="Z468" s="288"/>
      <c r="AA468" s="165" t="s">
        <v>2669</v>
      </c>
      <c r="AB468" s="295">
        <v>44496.0</v>
      </c>
      <c r="AC468" s="165" t="s">
        <v>2688</v>
      </c>
      <c r="AD468" s="295">
        <v>44497.0</v>
      </c>
      <c r="AE468" s="165" t="s">
        <v>2669</v>
      </c>
      <c r="AF468" s="295">
        <v>44503.0</v>
      </c>
      <c r="AG468" s="160"/>
      <c r="AH468" s="288"/>
      <c r="AI468" s="288"/>
      <c r="AJ468" s="288"/>
      <c r="AK468" s="165" t="s">
        <v>819</v>
      </c>
      <c r="AL468" s="165" t="s">
        <v>819</v>
      </c>
      <c r="AM468" s="165" t="s">
        <v>819</v>
      </c>
      <c r="AN468" s="288"/>
      <c r="AO468" s="288"/>
      <c r="AP468" s="150" t="s">
        <v>2663</v>
      </c>
      <c r="AQ468" s="288"/>
    </row>
    <row r="469">
      <c r="A469" s="150" t="s">
        <v>3793</v>
      </c>
      <c r="B469" s="150" t="s">
        <v>3794</v>
      </c>
      <c r="C469" s="175" t="str">
        <f>VLOOKUP(A469,Import!A:C,3,false)</f>
        <v>DOĞRU</v>
      </c>
      <c r="D469" s="150" t="s">
        <v>2664</v>
      </c>
      <c r="E469" s="280">
        <f>VLOOKUP(A469,Import!A:J,5,0)</f>
        <v>111</v>
      </c>
      <c r="F469" s="280">
        <f>VLOOKUP(A469,Import!A:J,6,0)</f>
        <v>17</v>
      </c>
      <c r="G469" s="289">
        <f>VLOOKUP(A469,Import!A:J,7,0)</f>
        <v>2</v>
      </c>
      <c r="H469" s="289">
        <f>VLOOKUP(A469,Import!A:J,8,0)</f>
        <v>17</v>
      </c>
      <c r="I469" s="289">
        <f>VLOOKUP(A469,Import!A:J,9,0)</f>
        <v>19</v>
      </c>
      <c r="J469" s="282">
        <f>VLOOKUP(A469,Import!A:J,10,0)</f>
        <v>0.11</v>
      </c>
      <c r="K469" s="290" t="s">
        <v>3795</v>
      </c>
      <c r="L469" s="150">
        <v>2.223228483E9</v>
      </c>
      <c r="M469" s="150" t="s">
        <v>1450</v>
      </c>
      <c r="N469" s="150" t="s">
        <v>2782</v>
      </c>
      <c r="O469" s="150" t="s">
        <v>3796</v>
      </c>
      <c r="P469" s="244" t="str">
        <f>VLOOKUP(A469,Import!A:P,16,0)</f>
        <v>Geleneksel</v>
      </c>
      <c r="Q469" s="291"/>
      <c r="R469" s="292" t="b">
        <v>0</v>
      </c>
      <c r="S469" s="293" t="b">
        <v>0</v>
      </c>
      <c r="T469" s="149"/>
      <c r="U469" s="296"/>
      <c r="V469" s="296"/>
      <c r="W469" s="149"/>
      <c r="X469" s="297"/>
      <c r="Y469" s="297"/>
      <c r="Z469" s="288"/>
      <c r="AA469" s="165"/>
      <c r="AB469" s="295"/>
      <c r="AC469" s="288"/>
      <c r="AD469" s="288"/>
      <c r="AE469" s="160"/>
      <c r="AF469" s="288"/>
      <c r="AG469" s="160"/>
      <c r="AH469" s="288"/>
      <c r="AI469" s="288"/>
      <c r="AJ469" s="288"/>
      <c r="AK469" s="165"/>
      <c r="AL469" s="288"/>
      <c r="AM469" s="288"/>
      <c r="AN469" s="288"/>
      <c r="AO469" s="165"/>
      <c r="AP469" s="150"/>
      <c r="AQ469" s="165"/>
    </row>
    <row r="470">
      <c r="A470" s="150" t="s">
        <v>452</v>
      </c>
      <c r="B470" s="150" t="s">
        <v>453</v>
      </c>
      <c r="C470" s="175" t="str">
        <f>VLOOKUP(A470,Import!A:C,3,false)</f>
        <v>DOĞRU</v>
      </c>
      <c r="D470" s="150" t="s">
        <v>2978</v>
      </c>
      <c r="E470" s="280">
        <f>VLOOKUP(A470,Import!A:J,5,0)</f>
        <v>7588</v>
      </c>
      <c r="F470" s="280">
        <f>VLOOKUP(A470,Import!A:J,6,0)</f>
        <v>316</v>
      </c>
      <c r="G470" s="289">
        <f>VLOOKUP(A470,Import!A:J,7,0)</f>
        <v>39</v>
      </c>
      <c r="H470" s="289">
        <f>VLOOKUP(A470,Import!A:J,8,0)</f>
        <v>78</v>
      </c>
      <c r="I470" s="289">
        <f>VLOOKUP(A470,Import!A:J,9,0)</f>
        <v>117</v>
      </c>
      <c r="J470" s="282">
        <f>VLOOKUP(A470,Import!A:J,10,0)</f>
        <v>0.33</v>
      </c>
      <c r="K470" s="244" t="str">
        <f>VLOOKUP(A470,Import!A:P,11,0)</f>
        <v>FİLİZ CENGİZ</v>
      </c>
      <c r="L470" s="150">
        <v>5.352628977E9</v>
      </c>
      <c r="M470" s="150" t="s">
        <v>1450</v>
      </c>
      <c r="N470" s="150" t="s">
        <v>2732</v>
      </c>
      <c r="O470" s="150" t="s">
        <v>455</v>
      </c>
      <c r="P470" s="244" t="str">
        <f>VLOOKUP(A470,Import!A:P,16,0)</f>
        <v>Geleneksel</v>
      </c>
      <c r="Q470" s="291" t="s">
        <v>2713</v>
      </c>
      <c r="R470" s="292" t="b">
        <v>1</v>
      </c>
      <c r="S470" s="293" t="b">
        <v>0</v>
      </c>
      <c r="T470" s="149" t="s">
        <v>2661</v>
      </c>
      <c r="U470" s="149" t="s">
        <v>1000</v>
      </c>
      <c r="V470" s="149" t="s">
        <v>31</v>
      </c>
      <c r="W470" s="149" t="s">
        <v>3797</v>
      </c>
      <c r="X470" s="294">
        <v>44270.0</v>
      </c>
      <c r="Y470" s="294">
        <v>44271.0</v>
      </c>
      <c r="Z470" s="288"/>
      <c r="AA470" s="165" t="s">
        <v>2669</v>
      </c>
      <c r="AB470" s="295">
        <v>44488.0</v>
      </c>
      <c r="AC470" s="288"/>
      <c r="AD470" s="288"/>
      <c r="AE470" s="160"/>
      <c r="AF470" s="288"/>
      <c r="AG470" s="160"/>
      <c r="AH470" s="288"/>
      <c r="AI470" s="288"/>
      <c r="AJ470" s="288"/>
      <c r="AK470" s="165" t="s">
        <v>1717</v>
      </c>
      <c r="AL470" s="288"/>
      <c r="AM470" s="288"/>
      <c r="AN470" s="288"/>
      <c r="AO470" s="288"/>
      <c r="AP470" s="150" t="s">
        <v>2663</v>
      </c>
      <c r="AQ470" s="288"/>
    </row>
    <row r="471">
      <c r="A471" s="244" t="s">
        <v>285</v>
      </c>
      <c r="B471" s="244" t="s">
        <v>286</v>
      </c>
      <c r="C471" s="175" t="str">
        <f>VLOOKUP(A471,Import!A:C,3,false)</f>
        <v>YANLIŞ</v>
      </c>
      <c r="D471" s="244" t="s">
        <v>2978</v>
      </c>
      <c r="E471" s="280">
        <f>VLOOKUP(A471,Import!A:J,5,0)</f>
        <v>3134</v>
      </c>
      <c r="F471" s="280" t="str">
        <f>VLOOKUP(A471,Import!A:J,6,0)</f>
        <v/>
      </c>
      <c r="G471" s="289">
        <f>VLOOKUP(A471,Import!A:J,7,0)</f>
        <v>11</v>
      </c>
      <c r="H471" s="289">
        <f>VLOOKUP(A471,Import!A:J,8,0)</f>
        <v>7</v>
      </c>
      <c r="I471" s="289">
        <f>VLOOKUP(A471,Import!A:J,9,0)</f>
        <v>18</v>
      </c>
      <c r="J471" s="282">
        <f>VLOOKUP(A471,Import!A:J,10,0)</f>
        <v>0.61</v>
      </c>
      <c r="K471" s="244" t="str">
        <f>VLOOKUP(A471,Import!A:P,11,0)</f>
        <v>TUĞFAN ALPEREN YILDIZ</v>
      </c>
      <c r="L471" s="280">
        <v>5.342260334E9</v>
      </c>
      <c r="M471" s="244" t="s">
        <v>2666</v>
      </c>
      <c r="N471" s="244" t="s">
        <v>2682</v>
      </c>
      <c r="O471" s="244" t="s">
        <v>288</v>
      </c>
      <c r="P471" s="244" t="str">
        <f>VLOOKUP(A471,Import!A:P,16,0)</f>
        <v>Geleneksel</v>
      </c>
      <c r="Q471" s="291" t="s">
        <v>2686</v>
      </c>
      <c r="R471" s="292" t="b">
        <v>1</v>
      </c>
      <c r="S471" s="293" t="b">
        <v>0</v>
      </c>
      <c r="T471" s="165" t="s">
        <v>2661</v>
      </c>
      <c r="U471" s="165" t="s">
        <v>943</v>
      </c>
      <c r="V471" s="165" t="s">
        <v>31</v>
      </c>
      <c r="W471" s="160"/>
      <c r="X471" s="295">
        <v>44260.0</v>
      </c>
      <c r="Y471" s="295">
        <v>44263.0</v>
      </c>
      <c r="Z471" s="288"/>
      <c r="AA471" s="288"/>
      <c r="AB471" s="288"/>
      <c r="AC471" s="288"/>
      <c r="AD471" s="288"/>
      <c r="AE471" s="160"/>
      <c r="AF471" s="288"/>
      <c r="AG471" s="160"/>
      <c r="AH471" s="288"/>
      <c r="AI471" s="288"/>
      <c r="AJ471" s="288"/>
      <c r="AK471" s="288"/>
      <c r="AL471" s="288"/>
      <c r="AM471" s="288"/>
      <c r="AN471" s="288"/>
      <c r="AO471" s="288"/>
      <c r="AP471" s="150" t="s">
        <v>2663</v>
      </c>
      <c r="AQ471" s="288"/>
    </row>
    <row r="472">
      <c r="A472" s="244" t="s">
        <v>603</v>
      </c>
      <c r="B472" s="244" t="s">
        <v>604</v>
      </c>
      <c r="C472" s="175" t="str">
        <f>VLOOKUP(A472,Import!A:C,3,false)</f>
        <v>DOĞRU</v>
      </c>
      <c r="D472" s="244" t="s">
        <v>2978</v>
      </c>
      <c r="E472" s="280">
        <f>VLOOKUP(A472,Import!A:J,5,0)</f>
        <v>1091</v>
      </c>
      <c r="F472" s="280">
        <f>VLOOKUP(A472,Import!A:J,6,0)</f>
        <v>31</v>
      </c>
      <c r="G472" s="289">
        <f>VLOOKUP(A472,Import!A:J,7,0)</f>
        <v>0</v>
      </c>
      <c r="H472" s="289">
        <f>VLOOKUP(A472,Import!A:J,8,0)</f>
        <v>20</v>
      </c>
      <c r="I472" s="289">
        <f>VLOOKUP(A472,Import!A:J,9,0)</f>
        <v>20</v>
      </c>
      <c r="J472" s="282">
        <f>VLOOKUP(A472,Import!A:J,10,0)</f>
        <v>0</v>
      </c>
      <c r="K472" s="244" t="str">
        <f>VLOOKUP(A472,Import!A:P,11,0)</f>
        <v>ALİ CEBECİ</v>
      </c>
      <c r="L472" s="280">
        <v>5.548010704E9</v>
      </c>
      <c r="M472" s="244" t="s">
        <v>1450</v>
      </c>
      <c r="N472" s="244" t="s">
        <v>2716</v>
      </c>
      <c r="O472" s="244" t="s">
        <v>606</v>
      </c>
      <c r="P472" s="244" t="str">
        <f>VLOOKUP(A472,Import!A:P,16,0)</f>
        <v>Geleneksel</v>
      </c>
      <c r="Q472" s="291" t="s">
        <v>2686</v>
      </c>
      <c r="R472" s="292" t="b">
        <v>1</v>
      </c>
      <c r="S472" s="293" t="b">
        <v>0</v>
      </c>
      <c r="T472" s="165" t="s">
        <v>2714</v>
      </c>
      <c r="U472" s="165"/>
      <c r="V472" s="165" t="s">
        <v>13</v>
      </c>
      <c r="W472" s="165" t="s">
        <v>3798</v>
      </c>
      <c r="X472" s="295">
        <v>44238.0</v>
      </c>
      <c r="Y472" s="295">
        <v>44251.0</v>
      </c>
      <c r="Z472" s="288"/>
      <c r="AA472" s="165" t="s">
        <v>2669</v>
      </c>
      <c r="AB472" s="295">
        <v>44484.0</v>
      </c>
      <c r="AC472" s="288"/>
      <c r="AD472" s="288"/>
      <c r="AE472" s="160"/>
      <c r="AF472" s="288"/>
      <c r="AG472" s="160"/>
      <c r="AH472" s="288"/>
      <c r="AI472" s="288"/>
      <c r="AJ472" s="288"/>
      <c r="AK472" s="165" t="s">
        <v>819</v>
      </c>
      <c r="AL472" s="288"/>
      <c r="AM472" s="288"/>
      <c r="AN472" s="288"/>
      <c r="AO472" s="288"/>
      <c r="AP472" s="150" t="s">
        <v>2663</v>
      </c>
      <c r="AQ472" s="288"/>
    </row>
    <row r="473">
      <c r="A473" s="147" t="s">
        <v>3799</v>
      </c>
      <c r="B473" s="147" t="s">
        <v>3800</v>
      </c>
      <c r="C473" s="175" t="str">
        <f>VLOOKUP(A473,Import!A:C,3,false)</f>
        <v>DOĞRU</v>
      </c>
      <c r="D473" s="147" t="s">
        <v>2701</v>
      </c>
      <c r="E473" s="280">
        <f>VLOOKUP(A473,Import!A:J,5,0)</f>
        <v>172</v>
      </c>
      <c r="F473" s="280">
        <f>VLOOKUP(A473,Import!A:J,6,0)</f>
        <v>2</v>
      </c>
      <c r="G473" s="289">
        <f>VLOOKUP(A473,Import!A:J,7,0)</f>
        <v>11</v>
      </c>
      <c r="H473" s="289">
        <f>VLOOKUP(A473,Import!A:J,8,0)</f>
        <v>5</v>
      </c>
      <c r="I473" s="289">
        <f>VLOOKUP(A473,Import!A:J,9,0)</f>
        <v>16</v>
      </c>
      <c r="J473" s="282">
        <f>VLOOKUP(A473,Import!A:J,10,0)</f>
        <v>0.69</v>
      </c>
      <c r="K473" s="244" t="str">
        <f>VLOOKUP(A473,Import!A:P,11,0)</f>
        <v>Ceylan Akçınar</v>
      </c>
      <c r="L473" s="147">
        <v>5.304942107E9</v>
      </c>
      <c r="M473" s="147" t="s">
        <v>2666</v>
      </c>
      <c r="N473" s="147" t="s">
        <v>2667</v>
      </c>
      <c r="O473" s="147" t="s">
        <v>3801</v>
      </c>
      <c r="P473" s="244" t="str">
        <f>VLOOKUP(A473,Import!A:P,16,0)</f>
        <v>Geleneksel</v>
      </c>
      <c r="Q473" s="330"/>
      <c r="R473" s="292" t="b">
        <v>1</v>
      </c>
      <c r="S473" s="293" t="b">
        <v>0</v>
      </c>
      <c r="T473" s="296"/>
      <c r="U473" s="296"/>
      <c r="V473" s="296"/>
      <c r="W473" s="149" t="s">
        <v>3802</v>
      </c>
      <c r="X473" s="297"/>
      <c r="Y473" s="297"/>
      <c r="Z473" s="288"/>
      <c r="AA473" s="288"/>
      <c r="AB473" s="288"/>
      <c r="AC473" s="288"/>
      <c r="AD473" s="288"/>
      <c r="AE473" s="160"/>
      <c r="AF473" s="288"/>
      <c r="AG473" s="160"/>
      <c r="AH473" s="288"/>
      <c r="AI473" s="288"/>
      <c r="AJ473" s="288"/>
      <c r="AK473" s="288"/>
      <c r="AL473" s="288"/>
      <c r="AM473" s="288"/>
      <c r="AN473" s="288"/>
      <c r="AO473" s="288"/>
      <c r="AP473" s="150" t="s">
        <v>2663</v>
      </c>
      <c r="AQ473" s="288"/>
    </row>
    <row r="474">
      <c r="A474" s="150" t="s">
        <v>3803</v>
      </c>
      <c r="B474" s="150" t="s">
        <v>3804</v>
      </c>
      <c r="C474" s="175" t="str">
        <f>VLOOKUP(A474,Import!A:C,3,false)</f>
        <v>DOĞRU</v>
      </c>
      <c r="D474" s="150" t="s">
        <v>2684</v>
      </c>
      <c r="E474" s="280">
        <f>VLOOKUP(A474,Import!A:J,5,0)</f>
        <v>285</v>
      </c>
      <c r="F474" s="280" t="str">
        <f>VLOOKUP(A474,Import!A:J,6,0)</f>
        <v/>
      </c>
      <c r="G474" s="289">
        <f>VLOOKUP(A474,Import!A:J,7,0)</f>
        <v>0</v>
      </c>
      <c r="H474" s="289">
        <f>VLOOKUP(A474,Import!A:J,8,0)</f>
        <v>10</v>
      </c>
      <c r="I474" s="289">
        <f>VLOOKUP(A474,Import!A:J,9,0)</f>
        <v>10</v>
      </c>
      <c r="J474" s="282">
        <f>VLOOKUP(A474,Import!A:J,10,0)</f>
        <v>0</v>
      </c>
      <c r="K474" s="290" t="s">
        <v>3805</v>
      </c>
      <c r="L474" s="150">
        <v>5.495890222E9</v>
      </c>
      <c r="M474" s="150" t="s">
        <v>2666</v>
      </c>
      <c r="N474" s="150" t="s">
        <v>2774</v>
      </c>
      <c r="O474" s="150" t="s">
        <v>3806</v>
      </c>
      <c r="P474" s="244" t="str">
        <f>VLOOKUP(A474,Import!A:P,16,0)</f>
        <v>Geleneksel</v>
      </c>
      <c r="Q474" s="291"/>
      <c r="R474" s="292" t="b">
        <v>1</v>
      </c>
      <c r="S474" s="293" t="b">
        <v>0</v>
      </c>
      <c r="T474" s="149"/>
      <c r="U474" s="296"/>
      <c r="V474" s="296"/>
      <c r="W474" s="165" t="s">
        <v>3807</v>
      </c>
      <c r="X474" s="297"/>
      <c r="Y474" s="297"/>
      <c r="Z474" s="288"/>
      <c r="AA474" s="165" t="s">
        <v>2669</v>
      </c>
      <c r="AB474" s="295">
        <v>44522.0</v>
      </c>
      <c r="AC474" s="288"/>
      <c r="AD474" s="288"/>
      <c r="AE474" s="160"/>
      <c r="AF474" s="288"/>
      <c r="AG474" s="160"/>
      <c r="AH474" s="288"/>
      <c r="AI474" s="288"/>
      <c r="AJ474" s="288"/>
      <c r="AK474" s="165" t="s">
        <v>1715</v>
      </c>
      <c r="AL474" s="288"/>
      <c r="AM474" s="288"/>
      <c r="AN474" s="288"/>
      <c r="AO474" s="288"/>
      <c r="AP474" s="150" t="s">
        <v>2663</v>
      </c>
      <c r="AQ474" s="288"/>
    </row>
    <row r="475">
      <c r="A475" s="244" t="s">
        <v>3808</v>
      </c>
      <c r="B475" s="244" t="s">
        <v>3809</v>
      </c>
      <c r="C475" s="175" t="str">
        <f>VLOOKUP(A475,Import!A:C,3,false)</f>
        <v>DOĞRU</v>
      </c>
      <c r="D475" s="244" t="s">
        <v>2701</v>
      </c>
      <c r="E475" s="280">
        <f>VLOOKUP(A475,Import!A:J,5,0)</f>
        <v>7596</v>
      </c>
      <c r="F475" s="280">
        <f>VLOOKUP(A475,Import!A:J,6,0)</f>
        <v>126</v>
      </c>
      <c r="G475" s="289">
        <f>VLOOKUP(A475,Import!A:J,7,0)</f>
        <v>5</v>
      </c>
      <c r="H475" s="289">
        <f>VLOOKUP(A475,Import!A:J,8,0)</f>
        <v>4</v>
      </c>
      <c r="I475" s="289">
        <f>VLOOKUP(A475,Import!A:J,9,0)</f>
        <v>9</v>
      </c>
      <c r="J475" s="282">
        <f>VLOOKUP(A475,Import!A:J,10,0)</f>
        <v>0.56</v>
      </c>
      <c r="K475" s="244" t="str">
        <f>VLOOKUP(A475,Import!A:P,11,0)</f>
        <v>MURAT ALTAY</v>
      </c>
      <c r="L475" s="280">
        <v>5.495890222E9</v>
      </c>
      <c r="M475" s="244" t="s">
        <v>2666</v>
      </c>
      <c r="N475" s="244" t="s">
        <v>2667</v>
      </c>
      <c r="O475" s="244" t="s">
        <v>3810</v>
      </c>
      <c r="P475" s="244" t="str">
        <f>VLOOKUP(A475,Import!A:P,16,0)</f>
        <v>Geleneksel</v>
      </c>
      <c r="Q475" s="291" t="s">
        <v>2660</v>
      </c>
      <c r="R475" s="292" t="b">
        <v>1</v>
      </c>
      <c r="S475" s="292" t="b">
        <v>1</v>
      </c>
      <c r="T475" s="296"/>
      <c r="U475" s="296"/>
      <c r="V475" s="296"/>
      <c r="X475" s="297"/>
      <c r="Y475" s="297"/>
      <c r="Z475" s="288"/>
      <c r="AA475" s="288"/>
      <c r="AB475" s="288"/>
      <c r="AC475" s="288"/>
      <c r="AD475" s="288"/>
      <c r="AE475" s="160"/>
      <c r="AF475" s="288"/>
      <c r="AG475" s="160"/>
      <c r="AH475" s="288"/>
      <c r="AI475" s="288"/>
      <c r="AJ475" s="288"/>
      <c r="AK475" s="288"/>
      <c r="AL475" s="288"/>
      <c r="AM475" s="288"/>
      <c r="AN475" s="288"/>
      <c r="AO475" s="288"/>
      <c r="AP475" s="150" t="s">
        <v>2663</v>
      </c>
      <c r="AQ475" s="288"/>
    </row>
    <row r="476">
      <c r="A476" s="150" t="s">
        <v>665</v>
      </c>
      <c r="B476" s="150" t="s">
        <v>666</v>
      </c>
      <c r="C476" s="175" t="str">
        <f>VLOOKUP(A476,Import!A:C,3,false)</f>
        <v>DOĞRU</v>
      </c>
      <c r="D476" s="150" t="s">
        <v>2696</v>
      </c>
      <c r="E476" s="280">
        <f>VLOOKUP(A476,Import!A:J,5,0)</f>
        <v>3166</v>
      </c>
      <c r="F476" s="280">
        <f>VLOOKUP(A476,Import!A:J,6,0)</f>
        <v>14</v>
      </c>
      <c r="G476" s="289">
        <f>VLOOKUP(A476,Import!A:J,7,0)</f>
        <v>10</v>
      </c>
      <c r="H476" s="289">
        <f>VLOOKUP(A476,Import!A:J,8,0)</f>
        <v>36</v>
      </c>
      <c r="I476" s="289">
        <f>VLOOKUP(A476,Import!A:J,9,0)</f>
        <v>46</v>
      </c>
      <c r="J476" s="282">
        <f>VLOOKUP(A476,Import!A:J,10,0)</f>
        <v>0.22</v>
      </c>
      <c r="K476" s="244" t="str">
        <f>VLOOKUP(A476,Import!A:P,11,0)</f>
        <v>ALİYE KARAÇINAR</v>
      </c>
      <c r="L476" s="150">
        <v>2.225028686E9</v>
      </c>
      <c r="M476" s="150" t="s">
        <v>2666</v>
      </c>
      <c r="N476" s="150" t="s">
        <v>2721</v>
      </c>
      <c r="O476" s="150" t="s">
        <v>668</v>
      </c>
      <c r="P476" s="244" t="str">
        <f>VLOOKUP(A476,Import!A:P,16,0)</f>
        <v>Geleneksel</v>
      </c>
      <c r="Q476" s="291" t="s">
        <v>2713</v>
      </c>
      <c r="R476" s="292" t="b">
        <v>1</v>
      </c>
      <c r="S476" s="292" t="b">
        <v>1</v>
      </c>
      <c r="T476" s="296"/>
      <c r="U476" s="149" t="s">
        <v>1791</v>
      </c>
      <c r="V476" s="269" t="s">
        <v>1609</v>
      </c>
      <c r="W476" s="149" t="s">
        <v>3811</v>
      </c>
      <c r="X476" s="294">
        <v>44547.0</v>
      </c>
      <c r="Y476" s="294">
        <v>44553.0</v>
      </c>
      <c r="Z476" s="288"/>
      <c r="AA476" s="165" t="s">
        <v>2669</v>
      </c>
      <c r="AB476" s="295">
        <v>44547.0</v>
      </c>
      <c r="AC476" s="288"/>
      <c r="AD476" s="288"/>
      <c r="AE476" s="160"/>
      <c r="AF476" s="288"/>
      <c r="AG476" s="160"/>
      <c r="AH476" s="288"/>
      <c r="AI476" s="288"/>
      <c r="AJ476" s="288"/>
      <c r="AK476" s="165" t="s">
        <v>1791</v>
      </c>
      <c r="AL476" s="288"/>
      <c r="AM476" s="288"/>
      <c r="AN476" s="288"/>
      <c r="AO476" s="288"/>
      <c r="AP476" s="150" t="s">
        <v>2663</v>
      </c>
      <c r="AQ476" s="288"/>
    </row>
    <row r="477">
      <c r="A477" s="244" t="s">
        <v>479</v>
      </c>
      <c r="B477" s="244" t="s">
        <v>480</v>
      </c>
      <c r="C477" s="175" t="str">
        <f>VLOOKUP(A477,Import!A:C,3,false)</f>
        <v>DOĞRU</v>
      </c>
      <c r="D477" s="362" t="s">
        <v>2867</v>
      </c>
      <c r="E477" s="280">
        <f>VLOOKUP(A477,Import!A:J,5,0)</f>
        <v>3257</v>
      </c>
      <c r="F477" s="280" t="str">
        <f>VLOOKUP(A477,Import!A:J,6,0)</f>
        <v/>
      </c>
      <c r="G477" s="289">
        <f>VLOOKUP(A477,Import!A:J,7,0)</f>
        <v>2</v>
      </c>
      <c r="H477" s="289">
        <f>VLOOKUP(A477,Import!A:J,8,0)</f>
        <v>16</v>
      </c>
      <c r="I477" s="289">
        <f>VLOOKUP(A477,Import!A:J,9,0)</f>
        <v>18</v>
      </c>
      <c r="J477" s="282">
        <f>VLOOKUP(A477,Import!A:J,10,0)</f>
        <v>0.11</v>
      </c>
      <c r="K477" s="244" t="str">
        <f>VLOOKUP(A477,Import!A:P,11,0)</f>
        <v>MERYEM EROĞLU</v>
      </c>
      <c r="L477" s="280">
        <v>5.457269126E9</v>
      </c>
      <c r="M477" s="244" t="s">
        <v>1450</v>
      </c>
      <c r="N477" s="244" t="s">
        <v>2732</v>
      </c>
      <c r="O477" s="244" t="s">
        <v>482</v>
      </c>
      <c r="P477" s="244" t="str">
        <f>VLOOKUP(A477,Import!A:P,16,0)</f>
        <v>Geleneksel</v>
      </c>
      <c r="Q477" s="291" t="s">
        <v>2660</v>
      </c>
      <c r="R477" s="292" t="b">
        <v>1</v>
      </c>
      <c r="S477" s="293" t="b">
        <v>0</v>
      </c>
      <c r="T477" s="165" t="s">
        <v>2661</v>
      </c>
      <c r="U477" s="165"/>
      <c r="V477" s="165" t="s">
        <v>3435</v>
      </c>
      <c r="W477" s="149" t="s">
        <v>3812</v>
      </c>
      <c r="X477" s="294">
        <v>44238.0</v>
      </c>
      <c r="Y477" s="294">
        <v>44244.0</v>
      </c>
      <c r="Z477" s="288"/>
      <c r="AA477" s="165" t="s">
        <v>2669</v>
      </c>
      <c r="AB477" s="295">
        <v>44488.0</v>
      </c>
      <c r="AC477" s="288"/>
      <c r="AD477" s="288"/>
      <c r="AE477" s="160"/>
      <c r="AF477" s="288"/>
      <c r="AG477" s="160"/>
      <c r="AH477" s="288"/>
      <c r="AI477" s="288"/>
      <c r="AJ477" s="288"/>
      <c r="AK477" s="165" t="s">
        <v>1717</v>
      </c>
      <c r="AL477" s="288"/>
      <c r="AM477" s="288"/>
      <c r="AN477" s="288"/>
      <c r="AO477" s="288"/>
      <c r="AP477" s="150" t="s">
        <v>2663</v>
      </c>
      <c r="AQ477" s="288"/>
    </row>
    <row r="478">
      <c r="A478" s="244" t="s">
        <v>326</v>
      </c>
      <c r="B478" s="244" t="s">
        <v>327</v>
      </c>
      <c r="C478" s="175" t="str">
        <f>VLOOKUP(A478,Import!A:C,3,false)</f>
        <v>DOĞRU</v>
      </c>
      <c r="D478" s="303" t="s">
        <v>2736</v>
      </c>
      <c r="E478" s="280">
        <f>VLOOKUP(A478,Import!A:J,5,0)</f>
        <v>2624</v>
      </c>
      <c r="F478" s="280">
        <f>VLOOKUP(A478,Import!A:J,6,0)</f>
        <v>39</v>
      </c>
      <c r="G478" s="289">
        <f>VLOOKUP(A478,Import!A:J,7,0)</f>
        <v>19</v>
      </c>
      <c r="H478" s="289">
        <f>VLOOKUP(A478,Import!A:J,8,0)</f>
        <v>3</v>
      </c>
      <c r="I478" s="289">
        <f>VLOOKUP(A478,Import!A:J,9,0)</f>
        <v>22</v>
      </c>
      <c r="J478" s="282">
        <f>VLOOKUP(A478,Import!A:J,10,0)</f>
        <v>0.86</v>
      </c>
      <c r="K478" s="244" t="str">
        <f>VLOOKUP(A478,Import!A:P,11,0)</f>
        <v>LEVENT GÜLTEKİN</v>
      </c>
      <c r="L478" s="304">
        <v>5.493150045E9</v>
      </c>
      <c r="M478" s="303" t="s">
        <v>2666</v>
      </c>
      <c r="N478" s="303" t="s">
        <v>2667</v>
      </c>
      <c r="O478" s="303" t="s">
        <v>329</v>
      </c>
      <c r="P478" s="244" t="str">
        <f>VLOOKUP(A478,Import!A:P,16,0)</f>
        <v>Geleneksel</v>
      </c>
      <c r="Q478" s="394" t="s">
        <v>2686</v>
      </c>
      <c r="R478" s="306" t="b">
        <v>1</v>
      </c>
      <c r="S478" s="307" t="b">
        <v>0</v>
      </c>
      <c r="T478" s="309" t="s">
        <v>2661</v>
      </c>
      <c r="U478" s="309"/>
      <c r="V478" s="309" t="s">
        <v>46</v>
      </c>
      <c r="W478" s="308"/>
      <c r="X478" s="310">
        <v>44231.0</v>
      </c>
      <c r="Y478" s="310">
        <v>44239.0</v>
      </c>
      <c r="Z478" s="288"/>
      <c r="AA478" s="288"/>
      <c r="AB478" s="288"/>
      <c r="AC478" s="288"/>
      <c r="AD478" s="288"/>
      <c r="AE478" s="160"/>
      <c r="AF478" s="288"/>
      <c r="AG478" s="160"/>
      <c r="AH478" s="288"/>
      <c r="AI478" s="288"/>
      <c r="AJ478" s="288"/>
      <c r="AK478" s="288"/>
      <c r="AL478" s="288"/>
      <c r="AM478" s="288"/>
      <c r="AN478" s="288"/>
      <c r="AO478" s="288"/>
      <c r="AP478" s="150" t="s">
        <v>2663</v>
      </c>
      <c r="AQ478" s="288"/>
    </row>
    <row r="479">
      <c r="A479" s="150" t="s">
        <v>3813</v>
      </c>
      <c r="B479" s="150" t="s">
        <v>3814</v>
      </c>
      <c r="C479" s="175" t="str">
        <f>VLOOKUP(A479,Import!A:C,3,false)</f>
        <v>DOĞRU</v>
      </c>
      <c r="D479" s="150" t="s">
        <v>2763</v>
      </c>
      <c r="E479" s="280">
        <f>VLOOKUP(A479,Import!A:J,5,0)</f>
        <v>8199</v>
      </c>
      <c r="F479" s="280">
        <f>VLOOKUP(A479,Import!A:J,6,0)</f>
        <v>221</v>
      </c>
      <c r="G479" s="289">
        <f>VLOOKUP(A479,Import!A:J,7,0)</f>
        <v>0</v>
      </c>
      <c r="H479" s="289">
        <f>VLOOKUP(A479,Import!A:J,8,0)</f>
        <v>37</v>
      </c>
      <c r="I479" s="289">
        <f>VLOOKUP(A479,Import!A:J,9,0)</f>
        <v>37</v>
      </c>
      <c r="J479" s="282">
        <f>VLOOKUP(A479,Import!A:J,10,0)</f>
        <v>0</v>
      </c>
      <c r="K479" s="244" t="str">
        <f>VLOOKUP(A479,Import!A:P,11,0)</f>
        <v>Mehmet Ali Kuru</v>
      </c>
      <c r="L479" s="150">
        <v>5.532057602E9</v>
      </c>
      <c r="M479" s="150" t="s">
        <v>2666</v>
      </c>
      <c r="N479" s="150" t="s">
        <v>2794</v>
      </c>
      <c r="O479" s="150" t="s">
        <v>3815</v>
      </c>
      <c r="P479" s="244" t="str">
        <f>VLOOKUP(A479,Import!A:P,16,0)</f>
        <v>Geleneksel</v>
      </c>
      <c r="Q479" s="291" t="s">
        <v>2713</v>
      </c>
      <c r="R479" s="292" t="b">
        <v>1</v>
      </c>
      <c r="S479" s="293" t="b">
        <v>0</v>
      </c>
      <c r="T479" s="296"/>
      <c r="U479" s="296"/>
      <c r="V479" s="312"/>
      <c r="W479" s="149" t="s">
        <v>3816</v>
      </c>
      <c r="X479" s="294"/>
      <c r="Y479" s="297"/>
      <c r="Z479" s="288"/>
      <c r="AA479" s="288"/>
      <c r="AB479" s="288"/>
      <c r="AC479" s="288"/>
      <c r="AD479" s="288"/>
      <c r="AE479" s="160"/>
      <c r="AF479" s="288"/>
      <c r="AG479" s="160"/>
      <c r="AH479" s="288"/>
      <c r="AI479" s="288"/>
      <c r="AJ479" s="288"/>
      <c r="AK479" s="288"/>
      <c r="AL479" s="288"/>
      <c r="AM479" s="288"/>
      <c r="AN479" s="288"/>
      <c r="AO479" s="288"/>
      <c r="AP479" s="150" t="s">
        <v>2663</v>
      </c>
      <c r="AQ479" s="288"/>
    </row>
    <row r="480">
      <c r="A480" s="150" t="s">
        <v>658</v>
      </c>
      <c r="B480" s="150" t="s">
        <v>659</v>
      </c>
      <c r="C480" s="175" t="str">
        <f>VLOOKUP(A480,Import!A:C,3,false)</f>
        <v>DOĞRU</v>
      </c>
      <c r="D480" s="150" t="s">
        <v>2724</v>
      </c>
      <c r="E480" s="280">
        <f>VLOOKUP(A480,Import!A:J,5,0)</f>
        <v>18215</v>
      </c>
      <c r="F480" s="280">
        <f>VLOOKUP(A480,Import!A:J,6,0)</f>
        <v>589</v>
      </c>
      <c r="G480" s="289">
        <f>VLOOKUP(A480,Import!A:J,7,0)</f>
        <v>20</v>
      </c>
      <c r="H480" s="289">
        <f>VLOOKUP(A480,Import!A:J,8,0)</f>
        <v>47</v>
      </c>
      <c r="I480" s="289">
        <f>VLOOKUP(A480,Import!A:J,9,0)</f>
        <v>67</v>
      </c>
      <c r="J480" s="282">
        <f>VLOOKUP(A480,Import!A:J,10,0)</f>
        <v>0.3</v>
      </c>
      <c r="K480" s="244" t="str">
        <f>VLOOKUP(A480,Import!A:P,11,0)</f>
        <v>SERCAN GÜNAY</v>
      </c>
      <c r="L480" s="150">
        <v>5.538902626E9</v>
      </c>
      <c r="M480" s="150" t="s">
        <v>2666</v>
      </c>
      <c r="N480" s="150" t="s">
        <v>2711</v>
      </c>
      <c r="O480" s="150" t="s">
        <v>3817</v>
      </c>
      <c r="P480" s="244" t="str">
        <f>VLOOKUP(A480,Import!A:P,16,0)</f>
        <v>Geleneksel</v>
      </c>
      <c r="Q480" s="291" t="s">
        <v>2713</v>
      </c>
      <c r="R480" s="292" t="b">
        <v>1</v>
      </c>
      <c r="S480" s="293" t="b">
        <v>0</v>
      </c>
      <c r="T480" s="149" t="s">
        <v>2661</v>
      </c>
      <c r="U480" s="296"/>
      <c r="V480" s="312"/>
      <c r="W480" s="149" t="s">
        <v>2815</v>
      </c>
      <c r="X480" s="294">
        <v>44239.0</v>
      </c>
      <c r="Y480" s="294">
        <v>44250.0</v>
      </c>
      <c r="Z480" s="288"/>
      <c r="AA480" s="165" t="s">
        <v>2693</v>
      </c>
      <c r="AB480" s="295">
        <v>44530.0</v>
      </c>
      <c r="AC480" s="288"/>
      <c r="AD480" s="288"/>
      <c r="AE480" s="160"/>
      <c r="AF480" s="288"/>
      <c r="AG480" s="160"/>
      <c r="AH480" s="288"/>
      <c r="AI480" s="288"/>
      <c r="AJ480" s="288"/>
      <c r="AK480" s="165" t="s">
        <v>943</v>
      </c>
      <c r="AL480" s="288"/>
      <c r="AM480" s="288"/>
      <c r="AN480" s="288"/>
      <c r="AO480" s="288"/>
      <c r="AP480" s="150" t="s">
        <v>2663</v>
      </c>
      <c r="AQ480" s="288"/>
    </row>
    <row r="481">
      <c r="A481" s="150" t="s">
        <v>3818</v>
      </c>
      <c r="B481" s="150" t="s">
        <v>3819</v>
      </c>
      <c r="C481" s="175" t="str">
        <f>VLOOKUP(A481,Import!A:C,3,false)</f>
        <v>DOĞRU</v>
      </c>
      <c r="D481" s="150" t="s">
        <v>2724</v>
      </c>
      <c r="E481" s="280">
        <f>VLOOKUP(A481,Import!A:J,5,0)</f>
        <v>49</v>
      </c>
      <c r="F481" s="280">
        <f>VLOOKUP(A481,Import!A:J,6,0)</f>
        <v>4</v>
      </c>
      <c r="G481" s="289">
        <f>VLOOKUP(A481,Import!A:J,7,0)</f>
        <v>10</v>
      </c>
      <c r="H481" s="289">
        <f>VLOOKUP(A481,Import!A:J,8,0)</f>
        <v>24</v>
      </c>
      <c r="I481" s="289">
        <f>VLOOKUP(A481,Import!A:J,9,0)</f>
        <v>34</v>
      </c>
      <c r="J481" s="282">
        <f>VLOOKUP(A481,Import!A:J,10,0)</f>
        <v>0.29</v>
      </c>
      <c r="K481" s="244" t="str">
        <f>VLOOKUP(A481,Import!A:P,11,0)</f>
        <v>Muhammed Zübeyir Taşyürek</v>
      </c>
      <c r="L481" s="150">
        <v>2.222209657E9</v>
      </c>
      <c r="M481" s="150" t="s">
        <v>2666</v>
      </c>
      <c r="N481" s="150" t="s">
        <v>3000</v>
      </c>
      <c r="O481" s="150" t="s">
        <v>3820</v>
      </c>
      <c r="P481" s="244" t="str">
        <f>VLOOKUP(A481,Import!A:P,16,0)</f>
        <v>Geleneksel</v>
      </c>
      <c r="Q481" s="291" t="s">
        <v>2713</v>
      </c>
      <c r="R481" s="292" t="b">
        <v>1</v>
      </c>
      <c r="S481" s="292" t="b">
        <v>1</v>
      </c>
      <c r="T481" s="149" t="s">
        <v>2714</v>
      </c>
      <c r="U481" s="296"/>
      <c r="V481" s="296"/>
      <c r="W481" s="149" t="s">
        <v>3821</v>
      </c>
      <c r="X481" s="297"/>
      <c r="Y481" s="297"/>
      <c r="Z481" s="288"/>
      <c r="AA481" s="165" t="s">
        <v>2669</v>
      </c>
      <c r="AB481" s="295">
        <v>44518.0</v>
      </c>
      <c r="AC481" s="288"/>
      <c r="AD481" s="288"/>
      <c r="AE481" s="160"/>
      <c r="AF481" s="288"/>
      <c r="AG481" s="160"/>
      <c r="AH481" s="288"/>
      <c r="AI481" s="288"/>
      <c r="AJ481" s="288"/>
      <c r="AK481" s="165" t="s">
        <v>1911</v>
      </c>
      <c r="AL481" s="288"/>
      <c r="AM481" s="288"/>
      <c r="AN481" s="288"/>
      <c r="AO481" s="288"/>
      <c r="AP481" s="150" t="s">
        <v>2663</v>
      </c>
      <c r="AQ481" s="288"/>
    </row>
    <row r="482">
      <c r="A482" s="150" t="s">
        <v>3822</v>
      </c>
      <c r="B482" s="150" t="s">
        <v>3823</v>
      </c>
      <c r="C482" s="175" t="str">
        <f>VLOOKUP(A482,Import!A:C,3,false)</f>
        <v>DOĞRU</v>
      </c>
      <c r="D482" s="150" t="s">
        <v>2696</v>
      </c>
      <c r="E482" s="280">
        <f>VLOOKUP(A482,Import!A:J,5,0)</f>
        <v>786</v>
      </c>
      <c r="F482" s="280">
        <f>VLOOKUP(A482,Import!A:J,6,0)</f>
        <v>13</v>
      </c>
      <c r="G482" s="289">
        <f>VLOOKUP(A482,Import!A:J,7,0)</f>
        <v>17</v>
      </c>
      <c r="H482" s="289">
        <f>VLOOKUP(A482,Import!A:J,8,0)</f>
        <v>13</v>
      </c>
      <c r="I482" s="289">
        <f>VLOOKUP(A482,Import!A:J,9,0)</f>
        <v>30</v>
      </c>
      <c r="J482" s="282">
        <f>VLOOKUP(A482,Import!A:J,10,0)</f>
        <v>0.57</v>
      </c>
      <c r="K482" s="244" t="str">
        <f>VLOOKUP(A482,Import!A:P,11,0)</f>
        <v>Ercüment açar</v>
      </c>
      <c r="L482" s="150">
        <v>2.22220054E9</v>
      </c>
      <c r="M482" s="150" t="s">
        <v>1450</v>
      </c>
      <c r="N482" s="150" t="s">
        <v>3189</v>
      </c>
      <c r="O482" s="150" t="s">
        <v>3824</v>
      </c>
      <c r="P482" s="244" t="str">
        <f>VLOOKUP(A482,Import!A:P,16,0)</f>
        <v>Geleneksel</v>
      </c>
      <c r="Q482" s="291" t="s">
        <v>2760</v>
      </c>
      <c r="R482" s="292" t="b">
        <v>1</v>
      </c>
      <c r="S482" s="292" t="b">
        <v>1</v>
      </c>
      <c r="T482" s="296"/>
      <c r="U482" s="296"/>
      <c r="V482" s="296"/>
      <c r="W482" s="149" t="s">
        <v>3825</v>
      </c>
      <c r="X482" s="294"/>
      <c r="Y482" s="294"/>
      <c r="Z482" s="288"/>
      <c r="AA482" s="165" t="s">
        <v>2669</v>
      </c>
      <c r="AB482" s="295">
        <v>44547.0</v>
      </c>
      <c r="AC482" s="288"/>
      <c r="AD482" s="288"/>
      <c r="AE482" s="160"/>
      <c r="AF482" s="288"/>
      <c r="AG482" s="160"/>
      <c r="AH482" s="288"/>
      <c r="AI482" s="288"/>
      <c r="AJ482" s="288"/>
      <c r="AK482" s="165" t="s">
        <v>1971</v>
      </c>
      <c r="AL482" s="288"/>
      <c r="AM482" s="288"/>
      <c r="AN482" s="288"/>
      <c r="AO482" s="288"/>
      <c r="AP482" s="150" t="s">
        <v>2663</v>
      </c>
      <c r="AQ482" s="288"/>
    </row>
    <row r="483">
      <c r="A483" s="150" t="s">
        <v>3826</v>
      </c>
      <c r="B483" s="150" t="s">
        <v>3827</v>
      </c>
      <c r="C483" s="175" t="str">
        <f>VLOOKUP(A483,Import!A:C,3,false)</f>
        <v>DOĞRU</v>
      </c>
      <c r="D483" s="150" t="s">
        <v>2724</v>
      </c>
      <c r="E483" s="280">
        <f>VLOOKUP(A483,Import!A:J,5,0)</f>
        <v>19</v>
      </c>
      <c r="F483" s="280">
        <f>VLOOKUP(A483,Import!A:J,6,0)</f>
        <v>1</v>
      </c>
      <c r="G483" s="289">
        <f>VLOOKUP(A483,Import!A:J,7,0)</f>
        <v>0</v>
      </c>
      <c r="H483" s="289">
        <f>VLOOKUP(A483,Import!A:J,8,0)</f>
        <v>25</v>
      </c>
      <c r="I483" s="289">
        <f>VLOOKUP(A483,Import!A:J,9,0)</f>
        <v>25</v>
      </c>
      <c r="J483" s="282">
        <f>VLOOKUP(A483,Import!A:J,10,0)</f>
        <v>0</v>
      </c>
      <c r="K483" s="290" t="s">
        <v>3828</v>
      </c>
      <c r="L483" s="150">
        <v>2.222313508E9</v>
      </c>
      <c r="M483" s="150" t="s">
        <v>1450</v>
      </c>
      <c r="N483" s="150" t="s">
        <v>2700</v>
      </c>
      <c r="O483" s="150" t="s">
        <v>3829</v>
      </c>
      <c r="P483" s="244" t="str">
        <f>VLOOKUP(A483,Import!A:P,16,0)</f>
        <v>Geleneksel</v>
      </c>
      <c r="Q483" s="291"/>
      <c r="R483" s="292" t="b">
        <v>1</v>
      </c>
      <c r="S483" s="293" t="b">
        <v>0</v>
      </c>
      <c r="T483" s="149" t="s">
        <v>2714</v>
      </c>
      <c r="U483" s="296"/>
      <c r="V483" s="296"/>
      <c r="W483" s="149" t="s">
        <v>3830</v>
      </c>
      <c r="X483" s="297"/>
      <c r="Y483" s="297"/>
      <c r="Z483" s="288"/>
      <c r="AA483" s="165" t="s">
        <v>2669</v>
      </c>
      <c r="AB483" s="295">
        <v>44620.0</v>
      </c>
      <c r="AC483" s="288"/>
      <c r="AD483" s="288"/>
      <c r="AE483" s="160"/>
      <c r="AF483" s="288"/>
      <c r="AG483" s="160"/>
      <c r="AH483" s="288"/>
      <c r="AI483" s="288"/>
      <c r="AJ483" s="288"/>
      <c r="AK483" s="165" t="s">
        <v>819</v>
      </c>
      <c r="AL483" s="288"/>
      <c r="AM483" s="288"/>
      <c r="AN483" s="288"/>
      <c r="AO483" s="165"/>
      <c r="AP483" s="150"/>
      <c r="AQ483" s="165"/>
    </row>
    <row r="484">
      <c r="A484" s="150" t="s">
        <v>2503</v>
      </c>
      <c r="B484" s="150" t="s">
        <v>2504</v>
      </c>
      <c r="C484" s="175" t="str">
        <f>VLOOKUP(A484,Import!A:C,3,false)</f>
        <v>DOĞRU</v>
      </c>
      <c r="D484" s="150" t="s">
        <v>2658</v>
      </c>
      <c r="E484" s="280">
        <f>VLOOKUP(A484,Import!A:J,5,0)</f>
        <v>430</v>
      </c>
      <c r="F484" s="280">
        <f>VLOOKUP(A484,Import!A:J,6,0)</f>
        <v>103</v>
      </c>
      <c r="G484" s="289">
        <f>VLOOKUP(A484,Import!A:J,7,0)</f>
        <v>3</v>
      </c>
      <c r="H484" s="289">
        <f>VLOOKUP(A484,Import!A:J,8,0)</f>
        <v>6</v>
      </c>
      <c r="I484" s="289">
        <f>VLOOKUP(A484,Import!A:J,9,0)</f>
        <v>9</v>
      </c>
      <c r="J484" s="282">
        <f>VLOOKUP(A484,Import!A:J,10,0)</f>
        <v>0.33</v>
      </c>
      <c r="K484" s="290" t="s">
        <v>3831</v>
      </c>
      <c r="L484" s="150">
        <v>5.337134612E9</v>
      </c>
      <c r="M484" s="150" t="s">
        <v>2666</v>
      </c>
      <c r="N484" s="150" t="s">
        <v>3084</v>
      </c>
      <c r="O484" s="150" t="s">
        <v>2506</v>
      </c>
      <c r="P484" s="244" t="str">
        <f>VLOOKUP(A484,Import!A:P,16,0)</f>
        <v>Geleneksel</v>
      </c>
      <c r="Q484" s="291"/>
      <c r="R484" s="292" t="b">
        <v>1</v>
      </c>
      <c r="S484" s="293" t="b">
        <v>0</v>
      </c>
      <c r="T484" s="149" t="s">
        <v>2661</v>
      </c>
      <c r="U484" s="149" t="s">
        <v>819</v>
      </c>
      <c r="V484" s="149" t="s">
        <v>1609</v>
      </c>
      <c r="W484" s="149"/>
      <c r="X484" s="294">
        <v>44620.0</v>
      </c>
      <c r="Y484" s="294">
        <v>44621.0</v>
      </c>
      <c r="Z484" s="288"/>
      <c r="AA484" s="165" t="s">
        <v>2669</v>
      </c>
      <c r="AB484" s="295">
        <v>44620.0</v>
      </c>
      <c r="AC484" s="288"/>
      <c r="AD484" s="288"/>
      <c r="AE484" s="160"/>
      <c r="AF484" s="288"/>
      <c r="AG484" s="160"/>
      <c r="AH484" s="288"/>
      <c r="AI484" s="288"/>
      <c r="AJ484" s="288"/>
      <c r="AK484" s="165" t="s">
        <v>819</v>
      </c>
      <c r="AL484" s="288"/>
      <c r="AM484" s="288"/>
      <c r="AN484" s="288"/>
      <c r="AO484" s="165"/>
      <c r="AP484" s="150"/>
      <c r="AQ484" s="165"/>
    </row>
    <row r="485">
      <c r="A485" s="150" t="s">
        <v>2455</v>
      </c>
      <c r="B485" s="150" t="s">
        <v>2456</v>
      </c>
      <c r="C485" s="175" t="str">
        <f>VLOOKUP(A485,Import!A:C,3,false)</f>
        <v>DOĞRU</v>
      </c>
      <c r="D485" s="150" t="s">
        <v>2672</v>
      </c>
      <c r="E485" s="280">
        <f>VLOOKUP(A485,Import!A:J,5,0)</f>
        <v>2364</v>
      </c>
      <c r="F485" s="280">
        <f>VLOOKUP(A485,Import!A:J,6,0)</f>
        <v>302</v>
      </c>
      <c r="G485" s="289">
        <f>VLOOKUP(A485,Import!A:J,7,0)</f>
        <v>4</v>
      </c>
      <c r="H485" s="289">
        <f>VLOOKUP(A485,Import!A:J,8,0)</f>
        <v>24</v>
      </c>
      <c r="I485" s="289">
        <f>VLOOKUP(A485,Import!A:J,9,0)</f>
        <v>28</v>
      </c>
      <c r="J485" s="282">
        <f>VLOOKUP(A485,Import!A:J,10,0)</f>
        <v>0.14</v>
      </c>
      <c r="K485" s="290" t="s">
        <v>3832</v>
      </c>
      <c r="L485" s="150">
        <v>2.223227744E9</v>
      </c>
      <c r="M485" s="150" t="s">
        <v>2666</v>
      </c>
      <c r="N485" s="150" t="s">
        <v>2801</v>
      </c>
      <c r="O485" s="150" t="s">
        <v>2459</v>
      </c>
      <c r="P485" s="244" t="str">
        <f>VLOOKUP(A485,Import!A:P,16,0)</f>
        <v>Geleneksel</v>
      </c>
      <c r="Q485" s="291"/>
      <c r="R485" s="292" t="b">
        <v>1</v>
      </c>
      <c r="S485" s="293" t="b">
        <v>0</v>
      </c>
      <c r="T485" s="149" t="s">
        <v>2661</v>
      </c>
      <c r="U485" s="149" t="s">
        <v>1791</v>
      </c>
      <c r="V485" s="366" t="s">
        <v>1609</v>
      </c>
      <c r="W485" s="149" t="s">
        <v>2759</v>
      </c>
      <c r="X485" s="294">
        <v>44596.0</v>
      </c>
      <c r="Y485" s="294">
        <v>44599.0</v>
      </c>
      <c r="Z485" s="288"/>
      <c r="AA485" s="165" t="s">
        <v>2693</v>
      </c>
      <c r="AB485" s="295">
        <v>44596.0</v>
      </c>
      <c r="AC485" s="165" t="s">
        <v>2693</v>
      </c>
      <c r="AD485" s="295">
        <v>44596.0</v>
      </c>
      <c r="AE485" s="160"/>
      <c r="AF485" s="288"/>
      <c r="AG485" s="160"/>
      <c r="AH485" s="288"/>
      <c r="AI485" s="288"/>
      <c r="AJ485" s="288"/>
      <c r="AK485" s="165" t="s">
        <v>819</v>
      </c>
      <c r="AL485" s="165" t="s">
        <v>1791</v>
      </c>
      <c r="AM485" s="288"/>
      <c r="AN485" s="288"/>
      <c r="AO485" s="165"/>
      <c r="AP485" s="150"/>
      <c r="AQ485" s="165"/>
    </row>
    <row r="486">
      <c r="A486" s="150" t="s">
        <v>2334</v>
      </c>
      <c r="B486" s="150" t="s">
        <v>2335</v>
      </c>
      <c r="C486" s="175" t="str">
        <f>VLOOKUP(A486,Import!A:C,3,false)</f>
        <v>DOĞRU</v>
      </c>
      <c r="D486" s="150" t="s">
        <v>2664</v>
      </c>
      <c r="E486" s="280">
        <f>VLOOKUP(A486,Import!A:J,5,0)</f>
        <v>670</v>
      </c>
      <c r="F486" s="280">
        <f>VLOOKUP(A486,Import!A:J,6,0)</f>
        <v>74</v>
      </c>
      <c r="G486" s="289">
        <f>VLOOKUP(A486,Import!A:J,7,0)</f>
        <v>19</v>
      </c>
      <c r="H486" s="289">
        <f>VLOOKUP(A486,Import!A:J,8,0)</f>
        <v>23</v>
      </c>
      <c r="I486" s="289">
        <f>VLOOKUP(A486,Import!A:J,9,0)</f>
        <v>42</v>
      </c>
      <c r="J486" s="282">
        <f>VLOOKUP(A486,Import!A:J,10,0)</f>
        <v>0.45</v>
      </c>
      <c r="K486" s="244" t="str">
        <f>VLOOKUP(A486,Import!A:P,11,0)</f>
        <v>DENİZ SEREN AYDIN</v>
      </c>
      <c r="L486" s="150">
        <v>5.320664262E9</v>
      </c>
      <c r="M486" s="150" t="s">
        <v>2666</v>
      </c>
      <c r="N486" s="150" t="s">
        <v>2685</v>
      </c>
      <c r="O486" s="150" t="s">
        <v>2337</v>
      </c>
      <c r="P486" s="244" t="str">
        <f>VLOOKUP(A486,Import!A:P,16,0)</f>
        <v>Geleneksel</v>
      </c>
      <c r="Q486" s="291"/>
      <c r="R486" s="292" t="b">
        <v>1</v>
      </c>
      <c r="S486" s="293" t="b">
        <v>0</v>
      </c>
      <c r="T486" s="149" t="s">
        <v>2661</v>
      </c>
      <c r="U486" s="149" t="s">
        <v>1621</v>
      </c>
      <c r="V486" s="301" t="s">
        <v>1609</v>
      </c>
      <c r="W486" s="149" t="s">
        <v>3833</v>
      </c>
      <c r="X486" s="294">
        <v>44565.0</v>
      </c>
      <c r="Y486" s="294">
        <v>44572.0</v>
      </c>
      <c r="Z486" s="288"/>
      <c r="AA486" s="165" t="s">
        <v>2693</v>
      </c>
      <c r="AB486" s="295">
        <v>44518.0</v>
      </c>
      <c r="AC486" s="165" t="s">
        <v>2669</v>
      </c>
      <c r="AD486" s="295">
        <v>44518.0</v>
      </c>
      <c r="AE486" s="165" t="s">
        <v>2669</v>
      </c>
      <c r="AF486" s="295">
        <v>44565.0</v>
      </c>
      <c r="AG486" s="160"/>
      <c r="AH486" s="288"/>
      <c r="AI486" s="288"/>
      <c r="AJ486" s="288"/>
      <c r="AK486" s="165" t="s">
        <v>1911</v>
      </c>
      <c r="AL486" s="165" t="s">
        <v>1911</v>
      </c>
      <c r="AM486" s="165" t="s">
        <v>1621</v>
      </c>
      <c r="AN486" s="288"/>
      <c r="AO486" s="288"/>
      <c r="AP486" s="150" t="s">
        <v>2663</v>
      </c>
      <c r="AQ486" s="288"/>
    </row>
    <row r="487">
      <c r="A487" s="150" t="s">
        <v>1630</v>
      </c>
      <c r="B487" s="150" t="s">
        <v>1631</v>
      </c>
      <c r="C487" s="175" t="str">
        <f>VLOOKUP(A487,Import!A:C,3,false)</f>
        <v>DOĞRU</v>
      </c>
      <c r="D487" s="150" t="s">
        <v>2664</v>
      </c>
      <c r="E487" s="280">
        <f>VLOOKUP(A487,Import!A:J,5,0)</f>
        <v>1080</v>
      </c>
      <c r="F487" s="280">
        <f>VLOOKUP(A487,Import!A:J,6,0)</f>
        <v>143</v>
      </c>
      <c r="G487" s="289">
        <f>VLOOKUP(A487,Import!A:J,7,0)</f>
        <v>8</v>
      </c>
      <c r="H487" s="289">
        <f>VLOOKUP(A487,Import!A:J,8,0)</f>
        <v>61</v>
      </c>
      <c r="I487" s="289">
        <f>VLOOKUP(A487,Import!A:J,9,0)</f>
        <v>69</v>
      </c>
      <c r="J487" s="282">
        <f>VLOOKUP(A487,Import!A:J,10,0)</f>
        <v>0.12</v>
      </c>
      <c r="K487" s="244" t="str">
        <f>VLOOKUP(A487,Import!A:P,11,0)</f>
        <v>Ayşe Çetinkaya</v>
      </c>
      <c r="L487" s="150">
        <v>5.334975761E9</v>
      </c>
      <c r="M487" s="150" t="s">
        <v>1450</v>
      </c>
      <c r="N487" s="150" t="s">
        <v>2659</v>
      </c>
      <c r="O487" s="150" t="s">
        <v>1635</v>
      </c>
      <c r="P487" s="244" t="str">
        <f>VLOOKUP(A487,Import!A:P,16,0)</f>
        <v>Geleneksel</v>
      </c>
      <c r="Q487" s="291"/>
      <c r="R487" s="292" t="b">
        <v>1</v>
      </c>
      <c r="S487" s="293" t="b">
        <v>0</v>
      </c>
      <c r="T487" s="149" t="s">
        <v>2661</v>
      </c>
      <c r="U487" s="149" t="s">
        <v>819</v>
      </c>
      <c r="V487" s="301" t="s">
        <v>1609</v>
      </c>
      <c r="W487" s="149" t="s">
        <v>3834</v>
      </c>
      <c r="X487" s="294">
        <v>44554.0</v>
      </c>
      <c r="Y487" s="294">
        <v>44559.0</v>
      </c>
      <c r="Z487" s="288"/>
      <c r="AA487" s="165" t="s">
        <v>2772</v>
      </c>
      <c r="AB487" s="295">
        <v>44377.0</v>
      </c>
      <c r="AC487" s="165" t="s">
        <v>2669</v>
      </c>
      <c r="AD487" s="295">
        <v>44478.0</v>
      </c>
      <c r="AE487" s="165" t="s">
        <v>2669</v>
      </c>
      <c r="AF487" s="295">
        <v>44540.0</v>
      </c>
      <c r="AG487" s="165" t="s">
        <v>2669</v>
      </c>
      <c r="AH487" s="295">
        <v>44550.0</v>
      </c>
      <c r="AI487" s="165" t="s">
        <v>2669</v>
      </c>
      <c r="AJ487" s="295">
        <v>44602.0</v>
      </c>
      <c r="AK487" s="165" t="s">
        <v>2913</v>
      </c>
      <c r="AL487" s="165" t="s">
        <v>1824</v>
      </c>
      <c r="AM487" s="165" t="s">
        <v>1911</v>
      </c>
      <c r="AN487" s="165" t="s">
        <v>819</v>
      </c>
      <c r="AO487" s="165" t="s">
        <v>2474</v>
      </c>
      <c r="AP487" s="150" t="s">
        <v>2663</v>
      </c>
      <c r="AQ487" s="288"/>
    </row>
    <row r="488">
      <c r="A488" s="150" t="s">
        <v>1755</v>
      </c>
      <c r="B488" s="150" t="s">
        <v>1756</v>
      </c>
      <c r="C488" s="175" t="str">
        <f>VLOOKUP(A488,Import!A:C,3,false)</f>
        <v>DOĞRU</v>
      </c>
      <c r="D488" s="150" t="s">
        <v>2701</v>
      </c>
      <c r="E488" s="280">
        <f>VLOOKUP(A488,Import!A:J,5,0)</f>
        <v>1470</v>
      </c>
      <c r="F488" s="280">
        <f>VLOOKUP(A488,Import!A:J,6,0)</f>
        <v>309</v>
      </c>
      <c r="G488" s="289">
        <f>VLOOKUP(A488,Import!A:J,7,0)</f>
        <v>4</v>
      </c>
      <c r="H488" s="289">
        <f>VLOOKUP(A488,Import!A:J,8,0)</f>
        <v>11</v>
      </c>
      <c r="I488" s="289">
        <f>VLOOKUP(A488,Import!A:J,9,0)</f>
        <v>15</v>
      </c>
      <c r="J488" s="282">
        <f>VLOOKUP(A488,Import!A:J,10,0)</f>
        <v>0.27</v>
      </c>
      <c r="K488" s="244" t="str">
        <f>VLOOKUP(A488,Import!A:P,11,0)</f>
        <v>Mehmet Çetinbaş</v>
      </c>
      <c r="L488" s="150">
        <v>5.53429868E9</v>
      </c>
      <c r="M488" s="150" t="s">
        <v>2666</v>
      </c>
      <c r="N488" s="150" t="s">
        <v>2801</v>
      </c>
      <c r="O488" s="150" t="s">
        <v>1758</v>
      </c>
      <c r="P488" s="244" t="str">
        <f>VLOOKUP(A488,Import!A:P,16,0)</f>
        <v>Geleneksel</v>
      </c>
      <c r="Q488" s="291"/>
      <c r="R488" s="292" t="b">
        <v>1</v>
      </c>
      <c r="S488" s="293" t="b">
        <v>0</v>
      </c>
      <c r="T488" s="149" t="s">
        <v>2661</v>
      </c>
      <c r="U488" s="149" t="s">
        <v>1754</v>
      </c>
      <c r="V488" s="149" t="s">
        <v>2802</v>
      </c>
      <c r="W488" s="149" t="s">
        <v>3835</v>
      </c>
      <c r="X488" s="294">
        <v>44490.0</v>
      </c>
      <c r="Y488" s="294">
        <v>44491.0</v>
      </c>
      <c r="Z488" s="288"/>
      <c r="AA488" s="165" t="s">
        <v>2669</v>
      </c>
      <c r="AB488" s="295">
        <v>44490.0</v>
      </c>
      <c r="AC488" s="165" t="s">
        <v>2772</v>
      </c>
      <c r="AD488" s="295">
        <v>44516.0</v>
      </c>
      <c r="AE488" s="160"/>
      <c r="AF488" s="288"/>
      <c r="AG488" s="160"/>
      <c r="AH488" s="288"/>
      <c r="AI488" s="288"/>
      <c r="AJ488" s="288"/>
      <c r="AK488" s="165" t="s">
        <v>1754</v>
      </c>
      <c r="AL488" s="165" t="s">
        <v>1621</v>
      </c>
      <c r="AM488" s="288"/>
      <c r="AN488" s="288"/>
      <c r="AO488" s="288"/>
      <c r="AP488" s="150" t="s">
        <v>2663</v>
      </c>
      <c r="AQ488" s="288"/>
    </row>
    <row r="489">
      <c r="A489" s="150" t="s">
        <v>3836</v>
      </c>
      <c r="B489" s="150" t="s">
        <v>3837</v>
      </c>
      <c r="C489" s="175" t="str">
        <f>VLOOKUP(A489,Import!A:C,3,false)</f>
        <v>YANLIŞ</v>
      </c>
      <c r="D489" s="150" t="s">
        <v>2867</v>
      </c>
      <c r="E489" s="280">
        <f>VLOOKUP(A489,Import!A:J,5,0)</f>
        <v>120</v>
      </c>
      <c r="F489" s="280" t="str">
        <f>VLOOKUP(A489,Import!A:J,6,0)</f>
        <v/>
      </c>
      <c r="G489" s="289">
        <f>VLOOKUP(A489,Import!A:J,7,0)</f>
        <v>0</v>
      </c>
      <c r="H489" s="289">
        <f>VLOOKUP(A489,Import!A:J,8,0)</f>
        <v>73</v>
      </c>
      <c r="I489" s="289">
        <f>VLOOKUP(A489,Import!A:J,9,0)</f>
        <v>73</v>
      </c>
      <c r="J489" s="282">
        <f>VLOOKUP(A489,Import!A:J,10,0)</f>
        <v>0</v>
      </c>
      <c r="K489" s="244" t="str">
        <f>VLOOKUP(A489,Import!A:P,11,0)</f>
        <v>Rıdvan Soydaş</v>
      </c>
      <c r="L489" s="150">
        <v>2.222262666E9</v>
      </c>
      <c r="M489" s="150" t="s">
        <v>1450</v>
      </c>
      <c r="N489" s="150" t="s">
        <v>3838</v>
      </c>
      <c r="O489" s="150" t="s">
        <v>3839</v>
      </c>
      <c r="P489" s="244" t="str">
        <f>VLOOKUP(A489,Import!A:P,16,0)</f>
        <v>Geleneksel</v>
      </c>
      <c r="Q489" s="291"/>
      <c r="R489" s="292" t="b">
        <v>1</v>
      </c>
      <c r="S489" s="293" t="b">
        <v>0</v>
      </c>
      <c r="T489" s="149" t="s">
        <v>2770</v>
      </c>
      <c r="U489" s="296"/>
      <c r="V489" s="296"/>
      <c r="W489" s="149" t="s">
        <v>3840</v>
      </c>
      <c r="X489" s="297"/>
      <c r="Y489" s="297"/>
      <c r="Z489" s="288"/>
      <c r="AA489" s="165" t="s">
        <v>2772</v>
      </c>
      <c r="AB489" s="295">
        <v>44578.0</v>
      </c>
      <c r="AC489" s="288"/>
      <c r="AD489" s="288"/>
      <c r="AE489" s="160"/>
      <c r="AF489" s="288"/>
      <c r="AG489" s="160"/>
      <c r="AH489" s="288"/>
      <c r="AI489" s="288"/>
      <c r="AJ489" s="288"/>
      <c r="AK489" s="165" t="s">
        <v>819</v>
      </c>
      <c r="AL489" s="288"/>
      <c r="AM489" s="288"/>
      <c r="AN489" s="288"/>
      <c r="AO489" s="288"/>
      <c r="AP489" s="150" t="s">
        <v>2663</v>
      </c>
      <c r="AQ489" s="288"/>
    </row>
    <row r="490">
      <c r="A490" s="150" t="s">
        <v>3841</v>
      </c>
      <c r="B490" s="150" t="s">
        <v>3842</v>
      </c>
      <c r="C490" s="175" t="str">
        <f>VLOOKUP(A490,Import!A:C,3,false)</f>
        <v>DOĞRU</v>
      </c>
      <c r="D490" s="150" t="s">
        <v>2706</v>
      </c>
      <c r="E490" s="280">
        <f>VLOOKUP(A490,Import!A:J,5,0)</f>
        <v>2229</v>
      </c>
      <c r="F490" s="280">
        <f>VLOOKUP(A490,Import!A:J,6,0)</f>
        <v>2</v>
      </c>
      <c r="G490" s="289">
        <f>VLOOKUP(A490,Import!A:J,7,0)</f>
        <v>34</v>
      </c>
      <c r="H490" s="289">
        <f>VLOOKUP(A490,Import!A:J,8,0)</f>
        <v>34</v>
      </c>
      <c r="I490" s="289">
        <f>VLOOKUP(A490,Import!A:J,9,0)</f>
        <v>68</v>
      </c>
      <c r="J490" s="282">
        <f>VLOOKUP(A490,Import!A:J,10,0)</f>
        <v>0.5</v>
      </c>
      <c r="K490" s="244" t="str">
        <f>VLOOKUP(A490,Import!A:P,11,0)</f>
        <v>Osman Çelik</v>
      </c>
      <c r="L490" s="150">
        <v>5.303677526E9</v>
      </c>
      <c r="M490" s="150" t="s">
        <v>2666</v>
      </c>
      <c r="N490" s="150" t="s">
        <v>2801</v>
      </c>
      <c r="O490" s="150" t="s">
        <v>1965</v>
      </c>
      <c r="P490" s="244" t="str">
        <f>VLOOKUP(A490,Import!A:P,16,0)</f>
        <v>Geleneksel</v>
      </c>
      <c r="Q490" s="291" t="s">
        <v>2713</v>
      </c>
      <c r="R490" s="292" t="b">
        <v>1</v>
      </c>
      <c r="S490" s="292" t="b">
        <v>1</v>
      </c>
      <c r="T490" s="145" t="s">
        <v>2734</v>
      </c>
      <c r="U490" s="296"/>
      <c r="V490" s="296"/>
      <c r="X490" s="297"/>
      <c r="Y490" s="297"/>
      <c r="Z490" s="288"/>
      <c r="AA490" s="288"/>
      <c r="AB490" s="288"/>
      <c r="AC490" s="288"/>
      <c r="AD490" s="288"/>
      <c r="AE490" s="160"/>
      <c r="AF490" s="288"/>
      <c r="AG490" s="160"/>
      <c r="AH490" s="288"/>
      <c r="AI490" s="288"/>
      <c r="AJ490" s="288"/>
      <c r="AK490" s="288"/>
      <c r="AL490" s="288"/>
      <c r="AM490" s="288"/>
      <c r="AN490" s="288"/>
      <c r="AO490" s="288"/>
      <c r="AP490" s="150" t="s">
        <v>2663</v>
      </c>
      <c r="AQ490" s="288"/>
    </row>
    <row r="491">
      <c r="A491" s="150" t="s">
        <v>3843</v>
      </c>
      <c r="B491" s="150" t="s">
        <v>3844</v>
      </c>
      <c r="C491" s="175" t="str">
        <f>VLOOKUP(A491,Import!A:C,3,false)</f>
        <v>YANLIŞ</v>
      </c>
      <c r="D491" s="150" t="s">
        <v>2664</v>
      </c>
      <c r="E491" s="280">
        <f>VLOOKUP(A491,Import!A:J,5,0)</f>
        <v>47</v>
      </c>
      <c r="F491" s="280" t="str">
        <f>VLOOKUP(A491,Import!A:J,6,0)</f>
        <v/>
      </c>
      <c r="G491" s="289">
        <f>VLOOKUP(A491,Import!A:J,7,0)</f>
        <v>0</v>
      </c>
      <c r="H491" s="289">
        <f>VLOOKUP(A491,Import!A:J,8,0)</f>
        <v>10</v>
      </c>
      <c r="I491" s="289">
        <f>VLOOKUP(A491,Import!A:J,9,0)</f>
        <v>10</v>
      </c>
      <c r="J491" s="282">
        <f>VLOOKUP(A491,Import!A:J,10,0)</f>
        <v>0</v>
      </c>
      <c r="K491" s="290" t="s">
        <v>3845</v>
      </c>
      <c r="L491" s="150">
        <v>5.347809303E9</v>
      </c>
      <c r="M491" s="150" t="s">
        <v>2666</v>
      </c>
      <c r="N491" s="150" t="s">
        <v>3846</v>
      </c>
      <c r="O491" s="150" t="s">
        <v>3847</v>
      </c>
      <c r="P491" s="244" t="str">
        <f>VLOOKUP(A491,Import!A:P,16,0)</f>
        <v>Geleneksel</v>
      </c>
      <c r="Q491" s="291"/>
      <c r="R491" s="292" t="b">
        <v>1</v>
      </c>
      <c r="S491" s="293" t="b">
        <v>0</v>
      </c>
      <c r="T491" s="149"/>
      <c r="U491" s="296"/>
      <c r="V491" s="296"/>
      <c r="W491" s="149" t="s">
        <v>3848</v>
      </c>
      <c r="X491" s="297"/>
      <c r="Y491" s="297"/>
      <c r="Z491" s="288"/>
      <c r="AA491" s="165" t="s">
        <v>2772</v>
      </c>
      <c r="AB491" s="295">
        <v>44540.0</v>
      </c>
      <c r="AC491" s="288"/>
      <c r="AD491" s="288"/>
      <c r="AE491" s="160"/>
      <c r="AF491" s="288"/>
      <c r="AG491" s="160"/>
      <c r="AH491" s="288"/>
      <c r="AI491" s="288"/>
      <c r="AJ491" s="288"/>
      <c r="AK491" s="165" t="s">
        <v>921</v>
      </c>
      <c r="AL491" s="288"/>
      <c r="AM491" s="288"/>
      <c r="AN491" s="288"/>
      <c r="AO491" s="165"/>
      <c r="AP491" s="150" t="s">
        <v>2663</v>
      </c>
      <c r="AQ491" s="165"/>
    </row>
    <row r="492">
      <c r="A492" s="244" t="s">
        <v>447</v>
      </c>
      <c r="B492" s="244" t="s">
        <v>448</v>
      </c>
      <c r="C492" s="175" t="str">
        <f>VLOOKUP(A492,Import!A:C,3,false)</f>
        <v>DOĞRU</v>
      </c>
      <c r="D492" s="244" t="s">
        <v>2658</v>
      </c>
      <c r="E492" s="280">
        <f>VLOOKUP(A492,Import!A:J,5,0)</f>
        <v>24498</v>
      </c>
      <c r="F492" s="280">
        <f>VLOOKUP(A492,Import!A:J,6,0)</f>
        <v>660</v>
      </c>
      <c r="G492" s="289">
        <f>VLOOKUP(A492,Import!A:J,7,0)</f>
        <v>11</v>
      </c>
      <c r="H492" s="289">
        <f>VLOOKUP(A492,Import!A:J,8,0)</f>
        <v>14</v>
      </c>
      <c r="I492" s="289">
        <f>VLOOKUP(A492,Import!A:J,9,0)</f>
        <v>25</v>
      </c>
      <c r="J492" s="282">
        <f>VLOOKUP(A492,Import!A:J,10,0)</f>
        <v>0.44</v>
      </c>
      <c r="K492" s="244" t="str">
        <f>VLOOKUP(A492,Import!A:P,11,0)</f>
        <v>ADEM KESKİN</v>
      </c>
      <c r="L492" s="280">
        <v>5.432419097E9</v>
      </c>
      <c r="M492" s="244" t="s">
        <v>1450</v>
      </c>
      <c r="N492" s="244" t="s">
        <v>2732</v>
      </c>
      <c r="O492" s="244" t="s">
        <v>451</v>
      </c>
      <c r="P492" s="244" t="str">
        <f>VLOOKUP(A492,Import!A:P,16,0)</f>
        <v>Geleneksel</v>
      </c>
      <c r="Q492" s="291" t="s">
        <v>2686</v>
      </c>
      <c r="R492" s="292" t="b">
        <v>1</v>
      </c>
      <c r="S492" s="293" t="b">
        <v>0</v>
      </c>
      <c r="T492" s="165" t="s">
        <v>2661</v>
      </c>
      <c r="U492" s="165"/>
      <c r="V492" s="165" t="s">
        <v>31</v>
      </c>
      <c r="W492" s="160"/>
      <c r="X492" s="295">
        <v>44239.0</v>
      </c>
      <c r="Y492" s="295">
        <v>44244.0</v>
      </c>
      <c r="Z492" s="288"/>
      <c r="AA492" s="288"/>
      <c r="AB492" s="288"/>
      <c r="AC492" s="288"/>
      <c r="AD492" s="288"/>
      <c r="AE492" s="160"/>
      <c r="AF492" s="288"/>
      <c r="AG492" s="160"/>
      <c r="AH492" s="288"/>
      <c r="AI492" s="288"/>
      <c r="AJ492" s="288"/>
      <c r="AK492" s="288"/>
      <c r="AL492" s="288"/>
      <c r="AM492" s="288"/>
      <c r="AN492" s="288"/>
      <c r="AO492" s="288"/>
      <c r="AP492" s="150" t="s">
        <v>2663</v>
      </c>
      <c r="AQ492" s="288"/>
    </row>
    <row r="493">
      <c r="A493" s="150" t="s">
        <v>3849</v>
      </c>
      <c r="B493" s="150" t="s">
        <v>3850</v>
      </c>
      <c r="C493" s="175" t="str">
        <f>VLOOKUP(A493,Import!A:C,3,false)</f>
        <v>DOĞRU</v>
      </c>
      <c r="D493" s="150" t="s">
        <v>2664</v>
      </c>
      <c r="E493" s="280">
        <f>VLOOKUP(A493,Import!A:J,5,0)</f>
        <v>5914</v>
      </c>
      <c r="F493" s="280">
        <f>VLOOKUP(A493,Import!A:J,6,0)</f>
        <v>247</v>
      </c>
      <c r="G493" s="289">
        <f>VLOOKUP(A493,Import!A:J,7,0)</f>
        <v>0</v>
      </c>
      <c r="H493" s="289">
        <f>VLOOKUP(A493,Import!A:J,8,0)</f>
        <v>108</v>
      </c>
      <c r="I493" s="289">
        <f>VLOOKUP(A493,Import!A:J,9,0)</f>
        <v>108</v>
      </c>
      <c r="J493" s="282">
        <f>VLOOKUP(A493,Import!A:J,10,0)</f>
        <v>0</v>
      </c>
      <c r="K493" s="244" t="str">
        <f>VLOOKUP(A493,Import!A:P,11,0)</f>
        <v>BURAK HAZIM</v>
      </c>
      <c r="L493" s="150">
        <v>5.07660051E9</v>
      </c>
      <c r="M493" s="150" t="s">
        <v>2666</v>
      </c>
      <c r="N493" s="150" t="s">
        <v>2667</v>
      </c>
      <c r="O493" s="150" t="s">
        <v>3851</v>
      </c>
      <c r="P493" s="244" t="str">
        <f>VLOOKUP(A493,Import!A:P,16,0)</f>
        <v>Geleneksel</v>
      </c>
      <c r="Q493" s="291" t="s">
        <v>2713</v>
      </c>
      <c r="R493" s="292" t="b">
        <v>1</v>
      </c>
      <c r="S493" s="293" t="b">
        <v>0</v>
      </c>
      <c r="T493" s="149" t="s">
        <v>2714</v>
      </c>
      <c r="U493" s="296"/>
      <c r="V493" s="296"/>
      <c r="W493" s="149" t="s">
        <v>3852</v>
      </c>
      <c r="X493" s="297"/>
      <c r="Y493" s="297"/>
      <c r="Z493" s="288"/>
      <c r="AA493" s="288"/>
      <c r="AB493" s="288"/>
      <c r="AC493" s="288"/>
      <c r="AD493" s="288"/>
      <c r="AE493" s="160"/>
      <c r="AF493" s="288"/>
      <c r="AG493" s="160"/>
      <c r="AH493" s="288"/>
      <c r="AI493" s="288"/>
      <c r="AJ493" s="288"/>
      <c r="AK493" s="288"/>
      <c r="AL493" s="288"/>
      <c r="AM493" s="288"/>
      <c r="AN493" s="288"/>
      <c r="AO493" s="288"/>
      <c r="AP493" s="150" t="s">
        <v>2663</v>
      </c>
      <c r="AQ493" s="288"/>
    </row>
    <row r="494">
      <c r="A494" s="244" t="s">
        <v>593</v>
      </c>
      <c r="B494" s="244" t="s">
        <v>594</v>
      </c>
      <c r="C494" s="175" t="str">
        <f>VLOOKUP(A494,Import!A:C,3,false)</f>
        <v>DOĞRU</v>
      </c>
      <c r="D494" s="362" t="s">
        <v>2658</v>
      </c>
      <c r="E494" s="280">
        <f>VLOOKUP(A494,Import!A:J,5,0)</f>
        <v>675</v>
      </c>
      <c r="F494" s="280">
        <f>VLOOKUP(A494,Import!A:J,6,0)</f>
        <v>30</v>
      </c>
      <c r="G494" s="289">
        <f>VLOOKUP(A494,Import!A:J,7,0)</f>
        <v>5</v>
      </c>
      <c r="H494" s="289">
        <f>VLOOKUP(A494,Import!A:J,8,0)</f>
        <v>5</v>
      </c>
      <c r="I494" s="289">
        <f>VLOOKUP(A494,Import!A:J,9,0)</f>
        <v>10</v>
      </c>
      <c r="J494" s="282">
        <f>VLOOKUP(A494,Import!A:J,10,0)</f>
        <v>0.5</v>
      </c>
      <c r="K494" s="244" t="str">
        <f>VLOOKUP(A494,Import!A:P,11,0)</f>
        <v>YASEV ÇETİNKAYA</v>
      </c>
      <c r="L494" s="280">
        <v>5.432920605E9</v>
      </c>
      <c r="M494" s="244" t="s">
        <v>1450</v>
      </c>
      <c r="N494" s="244" t="s">
        <v>2707</v>
      </c>
      <c r="O494" s="244" t="s">
        <v>597</v>
      </c>
      <c r="P494" s="244" t="str">
        <f>VLOOKUP(A494,Import!A:P,16,0)</f>
        <v>Geleneksel</v>
      </c>
      <c r="Q494" s="291" t="s">
        <v>2660</v>
      </c>
      <c r="R494" s="292" t="b">
        <v>1</v>
      </c>
      <c r="S494" s="293" t="b">
        <v>0</v>
      </c>
      <c r="T494" s="165" t="s">
        <v>2661</v>
      </c>
      <c r="U494" s="165"/>
      <c r="V494" s="165" t="s">
        <v>3435</v>
      </c>
      <c r="W494" s="165"/>
      <c r="X494" s="295">
        <v>44239.0</v>
      </c>
      <c r="Y494" s="295">
        <v>44246.0</v>
      </c>
      <c r="Z494" s="288"/>
      <c r="AA494" s="288"/>
      <c r="AB494" s="288"/>
      <c r="AC494" s="288"/>
      <c r="AD494" s="288"/>
      <c r="AE494" s="160"/>
      <c r="AF494" s="288"/>
      <c r="AG494" s="160"/>
      <c r="AH494" s="288"/>
      <c r="AI494" s="288"/>
      <c r="AJ494" s="288"/>
      <c r="AK494" s="288"/>
      <c r="AL494" s="288"/>
      <c r="AM494" s="288"/>
      <c r="AN494" s="288"/>
      <c r="AO494" s="288"/>
      <c r="AP494" s="150" t="s">
        <v>2663</v>
      </c>
      <c r="AQ494" s="288"/>
    </row>
    <row r="495">
      <c r="A495" s="150" t="s">
        <v>3853</v>
      </c>
      <c r="B495" s="150" t="s">
        <v>3854</v>
      </c>
      <c r="C495" s="175" t="str">
        <f>VLOOKUP(A495,Import!A:C,3,false)</f>
        <v>DOĞRU</v>
      </c>
      <c r="D495" s="150" t="s">
        <v>2672</v>
      </c>
      <c r="E495" s="280">
        <f>VLOOKUP(A495,Import!A:J,5,0)</f>
        <v>7</v>
      </c>
      <c r="F495" s="280">
        <f>VLOOKUP(A495,Import!A:J,6,0)</f>
        <v>7</v>
      </c>
      <c r="G495" s="289">
        <f>VLOOKUP(A495,Import!A:J,7,0)</f>
        <v>0</v>
      </c>
      <c r="H495" s="289">
        <f>VLOOKUP(A495,Import!A:J,8,0)</f>
        <v>7</v>
      </c>
      <c r="I495" s="289">
        <f>VLOOKUP(A495,Import!A:J,9,0)</f>
        <v>7</v>
      </c>
      <c r="J495" s="282">
        <f>VLOOKUP(A495,Import!A:J,10,0)</f>
        <v>0</v>
      </c>
      <c r="K495" s="150" t="s">
        <v>3855</v>
      </c>
      <c r="L495" s="150">
        <v>5.454174166E9</v>
      </c>
      <c r="M495" s="150" t="s">
        <v>2666</v>
      </c>
      <c r="N495" s="150" t="s">
        <v>2721</v>
      </c>
      <c r="O495" s="150" t="s">
        <v>3856</v>
      </c>
      <c r="P495" s="244" t="str">
        <f>VLOOKUP(A495,Import!A:P,16,0)</f>
        <v>Geleneksel</v>
      </c>
      <c r="Q495" s="291"/>
      <c r="R495" s="292" t="b">
        <v>0</v>
      </c>
      <c r="S495" s="293" t="b">
        <v>0</v>
      </c>
      <c r="T495" s="149"/>
      <c r="U495" s="296"/>
      <c r="V495" s="296"/>
      <c r="W495" s="149"/>
      <c r="X495" s="297"/>
      <c r="Y495" s="297"/>
      <c r="Z495" s="288"/>
      <c r="AA495" s="165"/>
      <c r="AB495" s="295"/>
      <c r="AC495" s="288"/>
      <c r="AD495" s="288"/>
      <c r="AE495" s="160"/>
      <c r="AF495" s="288"/>
      <c r="AG495" s="160"/>
      <c r="AH495" s="288"/>
      <c r="AI495" s="288"/>
      <c r="AJ495" s="288"/>
      <c r="AK495" s="165"/>
      <c r="AL495" s="288"/>
      <c r="AM495" s="288"/>
      <c r="AN495" s="288"/>
      <c r="AO495" s="165"/>
      <c r="AP495" s="150"/>
      <c r="AQ495" s="165"/>
    </row>
    <row r="496">
      <c r="A496" s="150" t="s">
        <v>3857</v>
      </c>
      <c r="B496" s="150" t="s">
        <v>3858</v>
      </c>
      <c r="C496" s="175" t="str">
        <f>VLOOKUP(A496,Import!A:C,3,false)</f>
        <v>DOĞRU</v>
      </c>
      <c r="D496" s="150" t="s">
        <v>2684</v>
      </c>
      <c r="E496" s="280">
        <f>VLOOKUP(A496,Import!A:J,5,0)</f>
        <v>1667</v>
      </c>
      <c r="F496" s="280">
        <f>VLOOKUP(A496,Import!A:J,6,0)</f>
        <v>224</v>
      </c>
      <c r="G496" s="289">
        <f>VLOOKUP(A496,Import!A:J,7,0)</f>
        <v>0</v>
      </c>
      <c r="H496" s="289">
        <f>VLOOKUP(A496,Import!A:J,8,0)</f>
        <v>8</v>
      </c>
      <c r="I496" s="289">
        <f>VLOOKUP(A496,Import!A:J,9,0)</f>
        <v>8</v>
      </c>
      <c r="J496" s="282">
        <f>VLOOKUP(A496,Import!A:J,10,0)</f>
        <v>0</v>
      </c>
      <c r="K496" s="290" t="s">
        <v>3859</v>
      </c>
      <c r="L496" s="150">
        <v>5.510574466E9</v>
      </c>
      <c r="M496" s="150" t="s">
        <v>1450</v>
      </c>
      <c r="N496" s="150" t="s">
        <v>2732</v>
      </c>
      <c r="O496" s="150" t="s">
        <v>398</v>
      </c>
      <c r="P496" s="244" t="str">
        <f>VLOOKUP(A496,Import!A:P,16,0)</f>
        <v>Geleneksel</v>
      </c>
      <c r="Q496" s="291"/>
      <c r="R496" s="292" t="b">
        <v>1</v>
      </c>
      <c r="S496" s="293" t="b">
        <v>0</v>
      </c>
      <c r="T496" s="149" t="s">
        <v>2770</v>
      </c>
      <c r="U496" s="296"/>
      <c r="V496" s="296"/>
      <c r="W496" s="149" t="s">
        <v>3860</v>
      </c>
      <c r="X496" s="297"/>
      <c r="Y496" s="297"/>
      <c r="Z496" s="288"/>
      <c r="AA496" s="165" t="s">
        <v>2693</v>
      </c>
      <c r="AB496" s="295">
        <v>44530.0</v>
      </c>
      <c r="AC496" s="165" t="s">
        <v>2693</v>
      </c>
      <c r="AD496" s="295">
        <v>44547.0</v>
      </c>
      <c r="AE496" s="165" t="s">
        <v>2693</v>
      </c>
      <c r="AF496" s="295">
        <v>44590.0</v>
      </c>
      <c r="AG496" s="165" t="s">
        <v>2669</v>
      </c>
      <c r="AH496" s="295">
        <v>44599.0</v>
      </c>
      <c r="AI496" s="288"/>
      <c r="AJ496" s="288"/>
      <c r="AK496" s="165" t="s">
        <v>819</v>
      </c>
      <c r="AL496" s="165" t="s">
        <v>1971</v>
      </c>
      <c r="AM496" s="165" t="s">
        <v>1715</v>
      </c>
      <c r="AN496" s="165" t="s">
        <v>819</v>
      </c>
      <c r="AO496" s="165"/>
      <c r="AP496" s="150" t="s">
        <v>2663</v>
      </c>
      <c r="AQ496" s="165"/>
    </row>
    <row r="497">
      <c r="A497" s="150" t="s">
        <v>3861</v>
      </c>
      <c r="B497" s="150" t="s">
        <v>3862</v>
      </c>
      <c r="C497" s="175" t="str">
        <f>VLOOKUP(A497,Import!A:C,3,false)</f>
        <v>DOĞRU</v>
      </c>
      <c r="D497" s="150" t="s">
        <v>2773</v>
      </c>
      <c r="E497" s="280">
        <f>VLOOKUP(A497,Import!A:J,5,0)</f>
        <v>157</v>
      </c>
      <c r="F497" s="280">
        <f>VLOOKUP(A497,Import!A:J,6,0)</f>
        <v>14</v>
      </c>
      <c r="G497" s="289">
        <f>VLOOKUP(A497,Import!A:J,7,0)</f>
        <v>0</v>
      </c>
      <c r="H497" s="289">
        <f>VLOOKUP(A497,Import!A:J,8,0)</f>
        <v>14</v>
      </c>
      <c r="I497" s="289">
        <f>VLOOKUP(A497,Import!A:J,9,0)</f>
        <v>14</v>
      </c>
      <c r="J497" s="282">
        <f>VLOOKUP(A497,Import!A:J,10,0)</f>
        <v>0</v>
      </c>
      <c r="K497" s="244" t="str">
        <f>VLOOKUP(A497,Import!A:P,11,0)</f>
        <v>Fatma Ataç</v>
      </c>
      <c r="L497" s="150">
        <v>5.365772644E9</v>
      </c>
      <c r="M497" s="150" t="s">
        <v>2666</v>
      </c>
      <c r="N497" s="150" t="s">
        <v>2711</v>
      </c>
      <c r="O497" s="150" t="s">
        <v>3863</v>
      </c>
      <c r="P497" s="244" t="str">
        <f>VLOOKUP(A497,Import!A:P,16,0)</f>
        <v>Geleneksel</v>
      </c>
      <c r="Q497" s="291"/>
      <c r="R497" s="292" t="b">
        <v>1</v>
      </c>
      <c r="S497" s="293" t="b">
        <v>0</v>
      </c>
      <c r="T497" s="149" t="s">
        <v>2864</v>
      </c>
      <c r="U497" s="296"/>
      <c r="V497" s="296"/>
      <c r="W497" s="149" t="s">
        <v>3864</v>
      </c>
      <c r="X497" s="297"/>
      <c r="Y497" s="297"/>
      <c r="Z497" s="288"/>
      <c r="AA497" s="165" t="s">
        <v>2693</v>
      </c>
      <c r="AB497" s="295">
        <v>44496.0</v>
      </c>
      <c r="AC497" s="165" t="s">
        <v>2669</v>
      </c>
      <c r="AD497" s="295">
        <v>44529.0</v>
      </c>
      <c r="AE497" s="160"/>
      <c r="AF497" s="288"/>
      <c r="AG497" s="160"/>
      <c r="AH497" s="288"/>
      <c r="AI497" s="288"/>
      <c r="AJ497" s="288"/>
      <c r="AK497" s="165" t="s">
        <v>819</v>
      </c>
      <c r="AL497" s="165" t="s">
        <v>1717</v>
      </c>
      <c r="AM497" s="288"/>
      <c r="AN497" s="288"/>
      <c r="AO497" s="288"/>
      <c r="AP497" s="150" t="s">
        <v>2663</v>
      </c>
      <c r="AQ497" s="288"/>
    </row>
    <row r="498">
      <c r="A498" s="150" t="s">
        <v>3865</v>
      </c>
      <c r="B498" s="150" t="s">
        <v>3866</v>
      </c>
      <c r="C498" s="175" t="str">
        <f>VLOOKUP(A498,Import!A:C,3,false)</f>
        <v>DOĞRU</v>
      </c>
      <c r="D498" s="150" t="s">
        <v>2773</v>
      </c>
      <c r="E498" s="280">
        <f>VLOOKUP(A498,Import!A:J,5,0)</f>
        <v>1339</v>
      </c>
      <c r="F498" s="280">
        <f>VLOOKUP(A498,Import!A:J,6,0)</f>
        <v>50</v>
      </c>
      <c r="G498" s="289">
        <f>VLOOKUP(A498,Import!A:J,7,0)</f>
        <v>15</v>
      </c>
      <c r="H498" s="289">
        <f>VLOOKUP(A498,Import!A:J,8,0)</f>
        <v>12</v>
      </c>
      <c r="I498" s="289">
        <f>VLOOKUP(A498,Import!A:J,9,0)</f>
        <v>27</v>
      </c>
      <c r="J498" s="282">
        <f>VLOOKUP(A498,Import!A:J,10,0)</f>
        <v>0.56</v>
      </c>
      <c r="K498" s="244" t="str">
        <f>VLOOKUP(A498,Import!A:P,11,0)</f>
        <v>HİDAYET IŞIK</v>
      </c>
      <c r="L498" s="150">
        <v>5.454225657E9</v>
      </c>
      <c r="M498" s="150" t="s">
        <v>2666</v>
      </c>
      <c r="N498" s="150" t="s">
        <v>2809</v>
      </c>
      <c r="O498" s="150" t="s">
        <v>3867</v>
      </c>
      <c r="P498" s="244" t="str">
        <f>VLOOKUP(A498,Import!A:P,16,0)</f>
        <v>Geleneksel</v>
      </c>
      <c r="Q498" s="315" t="s">
        <v>2760</v>
      </c>
      <c r="R498" s="293" t="b">
        <v>0</v>
      </c>
      <c r="S498" s="293" t="b">
        <v>0</v>
      </c>
      <c r="T498" s="149" t="s">
        <v>2925</v>
      </c>
      <c r="U498" s="296"/>
      <c r="V498" s="312"/>
      <c r="X498" s="297"/>
      <c r="Y498" s="297"/>
      <c r="Z498" s="288"/>
      <c r="AA498" s="288"/>
      <c r="AB498" s="288"/>
      <c r="AC498" s="288"/>
      <c r="AD498" s="288"/>
      <c r="AE498" s="160"/>
      <c r="AF498" s="288"/>
      <c r="AG498" s="160"/>
      <c r="AH498" s="288"/>
      <c r="AI498" s="288"/>
      <c r="AJ498" s="288"/>
      <c r="AK498" s="288"/>
      <c r="AL498" s="288"/>
      <c r="AM498" s="288"/>
      <c r="AN498" s="288"/>
      <c r="AO498" s="288"/>
      <c r="AP498" s="150" t="s">
        <v>2663</v>
      </c>
      <c r="AQ498" s="288"/>
    </row>
    <row r="499">
      <c r="A499" s="244" t="s">
        <v>3868</v>
      </c>
      <c r="B499" s="244" t="s">
        <v>3869</v>
      </c>
      <c r="C499" s="175" t="str">
        <f>VLOOKUP(A499,Import!A:C,3,false)</f>
        <v>DOĞRU</v>
      </c>
      <c r="D499" s="244" t="s">
        <v>2773</v>
      </c>
      <c r="E499" s="280">
        <f>VLOOKUP(A499,Import!A:J,5,0)</f>
        <v>1796</v>
      </c>
      <c r="F499" s="280">
        <f>VLOOKUP(A499,Import!A:J,6,0)</f>
        <v>26</v>
      </c>
      <c r="G499" s="289">
        <f>VLOOKUP(A499,Import!A:J,7,0)</f>
        <v>7</v>
      </c>
      <c r="H499" s="289">
        <f>VLOOKUP(A499,Import!A:J,8,0)</f>
        <v>14</v>
      </c>
      <c r="I499" s="289">
        <f>VLOOKUP(A499,Import!A:J,9,0)</f>
        <v>21</v>
      </c>
      <c r="J499" s="282">
        <f>VLOOKUP(A499,Import!A:J,10,0)</f>
        <v>0.33</v>
      </c>
      <c r="K499" s="244" t="str">
        <f>VLOOKUP(A499,Import!A:P,11,0)</f>
        <v>SEBAHATTİN DENİZ</v>
      </c>
      <c r="L499" s="280">
        <v>5.525865451E9</v>
      </c>
      <c r="M499" s="244" t="s">
        <v>2666</v>
      </c>
      <c r="N499" s="244" t="s">
        <v>2685</v>
      </c>
      <c r="O499" s="244" t="s">
        <v>3870</v>
      </c>
      <c r="P499" s="244" t="str">
        <f>VLOOKUP(A499,Import!A:P,16,0)</f>
        <v>Geleneksel</v>
      </c>
      <c r="Q499" s="315" t="s">
        <v>2760</v>
      </c>
      <c r="R499" s="292" t="b">
        <v>1</v>
      </c>
      <c r="S499" s="292" t="b">
        <v>1</v>
      </c>
      <c r="T499" s="160"/>
      <c r="U499" s="160"/>
      <c r="V499" s="364"/>
      <c r="W499" s="160"/>
      <c r="X499" s="288"/>
      <c r="Y499" s="288"/>
      <c r="Z499" s="288"/>
      <c r="AA499" s="288"/>
      <c r="AB499" s="288"/>
      <c r="AC499" s="288"/>
      <c r="AD499" s="288"/>
      <c r="AE499" s="160"/>
      <c r="AF499" s="288"/>
      <c r="AG499" s="160"/>
      <c r="AH499" s="288"/>
      <c r="AI499" s="288"/>
      <c r="AJ499" s="288"/>
      <c r="AK499" s="288"/>
      <c r="AL499" s="288"/>
      <c r="AM499" s="288"/>
      <c r="AN499" s="288"/>
      <c r="AO499" s="288"/>
      <c r="AP499" s="150" t="s">
        <v>2663</v>
      </c>
      <c r="AQ499" s="288"/>
    </row>
    <row r="500">
      <c r="A500" s="244" t="s">
        <v>3871</v>
      </c>
      <c r="B500" s="244" t="s">
        <v>3872</v>
      </c>
      <c r="C500" s="175" t="str">
        <f>VLOOKUP(A500,Import!A:C,3,false)</f>
        <v>DOĞRU</v>
      </c>
      <c r="D500" s="244" t="s">
        <v>2773</v>
      </c>
      <c r="E500" s="280">
        <f>VLOOKUP(A500,Import!A:J,5,0)</f>
        <v>2376</v>
      </c>
      <c r="F500" s="280">
        <f>VLOOKUP(A500,Import!A:J,6,0)</f>
        <v>36</v>
      </c>
      <c r="G500" s="289">
        <f>VLOOKUP(A500,Import!A:J,7,0)</f>
        <v>12</v>
      </c>
      <c r="H500" s="289">
        <f>VLOOKUP(A500,Import!A:J,8,0)</f>
        <v>9</v>
      </c>
      <c r="I500" s="289">
        <f>VLOOKUP(A500,Import!A:J,9,0)</f>
        <v>21</v>
      </c>
      <c r="J500" s="282">
        <f>VLOOKUP(A500,Import!A:J,10,0)</f>
        <v>0.57</v>
      </c>
      <c r="K500" s="244" t="str">
        <f>VLOOKUP(A500,Import!A:P,11,0)</f>
        <v>ÇAĞRI KUZGUN</v>
      </c>
      <c r="L500" s="280">
        <v>5.392577096E9</v>
      </c>
      <c r="M500" s="244" t="s">
        <v>1450</v>
      </c>
      <c r="N500" s="244" t="s">
        <v>2674</v>
      </c>
      <c r="O500" s="244" t="s">
        <v>3873</v>
      </c>
      <c r="P500" s="244" t="str">
        <f>VLOOKUP(A500,Import!A:P,16,0)</f>
        <v>Geleneksel</v>
      </c>
      <c r="Q500" s="315" t="s">
        <v>2686</v>
      </c>
      <c r="R500" s="293" t="b">
        <v>0</v>
      </c>
      <c r="S500" s="293" t="b">
        <v>0</v>
      </c>
      <c r="T500" s="165" t="s">
        <v>2925</v>
      </c>
      <c r="U500" s="160"/>
      <c r="V500" s="160"/>
      <c r="W500" s="160"/>
      <c r="X500" s="288"/>
      <c r="Y500" s="288"/>
      <c r="Z500" s="288"/>
      <c r="AA500" s="288"/>
      <c r="AB500" s="288"/>
      <c r="AC500" s="288"/>
      <c r="AD500" s="288"/>
      <c r="AE500" s="160"/>
      <c r="AF500" s="288"/>
      <c r="AG500" s="160"/>
      <c r="AH500" s="288"/>
      <c r="AI500" s="288"/>
      <c r="AJ500" s="288"/>
      <c r="AK500" s="288"/>
      <c r="AL500" s="288"/>
      <c r="AM500" s="288"/>
      <c r="AN500" s="288"/>
      <c r="AO500" s="288"/>
      <c r="AP500" s="150" t="s">
        <v>2663</v>
      </c>
      <c r="AQ500" s="288"/>
    </row>
    <row r="501">
      <c r="A501" s="150" t="s">
        <v>3874</v>
      </c>
      <c r="B501" s="150" t="s">
        <v>3875</v>
      </c>
      <c r="C501" s="175" t="str">
        <f>VLOOKUP(A501,Import!A:C,3,false)</f>
        <v>DOĞRU</v>
      </c>
      <c r="D501" s="150" t="s">
        <v>2773</v>
      </c>
      <c r="E501" s="280">
        <f>VLOOKUP(A501,Import!A:J,5,0)</f>
        <v>199</v>
      </c>
      <c r="F501" s="280">
        <f>VLOOKUP(A501,Import!A:J,6,0)</f>
        <v>3</v>
      </c>
      <c r="G501" s="289">
        <f>VLOOKUP(A501,Import!A:J,7,0)</f>
        <v>7</v>
      </c>
      <c r="H501" s="289">
        <f>VLOOKUP(A501,Import!A:J,8,0)</f>
        <v>27</v>
      </c>
      <c r="I501" s="289">
        <f>VLOOKUP(A501,Import!A:J,9,0)</f>
        <v>34</v>
      </c>
      <c r="J501" s="282">
        <f>VLOOKUP(A501,Import!A:J,10,0)</f>
        <v>0.21</v>
      </c>
      <c r="K501" s="290" t="s">
        <v>3876</v>
      </c>
      <c r="L501" s="150">
        <v>5.528863026E9</v>
      </c>
      <c r="M501" s="150" t="s">
        <v>1450</v>
      </c>
      <c r="N501" s="150" t="s">
        <v>3877</v>
      </c>
      <c r="O501" s="150" t="s">
        <v>3878</v>
      </c>
      <c r="P501" s="244" t="str">
        <f>VLOOKUP(A501,Import!A:P,16,0)</f>
        <v>Geleneksel</v>
      </c>
      <c r="Q501" s="291"/>
      <c r="R501" s="292" t="b">
        <v>0</v>
      </c>
      <c r="S501" s="293" t="b">
        <v>0</v>
      </c>
      <c r="T501" s="149" t="s">
        <v>2925</v>
      </c>
      <c r="U501" s="296"/>
      <c r="V501" s="296"/>
      <c r="W501" s="149"/>
      <c r="X501" s="297"/>
      <c r="Y501" s="297"/>
      <c r="Z501" s="288"/>
      <c r="AA501" s="165"/>
      <c r="AB501" s="295"/>
      <c r="AC501" s="288"/>
      <c r="AD501" s="288"/>
      <c r="AE501" s="160"/>
      <c r="AF501" s="288"/>
      <c r="AG501" s="160"/>
      <c r="AH501" s="288"/>
      <c r="AI501" s="288"/>
      <c r="AJ501" s="288"/>
      <c r="AK501" s="165"/>
      <c r="AL501" s="288"/>
      <c r="AM501" s="288"/>
      <c r="AN501" s="288"/>
      <c r="AO501" s="165"/>
      <c r="AP501" s="150"/>
      <c r="AQ501" s="165"/>
    </row>
    <row r="502">
      <c r="A502" s="150" t="s">
        <v>3879</v>
      </c>
      <c r="B502" s="150" t="s">
        <v>3880</v>
      </c>
      <c r="C502" s="175" t="str">
        <f>VLOOKUP(A502,Import!A:C,3,false)</f>
        <v>DOĞRU</v>
      </c>
      <c r="D502" s="150" t="s">
        <v>2773</v>
      </c>
      <c r="E502" s="280">
        <f>VLOOKUP(A502,Import!A:J,5,0)</f>
        <v>145</v>
      </c>
      <c r="F502" s="280">
        <f>VLOOKUP(A502,Import!A:J,6,0)</f>
        <v>3</v>
      </c>
      <c r="G502" s="289">
        <f>VLOOKUP(A502,Import!A:J,7,0)</f>
        <v>0</v>
      </c>
      <c r="H502" s="289">
        <f>VLOOKUP(A502,Import!A:J,8,0)</f>
        <v>33</v>
      </c>
      <c r="I502" s="289">
        <f>VLOOKUP(A502,Import!A:J,9,0)</f>
        <v>33</v>
      </c>
      <c r="J502" s="282">
        <f>VLOOKUP(A502,Import!A:J,10,0)</f>
        <v>0</v>
      </c>
      <c r="K502" s="290" t="s">
        <v>3881</v>
      </c>
      <c r="L502" s="150">
        <v>5.441234026E9</v>
      </c>
      <c r="M502" s="150" t="s">
        <v>2666</v>
      </c>
      <c r="N502" s="150" t="s">
        <v>3000</v>
      </c>
      <c r="O502" s="150" t="s">
        <v>3882</v>
      </c>
      <c r="P502" s="244" t="str">
        <f>VLOOKUP(A502,Import!A:P,16,0)</f>
        <v>Geleneksel</v>
      </c>
      <c r="Q502" s="291"/>
      <c r="R502" s="292" t="b">
        <v>0</v>
      </c>
      <c r="S502" s="293" t="b">
        <v>0</v>
      </c>
      <c r="T502" s="149" t="s">
        <v>2925</v>
      </c>
      <c r="U502" s="296"/>
      <c r="V502" s="296"/>
      <c r="W502" s="149"/>
      <c r="X502" s="297"/>
      <c r="Y502" s="297"/>
      <c r="Z502" s="288"/>
      <c r="AA502" s="165"/>
      <c r="AB502" s="295"/>
      <c r="AC502" s="288"/>
      <c r="AD502" s="288"/>
      <c r="AE502" s="160"/>
      <c r="AF502" s="288"/>
      <c r="AG502" s="160"/>
      <c r="AH502" s="288"/>
      <c r="AI502" s="288"/>
      <c r="AJ502" s="288"/>
      <c r="AK502" s="165"/>
      <c r="AL502" s="288"/>
      <c r="AM502" s="288"/>
      <c r="AN502" s="288"/>
      <c r="AO502" s="165"/>
      <c r="AP502" s="150"/>
      <c r="AQ502" s="165"/>
    </row>
    <row r="503">
      <c r="A503" s="147" t="s">
        <v>3883</v>
      </c>
      <c r="B503" s="147" t="s">
        <v>3884</v>
      </c>
      <c r="C503" s="175" t="str">
        <f>VLOOKUP(A503,Import!A:C,3,false)</f>
        <v>DOĞRU</v>
      </c>
      <c r="D503" s="147" t="s">
        <v>2773</v>
      </c>
      <c r="E503" s="280">
        <f>VLOOKUP(A503,Import!A:J,5,0)</f>
        <v>856</v>
      </c>
      <c r="F503" s="280">
        <f>VLOOKUP(A503,Import!A:J,6,0)</f>
        <v>4</v>
      </c>
      <c r="G503" s="289">
        <f>VLOOKUP(A503,Import!A:J,7,0)</f>
        <v>13</v>
      </c>
      <c r="H503" s="289">
        <f>VLOOKUP(A503,Import!A:J,8,0)</f>
        <v>7</v>
      </c>
      <c r="I503" s="289">
        <f>VLOOKUP(A503,Import!A:J,9,0)</f>
        <v>20</v>
      </c>
      <c r="J503" s="282">
        <f>VLOOKUP(A503,Import!A:J,10,0)</f>
        <v>0.65</v>
      </c>
      <c r="K503" s="244" t="str">
        <f>VLOOKUP(A503,Import!A:P,11,0)</f>
        <v>Emine Silmez</v>
      </c>
      <c r="L503" s="147">
        <v>2.222343401E9</v>
      </c>
      <c r="M503" s="147" t="s">
        <v>1450</v>
      </c>
      <c r="N503" s="147" t="s">
        <v>2700</v>
      </c>
      <c r="O503" s="147" t="s">
        <v>3885</v>
      </c>
      <c r="P503" s="244" t="str">
        <f>VLOOKUP(A503,Import!A:P,16,0)</f>
        <v>Geleneksel</v>
      </c>
      <c r="Q503" s="330"/>
      <c r="R503" s="292" t="b">
        <v>1</v>
      </c>
      <c r="S503" s="293" t="b">
        <v>0</v>
      </c>
      <c r="T503" s="149" t="s">
        <v>2925</v>
      </c>
      <c r="U503" s="296"/>
      <c r="V503" s="6"/>
      <c r="X503" s="297"/>
      <c r="Y503" s="297"/>
      <c r="Z503" s="288"/>
      <c r="AA503" s="288"/>
      <c r="AB503" s="288"/>
      <c r="AC503" s="288"/>
      <c r="AD503" s="288"/>
      <c r="AE503" s="160"/>
      <c r="AF503" s="288"/>
      <c r="AG503" s="160"/>
      <c r="AH503" s="288"/>
      <c r="AI503" s="288"/>
      <c r="AJ503" s="288"/>
      <c r="AK503" s="288"/>
      <c r="AL503" s="288"/>
      <c r="AM503" s="288"/>
      <c r="AN503" s="288"/>
      <c r="AO503" s="288"/>
      <c r="AP503" s="150" t="s">
        <v>2663</v>
      </c>
      <c r="AQ503" s="288"/>
    </row>
    <row r="504">
      <c r="A504" s="150" t="s">
        <v>3886</v>
      </c>
      <c r="B504" s="150" t="s">
        <v>3887</v>
      </c>
      <c r="C504" s="175" t="str">
        <f>VLOOKUP(A504,Import!A:C,3,false)</f>
        <v>DOĞRU</v>
      </c>
      <c r="D504" s="150" t="s">
        <v>2773</v>
      </c>
      <c r="E504" s="280">
        <f>VLOOKUP(A504,Import!A:J,5,0)</f>
        <v>176</v>
      </c>
      <c r="F504" s="280" t="str">
        <f>VLOOKUP(A504,Import!A:J,6,0)</f>
        <v/>
      </c>
      <c r="G504" s="289">
        <f>VLOOKUP(A504,Import!A:J,7,0)</f>
        <v>11</v>
      </c>
      <c r="H504" s="289">
        <f>VLOOKUP(A504,Import!A:J,8,0)</f>
        <v>22</v>
      </c>
      <c r="I504" s="289">
        <f>VLOOKUP(A504,Import!A:J,9,0)</f>
        <v>33</v>
      </c>
      <c r="J504" s="282">
        <f>VLOOKUP(A504,Import!A:J,10,0)</f>
        <v>0.33</v>
      </c>
      <c r="K504" s="244" t="str">
        <f>VLOOKUP(A504,Import!A:P,11,0)</f>
        <v>Hasan Şimşek</v>
      </c>
      <c r="L504" s="150">
        <v>2.223404663E9</v>
      </c>
      <c r="M504" s="150" t="s">
        <v>2666</v>
      </c>
      <c r="N504" s="150" t="s">
        <v>3000</v>
      </c>
      <c r="O504" s="150" t="s">
        <v>3888</v>
      </c>
      <c r="P504" s="244" t="str">
        <f>VLOOKUP(A504,Import!A:P,16,0)</f>
        <v>Geleneksel</v>
      </c>
      <c r="Q504" s="291" t="s">
        <v>2760</v>
      </c>
      <c r="R504" s="292" t="b">
        <v>1</v>
      </c>
      <c r="S504" s="293" t="b">
        <v>0</v>
      </c>
      <c r="T504" s="149" t="s">
        <v>2925</v>
      </c>
      <c r="U504" s="296"/>
      <c r="V504" s="296"/>
      <c r="X504" s="297"/>
      <c r="Y504" s="297"/>
      <c r="Z504" s="288"/>
      <c r="AA504" s="288"/>
      <c r="AB504" s="288"/>
      <c r="AC504" s="288"/>
      <c r="AD504" s="288"/>
      <c r="AE504" s="160"/>
      <c r="AF504" s="288"/>
      <c r="AG504" s="160"/>
      <c r="AH504" s="288"/>
      <c r="AI504" s="288"/>
      <c r="AJ504" s="288"/>
      <c r="AK504" s="288"/>
      <c r="AL504" s="288"/>
      <c r="AM504" s="288"/>
      <c r="AN504" s="288"/>
      <c r="AO504" s="288"/>
      <c r="AP504" s="150" t="s">
        <v>2663</v>
      </c>
      <c r="AQ504" s="288"/>
    </row>
    <row r="505">
      <c r="A505" s="147" t="s">
        <v>3889</v>
      </c>
      <c r="B505" s="147" t="s">
        <v>3890</v>
      </c>
      <c r="C505" s="175" t="str">
        <f>VLOOKUP(A505,Import!A:C,3,false)</f>
        <v>DOĞRU</v>
      </c>
      <c r="D505" s="147" t="s">
        <v>2773</v>
      </c>
      <c r="E505" s="280">
        <f>VLOOKUP(A505,Import!A:J,5,0)</f>
        <v>844</v>
      </c>
      <c r="F505" s="280">
        <f>VLOOKUP(A505,Import!A:J,6,0)</f>
        <v>58</v>
      </c>
      <c r="G505" s="289">
        <f>VLOOKUP(A505,Import!A:J,7,0)</f>
        <v>16</v>
      </c>
      <c r="H505" s="289">
        <f>VLOOKUP(A505,Import!A:J,8,0)</f>
        <v>15</v>
      </c>
      <c r="I505" s="289">
        <f>VLOOKUP(A505,Import!A:J,9,0)</f>
        <v>31</v>
      </c>
      <c r="J505" s="282">
        <f>VLOOKUP(A505,Import!A:J,10,0)</f>
        <v>0.52</v>
      </c>
      <c r="K505" s="244" t="str">
        <f>VLOOKUP(A505,Import!A:P,11,0)</f>
        <v>Perihan Yeter</v>
      </c>
      <c r="L505" s="147">
        <v>2.223230026E9</v>
      </c>
      <c r="M505" s="147" t="s">
        <v>2666</v>
      </c>
      <c r="N505" s="147" t="s">
        <v>2721</v>
      </c>
      <c r="O505" s="147" t="s">
        <v>3891</v>
      </c>
      <c r="P505" s="244" t="str">
        <f>VLOOKUP(A505,Import!A:P,16,0)</f>
        <v>Geleneksel</v>
      </c>
      <c r="Q505" s="330"/>
      <c r="R505" s="292" t="b">
        <v>1</v>
      </c>
      <c r="S505" s="293" t="b">
        <v>0</v>
      </c>
      <c r="T505" s="149" t="s">
        <v>2925</v>
      </c>
      <c r="U505" s="296"/>
      <c r="V505" s="296"/>
      <c r="X505" s="297"/>
      <c r="Y505" s="297"/>
      <c r="Z505" s="288"/>
      <c r="AA505" s="288"/>
      <c r="AB505" s="288"/>
      <c r="AC505" s="288"/>
      <c r="AD505" s="288"/>
      <c r="AE505" s="160"/>
      <c r="AF505" s="288"/>
      <c r="AG505" s="160"/>
      <c r="AH505" s="288"/>
      <c r="AI505" s="288"/>
      <c r="AJ505" s="288"/>
      <c r="AK505" s="288"/>
      <c r="AL505" s="288"/>
      <c r="AM505" s="288"/>
      <c r="AN505" s="288"/>
      <c r="AO505" s="288"/>
      <c r="AP505" s="150" t="s">
        <v>2663</v>
      </c>
      <c r="AQ505" s="288"/>
    </row>
    <row r="506">
      <c r="A506" s="150" t="s">
        <v>3892</v>
      </c>
      <c r="B506" s="150" t="s">
        <v>3893</v>
      </c>
      <c r="C506" s="175" t="str">
        <f>VLOOKUP(A506,Import!A:C,3,false)</f>
        <v>DOĞRU</v>
      </c>
      <c r="D506" s="150" t="s">
        <v>2773</v>
      </c>
      <c r="E506" s="280">
        <f>VLOOKUP(A506,Import!A:J,5,0)</f>
        <v>1764</v>
      </c>
      <c r="F506" s="280">
        <f>VLOOKUP(A506,Import!A:J,6,0)</f>
        <v>171</v>
      </c>
      <c r="G506" s="289">
        <f>VLOOKUP(A506,Import!A:J,7,0)</f>
        <v>24</v>
      </c>
      <c r="H506" s="289">
        <f>VLOOKUP(A506,Import!A:J,8,0)</f>
        <v>18</v>
      </c>
      <c r="I506" s="289">
        <f>VLOOKUP(A506,Import!A:J,9,0)</f>
        <v>42</v>
      </c>
      <c r="J506" s="282">
        <f>VLOOKUP(A506,Import!A:J,10,0)</f>
        <v>0.57</v>
      </c>
      <c r="K506" s="244" t="str">
        <f>VLOOKUP(A506,Import!A:P,11,0)</f>
        <v>AYŞEGÜL BAYIN</v>
      </c>
      <c r="L506" s="150">
        <v>5.465462627E9</v>
      </c>
      <c r="M506" s="150" t="s">
        <v>1450</v>
      </c>
      <c r="N506" s="150" t="s">
        <v>2732</v>
      </c>
      <c r="O506" s="150" t="s">
        <v>3894</v>
      </c>
      <c r="P506" s="244" t="str">
        <f>VLOOKUP(A506,Import!A:P,16,0)</f>
        <v>Geleneksel</v>
      </c>
      <c r="Q506" s="315" t="s">
        <v>2713</v>
      </c>
      <c r="R506" s="293" t="b">
        <v>0</v>
      </c>
      <c r="S506" s="293" t="b">
        <v>0</v>
      </c>
      <c r="T506" s="149" t="s">
        <v>2925</v>
      </c>
      <c r="U506" s="296"/>
      <c r="V506" s="296"/>
      <c r="X506" s="297"/>
      <c r="Y506" s="297"/>
      <c r="Z506" s="288"/>
      <c r="AA506" s="288"/>
      <c r="AB506" s="288"/>
      <c r="AC506" s="288"/>
      <c r="AD506" s="288"/>
      <c r="AE506" s="160"/>
      <c r="AF506" s="288"/>
      <c r="AG506" s="160"/>
      <c r="AH506" s="288"/>
      <c r="AI506" s="288"/>
      <c r="AJ506" s="288"/>
      <c r="AK506" s="288"/>
      <c r="AL506" s="288"/>
      <c r="AM506" s="288"/>
      <c r="AN506" s="288"/>
      <c r="AO506" s="288"/>
      <c r="AP506" s="150" t="s">
        <v>2663</v>
      </c>
      <c r="AQ506" s="288"/>
    </row>
    <row r="507">
      <c r="A507" s="244" t="s">
        <v>3895</v>
      </c>
      <c r="B507" s="244" t="s">
        <v>3896</v>
      </c>
      <c r="C507" s="175" t="str">
        <f>VLOOKUP(A507,Import!A:C,3,false)</f>
        <v>DOĞRU</v>
      </c>
      <c r="D507" s="244" t="s">
        <v>2773</v>
      </c>
      <c r="E507" s="280">
        <f>VLOOKUP(A507,Import!A:J,5,0)</f>
        <v>2882</v>
      </c>
      <c r="F507" s="280">
        <f>VLOOKUP(A507,Import!A:J,6,0)</f>
        <v>151</v>
      </c>
      <c r="G507" s="289">
        <f>VLOOKUP(A507,Import!A:J,7,0)</f>
        <v>9</v>
      </c>
      <c r="H507" s="289">
        <f>VLOOKUP(A507,Import!A:J,8,0)</f>
        <v>7</v>
      </c>
      <c r="I507" s="289">
        <f>VLOOKUP(A507,Import!A:J,9,0)</f>
        <v>16</v>
      </c>
      <c r="J507" s="282">
        <f>VLOOKUP(A507,Import!A:J,10,0)</f>
        <v>0.56</v>
      </c>
      <c r="K507" s="244" t="str">
        <f>VLOOKUP(A507,Import!A:P,11,0)</f>
        <v>SAMET DEMLİ</v>
      </c>
      <c r="L507" s="280">
        <v>5.396190272E9</v>
      </c>
      <c r="M507" s="244" t="s">
        <v>1450</v>
      </c>
      <c r="N507" s="244" t="s">
        <v>2703</v>
      </c>
      <c r="O507" s="244" t="s">
        <v>637</v>
      </c>
      <c r="P507" s="244" t="str">
        <f>VLOOKUP(A507,Import!A:P,16,0)</f>
        <v>Geleneksel</v>
      </c>
      <c r="Q507" s="315" t="s">
        <v>2660</v>
      </c>
      <c r="R507" s="293" t="b">
        <v>0</v>
      </c>
      <c r="S507" s="292" t="b">
        <v>0</v>
      </c>
      <c r="T507" s="165" t="s">
        <v>2925</v>
      </c>
      <c r="U507" s="160"/>
      <c r="V507" s="160"/>
      <c r="W507" s="160"/>
      <c r="X507" s="288"/>
      <c r="Y507" s="288"/>
      <c r="Z507" s="288"/>
      <c r="AA507" s="288"/>
      <c r="AB507" s="288"/>
      <c r="AC507" s="288"/>
      <c r="AD507" s="288"/>
      <c r="AE507" s="160"/>
      <c r="AF507" s="288"/>
      <c r="AG507" s="160"/>
      <c r="AH507" s="288"/>
      <c r="AI507" s="288"/>
      <c r="AJ507" s="288"/>
      <c r="AK507" s="288"/>
      <c r="AL507" s="288"/>
      <c r="AM507" s="288"/>
      <c r="AN507" s="288"/>
      <c r="AO507" s="288"/>
      <c r="AP507" s="150" t="s">
        <v>2663</v>
      </c>
      <c r="AQ507" s="288"/>
    </row>
    <row r="508">
      <c r="A508" s="150" t="s">
        <v>1867</v>
      </c>
      <c r="B508" s="150" t="s">
        <v>1868</v>
      </c>
      <c r="C508" s="175" t="str">
        <f>VLOOKUP(A508,Import!A:C,3,false)</f>
        <v>DOĞRU</v>
      </c>
      <c r="D508" s="150" t="s">
        <v>2763</v>
      </c>
      <c r="E508" s="280">
        <f>VLOOKUP(A508,Import!A:J,5,0)</f>
        <v>608</v>
      </c>
      <c r="F508" s="280">
        <f>VLOOKUP(A508,Import!A:J,6,0)</f>
        <v>111</v>
      </c>
      <c r="G508" s="289">
        <f>VLOOKUP(A508,Import!A:J,7,0)</f>
        <v>12</v>
      </c>
      <c r="H508" s="289">
        <f>VLOOKUP(A508,Import!A:J,8,0)</f>
        <v>11</v>
      </c>
      <c r="I508" s="289">
        <f>VLOOKUP(A508,Import!A:J,9,0)</f>
        <v>23</v>
      </c>
      <c r="J508" s="282">
        <f>VLOOKUP(A508,Import!A:J,10,0)</f>
        <v>0.52</v>
      </c>
      <c r="K508" s="290" t="s">
        <v>3897</v>
      </c>
      <c r="L508" s="150">
        <v>2.222258256E9</v>
      </c>
      <c r="M508" s="150" t="s">
        <v>1450</v>
      </c>
      <c r="N508" s="150" t="s">
        <v>2705</v>
      </c>
      <c r="O508" s="150" t="s">
        <v>874</v>
      </c>
      <c r="P508" s="244" t="str">
        <f>VLOOKUP(A508,Import!A:P,16,0)</f>
        <v>Geleneksel</v>
      </c>
      <c r="Q508" s="291"/>
      <c r="R508" s="292" t="b">
        <v>1</v>
      </c>
      <c r="S508" s="293" t="b">
        <v>0</v>
      </c>
      <c r="T508" s="149" t="s">
        <v>2661</v>
      </c>
      <c r="U508" s="149" t="s">
        <v>943</v>
      </c>
      <c r="V508" s="296"/>
      <c r="W508" s="149" t="s">
        <v>3898</v>
      </c>
      <c r="X508" s="294">
        <v>44504.0</v>
      </c>
      <c r="Y508" s="294">
        <v>44505.0</v>
      </c>
      <c r="Z508" s="288"/>
      <c r="AA508" s="165" t="s">
        <v>2693</v>
      </c>
      <c r="AB508" s="295">
        <v>44504.0</v>
      </c>
      <c r="AC508" s="165" t="s">
        <v>2669</v>
      </c>
      <c r="AD508" s="295">
        <v>44504.0</v>
      </c>
      <c r="AE508" s="160"/>
      <c r="AF508" s="288"/>
      <c r="AG508" s="160"/>
      <c r="AH508" s="288"/>
      <c r="AI508" s="288"/>
      <c r="AJ508" s="288"/>
      <c r="AK508" s="165" t="s">
        <v>943</v>
      </c>
      <c r="AL508" s="165" t="s">
        <v>943</v>
      </c>
      <c r="AM508" s="288"/>
      <c r="AN508" s="288"/>
      <c r="AO508" s="288"/>
      <c r="AP508" s="150" t="s">
        <v>2663</v>
      </c>
      <c r="AQ508" s="288"/>
    </row>
    <row r="509">
      <c r="A509" s="150" t="s">
        <v>2117</v>
      </c>
      <c r="B509" s="150" t="s">
        <v>2118</v>
      </c>
      <c r="C509" s="175" t="str">
        <f>VLOOKUP(A509,Import!A:C,3,false)</f>
        <v>DOĞRU</v>
      </c>
      <c r="D509" s="150" t="s">
        <v>2773</v>
      </c>
      <c r="E509" s="280">
        <f>VLOOKUP(A509,Import!A:J,5,0)</f>
        <v>78</v>
      </c>
      <c r="F509" s="280" t="str">
        <f>VLOOKUP(A509,Import!A:J,6,0)</f>
        <v/>
      </c>
      <c r="G509" s="289">
        <f>VLOOKUP(A509,Import!A:J,7,0)</f>
        <v>4</v>
      </c>
      <c r="H509" s="289">
        <f>VLOOKUP(A509,Import!A:J,8,0)</f>
        <v>4</v>
      </c>
      <c r="I509" s="289">
        <f>VLOOKUP(A509,Import!A:J,9,0)</f>
        <v>8</v>
      </c>
      <c r="J509" s="282">
        <f>VLOOKUP(A509,Import!A:J,10,0)</f>
        <v>0.5</v>
      </c>
      <c r="K509" s="290" t="s">
        <v>3897</v>
      </c>
      <c r="L509" s="150">
        <v>2.222258256E9</v>
      </c>
      <c r="M509" s="150" t="s">
        <v>1450</v>
      </c>
      <c r="N509" s="150" t="s">
        <v>2705</v>
      </c>
      <c r="O509" s="150" t="s">
        <v>874</v>
      </c>
      <c r="P509" s="244" t="str">
        <f>VLOOKUP(A509,Import!A:P,16,0)</f>
        <v>Geleneksel</v>
      </c>
      <c r="Q509" s="291"/>
      <c r="R509" s="292" t="b">
        <v>1</v>
      </c>
      <c r="S509" s="293" t="b">
        <v>0</v>
      </c>
      <c r="T509" s="149" t="s">
        <v>2661</v>
      </c>
      <c r="U509" s="149" t="s">
        <v>1717</v>
      </c>
      <c r="V509" s="269" t="s">
        <v>1609</v>
      </c>
      <c r="W509" s="149" t="s">
        <v>3899</v>
      </c>
      <c r="X509" s="294">
        <v>44532.0</v>
      </c>
      <c r="Y509" s="294">
        <v>44536.0</v>
      </c>
      <c r="Z509" s="288"/>
      <c r="AA509" s="165" t="s">
        <v>2669</v>
      </c>
      <c r="AB509" s="295">
        <v>44532.0</v>
      </c>
      <c r="AC509" s="288"/>
      <c r="AD509" s="288"/>
      <c r="AE509" s="160"/>
      <c r="AF509" s="288"/>
      <c r="AG509" s="160"/>
      <c r="AH509" s="288"/>
      <c r="AI509" s="288"/>
      <c r="AJ509" s="288"/>
      <c r="AK509" s="165" t="s">
        <v>1717</v>
      </c>
      <c r="AL509" s="288"/>
      <c r="AM509" s="288"/>
      <c r="AN509" s="288"/>
      <c r="AO509" s="165"/>
      <c r="AP509" s="150" t="s">
        <v>2663</v>
      </c>
      <c r="AQ509" s="165"/>
    </row>
    <row r="510">
      <c r="A510" s="150" t="s">
        <v>2410</v>
      </c>
      <c r="B510" s="150" t="s">
        <v>2411</v>
      </c>
      <c r="C510" s="175" t="str">
        <f>VLOOKUP(A510,Import!A:C,3,false)</f>
        <v>DOĞRU</v>
      </c>
      <c r="D510" s="150" t="s">
        <v>2664</v>
      </c>
      <c r="E510" s="280">
        <f>VLOOKUP(A510,Import!A:J,5,0)</f>
        <v>655</v>
      </c>
      <c r="F510" s="280">
        <f>VLOOKUP(A510,Import!A:J,6,0)</f>
        <v>13</v>
      </c>
      <c r="G510" s="289">
        <f>VLOOKUP(A510,Import!A:J,7,0)</f>
        <v>0</v>
      </c>
      <c r="H510" s="289">
        <f>VLOOKUP(A510,Import!A:J,8,0)</f>
        <v>40</v>
      </c>
      <c r="I510" s="289">
        <f>VLOOKUP(A510,Import!A:J,9,0)</f>
        <v>40</v>
      </c>
      <c r="J510" s="282">
        <f>VLOOKUP(A510,Import!A:J,10,0)</f>
        <v>0</v>
      </c>
      <c r="K510" s="244" t="str">
        <f>VLOOKUP(A510,Import!A:P,11,0)</f>
        <v>ERAY YANIK</v>
      </c>
      <c r="L510" s="150">
        <v>2.222505022E9</v>
      </c>
      <c r="M510" s="150" t="s">
        <v>1450</v>
      </c>
      <c r="N510" s="150" t="s">
        <v>2703</v>
      </c>
      <c r="O510" s="150" t="s">
        <v>2414</v>
      </c>
      <c r="P510" s="244" t="str">
        <f>VLOOKUP(A510,Import!A:P,16,0)</f>
        <v>Geleneksel</v>
      </c>
      <c r="Q510" s="291"/>
      <c r="R510" s="292" t="b">
        <v>1</v>
      </c>
      <c r="S510" s="293" t="b">
        <v>0</v>
      </c>
      <c r="T510" s="149" t="s">
        <v>2668</v>
      </c>
      <c r="U510" s="149" t="s">
        <v>1791</v>
      </c>
      <c r="V510" s="269" t="s">
        <v>1609</v>
      </c>
      <c r="W510" s="149" t="s">
        <v>2815</v>
      </c>
      <c r="X510" s="294">
        <v>44578.0</v>
      </c>
      <c r="Y510" s="294">
        <v>44581.0</v>
      </c>
      <c r="Z510" s="288"/>
      <c r="AA510" s="165" t="s">
        <v>2693</v>
      </c>
      <c r="AB510" s="295">
        <v>44480.0</v>
      </c>
      <c r="AC510" s="165" t="s">
        <v>2669</v>
      </c>
      <c r="AD510" s="295">
        <v>44480.0</v>
      </c>
      <c r="AE510" s="165" t="s">
        <v>2693</v>
      </c>
      <c r="AF510" s="295">
        <v>44578.0</v>
      </c>
      <c r="AG510" s="165" t="s">
        <v>2669</v>
      </c>
      <c r="AH510" s="295">
        <v>44578.0</v>
      </c>
      <c r="AI510" s="288"/>
      <c r="AJ510" s="288"/>
      <c r="AK510" s="165" t="s">
        <v>1824</v>
      </c>
      <c r="AL510" s="165" t="s">
        <v>1824</v>
      </c>
      <c r="AM510" s="165" t="s">
        <v>1791</v>
      </c>
      <c r="AN510" s="288"/>
      <c r="AO510" s="288"/>
      <c r="AP510" s="150" t="s">
        <v>2663</v>
      </c>
      <c r="AQ510" s="288"/>
    </row>
    <row r="511">
      <c r="A511" s="150" t="s">
        <v>1801</v>
      </c>
      <c r="B511" s="150" t="s">
        <v>1802</v>
      </c>
      <c r="C511" s="175" t="str">
        <f>VLOOKUP(A511,Import!A:C,3,false)</f>
        <v>DOĞRU</v>
      </c>
      <c r="D511" s="150" t="s">
        <v>2736</v>
      </c>
      <c r="E511" s="280">
        <f>VLOOKUP(A511,Import!A:J,5,0)</f>
        <v>334</v>
      </c>
      <c r="F511" s="280">
        <f>VLOOKUP(A511,Import!A:J,6,0)</f>
        <v>27</v>
      </c>
      <c r="G511" s="289">
        <f>VLOOKUP(A511,Import!A:J,7,0)</f>
        <v>8</v>
      </c>
      <c r="H511" s="289">
        <f>VLOOKUP(A511,Import!A:J,8,0)</f>
        <v>0</v>
      </c>
      <c r="I511" s="289">
        <f>VLOOKUP(A511,Import!A:J,9,0)</f>
        <v>8</v>
      </c>
      <c r="J511" s="282">
        <f>VLOOKUP(A511,Import!A:J,10,0)</f>
        <v>1</v>
      </c>
      <c r="K511" s="244" t="str">
        <f>VLOOKUP(A511,Import!A:P,11,0)</f>
        <v>MESUT YILMAZ</v>
      </c>
      <c r="L511" s="150">
        <v>2.222217999E9</v>
      </c>
      <c r="M511" s="150" t="s">
        <v>2666</v>
      </c>
      <c r="N511" s="150" t="s">
        <v>2711</v>
      </c>
      <c r="O511" s="150" t="s">
        <v>555</v>
      </c>
      <c r="P511" s="244" t="str">
        <f>VLOOKUP(A511,Import!A:P,16,0)</f>
        <v>Geleneksel</v>
      </c>
      <c r="Q511" s="291"/>
      <c r="R511" s="292" t="b">
        <v>1</v>
      </c>
      <c r="S511" s="293" t="b">
        <v>0</v>
      </c>
      <c r="T511" s="149" t="s">
        <v>2661</v>
      </c>
      <c r="U511" s="149" t="s">
        <v>819</v>
      </c>
      <c r="V511" s="366" t="s">
        <v>1609</v>
      </c>
      <c r="W511" s="149" t="s">
        <v>3900</v>
      </c>
      <c r="X511" s="294">
        <v>44503.0</v>
      </c>
      <c r="Y511" s="294">
        <v>44508.0</v>
      </c>
      <c r="Z511" s="288"/>
      <c r="AA511" s="165" t="s">
        <v>2669</v>
      </c>
      <c r="AB511" s="295">
        <v>44496.0</v>
      </c>
      <c r="AC511" s="165" t="s">
        <v>2688</v>
      </c>
      <c r="AD511" s="295">
        <v>44497.0</v>
      </c>
      <c r="AE511" s="165" t="s">
        <v>2669</v>
      </c>
      <c r="AF511" s="295">
        <v>44503.0</v>
      </c>
      <c r="AG511" s="160"/>
      <c r="AH511" s="288"/>
      <c r="AI511" s="288"/>
      <c r="AJ511" s="288"/>
      <c r="AK511" s="165" t="s">
        <v>819</v>
      </c>
      <c r="AL511" s="165" t="s">
        <v>819</v>
      </c>
      <c r="AM511" s="165" t="s">
        <v>819</v>
      </c>
      <c r="AN511" s="288"/>
      <c r="AO511" s="288"/>
      <c r="AP511" s="150" t="s">
        <v>2663</v>
      </c>
      <c r="AQ511" s="288"/>
    </row>
    <row r="512">
      <c r="A512" s="150" t="s">
        <v>3901</v>
      </c>
      <c r="B512" s="150" t="s">
        <v>3902</v>
      </c>
      <c r="C512" s="175" t="str">
        <f>VLOOKUP(A512,Import!A:C,3,false)</f>
        <v>DOĞRU</v>
      </c>
      <c r="D512" s="150" t="s">
        <v>2658</v>
      </c>
      <c r="E512" s="280">
        <f>VLOOKUP(A512,Import!A:J,5,0)</f>
        <v>2465</v>
      </c>
      <c r="F512" s="280">
        <f>VLOOKUP(A512,Import!A:J,6,0)</f>
        <v>75</v>
      </c>
      <c r="G512" s="289">
        <f>VLOOKUP(A512,Import!A:J,7,0)</f>
        <v>0</v>
      </c>
      <c r="H512" s="289">
        <f>VLOOKUP(A512,Import!A:J,8,0)</f>
        <v>23</v>
      </c>
      <c r="I512" s="289">
        <f>VLOOKUP(A512,Import!A:J,9,0)</f>
        <v>23</v>
      </c>
      <c r="J512" s="282">
        <f>VLOOKUP(A512,Import!A:J,10,0)</f>
        <v>0</v>
      </c>
      <c r="K512" s="244" t="str">
        <f>VLOOKUP(A512,Import!A:P,11,0)</f>
        <v>Hüseyin Ejderha</v>
      </c>
      <c r="L512" s="150">
        <v>5.462310037E9</v>
      </c>
      <c r="M512" s="150" t="s">
        <v>2666</v>
      </c>
      <c r="N512" s="150" t="s">
        <v>2667</v>
      </c>
      <c r="O512" s="150" t="s">
        <v>973</v>
      </c>
      <c r="P512" s="244" t="str">
        <f>VLOOKUP(A512,Import!A:P,16,0)</f>
        <v>Geleneksel</v>
      </c>
      <c r="Q512" s="291" t="s">
        <v>2686</v>
      </c>
      <c r="R512" s="292" t="b">
        <v>1</v>
      </c>
      <c r="S512" s="293" t="b">
        <v>0</v>
      </c>
      <c r="T512" s="149" t="s">
        <v>2668</v>
      </c>
      <c r="U512" s="149" t="s">
        <v>945</v>
      </c>
      <c r="V512" s="149" t="s">
        <v>13</v>
      </c>
      <c r="W512" s="149" t="s">
        <v>3903</v>
      </c>
      <c r="X512" s="294">
        <v>44262.0</v>
      </c>
      <c r="Y512" s="294">
        <v>44263.0</v>
      </c>
      <c r="Z512" s="288"/>
      <c r="AA512" s="165" t="s">
        <v>2772</v>
      </c>
      <c r="AB512" s="295">
        <v>44517.0</v>
      </c>
      <c r="AC512" s="165" t="s">
        <v>2693</v>
      </c>
      <c r="AD512" s="295">
        <v>44524.0</v>
      </c>
      <c r="AE512" s="165" t="s">
        <v>2772</v>
      </c>
      <c r="AF512" s="295">
        <v>44571.0</v>
      </c>
      <c r="AG512" s="165" t="s">
        <v>2669</v>
      </c>
      <c r="AH512" s="295">
        <v>44641.0</v>
      </c>
      <c r="AI512" s="288"/>
      <c r="AJ512" s="288"/>
      <c r="AK512" s="165" t="s">
        <v>1971</v>
      </c>
      <c r="AL512" s="165" t="s">
        <v>1717</v>
      </c>
      <c r="AM512" s="165" t="s">
        <v>819</v>
      </c>
      <c r="AN512" s="165" t="s">
        <v>1791</v>
      </c>
      <c r="AO512" s="288"/>
      <c r="AP512" s="150" t="s">
        <v>2663</v>
      </c>
      <c r="AQ512" s="288"/>
    </row>
    <row r="513">
      <c r="A513" s="150" t="s">
        <v>1778</v>
      </c>
      <c r="B513" s="150" t="s">
        <v>1779</v>
      </c>
      <c r="C513" s="175" t="str">
        <f>VLOOKUP(A513,Import!A:C,3,false)</f>
        <v>DOĞRU</v>
      </c>
      <c r="D513" s="150" t="s">
        <v>2850</v>
      </c>
      <c r="E513" s="280">
        <f>VLOOKUP(A513,Import!A:J,5,0)</f>
        <v>607</v>
      </c>
      <c r="F513" s="280">
        <f>VLOOKUP(A513,Import!A:J,6,0)</f>
        <v>28</v>
      </c>
      <c r="G513" s="289">
        <f>VLOOKUP(A513,Import!A:J,7,0)</f>
        <v>0</v>
      </c>
      <c r="H513" s="289">
        <f>VLOOKUP(A513,Import!A:J,8,0)</f>
        <v>38</v>
      </c>
      <c r="I513" s="289">
        <f>VLOOKUP(A513,Import!A:J,9,0)</f>
        <v>38</v>
      </c>
      <c r="J513" s="282">
        <f>VLOOKUP(A513,Import!A:J,10,0)</f>
        <v>0</v>
      </c>
      <c r="K513" s="244" t="str">
        <f>VLOOKUP(A513,Import!A:P,11,0)</f>
        <v>Dilek Budak</v>
      </c>
      <c r="L513" s="150">
        <v>5.526527226E9</v>
      </c>
      <c r="M513" s="150" t="s">
        <v>1450</v>
      </c>
      <c r="N513" s="150" t="s">
        <v>2732</v>
      </c>
      <c r="O513" s="150" t="s">
        <v>1781</v>
      </c>
      <c r="P513" s="244" t="str">
        <f>VLOOKUP(A513,Import!A:P,16,0)</f>
        <v>Geleneksel</v>
      </c>
      <c r="Q513" s="291"/>
      <c r="R513" s="292" t="b">
        <v>1</v>
      </c>
      <c r="S513" s="292" t="b">
        <v>0</v>
      </c>
      <c r="T513" s="149" t="s">
        <v>2714</v>
      </c>
      <c r="U513" s="149" t="s">
        <v>819</v>
      </c>
      <c r="V513" s="356" t="s">
        <v>1609</v>
      </c>
      <c r="W513" s="149" t="s">
        <v>3904</v>
      </c>
      <c r="X513" s="294">
        <v>44495.0</v>
      </c>
      <c r="Y513" s="294">
        <v>44496.0</v>
      </c>
      <c r="Z513" s="288"/>
      <c r="AA513" s="165" t="s">
        <v>2669</v>
      </c>
      <c r="AB513" s="295">
        <v>44482.0</v>
      </c>
      <c r="AC513" s="165" t="s">
        <v>2699</v>
      </c>
      <c r="AD513" s="295">
        <v>44488.0</v>
      </c>
      <c r="AE513" s="165" t="s">
        <v>2669</v>
      </c>
      <c r="AF513" s="295">
        <v>44495.0</v>
      </c>
      <c r="AG513" s="165" t="s">
        <v>2669</v>
      </c>
      <c r="AH513" s="295">
        <v>44496.0</v>
      </c>
      <c r="AI513" s="288"/>
      <c r="AJ513" s="288"/>
      <c r="AK513" s="165" t="s">
        <v>943</v>
      </c>
      <c r="AL513" s="165" t="s">
        <v>1717</v>
      </c>
      <c r="AM513" s="165" t="s">
        <v>819</v>
      </c>
      <c r="AN513" s="165" t="s">
        <v>819</v>
      </c>
      <c r="AO513" s="288"/>
      <c r="AP513" s="150" t="s">
        <v>2663</v>
      </c>
      <c r="AQ513" s="288"/>
    </row>
    <row r="514">
      <c r="A514" s="150" t="s">
        <v>1842</v>
      </c>
      <c r="B514" s="150" t="s">
        <v>1843</v>
      </c>
      <c r="C514" s="175" t="str">
        <f>VLOOKUP(A514,Import!A:C,3,false)</f>
        <v>YANLIŞ</v>
      </c>
      <c r="D514" s="150" t="s">
        <v>2696</v>
      </c>
      <c r="E514" s="280">
        <f>VLOOKUP(A514,Import!A:J,5,0)</f>
        <v>37</v>
      </c>
      <c r="F514" s="280" t="str">
        <f>VLOOKUP(A514,Import!A:J,6,0)</f>
        <v/>
      </c>
      <c r="G514" s="289">
        <f>VLOOKUP(A514,Import!A:J,7,0)</f>
        <v>0</v>
      </c>
      <c r="H514" s="289">
        <f>VLOOKUP(A514,Import!A:J,8,0)</f>
        <v>10</v>
      </c>
      <c r="I514" s="289">
        <f>VLOOKUP(A514,Import!A:J,9,0)</f>
        <v>10</v>
      </c>
      <c r="J514" s="282">
        <f>VLOOKUP(A514,Import!A:J,10,0)</f>
        <v>0</v>
      </c>
      <c r="K514" s="290" t="s">
        <v>3905</v>
      </c>
      <c r="L514" s="150">
        <v>5.394330126E9</v>
      </c>
      <c r="M514" s="150" t="s">
        <v>2666</v>
      </c>
      <c r="N514" s="150" t="s">
        <v>2682</v>
      </c>
      <c r="O514" s="150" t="s">
        <v>1845</v>
      </c>
      <c r="P514" s="244" t="str">
        <f>VLOOKUP(A514,Import!A:P,16,0)</f>
        <v>Geleneksel</v>
      </c>
      <c r="Q514" s="291"/>
      <c r="R514" s="292" t="b">
        <v>1</v>
      </c>
      <c r="S514" s="293" t="b">
        <v>0</v>
      </c>
      <c r="T514" s="149" t="s">
        <v>2770</v>
      </c>
      <c r="U514" s="149" t="s">
        <v>819</v>
      </c>
      <c r="V514" s="301" t="s">
        <v>1609</v>
      </c>
      <c r="W514" s="149" t="s">
        <v>3906</v>
      </c>
      <c r="X514" s="294">
        <v>44499.0</v>
      </c>
      <c r="Y514" s="294">
        <v>44502.0</v>
      </c>
      <c r="Z514" s="288"/>
      <c r="AA514" s="165" t="s">
        <v>2669</v>
      </c>
      <c r="AB514" s="295">
        <v>44499.0</v>
      </c>
      <c r="AC514" s="288"/>
      <c r="AD514" s="288"/>
      <c r="AE514" s="160"/>
      <c r="AF514" s="288"/>
      <c r="AG514" s="160"/>
      <c r="AH514" s="288"/>
      <c r="AI514" s="288"/>
      <c r="AJ514" s="288"/>
      <c r="AK514" s="165" t="s">
        <v>819</v>
      </c>
      <c r="AL514" s="288"/>
      <c r="AM514" s="288"/>
      <c r="AN514" s="288"/>
      <c r="AO514" s="288"/>
      <c r="AP514" s="150" t="s">
        <v>2663</v>
      </c>
      <c r="AQ514" s="288"/>
    </row>
    <row r="515">
      <c r="A515" s="150" t="s">
        <v>3907</v>
      </c>
      <c r="B515" s="150" t="s">
        <v>3908</v>
      </c>
      <c r="C515" s="175" t="str">
        <f>VLOOKUP(A515,Import!A:C,3,false)</f>
        <v>DOĞRU</v>
      </c>
      <c r="D515" s="150" t="s">
        <v>2664</v>
      </c>
      <c r="E515" s="280">
        <f>VLOOKUP(A515,Import!A:J,5,0)</f>
        <v>34</v>
      </c>
      <c r="F515" s="280">
        <f>VLOOKUP(A515,Import!A:J,6,0)</f>
        <v>11</v>
      </c>
      <c r="G515" s="289">
        <f>VLOOKUP(A515,Import!A:J,7,0)</f>
        <v>0</v>
      </c>
      <c r="H515" s="289">
        <f>VLOOKUP(A515,Import!A:J,8,0)</f>
        <v>44</v>
      </c>
      <c r="I515" s="289">
        <f>VLOOKUP(A515,Import!A:J,9,0)</f>
        <v>44</v>
      </c>
      <c r="J515" s="282">
        <f>VLOOKUP(A515,Import!A:J,10,0)</f>
        <v>0</v>
      </c>
      <c r="K515" s="290" t="s">
        <v>3909</v>
      </c>
      <c r="L515" s="150">
        <v>5.337630379E9</v>
      </c>
      <c r="M515" s="150" t="s">
        <v>1450</v>
      </c>
      <c r="N515" s="150" t="s">
        <v>2795</v>
      </c>
      <c r="O515" s="150" t="s">
        <v>3910</v>
      </c>
      <c r="P515" s="244" t="str">
        <f>VLOOKUP(A515,Import!A:P,16,0)</f>
        <v>Geleneksel</v>
      </c>
      <c r="Q515" s="291"/>
      <c r="R515" s="292" t="b">
        <v>1</v>
      </c>
      <c r="S515" s="293" t="b">
        <v>0</v>
      </c>
      <c r="T515" s="149" t="s">
        <v>2688</v>
      </c>
      <c r="U515" s="296"/>
      <c r="V515" s="296"/>
      <c r="W515" s="149"/>
      <c r="X515" s="297"/>
      <c r="Y515" s="297"/>
      <c r="Z515" s="288"/>
      <c r="AA515" s="165" t="s">
        <v>2669</v>
      </c>
      <c r="AB515" s="295">
        <v>44656.0</v>
      </c>
      <c r="AC515" s="288"/>
      <c r="AD515" s="288"/>
      <c r="AE515" s="160"/>
      <c r="AF515" s="288"/>
      <c r="AG515" s="160"/>
      <c r="AH515" s="288"/>
      <c r="AI515" s="288"/>
      <c r="AJ515" s="288"/>
      <c r="AK515" s="165" t="s">
        <v>943</v>
      </c>
      <c r="AL515" s="288"/>
      <c r="AM515" s="288"/>
      <c r="AN515" s="288"/>
      <c r="AO515" s="165"/>
      <c r="AP515" s="150"/>
      <c r="AQ515" s="165"/>
    </row>
    <row r="516">
      <c r="A516" s="150" t="s">
        <v>3911</v>
      </c>
      <c r="B516" s="150" t="s">
        <v>3912</v>
      </c>
      <c r="C516" s="175" t="str">
        <f>VLOOKUP(A516,Import!A:C,3,false)</f>
        <v>DOĞRU</v>
      </c>
      <c r="D516" s="150" t="s">
        <v>2672</v>
      </c>
      <c r="E516" s="280" t="str">
        <f>VLOOKUP(A516,Import!A:J,5,0)</f>
        <v/>
      </c>
      <c r="F516" s="280" t="str">
        <f>VLOOKUP(A516,Import!A:J,6,0)</f>
        <v/>
      </c>
      <c r="G516" s="289">
        <f>VLOOKUP(A516,Import!A:J,7,0)</f>
        <v>0</v>
      </c>
      <c r="H516" s="289">
        <f>VLOOKUP(A516,Import!A:J,8,0)</f>
        <v>7</v>
      </c>
      <c r="I516" s="289">
        <f>VLOOKUP(A516,Import!A:J,9,0)</f>
        <v>7</v>
      </c>
      <c r="J516" s="282">
        <f>VLOOKUP(A516,Import!A:J,10,0)</f>
        <v>0</v>
      </c>
      <c r="K516" s="150" t="s">
        <v>3719</v>
      </c>
      <c r="L516" s="150">
        <v>2.2223442E9</v>
      </c>
      <c r="M516" s="150" t="s">
        <v>1450</v>
      </c>
      <c r="N516" s="150" t="s">
        <v>2659</v>
      </c>
      <c r="O516" s="150" t="s">
        <v>3913</v>
      </c>
      <c r="P516" s="244" t="str">
        <f>VLOOKUP(A516,Import!A:P,16,0)</f>
        <v>Geleneksel</v>
      </c>
      <c r="Q516" s="291"/>
      <c r="R516" s="292" t="b">
        <v>0</v>
      </c>
      <c r="S516" s="293" t="b">
        <v>0</v>
      </c>
      <c r="T516" s="149"/>
      <c r="U516" s="296"/>
      <c r="V516" s="296"/>
      <c r="W516" s="149"/>
      <c r="X516" s="297"/>
      <c r="Y516" s="297"/>
      <c r="Z516" s="288"/>
      <c r="AA516" s="165"/>
      <c r="AB516" s="295"/>
      <c r="AC516" s="288"/>
      <c r="AD516" s="288"/>
      <c r="AE516" s="160"/>
      <c r="AF516" s="288"/>
      <c r="AG516" s="160"/>
      <c r="AH516" s="288"/>
      <c r="AI516" s="288"/>
      <c r="AJ516" s="288"/>
      <c r="AK516" s="165"/>
      <c r="AL516" s="288"/>
      <c r="AM516" s="288"/>
      <c r="AN516" s="288"/>
      <c r="AO516" s="165"/>
      <c r="AP516" s="150"/>
      <c r="AQ516" s="165"/>
    </row>
    <row r="517">
      <c r="A517" s="150" t="s">
        <v>2573</v>
      </c>
      <c r="B517" s="150" t="s">
        <v>2574</v>
      </c>
      <c r="C517" s="175" t="str">
        <f>VLOOKUP(A517,Import!A:C,3,false)</f>
        <v>DOĞRU</v>
      </c>
      <c r="D517" s="150" t="s">
        <v>2701</v>
      </c>
      <c r="E517" s="280">
        <f>VLOOKUP(A517,Import!A:J,5,0)</f>
        <v>288</v>
      </c>
      <c r="F517" s="280">
        <f>VLOOKUP(A517,Import!A:J,6,0)</f>
        <v>88</v>
      </c>
      <c r="G517" s="289">
        <f>VLOOKUP(A517,Import!A:J,7,0)</f>
        <v>3</v>
      </c>
      <c r="H517" s="289">
        <f>VLOOKUP(A517,Import!A:J,8,0)</f>
        <v>2</v>
      </c>
      <c r="I517" s="289">
        <f>VLOOKUP(A517,Import!A:J,9,0)</f>
        <v>5</v>
      </c>
      <c r="J517" s="282">
        <f>VLOOKUP(A517,Import!A:J,10,0)</f>
        <v>0.6</v>
      </c>
      <c r="K517" s="290" t="s">
        <v>3914</v>
      </c>
      <c r="L517" s="150">
        <v>5.459468643E9</v>
      </c>
      <c r="M517" s="150" t="s">
        <v>1450</v>
      </c>
      <c r="N517" s="150" t="s">
        <v>2732</v>
      </c>
      <c r="O517" s="150" t="s">
        <v>2576</v>
      </c>
      <c r="P517" s="244" t="str">
        <f>VLOOKUP(A517,Import!A:P,16,0)</f>
        <v>Geleneksel</v>
      </c>
      <c r="Q517" s="291"/>
      <c r="R517" s="292" t="b">
        <v>1</v>
      </c>
      <c r="S517" s="293" t="b">
        <v>0</v>
      </c>
      <c r="T517" s="149" t="s">
        <v>2661</v>
      </c>
      <c r="U517" s="149" t="s">
        <v>1791</v>
      </c>
      <c r="V517" s="269" t="s">
        <v>1609</v>
      </c>
      <c r="W517" s="149"/>
      <c r="X517" s="294">
        <v>44641.0</v>
      </c>
      <c r="Y517" s="294">
        <v>44642.0</v>
      </c>
      <c r="Z517" s="288"/>
      <c r="AA517" s="165" t="s">
        <v>2669</v>
      </c>
      <c r="AB517" s="295">
        <v>44641.0</v>
      </c>
      <c r="AC517" s="288"/>
      <c r="AD517" s="288"/>
      <c r="AE517" s="160"/>
      <c r="AF517" s="288"/>
      <c r="AG517" s="160"/>
      <c r="AH517" s="288"/>
      <c r="AI517" s="288"/>
      <c r="AJ517" s="288"/>
      <c r="AK517" s="165" t="s">
        <v>1791</v>
      </c>
      <c r="AL517" s="288"/>
      <c r="AM517" s="288"/>
      <c r="AN517" s="288"/>
      <c r="AO517" s="165"/>
      <c r="AP517" s="150"/>
      <c r="AQ517" s="165"/>
    </row>
    <row r="518">
      <c r="A518" s="150" t="s">
        <v>2417</v>
      </c>
      <c r="B518" s="150" t="s">
        <v>2418</v>
      </c>
      <c r="C518" s="175" t="str">
        <f>VLOOKUP(A518,Import!A:C,3,false)</f>
        <v>DOĞRU</v>
      </c>
      <c r="D518" s="150" t="s">
        <v>2867</v>
      </c>
      <c r="E518" s="280">
        <f>VLOOKUP(A518,Import!A:J,5,0)</f>
        <v>1347</v>
      </c>
      <c r="F518" s="280">
        <f>VLOOKUP(A518,Import!A:J,6,0)</f>
        <v>218</v>
      </c>
      <c r="G518" s="289">
        <f>VLOOKUP(A518,Import!A:J,7,0)</f>
        <v>0</v>
      </c>
      <c r="H518" s="289">
        <f>VLOOKUP(A518,Import!A:J,8,0)</f>
        <v>55</v>
      </c>
      <c r="I518" s="289">
        <f>VLOOKUP(A518,Import!A:J,9,0)</f>
        <v>55</v>
      </c>
      <c r="J518" s="282">
        <f>VLOOKUP(A518,Import!A:J,10,0)</f>
        <v>0</v>
      </c>
      <c r="K518" s="290" t="s">
        <v>3915</v>
      </c>
      <c r="L518" s="150">
        <v>2.222334672E9</v>
      </c>
      <c r="M518" s="150" t="s">
        <v>1450</v>
      </c>
      <c r="N518" s="150" t="s">
        <v>2732</v>
      </c>
      <c r="O518" s="150" t="s">
        <v>2421</v>
      </c>
      <c r="P518" s="244" t="str">
        <f>VLOOKUP(A518,Import!A:P,16,0)</f>
        <v>Geleneksel</v>
      </c>
      <c r="Q518" s="291"/>
      <c r="R518" s="292" t="b">
        <v>1</v>
      </c>
      <c r="S518" s="293" t="b">
        <v>0</v>
      </c>
      <c r="T518" s="149" t="s">
        <v>2770</v>
      </c>
      <c r="U518" s="149" t="s">
        <v>1791</v>
      </c>
      <c r="V518" s="269" t="s">
        <v>1609</v>
      </c>
      <c r="W518" s="149" t="s">
        <v>3916</v>
      </c>
      <c r="X518" s="294">
        <v>44578.0</v>
      </c>
      <c r="Y518" s="294">
        <v>44582.0</v>
      </c>
      <c r="Z518" s="288"/>
      <c r="AA518" s="165" t="s">
        <v>2669</v>
      </c>
      <c r="AB518" s="295">
        <v>44578.0</v>
      </c>
      <c r="AC518" s="165" t="s">
        <v>2772</v>
      </c>
      <c r="AD518" s="295">
        <v>44599.0</v>
      </c>
      <c r="AE518" s="160"/>
      <c r="AF518" s="288"/>
      <c r="AG518" s="160"/>
      <c r="AH518" s="288"/>
      <c r="AI518" s="288"/>
      <c r="AJ518" s="288"/>
      <c r="AK518" s="165" t="s">
        <v>1791</v>
      </c>
      <c r="AL518" s="165" t="s">
        <v>819</v>
      </c>
      <c r="AM518" s="288"/>
      <c r="AN518" s="288"/>
      <c r="AO518" s="165"/>
      <c r="AP518" s="150"/>
      <c r="AQ518" s="165"/>
    </row>
    <row r="519">
      <c r="A519" s="150" t="s">
        <v>3917</v>
      </c>
      <c r="B519" s="150" t="s">
        <v>3918</v>
      </c>
      <c r="C519" s="175" t="str">
        <f>VLOOKUP(A519,Import!A:C,3,false)</f>
        <v>DOĞRU</v>
      </c>
      <c r="D519" s="150" t="s">
        <v>2664</v>
      </c>
      <c r="E519" s="280">
        <f>VLOOKUP(A519,Import!A:J,5,0)</f>
        <v>1114</v>
      </c>
      <c r="F519" s="280">
        <f>VLOOKUP(A519,Import!A:J,6,0)</f>
        <v>154</v>
      </c>
      <c r="G519" s="289">
        <f>VLOOKUP(A519,Import!A:J,7,0)</f>
        <v>0</v>
      </c>
      <c r="H519" s="289">
        <f>VLOOKUP(A519,Import!A:J,8,0)</f>
        <v>23</v>
      </c>
      <c r="I519" s="289">
        <f>VLOOKUP(A519,Import!A:J,9,0)</f>
        <v>23</v>
      </c>
      <c r="J519" s="282">
        <f>VLOOKUP(A519,Import!A:J,10,0)</f>
        <v>0</v>
      </c>
      <c r="K519" s="290" t="s">
        <v>3040</v>
      </c>
      <c r="L519" s="150">
        <v>2.222267007E9</v>
      </c>
      <c r="M519" s="150" t="s">
        <v>1450</v>
      </c>
      <c r="N519" s="150" t="s">
        <v>2732</v>
      </c>
      <c r="O519" s="150" t="s">
        <v>3041</v>
      </c>
      <c r="P519" s="244" t="str">
        <f>VLOOKUP(A519,Import!A:P,16,0)</f>
        <v>Geleneksel</v>
      </c>
      <c r="Q519" s="291"/>
      <c r="R519" s="292" t="b">
        <v>1</v>
      </c>
      <c r="S519" s="293" t="b">
        <v>0</v>
      </c>
      <c r="T519" s="149" t="s">
        <v>2770</v>
      </c>
      <c r="U519" s="296"/>
      <c r="V519" s="296"/>
      <c r="W519" s="149" t="s">
        <v>3042</v>
      </c>
      <c r="X519" s="297"/>
      <c r="Y519" s="297"/>
      <c r="Z519" s="288"/>
      <c r="AA519" s="165" t="s">
        <v>2693</v>
      </c>
      <c r="AB519" s="295">
        <v>44568.0</v>
      </c>
      <c r="AC519" s="165" t="s">
        <v>2772</v>
      </c>
      <c r="AD519" s="295">
        <v>44568.0</v>
      </c>
      <c r="AE519" s="165" t="s">
        <v>2669</v>
      </c>
      <c r="AF519" s="295">
        <v>44580.0</v>
      </c>
      <c r="AG519" s="160"/>
      <c r="AH519" s="288"/>
      <c r="AI519" s="288"/>
      <c r="AJ519" s="288"/>
      <c r="AK519" s="165" t="s">
        <v>1717</v>
      </c>
      <c r="AL519" s="165" t="s">
        <v>1715</v>
      </c>
      <c r="AM519" s="165" t="s">
        <v>1715</v>
      </c>
      <c r="AN519" s="288"/>
      <c r="AO519" s="165"/>
      <c r="AP519" s="150"/>
      <c r="AQ519" s="165"/>
    </row>
    <row r="520">
      <c r="A520" s="150" t="s">
        <v>2198</v>
      </c>
      <c r="B520" s="150" t="s">
        <v>2199</v>
      </c>
      <c r="C520" s="175" t="str">
        <f>VLOOKUP(A520,Import!A:C,3,false)</f>
        <v>DOĞRU</v>
      </c>
      <c r="D520" s="150" t="s">
        <v>2658</v>
      </c>
      <c r="E520" s="280">
        <f>VLOOKUP(A520,Import!A:J,5,0)</f>
        <v>311</v>
      </c>
      <c r="F520" s="280">
        <f>VLOOKUP(A520,Import!A:J,6,0)</f>
        <v>2</v>
      </c>
      <c r="G520" s="289">
        <f>VLOOKUP(A520,Import!A:J,7,0)</f>
        <v>0</v>
      </c>
      <c r="H520" s="289">
        <f>VLOOKUP(A520,Import!A:J,8,0)</f>
        <v>27</v>
      </c>
      <c r="I520" s="289">
        <f>VLOOKUP(A520,Import!A:J,9,0)</f>
        <v>27</v>
      </c>
      <c r="J520" s="282">
        <f>VLOOKUP(A520,Import!A:J,10,0)</f>
        <v>0</v>
      </c>
      <c r="K520" s="244" t="str">
        <f>VLOOKUP(A520,Import!A:P,11,0)</f>
        <v>Ayşenur Ertürk</v>
      </c>
      <c r="L520" s="150">
        <v>5.013281226E9</v>
      </c>
      <c r="M520" s="150" t="s">
        <v>1450</v>
      </c>
      <c r="N520" s="150" t="s">
        <v>2707</v>
      </c>
      <c r="O520" s="150" t="s">
        <v>2201</v>
      </c>
      <c r="P520" s="244" t="str">
        <f>VLOOKUP(A520,Import!A:P,16,0)</f>
        <v>Geleneksel</v>
      </c>
      <c r="Q520" s="291"/>
      <c r="R520" s="292" t="b">
        <v>1</v>
      </c>
      <c r="S520" s="292" t="b">
        <v>1</v>
      </c>
      <c r="T520" s="296"/>
      <c r="U520" s="149" t="s">
        <v>1971</v>
      </c>
      <c r="V520" s="181" t="s">
        <v>1609</v>
      </c>
      <c r="W520" s="163" t="s">
        <v>2202</v>
      </c>
      <c r="X520" s="294">
        <v>44545.0</v>
      </c>
      <c r="Y520" s="294">
        <v>44547.0</v>
      </c>
      <c r="Z520" s="288"/>
      <c r="AA520" s="165" t="s">
        <v>2693</v>
      </c>
      <c r="AB520" s="295">
        <v>44482.0</v>
      </c>
      <c r="AC520" s="165" t="s">
        <v>2669</v>
      </c>
      <c r="AD520" s="295">
        <v>44545.0</v>
      </c>
      <c r="AE520" s="165" t="s">
        <v>2669</v>
      </c>
      <c r="AF520" s="295">
        <v>44547.0</v>
      </c>
      <c r="AG520" s="160"/>
      <c r="AH520" s="288"/>
      <c r="AI520" s="288"/>
      <c r="AJ520" s="288"/>
      <c r="AK520" s="165" t="s">
        <v>943</v>
      </c>
      <c r="AL520" s="165" t="s">
        <v>1971</v>
      </c>
      <c r="AM520" s="165" t="s">
        <v>1971</v>
      </c>
      <c r="AN520" s="288"/>
      <c r="AO520" s="288"/>
      <c r="AP520" s="150" t="s">
        <v>2663</v>
      </c>
      <c r="AQ520" s="288"/>
    </row>
    <row r="521">
      <c r="A521" s="150" t="s">
        <v>3919</v>
      </c>
      <c r="B521" s="150" t="s">
        <v>3920</v>
      </c>
      <c r="C521" s="175" t="str">
        <f>VLOOKUP(A521,Import!A:C,3,false)</f>
        <v>DOĞRU</v>
      </c>
      <c r="D521" s="150" t="s">
        <v>2706</v>
      </c>
      <c r="E521" s="280">
        <f>VLOOKUP(A521,Import!A:J,5,0)</f>
        <v>4359</v>
      </c>
      <c r="F521" s="280">
        <f>VLOOKUP(A521,Import!A:J,6,0)</f>
        <v>200</v>
      </c>
      <c r="G521" s="289">
        <f>VLOOKUP(A521,Import!A:J,7,0)</f>
        <v>0</v>
      </c>
      <c r="H521" s="289">
        <f>VLOOKUP(A521,Import!A:J,8,0)</f>
        <v>74</v>
      </c>
      <c r="I521" s="289">
        <f>VLOOKUP(A521,Import!A:J,9,0)</f>
        <v>74</v>
      </c>
      <c r="J521" s="282">
        <f>VLOOKUP(A521,Import!A:J,10,0)</f>
        <v>0</v>
      </c>
      <c r="K521" s="244" t="str">
        <f>VLOOKUP(A521,Import!A:P,11,0)</f>
        <v>MURAT DALBAK</v>
      </c>
      <c r="L521" s="150">
        <v>2.22226203E8</v>
      </c>
      <c r="M521" s="150" t="s">
        <v>1450</v>
      </c>
      <c r="N521" s="150" t="s">
        <v>2795</v>
      </c>
      <c r="O521" s="150" t="s">
        <v>3921</v>
      </c>
      <c r="P521" s="244" t="str">
        <f>VLOOKUP(A521,Import!A:P,16,0)</f>
        <v>Geleneksel</v>
      </c>
      <c r="Q521" s="291" t="s">
        <v>2713</v>
      </c>
      <c r="R521" s="292" t="b">
        <v>1</v>
      </c>
      <c r="S521" s="293" t="b">
        <v>0</v>
      </c>
      <c r="T521" s="296"/>
      <c r="U521" s="296"/>
      <c r="V521" s="296"/>
      <c r="W521" s="149" t="s">
        <v>3922</v>
      </c>
      <c r="X521" s="297"/>
      <c r="Y521" s="297"/>
      <c r="Z521" s="288"/>
      <c r="AA521" s="288"/>
      <c r="AB521" s="288"/>
      <c r="AC521" s="288"/>
      <c r="AD521" s="288"/>
      <c r="AE521" s="160"/>
      <c r="AF521" s="288"/>
      <c r="AG521" s="160"/>
      <c r="AH521" s="288"/>
      <c r="AI521" s="288"/>
      <c r="AJ521" s="288"/>
      <c r="AK521" s="288"/>
      <c r="AL521" s="288"/>
      <c r="AM521" s="288"/>
      <c r="AN521" s="288"/>
      <c r="AO521" s="288"/>
      <c r="AP521" s="150" t="s">
        <v>2663</v>
      </c>
      <c r="AQ521" s="288"/>
    </row>
    <row r="522">
      <c r="A522" s="150" t="s">
        <v>2428</v>
      </c>
      <c r="B522" s="150" t="s">
        <v>2429</v>
      </c>
      <c r="C522" s="175" t="str">
        <f>VLOOKUP(A522,Import!A:C,3,false)</f>
        <v>DOĞRU</v>
      </c>
      <c r="D522" s="150" t="s">
        <v>2664</v>
      </c>
      <c r="E522" s="280">
        <f>VLOOKUP(A522,Import!A:J,5,0)</f>
        <v>96</v>
      </c>
      <c r="F522" s="280">
        <f>VLOOKUP(A522,Import!A:J,6,0)</f>
        <v>3</v>
      </c>
      <c r="G522" s="289">
        <f>VLOOKUP(A522,Import!A:J,7,0)</f>
        <v>0</v>
      </c>
      <c r="H522" s="289">
        <f>VLOOKUP(A522,Import!A:J,8,0)</f>
        <v>62</v>
      </c>
      <c r="I522" s="289">
        <f>VLOOKUP(A522,Import!A:J,9,0)</f>
        <v>62</v>
      </c>
      <c r="J522" s="282">
        <f>VLOOKUP(A522,Import!A:J,10,0)</f>
        <v>0</v>
      </c>
      <c r="K522" s="244" t="str">
        <f>VLOOKUP(A522,Import!A:P,11,0)</f>
        <v>ASUMAN ÖZÇELİK</v>
      </c>
      <c r="L522" s="150">
        <v>2.222051132E9</v>
      </c>
      <c r="M522" s="150" t="s">
        <v>1450</v>
      </c>
      <c r="N522" s="150" t="s">
        <v>2700</v>
      </c>
      <c r="O522" s="150" t="s">
        <v>2431</v>
      </c>
      <c r="P522" s="244" t="str">
        <f>VLOOKUP(A522,Import!A:P,16,0)</f>
        <v>Geleneksel</v>
      </c>
      <c r="Q522" s="291" t="s">
        <v>2713</v>
      </c>
      <c r="R522" s="292" t="b">
        <v>1</v>
      </c>
      <c r="S522" s="292" t="b">
        <v>1</v>
      </c>
      <c r="T522" s="149" t="s">
        <v>2668</v>
      </c>
      <c r="U522" s="149" t="s">
        <v>1715</v>
      </c>
      <c r="V522" s="361" t="s">
        <v>2783</v>
      </c>
      <c r="X522" s="294">
        <v>44580.0</v>
      </c>
      <c r="Y522" s="294">
        <v>44582.0</v>
      </c>
      <c r="Z522" s="288"/>
      <c r="AA522" s="165" t="s">
        <v>2772</v>
      </c>
      <c r="AB522" s="295">
        <v>44377.0</v>
      </c>
      <c r="AC522" s="165" t="s">
        <v>2693</v>
      </c>
      <c r="AD522" s="295">
        <v>44480.0</v>
      </c>
      <c r="AE522" s="165" t="s">
        <v>2693</v>
      </c>
      <c r="AF522" s="295">
        <v>44504.0</v>
      </c>
      <c r="AG522" s="165" t="s">
        <v>2669</v>
      </c>
      <c r="AH522" s="295">
        <v>44541.0</v>
      </c>
      <c r="AI522" s="165" t="s">
        <v>2669</v>
      </c>
      <c r="AJ522" s="295">
        <v>44580.0</v>
      </c>
      <c r="AK522" s="165" t="s">
        <v>2913</v>
      </c>
      <c r="AL522" s="165" t="s">
        <v>1824</v>
      </c>
      <c r="AM522" s="165" t="s">
        <v>819</v>
      </c>
      <c r="AN522" s="165" t="s">
        <v>2161</v>
      </c>
      <c r="AO522" s="165" t="s">
        <v>1715</v>
      </c>
      <c r="AP522" s="150" t="s">
        <v>2663</v>
      </c>
      <c r="AQ522" s="288"/>
    </row>
    <row r="523">
      <c r="A523" s="147" t="s">
        <v>3923</v>
      </c>
      <c r="B523" s="147" t="s">
        <v>3924</v>
      </c>
      <c r="C523" s="175" t="str">
        <f>VLOOKUP(A523,Import!A:C,3,false)</f>
        <v>DOĞRU</v>
      </c>
      <c r="D523" s="147" t="s">
        <v>2696</v>
      </c>
      <c r="E523" s="280">
        <f>VLOOKUP(A523,Import!A:J,5,0)</f>
        <v>33</v>
      </c>
      <c r="F523" s="280">
        <f>VLOOKUP(A523,Import!A:J,6,0)</f>
        <v>2</v>
      </c>
      <c r="G523" s="289">
        <f>VLOOKUP(A523,Import!A:J,7,0)</f>
        <v>11</v>
      </c>
      <c r="H523" s="289">
        <f>VLOOKUP(A523,Import!A:J,8,0)</f>
        <v>5</v>
      </c>
      <c r="I523" s="289">
        <f>VLOOKUP(A523,Import!A:J,9,0)</f>
        <v>16</v>
      </c>
      <c r="J523" s="282">
        <f>VLOOKUP(A523,Import!A:J,10,0)</f>
        <v>0.69</v>
      </c>
      <c r="K523" s="244" t="str">
        <f>VLOOKUP(A523,Import!A:P,11,0)</f>
        <v>Mustafa Yılmaz</v>
      </c>
      <c r="L523" s="147">
        <v>5.325588556E9</v>
      </c>
      <c r="M523" s="147" t="s">
        <v>1450</v>
      </c>
      <c r="N523" s="147" t="s">
        <v>2950</v>
      </c>
      <c r="O523" s="147" t="s">
        <v>3925</v>
      </c>
      <c r="P523" s="244" t="str">
        <f>VLOOKUP(A523,Import!A:P,16,0)</f>
        <v>Geleneksel</v>
      </c>
      <c r="Q523" s="330"/>
      <c r="R523" s="292" t="b">
        <v>1</v>
      </c>
      <c r="S523" s="293" t="b">
        <v>0</v>
      </c>
      <c r="T523" s="296"/>
      <c r="U523" s="296"/>
      <c r="V523" s="296"/>
      <c r="W523" s="149" t="s">
        <v>2759</v>
      </c>
      <c r="X523" s="297"/>
      <c r="Y523" s="297"/>
      <c r="Z523" s="288"/>
      <c r="AA523" s="288"/>
      <c r="AB523" s="288"/>
      <c r="AC523" s="288"/>
      <c r="AD523" s="288"/>
      <c r="AE523" s="160"/>
      <c r="AF523" s="288"/>
      <c r="AG523" s="160"/>
      <c r="AH523" s="288"/>
      <c r="AI523" s="288"/>
      <c r="AJ523" s="288"/>
      <c r="AK523" s="288"/>
      <c r="AL523" s="288"/>
      <c r="AM523" s="288"/>
      <c r="AN523" s="288"/>
      <c r="AO523" s="288"/>
      <c r="AP523" s="150" t="s">
        <v>2663</v>
      </c>
      <c r="AQ523" s="288"/>
    </row>
    <row r="524">
      <c r="A524" s="150" t="s">
        <v>3926</v>
      </c>
      <c r="B524" s="150" t="s">
        <v>3927</v>
      </c>
      <c r="C524" s="175" t="str">
        <f>VLOOKUP(A524,Import!A:C,3,false)</f>
        <v>DOĞRU</v>
      </c>
      <c r="D524" s="150" t="s">
        <v>2664</v>
      </c>
      <c r="E524" s="280">
        <f>VLOOKUP(A524,Import!A:J,5,0)</f>
        <v>1669</v>
      </c>
      <c r="F524" s="280">
        <f>VLOOKUP(A524,Import!A:J,6,0)</f>
        <v>280</v>
      </c>
      <c r="G524" s="289">
        <f>VLOOKUP(A524,Import!A:J,7,0)</f>
        <v>0</v>
      </c>
      <c r="H524" s="289">
        <f>VLOOKUP(A524,Import!A:J,8,0)</f>
        <v>59</v>
      </c>
      <c r="I524" s="289">
        <f>VLOOKUP(A524,Import!A:J,9,0)</f>
        <v>59</v>
      </c>
      <c r="J524" s="282">
        <f>VLOOKUP(A524,Import!A:J,10,0)</f>
        <v>0</v>
      </c>
      <c r="K524" s="290" t="s">
        <v>3928</v>
      </c>
      <c r="L524" s="150">
        <v>5.333752639E9</v>
      </c>
      <c r="M524" s="150" t="s">
        <v>1450</v>
      </c>
      <c r="N524" s="150" t="s">
        <v>2700</v>
      </c>
      <c r="O524" s="150" t="s">
        <v>2851</v>
      </c>
      <c r="P524" s="244" t="str">
        <f>VLOOKUP(A524,Import!A:P,16,0)</f>
        <v>Geleneksel</v>
      </c>
      <c r="Q524" s="291"/>
      <c r="R524" s="292" t="b">
        <v>1</v>
      </c>
      <c r="S524" s="292" t="b">
        <v>1</v>
      </c>
      <c r="T524" s="149"/>
      <c r="U524" s="296"/>
      <c r="V524" s="296"/>
      <c r="W524" s="302" t="s">
        <v>3929</v>
      </c>
      <c r="X524" s="297"/>
      <c r="Y524" s="297"/>
      <c r="Z524" s="288"/>
      <c r="AA524" s="165" t="s">
        <v>2669</v>
      </c>
      <c r="AB524" s="295">
        <v>44620.0</v>
      </c>
      <c r="AC524" s="288"/>
      <c r="AD524" s="288"/>
      <c r="AE524" s="160"/>
      <c r="AF524" s="288"/>
      <c r="AG524" s="160"/>
      <c r="AH524" s="288"/>
      <c r="AI524" s="288"/>
      <c r="AJ524" s="288"/>
      <c r="AK524" s="165" t="s">
        <v>819</v>
      </c>
      <c r="AL524" s="288"/>
      <c r="AM524" s="288"/>
      <c r="AN524" s="288"/>
      <c r="AO524" s="165"/>
      <c r="AP524" s="150"/>
      <c r="AQ524" s="165"/>
    </row>
    <row r="525">
      <c r="A525" s="150" t="s">
        <v>889</v>
      </c>
      <c r="B525" s="150" t="s">
        <v>1702</v>
      </c>
      <c r="C525" s="175" t="str">
        <f>VLOOKUP(A525,Import!A:C,3,false)</f>
        <v>DOĞRU</v>
      </c>
      <c r="D525" s="150" t="s">
        <v>2658</v>
      </c>
      <c r="E525" s="280">
        <f>VLOOKUP(A525,Import!A:J,5,0)</f>
        <v>2972</v>
      </c>
      <c r="F525" s="280">
        <f>VLOOKUP(A525,Import!A:J,6,0)</f>
        <v>68</v>
      </c>
      <c r="G525" s="289">
        <f>VLOOKUP(A525,Import!A:J,7,0)</f>
        <v>6</v>
      </c>
      <c r="H525" s="289">
        <f>VLOOKUP(A525,Import!A:J,8,0)</f>
        <v>24</v>
      </c>
      <c r="I525" s="289">
        <f>VLOOKUP(A525,Import!A:J,9,0)</f>
        <v>30</v>
      </c>
      <c r="J525" s="282">
        <f>VLOOKUP(A525,Import!A:J,10,0)</f>
        <v>0.2</v>
      </c>
      <c r="K525" s="244" t="str">
        <f>VLOOKUP(A525,Import!A:P,11,0)</f>
        <v>ALAATTİN KARABİBER</v>
      </c>
      <c r="L525" s="150">
        <v>5.076087642E9</v>
      </c>
      <c r="M525" s="150" t="s">
        <v>1450</v>
      </c>
      <c r="N525" s="150" t="s">
        <v>2700</v>
      </c>
      <c r="O525" s="150" t="s">
        <v>892</v>
      </c>
      <c r="P525" s="244" t="str">
        <f>VLOOKUP(A525,Import!A:P,16,0)</f>
        <v>Geleneksel</v>
      </c>
      <c r="Q525" s="291" t="s">
        <v>2713</v>
      </c>
      <c r="R525" s="292" t="b">
        <v>1</v>
      </c>
      <c r="S525" s="293" t="b">
        <v>0</v>
      </c>
      <c r="T525" s="149" t="s">
        <v>2661</v>
      </c>
      <c r="U525" s="149"/>
      <c r="V525" s="149" t="s">
        <v>31</v>
      </c>
      <c r="W525" s="149" t="s">
        <v>3930</v>
      </c>
      <c r="X525" s="294">
        <v>44239.0</v>
      </c>
      <c r="Y525" s="294">
        <v>44257.0</v>
      </c>
      <c r="Z525" s="165" t="s">
        <v>2907</v>
      </c>
      <c r="AA525" s="165" t="s">
        <v>2669</v>
      </c>
      <c r="AB525" s="295">
        <v>44539.0</v>
      </c>
      <c r="AC525" s="288"/>
      <c r="AD525" s="288"/>
      <c r="AE525" s="160"/>
      <c r="AF525" s="288"/>
      <c r="AG525" s="160"/>
      <c r="AH525" s="288"/>
      <c r="AI525" s="288"/>
      <c r="AJ525" s="288"/>
      <c r="AK525" s="165" t="s">
        <v>1911</v>
      </c>
      <c r="AL525" s="288"/>
      <c r="AM525" s="288"/>
      <c r="AN525" s="288"/>
      <c r="AO525" s="288"/>
      <c r="AP525" s="150" t="s">
        <v>2663</v>
      </c>
      <c r="AQ525" s="288"/>
    </row>
    <row r="526">
      <c r="A526" s="150" t="s">
        <v>1718</v>
      </c>
      <c r="B526" s="150" t="s">
        <v>1719</v>
      </c>
      <c r="C526" s="175" t="str">
        <f>VLOOKUP(A526,Import!A:C,3,false)</f>
        <v>YANLIŞ</v>
      </c>
      <c r="D526" s="150" t="s">
        <v>2658</v>
      </c>
      <c r="E526" s="280">
        <f>VLOOKUP(A526,Import!A:J,5,0)</f>
        <v>357</v>
      </c>
      <c r="F526" s="280" t="str">
        <f>VLOOKUP(A526,Import!A:J,6,0)</f>
        <v/>
      </c>
      <c r="G526" s="289">
        <f>VLOOKUP(A526,Import!A:J,7,0)</f>
        <v>5</v>
      </c>
      <c r="H526" s="289">
        <f>VLOOKUP(A526,Import!A:J,8,0)</f>
        <v>2</v>
      </c>
      <c r="I526" s="289">
        <f>VLOOKUP(A526,Import!A:J,9,0)</f>
        <v>7</v>
      </c>
      <c r="J526" s="282">
        <f>VLOOKUP(A526,Import!A:J,10,0)</f>
        <v>0.71</v>
      </c>
      <c r="K526" s="244" t="str">
        <f>VLOOKUP(A526,Import!A:P,11,0)</f>
        <v>Mehmet Yıldırım</v>
      </c>
      <c r="L526" s="150">
        <v>2.222292E9</v>
      </c>
      <c r="M526" s="150" t="s">
        <v>1450</v>
      </c>
      <c r="N526" s="150" t="s">
        <v>2732</v>
      </c>
      <c r="O526" s="150" t="s">
        <v>1721</v>
      </c>
      <c r="P526" s="244" t="str">
        <f>VLOOKUP(A526,Import!A:P,16,0)</f>
        <v>Geleneksel</v>
      </c>
      <c r="Q526" s="291"/>
      <c r="R526" s="292" t="b">
        <v>1</v>
      </c>
      <c r="S526" s="293" t="b">
        <v>0</v>
      </c>
      <c r="T526" s="149" t="s">
        <v>2661</v>
      </c>
      <c r="U526" s="149" t="s">
        <v>1717</v>
      </c>
      <c r="V526" s="356" t="s">
        <v>1609</v>
      </c>
      <c r="W526" s="149" t="s">
        <v>3931</v>
      </c>
      <c r="X526" s="294">
        <v>44488.0</v>
      </c>
      <c r="Y526" s="294">
        <v>44489.0</v>
      </c>
      <c r="Z526" s="288"/>
      <c r="AA526" s="165" t="s">
        <v>2693</v>
      </c>
      <c r="AB526" s="295">
        <v>44480.0</v>
      </c>
      <c r="AC526" s="165" t="s">
        <v>2669</v>
      </c>
      <c r="AD526" s="295">
        <v>44488.0</v>
      </c>
      <c r="AE526" s="165" t="s">
        <v>2693</v>
      </c>
      <c r="AF526" s="295">
        <v>44539.0</v>
      </c>
      <c r="AG526" s="160"/>
      <c r="AH526" s="288"/>
      <c r="AI526" s="288"/>
      <c r="AJ526" s="288"/>
      <c r="AK526" s="165" t="s">
        <v>1824</v>
      </c>
      <c r="AL526" s="165" t="s">
        <v>1717</v>
      </c>
      <c r="AM526" s="165" t="s">
        <v>1911</v>
      </c>
      <c r="AN526" s="288"/>
      <c r="AO526" s="288"/>
      <c r="AP526" s="150" t="s">
        <v>2663</v>
      </c>
      <c r="AQ526" s="288"/>
    </row>
    <row r="527">
      <c r="A527" s="150" t="s">
        <v>1952</v>
      </c>
      <c r="B527" s="150" t="s">
        <v>1953</v>
      </c>
      <c r="C527" s="175" t="str">
        <f>VLOOKUP(A527,Import!A:C,3,false)</f>
        <v>DOĞRU</v>
      </c>
      <c r="D527" s="150" t="s">
        <v>2701</v>
      </c>
      <c r="E527" s="280">
        <f>VLOOKUP(A527,Import!A:J,5,0)</f>
        <v>3271</v>
      </c>
      <c r="F527" s="280">
        <f>VLOOKUP(A527,Import!A:J,6,0)</f>
        <v>134</v>
      </c>
      <c r="G527" s="289">
        <f>VLOOKUP(A527,Import!A:J,7,0)</f>
        <v>0</v>
      </c>
      <c r="H527" s="289">
        <f>VLOOKUP(A527,Import!A:J,8,0)</f>
        <v>5</v>
      </c>
      <c r="I527" s="289">
        <f>VLOOKUP(A527,Import!A:J,9,0)</f>
        <v>5</v>
      </c>
      <c r="J527" s="282">
        <f>VLOOKUP(A527,Import!A:J,10,0)</f>
        <v>0</v>
      </c>
      <c r="K527" s="290" t="s">
        <v>3932</v>
      </c>
      <c r="L527" s="150">
        <v>5.538900694E9</v>
      </c>
      <c r="M527" s="150" t="s">
        <v>2666</v>
      </c>
      <c r="N527" s="150" t="s">
        <v>2801</v>
      </c>
      <c r="O527" s="150" t="s">
        <v>1955</v>
      </c>
      <c r="P527" s="244" t="str">
        <f>VLOOKUP(A527,Import!A:P,16,0)</f>
        <v>Geleneksel</v>
      </c>
      <c r="Q527" s="291"/>
      <c r="R527" s="292" t="b">
        <v>1</v>
      </c>
      <c r="S527" s="293" t="b">
        <v>0</v>
      </c>
      <c r="T527" s="149" t="s">
        <v>2693</v>
      </c>
      <c r="U527" s="149" t="s">
        <v>1621</v>
      </c>
      <c r="V527" s="269" t="s">
        <v>1609</v>
      </c>
      <c r="W527" s="149" t="s">
        <v>3933</v>
      </c>
      <c r="X527" s="294">
        <v>44516.0</v>
      </c>
      <c r="Y527" s="294">
        <v>44517.0</v>
      </c>
      <c r="Z527" s="288"/>
      <c r="AA527" s="165" t="s">
        <v>2669</v>
      </c>
      <c r="AB527" s="295">
        <v>44516.0</v>
      </c>
      <c r="AC527" s="288"/>
      <c r="AD527" s="288"/>
      <c r="AE527" s="160"/>
      <c r="AF527" s="288"/>
      <c r="AG527" s="160"/>
      <c r="AH527" s="288"/>
      <c r="AI527" s="288"/>
      <c r="AJ527" s="288"/>
      <c r="AK527" s="165" t="s">
        <v>1621</v>
      </c>
      <c r="AL527" s="288"/>
      <c r="AM527" s="288"/>
      <c r="AN527" s="288"/>
      <c r="AO527" s="288"/>
      <c r="AP527" s="150" t="s">
        <v>2663</v>
      </c>
      <c r="AQ527" s="288"/>
    </row>
    <row r="528">
      <c r="A528" s="244" t="s">
        <v>1036</v>
      </c>
      <c r="B528" s="244" t="s">
        <v>1037</v>
      </c>
      <c r="C528" s="175" t="str">
        <f>VLOOKUP(A528,Import!A:C,3,false)</f>
        <v>DOĞRU</v>
      </c>
      <c r="D528" s="362" t="s">
        <v>2658</v>
      </c>
      <c r="E528" s="280">
        <f>VLOOKUP(A528,Import!A:J,5,0)</f>
        <v>8436</v>
      </c>
      <c r="F528" s="280">
        <f>VLOOKUP(A528,Import!A:J,6,0)</f>
        <v>181</v>
      </c>
      <c r="G528" s="289">
        <f>VLOOKUP(A528,Import!A:J,7,0)</f>
        <v>8</v>
      </c>
      <c r="H528" s="289">
        <f>VLOOKUP(A528,Import!A:J,8,0)</f>
        <v>11</v>
      </c>
      <c r="I528" s="289">
        <f>VLOOKUP(A528,Import!A:J,9,0)</f>
        <v>19</v>
      </c>
      <c r="J528" s="282">
        <f>VLOOKUP(A528,Import!A:J,10,0)</f>
        <v>0.42</v>
      </c>
      <c r="K528" s="244" t="str">
        <f>VLOOKUP(A528,Import!A:P,11,0)</f>
        <v>YEMLİHAN KARABULUT</v>
      </c>
      <c r="L528" s="280">
        <v>2.223202038E9</v>
      </c>
      <c r="M528" s="244" t="s">
        <v>2666</v>
      </c>
      <c r="N528" s="244" t="s">
        <v>3084</v>
      </c>
      <c r="O528" s="244" t="s">
        <v>1040</v>
      </c>
      <c r="P528" s="244" t="str">
        <f>VLOOKUP(A528,Import!A:P,16,0)</f>
        <v>Geleneksel</v>
      </c>
      <c r="Q528" s="291" t="s">
        <v>2686</v>
      </c>
      <c r="R528" s="292" t="b">
        <v>1</v>
      </c>
      <c r="S528" s="293" t="b">
        <v>0</v>
      </c>
      <c r="T528" s="165" t="s">
        <v>2661</v>
      </c>
      <c r="U528" s="165" t="s">
        <v>1000</v>
      </c>
      <c r="V528" s="160"/>
      <c r="W528" s="165" t="s">
        <v>3934</v>
      </c>
      <c r="X528" s="295">
        <v>44265.0</v>
      </c>
      <c r="Y528" s="295">
        <v>44266.0</v>
      </c>
      <c r="Z528" s="288"/>
      <c r="AA528" s="288"/>
      <c r="AB528" s="288"/>
      <c r="AC528" s="288"/>
      <c r="AD528" s="288"/>
      <c r="AE528" s="160"/>
      <c r="AF528" s="288"/>
      <c r="AG528" s="160"/>
      <c r="AH528" s="288"/>
      <c r="AI528" s="288"/>
      <c r="AJ528" s="288"/>
      <c r="AK528" s="288"/>
      <c r="AL528" s="288"/>
      <c r="AM528" s="288"/>
      <c r="AN528" s="288"/>
      <c r="AO528" s="288"/>
      <c r="AP528" s="150" t="s">
        <v>2663</v>
      </c>
      <c r="AQ528" s="288"/>
    </row>
    <row r="529">
      <c r="A529" s="150" t="s">
        <v>3935</v>
      </c>
      <c r="B529" s="150" t="s">
        <v>3936</v>
      </c>
      <c r="C529" s="175" t="str">
        <f>VLOOKUP(A529,Import!A:C,3,false)</f>
        <v>DOĞRU</v>
      </c>
      <c r="D529" s="150" t="s">
        <v>2658</v>
      </c>
      <c r="E529" s="280">
        <f>VLOOKUP(A529,Import!A:J,5,0)</f>
        <v>6455</v>
      </c>
      <c r="F529" s="280">
        <f>VLOOKUP(A529,Import!A:J,6,0)</f>
        <v>443</v>
      </c>
      <c r="G529" s="289">
        <f>VLOOKUP(A529,Import!A:J,7,0)</f>
        <v>25</v>
      </c>
      <c r="H529" s="289">
        <f>VLOOKUP(A529,Import!A:J,8,0)</f>
        <v>9</v>
      </c>
      <c r="I529" s="289">
        <f>VLOOKUP(A529,Import!A:J,9,0)</f>
        <v>34</v>
      </c>
      <c r="J529" s="282">
        <f>VLOOKUP(A529,Import!A:J,10,0)</f>
        <v>0.74</v>
      </c>
      <c r="K529" s="244" t="str">
        <f>VLOOKUP(A529,Import!A:P,11,0)</f>
        <v>Mustafa Erdem</v>
      </c>
      <c r="L529" s="150">
        <v>2.22500007E9</v>
      </c>
      <c r="M529" s="150" t="s">
        <v>1450</v>
      </c>
      <c r="N529" s="150" t="s">
        <v>2732</v>
      </c>
      <c r="O529" s="150" t="s">
        <v>3937</v>
      </c>
      <c r="P529" s="244" t="str">
        <f>VLOOKUP(A529,Import!A:P,16,0)</f>
        <v>Geleneksel</v>
      </c>
      <c r="Q529" s="291"/>
      <c r="R529" s="292" t="b">
        <v>1</v>
      </c>
      <c r="S529" s="292" t="b">
        <v>0</v>
      </c>
      <c r="T529" s="145" t="s">
        <v>2734</v>
      </c>
      <c r="U529" s="296"/>
      <c r="V529" s="269"/>
      <c r="W529" s="149" t="s">
        <v>3938</v>
      </c>
      <c r="X529" s="294"/>
      <c r="Y529" s="294"/>
      <c r="Z529" s="288"/>
      <c r="AA529" s="165" t="s">
        <v>2693</v>
      </c>
      <c r="AB529" s="295">
        <v>44377.0</v>
      </c>
      <c r="AC529" s="165" t="s">
        <v>2669</v>
      </c>
      <c r="AD529" s="295">
        <v>44494.0</v>
      </c>
      <c r="AE529" s="160"/>
      <c r="AF529" s="288"/>
      <c r="AG529" s="160"/>
      <c r="AH529" s="288"/>
      <c r="AI529" s="288"/>
      <c r="AJ529" s="288"/>
      <c r="AK529" s="165" t="s">
        <v>2913</v>
      </c>
      <c r="AL529" s="165" t="s">
        <v>1791</v>
      </c>
      <c r="AM529" s="288"/>
      <c r="AN529" s="288"/>
      <c r="AO529" s="288"/>
      <c r="AP529" s="150" t="s">
        <v>2663</v>
      </c>
      <c r="AQ529" s="288"/>
    </row>
    <row r="530">
      <c r="A530" s="150" t="s">
        <v>3939</v>
      </c>
      <c r="B530" s="150" t="s">
        <v>3940</v>
      </c>
      <c r="C530" s="175" t="str">
        <f>VLOOKUP(A530,Import!A:C,3,false)</f>
        <v>DOĞRU</v>
      </c>
      <c r="D530" s="150" t="s">
        <v>2867</v>
      </c>
      <c r="E530" s="280">
        <f>VLOOKUP(A530,Import!A:J,5,0)</f>
        <v>3133</v>
      </c>
      <c r="F530" s="280">
        <f>VLOOKUP(A530,Import!A:J,6,0)</f>
        <v>135</v>
      </c>
      <c r="G530" s="289">
        <f>VLOOKUP(A530,Import!A:J,7,0)</f>
        <v>29</v>
      </c>
      <c r="H530" s="289">
        <f>VLOOKUP(A530,Import!A:J,8,0)</f>
        <v>18</v>
      </c>
      <c r="I530" s="289">
        <f>VLOOKUP(A530,Import!A:J,9,0)</f>
        <v>47</v>
      </c>
      <c r="J530" s="282">
        <f>VLOOKUP(A530,Import!A:J,10,0)</f>
        <v>0.62</v>
      </c>
      <c r="K530" s="244" t="str">
        <f>VLOOKUP(A530,Import!A:P,11,0)</f>
        <v>Mustafa Erdem</v>
      </c>
      <c r="L530" s="150">
        <v>2.223101021E9</v>
      </c>
      <c r="M530" s="150" t="s">
        <v>2666</v>
      </c>
      <c r="N530" s="150" t="s">
        <v>3000</v>
      </c>
      <c r="O530" s="150" t="s">
        <v>3941</v>
      </c>
      <c r="P530" s="244" t="str">
        <f>VLOOKUP(A530,Import!A:P,16,0)</f>
        <v>Geleneksel</v>
      </c>
      <c r="Q530" s="291"/>
      <c r="R530" s="292" t="b">
        <v>1</v>
      </c>
      <c r="S530" s="293" t="b">
        <v>0</v>
      </c>
      <c r="T530" s="145" t="s">
        <v>2734</v>
      </c>
      <c r="U530" s="296"/>
      <c r="V530" s="296"/>
      <c r="W530" s="149" t="s">
        <v>3942</v>
      </c>
      <c r="X530" s="297"/>
      <c r="Y530" s="297"/>
      <c r="Z530" s="288"/>
      <c r="AA530" s="165" t="s">
        <v>2669</v>
      </c>
      <c r="AB530" s="295">
        <v>44517.0</v>
      </c>
      <c r="AC530" s="288"/>
      <c r="AD530" s="288"/>
      <c r="AE530" s="160"/>
      <c r="AF530" s="288"/>
      <c r="AG530" s="160"/>
      <c r="AH530" s="288"/>
      <c r="AI530" s="288"/>
      <c r="AJ530" s="288"/>
      <c r="AK530" s="165" t="s">
        <v>1971</v>
      </c>
      <c r="AL530" s="288"/>
      <c r="AM530" s="288"/>
      <c r="AN530" s="288"/>
      <c r="AO530" s="288"/>
      <c r="AP530" s="150" t="s">
        <v>2663</v>
      </c>
      <c r="AQ530" s="288"/>
    </row>
    <row r="531">
      <c r="A531" s="150" t="s">
        <v>1738</v>
      </c>
      <c r="B531" s="150" t="s">
        <v>1739</v>
      </c>
      <c r="C531" s="175" t="str">
        <f>VLOOKUP(A531,Import!A:C,3,false)</f>
        <v>DOĞRU</v>
      </c>
      <c r="D531" s="150" t="s">
        <v>2867</v>
      </c>
      <c r="E531" s="280">
        <f>VLOOKUP(A531,Import!A:J,5,0)</f>
        <v>7678</v>
      </c>
      <c r="F531" s="280">
        <f>VLOOKUP(A531,Import!A:J,6,0)</f>
        <v>404</v>
      </c>
      <c r="G531" s="289">
        <f>VLOOKUP(A531,Import!A:J,7,0)</f>
        <v>25</v>
      </c>
      <c r="H531" s="289">
        <f>VLOOKUP(A531,Import!A:J,8,0)</f>
        <v>12</v>
      </c>
      <c r="I531" s="289">
        <f>VLOOKUP(A531,Import!A:J,9,0)</f>
        <v>37</v>
      </c>
      <c r="J531" s="282">
        <f>VLOOKUP(A531,Import!A:J,10,0)</f>
        <v>0.68</v>
      </c>
      <c r="K531" s="244" t="str">
        <f>VLOOKUP(A531,Import!A:P,11,0)</f>
        <v>Mustafa Erdem</v>
      </c>
      <c r="L531" s="150">
        <v>2.223202021E9</v>
      </c>
      <c r="M531" s="150" t="s">
        <v>2666</v>
      </c>
      <c r="N531" s="150" t="s">
        <v>2682</v>
      </c>
      <c r="O531" s="150" t="s">
        <v>3943</v>
      </c>
      <c r="P531" s="244" t="str">
        <f>VLOOKUP(A531,Import!A:P,16,0)</f>
        <v>Geleneksel</v>
      </c>
      <c r="Q531" s="291"/>
      <c r="R531" s="292" t="b">
        <v>1</v>
      </c>
      <c r="S531" s="293" t="b">
        <v>0</v>
      </c>
      <c r="T531" s="395" t="s">
        <v>2661</v>
      </c>
      <c r="U531" s="395" t="s">
        <v>1717</v>
      </c>
      <c r="V531" s="396" t="s">
        <v>1609</v>
      </c>
      <c r="W531" s="149" t="s">
        <v>3944</v>
      </c>
      <c r="X531" s="294">
        <v>44489.0</v>
      </c>
      <c r="Y531" s="294">
        <v>44491.0</v>
      </c>
      <c r="Z531" s="165" t="s">
        <v>3373</v>
      </c>
      <c r="AA531" s="165" t="s">
        <v>2669</v>
      </c>
      <c r="AB531" s="295">
        <v>44489.0</v>
      </c>
      <c r="AC531" s="288"/>
      <c r="AD531" s="288"/>
      <c r="AE531" s="160"/>
      <c r="AF531" s="288"/>
      <c r="AG531" s="160"/>
      <c r="AH531" s="288"/>
      <c r="AI531" s="288"/>
      <c r="AJ531" s="288"/>
      <c r="AK531" s="165" t="s">
        <v>1717</v>
      </c>
      <c r="AL531" s="288"/>
      <c r="AM531" s="288"/>
      <c r="AN531" s="288"/>
      <c r="AO531" s="288"/>
      <c r="AP531" s="150" t="s">
        <v>2663</v>
      </c>
      <c r="AQ531" s="288"/>
    </row>
    <row r="532">
      <c r="A532" s="150" t="s">
        <v>3945</v>
      </c>
      <c r="B532" s="150" t="s">
        <v>3946</v>
      </c>
      <c r="C532" s="175" t="str">
        <f>VLOOKUP(A532,Import!A:C,3,false)</f>
        <v>DOĞRU</v>
      </c>
      <c r="D532" s="150" t="s">
        <v>2701</v>
      </c>
      <c r="E532" s="280">
        <f>VLOOKUP(A532,Import!A:J,5,0)</f>
        <v>308</v>
      </c>
      <c r="F532" s="280">
        <f>VLOOKUP(A532,Import!A:J,6,0)</f>
        <v>34</v>
      </c>
      <c r="G532" s="289">
        <f>VLOOKUP(A532,Import!A:J,7,0)</f>
        <v>0</v>
      </c>
      <c r="H532" s="289">
        <f>VLOOKUP(A532,Import!A:J,8,0)</f>
        <v>30</v>
      </c>
      <c r="I532" s="289">
        <f>VLOOKUP(A532,Import!A:J,9,0)</f>
        <v>30</v>
      </c>
      <c r="J532" s="282">
        <f>VLOOKUP(A532,Import!A:J,10,0)</f>
        <v>0</v>
      </c>
      <c r="K532" s="244" t="str">
        <f>VLOOKUP(A532,Import!A:P,11,0)</f>
        <v>Şengül Erken</v>
      </c>
      <c r="L532" s="150">
        <v>5.332312879E9</v>
      </c>
      <c r="M532" s="150" t="s">
        <v>2666</v>
      </c>
      <c r="N532" s="150" t="s">
        <v>2667</v>
      </c>
      <c r="O532" s="150" t="s">
        <v>3947</v>
      </c>
      <c r="P532" s="244" t="str">
        <f>VLOOKUP(A532,Import!A:P,16,0)</f>
        <v>Geleneksel</v>
      </c>
      <c r="Q532" s="291"/>
      <c r="R532" s="292" t="b">
        <v>1</v>
      </c>
      <c r="S532" s="292" t="b">
        <v>1</v>
      </c>
      <c r="T532" s="149"/>
      <c r="U532" s="296"/>
      <c r="V532" s="296"/>
      <c r="W532" s="149" t="s">
        <v>3948</v>
      </c>
      <c r="X532" s="297"/>
      <c r="Y532" s="297"/>
      <c r="Z532" s="288"/>
      <c r="AA532" s="288"/>
      <c r="AB532" s="288"/>
      <c r="AC532" s="288"/>
      <c r="AD532" s="288"/>
      <c r="AE532" s="160"/>
      <c r="AF532" s="288"/>
      <c r="AG532" s="160"/>
      <c r="AH532" s="288"/>
      <c r="AI532" s="288"/>
      <c r="AJ532" s="288"/>
      <c r="AK532" s="288"/>
      <c r="AL532" s="288"/>
      <c r="AM532" s="288"/>
      <c r="AN532" s="288"/>
      <c r="AO532" s="288"/>
      <c r="AP532" s="150" t="s">
        <v>2663</v>
      </c>
      <c r="AQ532" s="288"/>
    </row>
    <row r="533">
      <c r="A533" s="150" t="s">
        <v>3949</v>
      </c>
      <c r="B533" s="150" t="s">
        <v>3950</v>
      </c>
      <c r="C533" s="175" t="str">
        <f>VLOOKUP(A533,Import!A:C,3,false)</f>
        <v>DOĞRU</v>
      </c>
      <c r="D533" s="150" t="s">
        <v>2664</v>
      </c>
      <c r="E533" s="280">
        <f>VLOOKUP(A533,Import!A:J,5,0)</f>
        <v>6</v>
      </c>
      <c r="F533" s="280">
        <f>VLOOKUP(A533,Import!A:J,6,0)</f>
        <v>1</v>
      </c>
      <c r="G533" s="289">
        <f>VLOOKUP(A533,Import!A:J,7,0)</f>
        <v>0</v>
      </c>
      <c r="H533" s="289">
        <f>VLOOKUP(A533,Import!A:J,8,0)</f>
        <v>29</v>
      </c>
      <c r="I533" s="289">
        <f>VLOOKUP(A533,Import!A:J,9,0)</f>
        <v>29</v>
      </c>
      <c r="J533" s="282">
        <f>VLOOKUP(A533,Import!A:J,10,0)</f>
        <v>0</v>
      </c>
      <c r="K533" s="290" t="s">
        <v>3951</v>
      </c>
      <c r="L533" s="150">
        <v>5.45941353E9</v>
      </c>
      <c r="M533" s="150" t="s">
        <v>2666</v>
      </c>
      <c r="N533" s="150" t="s">
        <v>2667</v>
      </c>
      <c r="O533" s="150" t="s">
        <v>3952</v>
      </c>
      <c r="P533" s="244" t="str">
        <f>VLOOKUP(A533,Import!A:P,16,0)</f>
        <v>Geleneksel</v>
      </c>
      <c r="Q533" s="291"/>
      <c r="R533" s="292" t="b">
        <v>1</v>
      </c>
      <c r="S533" s="293" t="b">
        <v>0</v>
      </c>
      <c r="T533" s="149" t="s">
        <v>2714</v>
      </c>
      <c r="U533" s="296"/>
      <c r="V533" s="296"/>
      <c r="W533" s="149" t="s">
        <v>3953</v>
      </c>
      <c r="X533" s="297"/>
      <c r="Y533" s="297"/>
      <c r="Z533" s="288"/>
      <c r="AA533" s="165" t="s">
        <v>2669</v>
      </c>
      <c r="AB533" s="295">
        <v>44565.0</v>
      </c>
      <c r="AC533" s="288"/>
      <c r="AD533" s="288"/>
      <c r="AE533" s="160"/>
      <c r="AF533" s="288"/>
      <c r="AG533" s="160"/>
      <c r="AH533" s="288"/>
      <c r="AI533" s="288"/>
      <c r="AJ533" s="288"/>
      <c r="AK533" s="165" t="s">
        <v>1715</v>
      </c>
      <c r="AL533" s="288"/>
      <c r="AM533" s="288"/>
      <c r="AN533" s="288"/>
      <c r="AO533" s="165"/>
      <c r="AP533" s="150"/>
      <c r="AQ533" s="165"/>
    </row>
    <row r="534">
      <c r="A534" s="150" t="s">
        <v>820</v>
      </c>
      <c r="B534" s="150" t="s">
        <v>821</v>
      </c>
      <c r="C534" s="175" t="str">
        <f>VLOOKUP(A534,Import!A:C,3,false)</f>
        <v>DOĞRU</v>
      </c>
      <c r="D534" s="150" t="s">
        <v>2696</v>
      </c>
      <c r="E534" s="280">
        <f>VLOOKUP(A534,Import!A:J,5,0)</f>
        <v>3539</v>
      </c>
      <c r="F534" s="280">
        <f>VLOOKUP(A534,Import!A:J,6,0)</f>
        <v>176</v>
      </c>
      <c r="G534" s="289">
        <f>VLOOKUP(A534,Import!A:J,7,0)</f>
        <v>14</v>
      </c>
      <c r="H534" s="289">
        <f>VLOOKUP(A534,Import!A:J,8,0)</f>
        <v>47</v>
      </c>
      <c r="I534" s="289">
        <f>VLOOKUP(A534,Import!A:J,9,0)</f>
        <v>61</v>
      </c>
      <c r="J534" s="282">
        <f>VLOOKUP(A534,Import!A:J,10,0)</f>
        <v>0.23</v>
      </c>
      <c r="K534" s="244" t="str">
        <f>VLOOKUP(A534,Import!A:P,11,0)</f>
        <v>REMZİ HAKBİLEN</v>
      </c>
      <c r="L534" s="150">
        <v>5.059588884E9</v>
      </c>
      <c r="M534" s="150" t="s">
        <v>1450</v>
      </c>
      <c r="N534" s="150" t="s">
        <v>2795</v>
      </c>
      <c r="O534" s="150" t="s">
        <v>823</v>
      </c>
      <c r="P534" s="244" t="str">
        <f>VLOOKUP(A534,Import!A:P,16,0)</f>
        <v>Geleneksel</v>
      </c>
      <c r="Q534" s="315" t="s">
        <v>2713</v>
      </c>
      <c r="R534" s="292" t="b">
        <v>1</v>
      </c>
      <c r="S534" s="293" t="b">
        <v>0</v>
      </c>
      <c r="T534" s="149" t="s">
        <v>2661</v>
      </c>
      <c r="U534" s="149"/>
      <c r="V534" s="149" t="s">
        <v>13</v>
      </c>
      <c r="W534" s="149" t="s">
        <v>2708</v>
      </c>
      <c r="X534" s="294">
        <v>44253.0</v>
      </c>
      <c r="Y534" s="294">
        <v>44256.0</v>
      </c>
      <c r="Z534" s="288"/>
      <c r="AA534" s="288"/>
      <c r="AB534" s="288"/>
      <c r="AC534" s="288"/>
      <c r="AD534" s="288"/>
      <c r="AE534" s="160"/>
      <c r="AF534" s="288"/>
      <c r="AG534" s="160"/>
      <c r="AH534" s="288"/>
      <c r="AI534" s="288"/>
      <c r="AJ534" s="288"/>
      <c r="AK534" s="288"/>
      <c r="AL534" s="288"/>
      <c r="AM534" s="288"/>
      <c r="AN534" s="288"/>
      <c r="AO534" s="288"/>
      <c r="AP534" s="150" t="s">
        <v>2663</v>
      </c>
      <c r="AQ534" s="288"/>
    </row>
    <row r="535">
      <c r="A535" s="150" t="s">
        <v>2558</v>
      </c>
      <c r="B535" s="150" t="s">
        <v>2559</v>
      </c>
      <c r="C535" s="175" t="str">
        <f>VLOOKUP(A535,Import!A:C,3,false)</f>
        <v>DOĞRU</v>
      </c>
      <c r="D535" s="150" t="s">
        <v>2850</v>
      </c>
      <c r="E535" s="280">
        <f>VLOOKUP(A535,Import!A:J,5,0)</f>
        <v>155</v>
      </c>
      <c r="F535" s="280">
        <f>VLOOKUP(A535,Import!A:J,6,0)</f>
        <v>56</v>
      </c>
      <c r="G535" s="289">
        <f>VLOOKUP(A535,Import!A:J,7,0)</f>
        <v>12</v>
      </c>
      <c r="H535" s="289">
        <f>VLOOKUP(A535,Import!A:J,8,0)</f>
        <v>9</v>
      </c>
      <c r="I535" s="289">
        <f>VLOOKUP(A535,Import!A:J,9,0)</f>
        <v>21</v>
      </c>
      <c r="J535" s="282">
        <f>VLOOKUP(A535,Import!A:J,10,0)</f>
        <v>0.57</v>
      </c>
      <c r="K535" s="290" t="s">
        <v>3954</v>
      </c>
      <c r="L535" s="150">
        <v>5.365809299E9</v>
      </c>
      <c r="M535" s="150" t="s">
        <v>1450</v>
      </c>
      <c r="N535" s="150" t="s">
        <v>2716</v>
      </c>
      <c r="O535" s="150" t="s">
        <v>2561</v>
      </c>
      <c r="P535" s="244" t="str">
        <f>VLOOKUP(A535,Import!A:P,16,0)</f>
        <v>Geleneksel</v>
      </c>
      <c r="Q535" s="291"/>
      <c r="R535" s="292" t="b">
        <v>1</v>
      </c>
      <c r="S535" s="293" t="b">
        <v>0</v>
      </c>
      <c r="T535" s="149" t="s">
        <v>2661</v>
      </c>
      <c r="U535" s="149" t="s">
        <v>1717</v>
      </c>
      <c r="V535" s="149" t="s">
        <v>2835</v>
      </c>
      <c r="W535" s="149"/>
      <c r="X535" s="294">
        <v>44628.0</v>
      </c>
      <c r="Y535" s="294">
        <v>44629.0</v>
      </c>
      <c r="Z535" s="288"/>
      <c r="AA535" s="165" t="s">
        <v>2688</v>
      </c>
      <c r="AB535" s="295">
        <v>44628.0</v>
      </c>
      <c r="AC535" s="165" t="s">
        <v>2669</v>
      </c>
      <c r="AD535" s="295">
        <v>44628.0</v>
      </c>
      <c r="AE535" s="160"/>
      <c r="AF535" s="288"/>
      <c r="AG535" s="160"/>
      <c r="AH535" s="288"/>
      <c r="AI535" s="288"/>
      <c r="AJ535" s="288"/>
      <c r="AK535" s="165" t="s">
        <v>1717</v>
      </c>
      <c r="AL535" s="165" t="s">
        <v>1717</v>
      </c>
      <c r="AM535" s="288"/>
      <c r="AN535" s="288"/>
      <c r="AO535" s="165"/>
      <c r="AP535" s="150"/>
      <c r="AQ535" s="165"/>
    </row>
    <row r="536">
      <c r="A536" s="150" t="s">
        <v>2099</v>
      </c>
      <c r="B536" s="150" t="s">
        <v>2100</v>
      </c>
      <c r="C536" s="175" t="str">
        <f>VLOOKUP(A536,Import!A:C,3,false)</f>
        <v>DOĞRU</v>
      </c>
      <c r="D536" s="150" t="s">
        <v>2672</v>
      </c>
      <c r="E536" s="280">
        <f>VLOOKUP(A536,Import!A:J,5,0)</f>
        <v>542</v>
      </c>
      <c r="F536" s="280" t="str">
        <f>VLOOKUP(A536,Import!A:J,6,0)</f>
        <v/>
      </c>
      <c r="G536" s="289">
        <f>VLOOKUP(A536,Import!A:J,7,0)</f>
        <v>6</v>
      </c>
      <c r="H536" s="289">
        <f>VLOOKUP(A536,Import!A:J,8,0)</f>
        <v>7</v>
      </c>
      <c r="I536" s="289">
        <f>VLOOKUP(A536,Import!A:J,9,0)</f>
        <v>13</v>
      </c>
      <c r="J536" s="282">
        <f>VLOOKUP(A536,Import!A:J,10,0)</f>
        <v>0.46</v>
      </c>
      <c r="K536" s="290" t="s">
        <v>3955</v>
      </c>
      <c r="L536" s="150">
        <v>2.222371777E9</v>
      </c>
      <c r="M536" s="150" t="s">
        <v>1450</v>
      </c>
      <c r="N536" s="150" t="s">
        <v>3877</v>
      </c>
      <c r="O536" s="150" t="s">
        <v>2103</v>
      </c>
      <c r="P536" s="244" t="str">
        <f>VLOOKUP(A536,Import!A:P,16,0)</f>
        <v>Geleneksel</v>
      </c>
      <c r="Q536" s="291"/>
      <c r="R536" s="292" t="b">
        <v>1</v>
      </c>
      <c r="S536" s="293" t="b">
        <v>0</v>
      </c>
      <c r="T536" s="149" t="s">
        <v>2661</v>
      </c>
      <c r="U536" s="149" t="s">
        <v>1715</v>
      </c>
      <c r="V536" s="149" t="s">
        <v>2835</v>
      </c>
      <c r="W536" s="149"/>
      <c r="X536" s="294">
        <v>44531.0</v>
      </c>
      <c r="Y536" s="294">
        <v>44533.0</v>
      </c>
      <c r="Z536" s="288"/>
      <c r="AA536" s="165" t="s">
        <v>2669</v>
      </c>
      <c r="AB536" s="295">
        <v>44531.0</v>
      </c>
      <c r="AC536" s="288"/>
      <c r="AD536" s="288"/>
      <c r="AE536" s="160"/>
      <c r="AF536" s="288"/>
      <c r="AG536" s="160"/>
      <c r="AH536" s="288"/>
      <c r="AI536" s="288"/>
      <c r="AJ536" s="288"/>
      <c r="AK536" s="165" t="s">
        <v>1715</v>
      </c>
      <c r="AL536" s="288"/>
      <c r="AM536" s="288"/>
      <c r="AN536" s="288"/>
      <c r="AO536" s="288"/>
      <c r="AP536" s="150" t="s">
        <v>2663</v>
      </c>
      <c r="AQ536" s="288"/>
    </row>
    <row r="537">
      <c r="A537" s="147" t="s">
        <v>3956</v>
      </c>
      <c r="B537" s="147" t="s">
        <v>3957</v>
      </c>
      <c r="C537" s="175" t="str">
        <f>VLOOKUP(A537,Import!A:C,3,false)</f>
        <v>DOĞRU</v>
      </c>
      <c r="D537" s="147" t="s">
        <v>2701</v>
      </c>
      <c r="E537" s="280">
        <f>VLOOKUP(A537,Import!A:J,5,0)</f>
        <v>1169</v>
      </c>
      <c r="F537" s="280">
        <f>VLOOKUP(A537,Import!A:J,6,0)</f>
        <v>56</v>
      </c>
      <c r="G537" s="289">
        <f>VLOOKUP(A537,Import!A:J,7,0)</f>
        <v>24</v>
      </c>
      <c r="H537" s="289">
        <f>VLOOKUP(A537,Import!A:J,8,0)</f>
        <v>17</v>
      </c>
      <c r="I537" s="289">
        <f>VLOOKUP(A537,Import!A:J,9,0)</f>
        <v>41</v>
      </c>
      <c r="J537" s="282">
        <f>VLOOKUP(A537,Import!A:J,10,0)</f>
        <v>0.59</v>
      </c>
      <c r="K537" s="244" t="str">
        <f>VLOOKUP(A537,Import!A:P,11,0)</f>
        <v>Meryem Üstün Genç</v>
      </c>
      <c r="L537" s="147">
        <v>5.063144739E9</v>
      </c>
      <c r="M537" s="147" t="s">
        <v>1450</v>
      </c>
      <c r="N537" s="147" t="s">
        <v>2795</v>
      </c>
      <c r="O537" s="147" t="s">
        <v>3958</v>
      </c>
      <c r="P537" s="244" t="str">
        <f>VLOOKUP(A537,Import!A:P,16,0)</f>
        <v>Geleneksel</v>
      </c>
      <c r="Q537" s="330"/>
      <c r="R537" s="292" t="b">
        <v>1</v>
      </c>
      <c r="S537" s="292" t="b">
        <v>1</v>
      </c>
      <c r="T537" s="149" t="s">
        <v>2734</v>
      </c>
      <c r="U537" s="296"/>
      <c r="V537" s="312"/>
      <c r="X537" s="297"/>
      <c r="Y537" s="297"/>
      <c r="Z537" s="288"/>
      <c r="AA537" s="288"/>
      <c r="AB537" s="288"/>
      <c r="AC537" s="288"/>
      <c r="AD537" s="288"/>
      <c r="AE537" s="160"/>
      <c r="AF537" s="288"/>
      <c r="AG537" s="160"/>
      <c r="AH537" s="288"/>
      <c r="AI537" s="288"/>
      <c r="AJ537" s="288"/>
      <c r="AK537" s="288"/>
      <c r="AL537" s="288"/>
      <c r="AM537" s="288"/>
      <c r="AN537" s="288"/>
      <c r="AO537" s="288"/>
      <c r="AP537" s="150" t="s">
        <v>2663</v>
      </c>
      <c r="AQ537" s="288"/>
    </row>
    <row r="538">
      <c r="A538" s="147" t="s">
        <v>1455</v>
      </c>
      <c r="B538" s="147" t="s">
        <v>1456</v>
      </c>
      <c r="C538" s="175" t="str">
        <f>VLOOKUP(A538,Import!A:C,3,false)</f>
        <v>DOĞRU</v>
      </c>
      <c r="D538" s="147" t="s">
        <v>2751</v>
      </c>
      <c r="E538" s="280">
        <f>VLOOKUP(A538,Import!A:J,5,0)</f>
        <v>882</v>
      </c>
      <c r="F538" s="280">
        <f>VLOOKUP(A538,Import!A:J,6,0)</f>
        <v>113</v>
      </c>
      <c r="G538" s="289">
        <f>VLOOKUP(A538,Import!A:J,7,0)</f>
        <v>46</v>
      </c>
      <c r="H538" s="289">
        <f>VLOOKUP(A538,Import!A:J,8,0)</f>
        <v>13</v>
      </c>
      <c r="I538" s="289">
        <f>VLOOKUP(A538,Import!A:J,9,0)</f>
        <v>59</v>
      </c>
      <c r="J538" s="282">
        <f>VLOOKUP(A538,Import!A:J,10,0)</f>
        <v>0.78</v>
      </c>
      <c r="K538" s="244" t="str">
        <f>VLOOKUP(A538,Import!A:P,11,0)</f>
        <v>Meryem Üstün Genç</v>
      </c>
      <c r="L538" s="147">
        <v>5.063144739E9</v>
      </c>
      <c r="M538" s="147" t="s">
        <v>1450</v>
      </c>
      <c r="N538" s="147" t="s">
        <v>2700</v>
      </c>
      <c r="O538" s="147" t="s">
        <v>1458</v>
      </c>
      <c r="P538" s="244" t="str">
        <f>VLOOKUP(A538,Import!A:P,16,0)</f>
        <v>Geleneksel</v>
      </c>
      <c r="Q538" s="330"/>
      <c r="R538" s="292" t="b">
        <v>1</v>
      </c>
      <c r="S538" s="292" t="b">
        <v>0</v>
      </c>
      <c r="T538" s="149" t="s">
        <v>2661</v>
      </c>
      <c r="U538" s="149" t="s">
        <v>2474</v>
      </c>
      <c r="V538" s="383" t="s">
        <v>1609</v>
      </c>
      <c r="W538" s="149" t="s">
        <v>3959</v>
      </c>
      <c r="X538" s="294">
        <v>44601.0</v>
      </c>
      <c r="Y538" s="294">
        <v>44602.0</v>
      </c>
      <c r="Z538" s="288"/>
      <c r="AA538" s="165" t="s">
        <v>2669</v>
      </c>
      <c r="AB538" s="295">
        <v>44503.0</v>
      </c>
      <c r="AC538" s="165" t="s">
        <v>2669</v>
      </c>
      <c r="AD538" s="295">
        <v>44601.0</v>
      </c>
      <c r="AE538" s="160"/>
      <c r="AF538" s="288"/>
      <c r="AG538" s="160"/>
      <c r="AH538" s="288"/>
      <c r="AI538" s="288"/>
      <c r="AJ538" s="288"/>
      <c r="AK538" s="165" t="s">
        <v>1717</v>
      </c>
      <c r="AL538" s="165" t="s">
        <v>2474</v>
      </c>
      <c r="AM538" s="288"/>
      <c r="AN538" s="288"/>
      <c r="AO538" s="288"/>
      <c r="AP538" s="150" t="s">
        <v>2663</v>
      </c>
      <c r="AQ538" s="288"/>
    </row>
    <row r="539">
      <c r="A539" s="147" t="s">
        <v>3960</v>
      </c>
      <c r="B539" s="147" t="s">
        <v>3961</v>
      </c>
      <c r="C539" s="175" t="str">
        <f>VLOOKUP(A539,Import!A:C,3,false)</f>
        <v>DOĞRU</v>
      </c>
      <c r="D539" s="147" t="s">
        <v>2701</v>
      </c>
      <c r="E539" s="280">
        <f>VLOOKUP(A539,Import!A:J,5,0)</f>
        <v>511</v>
      </c>
      <c r="F539" s="280">
        <f>VLOOKUP(A539,Import!A:J,6,0)</f>
        <v>28</v>
      </c>
      <c r="G539" s="289">
        <f>VLOOKUP(A539,Import!A:J,7,0)</f>
        <v>34</v>
      </c>
      <c r="H539" s="289">
        <f>VLOOKUP(A539,Import!A:J,8,0)</f>
        <v>23</v>
      </c>
      <c r="I539" s="289">
        <f>VLOOKUP(A539,Import!A:J,9,0)</f>
        <v>57</v>
      </c>
      <c r="J539" s="282">
        <f>VLOOKUP(A539,Import!A:J,10,0)</f>
        <v>0.6</v>
      </c>
      <c r="K539" s="244" t="str">
        <f>VLOOKUP(A539,Import!A:P,11,0)</f>
        <v>Meryem Üstün Genç</v>
      </c>
      <c r="L539" s="147">
        <v>5.063144739E9</v>
      </c>
      <c r="M539" s="147" t="s">
        <v>1450</v>
      </c>
      <c r="N539" s="147" t="s">
        <v>3255</v>
      </c>
      <c r="O539" s="147" t="s">
        <v>3962</v>
      </c>
      <c r="P539" s="244" t="str">
        <f>VLOOKUP(A539,Import!A:P,16,0)</f>
        <v>Geleneksel</v>
      </c>
      <c r="Q539" s="330"/>
      <c r="R539" s="292" t="b">
        <v>1</v>
      </c>
      <c r="S539" s="292" t="b">
        <v>1</v>
      </c>
      <c r="T539" s="149" t="s">
        <v>2734</v>
      </c>
      <c r="U539" s="296"/>
      <c r="V539" s="296"/>
      <c r="X539" s="297"/>
      <c r="Y539" s="297"/>
      <c r="Z539" s="288"/>
      <c r="AA539" s="288"/>
      <c r="AB539" s="288"/>
      <c r="AC539" s="288"/>
      <c r="AD539" s="288"/>
      <c r="AE539" s="160"/>
      <c r="AF539" s="288"/>
      <c r="AG539" s="160"/>
      <c r="AH539" s="288"/>
      <c r="AI539" s="288"/>
      <c r="AJ539" s="288"/>
      <c r="AK539" s="288"/>
      <c r="AL539" s="288"/>
      <c r="AM539" s="288"/>
      <c r="AN539" s="288"/>
      <c r="AO539" s="288"/>
      <c r="AP539" s="150" t="s">
        <v>2663</v>
      </c>
      <c r="AQ539" s="288"/>
    </row>
    <row r="540">
      <c r="A540" s="150" t="s">
        <v>3963</v>
      </c>
      <c r="B540" s="150" t="s">
        <v>3964</v>
      </c>
      <c r="C540" s="175" t="str">
        <f>VLOOKUP(A540,Import!A:C,3,false)</f>
        <v>DOĞRU</v>
      </c>
      <c r="D540" s="150" t="s">
        <v>2664</v>
      </c>
      <c r="E540" s="280">
        <f>VLOOKUP(A540,Import!A:J,5,0)</f>
        <v>11</v>
      </c>
      <c r="F540" s="280" t="str">
        <f>VLOOKUP(A540,Import!A:J,6,0)</f>
        <v/>
      </c>
      <c r="G540" s="289">
        <f>VLOOKUP(A540,Import!A:J,7,0)</f>
        <v>0</v>
      </c>
      <c r="H540" s="289">
        <f>VLOOKUP(A540,Import!A:J,8,0)</f>
        <v>15</v>
      </c>
      <c r="I540" s="289">
        <f>VLOOKUP(A540,Import!A:J,9,0)</f>
        <v>15</v>
      </c>
      <c r="J540" s="282">
        <f>VLOOKUP(A540,Import!A:J,10,0)</f>
        <v>0</v>
      </c>
      <c r="K540" s="290" t="s">
        <v>3237</v>
      </c>
      <c r="L540" s="150">
        <v>5.36676439E9</v>
      </c>
      <c r="M540" s="150" t="s">
        <v>2666</v>
      </c>
      <c r="N540" s="150" t="s">
        <v>2879</v>
      </c>
      <c r="O540" s="150" t="s">
        <v>3238</v>
      </c>
      <c r="P540" s="244" t="str">
        <f>VLOOKUP(A540,Import!A:P,16,0)</f>
        <v>Geleneksel</v>
      </c>
      <c r="Q540" s="291"/>
      <c r="R540" s="292" t="b">
        <v>0</v>
      </c>
      <c r="S540" s="293" t="b">
        <v>0</v>
      </c>
      <c r="T540" s="149"/>
      <c r="U540" s="296"/>
      <c r="V540" s="296"/>
      <c r="W540" s="149"/>
      <c r="X540" s="297"/>
      <c r="Y540" s="297"/>
      <c r="Z540" s="288"/>
      <c r="AA540" s="165"/>
      <c r="AB540" s="295"/>
      <c r="AC540" s="288"/>
      <c r="AD540" s="288"/>
      <c r="AE540" s="160"/>
      <c r="AF540" s="288"/>
      <c r="AG540" s="160"/>
      <c r="AH540" s="288"/>
      <c r="AI540" s="288"/>
      <c r="AJ540" s="288"/>
      <c r="AK540" s="165"/>
      <c r="AL540" s="288"/>
      <c r="AM540" s="288"/>
      <c r="AN540" s="288"/>
      <c r="AO540" s="165"/>
      <c r="AP540" s="150"/>
      <c r="AQ540" s="165"/>
    </row>
    <row r="541">
      <c r="A541" s="150" t="s">
        <v>2613</v>
      </c>
      <c r="B541" s="150" t="s">
        <v>2614</v>
      </c>
      <c r="C541" s="175" t="str">
        <f>VLOOKUP(A541,Import!A:C,3,false)</f>
        <v>DOĞRU</v>
      </c>
      <c r="D541" s="150" t="s">
        <v>2701</v>
      </c>
      <c r="E541" s="280">
        <f>VLOOKUP(A541,Import!A:J,5,0)</f>
        <v>368</v>
      </c>
      <c r="F541" s="280">
        <f>VLOOKUP(A541,Import!A:J,6,0)</f>
        <v>136</v>
      </c>
      <c r="G541" s="289">
        <f>VLOOKUP(A541,Import!A:J,7,0)</f>
        <v>1</v>
      </c>
      <c r="H541" s="289">
        <f>VLOOKUP(A541,Import!A:J,8,0)</f>
        <v>7</v>
      </c>
      <c r="I541" s="289">
        <f>VLOOKUP(A541,Import!A:J,9,0)</f>
        <v>8</v>
      </c>
      <c r="J541" s="282">
        <f>VLOOKUP(A541,Import!A:J,10,0)</f>
        <v>0.13</v>
      </c>
      <c r="K541" s="290" t="s">
        <v>3965</v>
      </c>
      <c r="L541" s="150">
        <v>5.364576969E9</v>
      </c>
      <c r="M541" s="150" t="s">
        <v>2666</v>
      </c>
      <c r="N541" s="150" t="s">
        <v>2809</v>
      </c>
      <c r="O541" s="150" t="s">
        <v>2616</v>
      </c>
      <c r="P541" s="244" t="str">
        <f>VLOOKUP(A541,Import!A:P,16,0)</f>
        <v>Geleneksel</v>
      </c>
      <c r="Q541" s="291"/>
      <c r="R541" s="292" t="b">
        <v>1</v>
      </c>
      <c r="S541" s="293" t="b">
        <v>0</v>
      </c>
      <c r="T541" s="149" t="s">
        <v>2661</v>
      </c>
      <c r="U541" s="149" t="s">
        <v>943</v>
      </c>
      <c r="V541" s="149" t="s">
        <v>1609</v>
      </c>
      <c r="W541" s="149"/>
      <c r="X541" s="294">
        <v>44649.0</v>
      </c>
      <c r="Y541" s="294">
        <v>44657.0</v>
      </c>
      <c r="Z541" s="288"/>
      <c r="AA541" s="165" t="s">
        <v>2669</v>
      </c>
      <c r="AB541" s="295">
        <v>44649.0</v>
      </c>
      <c r="AC541" s="288"/>
      <c r="AD541" s="288"/>
      <c r="AE541" s="160"/>
      <c r="AF541" s="288"/>
      <c r="AG541" s="160"/>
      <c r="AH541" s="288"/>
      <c r="AI541" s="288"/>
      <c r="AJ541" s="288"/>
      <c r="AK541" s="165" t="s">
        <v>943</v>
      </c>
      <c r="AL541" s="288"/>
      <c r="AM541" s="288"/>
      <c r="AN541" s="288"/>
      <c r="AO541" s="165"/>
      <c r="AP541" s="150"/>
      <c r="AQ541" s="165"/>
    </row>
    <row r="542">
      <c r="A542" s="150" t="s">
        <v>3966</v>
      </c>
      <c r="B542" s="150" t="s">
        <v>3967</v>
      </c>
      <c r="C542" s="175" t="str">
        <f>VLOOKUP(A542,Import!A:C,3,false)</f>
        <v>DOĞRU</v>
      </c>
      <c r="D542" s="150" t="s">
        <v>2664</v>
      </c>
      <c r="E542" s="280">
        <f>VLOOKUP(A542,Import!A:J,5,0)</f>
        <v>1089</v>
      </c>
      <c r="F542" s="280">
        <f>VLOOKUP(A542,Import!A:J,6,0)</f>
        <v>51</v>
      </c>
      <c r="G542" s="289">
        <f>VLOOKUP(A542,Import!A:J,7,0)</f>
        <v>0</v>
      </c>
      <c r="H542" s="289">
        <f>VLOOKUP(A542,Import!A:J,8,0)</f>
        <v>10</v>
      </c>
      <c r="I542" s="289">
        <f>VLOOKUP(A542,Import!A:J,9,0)</f>
        <v>10</v>
      </c>
      <c r="J542" s="282">
        <f>VLOOKUP(A542,Import!A:J,10,0)</f>
        <v>0</v>
      </c>
      <c r="K542" s="244" t="str">
        <f>VLOOKUP(A542,Import!A:P,11,0)</f>
        <v>İpek Çubuk</v>
      </c>
      <c r="L542" s="150">
        <v>5.545965628E9</v>
      </c>
      <c r="M542" s="150" t="s">
        <v>2666</v>
      </c>
      <c r="N542" s="150" t="s">
        <v>2682</v>
      </c>
      <c r="O542" s="150" t="s">
        <v>3280</v>
      </c>
      <c r="P542" s="244" t="str">
        <f>VLOOKUP(A542,Import!A:P,16,0)</f>
        <v>Geleneksel</v>
      </c>
      <c r="Q542" s="291"/>
      <c r="R542" s="292" t="b">
        <v>1</v>
      </c>
      <c r="S542" s="292" t="b">
        <v>1</v>
      </c>
      <c r="T542" s="149"/>
      <c r="U542" s="296"/>
      <c r="V542" s="296"/>
      <c r="W542" s="149" t="s">
        <v>3161</v>
      </c>
      <c r="X542" s="297"/>
      <c r="Y542" s="297"/>
      <c r="Z542" s="288"/>
      <c r="AA542" s="165" t="s">
        <v>2669</v>
      </c>
      <c r="AB542" s="295">
        <v>44489.0</v>
      </c>
      <c r="AC542" s="288"/>
      <c r="AD542" s="288"/>
      <c r="AE542" s="160"/>
      <c r="AF542" s="288"/>
      <c r="AG542" s="160"/>
      <c r="AH542" s="288"/>
      <c r="AI542" s="288"/>
      <c r="AJ542" s="288"/>
      <c r="AK542" s="165" t="s">
        <v>1717</v>
      </c>
      <c r="AL542" s="288"/>
      <c r="AM542" s="288"/>
      <c r="AN542" s="288"/>
      <c r="AO542" s="288"/>
      <c r="AP542" s="150" t="s">
        <v>2663</v>
      </c>
      <c r="AQ542" s="288"/>
    </row>
    <row r="543">
      <c r="A543" s="150" t="s">
        <v>2038</v>
      </c>
      <c r="B543" s="150" t="s">
        <v>2039</v>
      </c>
      <c r="C543" s="175" t="str">
        <f>VLOOKUP(A543,Import!A:C,3,false)</f>
        <v>DOĞRU</v>
      </c>
      <c r="D543" s="150" t="s">
        <v>2763</v>
      </c>
      <c r="E543" s="280">
        <f>VLOOKUP(A543,Import!A:J,5,0)</f>
        <v>814</v>
      </c>
      <c r="F543" s="280" t="str">
        <f>VLOOKUP(A543,Import!A:J,6,0)</f>
        <v/>
      </c>
      <c r="G543" s="289">
        <f>VLOOKUP(A543,Import!A:J,7,0)</f>
        <v>0</v>
      </c>
      <c r="H543" s="289">
        <f>VLOOKUP(A543,Import!A:J,8,0)</f>
        <v>21</v>
      </c>
      <c r="I543" s="289">
        <f>VLOOKUP(A543,Import!A:J,9,0)</f>
        <v>21</v>
      </c>
      <c r="J543" s="282">
        <f>VLOOKUP(A543,Import!A:J,10,0)</f>
        <v>0</v>
      </c>
      <c r="K543" s="244" t="str">
        <f>VLOOKUP(A543,Import!A:P,11,0)</f>
        <v>SERDAR AYDEMİR</v>
      </c>
      <c r="L543" s="150">
        <v>5.456858527E9</v>
      </c>
      <c r="M543" s="150" t="s">
        <v>2666</v>
      </c>
      <c r="N543" s="150" t="s">
        <v>3846</v>
      </c>
      <c r="O543" s="150" t="s">
        <v>2042</v>
      </c>
      <c r="P543" s="244" t="str">
        <f>VLOOKUP(A543,Import!A:P,16,0)</f>
        <v>Geleneksel</v>
      </c>
      <c r="Q543" s="291"/>
      <c r="R543" s="292" t="b">
        <v>1</v>
      </c>
      <c r="S543" s="292" t="b">
        <v>1</v>
      </c>
      <c r="T543" s="149" t="s">
        <v>2668</v>
      </c>
      <c r="U543" s="149" t="s">
        <v>1715</v>
      </c>
      <c r="V543" s="296"/>
      <c r="W543" s="149" t="s">
        <v>3161</v>
      </c>
      <c r="X543" s="294">
        <v>44522.0</v>
      </c>
      <c r="Y543" s="294">
        <v>44524.0</v>
      </c>
      <c r="Z543" s="288"/>
      <c r="AA543" s="165" t="s">
        <v>2669</v>
      </c>
      <c r="AB543" s="295">
        <v>44522.0</v>
      </c>
      <c r="AC543" s="288"/>
      <c r="AD543" s="288"/>
      <c r="AE543" s="160"/>
      <c r="AF543" s="288"/>
      <c r="AG543" s="160"/>
      <c r="AH543" s="288"/>
      <c r="AI543" s="288"/>
      <c r="AJ543" s="288"/>
      <c r="AK543" s="165" t="s">
        <v>1715</v>
      </c>
      <c r="AL543" s="288"/>
      <c r="AM543" s="288"/>
      <c r="AN543" s="288"/>
      <c r="AO543" s="288"/>
      <c r="AP543" s="150" t="s">
        <v>2663</v>
      </c>
      <c r="AQ543" s="288"/>
    </row>
    <row r="544">
      <c r="A544" s="150" t="s">
        <v>1031</v>
      </c>
      <c r="B544" s="150" t="s">
        <v>1032</v>
      </c>
      <c r="C544" s="175" t="str">
        <f>VLOOKUP(A544,Import!A:C,3,false)</f>
        <v>DOĞRU</v>
      </c>
      <c r="D544" s="150" t="s">
        <v>2706</v>
      </c>
      <c r="E544" s="280">
        <f>VLOOKUP(A544,Import!A:J,5,0)</f>
        <v>3430</v>
      </c>
      <c r="F544" s="280">
        <f>VLOOKUP(A544,Import!A:J,6,0)</f>
        <v>6</v>
      </c>
      <c r="G544" s="289">
        <f>VLOOKUP(A544,Import!A:J,7,0)</f>
        <v>0</v>
      </c>
      <c r="H544" s="289">
        <f>VLOOKUP(A544,Import!A:J,8,0)</f>
        <v>267</v>
      </c>
      <c r="I544" s="289">
        <f>VLOOKUP(A544,Import!A:J,9,0)</f>
        <v>267</v>
      </c>
      <c r="J544" s="282">
        <f>VLOOKUP(A544,Import!A:J,10,0)</f>
        <v>0</v>
      </c>
      <c r="K544" s="244" t="str">
        <f>VLOOKUP(A544,Import!A:P,11,0)</f>
        <v>Fatih Çolak</v>
      </c>
      <c r="L544" s="150">
        <v>5.522610026E9</v>
      </c>
      <c r="M544" s="150" t="s">
        <v>2666</v>
      </c>
      <c r="N544" s="150" t="s">
        <v>2667</v>
      </c>
      <c r="O544" s="150" t="s">
        <v>3968</v>
      </c>
      <c r="P544" s="244" t="str">
        <f>VLOOKUP(A544,Import!A:P,16,0)</f>
        <v>Geleneksel</v>
      </c>
      <c r="Q544" s="291" t="s">
        <v>2713</v>
      </c>
      <c r="R544" s="292" t="b">
        <v>1</v>
      </c>
      <c r="S544" s="292" t="b">
        <v>1</v>
      </c>
      <c r="T544" s="296"/>
      <c r="U544" s="149" t="s">
        <v>943</v>
      </c>
      <c r="V544" s="149" t="s">
        <v>46</v>
      </c>
      <c r="W544" s="149" t="s">
        <v>3969</v>
      </c>
      <c r="X544" s="294">
        <v>44260.0</v>
      </c>
      <c r="Y544" s="294">
        <v>44265.0</v>
      </c>
      <c r="Z544" s="288"/>
      <c r="AA544" s="165" t="s">
        <v>2772</v>
      </c>
      <c r="AB544" s="295">
        <v>44517.0</v>
      </c>
      <c r="AC544" s="165" t="s">
        <v>2669</v>
      </c>
      <c r="AD544" s="295">
        <v>44529.0</v>
      </c>
      <c r="AE544" s="160"/>
      <c r="AF544" s="288"/>
      <c r="AG544" s="160"/>
      <c r="AH544" s="288"/>
      <c r="AI544" s="288"/>
      <c r="AJ544" s="288"/>
      <c r="AK544" s="165" t="s">
        <v>1971</v>
      </c>
      <c r="AL544" s="165" t="s">
        <v>1715</v>
      </c>
      <c r="AM544" s="288"/>
      <c r="AN544" s="288"/>
      <c r="AO544" s="288"/>
      <c r="AP544" s="150" t="s">
        <v>2663</v>
      </c>
      <c r="AQ544" s="288"/>
    </row>
    <row r="545">
      <c r="A545" s="150" t="s">
        <v>1729</v>
      </c>
      <c r="B545" s="150" t="s">
        <v>1730</v>
      </c>
      <c r="C545" s="175" t="str">
        <f>VLOOKUP(A545,Import!A:C,3,false)</f>
        <v>DOĞRU</v>
      </c>
      <c r="D545" s="150" t="s">
        <v>2706</v>
      </c>
      <c r="E545" s="280">
        <f>VLOOKUP(A545,Import!A:J,5,0)</f>
        <v>6261</v>
      </c>
      <c r="F545" s="280">
        <f>VLOOKUP(A545,Import!A:J,6,0)</f>
        <v>340</v>
      </c>
      <c r="G545" s="289">
        <f>VLOOKUP(A545,Import!A:J,7,0)</f>
        <v>20</v>
      </c>
      <c r="H545" s="289">
        <f>VLOOKUP(A545,Import!A:J,8,0)</f>
        <v>15</v>
      </c>
      <c r="I545" s="289">
        <f>VLOOKUP(A545,Import!A:J,9,0)</f>
        <v>35</v>
      </c>
      <c r="J545" s="282">
        <f>VLOOKUP(A545,Import!A:J,10,0)</f>
        <v>0.57</v>
      </c>
      <c r="K545" s="244" t="str">
        <f>VLOOKUP(A545,Import!A:P,11,0)</f>
        <v>Soner AKAGÜNDÜZ</v>
      </c>
      <c r="L545" s="150">
        <v>2.222398483E9</v>
      </c>
      <c r="M545" s="150" t="s">
        <v>1450</v>
      </c>
      <c r="N545" s="150" t="s">
        <v>2732</v>
      </c>
      <c r="O545" s="150" t="s">
        <v>734</v>
      </c>
      <c r="P545" s="244" t="str">
        <f>VLOOKUP(A545,Import!A:P,16,0)</f>
        <v>Geleneksel</v>
      </c>
      <c r="Q545" s="315" t="s">
        <v>2713</v>
      </c>
      <c r="R545" s="292" t="b">
        <v>1</v>
      </c>
      <c r="S545" s="293" t="b">
        <v>0</v>
      </c>
      <c r="T545" s="296"/>
      <c r="U545" s="296"/>
      <c r="V545" s="296"/>
      <c r="W545" s="149" t="s">
        <v>3970</v>
      </c>
      <c r="X545" s="297"/>
      <c r="Y545" s="297"/>
      <c r="Z545" s="288"/>
      <c r="AA545" s="165" t="s">
        <v>2772</v>
      </c>
      <c r="AB545" s="295">
        <v>44488.0</v>
      </c>
      <c r="AC545" s="165" t="s">
        <v>2669</v>
      </c>
      <c r="AD545" s="295">
        <v>44539.0</v>
      </c>
      <c r="AE545" s="160"/>
      <c r="AF545" s="288"/>
      <c r="AG545" s="160"/>
      <c r="AH545" s="288"/>
      <c r="AI545" s="288"/>
      <c r="AJ545" s="288"/>
      <c r="AK545" s="165" t="s">
        <v>1717</v>
      </c>
      <c r="AL545" s="165" t="s">
        <v>1911</v>
      </c>
      <c r="AM545" s="288"/>
      <c r="AN545" s="288"/>
      <c r="AO545" s="288"/>
      <c r="AP545" s="150" t="s">
        <v>2663</v>
      </c>
      <c r="AQ545" s="288"/>
    </row>
    <row r="546">
      <c r="A546" s="244" t="s">
        <v>3971</v>
      </c>
      <c r="B546" s="244" t="s">
        <v>3972</v>
      </c>
      <c r="C546" s="175" t="str">
        <f>VLOOKUP(A546,Import!A:C,3,false)</f>
        <v>DOĞRU</v>
      </c>
      <c r="D546" s="244" t="s">
        <v>2672</v>
      </c>
      <c r="E546" s="280">
        <f>VLOOKUP(A546,Import!A:J,5,0)</f>
        <v>623</v>
      </c>
      <c r="F546" s="280">
        <f>VLOOKUP(A546,Import!A:J,6,0)</f>
        <v>3</v>
      </c>
      <c r="G546" s="289">
        <f>VLOOKUP(A546,Import!A:J,7,0)</f>
        <v>0</v>
      </c>
      <c r="H546" s="289">
        <f>VLOOKUP(A546,Import!A:J,8,0)</f>
        <v>9</v>
      </c>
      <c r="I546" s="289">
        <f>VLOOKUP(A546,Import!A:J,9,0)</f>
        <v>9</v>
      </c>
      <c r="J546" s="282">
        <f>VLOOKUP(A546,Import!A:J,10,0)</f>
        <v>0</v>
      </c>
      <c r="K546" s="244" t="str">
        <f>VLOOKUP(A546,Import!A:P,11,0)</f>
        <v>Özcan Peker</v>
      </c>
      <c r="L546" s="280">
        <v>2.222271646E9</v>
      </c>
      <c r="M546" s="244" t="s">
        <v>1450</v>
      </c>
      <c r="N546" s="244" t="s">
        <v>2703</v>
      </c>
      <c r="O546" s="244" t="s">
        <v>3973</v>
      </c>
      <c r="P546" s="244" t="str">
        <f>VLOOKUP(A546,Import!A:P,16,0)</f>
        <v>Geleneksel</v>
      </c>
      <c r="Q546" s="291" t="s">
        <v>2660</v>
      </c>
      <c r="R546" s="292" t="b">
        <v>1</v>
      </c>
      <c r="S546" s="293" t="b">
        <v>0</v>
      </c>
      <c r="T546" s="165" t="s">
        <v>2864</v>
      </c>
      <c r="U546" s="160"/>
      <c r="V546" s="160"/>
      <c r="W546" s="165" t="s">
        <v>3974</v>
      </c>
      <c r="X546" s="288"/>
      <c r="Y546" s="288"/>
      <c r="Z546" s="288"/>
      <c r="AA546" s="165" t="s">
        <v>2669</v>
      </c>
      <c r="AB546" s="295">
        <v>44628.0</v>
      </c>
      <c r="AC546" s="288"/>
      <c r="AD546" s="288"/>
      <c r="AE546" s="160"/>
      <c r="AF546" s="288"/>
      <c r="AG546" s="160"/>
      <c r="AH546" s="288"/>
      <c r="AI546" s="288"/>
      <c r="AJ546" s="288"/>
      <c r="AK546" s="165" t="s">
        <v>1717</v>
      </c>
      <c r="AL546" s="288"/>
      <c r="AM546" s="288"/>
      <c r="AN546" s="288"/>
      <c r="AO546" s="288"/>
      <c r="AP546" s="150" t="s">
        <v>2663</v>
      </c>
      <c r="AQ546" s="288"/>
    </row>
    <row r="547">
      <c r="A547" s="244" t="s">
        <v>3975</v>
      </c>
      <c r="B547" s="244" t="s">
        <v>3976</v>
      </c>
      <c r="C547" s="175" t="str">
        <f>VLOOKUP(A547,Import!A:C,3,false)</f>
        <v>DOĞRU</v>
      </c>
      <c r="D547" s="244" t="s">
        <v>2696</v>
      </c>
      <c r="E547" s="280">
        <f>VLOOKUP(A547,Import!A:J,5,0)</f>
        <v>4597</v>
      </c>
      <c r="F547" s="280">
        <f>VLOOKUP(A547,Import!A:J,6,0)</f>
        <v>28</v>
      </c>
      <c r="G547" s="289">
        <f>VLOOKUP(A547,Import!A:J,7,0)</f>
        <v>0</v>
      </c>
      <c r="H547" s="289">
        <f>VLOOKUP(A547,Import!A:J,8,0)</f>
        <v>21</v>
      </c>
      <c r="I547" s="289">
        <f>VLOOKUP(A547,Import!A:J,9,0)</f>
        <v>21</v>
      </c>
      <c r="J547" s="282">
        <f>VLOOKUP(A547,Import!A:J,10,0)</f>
        <v>0</v>
      </c>
      <c r="K547" s="244" t="str">
        <f>VLOOKUP(A547,Import!A:P,11,0)</f>
        <v>GÖNÜL SEZEN</v>
      </c>
      <c r="L547" s="280">
        <v>5.432602661E9</v>
      </c>
      <c r="M547" s="244" t="s">
        <v>2666</v>
      </c>
      <c r="N547" s="244" t="s">
        <v>2685</v>
      </c>
      <c r="O547" s="244" t="s">
        <v>3977</v>
      </c>
      <c r="P547" s="244" t="str">
        <f>VLOOKUP(A547,Import!A:P,16,0)</f>
        <v>Geleneksel</v>
      </c>
      <c r="Q547" s="291" t="s">
        <v>2660</v>
      </c>
      <c r="R547" s="292" t="b">
        <v>1</v>
      </c>
      <c r="S547" s="293" t="b">
        <v>0</v>
      </c>
      <c r="T547" s="165" t="s">
        <v>2714</v>
      </c>
      <c r="U547" s="160"/>
      <c r="V547" s="160"/>
      <c r="W547" s="165" t="s">
        <v>3978</v>
      </c>
      <c r="X547" s="288"/>
      <c r="Y547" s="288"/>
      <c r="Z547" s="288"/>
      <c r="AA547" s="165" t="s">
        <v>2693</v>
      </c>
      <c r="AB547" s="295">
        <v>44518.0</v>
      </c>
      <c r="AC547" s="165" t="s">
        <v>2669</v>
      </c>
      <c r="AD547" s="295">
        <v>44518.0</v>
      </c>
      <c r="AE547" s="160"/>
      <c r="AF547" s="288"/>
      <c r="AG547" s="160"/>
      <c r="AH547" s="288"/>
      <c r="AI547" s="288"/>
      <c r="AJ547" s="288"/>
      <c r="AK547" s="165" t="s">
        <v>1911</v>
      </c>
      <c r="AL547" s="165" t="s">
        <v>1911</v>
      </c>
      <c r="AM547" s="288"/>
      <c r="AN547" s="288"/>
      <c r="AO547" s="288"/>
      <c r="AP547" s="150" t="s">
        <v>2663</v>
      </c>
      <c r="AQ547" s="288"/>
    </row>
    <row r="548">
      <c r="A548" s="150" t="s">
        <v>3979</v>
      </c>
      <c r="B548" s="150" t="s">
        <v>3980</v>
      </c>
      <c r="C548" s="175" t="str">
        <f>VLOOKUP(A548,Import!A:C,3,false)</f>
        <v>DOĞRU</v>
      </c>
      <c r="D548" s="150" t="s">
        <v>2763</v>
      </c>
      <c r="E548" s="280">
        <f>VLOOKUP(A548,Import!A:J,5,0)</f>
        <v>1295</v>
      </c>
      <c r="F548" s="280">
        <f>VLOOKUP(A548,Import!A:J,6,0)</f>
        <v>1</v>
      </c>
      <c r="G548" s="289">
        <f>VLOOKUP(A548,Import!A:J,7,0)</f>
        <v>0</v>
      </c>
      <c r="H548" s="289">
        <f>VLOOKUP(A548,Import!A:J,8,0)</f>
        <v>21</v>
      </c>
      <c r="I548" s="289">
        <f>VLOOKUP(A548,Import!A:J,9,0)</f>
        <v>21</v>
      </c>
      <c r="J548" s="282">
        <f>VLOOKUP(A548,Import!A:J,10,0)</f>
        <v>0</v>
      </c>
      <c r="K548" s="244" t="str">
        <f>VLOOKUP(A548,Import!A:P,11,0)</f>
        <v>Ahmet Altıntaş</v>
      </c>
      <c r="L548" s="150">
        <v>5.452602661E9</v>
      </c>
      <c r="M548" s="150" t="s">
        <v>2666</v>
      </c>
      <c r="N548" s="150" t="s">
        <v>3000</v>
      </c>
      <c r="O548" s="150" t="s">
        <v>3981</v>
      </c>
      <c r="P548" s="244" t="str">
        <f>VLOOKUP(A548,Import!A:P,16,0)</f>
        <v>Geleneksel</v>
      </c>
      <c r="Q548" s="291"/>
      <c r="R548" s="292" t="b">
        <v>1</v>
      </c>
      <c r="S548" s="293" t="b">
        <v>0</v>
      </c>
      <c r="T548" s="149" t="s">
        <v>2714</v>
      </c>
      <c r="U548" s="296"/>
      <c r="V548" s="296"/>
      <c r="W548" s="149" t="s">
        <v>3982</v>
      </c>
      <c r="X548" s="297"/>
      <c r="Y548" s="297"/>
      <c r="Z548" s="288"/>
      <c r="AA548" s="165" t="s">
        <v>2669</v>
      </c>
      <c r="AB548" s="295">
        <v>44517.0</v>
      </c>
      <c r="AC548" s="288"/>
      <c r="AD548" s="288"/>
      <c r="AE548" s="160"/>
      <c r="AF548" s="288"/>
      <c r="AG548" s="160"/>
      <c r="AH548" s="288"/>
      <c r="AI548" s="288"/>
      <c r="AJ548" s="288"/>
      <c r="AK548" s="165" t="s">
        <v>1971</v>
      </c>
      <c r="AL548" s="288"/>
      <c r="AM548" s="288"/>
      <c r="AN548" s="288"/>
      <c r="AO548" s="288"/>
      <c r="AP548" s="150" t="s">
        <v>2663</v>
      </c>
      <c r="AQ548" s="288"/>
    </row>
    <row r="549">
      <c r="A549" s="150" t="s">
        <v>2004</v>
      </c>
      <c r="B549" s="150" t="s">
        <v>2005</v>
      </c>
      <c r="C549" s="175" t="str">
        <f>VLOOKUP(A549,Import!A:C,3,false)</f>
        <v>DOĞRU</v>
      </c>
      <c r="D549" s="150" t="s">
        <v>2763</v>
      </c>
      <c r="E549" s="280">
        <f>VLOOKUP(A549,Import!A:J,5,0)</f>
        <v>32</v>
      </c>
      <c r="F549" s="280" t="str">
        <f>VLOOKUP(A549,Import!A:J,6,0)</f>
        <v/>
      </c>
      <c r="G549" s="289">
        <f>VLOOKUP(A549,Import!A:J,7,0)</f>
        <v>0</v>
      </c>
      <c r="H549" s="289">
        <f>VLOOKUP(A549,Import!A:J,8,0)</f>
        <v>16</v>
      </c>
      <c r="I549" s="289">
        <f>VLOOKUP(A549,Import!A:J,9,0)</f>
        <v>16</v>
      </c>
      <c r="J549" s="282">
        <f>VLOOKUP(A549,Import!A:J,10,0)</f>
        <v>0</v>
      </c>
      <c r="K549" s="290" t="s">
        <v>3983</v>
      </c>
      <c r="L549" s="150">
        <v>5.433611476E9</v>
      </c>
      <c r="M549" s="150" t="s">
        <v>2666</v>
      </c>
      <c r="N549" s="150" t="s">
        <v>3984</v>
      </c>
      <c r="O549" s="150" t="s">
        <v>2008</v>
      </c>
      <c r="P549" s="244" t="str">
        <f>VLOOKUP(A549,Import!A:P,16,0)</f>
        <v>Geleneksel</v>
      </c>
      <c r="Q549" s="291"/>
      <c r="R549" s="292" t="b">
        <v>1</v>
      </c>
      <c r="S549" s="293" t="b">
        <v>0</v>
      </c>
      <c r="T549" s="149" t="s">
        <v>2714</v>
      </c>
      <c r="U549" s="149" t="s">
        <v>1715</v>
      </c>
      <c r="V549" s="312"/>
      <c r="W549" s="149" t="s">
        <v>3985</v>
      </c>
      <c r="X549" s="294">
        <v>44522.0</v>
      </c>
      <c r="Y549" s="294">
        <v>44523.0</v>
      </c>
      <c r="Z549" s="288"/>
      <c r="AA549" s="165" t="s">
        <v>2669</v>
      </c>
      <c r="AB549" s="295">
        <v>44522.0</v>
      </c>
      <c r="AC549" s="165" t="s">
        <v>2669</v>
      </c>
      <c r="AD549" s="295">
        <v>44529.0</v>
      </c>
      <c r="AE549" s="160"/>
      <c r="AF549" s="288"/>
      <c r="AG549" s="160"/>
      <c r="AH549" s="288"/>
      <c r="AI549" s="288"/>
      <c r="AJ549" s="288"/>
      <c r="AK549" s="165" t="s">
        <v>1715</v>
      </c>
      <c r="AL549" s="165" t="s">
        <v>1715</v>
      </c>
      <c r="AM549" s="288"/>
      <c r="AN549" s="288"/>
      <c r="AO549" s="288"/>
      <c r="AP549" s="150" t="s">
        <v>2663</v>
      </c>
      <c r="AQ549" s="288"/>
    </row>
    <row r="550">
      <c r="A550" s="150" t="s">
        <v>2519</v>
      </c>
      <c r="B550" s="150" t="s">
        <v>2520</v>
      </c>
      <c r="C550" s="175" t="str">
        <f>VLOOKUP(A550,Import!A:C,3,false)</f>
        <v>DOĞRU</v>
      </c>
      <c r="D550" s="150" t="s">
        <v>2664</v>
      </c>
      <c r="E550" s="280">
        <f>VLOOKUP(A550,Import!A:J,5,0)</f>
        <v>244</v>
      </c>
      <c r="F550" s="280">
        <f>VLOOKUP(A550,Import!A:J,6,0)</f>
        <v>67</v>
      </c>
      <c r="G550" s="289">
        <f>VLOOKUP(A550,Import!A:J,7,0)</f>
        <v>20</v>
      </c>
      <c r="H550" s="289">
        <f>VLOOKUP(A550,Import!A:J,8,0)</f>
        <v>17</v>
      </c>
      <c r="I550" s="289">
        <f>VLOOKUP(A550,Import!A:J,9,0)</f>
        <v>37</v>
      </c>
      <c r="J550" s="282">
        <f>VLOOKUP(A550,Import!A:J,10,0)</f>
        <v>0.54</v>
      </c>
      <c r="K550" s="290" t="s">
        <v>3986</v>
      </c>
      <c r="L550" s="150">
        <v>5.423102168E9</v>
      </c>
      <c r="M550" s="150" t="s">
        <v>1450</v>
      </c>
      <c r="N550" s="150" t="s">
        <v>2795</v>
      </c>
      <c r="O550" s="150" t="s">
        <v>2523</v>
      </c>
      <c r="P550" s="244" t="str">
        <f>VLOOKUP(A550,Import!A:P,16,0)</f>
        <v>Geleneksel</v>
      </c>
      <c r="Q550" s="291"/>
      <c r="R550" s="292" t="b">
        <v>1</v>
      </c>
      <c r="S550" s="293" t="b">
        <v>0</v>
      </c>
      <c r="T550" s="149" t="s">
        <v>2661</v>
      </c>
      <c r="U550" s="149" t="s">
        <v>1791</v>
      </c>
      <c r="V550" s="269" t="s">
        <v>1609</v>
      </c>
      <c r="W550" s="149"/>
      <c r="X550" s="294">
        <v>44621.0</v>
      </c>
      <c r="Y550" s="294">
        <v>44622.0</v>
      </c>
      <c r="Z550" s="288"/>
      <c r="AA550" s="165" t="s">
        <v>2669</v>
      </c>
      <c r="AB550" s="295">
        <v>44621.0</v>
      </c>
      <c r="AC550" s="288"/>
      <c r="AD550" s="288"/>
      <c r="AE550" s="160"/>
      <c r="AF550" s="288"/>
      <c r="AG550" s="160"/>
      <c r="AH550" s="288"/>
      <c r="AI550" s="288"/>
      <c r="AJ550" s="288"/>
      <c r="AK550" s="165" t="s">
        <v>1791</v>
      </c>
      <c r="AL550" s="288"/>
      <c r="AM550" s="288"/>
      <c r="AN550" s="288"/>
      <c r="AO550" s="165"/>
      <c r="AP550" s="150"/>
      <c r="AQ550" s="165"/>
    </row>
    <row r="551">
      <c r="A551" s="244" t="s">
        <v>3987</v>
      </c>
      <c r="B551" s="244" t="s">
        <v>3988</v>
      </c>
      <c r="C551" s="175" t="str">
        <f>VLOOKUP(A551,Import!A:C,3,false)</f>
        <v>DOĞRU</v>
      </c>
      <c r="D551" s="372" t="s">
        <v>2696</v>
      </c>
      <c r="E551" s="280">
        <f>VLOOKUP(A551,Import!A:J,5,0)</f>
        <v>3773</v>
      </c>
      <c r="F551" s="280">
        <f>VLOOKUP(A551,Import!A:J,6,0)</f>
        <v>107</v>
      </c>
      <c r="G551" s="289">
        <f>VLOOKUP(A551,Import!A:J,7,0)</f>
        <v>3</v>
      </c>
      <c r="H551" s="289">
        <f>VLOOKUP(A551,Import!A:J,8,0)</f>
        <v>37</v>
      </c>
      <c r="I551" s="289">
        <f>VLOOKUP(A551,Import!A:J,9,0)</f>
        <v>40</v>
      </c>
      <c r="J551" s="282">
        <f>VLOOKUP(A551,Import!A:J,10,0)</f>
        <v>0.08</v>
      </c>
      <c r="K551" s="244" t="str">
        <f>VLOOKUP(A551,Import!A:P,11,0)</f>
        <v>MUSTAFA ÜMİT KALELİ</v>
      </c>
      <c r="L551" s="373">
        <v>2.222308234E9</v>
      </c>
      <c r="M551" s="372" t="s">
        <v>2666</v>
      </c>
      <c r="N551" s="372" t="s">
        <v>2667</v>
      </c>
      <c r="O551" s="372" t="s">
        <v>3989</v>
      </c>
      <c r="P551" s="244" t="str">
        <f>VLOOKUP(A551,Import!A:P,16,0)</f>
        <v>Geleneksel</v>
      </c>
      <c r="Q551" s="374" t="s">
        <v>2686</v>
      </c>
      <c r="R551" s="375" t="b">
        <v>1</v>
      </c>
      <c r="S551" s="375" t="b">
        <v>1</v>
      </c>
      <c r="T551" s="376"/>
      <c r="U551" s="376"/>
      <c r="V551" s="376"/>
      <c r="W551" s="397" t="s">
        <v>3990</v>
      </c>
      <c r="X551" s="377"/>
      <c r="Y551" s="377"/>
      <c r="Z551" s="288"/>
      <c r="AA551" s="165" t="s">
        <v>2669</v>
      </c>
      <c r="AB551" s="295">
        <v>44515.0</v>
      </c>
      <c r="AC551" s="288"/>
      <c r="AD551" s="288"/>
      <c r="AE551" s="160"/>
      <c r="AF551" s="288"/>
      <c r="AG551" s="160"/>
      <c r="AH551" s="288"/>
      <c r="AI551" s="288"/>
      <c r="AJ551" s="288"/>
      <c r="AK551" s="165" t="s">
        <v>1791</v>
      </c>
      <c r="AL551" s="288"/>
      <c r="AM551" s="288"/>
      <c r="AN551" s="288"/>
      <c r="AO551" s="288"/>
      <c r="AP551" s="150" t="s">
        <v>2663</v>
      </c>
      <c r="AQ551" s="288"/>
    </row>
    <row r="552">
      <c r="A552" s="150" t="s">
        <v>457</v>
      </c>
      <c r="B552" s="150" t="s">
        <v>458</v>
      </c>
      <c r="C552" s="175" t="str">
        <f>VLOOKUP(A552,Import!A:C,3,false)</f>
        <v>DOĞRU</v>
      </c>
      <c r="D552" s="150" t="s">
        <v>2672</v>
      </c>
      <c r="E552" s="280">
        <f>VLOOKUP(A552,Import!A:J,5,0)</f>
        <v>17017</v>
      </c>
      <c r="F552" s="280">
        <f>VLOOKUP(A552,Import!A:J,6,0)</f>
        <v>294</v>
      </c>
      <c r="G552" s="289">
        <f>VLOOKUP(A552,Import!A:J,7,0)</f>
        <v>47</v>
      </c>
      <c r="H552" s="289">
        <f>VLOOKUP(A552,Import!A:J,8,0)</f>
        <v>22</v>
      </c>
      <c r="I552" s="289">
        <f>VLOOKUP(A552,Import!A:J,9,0)</f>
        <v>69</v>
      </c>
      <c r="J552" s="282">
        <f>VLOOKUP(A552,Import!A:J,10,0)</f>
        <v>0.68</v>
      </c>
      <c r="K552" s="244" t="str">
        <f>VLOOKUP(A552,Import!A:P,11,0)</f>
        <v>AHMET ÜSTÜN</v>
      </c>
      <c r="L552" s="150">
        <v>2.222390101E9</v>
      </c>
      <c r="M552" s="150" t="s">
        <v>1450</v>
      </c>
      <c r="N552" s="150" t="s">
        <v>2732</v>
      </c>
      <c r="O552" s="150" t="s">
        <v>460</v>
      </c>
      <c r="P552" s="244" t="str">
        <f>VLOOKUP(A552,Import!A:P,16,0)</f>
        <v>Geleneksel</v>
      </c>
      <c r="Q552" s="291" t="s">
        <v>2713</v>
      </c>
      <c r="R552" s="292" t="b">
        <v>1</v>
      </c>
      <c r="S552" s="293" t="b">
        <v>0</v>
      </c>
      <c r="T552" s="149" t="s">
        <v>2661</v>
      </c>
      <c r="U552" s="296"/>
      <c r="V552" s="356"/>
      <c r="W552" s="149" t="s">
        <v>3991</v>
      </c>
      <c r="X552" s="294"/>
      <c r="Y552" s="294">
        <v>44244.0</v>
      </c>
      <c r="Z552" s="288"/>
      <c r="AA552" s="165" t="s">
        <v>2669</v>
      </c>
      <c r="AB552" s="295">
        <v>44496.0</v>
      </c>
      <c r="AC552" s="288"/>
      <c r="AD552" s="288"/>
      <c r="AE552" s="160"/>
      <c r="AF552" s="288"/>
      <c r="AG552" s="160"/>
      <c r="AH552" s="288"/>
      <c r="AI552" s="288"/>
      <c r="AJ552" s="288"/>
      <c r="AK552" s="165" t="s">
        <v>819</v>
      </c>
      <c r="AL552" s="288"/>
      <c r="AM552" s="288"/>
      <c r="AN552" s="288"/>
      <c r="AO552" s="288"/>
      <c r="AP552" s="150" t="s">
        <v>2663</v>
      </c>
      <c r="AQ552" s="288"/>
    </row>
    <row r="553">
      <c r="A553" s="150" t="s">
        <v>3992</v>
      </c>
      <c r="B553" s="150" t="s">
        <v>3993</v>
      </c>
      <c r="C553" s="175" t="str">
        <f>VLOOKUP(A553,Import!A:C,3,false)</f>
        <v>DOĞRU</v>
      </c>
      <c r="D553" s="150" t="s">
        <v>2672</v>
      </c>
      <c r="E553" s="280">
        <f>VLOOKUP(A553,Import!A:J,5,0)</f>
        <v>1</v>
      </c>
      <c r="F553" s="280">
        <f>VLOOKUP(A553,Import!A:J,6,0)</f>
        <v>1</v>
      </c>
      <c r="G553" s="289">
        <f>VLOOKUP(A553,Import!A:J,7,0)</f>
        <v>0</v>
      </c>
      <c r="H553" s="289">
        <f>VLOOKUP(A553,Import!A:J,8,0)</f>
        <v>70</v>
      </c>
      <c r="I553" s="289">
        <f>VLOOKUP(A553,Import!A:J,9,0)</f>
        <v>70</v>
      </c>
      <c r="J553" s="282">
        <f>VLOOKUP(A553,Import!A:J,10,0)</f>
        <v>0</v>
      </c>
      <c r="K553" s="150" t="s">
        <v>3994</v>
      </c>
      <c r="L553" s="150">
        <v>2.222308234E9</v>
      </c>
      <c r="M553" s="150" t="s">
        <v>2666</v>
      </c>
      <c r="N553" s="150" t="s">
        <v>2667</v>
      </c>
      <c r="O553" s="150" t="s">
        <v>3989</v>
      </c>
      <c r="P553" s="244" t="str">
        <f>VLOOKUP(A553,Import!A:P,16,0)</f>
        <v>Geleneksel</v>
      </c>
      <c r="Q553" s="291"/>
      <c r="R553" s="292" t="b">
        <v>0</v>
      </c>
      <c r="S553" s="293" t="b">
        <v>0</v>
      </c>
      <c r="T553" s="149"/>
      <c r="U553" s="296"/>
      <c r="V553" s="296"/>
      <c r="W553" s="149"/>
      <c r="X553" s="297"/>
      <c r="Y553" s="297"/>
      <c r="Z553" s="288"/>
      <c r="AA553" s="165"/>
      <c r="AB553" s="295"/>
      <c r="AC553" s="288"/>
      <c r="AD553" s="288"/>
      <c r="AE553" s="160"/>
      <c r="AF553" s="288"/>
      <c r="AG553" s="160"/>
      <c r="AH553" s="288"/>
      <c r="AI553" s="288"/>
      <c r="AJ553" s="288"/>
      <c r="AK553" s="165"/>
      <c r="AL553" s="288"/>
      <c r="AM553" s="288"/>
      <c r="AN553" s="288"/>
      <c r="AO553" s="165"/>
      <c r="AP553" s="150"/>
      <c r="AQ553" s="165"/>
    </row>
    <row r="554">
      <c r="A554" s="150" t="s">
        <v>2577</v>
      </c>
      <c r="B554" s="150" t="s">
        <v>2091</v>
      </c>
      <c r="C554" s="175" t="str">
        <f>VLOOKUP(A554,Import!A:C,3,false)</f>
        <v>DOĞRU</v>
      </c>
      <c r="D554" s="150" t="s">
        <v>2763</v>
      </c>
      <c r="E554" s="280">
        <f>VLOOKUP(A554,Import!A:J,5,0)</f>
        <v>1605</v>
      </c>
      <c r="F554" s="280">
        <f>VLOOKUP(A554,Import!A:J,6,0)</f>
        <v>635</v>
      </c>
      <c r="G554" s="289">
        <f>VLOOKUP(A554,Import!A:J,7,0)</f>
        <v>0</v>
      </c>
      <c r="H554" s="289">
        <f>VLOOKUP(A554,Import!A:J,8,0)</f>
        <v>83</v>
      </c>
      <c r="I554" s="289">
        <f>VLOOKUP(A554,Import!A:J,9,0)</f>
        <v>83</v>
      </c>
      <c r="J554" s="282">
        <f>VLOOKUP(A554,Import!A:J,10,0)</f>
        <v>0</v>
      </c>
      <c r="K554" s="290" t="s">
        <v>3433</v>
      </c>
      <c r="L554" s="150">
        <v>5.327266945E9</v>
      </c>
      <c r="M554" s="150" t="s">
        <v>1450</v>
      </c>
      <c r="N554" s="150" t="s">
        <v>2732</v>
      </c>
      <c r="O554" s="150" t="s">
        <v>2579</v>
      </c>
      <c r="P554" s="244" t="str">
        <f>VLOOKUP(A554,Import!A:P,16,0)</f>
        <v>Geleneksel</v>
      </c>
      <c r="Q554" s="291"/>
      <c r="R554" s="292" t="b">
        <v>1</v>
      </c>
      <c r="S554" s="293" t="b">
        <v>0</v>
      </c>
      <c r="T554" s="149" t="s">
        <v>2661</v>
      </c>
      <c r="U554" s="149" t="s">
        <v>1791</v>
      </c>
      <c r="V554" s="269" t="s">
        <v>1609</v>
      </c>
      <c r="W554" s="149"/>
      <c r="X554" s="294">
        <v>44641.0</v>
      </c>
      <c r="Y554" s="294">
        <v>44642.0</v>
      </c>
      <c r="Z554" s="288"/>
      <c r="AA554" s="165" t="s">
        <v>2669</v>
      </c>
      <c r="AB554" s="295">
        <v>44641.0</v>
      </c>
      <c r="AC554" s="288"/>
      <c r="AD554" s="288"/>
      <c r="AE554" s="160"/>
      <c r="AF554" s="288"/>
      <c r="AG554" s="160"/>
      <c r="AH554" s="288"/>
      <c r="AI554" s="288"/>
      <c r="AJ554" s="288"/>
      <c r="AK554" s="165" t="s">
        <v>1791</v>
      </c>
      <c r="AL554" s="288"/>
      <c r="AM554" s="288"/>
      <c r="AN554" s="288"/>
      <c r="AO554" s="165"/>
      <c r="AP554" s="150"/>
      <c r="AQ554" s="165"/>
    </row>
    <row r="555">
      <c r="A555" s="244" t="s">
        <v>3995</v>
      </c>
      <c r="B555" s="244" t="s">
        <v>3996</v>
      </c>
      <c r="C555" s="175" t="str">
        <f>VLOOKUP(A555,Import!A:C,3,false)</f>
        <v>DOĞRU</v>
      </c>
      <c r="D555" s="320" t="s">
        <v>2664</v>
      </c>
      <c r="E555" s="280">
        <f>VLOOKUP(A555,Import!A:J,5,0)</f>
        <v>304</v>
      </c>
      <c r="F555" s="280" t="str">
        <f>VLOOKUP(A555,Import!A:J,6,0)</f>
        <v/>
      </c>
      <c r="G555" s="289">
        <f>VLOOKUP(A555,Import!A:J,7,0)</f>
        <v>0</v>
      </c>
      <c r="H555" s="289">
        <f>VLOOKUP(A555,Import!A:J,8,0)</f>
        <v>26</v>
      </c>
      <c r="I555" s="289">
        <f>VLOOKUP(A555,Import!A:J,9,0)</f>
        <v>26</v>
      </c>
      <c r="J555" s="282">
        <f>VLOOKUP(A555,Import!A:J,10,0)</f>
        <v>0</v>
      </c>
      <c r="K555" s="244" t="str">
        <f>VLOOKUP(A555,Import!A:P,11,0)</f>
        <v>Sinan Kıraç</v>
      </c>
      <c r="L555" s="321">
        <v>2.222342565E9</v>
      </c>
      <c r="M555" s="320" t="s">
        <v>2666</v>
      </c>
      <c r="N555" s="320" t="s">
        <v>3084</v>
      </c>
      <c r="O555" s="320" t="s">
        <v>3997</v>
      </c>
      <c r="P555" s="244" t="str">
        <f>VLOOKUP(A555,Import!A:P,16,0)</f>
        <v>Geleneksel</v>
      </c>
      <c r="Q555" s="322" t="s">
        <v>2686</v>
      </c>
      <c r="R555" s="323" t="b">
        <v>1</v>
      </c>
      <c r="S555" s="324" t="b">
        <v>0</v>
      </c>
      <c r="T555" s="325" t="s">
        <v>2714</v>
      </c>
      <c r="U555" s="333"/>
      <c r="V555" s="333"/>
      <c r="W555" s="325" t="s">
        <v>3998</v>
      </c>
      <c r="X555" s="345"/>
      <c r="Y555" s="345"/>
      <c r="Z555" s="288"/>
      <c r="AA555" s="288"/>
      <c r="AB555" s="288"/>
      <c r="AC555" s="288"/>
      <c r="AD555" s="288"/>
      <c r="AE555" s="160"/>
      <c r="AF555" s="288"/>
      <c r="AG555" s="160"/>
      <c r="AH555" s="288"/>
      <c r="AI555" s="288"/>
      <c r="AJ555" s="288"/>
      <c r="AK555" s="288"/>
      <c r="AL555" s="288"/>
      <c r="AM555" s="288"/>
      <c r="AN555" s="288"/>
      <c r="AO555" s="288"/>
      <c r="AP555" s="150" t="s">
        <v>2663</v>
      </c>
      <c r="AQ555" s="288"/>
    </row>
    <row r="556">
      <c r="A556" s="150" t="s">
        <v>3999</v>
      </c>
      <c r="B556" s="150" t="s">
        <v>4000</v>
      </c>
      <c r="C556" s="175" t="str">
        <f>VLOOKUP(A556,Import!A:C,3,false)</f>
        <v>DOĞRU</v>
      </c>
      <c r="D556" s="150" t="s">
        <v>2664</v>
      </c>
      <c r="E556" s="280">
        <f>VLOOKUP(A556,Import!A:J,5,0)</f>
        <v>318</v>
      </c>
      <c r="F556" s="280">
        <f>VLOOKUP(A556,Import!A:J,6,0)</f>
        <v>32</v>
      </c>
      <c r="G556" s="289">
        <f>VLOOKUP(A556,Import!A:J,7,0)</f>
        <v>3</v>
      </c>
      <c r="H556" s="289">
        <f>VLOOKUP(A556,Import!A:J,8,0)</f>
        <v>5</v>
      </c>
      <c r="I556" s="289">
        <f>VLOOKUP(A556,Import!A:J,9,0)</f>
        <v>8</v>
      </c>
      <c r="J556" s="282">
        <f>VLOOKUP(A556,Import!A:J,10,0)</f>
        <v>0.38</v>
      </c>
      <c r="K556" s="290" t="s">
        <v>4001</v>
      </c>
      <c r="L556" s="150">
        <v>5.068879452E9</v>
      </c>
      <c r="M556" s="150" t="s">
        <v>2666</v>
      </c>
      <c r="N556" s="150" t="s">
        <v>2667</v>
      </c>
      <c r="O556" s="150" t="s">
        <v>4002</v>
      </c>
      <c r="P556" s="244" t="str">
        <f>VLOOKUP(A556,Import!A:P,16,0)</f>
        <v>Geleneksel</v>
      </c>
      <c r="Q556" s="291"/>
      <c r="R556" s="292" t="b">
        <v>0</v>
      </c>
      <c r="S556" s="293" t="b">
        <v>0</v>
      </c>
      <c r="T556" s="149"/>
      <c r="U556" s="296"/>
      <c r="V556" s="296"/>
      <c r="W556" s="149"/>
      <c r="X556" s="297"/>
      <c r="Y556" s="297"/>
      <c r="Z556" s="288"/>
      <c r="AA556" s="165"/>
      <c r="AB556" s="295"/>
      <c r="AC556" s="288"/>
      <c r="AD556" s="288"/>
      <c r="AE556" s="160"/>
      <c r="AF556" s="288"/>
      <c r="AG556" s="160"/>
      <c r="AH556" s="288"/>
      <c r="AI556" s="288"/>
      <c r="AJ556" s="288"/>
      <c r="AK556" s="165"/>
      <c r="AL556" s="288"/>
      <c r="AM556" s="288"/>
      <c r="AN556" s="288"/>
      <c r="AO556" s="165"/>
      <c r="AP556" s="150"/>
      <c r="AQ556" s="165"/>
    </row>
    <row r="557">
      <c r="A557" s="150" t="s">
        <v>4003</v>
      </c>
      <c r="B557" s="150" t="s">
        <v>4004</v>
      </c>
      <c r="C557" s="175" t="str">
        <f>VLOOKUP(A557,Import!A:C,3,false)</f>
        <v>DOĞRU</v>
      </c>
      <c r="D557" s="150" t="s">
        <v>2867</v>
      </c>
      <c r="E557" s="280">
        <f>VLOOKUP(A557,Import!A:J,5,0)</f>
        <v>972</v>
      </c>
      <c r="F557" s="280">
        <f>VLOOKUP(A557,Import!A:J,6,0)</f>
        <v>164</v>
      </c>
      <c r="G557" s="289">
        <f>VLOOKUP(A557,Import!A:J,7,0)</f>
        <v>19</v>
      </c>
      <c r="H557" s="289">
        <f>VLOOKUP(A557,Import!A:J,8,0)</f>
        <v>88</v>
      </c>
      <c r="I557" s="289">
        <f>VLOOKUP(A557,Import!A:J,9,0)</f>
        <v>107</v>
      </c>
      <c r="J557" s="282">
        <f>VLOOKUP(A557,Import!A:J,10,0)</f>
        <v>0.18</v>
      </c>
      <c r="K557" s="290" t="s">
        <v>3032</v>
      </c>
      <c r="L557" s="150">
        <v>5.461032626E9</v>
      </c>
      <c r="M557" s="150" t="s">
        <v>2666</v>
      </c>
      <c r="N557" s="150" t="s">
        <v>2801</v>
      </c>
      <c r="O557" s="150" t="s">
        <v>3033</v>
      </c>
      <c r="P557" s="244" t="str">
        <f>VLOOKUP(A557,Import!A:P,16,0)</f>
        <v>Geleneksel</v>
      </c>
      <c r="Q557" s="291"/>
      <c r="R557" s="292" t="b">
        <v>1</v>
      </c>
      <c r="S557" s="292" t="b">
        <v>1</v>
      </c>
      <c r="T557" s="149"/>
      <c r="U557" s="296"/>
      <c r="V557" s="296"/>
      <c r="W557" s="149" t="s">
        <v>3161</v>
      </c>
      <c r="X557" s="297"/>
      <c r="Y557" s="297"/>
      <c r="Z557" s="288"/>
      <c r="AA557" s="165" t="s">
        <v>2669</v>
      </c>
      <c r="AB557" s="295">
        <v>44564.0</v>
      </c>
      <c r="AC557" s="288"/>
      <c r="AD557" s="288"/>
      <c r="AE557" s="160"/>
      <c r="AF557" s="288"/>
      <c r="AG557" s="160"/>
      <c r="AH557" s="288"/>
      <c r="AI557" s="288"/>
      <c r="AJ557" s="288"/>
      <c r="AK557" s="165" t="s">
        <v>819</v>
      </c>
      <c r="AL557" s="288"/>
      <c r="AM557" s="288"/>
      <c r="AN557" s="288"/>
      <c r="AO557" s="165"/>
      <c r="AP557" s="150"/>
      <c r="AQ557" s="165"/>
    </row>
    <row r="558">
      <c r="A558" s="150" t="s">
        <v>4005</v>
      </c>
      <c r="B558" s="150" t="s">
        <v>4006</v>
      </c>
      <c r="C558" s="175" t="str">
        <f>VLOOKUP(A558,Import!A:C,3,false)</f>
        <v>DOĞRU</v>
      </c>
      <c r="D558" s="150" t="s">
        <v>2696</v>
      </c>
      <c r="E558" s="280">
        <f>VLOOKUP(A558,Import!A:J,5,0)</f>
        <v>4825</v>
      </c>
      <c r="F558" s="280">
        <f>VLOOKUP(A558,Import!A:J,6,0)</f>
        <v>191</v>
      </c>
      <c r="G558" s="289">
        <f>VLOOKUP(A558,Import!A:J,7,0)</f>
        <v>0</v>
      </c>
      <c r="H558" s="289">
        <f>VLOOKUP(A558,Import!A:J,8,0)</f>
        <v>36</v>
      </c>
      <c r="I558" s="289">
        <f>VLOOKUP(A558,Import!A:J,9,0)</f>
        <v>36</v>
      </c>
      <c r="J558" s="282">
        <f>VLOOKUP(A558,Import!A:J,10,0)</f>
        <v>0</v>
      </c>
      <c r="K558" s="244" t="str">
        <f>VLOOKUP(A558,Import!A:P,11,0)</f>
        <v>Onur Baran</v>
      </c>
      <c r="L558" s="150">
        <v>2.222332126E9</v>
      </c>
      <c r="M558" s="150" t="s">
        <v>2666</v>
      </c>
      <c r="N558" s="150" t="s">
        <v>2667</v>
      </c>
      <c r="O558" s="150" t="s">
        <v>4007</v>
      </c>
      <c r="P558" s="244" t="str">
        <f>VLOOKUP(A558,Import!A:P,16,0)</f>
        <v>Geleneksel</v>
      </c>
      <c r="Q558" s="291" t="s">
        <v>2760</v>
      </c>
      <c r="R558" s="292" t="b">
        <v>1</v>
      </c>
      <c r="S558" s="292" t="b">
        <v>0</v>
      </c>
      <c r="T558" s="296"/>
      <c r="U558" s="296"/>
      <c r="V558" s="296"/>
      <c r="W558" s="149" t="s">
        <v>4008</v>
      </c>
      <c r="X558" s="297"/>
      <c r="Y558" s="297"/>
      <c r="Z558" s="288"/>
      <c r="AA558" s="165" t="s">
        <v>2669</v>
      </c>
      <c r="AB558" s="295">
        <v>44517.0</v>
      </c>
      <c r="AC558" s="288"/>
      <c r="AD558" s="288"/>
      <c r="AE558" s="160"/>
      <c r="AF558" s="288"/>
      <c r="AG558" s="160"/>
      <c r="AH558" s="288"/>
      <c r="AI558" s="288"/>
      <c r="AJ558" s="288"/>
      <c r="AK558" s="165" t="s">
        <v>1971</v>
      </c>
      <c r="AL558" s="288"/>
      <c r="AM558" s="288"/>
      <c r="AN558" s="288"/>
      <c r="AO558" s="288"/>
      <c r="AP558" s="150" t="s">
        <v>2663</v>
      </c>
      <c r="AQ558" s="288"/>
    </row>
    <row r="559">
      <c r="A559" s="150" t="s">
        <v>1117</v>
      </c>
      <c r="B559" s="150" t="s">
        <v>1118</v>
      </c>
      <c r="C559" s="175" t="str">
        <f>VLOOKUP(A559,Import!A:C,3,false)</f>
        <v>DOĞRU</v>
      </c>
      <c r="D559" s="150" t="s">
        <v>3145</v>
      </c>
      <c r="E559" s="280">
        <f>VLOOKUP(A559,Import!A:J,5,0)</f>
        <v>438</v>
      </c>
      <c r="F559" s="280" t="str">
        <f>VLOOKUP(A559,Import!A:J,6,0)</f>
        <v/>
      </c>
      <c r="G559" s="289">
        <f>VLOOKUP(A559,Import!A:J,7,0)</f>
        <v>3</v>
      </c>
      <c r="H559" s="289">
        <f>VLOOKUP(A559,Import!A:J,8,0)</f>
        <v>4</v>
      </c>
      <c r="I559" s="289">
        <f>VLOOKUP(A559,Import!A:J,9,0)</f>
        <v>7</v>
      </c>
      <c r="J559" s="282">
        <f>VLOOKUP(A559,Import!A:J,10,0)</f>
        <v>0.43</v>
      </c>
      <c r="K559" s="244" t="str">
        <f>VLOOKUP(A559,Import!A:P,11,0)</f>
        <v>Özge Sezer Özdemir</v>
      </c>
      <c r="L559" s="150">
        <v>5.449348018E9</v>
      </c>
      <c r="M559" s="150" t="s">
        <v>2666</v>
      </c>
      <c r="N559" s="150" t="s">
        <v>2721</v>
      </c>
      <c r="O559" s="150" t="s">
        <v>4009</v>
      </c>
      <c r="P559" s="244" t="str">
        <f>VLOOKUP(A559,Import!A:P,16,0)</f>
        <v>Geleneksel</v>
      </c>
      <c r="Q559" s="315" t="s">
        <v>2660</v>
      </c>
      <c r="R559" s="292" t="b">
        <v>1</v>
      </c>
      <c r="S559" s="293" t="b">
        <v>0</v>
      </c>
      <c r="T559" s="149" t="s">
        <v>2661</v>
      </c>
      <c r="U559" s="149" t="s">
        <v>1000</v>
      </c>
      <c r="V559" s="149" t="s">
        <v>46</v>
      </c>
      <c r="X559" s="294">
        <v>44266.0</v>
      </c>
      <c r="Y559" s="294">
        <v>44267.0</v>
      </c>
      <c r="Z559" s="288"/>
      <c r="AA559" s="288"/>
      <c r="AB559" s="288"/>
      <c r="AC559" s="288"/>
      <c r="AD559" s="288"/>
      <c r="AE559" s="160"/>
      <c r="AF559" s="288"/>
      <c r="AG559" s="160"/>
      <c r="AH559" s="288"/>
      <c r="AI559" s="288"/>
      <c r="AJ559" s="288"/>
      <c r="AK559" s="288"/>
      <c r="AL559" s="288"/>
      <c r="AM559" s="288"/>
      <c r="AN559" s="288"/>
      <c r="AO559" s="288"/>
      <c r="AP559" s="150" t="s">
        <v>2663</v>
      </c>
      <c r="AQ559" s="288"/>
    </row>
    <row r="560">
      <c r="A560" s="150" t="s">
        <v>4010</v>
      </c>
      <c r="B560" s="150" t="s">
        <v>4011</v>
      </c>
      <c r="C560" s="175" t="str">
        <f>VLOOKUP(A560,Import!A:C,3,false)</f>
        <v>DOĞRU</v>
      </c>
      <c r="D560" s="150" t="s">
        <v>2701</v>
      </c>
      <c r="E560" s="280">
        <f>VLOOKUP(A560,Import!A:J,5,0)</f>
        <v>17</v>
      </c>
      <c r="F560" s="280">
        <f>VLOOKUP(A560,Import!A:J,6,0)</f>
        <v>17</v>
      </c>
      <c r="G560" s="289">
        <f>VLOOKUP(A560,Import!A:J,7,0)</f>
        <v>0</v>
      </c>
      <c r="H560" s="289">
        <f>VLOOKUP(A560,Import!A:J,8,0)</f>
        <v>70</v>
      </c>
      <c r="I560" s="289">
        <f>VLOOKUP(A560,Import!A:J,9,0)</f>
        <v>70</v>
      </c>
      <c r="J560" s="282">
        <f>VLOOKUP(A560,Import!A:J,10,0)</f>
        <v>0</v>
      </c>
      <c r="K560" s="150" t="s">
        <v>4012</v>
      </c>
      <c r="L560" s="150">
        <v>5.538932618E9</v>
      </c>
      <c r="M560" s="150" t="s">
        <v>2666</v>
      </c>
      <c r="N560" s="150" t="s">
        <v>2711</v>
      </c>
      <c r="O560" s="150" t="s">
        <v>4013</v>
      </c>
      <c r="P560" s="244" t="str">
        <f>VLOOKUP(A560,Import!A:P,16,0)</f>
        <v>Geleneksel</v>
      </c>
      <c r="Q560" s="291"/>
      <c r="R560" s="292" t="b">
        <v>0</v>
      </c>
      <c r="S560" s="293" t="b">
        <v>0</v>
      </c>
      <c r="T560" s="149"/>
      <c r="U560" s="296"/>
      <c r="V560" s="296"/>
      <c r="W560" s="149"/>
      <c r="X560" s="297"/>
      <c r="Y560" s="297"/>
      <c r="Z560" s="288"/>
      <c r="AA560" s="165"/>
      <c r="AB560" s="295"/>
      <c r="AC560" s="288"/>
      <c r="AD560" s="288"/>
      <c r="AE560" s="160"/>
      <c r="AF560" s="288"/>
      <c r="AG560" s="160"/>
      <c r="AH560" s="288"/>
      <c r="AI560" s="288"/>
      <c r="AJ560" s="288"/>
      <c r="AK560" s="165"/>
      <c r="AL560" s="288"/>
      <c r="AM560" s="288"/>
      <c r="AN560" s="288"/>
      <c r="AO560" s="165"/>
      <c r="AP560" s="150"/>
      <c r="AQ560" s="165"/>
    </row>
    <row r="561">
      <c r="A561" s="244" t="s">
        <v>4014</v>
      </c>
      <c r="B561" s="244" t="s">
        <v>4015</v>
      </c>
      <c r="C561" s="175" t="str">
        <f>VLOOKUP(A561,Import!A:C,3,false)</f>
        <v>DOĞRU</v>
      </c>
      <c r="D561" s="320" t="s">
        <v>2672</v>
      </c>
      <c r="E561" s="280">
        <f>VLOOKUP(A561,Import!A:J,5,0)</f>
        <v>13958</v>
      </c>
      <c r="F561" s="280">
        <f>VLOOKUP(A561,Import!A:J,6,0)</f>
        <v>666</v>
      </c>
      <c r="G561" s="289">
        <f>VLOOKUP(A561,Import!A:J,7,0)</f>
        <v>0</v>
      </c>
      <c r="H561" s="289">
        <f>VLOOKUP(A561,Import!A:J,8,0)</f>
        <v>4</v>
      </c>
      <c r="I561" s="289">
        <f>VLOOKUP(A561,Import!A:J,9,0)</f>
        <v>4</v>
      </c>
      <c r="J561" s="282">
        <f>VLOOKUP(A561,Import!A:J,10,0)</f>
        <v>0</v>
      </c>
      <c r="K561" s="244" t="str">
        <f>VLOOKUP(A561,Import!A:P,11,0)</f>
        <v>Mustafa Akça</v>
      </c>
      <c r="L561" s="321">
        <v>2.225025655E9</v>
      </c>
      <c r="M561" s="320" t="s">
        <v>2666</v>
      </c>
      <c r="N561" s="320" t="s">
        <v>2721</v>
      </c>
      <c r="O561" s="320" t="s">
        <v>4016</v>
      </c>
      <c r="P561" s="244" t="str">
        <f>VLOOKUP(A561,Import!A:P,16,0)</f>
        <v>Key</v>
      </c>
      <c r="Q561" s="322" t="s">
        <v>2660</v>
      </c>
      <c r="R561" s="323" t="b">
        <v>1</v>
      </c>
      <c r="S561" s="324" t="b">
        <v>0</v>
      </c>
      <c r="T561" s="325" t="s">
        <v>2925</v>
      </c>
      <c r="U561" s="333"/>
      <c r="V561" s="333"/>
      <c r="W561" s="333"/>
      <c r="X561" s="345"/>
      <c r="Y561" s="345"/>
      <c r="Z561" s="288"/>
      <c r="AA561" s="288"/>
      <c r="AB561" s="288"/>
      <c r="AC561" s="288"/>
      <c r="AD561" s="288"/>
      <c r="AE561" s="160"/>
      <c r="AF561" s="288"/>
      <c r="AG561" s="160"/>
      <c r="AH561" s="288"/>
      <c r="AI561" s="288"/>
      <c r="AJ561" s="288"/>
      <c r="AK561" s="288"/>
      <c r="AL561" s="288"/>
      <c r="AM561" s="288"/>
      <c r="AN561" s="288"/>
      <c r="AO561" s="288"/>
      <c r="AP561" s="150" t="s">
        <v>4017</v>
      </c>
      <c r="AQ561" s="288"/>
    </row>
    <row r="562">
      <c r="A562" s="150" t="s">
        <v>2401</v>
      </c>
      <c r="B562" s="150" t="s">
        <v>2402</v>
      </c>
      <c r="C562" s="175" t="str">
        <f>VLOOKUP(A562,Import!A:C,3,false)</f>
        <v>DOĞRU</v>
      </c>
      <c r="D562" s="150" t="s">
        <v>2763</v>
      </c>
      <c r="E562" s="280">
        <f>VLOOKUP(A562,Import!A:J,5,0)</f>
        <v>163</v>
      </c>
      <c r="F562" s="280">
        <f>VLOOKUP(A562,Import!A:J,6,0)</f>
        <v>9</v>
      </c>
      <c r="G562" s="289">
        <f>VLOOKUP(A562,Import!A:J,7,0)</f>
        <v>0</v>
      </c>
      <c r="H562" s="289">
        <f>VLOOKUP(A562,Import!A:J,8,0)</f>
        <v>26</v>
      </c>
      <c r="I562" s="289">
        <f>VLOOKUP(A562,Import!A:J,9,0)</f>
        <v>26</v>
      </c>
      <c r="J562" s="282">
        <f>VLOOKUP(A562,Import!A:J,10,0)</f>
        <v>0</v>
      </c>
      <c r="K562" s="244" t="str">
        <f>VLOOKUP(A562,Import!A:P,11,0)</f>
        <v>Ramazan Kelek</v>
      </c>
      <c r="L562" s="150">
        <v>2.222172645E9</v>
      </c>
      <c r="M562" s="150" t="s">
        <v>1450</v>
      </c>
      <c r="N562" s="150" t="s">
        <v>2776</v>
      </c>
      <c r="O562" s="150" t="s">
        <v>2404</v>
      </c>
      <c r="P562" s="244" t="str">
        <f>VLOOKUP(A562,Import!A:P,16,0)</f>
        <v>Geleneksel</v>
      </c>
      <c r="Q562" s="291" t="s">
        <v>2686</v>
      </c>
      <c r="R562" s="292" t="b">
        <v>1</v>
      </c>
      <c r="S562" s="293" t="b">
        <v>0</v>
      </c>
      <c r="T562" s="149" t="s">
        <v>2693</v>
      </c>
      <c r="U562" s="149" t="s">
        <v>943</v>
      </c>
      <c r="V562" s="312"/>
      <c r="W562" s="149" t="s">
        <v>2815</v>
      </c>
      <c r="X562" s="294">
        <v>44578.0</v>
      </c>
      <c r="Y562" s="294">
        <v>44580.0</v>
      </c>
      <c r="Z562" s="288"/>
      <c r="AA562" s="165" t="s">
        <v>2693</v>
      </c>
      <c r="AB562" s="295">
        <v>44578.0</v>
      </c>
      <c r="AC562" s="165" t="s">
        <v>2669</v>
      </c>
      <c r="AD562" s="295">
        <v>44578.0</v>
      </c>
      <c r="AE562" s="165" t="s">
        <v>2693</v>
      </c>
      <c r="AF562" s="295">
        <v>44580.0</v>
      </c>
      <c r="AG562" s="160"/>
      <c r="AH562" s="288"/>
      <c r="AI562" s="288"/>
      <c r="AJ562" s="288"/>
      <c r="AK562" s="165" t="s">
        <v>943</v>
      </c>
      <c r="AL562" s="165" t="s">
        <v>943</v>
      </c>
      <c r="AM562" s="165" t="s">
        <v>943</v>
      </c>
      <c r="AN562" s="288"/>
      <c r="AO562" s="288"/>
      <c r="AP562" s="150" t="s">
        <v>2663</v>
      </c>
      <c r="AQ562" s="288"/>
    </row>
    <row r="563">
      <c r="A563" s="244" t="s">
        <v>499</v>
      </c>
      <c r="B563" s="244" t="s">
        <v>500</v>
      </c>
      <c r="C563" s="175" t="str">
        <f>VLOOKUP(A563,Import!A:C,3,false)</f>
        <v>DOĞRU</v>
      </c>
      <c r="D563" s="244" t="s">
        <v>2658</v>
      </c>
      <c r="E563" s="280">
        <f>VLOOKUP(A563,Import!A:J,5,0)</f>
        <v>2532</v>
      </c>
      <c r="F563" s="280">
        <f>VLOOKUP(A563,Import!A:J,6,0)</f>
        <v>18</v>
      </c>
      <c r="G563" s="289">
        <f>VLOOKUP(A563,Import!A:J,7,0)</f>
        <v>6</v>
      </c>
      <c r="H563" s="289">
        <f>VLOOKUP(A563,Import!A:J,8,0)</f>
        <v>5</v>
      </c>
      <c r="I563" s="289">
        <f>VLOOKUP(A563,Import!A:J,9,0)</f>
        <v>11</v>
      </c>
      <c r="J563" s="282">
        <f>VLOOKUP(A563,Import!A:J,10,0)</f>
        <v>0.55</v>
      </c>
      <c r="K563" s="244" t="str">
        <f>VLOOKUP(A563,Import!A:P,11,0)</f>
        <v>Yunus Gökgöz</v>
      </c>
      <c r="L563" s="280">
        <v>2.222331033E9</v>
      </c>
      <c r="M563" s="244" t="s">
        <v>1450</v>
      </c>
      <c r="N563" s="244" t="s">
        <v>2700</v>
      </c>
      <c r="O563" s="244" t="s">
        <v>502</v>
      </c>
      <c r="P563" s="244" t="str">
        <f>VLOOKUP(A563,Import!A:P,16,0)</f>
        <v>Geleneksel</v>
      </c>
      <c r="Q563" s="291" t="s">
        <v>2660</v>
      </c>
      <c r="R563" s="292" t="b">
        <v>1</v>
      </c>
      <c r="S563" s="293" t="b">
        <v>0</v>
      </c>
      <c r="T563" s="165" t="s">
        <v>2661</v>
      </c>
      <c r="U563" s="165"/>
      <c r="V563" s="165" t="s">
        <v>13</v>
      </c>
      <c r="W563" s="160"/>
      <c r="X563" s="295">
        <v>44239.0</v>
      </c>
      <c r="Y563" s="295">
        <v>44245.0</v>
      </c>
      <c r="Z563" s="288"/>
      <c r="AA563" s="332"/>
      <c r="AB563" s="288"/>
      <c r="AC563" s="288"/>
      <c r="AD563" s="288"/>
      <c r="AE563" s="160"/>
      <c r="AF563" s="288"/>
      <c r="AG563" s="160"/>
      <c r="AH563" s="288"/>
      <c r="AI563" s="288"/>
      <c r="AJ563" s="288"/>
      <c r="AK563" s="288"/>
      <c r="AL563" s="288"/>
      <c r="AM563" s="288"/>
      <c r="AN563" s="288"/>
      <c r="AO563" s="288"/>
      <c r="AP563" s="150" t="s">
        <v>2663</v>
      </c>
      <c r="AQ563" s="288"/>
    </row>
    <row r="564">
      <c r="A564" s="150" t="s">
        <v>4018</v>
      </c>
      <c r="B564" s="150" t="s">
        <v>4019</v>
      </c>
      <c r="C564" s="175" t="str">
        <f>VLOOKUP(A564,Import!A:C,3,false)</f>
        <v>DOĞRU</v>
      </c>
      <c r="D564" s="150" t="s">
        <v>2696</v>
      </c>
      <c r="E564" s="280">
        <f>VLOOKUP(A564,Import!A:J,5,0)</f>
        <v>2922</v>
      </c>
      <c r="F564" s="280" t="str">
        <f>VLOOKUP(A564,Import!A:J,6,0)</f>
        <v/>
      </c>
      <c r="G564" s="289">
        <f>VLOOKUP(A564,Import!A:J,7,0)</f>
        <v>17</v>
      </c>
      <c r="H564" s="289">
        <f>VLOOKUP(A564,Import!A:J,8,0)</f>
        <v>60</v>
      </c>
      <c r="I564" s="289">
        <f>VLOOKUP(A564,Import!A:J,9,0)</f>
        <v>77</v>
      </c>
      <c r="J564" s="282">
        <f>VLOOKUP(A564,Import!A:J,10,0)</f>
        <v>0.22</v>
      </c>
      <c r="K564" s="244" t="str">
        <f>VLOOKUP(A564,Import!A:P,11,0)</f>
        <v>Mahmut Duran</v>
      </c>
      <c r="L564" s="150">
        <v>2.223201818E9</v>
      </c>
      <c r="M564" s="150" t="s">
        <v>2666</v>
      </c>
      <c r="N564" s="150" t="s">
        <v>2685</v>
      </c>
      <c r="O564" s="150" t="s">
        <v>4020</v>
      </c>
      <c r="P564" s="244" t="str">
        <f>VLOOKUP(A564,Import!A:P,16,0)</f>
        <v>Geleneksel</v>
      </c>
      <c r="Q564" s="291" t="s">
        <v>2713</v>
      </c>
      <c r="R564" s="292" t="b">
        <v>1</v>
      </c>
      <c r="S564" s="292" t="b">
        <v>1</v>
      </c>
      <c r="T564" s="296"/>
      <c r="U564" s="296"/>
      <c r="V564" s="296"/>
      <c r="X564" s="297"/>
      <c r="Y564" s="297"/>
      <c r="Z564" s="288"/>
      <c r="AA564" s="288"/>
      <c r="AB564" s="288"/>
      <c r="AC564" s="288"/>
      <c r="AD564" s="288"/>
      <c r="AE564" s="160"/>
      <c r="AF564" s="288"/>
      <c r="AG564" s="160"/>
      <c r="AH564" s="288"/>
      <c r="AI564" s="288"/>
      <c r="AJ564" s="288"/>
      <c r="AK564" s="288"/>
      <c r="AL564" s="288"/>
      <c r="AM564" s="288"/>
      <c r="AN564" s="288"/>
      <c r="AO564" s="288"/>
      <c r="AP564" s="150" t="s">
        <v>2663</v>
      </c>
      <c r="AQ564" s="288"/>
    </row>
    <row r="565">
      <c r="A565" s="150" t="s">
        <v>1615</v>
      </c>
      <c r="B565" s="150" t="s">
        <v>1616</v>
      </c>
      <c r="C565" s="175" t="str">
        <f>VLOOKUP(A565,Import!A:C,3,false)</f>
        <v>DOĞRU</v>
      </c>
      <c r="D565" s="150" t="s">
        <v>2763</v>
      </c>
      <c r="E565" s="280">
        <f>VLOOKUP(A565,Import!A:J,5,0)</f>
        <v>2374</v>
      </c>
      <c r="F565" s="280">
        <f>VLOOKUP(A565,Import!A:J,6,0)</f>
        <v>531</v>
      </c>
      <c r="G565" s="289">
        <f>VLOOKUP(A565,Import!A:J,7,0)</f>
        <v>7</v>
      </c>
      <c r="H565" s="289">
        <f>VLOOKUP(A565,Import!A:J,8,0)</f>
        <v>38</v>
      </c>
      <c r="I565" s="289">
        <f>VLOOKUP(A565,Import!A:J,9,0)</f>
        <v>45</v>
      </c>
      <c r="J565" s="282">
        <f>VLOOKUP(A565,Import!A:J,10,0)</f>
        <v>0.16</v>
      </c>
      <c r="K565" s="244" t="str">
        <f>VLOOKUP(A565,Import!A:P,11,0)</f>
        <v>Abdullah Yücebaş</v>
      </c>
      <c r="L565" s="150">
        <v>5.32360146E9</v>
      </c>
      <c r="M565" s="150" t="s">
        <v>1450</v>
      </c>
      <c r="N565" s="150" t="s">
        <v>3255</v>
      </c>
      <c r="O565" s="150" t="s">
        <v>1619</v>
      </c>
      <c r="P565" s="244" t="str">
        <f>VLOOKUP(A565,Import!A:P,16,0)</f>
        <v>Geleneksel</v>
      </c>
      <c r="Q565" s="291"/>
      <c r="R565" s="292" t="b">
        <v>1</v>
      </c>
      <c r="S565" s="293" t="b">
        <v>0</v>
      </c>
      <c r="T565" s="149" t="s">
        <v>2661</v>
      </c>
      <c r="U565" s="149" t="s">
        <v>1971</v>
      </c>
      <c r="V565" s="149" t="s">
        <v>4021</v>
      </c>
      <c r="W565" s="149" t="s">
        <v>4022</v>
      </c>
      <c r="X565" s="294">
        <v>44547.0</v>
      </c>
      <c r="Y565" s="294">
        <v>44550.0</v>
      </c>
      <c r="Z565" s="288"/>
      <c r="AA565" s="165" t="s">
        <v>2669</v>
      </c>
      <c r="AB565" s="295">
        <v>44478.0</v>
      </c>
      <c r="AC565" s="165" t="s">
        <v>2772</v>
      </c>
      <c r="AD565" s="295">
        <v>44546.0</v>
      </c>
      <c r="AE565" s="165" t="s">
        <v>2669</v>
      </c>
      <c r="AF565" s="295">
        <v>44547.0</v>
      </c>
      <c r="AG565" s="160"/>
      <c r="AH565" s="288"/>
      <c r="AI565" s="288"/>
      <c r="AJ565" s="288"/>
      <c r="AK565" s="165" t="s">
        <v>1824</v>
      </c>
      <c r="AL565" s="165" t="s">
        <v>1911</v>
      </c>
      <c r="AM565" s="165" t="s">
        <v>1971</v>
      </c>
      <c r="AN565" s="288"/>
      <c r="AO565" s="288"/>
      <c r="AP565" s="150" t="s">
        <v>2663</v>
      </c>
      <c r="AQ565" s="288"/>
    </row>
    <row r="566">
      <c r="A566" s="150" t="s">
        <v>1928</v>
      </c>
      <c r="B566" s="150" t="s">
        <v>1929</v>
      </c>
      <c r="C566" s="175" t="str">
        <f>VLOOKUP(A566,Import!A:C,3,false)</f>
        <v>DOĞRU</v>
      </c>
      <c r="D566" s="150" t="s">
        <v>2867</v>
      </c>
      <c r="E566" s="280">
        <f>VLOOKUP(A566,Import!A:J,5,0)</f>
        <v>2095</v>
      </c>
      <c r="F566" s="280">
        <f>VLOOKUP(A566,Import!A:J,6,0)</f>
        <v>220</v>
      </c>
      <c r="G566" s="289">
        <f>VLOOKUP(A566,Import!A:J,7,0)</f>
        <v>0</v>
      </c>
      <c r="H566" s="289">
        <f>VLOOKUP(A566,Import!A:J,8,0)</f>
        <v>42</v>
      </c>
      <c r="I566" s="289">
        <f>VLOOKUP(A566,Import!A:J,9,0)</f>
        <v>42</v>
      </c>
      <c r="J566" s="282">
        <f>VLOOKUP(A566,Import!A:J,10,0)</f>
        <v>0</v>
      </c>
      <c r="K566" s="290" t="s">
        <v>4023</v>
      </c>
      <c r="L566" s="150">
        <v>5.493306699E9</v>
      </c>
      <c r="M566" s="150" t="s">
        <v>2666</v>
      </c>
      <c r="N566" s="150" t="s">
        <v>2809</v>
      </c>
      <c r="O566" s="150" t="s">
        <v>1927</v>
      </c>
      <c r="P566" s="244" t="str">
        <f>VLOOKUP(A566,Import!A:P,16,0)</f>
        <v>Geleneksel</v>
      </c>
      <c r="Q566" s="291"/>
      <c r="R566" s="292" t="b">
        <v>1</v>
      </c>
      <c r="S566" s="293" t="b">
        <v>0</v>
      </c>
      <c r="T566" s="149" t="s">
        <v>2714</v>
      </c>
      <c r="U566" s="149" t="s">
        <v>1911</v>
      </c>
      <c r="V566" s="149" t="s">
        <v>2958</v>
      </c>
      <c r="W566" s="149" t="s">
        <v>2959</v>
      </c>
      <c r="X566" s="294">
        <v>44511.0</v>
      </c>
      <c r="Y566" s="294">
        <v>44515.0</v>
      </c>
      <c r="Z566" s="288"/>
      <c r="AA566" s="165" t="s">
        <v>2669</v>
      </c>
      <c r="AB566" s="295">
        <v>44511.0</v>
      </c>
      <c r="AC566" s="165" t="s">
        <v>2669</v>
      </c>
      <c r="AD566" s="295">
        <v>44529.0</v>
      </c>
      <c r="AE566" s="160"/>
      <c r="AF566" s="288"/>
      <c r="AG566" s="160"/>
      <c r="AH566" s="288"/>
      <c r="AI566" s="288"/>
      <c r="AJ566" s="288"/>
      <c r="AK566" s="165" t="s">
        <v>1911</v>
      </c>
      <c r="AL566" s="165" t="s">
        <v>1715</v>
      </c>
      <c r="AM566" s="288"/>
      <c r="AN566" s="288"/>
      <c r="AO566" s="288"/>
      <c r="AP566" s="150" t="s">
        <v>2663</v>
      </c>
      <c r="AQ566" s="288"/>
    </row>
    <row r="567">
      <c r="A567" s="150" t="s">
        <v>4024</v>
      </c>
      <c r="B567" s="150" t="s">
        <v>4025</v>
      </c>
      <c r="C567" s="175" t="str">
        <f>VLOOKUP(A567,Import!A:C,3,false)</f>
        <v>DOĞRU</v>
      </c>
      <c r="D567" s="162" t="s">
        <v>2664</v>
      </c>
      <c r="E567" s="280">
        <f>VLOOKUP(A567,Import!A:J,5,0)</f>
        <v>3919</v>
      </c>
      <c r="F567" s="280" t="str">
        <f>VLOOKUP(A567,Import!A:J,6,0)</f>
        <v/>
      </c>
      <c r="G567" s="289">
        <f>VLOOKUP(A567,Import!A:J,7,0)</f>
        <v>14</v>
      </c>
      <c r="H567" s="289">
        <f>VLOOKUP(A567,Import!A:J,8,0)</f>
        <v>10</v>
      </c>
      <c r="I567" s="289">
        <f>VLOOKUP(A567,Import!A:J,9,0)</f>
        <v>24</v>
      </c>
      <c r="J567" s="282">
        <f>VLOOKUP(A567,Import!A:J,10,0)</f>
        <v>0.58</v>
      </c>
      <c r="K567" s="244" t="str">
        <f>VLOOKUP(A567,Import!A:P,11,0)</f>
        <v>TUBA YILDIRIM</v>
      </c>
      <c r="L567" s="162">
        <v>5.372088183E9</v>
      </c>
      <c r="M567" s="162" t="s">
        <v>2666</v>
      </c>
      <c r="N567" s="162" t="s">
        <v>2682</v>
      </c>
      <c r="O567" s="162" t="s">
        <v>4026</v>
      </c>
      <c r="P567" s="244" t="str">
        <f>VLOOKUP(A567,Import!A:P,16,0)</f>
        <v>Geleneksel</v>
      </c>
      <c r="Q567" s="300" t="s">
        <v>2713</v>
      </c>
      <c r="R567" s="286" t="b">
        <v>0</v>
      </c>
      <c r="S567" s="285" t="b">
        <v>1</v>
      </c>
      <c r="T567" s="358"/>
      <c r="U567" s="358"/>
      <c r="V567" s="358"/>
      <c r="W567" s="145"/>
      <c r="X567" s="359"/>
      <c r="Y567" s="359"/>
      <c r="Z567" s="288"/>
      <c r="AA567" s="288"/>
      <c r="AB567" s="288"/>
      <c r="AC567" s="288"/>
      <c r="AD567" s="288"/>
      <c r="AE567" s="160"/>
      <c r="AF567" s="288"/>
      <c r="AG567" s="160"/>
      <c r="AH567" s="288"/>
      <c r="AI567" s="288"/>
      <c r="AJ567" s="288"/>
      <c r="AK567" s="288"/>
      <c r="AL567" s="288"/>
      <c r="AM567" s="288"/>
      <c r="AN567" s="288"/>
      <c r="AO567" s="288"/>
      <c r="AP567" s="150" t="s">
        <v>2663</v>
      </c>
      <c r="AQ567" s="288"/>
    </row>
    <row r="568">
      <c r="A568" s="150" t="s">
        <v>4027</v>
      </c>
      <c r="B568" s="150" t="s">
        <v>4028</v>
      </c>
      <c r="C568" s="175" t="str">
        <f>VLOOKUP(A568,Import!A:C,3,false)</f>
        <v>DOĞRU</v>
      </c>
      <c r="D568" s="150" t="s">
        <v>2672</v>
      </c>
      <c r="E568" s="280">
        <f>VLOOKUP(A568,Import!A:J,5,0)</f>
        <v>225</v>
      </c>
      <c r="F568" s="280">
        <f>VLOOKUP(A568,Import!A:J,6,0)</f>
        <v>89</v>
      </c>
      <c r="G568" s="289">
        <f>VLOOKUP(A568,Import!A:J,7,0)</f>
        <v>0</v>
      </c>
      <c r="H568" s="289">
        <f>VLOOKUP(A568,Import!A:J,8,0)</f>
        <v>11</v>
      </c>
      <c r="I568" s="289">
        <f>VLOOKUP(A568,Import!A:J,9,0)</f>
        <v>11</v>
      </c>
      <c r="J568" s="282">
        <f>VLOOKUP(A568,Import!A:J,10,0)</f>
        <v>0</v>
      </c>
      <c r="K568" s="290" t="s">
        <v>4029</v>
      </c>
      <c r="L568" s="150">
        <v>5.372136686E9</v>
      </c>
      <c r="M568" s="150" t="s">
        <v>1450</v>
      </c>
      <c r="N568" s="150" t="s">
        <v>2703</v>
      </c>
      <c r="O568" s="150" t="s">
        <v>4030</v>
      </c>
      <c r="P568" s="244" t="str">
        <f>VLOOKUP(A568,Import!A:P,16,0)</f>
        <v>Geleneksel</v>
      </c>
      <c r="Q568" s="291"/>
      <c r="R568" s="292" t="b">
        <v>0</v>
      </c>
      <c r="S568" s="293" t="b">
        <v>0</v>
      </c>
      <c r="T568" s="149"/>
      <c r="U568" s="296"/>
      <c r="V568" s="296"/>
      <c r="W568" s="149"/>
      <c r="X568" s="297"/>
      <c r="Y568" s="297"/>
      <c r="Z568" s="288"/>
      <c r="AA568" s="165"/>
      <c r="AB568" s="295"/>
      <c r="AC568" s="288"/>
      <c r="AD568" s="288"/>
      <c r="AE568" s="160"/>
      <c r="AF568" s="288"/>
      <c r="AG568" s="160"/>
      <c r="AH568" s="288"/>
      <c r="AI568" s="288"/>
      <c r="AJ568" s="288"/>
      <c r="AK568" s="165"/>
      <c r="AL568" s="288"/>
      <c r="AM568" s="288"/>
      <c r="AN568" s="288"/>
      <c r="AO568" s="165"/>
      <c r="AP568" s="150"/>
      <c r="AQ568" s="165"/>
    </row>
    <row r="569">
      <c r="A569" s="150" t="s">
        <v>487</v>
      </c>
      <c r="B569" s="150" t="s">
        <v>488</v>
      </c>
      <c r="C569" s="175" t="str">
        <f>VLOOKUP(A569,Import!A:C,3,false)</f>
        <v>DOĞRU</v>
      </c>
      <c r="D569" s="150" t="s">
        <v>2658</v>
      </c>
      <c r="E569" s="280">
        <f>VLOOKUP(A569,Import!A:J,5,0)</f>
        <v>15935</v>
      </c>
      <c r="F569" s="280">
        <f>VLOOKUP(A569,Import!A:J,6,0)</f>
        <v>394</v>
      </c>
      <c r="G569" s="289">
        <f>VLOOKUP(A569,Import!A:J,7,0)</f>
        <v>18</v>
      </c>
      <c r="H569" s="289">
        <f>VLOOKUP(A569,Import!A:J,8,0)</f>
        <v>73</v>
      </c>
      <c r="I569" s="289">
        <f>VLOOKUP(A569,Import!A:J,9,0)</f>
        <v>91</v>
      </c>
      <c r="J569" s="282">
        <f>VLOOKUP(A569,Import!A:J,10,0)</f>
        <v>0.2</v>
      </c>
      <c r="K569" s="244" t="str">
        <f>VLOOKUP(A569,Import!A:P,11,0)</f>
        <v>Abdullah Yeşildağ</v>
      </c>
      <c r="L569" s="150">
        <v>2.222313508E9</v>
      </c>
      <c r="M569" s="150" t="s">
        <v>1450</v>
      </c>
      <c r="N569" s="150" t="s">
        <v>2700</v>
      </c>
      <c r="O569" s="150" t="s">
        <v>3829</v>
      </c>
      <c r="P569" s="244" t="str">
        <f>VLOOKUP(A569,Import!A:P,16,0)</f>
        <v>Geleneksel</v>
      </c>
      <c r="Q569" s="291" t="s">
        <v>2713</v>
      </c>
      <c r="R569" s="292" t="b">
        <v>1</v>
      </c>
      <c r="S569" s="293" t="b">
        <v>0</v>
      </c>
      <c r="T569" s="149" t="s">
        <v>2661</v>
      </c>
      <c r="U569" s="149"/>
      <c r="V569" s="361" t="s">
        <v>3435</v>
      </c>
      <c r="W569" s="149" t="s">
        <v>4031</v>
      </c>
      <c r="X569" s="294">
        <v>44244.0</v>
      </c>
      <c r="Y569" s="294">
        <v>44244.0</v>
      </c>
      <c r="Z569" s="288"/>
      <c r="AA569" s="165" t="s">
        <v>2669</v>
      </c>
      <c r="AB569" s="295">
        <v>44483.0</v>
      </c>
      <c r="AC569" s="288"/>
      <c r="AD569" s="288"/>
      <c r="AE569" s="160"/>
      <c r="AF569" s="288"/>
      <c r="AG569" s="160"/>
      <c r="AH569" s="288"/>
      <c r="AI569" s="288"/>
      <c r="AJ569" s="288"/>
      <c r="AK569" s="165" t="s">
        <v>943</v>
      </c>
      <c r="AL569" s="288"/>
      <c r="AM569" s="288"/>
      <c r="AN569" s="288"/>
      <c r="AO569" s="288"/>
      <c r="AP569" s="150" t="s">
        <v>2663</v>
      </c>
      <c r="AQ569" s="288"/>
    </row>
    <row r="570">
      <c r="A570" s="150" t="s">
        <v>2488</v>
      </c>
      <c r="B570" s="150" t="s">
        <v>2489</v>
      </c>
      <c r="C570" s="175" t="str">
        <f>VLOOKUP(A570,Import!A:C,3,false)</f>
        <v>DOĞRU</v>
      </c>
      <c r="D570" s="150" t="s">
        <v>2701</v>
      </c>
      <c r="E570" s="280">
        <f>VLOOKUP(A570,Import!A:J,5,0)</f>
        <v>117</v>
      </c>
      <c r="F570" s="280" t="str">
        <f>VLOOKUP(A570,Import!A:J,6,0)</f>
        <v/>
      </c>
      <c r="G570" s="289">
        <f>VLOOKUP(A570,Import!A:J,7,0)</f>
        <v>21</v>
      </c>
      <c r="H570" s="289">
        <f>VLOOKUP(A570,Import!A:J,8,0)</f>
        <v>4</v>
      </c>
      <c r="I570" s="289">
        <f>VLOOKUP(A570,Import!A:J,9,0)</f>
        <v>25</v>
      </c>
      <c r="J570" s="282">
        <f>VLOOKUP(A570,Import!A:J,10,0)</f>
        <v>0.84</v>
      </c>
      <c r="K570" s="244" t="str">
        <f>VLOOKUP(A570,Import!A:P,11,0)</f>
        <v>Canan Yıldırım</v>
      </c>
      <c r="L570" s="150">
        <v>5.39289163E9</v>
      </c>
      <c r="M570" s="150" t="s">
        <v>1450</v>
      </c>
      <c r="N570" s="150" t="s">
        <v>2659</v>
      </c>
      <c r="O570" s="150" t="s">
        <v>2491</v>
      </c>
      <c r="P570" s="244" t="str">
        <f>VLOOKUP(A570,Import!A:P,16,0)</f>
        <v>Geleneksel</v>
      </c>
      <c r="Q570" s="291"/>
      <c r="R570" s="292" t="b">
        <v>1</v>
      </c>
      <c r="S570" s="293" t="b">
        <v>0</v>
      </c>
      <c r="T570" s="149" t="s">
        <v>2661</v>
      </c>
      <c r="U570" s="149" t="s">
        <v>2474</v>
      </c>
      <c r="V570" s="301" t="s">
        <v>1609</v>
      </c>
      <c r="X570" s="294">
        <v>44602.0</v>
      </c>
      <c r="Y570" s="294">
        <v>44603.0</v>
      </c>
      <c r="Z570" s="288"/>
      <c r="AA570" s="165" t="s">
        <v>2693</v>
      </c>
      <c r="AB570" s="295">
        <v>44377.0</v>
      </c>
      <c r="AC570" s="165" t="s">
        <v>2669</v>
      </c>
      <c r="AD570" s="295">
        <v>44503.0</v>
      </c>
      <c r="AE570" s="165" t="s">
        <v>2669</v>
      </c>
      <c r="AF570" s="295">
        <v>44602.0</v>
      </c>
      <c r="AG570" s="160"/>
      <c r="AH570" s="288"/>
      <c r="AI570" s="288"/>
      <c r="AJ570" s="288"/>
      <c r="AK570" s="165" t="s">
        <v>2913</v>
      </c>
      <c r="AL570" s="165" t="s">
        <v>1717</v>
      </c>
      <c r="AM570" s="165" t="s">
        <v>2474</v>
      </c>
      <c r="AN570" s="288"/>
      <c r="AO570" s="288"/>
      <c r="AP570" s="150" t="s">
        <v>2663</v>
      </c>
      <c r="AQ570" s="288"/>
    </row>
    <row r="571">
      <c r="A571" s="150" t="s">
        <v>2133</v>
      </c>
      <c r="B571" s="150" t="s">
        <v>2134</v>
      </c>
      <c r="C571" s="175" t="str">
        <f>VLOOKUP(A571,Import!A:C,3,false)</f>
        <v>DOĞRU</v>
      </c>
      <c r="D571" s="150" t="s">
        <v>2867</v>
      </c>
      <c r="E571" s="280">
        <f>VLOOKUP(A571,Import!A:J,5,0)</f>
        <v>1776</v>
      </c>
      <c r="F571" s="280" t="str">
        <f>VLOOKUP(A571,Import!A:J,6,0)</f>
        <v/>
      </c>
      <c r="G571" s="289">
        <f>VLOOKUP(A571,Import!A:J,7,0)</f>
        <v>11</v>
      </c>
      <c r="H571" s="289">
        <f>VLOOKUP(A571,Import!A:J,8,0)</f>
        <v>7</v>
      </c>
      <c r="I571" s="289">
        <f>VLOOKUP(A571,Import!A:J,9,0)</f>
        <v>18</v>
      </c>
      <c r="J571" s="282">
        <f>VLOOKUP(A571,Import!A:J,10,0)</f>
        <v>0.61</v>
      </c>
      <c r="K571" s="290" t="s">
        <v>4032</v>
      </c>
      <c r="L571" s="150">
        <v>5.327238459E9</v>
      </c>
      <c r="M571" s="150" t="s">
        <v>1450</v>
      </c>
      <c r="N571" s="150" t="s">
        <v>2732</v>
      </c>
      <c r="O571" s="150" t="s">
        <v>2136</v>
      </c>
      <c r="P571" s="244" t="str">
        <f>VLOOKUP(A571,Import!A:P,16,0)</f>
        <v>Geleneksel</v>
      </c>
      <c r="Q571" s="291"/>
      <c r="R571" s="292" t="b">
        <v>1</v>
      </c>
      <c r="S571" s="293" t="b">
        <v>0</v>
      </c>
      <c r="T571" s="149" t="s">
        <v>2661</v>
      </c>
      <c r="U571" s="149" t="s">
        <v>1715</v>
      </c>
      <c r="V571" s="296"/>
      <c r="W571" s="149"/>
      <c r="X571" s="294">
        <v>44538.0</v>
      </c>
      <c r="Y571" s="294">
        <v>44543.0</v>
      </c>
      <c r="Z571" s="288"/>
      <c r="AA571" s="165" t="s">
        <v>2669</v>
      </c>
      <c r="AB571" s="295">
        <v>44537.0</v>
      </c>
      <c r="AC571" s="165" t="s">
        <v>2669</v>
      </c>
      <c r="AD571" s="295">
        <v>44538.0</v>
      </c>
      <c r="AE571" s="160"/>
      <c r="AF571" s="288"/>
      <c r="AG571" s="160"/>
      <c r="AH571" s="288"/>
      <c r="AI571" s="288"/>
      <c r="AJ571" s="288"/>
      <c r="AK571" s="165" t="s">
        <v>1715</v>
      </c>
      <c r="AL571" s="165" t="s">
        <v>1715</v>
      </c>
      <c r="AM571" s="288"/>
      <c r="AN571" s="288"/>
      <c r="AO571" s="288"/>
      <c r="AP571" s="150" t="s">
        <v>2663</v>
      </c>
      <c r="AQ571" s="288"/>
    </row>
    <row r="572">
      <c r="A572" s="150" t="s">
        <v>467</v>
      </c>
      <c r="B572" s="150" t="s">
        <v>468</v>
      </c>
      <c r="C572" s="175" t="str">
        <f>VLOOKUP(A572,Import!A:C,3,false)</f>
        <v>DOĞRU</v>
      </c>
      <c r="D572" s="150" t="s">
        <v>2664</v>
      </c>
      <c r="E572" s="280">
        <f>VLOOKUP(A572,Import!A:J,5,0)</f>
        <v>8891</v>
      </c>
      <c r="F572" s="280">
        <f>VLOOKUP(A572,Import!A:J,6,0)</f>
        <v>352</v>
      </c>
      <c r="G572" s="289">
        <f>VLOOKUP(A572,Import!A:J,7,0)</f>
        <v>21</v>
      </c>
      <c r="H572" s="289">
        <f>VLOOKUP(A572,Import!A:J,8,0)</f>
        <v>28</v>
      </c>
      <c r="I572" s="289">
        <f>VLOOKUP(A572,Import!A:J,9,0)</f>
        <v>49</v>
      </c>
      <c r="J572" s="282">
        <f>VLOOKUP(A572,Import!A:J,10,0)</f>
        <v>0.43</v>
      </c>
      <c r="K572" s="244" t="str">
        <f>VLOOKUP(A572,Import!A:P,11,0)</f>
        <v>ŞERİFE BURCU ÖZEGE</v>
      </c>
      <c r="L572" s="150">
        <v>5.526323288E9</v>
      </c>
      <c r="M572" s="150" t="s">
        <v>1450</v>
      </c>
      <c r="N572" s="150" t="s">
        <v>2732</v>
      </c>
      <c r="O572" s="150" t="s">
        <v>464</v>
      </c>
      <c r="P572" s="244" t="str">
        <f>VLOOKUP(A572,Import!A:P,16,0)</f>
        <v>Geleneksel</v>
      </c>
      <c r="Q572" s="291" t="s">
        <v>2713</v>
      </c>
      <c r="R572" s="292" t="b">
        <v>1</v>
      </c>
      <c r="S572" s="293" t="b">
        <v>0</v>
      </c>
      <c r="T572" s="149" t="s">
        <v>2661</v>
      </c>
      <c r="U572" s="149"/>
      <c r="V572" s="361" t="s">
        <v>46</v>
      </c>
      <c r="W572" s="149" t="s">
        <v>4033</v>
      </c>
      <c r="X572" s="294">
        <v>44238.0</v>
      </c>
      <c r="Y572" s="294">
        <v>44244.0</v>
      </c>
      <c r="Z572" s="288"/>
      <c r="AA572" s="165" t="s">
        <v>2669</v>
      </c>
      <c r="AB572" s="295">
        <v>44495.0</v>
      </c>
      <c r="AC572" s="288"/>
      <c r="AD572" s="288"/>
      <c r="AE572" s="160"/>
      <c r="AF572" s="288"/>
      <c r="AG572" s="160"/>
      <c r="AH572" s="288"/>
      <c r="AI572" s="288"/>
      <c r="AJ572" s="288"/>
      <c r="AK572" s="165" t="s">
        <v>819</v>
      </c>
      <c r="AL572" s="288"/>
      <c r="AM572" s="288"/>
      <c r="AN572" s="288"/>
      <c r="AO572" s="288"/>
      <c r="AP572" s="150" t="s">
        <v>2663</v>
      </c>
      <c r="AQ572" s="288"/>
    </row>
    <row r="573">
      <c r="A573" s="150" t="s">
        <v>2511</v>
      </c>
      <c r="B573" s="150" t="s">
        <v>2512</v>
      </c>
      <c r="C573" s="175" t="str">
        <f>VLOOKUP(A573,Import!A:C,3,false)</f>
        <v>DOĞRU</v>
      </c>
      <c r="D573" s="150" t="s">
        <v>2664</v>
      </c>
      <c r="E573" s="280">
        <f>VLOOKUP(A573,Import!A:J,5,0)</f>
        <v>276</v>
      </c>
      <c r="F573" s="280">
        <f>VLOOKUP(A573,Import!A:J,6,0)</f>
        <v>60</v>
      </c>
      <c r="G573" s="289">
        <f>VLOOKUP(A573,Import!A:J,7,0)</f>
        <v>9</v>
      </c>
      <c r="H573" s="289">
        <f>VLOOKUP(A573,Import!A:J,8,0)</f>
        <v>17</v>
      </c>
      <c r="I573" s="289">
        <f>VLOOKUP(A573,Import!A:J,9,0)</f>
        <v>26</v>
      </c>
      <c r="J573" s="282">
        <f>VLOOKUP(A573,Import!A:J,10,0)</f>
        <v>0.35</v>
      </c>
      <c r="K573" s="290" t="s">
        <v>3336</v>
      </c>
      <c r="L573" s="150">
        <v>2.223202938E9</v>
      </c>
      <c r="M573" s="150" t="s">
        <v>2666</v>
      </c>
      <c r="N573" s="150" t="s">
        <v>2750</v>
      </c>
      <c r="O573" s="150" t="s">
        <v>2510</v>
      </c>
      <c r="P573" s="244" t="str">
        <f>VLOOKUP(A573,Import!A:P,16,0)</f>
        <v>Geleneksel</v>
      </c>
      <c r="Q573" s="291"/>
      <c r="R573" s="292" t="b">
        <v>1</v>
      </c>
      <c r="S573" s="293" t="b">
        <v>0</v>
      </c>
      <c r="T573" s="149" t="s">
        <v>2661</v>
      </c>
      <c r="U573" s="149" t="s">
        <v>819</v>
      </c>
      <c r="V573" s="149" t="s">
        <v>1609</v>
      </c>
      <c r="W573" s="149" t="s">
        <v>3337</v>
      </c>
      <c r="X573" s="294">
        <v>44620.0</v>
      </c>
      <c r="Y573" s="294">
        <v>44593.0</v>
      </c>
      <c r="Z573" s="288"/>
      <c r="AA573" s="165" t="s">
        <v>2669</v>
      </c>
      <c r="AB573" s="295">
        <v>44620.0</v>
      </c>
      <c r="AC573" s="288"/>
      <c r="AD573" s="288"/>
      <c r="AE573" s="160"/>
      <c r="AF573" s="288"/>
      <c r="AG573" s="160"/>
      <c r="AH573" s="288"/>
      <c r="AI573" s="288"/>
      <c r="AJ573" s="288"/>
      <c r="AK573" s="165" t="s">
        <v>819</v>
      </c>
      <c r="AL573" s="288"/>
      <c r="AM573" s="288"/>
      <c r="AN573" s="288"/>
      <c r="AO573" s="165"/>
      <c r="AP573" s="150"/>
      <c r="AQ573" s="165"/>
    </row>
    <row r="574">
      <c r="A574" s="150" t="s">
        <v>4034</v>
      </c>
      <c r="B574" s="150" t="s">
        <v>4035</v>
      </c>
      <c r="C574" s="175" t="str">
        <f>VLOOKUP(A574,Import!A:C,3,false)</f>
        <v>YANLIŞ</v>
      </c>
      <c r="D574" s="150" t="s">
        <v>2664</v>
      </c>
      <c r="E574" s="280">
        <f>VLOOKUP(A574,Import!A:J,5,0)</f>
        <v>1</v>
      </c>
      <c r="F574" s="280" t="str">
        <f>VLOOKUP(A574,Import!A:J,6,0)</f>
        <v/>
      </c>
      <c r="G574" s="289">
        <f>VLOOKUP(A574,Import!A:J,7,0)</f>
        <v>0</v>
      </c>
      <c r="H574" s="289">
        <f>VLOOKUP(A574,Import!A:J,8,0)</f>
        <v>23</v>
      </c>
      <c r="I574" s="289">
        <f>VLOOKUP(A574,Import!A:J,9,0)</f>
        <v>23</v>
      </c>
      <c r="J574" s="282">
        <f>VLOOKUP(A574,Import!A:J,10,0)</f>
        <v>0</v>
      </c>
      <c r="K574" s="290" t="s">
        <v>4036</v>
      </c>
      <c r="L574" s="150">
        <v>5.34408087E9</v>
      </c>
      <c r="M574" s="150" t="s">
        <v>2666</v>
      </c>
      <c r="N574" s="150" t="s">
        <v>2721</v>
      </c>
      <c r="O574" s="150" t="s">
        <v>4037</v>
      </c>
      <c r="P574" s="244" t="str">
        <f>VLOOKUP(A574,Import!A:P,16,0)</f>
        <v>Geleneksel</v>
      </c>
      <c r="Q574" s="291"/>
      <c r="R574" s="292" t="b">
        <v>1</v>
      </c>
      <c r="S574" s="293" t="b">
        <v>0</v>
      </c>
      <c r="T574" s="149"/>
      <c r="U574" s="296"/>
      <c r="V574" s="296"/>
      <c r="W574" s="149" t="s">
        <v>4038</v>
      </c>
      <c r="X574" s="297"/>
      <c r="Y574" s="297"/>
      <c r="Z574" s="288"/>
      <c r="AA574" s="165" t="s">
        <v>2669</v>
      </c>
      <c r="AB574" s="295">
        <v>44515.0</v>
      </c>
      <c r="AC574" s="288"/>
      <c r="AD574" s="288"/>
      <c r="AE574" s="160"/>
      <c r="AF574" s="288"/>
      <c r="AG574" s="160"/>
      <c r="AH574" s="288"/>
      <c r="AI574" s="288"/>
      <c r="AJ574" s="288"/>
      <c r="AK574" s="165" t="s">
        <v>1791</v>
      </c>
      <c r="AL574" s="288"/>
      <c r="AM574" s="288"/>
      <c r="AN574" s="288"/>
      <c r="AO574" s="288"/>
      <c r="AP574" s="150" t="s">
        <v>2663</v>
      </c>
      <c r="AQ574" s="288"/>
    </row>
    <row r="575">
      <c r="A575" s="150" t="s">
        <v>4039</v>
      </c>
      <c r="B575" s="150" t="s">
        <v>4040</v>
      </c>
      <c r="C575" s="175" t="str">
        <f>VLOOKUP(A575,Import!A:C,3,false)</f>
        <v>DOĞRU</v>
      </c>
      <c r="D575" s="150" t="s">
        <v>2867</v>
      </c>
      <c r="E575" s="280">
        <f>VLOOKUP(A575,Import!A:J,5,0)</f>
        <v>5500</v>
      </c>
      <c r="F575" s="280">
        <f>VLOOKUP(A575,Import!A:J,6,0)</f>
        <v>303</v>
      </c>
      <c r="G575" s="289">
        <f>VLOOKUP(A575,Import!A:J,7,0)</f>
        <v>0</v>
      </c>
      <c r="H575" s="289">
        <f>VLOOKUP(A575,Import!A:J,8,0)</f>
        <v>102</v>
      </c>
      <c r="I575" s="289">
        <f>VLOOKUP(A575,Import!A:J,9,0)</f>
        <v>102</v>
      </c>
      <c r="J575" s="282">
        <f>VLOOKUP(A575,Import!A:J,10,0)</f>
        <v>0</v>
      </c>
      <c r="K575" s="244" t="str">
        <f>VLOOKUP(A575,Import!A:P,11,0)</f>
        <v>MURAT DALBAK</v>
      </c>
      <c r="L575" s="150">
        <v>2.222262036E9</v>
      </c>
      <c r="M575" s="150" t="s">
        <v>1450</v>
      </c>
      <c r="N575" s="150" t="s">
        <v>2795</v>
      </c>
      <c r="O575" s="150" t="s">
        <v>4041</v>
      </c>
      <c r="P575" s="244" t="str">
        <f>VLOOKUP(A575,Import!A:P,16,0)</f>
        <v>Geleneksel</v>
      </c>
      <c r="Q575" s="291" t="s">
        <v>2713</v>
      </c>
      <c r="R575" s="292" t="b">
        <v>1</v>
      </c>
      <c r="S575" s="292" t="b">
        <v>1</v>
      </c>
      <c r="T575" s="296"/>
      <c r="U575" s="296"/>
      <c r="V575" s="296"/>
      <c r="X575" s="297"/>
      <c r="Y575" s="294">
        <v>44260.0</v>
      </c>
      <c r="Z575" s="288"/>
      <c r="AA575" s="165" t="s">
        <v>2669</v>
      </c>
      <c r="AB575" s="295">
        <v>44545.0</v>
      </c>
      <c r="AC575" s="288"/>
      <c r="AD575" s="288"/>
      <c r="AE575" s="160"/>
      <c r="AF575" s="288"/>
      <c r="AG575" s="160"/>
      <c r="AH575" s="288"/>
      <c r="AI575" s="288"/>
      <c r="AJ575" s="288"/>
      <c r="AK575" s="165" t="s">
        <v>1971</v>
      </c>
      <c r="AL575" s="288"/>
      <c r="AM575" s="288"/>
      <c r="AN575" s="288"/>
      <c r="AO575" s="288"/>
      <c r="AP575" s="150" t="s">
        <v>2663</v>
      </c>
      <c r="AQ575" s="288"/>
    </row>
    <row r="576">
      <c r="A576" s="150" t="s">
        <v>1045</v>
      </c>
      <c r="B576" s="150" t="s">
        <v>1046</v>
      </c>
      <c r="C576" s="175" t="str">
        <f>VLOOKUP(A576,Import!A:C,3,false)</f>
        <v>DOĞRU</v>
      </c>
      <c r="D576" s="150" t="s">
        <v>2684</v>
      </c>
      <c r="E576" s="280">
        <f>VLOOKUP(A576,Import!A:J,5,0)</f>
        <v>5575</v>
      </c>
      <c r="F576" s="280" t="str">
        <f>VLOOKUP(A576,Import!A:J,6,0)</f>
        <v/>
      </c>
      <c r="G576" s="289">
        <f>VLOOKUP(A576,Import!A:J,7,0)</f>
        <v>14</v>
      </c>
      <c r="H576" s="289">
        <f>VLOOKUP(A576,Import!A:J,8,0)</f>
        <v>45</v>
      </c>
      <c r="I576" s="289">
        <f>VLOOKUP(A576,Import!A:J,9,0)</f>
        <v>59</v>
      </c>
      <c r="J576" s="282">
        <f>VLOOKUP(A576,Import!A:J,10,0)</f>
        <v>0.24</v>
      </c>
      <c r="K576" s="244" t="str">
        <f>VLOOKUP(A576,Import!A:P,11,0)</f>
        <v>ERHAN UZUN</v>
      </c>
      <c r="L576" s="150">
        <v>5.320566815E9</v>
      </c>
      <c r="M576" s="150" t="s">
        <v>2666</v>
      </c>
      <c r="N576" s="150" t="s">
        <v>2721</v>
      </c>
      <c r="O576" s="150" t="s">
        <v>4042</v>
      </c>
      <c r="P576" s="244" t="str">
        <f>VLOOKUP(A576,Import!A:P,16,0)</f>
        <v>Geleneksel</v>
      </c>
      <c r="Q576" s="291" t="s">
        <v>2713</v>
      </c>
      <c r="R576" s="292" t="b">
        <v>1</v>
      </c>
      <c r="S576" s="293" t="b">
        <v>0</v>
      </c>
      <c r="T576" s="149" t="s">
        <v>2661</v>
      </c>
      <c r="U576" s="149" t="s">
        <v>1000</v>
      </c>
      <c r="V576" s="149" t="s">
        <v>13</v>
      </c>
      <c r="W576" s="149" t="s">
        <v>2810</v>
      </c>
      <c r="X576" s="294">
        <v>44265.0</v>
      </c>
      <c r="Y576" s="294">
        <v>44266.0</v>
      </c>
      <c r="Z576" s="288"/>
      <c r="AA576" s="288"/>
      <c r="AB576" s="288"/>
      <c r="AC576" s="288"/>
      <c r="AD576" s="288"/>
      <c r="AE576" s="160"/>
      <c r="AF576" s="288"/>
      <c r="AG576" s="160"/>
      <c r="AH576" s="288"/>
      <c r="AI576" s="288"/>
      <c r="AJ576" s="288"/>
      <c r="AK576" s="288"/>
      <c r="AL576" s="288"/>
      <c r="AM576" s="288"/>
      <c r="AN576" s="288"/>
      <c r="AO576" s="288"/>
      <c r="AP576" s="150" t="s">
        <v>2663</v>
      </c>
      <c r="AQ576" s="288"/>
    </row>
    <row r="577">
      <c r="A577" s="244" t="s">
        <v>837</v>
      </c>
      <c r="B577" s="244" t="s">
        <v>838</v>
      </c>
      <c r="C577" s="175" t="str">
        <f>VLOOKUP(A577,Import!A:C,3,false)</f>
        <v>DOĞRU</v>
      </c>
      <c r="D577" s="244" t="s">
        <v>2850</v>
      </c>
      <c r="E577" s="280">
        <f>VLOOKUP(A577,Import!A:J,5,0)</f>
        <v>2662</v>
      </c>
      <c r="F577" s="280">
        <f>VLOOKUP(A577,Import!A:J,6,0)</f>
        <v>76</v>
      </c>
      <c r="G577" s="289">
        <f>VLOOKUP(A577,Import!A:J,7,0)</f>
        <v>11</v>
      </c>
      <c r="H577" s="289">
        <f>VLOOKUP(A577,Import!A:J,8,0)</f>
        <v>20</v>
      </c>
      <c r="I577" s="289">
        <f>VLOOKUP(A577,Import!A:J,9,0)</f>
        <v>31</v>
      </c>
      <c r="J577" s="282">
        <f>VLOOKUP(A577,Import!A:J,10,0)</f>
        <v>0.35</v>
      </c>
      <c r="K577" s="244" t="str">
        <f>VLOOKUP(A577,Import!A:P,11,0)</f>
        <v>İlknur Kalabak</v>
      </c>
      <c r="L577" s="280">
        <v>5.309419538E9</v>
      </c>
      <c r="M577" s="244" t="s">
        <v>2666</v>
      </c>
      <c r="N577" s="244" t="s">
        <v>2667</v>
      </c>
      <c r="O577" s="244" t="s">
        <v>840</v>
      </c>
      <c r="P577" s="244" t="str">
        <f>VLOOKUP(A577,Import!A:P,16,0)</f>
        <v>Geleneksel</v>
      </c>
      <c r="Q577" s="291" t="s">
        <v>2660</v>
      </c>
      <c r="R577" s="292" t="b">
        <v>1</v>
      </c>
      <c r="S577" s="293" t="b">
        <v>0</v>
      </c>
      <c r="T577" s="165" t="s">
        <v>2714</v>
      </c>
      <c r="U577" s="165" t="s">
        <v>1971</v>
      </c>
      <c r="V577" s="269" t="s">
        <v>1609</v>
      </c>
      <c r="W577" s="165" t="s">
        <v>4043</v>
      </c>
      <c r="X577" s="295">
        <v>44517.0</v>
      </c>
      <c r="Y577" s="295">
        <v>44522.0</v>
      </c>
      <c r="Z577" s="288"/>
      <c r="AA577" s="165" t="s">
        <v>2669</v>
      </c>
      <c r="AB577" s="295">
        <v>44517.0</v>
      </c>
      <c r="AC577" s="165" t="s">
        <v>2669</v>
      </c>
      <c r="AD577" s="295">
        <v>44641.0</v>
      </c>
      <c r="AE577" s="160"/>
      <c r="AF577" s="288"/>
      <c r="AG577" s="160"/>
      <c r="AH577" s="288"/>
      <c r="AI577" s="288"/>
      <c r="AJ577" s="288"/>
      <c r="AK577" s="165" t="s">
        <v>1971</v>
      </c>
      <c r="AL577" s="165" t="s">
        <v>1791</v>
      </c>
      <c r="AM577" s="288"/>
      <c r="AN577" s="288"/>
      <c r="AO577" s="288"/>
      <c r="AP577" s="150" t="s">
        <v>2663</v>
      </c>
      <c r="AQ577" s="288"/>
    </row>
    <row r="578">
      <c r="A578" s="150" t="s">
        <v>4044</v>
      </c>
      <c r="B578" s="150" t="s">
        <v>4045</v>
      </c>
      <c r="C578" s="175" t="str">
        <f>VLOOKUP(A578,Import!A:C,3,false)</f>
        <v>DOĞRU</v>
      </c>
      <c r="D578" s="150" t="s">
        <v>2724</v>
      </c>
      <c r="E578" s="280">
        <f>VLOOKUP(A578,Import!A:J,5,0)</f>
        <v>2409</v>
      </c>
      <c r="F578" s="280" t="str">
        <f>VLOOKUP(A578,Import!A:J,6,0)</f>
        <v/>
      </c>
      <c r="G578" s="289">
        <f>VLOOKUP(A578,Import!A:J,7,0)</f>
        <v>0</v>
      </c>
      <c r="H578" s="289">
        <f>VLOOKUP(A578,Import!A:J,8,0)</f>
        <v>23</v>
      </c>
      <c r="I578" s="289">
        <f>VLOOKUP(A578,Import!A:J,9,0)</f>
        <v>23</v>
      </c>
      <c r="J578" s="282">
        <f>VLOOKUP(A578,Import!A:J,10,0)</f>
        <v>0</v>
      </c>
      <c r="K578" s="244" t="str">
        <f>VLOOKUP(A578,Import!A:P,11,0)</f>
        <v>İSMAİL. ÇİFTÇİ</v>
      </c>
      <c r="L578" s="150">
        <v>2.223305522E9</v>
      </c>
      <c r="M578" s="150" t="s">
        <v>2666</v>
      </c>
      <c r="N578" s="150" t="s">
        <v>2682</v>
      </c>
      <c r="O578" s="150" t="s">
        <v>4046</v>
      </c>
      <c r="P578" s="244" t="str">
        <f>VLOOKUP(A578,Import!A:P,16,0)</f>
        <v>Geleneksel</v>
      </c>
      <c r="Q578" s="315" t="s">
        <v>2713</v>
      </c>
      <c r="R578" s="292" t="b">
        <v>1</v>
      </c>
      <c r="S578" s="293" t="b">
        <v>0</v>
      </c>
      <c r="T578" s="149" t="s">
        <v>2714</v>
      </c>
      <c r="U578" s="296"/>
      <c r="V578" s="296"/>
      <c r="W578" s="149" t="s">
        <v>4047</v>
      </c>
      <c r="X578" s="297"/>
      <c r="Y578" s="297"/>
      <c r="Z578" s="288"/>
      <c r="AA578" s="165" t="s">
        <v>2669</v>
      </c>
      <c r="AB578" s="295">
        <v>44489.0</v>
      </c>
      <c r="AC578" s="160"/>
      <c r="AD578" s="288"/>
      <c r="AE578" s="160"/>
      <c r="AF578" s="288"/>
      <c r="AG578" s="160"/>
      <c r="AH578" s="288"/>
      <c r="AI578" s="288"/>
      <c r="AJ578" s="288"/>
      <c r="AK578" s="165" t="s">
        <v>1717</v>
      </c>
      <c r="AL578" s="288"/>
      <c r="AM578" s="288"/>
      <c r="AN578" s="288"/>
      <c r="AO578" s="288"/>
      <c r="AP578" s="150" t="s">
        <v>2663</v>
      </c>
      <c r="AQ578" s="288"/>
    </row>
    <row r="579">
      <c r="A579" s="150" t="s">
        <v>4048</v>
      </c>
      <c r="B579" s="150" t="s">
        <v>4049</v>
      </c>
      <c r="C579" s="175" t="str">
        <f>VLOOKUP(A579,Import!A:C,3,false)</f>
        <v>DOĞRU</v>
      </c>
      <c r="D579" s="150" t="s">
        <v>2763</v>
      </c>
      <c r="E579" s="280">
        <f>VLOOKUP(A579,Import!A:J,5,0)</f>
        <v>9</v>
      </c>
      <c r="F579" s="280" t="str">
        <f>VLOOKUP(A579,Import!A:J,6,0)</f>
        <v/>
      </c>
      <c r="G579" s="289">
        <f>VLOOKUP(A579,Import!A:J,7,0)</f>
        <v>0</v>
      </c>
      <c r="H579" s="289">
        <f>VLOOKUP(A579,Import!A:J,8,0)</f>
        <v>15</v>
      </c>
      <c r="I579" s="289">
        <f>VLOOKUP(A579,Import!A:J,9,0)</f>
        <v>15</v>
      </c>
      <c r="J579" s="282">
        <f>VLOOKUP(A579,Import!A:J,10,0)</f>
        <v>0</v>
      </c>
      <c r="K579" s="290" t="s">
        <v>3715</v>
      </c>
      <c r="L579" s="150">
        <v>5.413662656E9</v>
      </c>
      <c r="M579" s="150" t="s">
        <v>2666</v>
      </c>
      <c r="N579" s="150" t="s">
        <v>2750</v>
      </c>
      <c r="O579" s="150" t="s">
        <v>3716</v>
      </c>
      <c r="P579" s="244" t="str">
        <f>VLOOKUP(A579,Import!A:P,16,0)</f>
        <v>Geleneksel</v>
      </c>
      <c r="Q579" s="291"/>
      <c r="R579" s="292" t="b">
        <v>1</v>
      </c>
      <c r="S579" s="293" t="b">
        <v>0</v>
      </c>
      <c r="T579" s="149"/>
      <c r="U579" s="296"/>
      <c r="V579" s="296"/>
      <c r="W579" s="149" t="s">
        <v>4050</v>
      </c>
      <c r="X579" s="297"/>
      <c r="Y579" s="297"/>
      <c r="Z579" s="288"/>
      <c r="AA579" s="165" t="s">
        <v>2772</v>
      </c>
      <c r="AB579" s="295">
        <v>44625.0</v>
      </c>
      <c r="AC579" s="288"/>
      <c r="AD579" s="288"/>
      <c r="AE579" s="160"/>
      <c r="AF579" s="288"/>
      <c r="AG579" s="160"/>
      <c r="AH579" s="288"/>
      <c r="AI579" s="288"/>
      <c r="AJ579" s="288"/>
      <c r="AK579" s="165" t="s">
        <v>921</v>
      </c>
      <c r="AL579" s="288"/>
      <c r="AM579" s="288"/>
      <c r="AN579" s="288"/>
      <c r="AO579" s="165"/>
      <c r="AP579" s="150"/>
      <c r="AQ579" s="165"/>
    </row>
    <row r="580">
      <c r="A580" s="244" t="s">
        <v>4051</v>
      </c>
      <c r="B580" s="244" t="s">
        <v>4052</v>
      </c>
      <c r="C580" s="175" t="str">
        <f>VLOOKUP(A580,Import!A:C,3,false)</f>
        <v>DOĞRU</v>
      </c>
      <c r="D580" s="175" t="s">
        <v>2763</v>
      </c>
      <c r="E580" s="280">
        <f>VLOOKUP(A580,Import!A:J,5,0)</f>
        <v>12321</v>
      </c>
      <c r="F580" s="280">
        <f>VLOOKUP(A580,Import!A:J,6,0)</f>
        <v>183</v>
      </c>
      <c r="G580" s="289">
        <f>VLOOKUP(A580,Import!A:J,7,0)</f>
        <v>12</v>
      </c>
      <c r="H580" s="289">
        <f>VLOOKUP(A580,Import!A:J,8,0)</f>
        <v>3</v>
      </c>
      <c r="I580" s="289">
        <f>VLOOKUP(A580,Import!A:J,9,0)</f>
        <v>15</v>
      </c>
      <c r="J580" s="282">
        <f>VLOOKUP(A580,Import!A:J,10,0)</f>
        <v>0.8</v>
      </c>
      <c r="K580" s="244" t="str">
        <f>VLOOKUP(A580,Import!A:P,11,0)</f>
        <v>Nafize Şengür</v>
      </c>
      <c r="L580" s="283">
        <v>5.553296805E9</v>
      </c>
      <c r="M580" s="175" t="s">
        <v>2666</v>
      </c>
      <c r="N580" s="175" t="s">
        <v>2682</v>
      </c>
      <c r="O580" s="175" t="s">
        <v>4053</v>
      </c>
      <c r="P580" s="244" t="str">
        <f>VLOOKUP(A580,Import!A:P,16,0)</f>
        <v>Geleneksel</v>
      </c>
      <c r="Q580" s="284" t="s">
        <v>2760</v>
      </c>
      <c r="R580" s="285" t="b">
        <v>1</v>
      </c>
      <c r="S580" s="285" t="b">
        <v>1</v>
      </c>
      <c r="T580" s="298"/>
      <c r="U580" s="298"/>
      <c r="V580" s="398"/>
      <c r="W580" s="298"/>
      <c r="X580" s="299"/>
      <c r="Y580" s="299"/>
      <c r="Z580" s="288"/>
      <c r="AA580" s="288"/>
      <c r="AB580" s="288"/>
      <c r="AC580" s="288"/>
      <c r="AD580" s="288"/>
      <c r="AE580" s="160"/>
      <c r="AF580" s="288"/>
      <c r="AG580" s="160"/>
      <c r="AH580" s="288"/>
      <c r="AI580" s="288"/>
      <c r="AJ580" s="288"/>
      <c r="AK580" s="288"/>
      <c r="AL580" s="288"/>
      <c r="AM580" s="288"/>
      <c r="AN580" s="288"/>
      <c r="AO580" s="288"/>
      <c r="AP580" s="150" t="s">
        <v>2663</v>
      </c>
      <c r="AQ580" s="288"/>
    </row>
    <row r="581">
      <c r="A581" s="150" t="s">
        <v>4054</v>
      </c>
      <c r="B581" s="150" t="s">
        <v>4055</v>
      </c>
      <c r="C581" s="175" t="str">
        <f>VLOOKUP(A581,Import!A:C,3,false)</f>
        <v>DOĞRU</v>
      </c>
      <c r="D581" s="150" t="s">
        <v>2850</v>
      </c>
      <c r="E581" s="280">
        <f>VLOOKUP(A581,Import!A:J,5,0)</f>
        <v>721</v>
      </c>
      <c r="F581" s="280">
        <f>VLOOKUP(A581,Import!A:J,6,0)</f>
        <v>88</v>
      </c>
      <c r="G581" s="289">
        <f>VLOOKUP(A581,Import!A:J,7,0)</f>
        <v>0</v>
      </c>
      <c r="H581" s="289">
        <f>VLOOKUP(A581,Import!A:J,8,0)</f>
        <v>21</v>
      </c>
      <c r="I581" s="289">
        <f>VLOOKUP(A581,Import!A:J,9,0)</f>
        <v>21</v>
      </c>
      <c r="J581" s="282">
        <f>VLOOKUP(A581,Import!A:J,10,0)</f>
        <v>0</v>
      </c>
      <c r="K581" s="290" t="s">
        <v>4056</v>
      </c>
      <c r="L581" s="150">
        <v>2.223220045E9</v>
      </c>
      <c r="M581" s="150" t="s">
        <v>2666</v>
      </c>
      <c r="N581" s="150" t="s">
        <v>2721</v>
      </c>
      <c r="O581" s="150" t="s">
        <v>4057</v>
      </c>
      <c r="P581" s="244" t="str">
        <f>VLOOKUP(A581,Import!A:P,16,0)</f>
        <v>Geleneksel</v>
      </c>
      <c r="Q581" s="291"/>
      <c r="R581" s="292" t="b">
        <v>1</v>
      </c>
      <c r="S581" s="292" t="b">
        <v>1</v>
      </c>
      <c r="T581" s="149"/>
      <c r="U581" s="296"/>
      <c r="V581" s="312"/>
      <c r="W581" s="149" t="s">
        <v>2384</v>
      </c>
      <c r="X581" s="297"/>
      <c r="Y581" s="297"/>
      <c r="Z581" s="288"/>
      <c r="AA581" s="165" t="s">
        <v>2669</v>
      </c>
      <c r="AB581" s="295">
        <v>44522.0</v>
      </c>
      <c r="AC581" s="288"/>
      <c r="AD581" s="288"/>
      <c r="AE581" s="160"/>
      <c r="AF581" s="288"/>
      <c r="AG581" s="160"/>
      <c r="AH581" s="288"/>
      <c r="AI581" s="288"/>
      <c r="AJ581" s="288"/>
      <c r="AK581" s="165" t="s">
        <v>1791</v>
      </c>
      <c r="AL581" s="288"/>
      <c r="AM581" s="288"/>
      <c r="AN581" s="288"/>
      <c r="AO581" s="165"/>
      <c r="AP581" s="150" t="s">
        <v>2663</v>
      </c>
      <c r="AQ581" s="165"/>
    </row>
    <row r="582">
      <c r="A582" s="150" t="s">
        <v>4058</v>
      </c>
      <c r="B582" s="150" t="s">
        <v>4059</v>
      </c>
      <c r="C582" s="175" t="str">
        <f>VLOOKUP(A582,Import!A:C,3,false)</f>
        <v>DOĞRU</v>
      </c>
      <c r="D582" s="150" t="s">
        <v>2850</v>
      </c>
      <c r="E582" s="280">
        <f>VLOOKUP(A582,Import!A:J,5,0)</f>
        <v>754</v>
      </c>
      <c r="F582" s="280">
        <f>VLOOKUP(A582,Import!A:J,6,0)</f>
        <v>309</v>
      </c>
      <c r="G582" s="289">
        <f>VLOOKUP(A582,Import!A:J,7,0)</f>
        <v>0</v>
      </c>
      <c r="H582" s="289">
        <f>VLOOKUP(A582,Import!A:J,8,0)</f>
        <v>21</v>
      </c>
      <c r="I582" s="289">
        <f>VLOOKUP(A582,Import!A:J,9,0)</f>
        <v>21</v>
      </c>
      <c r="J582" s="282">
        <f>VLOOKUP(A582,Import!A:J,10,0)</f>
        <v>0</v>
      </c>
      <c r="K582" s="290" t="s">
        <v>4060</v>
      </c>
      <c r="L582" s="150">
        <v>5.382743426E9</v>
      </c>
      <c r="M582" s="150" t="s">
        <v>1450</v>
      </c>
      <c r="N582" s="150" t="s">
        <v>2732</v>
      </c>
      <c r="O582" s="150" t="s">
        <v>3644</v>
      </c>
      <c r="P582" s="244" t="str">
        <f>VLOOKUP(A582,Import!A:P,16,0)</f>
        <v>Geleneksel</v>
      </c>
      <c r="Q582" s="291"/>
      <c r="R582" s="292" t="b">
        <v>1</v>
      </c>
      <c r="S582" s="293" t="b">
        <v>0</v>
      </c>
      <c r="T582" s="149" t="s">
        <v>2770</v>
      </c>
      <c r="U582" s="296"/>
      <c r="V582" s="296"/>
      <c r="W582" s="149" t="s">
        <v>4061</v>
      </c>
      <c r="X582" s="297"/>
      <c r="Y582" s="297"/>
      <c r="Z582" s="288"/>
      <c r="AA582" s="165" t="s">
        <v>2669</v>
      </c>
      <c r="AB582" s="295">
        <v>44641.0</v>
      </c>
      <c r="AC582" s="288"/>
      <c r="AD582" s="288"/>
      <c r="AE582" s="160"/>
      <c r="AF582" s="288"/>
      <c r="AG582" s="160"/>
      <c r="AH582" s="288"/>
      <c r="AI582" s="288"/>
      <c r="AJ582" s="288"/>
      <c r="AK582" s="165" t="s">
        <v>1791</v>
      </c>
      <c r="AL582" s="288"/>
      <c r="AM582" s="288"/>
      <c r="AN582" s="288"/>
      <c r="AO582" s="165"/>
      <c r="AP582" s="150"/>
      <c r="AQ582" s="165"/>
    </row>
    <row r="583">
      <c r="A583" s="147" t="s">
        <v>4062</v>
      </c>
      <c r="B583" s="147" t="s">
        <v>4063</v>
      </c>
      <c r="C583" s="175" t="str">
        <f>VLOOKUP(A583,Import!A:C,3,false)</f>
        <v>DOĞRU</v>
      </c>
      <c r="D583" s="147" t="s">
        <v>2850</v>
      </c>
      <c r="E583" s="280">
        <f>VLOOKUP(A583,Import!A:J,5,0)</f>
        <v>21899</v>
      </c>
      <c r="F583" s="280">
        <f>VLOOKUP(A583,Import!A:J,6,0)</f>
        <v>955</v>
      </c>
      <c r="G583" s="289">
        <f>VLOOKUP(A583,Import!A:J,7,0)</f>
        <v>1</v>
      </c>
      <c r="H583" s="289">
        <f>VLOOKUP(A583,Import!A:J,8,0)</f>
        <v>53</v>
      </c>
      <c r="I583" s="289">
        <f>VLOOKUP(A583,Import!A:J,9,0)</f>
        <v>54</v>
      </c>
      <c r="J583" s="282">
        <f>VLOOKUP(A583,Import!A:J,10,0)</f>
        <v>0.02</v>
      </c>
      <c r="K583" s="244" t="str">
        <f>VLOOKUP(A583,Import!A:P,11,0)</f>
        <v>Recep Yılmaz</v>
      </c>
      <c r="L583" s="147">
        <v>5.377679777E9</v>
      </c>
      <c r="M583" s="147" t="s">
        <v>2666</v>
      </c>
      <c r="N583" s="147" t="s">
        <v>2682</v>
      </c>
      <c r="O583" s="147" t="s">
        <v>4064</v>
      </c>
      <c r="P583" s="244" t="str">
        <f>VLOOKUP(A583,Import!A:P,16,0)</f>
        <v>Geleneksel</v>
      </c>
      <c r="Q583" s="330"/>
      <c r="R583" s="292" t="b">
        <v>1</v>
      </c>
      <c r="S583" s="293" t="b">
        <v>0</v>
      </c>
      <c r="T583" s="149" t="s">
        <v>2661</v>
      </c>
      <c r="U583" s="296"/>
      <c r="V583" s="296"/>
      <c r="W583" s="149" t="s">
        <v>4065</v>
      </c>
      <c r="X583" s="297"/>
      <c r="Y583" s="297"/>
      <c r="Z583" s="288"/>
      <c r="AA583" s="288"/>
      <c r="AB583" s="288"/>
      <c r="AC583" s="288"/>
      <c r="AD583" s="288"/>
      <c r="AE583" s="160"/>
      <c r="AF583" s="288"/>
      <c r="AG583" s="160"/>
      <c r="AH583" s="288"/>
      <c r="AI583" s="288"/>
      <c r="AJ583" s="288"/>
      <c r="AK583" s="288"/>
      <c r="AL583" s="288"/>
      <c r="AM583" s="288"/>
      <c r="AN583" s="288"/>
      <c r="AO583" s="288"/>
      <c r="AP583" s="150" t="s">
        <v>2663</v>
      </c>
      <c r="AQ583" s="288"/>
    </row>
    <row r="584">
      <c r="A584" s="150" t="s">
        <v>4066</v>
      </c>
      <c r="B584" s="150" t="s">
        <v>4067</v>
      </c>
      <c r="C584" s="175" t="str">
        <f>VLOOKUP(A584,Import!A:C,3,false)</f>
        <v>DOĞRU</v>
      </c>
      <c r="D584" s="150" t="s">
        <v>2664</v>
      </c>
      <c r="E584" s="280">
        <f>VLOOKUP(A584,Import!A:J,5,0)</f>
        <v>36</v>
      </c>
      <c r="F584" s="280" t="str">
        <f>VLOOKUP(A584,Import!A:J,6,0)</f>
        <v/>
      </c>
      <c r="G584" s="289">
        <f>VLOOKUP(A584,Import!A:J,7,0)</f>
        <v>0</v>
      </c>
      <c r="H584" s="289">
        <f>VLOOKUP(A584,Import!A:J,8,0)</f>
        <v>14</v>
      </c>
      <c r="I584" s="289">
        <f>VLOOKUP(A584,Import!A:J,9,0)</f>
        <v>14</v>
      </c>
      <c r="J584" s="282">
        <f>VLOOKUP(A584,Import!A:J,10,0)</f>
        <v>0</v>
      </c>
      <c r="K584" s="290" t="s">
        <v>4068</v>
      </c>
      <c r="L584" s="150">
        <v>5.372088183E9</v>
      </c>
      <c r="M584" s="150" t="s">
        <v>2666</v>
      </c>
      <c r="N584" s="150" t="s">
        <v>2682</v>
      </c>
      <c r="O584" s="150" t="s">
        <v>4026</v>
      </c>
      <c r="P584" s="244" t="str">
        <f>VLOOKUP(A584,Import!A:P,16,0)</f>
        <v>Geleneksel</v>
      </c>
      <c r="Q584" s="291"/>
      <c r="R584" s="292" t="b">
        <v>1</v>
      </c>
      <c r="S584" s="293" t="b">
        <v>0</v>
      </c>
      <c r="T584" s="149" t="s">
        <v>2714</v>
      </c>
      <c r="U584" s="296"/>
      <c r="V584" s="296"/>
      <c r="W584" s="149" t="s">
        <v>4069</v>
      </c>
      <c r="X584" s="297"/>
      <c r="Y584" s="297"/>
      <c r="Z584" s="288"/>
      <c r="AA584" s="165" t="s">
        <v>2693</v>
      </c>
      <c r="AB584" s="295">
        <v>44540.0</v>
      </c>
      <c r="AC584" s="165" t="s">
        <v>2669</v>
      </c>
      <c r="AD584" s="295">
        <v>44548.0</v>
      </c>
      <c r="AE584" s="160"/>
      <c r="AF584" s="288"/>
      <c r="AG584" s="160"/>
      <c r="AH584" s="288"/>
      <c r="AI584" s="288"/>
      <c r="AJ584" s="288"/>
      <c r="AK584" s="165" t="s">
        <v>921</v>
      </c>
      <c r="AL584" s="165" t="s">
        <v>1621</v>
      </c>
      <c r="AM584" s="288"/>
      <c r="AN584" s="288"/>
      <c r="AO584" s="165"/>
      <c r="AP584" s="150" t="s">
        <v>2663</v>
      </c>
      <c r="AQ584" s="165"/>
    </row>
    <row r="585">
      <c r="A585" s="150" t="s">
        <v>4070</v>
      </c>
      <c r="B585" s="150" t="s">
        <v>4071</v>
      </c>
      <c r="C585" s="175" t="str">
        <f>VLOOKUP(A585,Import!A:C,3,false)</f>
        <v>YANLIŞ</v>
      </c>
      <c r="D585" s="150" t="s">
        <v>2724</v>
      </c>
      <c r="E585" s="280">
        <f>VLOOKUP(A585,Import!A:J,5,0)</f>
        <v>313</v>
      </c>
      <c r="F585" s="280" t="str">
        <f>VLOOKUP(A585,Import!A:J,6,0)</f>
        <v/>
      </c>
      <c r="G585" s="289">
        <f>VLOOKUP(A585,Import!A:J,7,0)</f>
        <v>0</v>
      </c>
      <c r="H585" s="289">
        <f>VLOOKUP(A585,Import!A:J,8,0)</f>
        <v>77</v>
      </c>
      <c r="I585" s="289">
        <f>VLOOKUP(A585,Import!A:J,9,0)</f>
        <v>77</v>
      </c>
      <c r="J585" s="282">
        <f>VLOOKUP(A585,Import!A:J,10,0)</f>
        <v>0</v>
      </c>
      <c r="K585" s="244" t="str">
        <f>VLOOKUP(A585,Import!A:P,11,0)</f>
        <v>İSMAİL ERDEM</v>
      </c>
      <c r="L585" s="150">
        <v>2.223303353E9</v>
      </c>
      <c r="M585" s="150" t="s">
        <v>2666</v>
      </c>
      <c r="N585" s="150" t="s">
        <v>2667</v>
      </c>
      <c r="O585" s="150" t="s">
        <v>4072</v>
      </c>
      <c r="P585" s="244" t="str">
        <f>VLOOKUP(A585,Import!A:P,16,0)</f>
        <v>Key</v>
      </c>
      <c r="Q585" s="291" t="s">
        <v>2713</v>
      </c>
      <c r="R585" s="292" t="b">
        <v>1</v>
      </c>
      <c r="S585" s="293" t="b">
        <v>0</v>
      </c>
      <c r="T585" s="296"/>
      <c r="U585" s="296"/>
      <c r="V585" s="296"/>
      <c r="W585" s="149" t="s">
        <v>2926</v>
      </c>
      <c r="X585" s="297"/>
      <c r="Y585" s="297"/>
      <c r="Z585" s="288"/>
      <c r="AA585" s="288"/>
      <c r="AB585" s="288"/>
      <c r="AC585" s="288"/>
      <c r="AD585" s="288"/>
      <c r="AE585" s="160"/>
      <c r="AF585" s="288"/>
      <c r="AG585" s="160"/>
      <c r="AH585" s="288"/>
      <c r="AI585" s="288"/>
      <c r="AJ585" s="288"/>
      <c r="AK585" s="288"/>
      <c r="AL585" s="288"/>
      <c r="AM585" s="288"/>
      <c r="AN585" s="288"/>
      <c r="AO585" s="288"/>
      <c r="AP585" s="150" t="s">
        <v>4017</v>
      </c>
      <c r="AQ585" s="288"/>
    </row>
    <row r="586">
      <c r="A586" s="147" t="s">
        <v>4073</v>
      </c>
      <c r="B586" s="147" t="s">
        <v>4074</v>
      </c>
      <c r="C586" s="175" t="str">
        <f>VLOOKUP(A586,Import!A:C,3,false)</f>
        <v>DOĞRU</v>
      </c>
      <c r="D586" s="147" t="s">
        <v>2664</v>
      </c>
      <c r="E586" s="280">
        <f>VLOOKUP(A586,Import!A:J,5,0)</f>
        <v>281</v>
      </c>
      <c r="F586" s="280" t="str">
        <f>VLOOKUP(A586,Import!A:J,6,0)</f>
        <v/>
      </c>
      <c r="G586" s="289">
        <f>VLOOKUP(A586,Import!A:J,7,0)</f>
        <v>0</v>
      </c>
      <c r="H586" s="289">
        <f>VLOOKUP(A586,Import!A:J,8,0)</f>
        <v>19</v>
      </c>
      <c r="I586" s="289">
        <f>VLOOKUP(A586,Import!A:J,9,0)</f>
        <v>19</v>
      </c>
      <c r="J586" s="282">
        <f>VLOOKUP(A586,Import!A:J,10,0)</f>
        <v>0</v>
      </c>
      <c r="K586" s="244" t="str">
        <f>VLOOKUP(A586,Import!A:P,11,0)</f>
        <v>Muhammed Özgür Şimşek</v>
      </c>
      <c r="L586" s="147">
        <v>5.538221767E9</v>
      </c>
      <c r="M586" s="147" t="s">
        <v>2666</v>
      </c>
      <c r="N586" s="147" t="s">
        <v>2721</v>
      </c>
      <c r="O586" s="147" t="s">
        <v>2837</v>
      </c>
      <c r="P586" s="244" t="str">
        <f>VLOOKUP(A586,Import!A:P,16,0)</f>
        <v>Geleneksel</v>
      </c>
      <c r="Q586" s="330"/>
      <c r="R586" s="292" t="b">
        <v>1</v>
      </c>
      <c r="S586" s="293" t="b">
        <v>0</v>
      </c>
      <c r="T586" s="149" t="s">
        <v>2714</v>
      </c>
      <c r="U586" s="296"/>
      <c r="V586" s="296"/>
      <c r="W586" s="149" t="s">
        <v>4075</v>
      </c>
      <c r="X586" s="297"/>
      <c r="Y586" s="297"/>
      <c r="Z586" s="288"/>
      <c r="AA586" s="288"/>
      <c r="AB586" s="288"/>
      <c r="AC586" s="288"/>
      <c r="AD586" s="288"/>
      <c r="AE586" s="160"/>
      <c r="AF586" s="288"/>
      <c r="AG586" s="160"/>
      <c r="AH586" s="288"/>
      <c r="AI586" s="288"/>
      <c r="AJ586" s="288"/>
      <c r="AK586" s="288"/>
      <c r="AL586" s="288"/>
      <c r="AM586" s="288"/>
      <c r="AN586" s="288"/>
      <c r="AO586" s="288"/>
      <c r="AP586" s="150" t="s">
        <v>2663</v>
      </c>
      <c r="AQ586" s="288"/>
    </row>
    <row r="587">
      <c r="A587" s="244" t="s">
        <v>2441</v>
      </c>
      <c r="B587" s="244" t="s">
        <v>2442</v>
      </c>
      <c r="C587" s="175" t="str">
        <f>VLOOKUP(A587,Import!A:C,3,false)</f>
        <v>DOĞRU</v>
      </c>
      <c r="D587" s="244" t="s">
        <v>2751</v>
      </c>
      <c r="E587" s="280">
        <f>VLOOKUP(A587,Import!A:J,5,0)</f>
        <v>3748</v>
      </c>
      <c r="F587" s="280">
        <f>VLOOKUP(A587,Import!A:J,6,0)</f>
        <v>40</v>
      </c>
      <c r="G587" s="289">
        <f>VLOOKUP(A587,Import!A:J,7,0)</f>
        <v>5</v>
      </c>
      <c r="H587" s="289">
        <f>VLOOKUP(A587,Import!A:J,8,0)</f>
        <v>1</v>
      </c>
      <c r="I587" s="289">
        <f>VLOOKUP(A587,Import!A:J,9,0)</f>
        <v>6</v>
      </c>
      <c r="J587" s="282">
        <f>VLOOKUP(A587,Import!A:J,10,0)</f>
        <v>0.83</v>
      </c>
      <c r="K587" s="244" t="str">
        <f>VLOOKUP(A587,Import!A:P,11,0)</f>
        <v>TANER KESİKBAŞ</v>
      </c>
      <c r="L587" s="280">
        <v>2.222261326E9</v>
      </c>
      <c r="M587" s="244" t="s">
        <v>1450</v>
      </c>
      <c r="N587" s="244" t="s">
        <v>2700</v>
      </c>
      <c r="O587" s="244" t="s">
        <v>2444</v>
      </c>
      <c r="P587" s="244" t="str">
        <f>VLOOKUP(A587,Import!A:P,16,0)</f>
        <v>Geleneksel</v>
      </c>
      <c r="Q587" s="291" t="s">
        <v>2660</v>
      </c>
      <c r="R587" s="292" t="b">
        <v>1</v>
      </c>
      <c r="S587" s="292" t="b">
        <v>0</v>
      </c>
      <c r="T587" s="165" t="s">
        <v>2661</v>
      </c>
      <c r="U587" s="165" t="s">
        <v>819</v>
      </c>
      <c r="V587" s="165" t="s">
        <v>1609</v>
      </c>
      <c r="W587" s="165" t="s">
        <v>4076</v>
      </c>
      <c r="X587" s="295">
        <v>44582.0</v>
      </c>
      <c r="Y587" s="295">
        <v>44588.0</v>
      </c>
      <c r="Z587" s="288"/>
      <c r="AA587" s="165" t="s">
        <v>2669</v>
      </c>
      <c r="AB587" s="295">
        <v>44503.0</v>
      </c>
      <c r="AC587" s="165" t="s">
        <v>2669</v>
      </c>
      <c r="AD587" s="295">
        <v>44547.0</v>
      </c>
      <c r="AE587" s="165" t="s">
        <v>2688</v>
      </c>
      <c r="AF587" s="295">
        <v>44582.0</v>
      </c>
      <c r="AG587" s="165" t="s">
        <v>2669</v>
      </c>
      <c r="AH587" s="295">
        <v>44582.0</v>
      </c>
      <c r="AI587" s="165" t="s">
        <v>2669</v>
      </c>
      <c r="AJ587" s="295">
        <v>44583.0</v>
      </c>
      <c r="AK587" s="165" t="s">
        <v>1717</v>
      </c>
      <c r="AL587" s="165" t="s">
        <v>1971</v>
      </c>
      <c r="AM587" s="165" t="s">
        <v>1791</v>
      </c>
      <c r="AN587" s="165" t="s">
        <v>819</v>
      </c>
      <c r="AO587" s="165" t="s">
        <v>2161</v>
      </c>
      <c r="AP587" s="150" t="s">
        <v>2663</v>
      </c>
      <c r="AQ587" s="288"/>
    </row>
    <row r="588">
      <c r="A588" s="147" t="s">
        <v>4077</v>
      </c>
      <c r="B588" s="147" t="s">
        <v>4078</v>
      </c>
      <c r="C588" s="175" t="str">
        <f>VLOOKUP(A588,Import!A:C,3,false)</f>
        <v>DOĞRU</v>
      </c>
      <c r="D588" s="147" t="s">
        <v>2743</v>
      </c>
      <c r="E588" s="280">
        <f>VLOOKUP(A588,Import!A:J,5,0)</f>
        <v>8913</v>
      </c>
      <c r="F588" s="280">
        <f>VLOOKUP(A588,Import!A:J,6,0)</f>
        <v>59</v>
      </c>
      <c r="G588" s="289">
        <f>VLOOKUP(A588,Import!A:J,7,0)</f>
        <v>32</v>
      </c>
      <c r="H588" s="289">
        <f>VLOOKUP(A588,Import!A:J,8,0)</f>
        <v>33</v>
      </c>
      <c r="I588" s="289">
        <f>VLOOKUP(A588,Import!A:J,9,0)</f>
        <v>65</v>
      </c>
      <c r="J588" s="282">
        <f>VLOOKUP(A588,Import!A:J,10,0)</f>
        <v>0.49</v>
      </c>
      <c r="K588" s="244" t="str">
        <f>VLOOKUP(A588,Import!A:P,11,0)</f>
        <v>VOLKAN CETAL</v>
      </c>
      <c r="L588" s="147">
        <v>2.222306356E9</v>
      </c>
      <c r="M588" s="147" t="s">
        <v>1450</v>
      </c>
      <c r="N588" s="147" t="s">
        <v>2716</v>
      </c>
      <c r="O588" s="147" t="s">
        <v>4079</v>
      </c>
      <c r="P588" s="244" t="str">
        <f>VLOOKUP(A588,Import!A:P,16,0)</f>
        <v>Geleneksel</v>
      </c>
      <c r="Q588" s="330"/>
      <c r="R588" s="292" t="b">
        <v>1</v>
      </c>
      <c r="S588" s="292" t="b">
        <v>1</v>
      </c>
      <c r="T588" s="296"/>
      <c r="U588" s="296"/>
      <c r="V588" s="296"/>
      <c r="W588" s="149" t="s">
        <v>4080</v>
      </c>
      <c r="X588" s="297"/>
      <c r="Y588" s="297"/>
      <c r="Z588" s="288"/>
      <c r="AA588" s="165" t="s">
        <v>2669</v>
      </c>
      <c r="AB588" s="295">
        <v>44497.0</v>
      </c>
      <c r="AC588" s="288"/>
      <c r="AD588" s="288"/>
      <c r="AE588" s="160"/>
      <c r="AF588" s="288"/>
      <c r="AG588" s="160"/>
      <c r="AH588" s="288"/>
      <c r="AI588" s="288"/>
      <c r="AJ588" s="288"/>
      <c r="AK588" s="165" t="s">
        <v>1715</v>
      </c>
      <c r="AL588" s="288"/>
      <c r="AM588" s="288"/>
      <c r="AN588" s="288"/>
      <c r="AO588" s="288"/>
      <c r="AP588" s="150" t="s">
        <v>2663</v>
      </c>
      <c r="AQ588" s="288"/>
    </row>
    <row r="589">
      <c r="A589" s="150" t="s">
        <v>2533</v>
      </c>
      <c r="B589" s="150" t="s">
        <v>2534</v>
      </c>
      <c r="C589" s="175" t="str">
        <f>VLOOKUP(A589,Import!A:C,3,false)</f>
        <v>DOĞRU</v>
      </c>
      <c r="D589" s="150" t="s">
        <v>2664</v>
      </c>
      <c r="E589" s="280">
        <f>VLOOKUP(A589,Import!A:J,5,0)</f>
        <v>856</v>
      </c>
      <c r="F589" s="280">
        <f>VLOOKUP(A589,Import!A:J,6,0)</f>
        <v>160</v>
      </c>
      <c r="G589" s="289">
        <f>VLOOKUP(A589,Import!A:J,7,0)</f>
        <v>0</v>
      </c>
      <c r="H589" s="289">
        <f>VLOOKUP(A589,Import!A:J,8,0)</f>
        <v>25</v>
      </c>
      <c r="I589" s="289">
        <f>VLOOKUP(A589,Import!A:J,9,0)</f>
        <v>25</v>
      </c>
      <c r="J589" s="282">
        <f>VLOOKUP(A589,Import!A:J,10,0)</f>
        <v>0</v>
      </c>
      <c r="K589" s="290" t="s">
        <v>4081</v>
      </c>
      <c r="L589" s="150">
        <v>5.38615034E9</v>
      </c>
      <c r="M589" s="150" t="s">
        <v>2666</v>
      </c>
      <c r="N589" s="150" t="s">
        <v>2721</v>
      </c>
      <c r="O589" s="150" t="s">
        <v>2536</v>
      </c>
      <c r="P589" s="244" t="str">
        <f>VLOOKUP(A589,Import!A:P,16,0)</f>
        <v>Geleneksel</v>
      </c>
      <c r="Q589" s="291"/>
      <c r="R589" s="292" t="b">
        <v>1</v>
      </c>
      <c r="S589" s="293" t="b">
        <v>0</v>
      </c>
      <c r="T589" s="149" t="s">
        <v>2770</v>
      </c>
      <c r="U589" s="149" t="s">
        <v>943</v>
      </c>
      <c r="V589" s="363" t="s">
        <v>1609</v>
      </c>
      <c r="W589" s="149" t="s">
        <v>4082</v>
      </c>
      <c r="X589" s="294">
        <v>44622.0</v>
      </c>
      <c r="Y589" s="294">
        <v>44624.0</v>
      </c>
      <c r="Z589" s="288"/>
      <c r="AA589" s="165" t="s">
        <v>2688</v>
      </c>
      <c r="AB589" s="295">
        <v>44593.0</v>
      </c>
      <c r="AC589" s="165" t="s">
        <v>2669</v>
      </c>
      <c r="AD589" s="295">
        <v>44622.0</v>
      </c>
      <c r="AE589" s="160"/>
      <c r="AF589" s="288"/>
      <c r="AG589" s="160"/>
      <c r="AH589" s="288"/>
      <c r="AI589" s="288"/>
      <c r="AJ589" s="288"/>
      <c r="AK589" s="165" t="s">
        <v>1717</v>
      </c>
      <c r="AL589" s="165" t="s">
        <v>943</v>
      </c>
      <c r="AM589" s="288"/>
      <c r="AN589" s="288"/>
      <c r="AO589" s="165"/>
      <c r="AP589" s="150"/>
      <c r="AQ589" s="165"/>
    </row>
    <row r="590">
      <c r="A590" s="150" t="s">
        <v>4083</v>
      </c>
      <c r="B590" s="150" t="s">
        <v>4084</v>
      </c>
      <c r="C590" s="175" t="str">
        <f>VLOOKUP(A590,Import!A:C,3,false)</f>
        <v>DOĞRU</v>
      </c>
      <c r="D590" s="150" t="s">
        <v>2684</v>
      </c>
      <c r="E590" s="280" t="str">
        <f>VLOOKUP(A590,Import!A:J,5,0)</f>
        <v/>
      </c>
      <c r="F590" s="280" t="str">
        <f>VLOOKUP(A590,Import!A:J,6,0)</f>
        <v/>
      </c>
      <c r="G590" s="289">
        <f>VLOOKUP(A590,Import!A:J,7,0)</f>
        <v>0</v>
      </c>
      <c r="H590" s="289">
        <f>VLOOKUP(A590,Import!A:J,8,0)</f>
        <v>17</v>
      </c>
      <c r="I590" s="289">
        <f>VLOOKUP(A590,Import!A:J,9,0)</f>
        <v>17</v>
      </c>
      <c r="J590" s="282">
        <f>VLOOKUP(A590,Import!A:J,10,0)</f>
        <v>0</v>
      </c>
      <c r="K590" s="290" t="s">
        <v>3384</v>
      </c>
      <c r="L590" s="150">
        <v>2.224000006E9</v>
      </c>
      <c r="M590" s="150" t="s">
        <v>2666</v>
      </c>
      <c r="N590" s="150" t="s">
        <v>2774</v>
      </c>
      <c r="O590" s="150" t="s">
        <v>2605</v>
      </c>
      <c r="P590" s="244" t="str">
        <f>VLOOKUP(A590,Import!A:P,16,0)</f>
        <v>Geleneksel</v>
      </c>
      <c r="Q590" s="291"/>
      <c r="R590" s="292" t="b">
        <v>1</v>
      </c>
      <c r="S590" s="293" t="b">
        <v>0</v>
      </c>
      <c r="T590" s="149" t="s">
        <v>4085</v>
      </c>
      <c r="U590" s="296"/>
      <c r="V590" s="296"/>
      <c r="W590" s="149" t="s">
        <v>4086</v>
      </c>
      <c r="X590" s="297"/>
      <c r="Y590" s="297"/>
      <c r="Z590" s="288"/>
      <c r="AA590" s="165" t="s">
        <v>2669</v>
      </c>
      <c r="AB590" s="295">
        <v>44648.0</v>
      </c>
      <c r="AC590" s="288"/>
      <c r="AD590" s="288"/>
      <c r="AE590" s="160"/>
      <c r="AF590" s="288"/>
      <c r="AG590" s="160"/>
      <c r="AH590" s="288"/>
      <c r="AI590" s="288"/>
      <c r="AJ590" s="288"/>
      <c r="AK590" s="165" t="s">
        <v>1791</v>
      </c>
      <c r="AL590" s="288"/>
      <c r="AM590" s="288"/>
      <c r="AN590" s="288"/>
      <c r="AO590" s="165"/>
      <c r="AP590" s="150"/>
      <c r="AQ590" s="165"/>
    </row>
    <row r="591">
      <c r="A591" s="244" t="s">
        <v>797</v>
      </c>
      <c r="B591" s="244" t="s">
        <v>798</v>
      </c>
      <c r="C591" s="175" t="str">
        <f>VLOOKUP(A591,Import!A:C,3,false)</f>
        <v>DOĞRU</v>
      </c>
      <c r="D591" s="244" t="s">
        <v>2672</v>
      </c>
      <c r="E591" s="280">
        <f>VLOOKUP(A591,Import!A:J,5,0)</f>
        <v>2093</v>
      </c>
      <c r="F591" s="280">
        <f>VLOOKUP(A591,Import!A:J,6,0)</f>
        <v>63</v>
      </c>
      <c r="G591" s="289">
        <f>VLOOKUP(A591,Import!A:J,7,0)</f>
        <v>26</v>
      </c>
      <c r="H591" s="289">
        <f>VLOOKUP(A591,Import!A:J,8,0)</f>
        <v>4</v>
      </c>
      <c r="I591" s="289">
        <f>VLOOKUP(A591,Import!A:J,9,0)</f>
        <v>30</v>
      </c>
      <c r="J591" s="282">
        <f>VLOOKUP(A591,Import!A:J,10,0)</f>
        <v>0.87</v>
      </c>
      <c r="K591" s="244" t="str">
        <f>VLOOKUP(A591,Import!A:P,11,0)</f>
        <v>HALİL İBRAHİM YILDIZ</v>
      </c>
      <c r="L591" s="280">
        <v>2.222314433E9</v>
      </c>
      <c r="M591" s="244" t="s">
        <v>1450</v>
      </c>
      <c r="N591" s="244" t="s">
        <v>2716</v>
      </c>
      <c r="O591" s="244" t="s">
        <v>1806</v>
      </c>
      <c r="P591" s="244" t="str">
        <f>VLOOKUP(A591,Import!A:P,16,0)</f>
        <v>Geleneksel</v>
      </c>
      <c r="Q591" s="315" t="s">
        <v>2760</v>
      </c>
      <c r="R591" s="292" t="b">
        <v>1</v>
      </c>
      <c r="S591" s="293" t="b">
        <v>0</v>
      </c>
      <c r="T591" s="165" t="s">
        <v>2661</v>
      </c>
      <c r="U591" s="165" t="s">
        <v>1715</v>
      </c>
      <c r="V591" s="313" t="s">
        <v>1609</v>
      </c>
      <c r="W591" s="165" t="s">
        <v>1807</v>
      </c>
      <c r="X591" s="295">
        <v>44497.0</v>
      </c>
      <c r="Y591" s="295">
        <v>44498.0</v>
      </c>
      <c r="Z591" s="288"/>
      <c r="AA591" s="165" t="s">
        <v>2669</v>
      </c>
      <c r="AB591" s="295">
        <v>44497.0</v>
      </c>
      <c r="AC591" s="288"/>
      <c r="AD591" s="288"/>
      <c r="AE591" s="160"/>
      <c r="AF591" s="288"/>
      <c r="AG591" s="160"/>
      <c r="AH591" s="288"/>
      <c r="AI591" s="288"/>
      <c r="AJ591" s="288"/>
      <c r="AK591" s="165" t="s">
        <v>1715</v>
      </c>
      <c r="AL591" s="288"/>
      <c r="AM591" s="288"/>
      <c r="AN591" s="288"/>
      <c r="AO591" s="288"/>
      <c r="AP591" s="150" t="s">
        <v>2663</v>
      </c>
      <c r="AQ591" s="288"/>
    </row>
    <row r="592">
      <c r="A592" s="150" t="s">
        <v>1478</v>
      </c>
      <c r="B592" s="150" t="s">
        <v>1479</v>
      </c>
      <c r="C592" s="175" t="str">
        <f>VLOOKUP(A592,Import!A:C,3,false)</f>
        <v>DOĞRU</v>
      </c>
      <c r="D592" s="150" t="s">
        <v>2672</v>
      </c>
      <c r="E592" s="280">
        <f>VLOOKUP(A592,Import!A:J,5,0)</f>
        <v>1025</v>
      </c>
      <c r="F592" s="280">
        <f>VLOOKUP(A592,Import!A:J,6,0)</f>
        <v>45</v>
      </c>
      <c r="G592" s="289">
        <f>VLOOKUP(A592,Import!A:J,7,0)</f>
        <v>8</v>
      </c>
      <c r="H592" s="289">
        <f>VLOOKUP(A592,Import!A:J,8,0)</f>
        <v>21</v>
      </c>
      <c r="I592" s="289">
        <f>VLOOKUP(A592,Import!A:J,9,0)</f>
        <v>29</v>
      </c>
      <c r="J592" s="282">
        <f>VLOOKUP(A592,Import!A:J,10,0)</f>
        <v>0.28</v>
      </c>
      <c r="K592" s="244" t="str">
        <f>VLOOKUP(A592,Import!A:P,11,0)</f>
        <v>Mehmet Emin Engiz</v>
      </c>
      <c r="L592" s="150">
        <v>5.432602226E9</v>
      </c>
      <c r="M592" s="150" t="s">
        <v>1450</v>
      </c>
      <c r="N592" s="150" t="s">
        <v>2703</v>
      </c>
      <c r="O592" s="150" t="s">
        <v>1481</v>
      </c>
      <c r="P592" s="244" t="str">
        <f>VLOOKUP(A592,Import!A:P,16,0)</f>
        <v>Geleneksel</v>
      </c>
      <c r="Q592" s="291"/>
      <c r="R592" s="292" t="b">
        <v>1</v>
      </c>
      <c r="S592" s="293" t="b">
        <v>0</v>
      </c>
      <c r="T592" s="149" t="s">
        <v>2661</v>
      </c>
      <c r="U592" s="149" t="s">
        <v>819</v>
      </c>
      <c r="V592" s="296"/>
      <c r="W592" s="149" t="s">
        <v>3383</v>
      </c>
      <c r="X592" s="294">
        <v>44376.0</v>
      </c>
      <c r="Y592" s="294">
        <v>44377.0</v>
      </c>
      <c r="Z592" s="288"/>
      <c r="AA592" s="165" t="s">
        <v>2669</v>
      </c>
      <c r="AB592" s="295">
        <v>44376.0</v>
      </c>
      <c r="AC592" s="288"/>
      <c r="AD592" s="288"/>
      <c r="AE592" s="160"/>
      <c r="AF592" s="288"/>
      <c r="AG592" s="160"/>
      <c r="AH592" s="288"/>
      <c r="AI592" s="288"/>
      <c r="AJ592" s="288"/>
      <c r="AK592" s="165" t="s">
        <v>819</v>
      </c>
      <c r="AL592" s="288"/>
      <c r="AM592" s="288"/>
      <c r="AN592" s="288"/>
      <c r="AO592" s="288"/>
      <c r="AP592" s="150" t="s">
        <v>2663</v>
      </c>
      <c r="AQ592" s="288"/>
    </row>
    <row r="593">
      <c r="A593" s="147" t="s">
        <v>4087</v>
      </c>
      <c r="B593" s="147" t="s">
        <v>4088</v>
      </c>
      <c r="C593" s="175" t="str">
        <f>VLOOKUP(A593,Import!A:C,3,false)</f>
        <v>DOĞRU</v>
      </c>
      <c r="D593" s="147" t="s">
        <v>2701</v>
      </c>
      <c r="E593" s="280">
        <f>VLOOKUP(A593,Import!A:J,5,0)</f>
        <v>2319</v>
      </c>
      <c r="F593" s="280">
        <f>VLOOKUP(A593,Import!A:J,6,0)</f>
        <v>122</v>
      </c>
      <c r="G593" s="289">
        <f>VLOOKUP(A593,Import!A:J,7,0)</f>
        <v>0</v>
      </c>
      <c r="H593" s="289">
        <f>VLOOKUP(A593,Import!A:J,8,0)</f>
        <v>5</v>
      </c>
      <c r="I593" s="289">
        <f>VLOOKUP(A593,Import!A:J,9,0)</f>
        <v>5</v>
      </c>
      <c r="J593" s="282">
        <f>VLOOKUP(A593,Import!A:J,10,0)</f>
        <v>0</v>
      </c>
      <c r="K593" s="244" t="str">
        <f>VLOOKUP(A593,Import!A:P,11,0)</f>
        <v>Furkan Baki Turunç</v>
      </c>
      <c r="L593" s="147">
        <v>5.417832414E9</v>
      </c>
      <c r="M593" s="147" t="s">
        <v>2666</v>
      </c>
      <c r="N593" s="147" t="s">
        <v>2667</v>
      </c>
      <c r="O593" s="147" t="s">
        <v>4089</v>
      </c>
      <c r="P593" s="244" t="str">
        <f>VLOOKUP(A593,Import!A:P,16,0)</f>
        <v>Geleneksel</v>
      </c>
      <c r="Q593" s="330"/>
      <c r="R593" s="335" t="b">
        <v>1</v>
      </c>
      <c r="S593" s="293" t="b">
        <v>0</v>
      </c>
      <c r="T593" s="149" t="s">
        <v>2714</v>
      </c>
      <c r="U593" s="296"/>
      <c r="V593" s="296"/>
      <c r="W593" s="149" t="s">
        <v>4090</v>
      </c>
      <c r="X593" s="297"/>
      <c r="Y593" s="297"/>
      <c r="Z593" s="288"/>
      <c r="AA593" s="165" t="s">
        <v>2669</v>
      </c>
      <c r="AB593" s="295">
        <v>44517.0</v>
      </c>
      <c r="AC593" s="165" t="s">
        <v>2669</v>
      </c>
      <c r="AD593" s="295">
        <v>44641.0</v>
      </c>
      <c r="AE593" s="160"/>
      <c r="AF593" s="288"/>
      <c r="AG593" s="160"/>
      <c r="AH593" s="288"/>
      <c r="AI593" s="288"/>
      <c r="AJ593" s="288"/>
      <c r="AK593" s="165" t="s">
        <v>1971</v>
      </c>
      <c r="AL593" s="165" t="s">
        <v>1791</v>
      </c>
      <c r="AM593" s="288"/>
      <c r="AN593" s="288"/>
      <c r="AO593" s="288"/>
      <c r="AP593" s="150" t="s">
        <v>2663</v>
      </c>
      <c r="AQ593" s="288"/>
    </row>
    <row r="594">
      <c r="A594" s="150" t="s">
        <v>4091</v>
      </c>
      <c r="B594" s="150" t="s">
        <v>4092</v>
      </c>
      <c r="C594" s="175" t="str">
        <f>VLOOKUP(A594,Import!A:C,3,false)</f>
        <v>DOĞRU</v>
      </c>
      <c r="D594" s="150" t="s">
        <v>2724</v>
      </c>
      <c r="E594" s="280">
        <f>VLOOKUP(A594,Import!A:J,5,0)</f>
        <v>2449</v>
      </c>
      <c r="F594" s="280">
        <f>VLOOKUP(A594,Import!A:J,6,0)</f>
        <v>283</v>
      </c>
      <c r="G594" s="289">
        <f>VLOOKUP(A594,Import!A:J,7,0)</f>
        <v>0</v>
      </c>
      <c r="H594" s="289">
        <f>VLOOKUP(A594,Import!A:J,8,0)</f>
        <v>104</v>
      </c>
      <c r="I594" s="289">
        <f>VLOOKUP(A594,Import!A:J,9,0)</f>
        <v>104</v>
      </c>
      <c r="J594" s="282">
        <f>VLOOKUP(A594,Import!A:J,10,0)</f>
        <v>0</v>
      </c>
      <c r="K594" s="290" t="s">
        <v>3125</v>
      </c>
      <c r="L594" s="150">
        <v>5.061435585E9</v>
      </c>
      <c r="M594" s="150" t="s">
        <v>2666</v>
      </c>
      <c r="N594" s="150" t="s">
        <v>2682</v>
      </c>
      <c r="O594" s="150" t="s">
        <v>3126</v>
      </c>
      <c r="P594" s="244" t="str">
        <f>VLOOKUP(A594,Import!A:P,16,0)</f>
        <v>Geleneksel</v>
      </c>
      <c r="Q594" s="291"/>
      <c r="R594" s="292" t="b">
        <v>1</v>
      </c>
      <c r="S594" s="293" t="b">
        <v>0</v>
      </c>
      <c r="T594" s="149" t="s">
        <v>2714</v>
      </c>
      <c r="U594" s="296"/>
      <c r="V594" s="6"/>
      <c r="W594" s="149" t="s">
        <v>4093</v>
      </c>
      <c r="X594" s="297"/>
      <c r="Y594" s="297"/>
      <c r="Z594" s="288"/>
      <c r="AA594" s="165" t="s">
        <v>2669</v>
      </c>
      <c r="AB594" s="295">
        <v>44522.0</v>
      </c>
      <c r="AC594" s="288"/>
      <c r="AD594" s="288"/>
      <c r="AE594" s="160"/>
      <c r="AF594" s="288"/>
      <c r="AG594" s="160"/>
      <c r="AH594" s="288"/>
      <c r="AI594" s="288"/>
      <c r="AJ594" s="288"/>
      <c r="AK594" s="165" t="s">
        <v>819</v>
      </c>
      <c r="AL594" s="288"/>
      <c r="AM594" s="288"/>
      <c r="AN594" s="288"/>
      <c r="AO594" s="165"/>
      <c r="AP594" s="150" t="s">
        <v>2663</v>
      </c>
      <c r="AQ594" s="165"/>
    </row>
    <row r="595">
      <c r="A595" s="150" t="s">
        <v>2239</v>
      </c>
      <c r="B595" s="150" t="s">
        <v>2240</v>
      </c>
      <c r="C595" s="175" t="str">
        <f>VLOOKUP(A595,Import!A:C,3,false)</f>
        <v>DOĞRU</v>
      </c>
      <c r="D595" s="150" t="s">
        <v>2706</v>
      </c>
      <c r="E595" s="280">
        <f>VLOOKUP(A595,Import!A:J,5,0)</f>
        <v>1955</v>
      </c>
      <c r="F595" s="280">
        <f>VLOOKUP(A595,Import!A:J,6,0)</f>
        <v>107</v>
      </c>
      <c r="G595" s="289">
        <f>VLOOKUP(A595,Import!A:J,7,0)</f>
        <v>8</v>
      </c>
      <c r="H595" s="289">
        <f>VLOOKUP(A595,Import!A:J,8,0)</f>
        <v>6</v>
      </c>
      <c r="I595" s="289">
        <f>VLOOKUP(A595,Import!A:J,9,0)</f>
        <v>14</v>
      </c>
      <c r="J595" s="282">
        <f>VLOOKUP(A595,Import!A:J,10,0)</f>
        <v>0.57</v>
      </c>
      <c r="K595" s="244" t="str">
        <f>VLOOKUP(A595,Import!A:P,11,0)</f>
        <v>Alihan Çelik</v>
      </c>
      <c r="L595" s="150">
        <v>2.222330112E9</v>
      </c>
      <c r="M595" s="150" t="s">
        <v>2666</v>
      </c>
      <c r="N595" s="150" t="s">
        <v>3084</v>
      </c>
      <c r="O595" s="150" t="s">
        <v>2242</v>
      </c>
      <c r="P595" s="244" t="str">
        <f>VLOOKUP(A595,Import!A:P,16,0)</f>
        <v>Geleneksel</v>
      </c>
      <c r="Q595" s="291"/>
      <c r="R595" s="292" t="b">
        <v>1</v>
      </c>
      <c r="S595" s="293" t="b">
        <v>0</v>
      </c>
      <c r="T595" s="149" t="s">
        <v>2661</v>
      </c>
      <c r="U595" s="149" t="s">
        <v>1715</v>
      </c>
      <c r="V595" s="312"/>
      <c r="W595" s="149"/>
      <c r="X595" s="294">
        <v>44551.0</v>
      </c>
      <c r="Y595" s="294">
        <v>44553.0</v>
      </c>
      <c r="Z595" s="288"/>
      <c r="AA595" s="165" t="s">
        <v>2669</v>
      </c>
      <c r="AB595" s="295">
        <v>44551.0</v>
      </c>
      <c r="AC595" s="288"/>
      <c r="AD595" s="288"/>
      <c r="AE595" s="160"/>
      <c r="AF595" s="288"/>
      <c r="AG595" s="160"/>
      <c r="AH595" s="288"/>
      <c r="AI595" s="288"/>
      <c r="AJ595" s="288"/>
      <c r="AK595" s="165" t="s">
        <v>1715</v>
      </c>
      <c r="AL595" s="288"/>
      <c r="AM595" s="288"/>
      <c r="AN595" s="288"/>
      <c r="AO595" s="288"/>
      <c r="AP595" s="150" t="s">
        <v>2663</v>
      </c>
      <c r="AQ595" s="288"/>
    </row>
    <row r="596">
      <c r="A596" s="150" t="s">
        <v>2154</v>
      </c>
      <c r="B596" s="150" t="s">
        <v>2155</v>
      </c>
      <c r="C596" s="175" t="str">
        <f>VLOOKUP(A596,Import!A:C,3,false)</f>
        <v>DOĞRU</v>
      </c>
      <c r="D596" s="150" t="s">
        <v>2658</v>
      </c>
      <c r="E596" s="280">
        <f>VLOOKUP(A596,Import!A:J,5,0)</f>
        <v>1416</v>
      </c>
      <c r="F596" s="280" t="str">
        <f>VLOOKUP(A596,Import!A:J,6,0)</f>
        <v/>
      </c>
      <c r="G596" s="289">
        <f>VLOOKUP(A596,Import!A:J,7,0)</f>
        <v>1</v>
      </c>
      <c r="H596" s="289">
        <f>VLOOKUP(A596,Import!A:J,8,0)</f>
        <v>33</v>
      </c>
      <c r="I596" s="289">
        <f>VLOOKUP(A596,Import!A:J,9,0)</f>
        <v>34</v>
      </c>
      <c r="J596" s="282">
        <f>VLOOKUP(A596,Import!A:J,10,0)</f>
        <v>0.03</v>
      </c>
      <c r="K596" s="290" t="s">
        <v>3326</v>
      </c>
      <c r="L596" s="150">
        <v>5.539075064E9</v>
      </c>
      <c r="M596" s="150" t="s">
        <v>2666</v>
      </c>
      <c r="N596" s="150" t="s">
        <v>2794</v>
      </c>
      <c r="O596" s="150" t="s">
        <v>2158</v>
      </c>
      <c r="P596" s="244" t="str">
        <f>VLOOKUP(A596,Import!A:P,16,0)</f>
        <v>Geleneksel</v>
      </c>
      <c r="Q596" s="291"/>
      <c r="R596" s="292" t="b">
        <v>1</v>
      </c>
      <c r="S596" s="292" t="b">
        <v>1</v>
      </c>
      <c r="T596" s="296"/>
      <c r="U596" s="149" t="s">
        <v>921</v>
      </c>
      <c r="V596" s="361" t="s">
        <v>1609</v>
      </c>
      <c r="W596" s="384" t="s">
        <v>4094</v>
      </c>
      <c r="X596" s="294">
        <v>44540.0</v>
      </c>
      <c r="Y596" s="294">
        <v>44543.0</v>
      </c>
      <c r="Z596" s="288"/>
      <c r="AA596" s="165" t="s">
        <v>2669</v>
      </c>
      <c r="AB596" s="295">
        <v>44540.0</v>
      </c>
      <c r="AC596" s="165" t="s">
        <v>2688</v>
      </c>
      <c r="AD596" s="295">
        <v>44543.0</v>
      </c>
      <c r="AE596" s="165" t="s">
        <v>2669</v>
      </c>
      <c r="AF596" s="295">
        <v>44596.0</v>
      </c>
      <c r="AG596" s="160"/>
      <c r="AH596" s="288"/>
      <c r="AI596" s="288"/>
      <c r="AJ596" s="288"/>
      <c r="AK596" s="165" t="s">
        <v>921</v>
      </c>
      <c r="AL596" s="165" t="s">
        <v>921</v>
      </c>
      <c r="AM596" s="165" t="s">
        <v>819</v>
      </c>
      <c r="AN596" s="288"/>
      <c r="AO596" s="165"/>
      <c r="AP596" s="150" t="s">
        <v>2663</v>
      </c>
      <c r="AQ596" s="165"/>
    </row>
    <row r="597">
      <c r="A597" s="150" t="s">
        <v>4095</v>
      </c>
      <c r="B597" s="150" t="s">
        <v>4096</v>
      </c>
      <c r="C597" s="175" t="str">
        <f>VLOOKUP(A597,Import!A:C,3,false)</f>
        <v>DOĞRU</v>
      </c>
      <c r="D597" s="150" t="s">
        <v>2763</v>
      </c>
      <c r="E597" s="280">
        <f>VLOOKUP(A597,Import!A:J,5,0)</f>
        <v>1650</v>
      </c>
      <c r="F597" s="280">
        <f>VLOOKUP(A597,Import!A:J,6,0)</f>
        <v>20</v>
      </c>
      <c r="G597" s="289">
        <f>VLOOKUP(A597,Import!A:J,7,0)</f>
        <v>0</v>
      </c>
      <c r="H597" s="289">
        <f>VLOOKUP(A597,Import!A:J,8,0)</f>
        <v>52</v>
      </c>
      <c r="I597" s="289">
        <f>VLOOKUP(A597,Import!A:J,9,0)</f>
        <v>52</v>
      </c>
      <c r="J597" s="282">
        <f>VLOOKUP(A597,Import!A:J,10,0)</f>
        <v>0</v>
      </c>
      <c r="K597" s="244" t="str">
        <f>VLOOKUP(A597,Import!A:P,11,0)</f>
        <v>Cihan Eyüp Sert</v>
      </c>
      <c r="L597" s="150">
        <v>5.306143842E9</v>
      </c>
      <c r="M597" s="150" t="s">
        <v>2666</v>
      </c>
      <c r="N597" s="150" t="s">
        <v>2794</v>
      </c>
      <c r="O597" s="150" t="s">
        <v>3711</v>
      </c>
      <c r="P597" s="244" t="str">
        <f>VLOOKUP(A597,Import!A:P,16,0)</f>
        <v>Geleneksel</v>
      </c>
      <c r="Q597" s="291" t="s">
        <v>2713</v>
      </c>
      <c r="R597" s="292" t="b">
        <v>1</v>
      </c>
      <c r="S597" s="293" t="b">
        <v>0</v>
      </c>
      <c r="T597" s="149" t="s">
        <v>2714</v>
      </c>
      <c r="U597" s="296"/>
      <c r="V597" s="296"/>
      <c r="X597" s="297"/>
      <c r="Y597" s="297"/>
      <c r="Z597" s="288"/>
      <c r="AA597" s="288"/>
      <c r="AB597" s="288"/>
      <c r="AC597" s="288"/>
      <c r="AD597" s="288"/>
      <c r="AE597" s="160"/>
      <c r="AF597" s="288"/>
      <c r="AG597" s="160"/>
      <c r="AH597" s="288"/>
      <c r="AI597" s="288"/>
      <c r="AJ597" s="288"/>
      <c r="AK597" s="288"/>
      <c r="AL597" s="288"/>
      <c r="AM597" s="288"/>
      <c r="AN597" s="288"/>
      <c r="AO597" s="288"/>
      <c r="AP597" s="150" t="s">
        <v>2663</v>
      </c>
      <c r="AQ597" s="288"/>
    </row>
    <row r="598">
      <c r="A598" s="150" t="s">
        <v>4097</v>
      </c>
      <c r="B598" s="150" t="s">
        <v>4098</v>
      </c>
      <c r="C598" s="175" t="str">
        <f>VLOOKUP(A598,Import!A:C,3,false)</f>
        <v>YANLIŞ</v>
      </c>
      <c r="D598" s="150" t="s">
        <v>2684</v>
      </c>
      <c r="E598" s="280">
        <f>VLOOKUP(A598,Import!A:J,5,0)</f>
        <v>437</v>
      </c>
      <c r="F598" s="280" t="str">
        <f>VLOOKUP(A598,Import!A:J,6,0)</f>
        <v/>
      </c>
      <c r="G598" s="289">
        <f>VLOOKUP(A598,Import!A:J,7,0)</f>
        <v>0</v>
      </c>
      <c r="H598" s="289">
        <f>VLOOKUP(A598,Import!A:J,8,0)</f>
        <v>78</v>
      </c>
      <c r="I598" s="289">
        <f>VLOOKUP(A598,Import!A:J,9,0)</f>
        <v>78</v>
      </c>
      <c r="J598" s="282">
        <f>VLOOKUP(A598,Import!A:J,10,0)</f>
        <v>0</v>
      </c>
      <c r="K598" s="244" t="str">
        <f>VLOOKUP(A598,Import!A:P,11,0)</f>
        <v>Ayberk Yıldız</v>
      </c>
      <c r="L598" s="150">
        <v>5.050390158E9</v>
      </c>
      <c r="M598" s="150" t="s">
        <v>2666</v>
      </c>
      <c r="N598" s="150" t="s">
        <v>2667</v>
      </c>
      <c r="O598" s="150" t="s">
        <v>4099</v>
      </c>
      <c r="P598" s="244" t="str">
        <f>VLOOKUP(A598,Import!A:P,16,0)</f>
        <v>Geleneksel</v>
      </c>
      <c r="Q598" s="291" t="s">
        <v>2713</v>
      </c>
      <c r="R598" s="292" t="b">
        <v>1</v>
      </c>
      <c r="S598" s="292" t="b">
        <v>1</v>
      </c>
      <c r="T598" s="296"/>
      <c r="U598" s="296"/>
      <c r="V598" s="296"/>
      <c r="W598" s="149" t="s">
        <v>4100</v>
      </c>
      <c r="X598" s="297"/>
      <c r="Y598" s="297"/>
      <c r="Z598" s="288"/>
      <c r="AA598" s="288"/>
      <c r="AB598" s="288"/>
      <c r="AC598" s="288"/>
      <c r="AD598" s="288"/>
      <c r="AE598" s="160"/>
      <c r="AF598" s="288"/>
      <c r="AG598" s="160"/>
      <c r="AH598" s="288"/>
      <c r="AI598" s="288"/>
      <c r="AJ598" s="288"/>
      <c r="AK598" s="288"/>
      <c r="AL598" s="288"/>
      <c r="AM598" s="288"/>
      <c r="AN598" s="288"/>
      <c r="AO598" s="288"/>
      <c r="AP598" s="150" t="s">
        <v>2663</v>
      </c>
      <c r="AQ598" s="288"/>
    </row>
    <row r="599">
      <c r="A599" s="150" t="s">
        <v>1566</v>
      </c>
      <c r="B599" s="150" t="s">
        <v>1567</v>
      </c>
      <c r="C599" s="175" t="str">
        <f>VLOOKUP(A599,Import!A:C,3,false)</f>
        <v>DOĞRU</v>
      </c>
      <c r="D599" s="150" t="s">
        <v>2664</v>
      </c>
      <c r="E599" s="280">
        <f>VLOOKUP(A599,Import!A:J,5,0)</f>
        <v>2351</v>
      </c>
      <c r="F599" s="280" t="str">
        <f>VLOOKUP(A599,Import!A:J,6,0)</f>
        <v/>
      </c>
      <c r="G599" s="289">
        <f>VLOOKUP(A599,Import!A:J,7,0)</f>
        <v>6</v>
      </c>
      <c r="H599" s="289">
        <f>VLOOKUP(A599,Import!A:J,8,0)</f>
        <v>14</v>
      </c>
      <c r="I599" s="289">
        <f>VLOOKUP(A599,Import!A:J,9,0)</f>
        <v>20</v>
      </c>
      <c r="J599" s="282">
        <f>VLOOKUP(A599,Import!A:J,10,0)</f>
        <v>0.3</v>
      </c>
      <c r="K599" s="244" t="str">
        <f>VLOOKUP(A599,Import!A:P,11,0)</f>
        <v>Umut Kumral</v>
      </c>
      <c r="L599" s="150">
        <v>5.335822307E9</v>
      </c>
      <c r="M599" s="150" t="s">
        <v>2666</v>
      </c>
      <c r="N599" s="150" t="s">
        <v>2667</v>
      </c>
      <c r="O599" s="150" t="s">
        <v>1570</v>
      </c>
      <c r="P599" s="244" t="str">
        <f>VLOOKUP(A599,Import!A:P,16,0)</f>
        <v>Geleneksel</v>
      </c>
      <c r="Q599" s="291"/>
      <c r="R599" s="292" t="b">
        <v>1</v>
      </c>
      <c r="S599" s="293" t="b">
        <v>0</v>
      </c>
      <c r="T599" s="149" t="s">
        <v>2661</v>
      </c>
      <c r="U599" s="149" t="s">
        <v>1971</v>
      </c>
      <c r="V599" s="269" t="s">
        <v>1609</v>
      </c>
      <c r="W599" s="149" t="s">
        <v>2149</v>
      </c>
      <c r="X599" s="294">
        <v>44517.0</v>
      </c>
      <c r="Y599" s="294">
        <v>44523.0</v>
      </c>
      <c r="Z599" s="288"/>
      <c r="AA599" s="165" t="s">
        <v>2669</v>
      </c>
      <c r="AB599" s="295">
        <v>44383.0</v>
      </c>
      <c r="AC599" s="165" t="s">
        <v>2669</v>
      </c>
      <c r="AD599" s="295">
        <v>44517.0</v>
      </c>
      <c r="AE599" s="160"/>
      <c r="AF599" s="288"/>
      <c r="AG599" s="160"/>
      <c r="AH599" s="288"/>
      <c r="AI599" s="288"/>
      <c r="AJ599" s="288"/>
      <c r="AK599" s="165" t="s">
        <v>3416</v>
      </c>
      <c r="AL599" s="165" t="s">
        <v>1971</v>
      </c>
      <c r="AM599" s="288"/>
      <c r="AN599" s="288"/>
      <c r="AO599" s="288"/>
      <c r="AP599" s="150" t="s">
        <v>2663</v>
      </c>
      <c r="AQ599" s="288"/>
    </row>
    <row r="600">
      <c r="A600" s="244" t="s">
        <v>769</v>
      </c>
      <c r="B600" s="244" t="s">
        <v>770</v>
      </c>
      <c r="C600" s="175" t="str">
        <f>VLOOKUP(A600,Import!A:C,3,false)</f>
        <v>DOĞRU</v>
      </c>
      <c r="D600" s="244" t="s">
        <v>2672</v>
      </c>
      <c r="E600" s="280">
        <f>VLOOKUP(A600,Import!A:J,5,0)</f>
        <v>27514</v>
      </c>
      <c r="F600" s="280">
        <f>VLOOKUP(A600,Import!A:J,6,0)</f>
        <v>1411</v>
      </c>
      <c r="G600" s="289">
        <f>VLOOKUP(A600,Import!A:J,7,0)</f>
        <v>29</v>
      </c>
      <c r="H600" s="289">
        <f>VLOOKUP(A600,Import!A:J,8,0)</f>
        <v>1</v>
      </c>
      <c r="I600" s="289">
        <f>VLOOKUP(A600,Import!A:J,9,0)</f>
        <v>30</v>
      </c>
      <c r="J600" s="282">
        <f>VLOOKUP(A600,Import!A:J,10,0)</f>
        <v>0.97</v>
      </c>
      <c r="K600" s="244" t="str">
        <f>VLOOKUP(A600,Import!A:P,11,0)</f>
        <v>TOLGA KUMRU</v>
      </c>
      <c r="L600" s="280">
        <v>2.223353516E9</v>
      </c>
      <c r="M600" s="244" t="s">
        <v>2666</v>
      </c>
      <c r="N600" s="244" t="s">
        <v>2750</v>
      </c>
      <c r="O600" s="244" t="s">
        <v>772</v>
      </c>
      <c r="P600" s="244" t="str">
        <f>VLOOKUP(A600,Import!A:P,16,0)</f>
        <v>Geleneksel</v>
      </c>
      <c r="Q600" s="291" t="s">
        <v>2686</v>
      </c>
      <c r="R600" s="292" t="b">
        <v>1</v>
      </c>
      <c r="S600" s="293" t="b">
        <v>0</v>
      </c>
      <c r="T600" s="165" t="s">
        <v>2661</v>
      </c>
      <c r="U600" s="165" t="s">
        <v>819</v>
      </c>
      <c r="V600" s="301" t="s">
        <v>1609</v>
      </c>
      <c r="W600" s="165" t="s">
        <v>4101</v>
      </c>
      <c r="X600" s="295">
        <v>44557.0</v>
      </c>
      <c r="Y600" s="295">
        <v>44557.0</v>
      </c>
      <c r="Z600" s="288"/>
      <c r="AA600" s="165" t="s">
        <v>2669</v>
      </c>
      <c r="AB600" s="295">
        <v>44547.0</v>
      </c>
      <c r="AC600" s="165" t="s">
        <v>2669</v>
      </c>
      <c r="AD600" s="295">
        <v>44557.0</v>
      </c>
      <c r="AE600" s="160"/>
      <c r="AF600" s="288"/>
      <c r="AG600" s="160"/>
      <c r="AH600" s="288"/>
      <c r="AI600" s="288"/>
      <c r="AJ600" s="288"/>
      <c r="AK600" s="165" t="s">
        <v>1791</v>
      </c>
      <c r="AL600" s="165" t="s">
        <v>819</v>
      </c>
      <c r="AM600" s="288"/>
      <c r="AN600" s="288"/>
      <c r="AO600" s="288"/>
      <c r="AP600" s="150" t="s">
        <v>2663</v>
      </c>
      <c r="AQ600" s="288"/>
    </row>
    <row r="601">
      <c r="A601" s="150" t="s">
        <v>494</v>
      </c>
      <c r="B601" s="150" t="s">
        <v>495</v>
      </c>
      <c r="C601" s="175" t="str">
        <f>VLOOKUP(A601,Import!A:C,3,false)</f>
        <v>DOĞRU</v>
      </c>
      <c r="D601" s="150" t="s">
        <v>2701</v>
      </c>
      <c r="E601" s="280">
        <f>VLOOKUP(A601,Import!A:J,5,0)</f>
        <v>1707</v>
      </c>
      <c r="F601" s="280">
        <f>VLOOKUP(A601,Import!A:J,6,0)</f>
        <v>43</v>
      </c>
      <c r="G601" s="289">
        <f>VLOOKUP(A601,Import!A:J,7,0)</f>
        <v>35</v>
      </c>
      <c r="H601" s="289">
        <f>VLOOKUP(A601,Import!A:J,8,0)</f>
        <v>30</v>
      </c>
      <c r="I601" s="289">
        <f>VLOOKUP(A601,Import!A:J,9,0)</f>
        <v>65</v>
      </c>
      <c r="J601" s="282">
        <f>VLOOKUP(A601,Import!A:J,10,0)</f>
        <v>0.54</v>
      </c>
      <c r="K601" s="244" t="str">
        <f>VLOOKUP(A601,Import!A:P,11,0)</f>
        <v>VOLKAN ERGİN</v>
      </c>
      <c r="L601" s="150">
        <v>5.059018671E9</v>
      </c>
      <c r="M601" s="150" t="s">
        <v>1450</v>
      </c>
      <c r="N601" s="150" t="s">
        <v>2700</v>
      </c>
      <c r="O601" s="150" t="s">
        <v>498</v>
      </c>
      <c r="P601" s="244" t="str">
        <f>VLOOKUP(A601,Import!A:P,16,0)</f>
        <v>Geleneksel</v>
      </c>
      <c r="Q601" s="291" t="s">
        <v>2713</v>
      </c>
      <c r="R601" s="292" t="b">
        <v>1</v>
      </c>
      <c r="S601" s="293" t="b">
        <v>0</v>
      </c>
      <c r="T601" s="149" t="s">
        <v>2661</v>
      </c>
      <c r="U601" s="149" t="s">
        <v>819</v>
      </c>
      <c r="V601" s="149"/>
      <c r="W601" s="149" t="s">
        <v>4102</v>
      </c>
      <c r="X601" s="294">
        <v>44483.0</v>
      </c>
      <c r="Y601" s="294">
        <v>44488.0</v>
      </c>
      <c r="Z601" s="288"/>
      <c r="AA601" s="165" t="s">
        <v>2669</v>
      </c>
      <c r="AB601" s="295">
        <v>44483.0</v>
      </c>
      <c r="AC601" s="165" t="s">
        <v>2669</v>
      </c>
      <c r="AD601" s="295">
        <v>44483.0</v>
      </c>
      <c r="AE601" s="165" t="s">
        <v>2669</v>
      </c>
      <c r="AF601" s="295">
        <v>44539.0</v>
      </c>
      <c r="AG601" s="160"/>
      <c r="AH601" s="288"/>
      <c r="AI601" s="288"/>
      <c r="AJ601" s="288"/>
      <c r="AK601" s="165" t="s">
        <v>943</v>
      </c>
      <c r="AL601" s="165" t="s">
        <v>819</v>
      </c>
      <c r="AM601" s="165" t="s">
        <v>1911</v>
      </c>
      <c r="AN601" s="288"/>
      <c r="AO601" s="288"/>
      <c r="AP601" s="150" t="s">
        <v>2663</v>
      </c>
      <c r="AQ601" s="288"/>
    </row>
    <row r="602">
      <c r="A602" s="147" t="s">
        <v>4103</v>
      </c>
      <c r="B602" s="147" t="s">
        <v>4104</v>
      </c>
      <c r="C602" s="175" t="str">
        <f>VLOOKUP(A602,Import!A:C,3,false)</f>
        <v>DOĞRU</v>
      </c>
      <c r="D602" s="147" t="s">
        <v>2706</v>
      </c>
      <c r="E602" s="280">
        <f>VLOOKUP(A602,Import!A:J,5,0)</f>
        <v>840</v>
      </c>
      <c r="F602" s="280">
        <f>VLOOKUP(A602,Import!A:J,6,0)</f>
        <v>12</v>
      </c>
      <c r="G602" s="289">
        <f>VLOOKUP(A602,Import!A:J,7,0)</f>
        <v>0</v>
      </c>
      <c r="H602" s="289">
        <f>VLOOKUP(A602,Import!A:J,8,0)</f>
        <v>22</v>
      </c>
      <c r="I602" s="289">
        <f>VLOOKUP(A602,Import!A:J,9,0)</f>
        <v>22</v>
      </c>
      <c r="J602" s="282">
        <f>VLOOKUP(A602,Import!A:J,10,0)</f>
        <v>0</v>
      </c>
      <c r="K602" s="244" t="str">
        <f>VLOOKUP(A602,Import!A:P,11,0)</f>
        <v>METİN KETENCİ</v>
      </c>
      <c r="L602" s="147">
        <v>2.222255303E9</v>
      </c>
      <c r="M602" s="147" t="s">
        <v>1450</v>
      </c>
      <c r="N602" s="147" t="s">
        <v>2795</v>
      </c>
      <c r="O602" s="147" t="s">
        <v>74</v>
      </c>
      <c r="P602" s="244" t="str">
        <f>VLOOKUP(A602,Import!A:P,16,0)</f>
        <v>Geleneksel</v>
      </c>
      <c r="Q602" s="330"/>
      <c r="R602" s="292" t="b">
        <v>1</v>
      </c>
      <c r="S602" s="292" t="b">
        <v>0</v>
      </c>
      <c r="T602" s="149" t="s">
        <v>2714</v>
      </c>
      <c r="U602" s="296"/>
      <c r="V602" s="296"/>
      <c r="W602" s="149" t="s">
        <v>4105</v>
      </c>
      <c r="X602" s="297"/>
      <c r="Y602" s="297"/>
      <c r="Z602" s="288"/>
      <c r="AA602" s="165" t="s">
        <v>2669</v>
      </c>
      <c r="AB602" s="295">
        <v>44545.0</v>
      </c>
      <c r="AC602" s="288"/>
      <c r="AD602" s="288"/>
      <c r="AE602" s="160"/>
      <c r="AF602" s="288"/>
      <c r="AG602" s="160"/>
      <c r="AH602" s="288"/>
      <c r="AI602" s="288"/>
      <c r="AJ602" s="288"/>
      <c r="AK602" s="165" t="s">
        <v>1971</v>
      </c>
      <c r="AL602" s="288"/>
      <c r="AM602" s="288"/>
      <c r="AN602" s="288"/>
      <c r="AO602" s="288"/>
      <c r="AP602" s="150" t="s">
        <v>2663</v>
      </c>
      <c r="AQ602" s="288"/>
    </row>
    <row r="603">
      <c r="A603" s="150" t="s">
        <v>4106</v>
      </c>
      <c r="B603" s="150" t="s">
        <v>4107</v>
      </c>
      <c r="C603" s="175" t="str">
        <f>VLOOKUP(A603,Import!A:C,3,false)</f>
        <v>DOĞRU</v>
      </c>
      <c r="D603" s="150" t="s">
        <v>2763</v>
      </c>
      <c r="E603" s="280">
        <f>VLOOKUP(A603,Import!A:J,5,0)</f>
        <v>8</v>
      </c>
      <c r="F603" s="280">
        <f>VLOOKUP(A603,Import!A:J,6,0)</f>
        <v>8</v>
      </c>
      <c r="G603" s="289">
        <f>VLOOKUP(A603,Import!A:J,7,0)</f>
        <v>0</v>
      </c>
      <c r="H603" s="289">
        <f>VLOOKUP(A603,Import!A:J,8,0)</f>
        <v>24</v>
      </c>
      <c r="I603" s="289">
        <f>VLOOKUP(A603,Import!A:J,9,0)</f>
        <v>24</v>
      </c>
      <c r="J603" s="282">
        <f>VLOOKUP(A603,Import!A:J,10,0)</f>
        <v>0</v>
      </c>
      <c r="K603" s="150" t="s">
        <v>4108</v>
      </c>
      <c r="L603" s="150">
        <v>5.44768978E9</v>
      </c>
      <c r="M603" s="150" t="s">
        <v>1450</v>
      </c>
      <c r="N603" s="150" t="s">
        <v>2776</v>
      </c>
      <c r="O603" s="150" t="s">
        <v>4109</v>
      </c>
      <c r="P603" s="244" t="str">
        <f>VLOOKUP(A603,Import!A:P,16,0)</f>
        <v>Geleneksel</v>
      </c>
      <c r="Q603" s="291"/>
      <c r="R603" s="292" t="b">
        <v>0</v>
      </c>
      <c r="S603" s="293" t="b">
        <v>0</v>
      </c>
      <c r="T603" s="149"/>
      <c r="U603" s="296"/>
      <c r="V603" s="296"/>
      <c r="W603" s="149"/>
      <c r="X603" s="297"/>
      <c r="Y603" s="297"/>
      <c r="Z603" s="288"/>
      <c r="AA603" s="165"/>
      <c r="AB603" s="295"/>
      <c r="AC603" s="288"/>
      <c r="AD603" s="288"/>
      <c r="AE603" s="160"/>
      <c r="AF603" s="288"/>
      <c r="AG603" s="160"/>
      <c r="AH603" s="288"/>
      <c r="AI603" s="288"/>
      <c r="AJ603" s="288"/>
      <c r="AK603" s="165"/>
      <c r="AL603" s="288"/>
      <c r="AM603" s="288"/>
      <c r="AN603" s="288"/>
      <c r="AO603" s="165"/>
      <c r="AP603" s="150"/>
      <c r="AQ603" s="165"/>
    </row>
    <row r="604">
      <c r="A604" s="150" t="s">
        <v>2396</v>
      </c>
      <c r="B604" s="150" t="s">
        <v>2397</v>
      </c>
      <c r="C604" s="175" t="str">
        <f>VLOOKUP(A604,Import!A:C,3,false)</f>
        <v>DOĞRU</v>
      </c>
      <c r="D604" s="150" t="s">
        <v>2658</v>
      </c>
      <c r="E604" s="280">
        <f>VLOOKUP(A604,Import!A:J,5,0)</f>
        <v>1487</v>
      </c>
      <c r="F604" s="280">
        <f>VLOOKUP(A604,Import!A:J,6,0)</f>
        <v>32</v>
      </c>
      <c r="G604" s="289">
        <f>VLOOKUP(A604,Import!A:J,7,0)</f>
        <v>5</v>
      </c>
      <c r="H604" s="289">
        <f>VLOOKUP(A604,Import!A:J,8,0)</f>
        <v>16</v>
      </c>
      <c r="I604" s="289">
        <f>VLOOKUP(A604,Import!A:J,9,0)</f>
        <v>21</v>
      </c>
      <c r="J604" s="282">
        <f>VLOOKUP(A604,Import!A:J,10,0)</f>
        <v>0.24</v>
      </c>
      <c r="K604" s="244" t="str">
        <f>VLOOKUP(A604,Import!A:P,11,0)</f>
        <v>Osman Safa</v>
      </c>
      <c r="L604" s="150">
        <v>5.539140042E9</v>
      </c>
      <c r="M604" s="150" t="s">
        <v>1450</v>
      </c>
      <c r="N604" s="150" t="s">
        <v>2776</v>
      </c>
      <c r="O604" s="150" t="s">
        <v>2400</v>
      </c>
      <c r="P604" s="244" t="str">
        <f>VLOOKUP(A604,Import!A:P,16,0)</f>
        <v>Geleneksel</v>
      </c>
      <c r="Q604" s="291" t="s">
        <v>2760</v>
      </c>
      <c r="R604" s="292" t="b">
        <v>1</v>
      </c>
      <c r="S604" s="293" t="b">
        <v>0</v>
      </c>
      <c r="T604" s="149" t="s">
        <v>2661</v>
      </c>
      <c r="U604" s="149" t="s">
        <v>943</v>
      </c>
      <c r="V604" s="296"/>
      <c r="W604" s="149" t="s">
        <v>4110</v>
      </c>
      <c r="X604" s="294">
        <v>44578.0</v>
      </c>
      <c r="Y604" s="294">
        <v>44580.0</v>
      </c>
      <c r="Z604" s="288"/>
      <c r="AA604" s="165" t="s">
        <v>2688</v>
      </c>
      <c r="AB604" s="295">
        <v>44377.0</v>
      </c>
      <c r="AC604" s="165" t="s">
        <v>2669</v>
      </c>
      <c r="AD604" s="295">
        <v>44578.0</v>
      </c>
      <c r="AE604" s="160"/>
      <c r="AF604" s="288"/>
      <c r="AG604" s="160"/>
      <c r="AH604" s="288"/>
      <c r="AI604" s="288"/>
      <c r="AJ604" s="288"/>
      <c r="AK604" s="165" t="s">
        <v>2913</v>
      </c>
      <c r="AL604" s="288"/>
      <c r="AM604" s="288"/>
      <c r="AN604" s="288"/>
      <c r="AO604" s="288"/>
      <c r="AP604" s="150" t="s">
        <v>2663</v>
      </c>
      <c r="AQ604" s="288"/>
    </row>
    <row r="605">
      <c r="A605" s="150" t="s">
        <v>1996</v>
      </c>
      <c r="B605" s="150" t="s">
        <v>1997</v>
      </c>
      <c r="C605" s="175" t="str">
        <f>VLOOKUP(A605,Import!A:C,3,false)</f>
        <v>DOĞRU</v>
      </c>
      <c r="D605" s="150" t="s">
        <v>2743</v>
      </c>
      <c r="E605" s="280">
        <f>VLOOKUP(A605,Import!A:J,5,0)</f>
        <v>8661</v>
      </c>
      <c r="F605" s="280">
        <f>VLOOKUP(A605,Import!A:J,6,0)</f>
        <v>437</v>
      </c>
      <c r="G605" s="289">
        <f>VLOOKUP(A605,Import!A:J,7,0)</f>
        <v>11</v>
      </c>
      <c r="H605" s="289">
        <f>VLOOKUP(A605,Import!A:J,8,0)</f>
        <v>10</v>
      </c>
      <c r="I605" s="289">
        <f>VLOOKUP(A605,Import!A:J,9,0)</f>
        <v>21</v>
      </c>
      <c r="J605" s="282">
        <f>VLOOKUP(A605,Import!A:J,10,0)</f>
        <v>0.52</v>
      </c>
      <c r="K605" s="244" t="str">
        <f>VLOOKUP(A605,Import!A:P,11,0)</f>
        <v>REMZİ İDEM</v>
      </c>
      <c r="L605" s="150">
        <v>2.224442605E9</v>
      </c>
      <c r="M605" s="150" t="s">
        <v>2666</v>
      </c>
      <c r="N605" s="150" t="s">
        <v>2711</v>
      </c>
      <c r="O605" s="150" t="s">
        <v>2000</v>
      </c>
      <c r="P605" s="244" t="str">
        <f>VLOOKUP(A605,Import!A:P,16,0)</f>
        <v>Geleneksel</v>
      </c>
      <c r="Q605" s="315" t="s">
        <v>2660</v>
      </c>
      <c r="R605" s="292" t="b">
        <v>1</v>
      </c>
      <c r="S605" s="293" t="b">
        <v>0</v>
      </c>
      <c r="T605" s="149" t="s">
        <v>2661</v>
      </c>
      <c r="U605" s="149" t="s">
        <v>1715</v>
      </c>
      <c r="V605" s="149" t="s">
        <v>2783</v>
      </c>
      <c r="W605" s="360" t="s">
        <v>4111</v>
      </c>
      <c r="X605" s="294">
        <v>44518.0</v>
      </c>
      <c r="Y605" s="294">
        <v>44522.0</v>
      </c>
      <c r="Z605" s="165" t="s">
        <v>2907</v>
      </c>
      <c r="AA605" s="165" t="s">
        <v>2669</v>
      </c>
      <c r="AB605" s="295">
        <v>44518.0</v>
      </c>
      <c r="AC605" s="288"/>
      <c r="AD605" s="288"/>
      <c r="AE605" s="160"/>
      <c r="AF605" s="288"/>
      <c r="AG605" s="160"/>
      <c r="AH605" s="288"/>
      <c r="AI605" s="288"/>
      <c r="AJ605" s="288"/>
      <c r="AK605" s="165" t="s">
        <v>1715</v>
      </c>
      <c r="AL605" s="288"/>
      <c r="AM605" s="288"/>
      <c r="AN605" s="288"/>
      <c r="AO605" s="288"/>
      <c r="AP605" s="150" t="s">
        <v>2663</v>
      </c>
      <c r="AQ605" s="288"/>
    </row>
    <row r="606">
      <c r="A606" s="150" t="s">
        <v>4112</v>
      </c>
      <c r="B606" s="150" t="s">
        <v>4113</v>
      </c>
      <c r="C606" s="175" t="str">
        <f>VLOOKUP(A606,Import!A:C,3,false)</f>
        <v>DOĞRU</v>
      </c>
      <c r="D606" s="150" t="s">
        <v>2763</v>
      </c>
      <c r="E606" s="280">
        <f>VLOOKUP(A606,Import!A:J,5,0)</f>
        <v>4648</v>
      </c>
      <c r="F606" s="280">
        <f>VLOOKUP(A606,Import!A:J,6,0)</f>
        <v>176</v>
      </c>
      <c r="G606" s="289">
        <f>VLOOKUP(A606,Import!A:J,7,0)</f>
        <v>0</v>
      </c>
      <c r="H606" s="289">
        <f>VLOOKUP(A606,Import!A:J,8,0)</f>
        <v>71</v>
      </c>
      <c r="I606" s="289">
        <f>VLOOKUP(A606,Import!A:J,9,0)</f>
        <v>71</v>
      </c>
      <c r="J606" s="282">
        <f>VLOOKUP(A606,Import!A:J,10,0)</f>
        <v>0</v>
      </c>
      <c r="K606" s="244" t="str">
        <f>VLOOKUP(A606,Import!A:P,11,0)</f>
        <v>REMZİ İDEM</v>
      </c>
      <c r="L606" s="150">
        <v>2.222301199E9</v>
      </c>
      <c r="M606" s="150" t="s">
        <v>1450</v>
      </c>
      <c r="N606" s="150" t="s">
        <v>2700</v>
      </c>
      <c r="O606" s="150" t="s">
        <v>4114</v>
      </c>
      <c r="P606" s="244" t="str">
        <f>VLOOKUP(A606,Import!A:P,16,0)</f>
        <v>Geleneksel</v>
      </c>
      <c r="Q606" s="315" t="s">
        <v>2713</v>
      </c>
      <c r="R606" s="292" t="b">
        <v>1</v>
      </c>
      <c r="S606" s="292" t="b">
        <v>1</v>
      </c>
      <c r="T606" s="296"/>
      <c r="U606" s="296"/>
      <c r="V606" s="296"/>
      <c r="W606" s="149" t="s">
        <v>4115</v>
      </c>
      <c r="X606" s="297"/>
      <c r="Y606" s="297"/>
      <c r="Z606" s="288"/>
      <c r="AA606" s="165" t="s">
        <v>2669</v>
      </c>
      <c r="AB606" s="295">
        <v>44503.0</v>
      </c>
      <c r="AC606" s="288"/>
      <c r="AD606" s="288"/>
      <c r="AE606" s="160"/>
      <c r="AF606" s="288"/>
      <c r="AG606" s="160"/>
      <c r="AH606" s="288"/>
      <c r="AI606" s="288"/>
      <c r="AJ606" s="288"/>
      <c r="AK606" s="165" t="s">
        <v>1717</v>
      </c>
      <c r="AL606" s="288"/>
      <c r="AM606" s="288"/>
      <c r="AN606" s="288"/>
      <c r="AO606" s="288"/>
      <c r="AP606" s="150" t="s">
        <v>2663</v>
      </c>
      <c r="AQ606" s="288"/>
    </row>
    <row r="607">
      <c r="A607" s="150" t="s">
        <v>4116</v>
      </c>
      <c r="B607" s="150" t="s">
        <v>4117</v>
      </c>
      <c r="C607" s="175" t="str">
        <f>VLOOKUP(A607,Import!A:C,3,false)</f>
        <v>DOĞRU</v>
      </c>
      <c r="D607" s="150" t="s">
        <v>2763</v>
      </c>
      <c r="E607" s="280">
        <f>VLOOKUP(A607,Import!A:J,5,0)</f>
        <v>17223</v>
      </c>
      <c r="F607" s="280">
        <f>VLOOKUP(A607,Import!A:J,6,0)</f>
        <v>747</v>
      </c>
      <c r="G607" s="289">
        <f>VLOOKUP(A607,Import!A:J,7,0)</f>
        <v>0</v>
      </c>
      <c r="H607" s="289">
        <f>VLOOKUP(A607,Import!A:J,8,0)</f>
        <v>95</v>
      </c>
      <c r="I607" s="289">
        <f>VLOOKUP(A607,Import!A:J,9,0)</f>
        <v>95</v>
      </c>
      <c r="J607" s="282">
        <f>VLOOKUP(A607,Import!A:J,10,0)</f>
        <v>0</v>
      </c>
      <c r="K607" s="244" t="str">
        <f>VLOOKUP(A607,Import!A:P,11,0)</f>
        <v>REMZİ İDEM</v>
      </c>
      <c r="L607" s="150">
        <v>2.223223E9</v>
      </c>
      <c r="M607" s="150" t="s">
        <v>2666</v>
      </c>
      <c r="N607" s="150" t="s">
        <v>2721</v>
      </c>
      <c r="O607" s="150" t="s">
        <v>4118</v>
      </c>
      <c r="P607" s="244" t="str">
        <f>VLOOKUP(A607,Import!A:P,16,0)</f>
        <v>Geleneksel</v>
      </c>
      <c r="Q607" s="315" t="s">
        <v>2713</v>
      </c>
      <c r="R607" s="292" t="b">
        <v>1</v>
      </c>
      <c r="S607" s="292" t="b">
        <v>1</v>
      </c>
      <c r="T607" s="296"/>
      <c r="U607" s="296"/>
      <c r="V607" s="296"/>
      <c r="W607" s="149" t="s">
        <v>4119</v>
      </c>
      <c r="X607" s="297"/>
      <c r="Y607" s="297"/>
      <c r="Z607" s="288"/>
      <c r="AA607" s="165" t="s">
        <v>2669</v>
      </c>
      <c r="AB607" s="295">
        <v>44502.0</v>
      </c>
      <c r="AC607" s="288"/>
      <c r="AD607" s="288"/>
      <c r="AE607" s="160"/>
      <c r="AF607" s="288"/>
      <c r="AG607" s="160"/>
      <c r="AH607" s="288"/>
      <c r="AI607" s="288"/>
      <c r="AJ607" s="288"/>
      <c r="AK607" s="165" t="s">
        <v>1791</v>
      </c>
      <c r="AL607" s="288"/>
      <c r="AM607" s="288"/>
      <c r="AN607" s="288"/>
      <c r="AO607" s="288"/>
      <c r="AP607" s="150" t="s">
        <v>2663</v>
      </c>
      <c r="AQ607" s="288"/>
    </row>
    <row r="608">
      <c r="A608" s="150" t="s">
        <v>4120</v>
      </c>
      <c r="B608" s="150" t="s">
        <v>4121</v>
      </c>
      <c r="C608" s="175" t="str">
        <f>VLOOKUP(A608,Import!A:C,3,false)</f>
        <v>DOĞRU</v>
      </c>
      <c r="D608" s="150" t="s">
        <v>2763</v>
      </c>
      <c r="E608" s="280">
        <f>VLOOKUP(A608,Import!A:J,5,0)</f>
        <v>4495</v>
      </c>
      <c r="F608" s="280">
        <f>VLOOKUP(A608,Import!A:J,6,0)</f>
        <v>126</v>
      </c>
      <c r="G608" s="289">
        <f>VLOOKUP(A608,Import!A:J,7,0)</f>
        <v>0</v>
      </c>
      <c r="H608" s="289">
        <f>VLOOKUP(A608,Import!A:J,8,0)</f>
        <v>84</v>
      </c>
      <c r="I608" s="289">
        <f>VLOOKUP(A608,Import!A:J,9,0)</f>
        <v>84</v>
      </c>
      <c r="J608" s="282">
        <f>VLOOKUP(A608,Import!A:J,10,0)</f>
        <v>0</v>
      </c>
      <c r="K608" s="244" t="str">
        <f>VLOOKUP(A608,Import!A:P,11,0)</f>
        <v>REMZİ İDEM</v>
      </c>
      <c r="L608" s="150">
        <v>2.222316262E9</v>
      </c>
      <c r="M608" s="150" t="s">
        <v>1450</v>
      </c>
      <c r="N608" s="150" t="s">
        <v>2732</v>
      </c>
      <c r="O608" s="150" t="s">
        <v>4122</v>
      </c>
      <c r="P608" s="244" t="str">
        <f>VLOOKUP(A608,Import!A:P,16,0)</f>
        <v>Geleneksel</v>
      </c>
      <c r="Q608" s="315" t="s">
        <v>2713</v>
      </c>
      <c r="R608" s="292" t="b">
        <v>1</v>
      </c>
      <c r="S608" s="292" t="b">
        <v>1</v>
      </c>
      <c r="T608" s="296"/>
      <c r="U608" s="296"/>
      <c r="V608" s="296"/>
      <c r="W608" s="149" t="s">
        <v>4123</v>
      </c>
      <c r="X608" s="297"/>
      <c r="Y608" s="297"/>
      <c r="Z608" s="288"/>
      <c r="AA608" s="165" t="s">
        <v>2669</v>
      </c>
      <c r="AB608" s="295">
        <v>44488.0</v>
      </c>
      <c r="AC608" s="288"/>
      <c r="AD608" s="288"/>
      <c r="AE608" s="160"/>
      <c r="AF608" s="288"/>
      <c r="AG608" s="160"/>
      <c r="AH608" s="288"/>
      <c r="AI608" s="288"/>
      <c r="AJ608" s="288"/>
      <c r="AK608" s="165" t="s">
        <v>1717</v>
      </c>
      <c r="AL608" s="288"/>
      <c r="AM608" s="288"/>
      <c r="AN608" s="288"/>
      <c r="AO608" s="288"/>
      <c r="AP608" s="150" t="s">
        <v>2663</v>
      </c>
      <c r="AQ608" s="288"/>
    </row>
    <row r="609">
      <c r="A609" s="150" t="s">
        <v>2546</v>
      </c>
      <c r="B609" s="150" t="s">
        <v>2547</v>
      </c>
      <c r="C609" s="175" t="str">
        <f>VLOOKUP(A609,Import!A:C,3,false)</f>
        <v>DOĞRU</v>
      </c>
      <c r="D609" s="150" t="s">
        <v>2672</v>
      </c>
      <c r="E609" s="280">
        <f>VLOOKUP(A609,Import!A:J,5,0)</f>
        <v>1173</v>
      </c>
      <c r="F609" s="280">
        <f>VLOOKUP(A609,Import!A:J,6,0)</f>
        <v>98</v>
      </c>
      <c r="G609" s="289">
        <f>VLOOKUP(A609,Import!A:J,7,0)</f>
        <v>9</v>
      </c>
      <c r="H609" s="289">
        <f>VLOOKUP(A609,Import!A:J,8,0)</f>
        <v>11</v>
      </c>
      <c r="I609" s="289">
        <f>VLOOKUP(A609,Import!A:J,9,0)</f>
        <v>20</v>
      </c>
      <c r="J609" s="282">
        <f>VLOOKUP(A609,Import!A:J,10,0)</f>
        <v>0.45</v>
      </c>
      <c r="K609" s="244" t="str">
        <f>VLOOKUP(A609,Import!A:P,11,0)</f>
        <v>ABDULSAMET KAYA</v>
      </c>
      <c r="L609" s="150">
        <v>5.378257297E9</v>
      </c>
      <c r="M609" s="150" t="s">
        <v>2666</v>
      </c>
      <c r="N609" s="150" t="s">
        <v>2750</v>
      </c>
      <c r="O609" s="150" t="s">
        <v>2549</v>
      </c>
      <c r="P609" s="244" t="str">
        <f>VLOOKUP(A609,Import!A:P,16,0)</f>
        <v>Geleneksel</v>
      </c>
      <c r="Q609" s="291"/>
      <c r="R609" s="292" t="b">
        <v>1</v>
      </c>
      <c r="S609" s="293" t="b">
        <v>0</v>
      </c>
      <c r="T609" s="149" t="s">
        <v>2661</v>
      </c>
      <c r="U609" s="149" t="s">
        <v>921</v>
      </c>
      <c r="V609" s="301" t="s">
        <v>1609</v>
      </c>
      <c r="X609" s="294">
        <v>44625.0</v>
      </c>
      <c r="Y609" s="294">
        <v>44627.0</v>
      </c>
      <c r="Z609" s="288"/>
      <c r="AA609" s="165" t="s">
        <v>2669</v>
      </c>
      <c r="AB609" s="295">
        <v>44510.0</v>
      </c>
      <c r="AC609" s="165" t="s">
        <v>2669</v>
      </c>
      <c r="AD609" s="295">
        <v>44516.0</v>
      </c>
      <c r="AE609" s="165" t="s">
        <v>2669</v>
      </c>
      <c r="AF609" s="295">
        <v>44625.0</v>
      </c>
      <c r="AG609" s="160"/>
      <c r="AH609" s="288"/>
      <c r="AI609" s="288"/>
      <c r="AJ609" s="288"/>
      <c r="AK609" s="165" t="s">
        <v>943</v>
      </c>
      <c r="AL609" s="165" t="s">
        <v>1621</v>
      </c>
      <c r="AM609" s="165" t="s">
        <v>921</v>
      </c>
      <c r="AN609" s="288"/>
      <c r="AO609" s="288"/>
      <c r="AP609" s="150" t="s">
        <v>2663</v>
      </c>
      <c r="AQ609" s="288"/>
    </row>
    <row r="610">
      <c r="A610" s="150" t="s">
        <v>1079</v>
      </c>
      <c r="B610" s="150" t="s">
        <v>1080</v>
      </c>
      <c r="C610" s="175" t="str">
        <f>VLOOKUP(A610,Import!A:C,3,false)</f>
        <v>DOĞRU</v>
      </c>
      <c r="D610" s="150" t="s">
        <v>2672</v>
      </c>
      <c r="E610" s="280">
        <f>VLOOKUP(A610,Import!A:J,5,0)</f>
        <v>1159</v>
      </c>
      <c r="F610" s="280">
        <f>VLOOKUP(A610,Import!A:J,6,0)</f>
        <v>39</v>
      </c>
      <c r="G610" s="289">
        <f>VLOOKUP(A610,Import!A:J,7,0)</f>
        <v>13</v>
      </c>
      <c r="H610" s="289">
        <f>VLOOKUP(A610,Import!A:J,8,0)</f>
        <v>8</v>
      </c>
      <c r="I610" s="289">
        <f>VLOOKUP(A610,Import!A:J,9,0)</f>
        <v>21</v>
      </c>
      <c r="J610" s="282">
        <f>VLOOKUP(A610,Import!A:J,10,0)</f>
        <v>0.62</v>
      </c>
      <c r="K610" s="244" t="str">
        <f>VLOOKUP(A610,Import!A:P,11,0)</f>
        <v>Ebru Atak</v>
      </c>
      <c r="L610" s="150">
        <v>2.222203501E9</v>
      </c>
      <c r="M610" s="150" t="s">
        <v>1450</v>
      </c>
      <c r="N610" s="150" t="s">
        <v>2659</v>
      </c>
      <c r="O610" s="150" t="s">
        <v>1082</v>
      </c>
      <c r="P610" s="244" t="str">
        <f>VLOOKUP(A610,Import!A:P,16,0)</f>
        <v>Geleneksel</v>
      </c>
      <c r="Q610" s="315" t="s">
        <v>2686</v>
      </c>
      <c r="R610" s="292" t="b">
        <v>1</v>
      </c>
      <c r="S610" s="293" t="b">
        <v>0</v>
      </c>
      <c r="T610" s="149" t="s">
        <v>2661</v>
      </c>
      <c r="U610" s="149" t="s">
        <v>1000</v>
      </c>
      <c r="V610" s="149" t="s">
        <v>31</v>
      </c>
      <c r="X610" s="294">
        <v>44265.0</v>
      </c>
      <c r="Y610" s="294">
        <v>44266.0</v>
      </c>
      <c r="Z610" s="288"/>
      <c r="AA610" s="288"/>
      <c r="AB610" s="288"/>
      <c r="AC610" s="288"/>
      <c r="AD610" s="288"/>
      <c r="AE610" s="160"/>
      <c r="AF610" s="288"/>
      <c r="AG610" s="160"/>
      <c r="AH610" s="288"/>
      <c r="AI610" s="288"/>
      <c r="AJ610" s="288"/>
      <c r="AK610" s="288"/>
      <c r="AL610" s="288"/>
      <c r="AM610" s="288"/>
      <c r="AN610" s="288"/>
      <c r="AO610" s="288"/>
      <c r="AP610" s="150" t="s">
        <v>2663</v>
      </c>
      <c r="AQ610" s="288"/>
    </row>
    <row r="611">
      <c r="A611" s="244" t="s">
        <v>4124</v>
      </c>
      <c r="B611" s="244" t="s">
        <v>4125</v>
      </c>
      <c r="C611" s="175" t="str">
        <f>VLOOKUP(A611,Import!A:C,3,false)</f>
        <v>DOĞRU</v>
      </c>
      <c r="D611" s="244" t="s">
        <v>2773</v>
      </c>
      <c r="E611" s="280">
        <f>VLOOKUP(A611,Import!A:J,5,0)</f>
        <v>1568</v>
      </c>
      <c r="F611" s="280">
        <f>VLOOKUP(A611,Import!A:J,6,0)</f>
        <v>35</v>
      </c>
      <c r="G611" s="289">
        <f>VLOOKUP(A611,Import!A:J,7,0)</f>
        <v>6</v>
      </c>
      <c r="H611" s="289">
        <f>VLOOKUP(A611,Import!A:J,8,0)</f>
        <v>18</v>
      </c>
      <c r="I611" s="289">
        <f>VLOOKUP(A611,Import!A:J,9,0)</f>
        <v>24</v>
      </c>
      <c r="J611" s="282">
        <f>VLOOKUP(A611,Import!A:J,10,0)</f>
        <v>0.25</v>
      </c>
      <c r="K611" s="244" t="str">
        <f>VLOOKUP(A611,Import!A:P,11,0)</f>
        <v>Yaşar Kocabıyık</v>
      </c>
      <c r="L611" s="280">
        <v>2.222201268E9</v>
      </c>
      <c r="M611" s="244" t="s">
        <v>2666</v>
      </c>
      <c r="N611" s="244" t="s">
        <v>2774</v>
      </c>
      <c r="O611" s="244" t="s">
        <v>4126</v>
      </c>
      <c r="P611" s="244" t="str">
        <f>VLOOKUP(A611,Import!A:P,16,0)</f>
        <v>Geleneksel</v>
      </c>
      <c r="Q611" s="315" t="s">
        <v>2686</v>
      </c>
      <c r="R611" s="292" t="b">
        <v>1</v>
      </c>
      <c r="S611" s="293" t="b">
        <v>0</v>
      </c>
      <c r="T611" s="171" t="s">
        <v>2925</v>
      </c>
      <c r="U611" s="160"/>
      <c r="V611" s="160"/>
      <c r="W611" s="160"/>
      <c r="X611" s="288"/>
      <c r="Y611" s="288"/>
      <c r="Z611" s="288"/>
      <c r="AA611" s="288"/>
      <c r="AB611" s="288"/>
      <c r="AC611" s="288"/>
      <c r="AD611" s="288"/>
      <c r="AE611" s="160"/>
      <c r="AF611" s="288"/>
      <c r="AG611" s="160"/>
      <c r="AH611" s="288"/>
      <c r="AI611" s="288"/>
      <c r="AJ611" s="288"/>
      <c r="AK611" s="288"/>
      <c r="AL611" s="288"/>
      <c r="AM611" s="288"/>
      <c r="AN611" s="288"/>
      <c r="AO611" s="288"/>
      <c r="AP611" s="150" t="s">
        <v>2663</v>
      </c>
      <c r="AQ611" s="288"/>
    </row>
    <row r="612">
      <c r="A612" s="150" t="s">
        <v>4127</v>
      </c>
      <c r="B612" s="150" t="s">
        <v>4128</v>
      </c>
      <c r="C612" s="175" t="str">
        <f>VLOOKUP(A612,Import!A:C,3,false)</f>
        <v>DOĞRU</v>
      </c>
      <c r="D612" s="150" t="s">
        <v>2773</v>
      </c>
      <c r="E612" s="280">
        <f>VLOOKUP(A612,Import!A:J,5,0)</f>
        <v>528</v>
      </c>
      <c r="F612" s="280" t="str">
        <f>VLOOKUP(A612,Import!A:J,6,0)</f>
        <v/>
      </c>
      <c r="G612" s="289">
        <f>VLOOKUP(A612,Import!A:J,7,0)</f>
        <v>13</v>
      </c>
      <c r="H612" s="289">
        <f>VLOOKUP(A612,Import!A:J,8,0)</f>
        <v>22</v>
      </c>
      <c r="I612" s="289">
        <f>VLOOKUP(A612,Import!A:J,9,0)</f>
        <v>35</v>
      </c>
      <c r="J612" s="282">
        <f>VLOOKUP(A612,Import!A:J,10,0)</f>
        <v>0.37</v>
      </c>
      <c r="K612" s="244" t="str">
        <f>VLOOKUP(A612,Import!A:P,11,0)</f>
        <v>ONUR ÖZTÜRK</v>
      </c>
      <c r="L612" s="150">
        <v>5.537674001E9</v>
      </c>
      <c r="M612" s="150" t="s">
        <v>2666</v>
      </c>
      <c r="N612" s="150" t="s">
        <v>2750</v>
      </c>
      <c r="O612" s="150" t="s">
        <v>4129</v>
      </c>
      <c r="P612" s="244" t="str">
        <f>VLOOKUP(A612,Import!A:P,16,0)</f>
        <v>Geleneksel</v>
      </c>
      <c r="Q612" s="315" t="s">
        <v>2713</v>
      </c>
      <c r="R612" s="292" t="b">
        <v>1</v>
      </c>
      <c r="S612" s="293" t="b">
        <v>0</v>
      </c>
      <c r="T612" s="149" t="s">
        <v>2925</v>
      </c>
      <c r="U612" s="296"/>
      <c r="V612" s="296"/>
      <c r="W612" s="149" t="s">
        <v>4130</v>
      </c>
      <c r="X612" s="297"/>
      <c r="Y612" s="297"/>
      <c r="Z612" s="288"/>
      <c r="AA612" s="288"/>
      <c r="AB612" s="288"/>
      <c r="AC612" s="288"/>
      <c r="AD612" s="288"/>
      <c r="AE612" s="160"/>
      <c r="AF612" s="288"/>
      <c r="AG612" s="160"/>
      <c r="AH612" s="288"/>
      <c r="AI612" s="288"/>
      <c r="AJ612" s="288"/>
      <c r="AK612" s="288"/>
      <c r="AL612" s="288"/>
      <c r="AM612" s="288"/>
      <c r="AN612" s="288"/>
      <c r="AO612" s="288"/>
      <c r="AP612" s="150" t="s">
        <v>2663</v>
      </c>
      <c r="AQ612" s="288"/>
    </row>
    <row r="613">
      <c r="A613" s="150" t="s">
        <v>4131</v>
      </c>
      <c r="B613" s="150" t="s">
        <v>4132</v>
      </c>
      <c r="C613" s="175" t="str">
        <f>VLOOKUP(A613,Import!A:C,3,false)</f>
        <v>DOĞRU</v>
      </c>
      <c r="D613" s="150" t="s">
        <v>2664</v>
      </c>
      <c r="E613" s="280">
        <f>VLOOKUP(A613,Import!A:J,5,0)</f>
        <v>51</v>
      </c>
      <c r="F613" s="280">
        <f>VLOOKUP(A613,Import!A:J,6,0)</f>
        <v>25</v>
      </c>
      <c r="G613" s="289">
        <f>VLOOKUP(A613,Import!A:J,7,0)</f>
        <v>0</v>
      </c>
      <c r="H613" s="289">
        <f>VLOOKUP(A613,Import!A:J,8,0)</f>
        <v>20</v>
      </c>
      <c r="I613" s="289">
        <f>VLOOKUP(A613,Import!A:J,9,0)</f>
        <v>20</v>
      </c>
      <c r="J613" s="282">
        <f>VLOOKUP(A613,Import!A:J,10,0)</f>
        <v>0</v>
      </c>
      <c r="K613" s="290" t="s">
        <v>3032</v>
      </c>
      <c r="L613" s="150">
        <v>5.461032626E9</v>
      </c>
      <c r="M613" s="150" t="s">
        <v>2666</v>
      </c>
      <c r="N613" s="150" t="s">
        <v>2801</v>
      </c>
      <c r="O613" s="150" t="s">
        <v>3033</v>
      </c>
      <c r="P613" s="244" t="str">
        <f>VLOOKUP(A613,Import!A:P,16,0)</f>
        <v>Geleneksel</v>
      </c>
      <c r="Q613" s="291"/>
      <c r="R613" s="292" t="b">
        <v>1</v>
      </c>
      <c r="S613" s="292" t="b">
        <v>1</v>
      </c>
      <c r="T613" s="149"/>
      <c r="U613" s="296"/>
      <c r="V613" s="296"/>
      <c r="W613" s="149" t="s">
        <v>4133</v>
      </c>
      <c r="X613" s="297"/>
      <c r="Y613" s="297"/>
      <c r="Z613" s="288"/>
      <c r="AA613" s="165" t="s">
        <v>2669</v>
      </c>
      <c r="AB613" s="295">
        <v>44622.0</v>
      </c>
      <c r="AC613" s="288"/>
      <c r="AD613" s="288"/>
      <c r="AE613" s="160"/>
      <c r="AF613" s="288"/>
      <c r="AG613" s="160"/>
      <c r="AH613" s="288"/>
      <c r="AI613" s="288"/>
      <c r="AJ613" s="288"/>
      <c r="AK613" s="165" t="s">
        <v>943</v>
      </c>
      <c r="AL613" s="288"/>
      <c r="AM613" s="288"/>
      <c r="AN613" s="288"/>
      <c r="AO613" s="165"/>
      <c r="AP613" s="150"/>
      <c r="AQ613" s="165"/>
    </row>
    <row r="614">
      <c r="A614" s="150" t="s">
        <v>4134</v>
      </c>
      <c r="B614" s="150" t="s">
        <v>4135</v>
      </c>
      <c r="C614" s="175" t="str">
        <f>VLOOKUP(A614,Import!A:C,3,false)</f>
        <v>DOĞRU</v>
      </c>
      <c r="D614" s="150" t="s">
        <v>2696</v>
      </c>
      <c r="E614" s="280">
        <f>VLOOKUP(A614,Import!A:J,5,0)</f>
        <v>33</v>
      </c>
      <c r="F614" s="280">
        <f>VLOOKUP(A614,Import!A:J,6,0)</f>
        <v>29</v>
      </c>
      <c r="G614" s="289">
        <f>VLOOKUP(A614,Import!A:J,7,0)</f>
        <v>0</v>
      </c>
      <c r="H614" s="289">
        <f>VLOOKUP(A614,Import!A:J,8,0)</f>
        <v>64</v>
      </c>
      <c r="I614" s="289">
        <f>VLOOKUP(A614,Import!A:J,9,0)</f>
        <v>64</v>
      </c>
      <c r="J614" s="282">
        <f>VLOOKUP(A614,Import!A:J,10,0)</f>
        <v>0</v>
      </c>
      <c r="K614" s="150" t="s">
        <v>4136</v>
      </c>
      <c r="L614" s="150">
        <v>5.337268826E9</v>
      </c>
      <c r="M614" s="150" t="s">
        <v>1450</v>
      </c>
      <c r="N614" s="150" t="s">
        <v>2732</v>
      </c>
      <c r="O614" s="150" t="s">
        <v>4137</v>
      </c>
      <c r="P614" s="244" t="str">
        <f>VLOOKUP(A614,Import!A:P,16,0)</f>
        <v>Geleneksel</v>
      </c>
      <c r="Q614" s="291"/>
      <c r="R614" s="292" t="b">
        <v>0</v>
      </c>
      <c r="S614" s="293" t="b">
        <v>0</v>
      </c>
      <c r="T614" s="149"/>
      <c r="U614" s="296"/>
      <c r="V614" s="296"/>
      <c r="W614" s="149"/>
      <c r="X614" s="297"/>
      <c r="Y614" s="297"/>
      <c r="Z614" s="288"/>
      <c r="AA614" s="165"/>
      <c r="AB614" s="295"/>
      <c r="AC614" s="288"/>
      <c r="AD614" s="288"/>
      <c r="AE614" s="160"/>
      <c r="AF614" s="288"/>
      <c r="AG614" s="160"/>
      <c r="AH614" s="288"/>
      <c r="AI614" s="288"/>
      <c r="AJ614" s="288"/>
      <c r="AK614" s="165"/>
      <c r="AL614" s="288"/>
      <c r="AM614" s="288"/>
      <c r="AN614" s="288"/>
      <c r="AO614" s="165"/>
      <c r="AP614" s="150"/>
      <c r="AQ614" s="165"/>
    </row>
    <row r="615">
      <c r="A615" s="150" t="s">
        <v>4138</v>
      </c>
      <c r="B615" s="150" t="s">
        <v>4139</v>
      </c>
      <c r="C615" s="175" t="str">
        <f>VLOOKUP(A615,Import!A:C,3,false)</f>
        <v>DOĞRU</v>
      </c>
      <c r="D615" s="147" t="s">
        <v>2672</v>
      </c>
      <c r="E615" s="280">
        <f>VLOOKUP(A615,Import!A:J,5,0)</f>
        <v>1284</v>
      </c>
      <c r="F615" s="280">
        <f>VLOOKUP(A615,Import!A:J,6,0)</f>
        <v>7</v>
      </c>
      <c r="G615" s="289">
        <f>VLOOKUP(A615,Import!A:J,7,0)</f>
        <v>0</v>
      </c>
      <c r="H615" s="289">
        <f>VLOOKUP(A615,Import!A:J,8,0)</f>
        <v>14</v>
      </c>
      <c r="I615" s="289">
        <f>VLOOKUP(A615,Import!A:J,9,0)</f>
        <v>14</v>
      </c>
      <c r="J615" s="282">
        <f>VLOOKUP(A615,Import!A:J,10,0)</f>
        <v>0</v>
      </c>
      <c r="K615" s="244" t="str">
        <f>VLOOKUP(A615,Import!A:P,11,0)</f>
        <v>Engin Gedik</v>
      </c>
      <c r="L615" s="147">
        <v>5.523158026E9</v>
      </c>
      <c r="M615" s="147" t="s">
        <v>1450</v>
      </c>
      <c r="N615" s="147" t="s">
        <v>3189</v>
      </c>
      <c r="O615" s="147" t="s">
        <v>4140</v>
      </c>
      <c r="P615" s="244" t="str">
        <f>VLOOKUP(A615,Import!A:P,16,0)</f>
        <v>Geleneksel</v>
      </c>
      <c r="Q615" s="330"/>
      <c r="R615" s="292" t="b">
        <v>1</v>
      </c>
      <c r="S615" s="293" t="b">
        <v>0</v>
      </c>
      <c r="T615" s="149" t="s">
        <v>3111</v>
      </c>
      <c r="U615" s="296"/>
      <c r="V615" s="296"/>
      <c r="W615" s="149" t="s">
        <v>4141</v>
      </c>
      <c r="X615" s="297"/>
      <c r="Y615" s="297"/>
      <c r="Z615" s="288"/>
      <c r="AA615" s="165" t="s">
        <v>2669</v>
      </c>
      <c r="AB615" s="295">
        <v>44379.0</v>
      </c>
      <c r="AC615" s="165" t="s">
        <v>2693</v>
      </c>
      <c r="AD615" s="295">
        <v>44587.0</v>
      </c>
      <c r="AE615" s="160"/>
      <c r="AF615" s="288"/>
      <c r="AG615" s="160"/>
      <c r="AH615" s="288"/>
      <c r="AI615" s="288"/>
      <c r="AJ615" s="288"/>
      <c r="AK615" s="165" t="s">
        <v>2718</v>
      </c>
      <c r="AL615" s="165" t="s">
        <v>1715</v>
      </c>
      <c r="AM615" s="288"/>
      <c r="AN615" s="288"/>
      <c r="AO615" s="288"/>
      <c r="AP615" s="150" t="s">
        <v>2663</v>
      </c>
      <c r="AQ615" s="288"/>
    </row>
    <row r="616">
      <c r="A616" s="244" t="s">
        <v>175</v>
      </c>
      <c r="B616" s="244" t="s">
        <v>176</v>
      </c>
      <c r="C616" s="175" t="str">
        <f>VLOOKUP(A616,Import!A:C,3,false)</f>
        <v>DOĞRU</v>
      </c>
      <c r="D616" s="303" t="s">
        <v>2751</v>
      </c>
      <c r="E616" s="280">
        <f>VLOOKUP(A616,Import!A:J,5,0)</f>
        <v>1650</v>
      </c>
      <c r="F616" s="280">
        <f>VLOOKUP(A616,Import!A:J,6,0)</f>
        <v>15</v>
      </c>
      <c r="G616" s="289">
        <f>VLOOKUP(A616,Import!A:J,7,0)</f>
        <v>0</v>
      </c>
      <c r="H616" s="289">
        <f>VLOOKUP(A616,Import!A:J,8,0)</f>
        <v>6</v>
      </c>
      <c r="I616" s="289">
        <f>VLOOKUP(A616,Import!A:J,9,0)</f>
        <v>6</v>
      </c>
      <c r="J616" s="282">
        <f>VLOOKUP(A616,Import!A:J,10,0)</f>
        <v>0</v>
      </c>
      <c r="K616" s="244" t="str">
        <f>VLOOKUP(A616,Import!A:P,11,0)</f>
        <v>İsmail Ayan</v>
      </c>
      <c r="L616" s="304">
        <v>2.222335152E9</v>
      </c>
      <c r="M616" s="303" t="s">
        <v>2666</v>
      </c>
      <c r="N616" s="303" t="s">
        <v>2667</v>
      </c>
      <c r="O616" s="303" t="s">
        <v>178</v>
      </c>
      <c r="P616" s="244" t="str">
        <f>VLOOKUP(A616,Import!A:P,16,0)</f>
        <v>Geleneksel</v>
      </c>
      <c r="Q616" s="305" t="s">
        <v>2660</v>
      </c>
      <c r="R616" s="306" t="b">
        <v>1</v>
      </c>
      <c r="S616" s="307" t="b">
        <v>0</v>
      </c>
      <c r="T616" s="309" t="s">
        <v>2661</v>
      </c>
      <c r="U616" s="309"/>
      <c r="V616" s="399" t="s">
        <v>46</v>
      </c>
      <c r="W616" s="309" t="s">
        <v>2708</v>
      </c>
      <c r="X616" s="310">
        <v>44231.0</v>
      </c>
      <c r="Y616" s="310">
        <v>44237.0</v>
      </c>
      <c r="Z616" s="288"/>
      <c r="AA616" s="288"/>
      <c r="AB616" s="288"/>
      <c r="AC616" s="288"/>
      <c r="AD616" s="288"/>
      <c r="AE616" s="160"/>
      <c r="AF616" s="288"/>
      <c r="AG616" s="160"/>
      <c r="AH616" s="288"/>
      <c r="AI616" s="288"/>
      <c r="AJ616" s="288"/>
      <c r="AK616" s="288"/>
      <c r="AL616" s="288"/>
      <c r="AM616" s="288"/>
      <c r="AN616" s="288"/>
      <c r="AO616" s="288"/>
      <c r="AP616" s="150" t="s">
        <v>2663</v>
      </c>
      <c r="AQ616" s="288"/>
    </row>
    <row r="617">
      <c r="A617" s="150" t="s">
        <v>4142</v>
      </c>
      <c r="B617" s="150" t="s">
        <v>4143</v>
      </c>
      <c r="C617" s="175" t="str">
        <f>VLOOKUP(A617,Import!A:C,3,false)</f>
        <v>YANLIŞ</v>
      </c>
      <c r="D617" s="150" t="s">
        <v>2672</v>
      </c>
      <c r="E617" s="280">
        <f>VLOOKUP(A617,Import!A:J,5,0)</f>
        <v>5340</v>
      </c>
      <c r="F617" s="280" t="str">
        <f>VLOOKUP(A617,Import!A:J,6,0)</f>
        <v/>
      </c>
      <c r="G617" s="289">
        <f>VLOOKUP(A617,Import!A:J,7,0)</f>
        <v>0</v>
      </c>
      <c r="H617" s="289">
        <f>VLOOKUP(A617,Import!A:J,8,0)</f>
        <v>16</v>
      </c>
      <c r="I617" s="289">
        <f>VLOOKUP(A617,Import!A:J,9,0)</f>
        <v>16</v>
      </c>
      <c r="J617" s="282">
        <f>VLOOKUP(A617,Import!A:J,10,0)</f>
        <v>0</v>
      </c>
      <c r="K617" s="244" t="str">
        <f>VLOOKUP(A617,Import!A:P,11,0)</f>
        <v>GÖKHAN KANTAR</v>
      </c>
      <c r="L617" s="150">
        <v>2.223358888E9</v>
      </c>
      <c r="M617" s="150" t="s">
        <v>2666</v>
      </c>
      <c r="N617" s="150" t="s">
        <v>3078</v>
      </c>
      <c r="O617" s="150" t="s">
        <v>4144</v>
      </c>
      <c r="P617" s="244" t="str">
        <f>VLOOKUP(A617,Import!A:P,16,0)</f>
        <v>Geleneksel</v>
      </c>
      <c r="Q617" s="291" t="s">
        <v>2713</v>
      </c>
      <c r="R617" s="292" t="b">
        <v>1</v>
      </c>
      <c r="S617" s="292" t="b">
        <v>1</v>
      </c>
      <c r="T617" s="296"/>
      <c r="U617" s="296"/>
      <c r="V617" s="296"/>
      <c r="X617" s="297"/>
      <c r="Y617" s="297"/>
      <c r="Z617" s="288"/>
      <c r="AA617" s="288"/>
      <c r="AB617" s="288"/>
      <c r="AC617" s="288"/>
      <c r="AD617" s="288"/>
      <c r="AE617" s="160"/>
      <c r="AF617" s="288"/>
      <c r="AG617" s="160"/>
      <c r="AH617" s="288"/>
      <c r="AI617" s="288"/>
      <c r="AJ617" s="288"/>
      <c r="AK617" s="288"/>
      <c r="AL617" s="288"/>
      <c r="AM617" s="288"/>
      <c r="AN617" s="288"/>
      <c r="AO617" s="288"/>
      <c r="AP617" s="150" t="s">
        <v>2663</v>
      </c>
      <c r="AQ617" s="288"/>
    </row>
    <row r="618">
      <c r="A618" s="150" t="s">
        <v>1644</v>
      </c>
      <c r="B618" s="150" t="s">
        <v>1645</v>
      </c>
      <c r="C618" s="175" t="str">
        <f>VLOOKUP(A618,Import!A:C,3,false)</f>
        <v>DOĞRU</v>
      </c>
      <c r="D618" s="150" t="s">
        <v>2696</v>
      </c>
      <c r="E618" s="280">
        <f>VLOOKUP(A618,Import!A:J,5,0)</f>
        <v>7909</v>
      </c>
      <c r="F618" s="280">
        <f>VLOOKUP(A618,Import!A:J,6,0)</f>
        <v>729</v>
      </c>
      <c r="G618" s="289">
        <f>VLOOKUP(A618,Import!A:J,7,0)</f>
        <v>9</v>
      </c>
      <c r="H618" s="289">
        <f>VLOOKUP(A618,Import!A:J,8,0)</f>
        <v>53</v>
      </c>
      <c r="I618" s="289">
        <f>VLOOKUP(A618,Import!A:J,9,0)</f>
        <v>62</v>
      </c>
      <c r="J618" s="282">
        <f>VLOOKUP(A618,Import!A:J,10,0)</f>
        <v>0.15</v>
      </c>
      <c r="K618" s="244" t="str">
        <f>VLOOKUP(A618,Import!A:P,11,0)</f>
        <v>Berkay Barutçu</v>
      </c>
      <c r="L618" s="150">
        <v>5.528584226E9</v>
      </c>
      <c r="M618" s="150" t="s">
        <v>1450</v>
      </c>
      <c r="N618" s="150" t="s">
        <v>2716</v>
      </c>
      <c r="O618" s="150" t="s">
        <v>1647</v>
      </c>
      <c r="P618" s="244" t="str">
        <f>VLOOKUP(A618,Import!A:P,16,0)</f>
        <v>Geleneksel</v>
      </c>
      <c r="Q618" s="291"/>
      <c r="R618" s="292" t="b">
        <v>1</v>
      </c>
      <c r="S618" s="293" t="b">
        <v>0</v>
      </c>
      <c r="T618" s="149" t="s">
        <v>2661</v>
      </c>
      <c r="U618" s="149" t="s">
        <v>819</v>
      </c>
      <c r="V618" s="296"/>
      <c r="W618" s="149" t="s">
        <v>4145</v>
      </c>
      <c r="X618" s="294">
        <v>44482.0</v>
      </c>
      <c r="Y618" s="294">
        <v>44482.0</v>
      </c>
      <c r="Z618" s="288"/>
      <c r="AA618" s="165" t="s">
        <v>2669</v>
      </c>
      <c r="AB618" s="295">
        <v>44482.0</v>
      </c>
      <c r="AC618" s="165" t="s">
        <v>2669</v>
      </c>
      <c r="AD618" s="295">
        <v>44509.0</v>
      </c>
      <c r="AE618" s="165" t="s">
        <v>2669</v>
      </c>
      <c r="AF618" s="295">
        <v>44517.0</v>
      </c>
      <c r="AG618" s="165" t="s">
        <v>2693</v>
      </c>
      <c r="AH618" s="295">
        <v>44540.0</v>
      </c>
      <c r="AI618" s="288"/>
      <c r="AJ618" s="288"/>
      <c r="AK618" s="165" t="s">
        <v>819</v>
      </c>
      <c r="AL618" s="165" t="s">
        <v>943</v>
      </c>
      <c r="AM618" s="165" t="s">
        <v>1971</v>
      </c>
      <c r="AN618" s="165" t="s">
        <v>1911</v>
      </c>
      <c r="AO618" s="288"/>
      <c r="AP618" s="150" t="s">
        <v>2663</v>
      </c>
      <c r="AQ618" s="288"/>
    </row>
    <row r="619">
      <c r="A619" s="244" t="s">
        <v>517</v>
      </c>
      <c r="B619" s="244" t="s">
        <v>518</v>
      </c>
      <c r="C619" s="175" t="str">
        <f>VLOOKUP(A619,Import!A:C,3,false)</f>
        <v>DOĞRU</v>
      </c>
      <c r="D619" s="244" t="s">
        <v>2978</v>
      </c>
      <c r="E619" s="280">
        <f>VLOOKUP(A619,Import!A:J,5,0)</f>
        <v>454</v>
      </c>
      <c r="F619" s="280">
        <f>VLOOKUP(A619,Import!A:J,6,0)</f>
        <v>37</v>
      </c>
      <c r="G619" s="289">
        <f>VLOOKUP(A619,Import!A:J,7,0)</f>
        <v>45</v>
      </c>
      <c r="H619" s="289">
        <f>VLOOKUP(A619,Import!A:J,8,0)</f>
        <v>0</v>
      </c>
      <c r="I619" s="289">
        <f>VLOOKUP(A619,Import!A:J,9,0)</f>
        <v>45</v>
      </c>
      <c r="J619" s="282">
        <f>VLOOKUP(A619,Import!A:J,10,0)</f>
        <v>1</v>
      </c>
      <c r="K619" s="244" t="str">
        <f>VLOOKUP(A619,Import!A:P,11,0)</f>
        <v>Seyit Ünal Şakar</v>
      </c>
      <c r="L619" s="280">
        <v>5.351050035E9</v>
      </c>
      <c r="M619" s="244" t="s">
        <v>2666</v>
      </c>
      <c r="N619" s="244" t="s">
        <v>2667</v>
      </c>
      <c r="O619" s="244" t="s">
        <v>2583</v>
      </c>
      <c r="P619" s="244" t="str">
        <f>VLOOKUP(A619,Import!A:P,16,0)</f>
        <v>Geleneksel</v>
      </c>
      <c r="Q619" s="291" t="s">
        <v>2660</v>
      </c>
      <c r="R619" s="292" t="b">
        <v>1</v>
      </c>
      <c r="S619" s="293" t="b">
        <v>0</v>
      </c>
      <c r="T619" s="165" t="s">
        <v>2661</v>
      </c>
      <c r="U619" s="165" t="s">
        <v>1791</v>
      </c>
      <c r="V619" s="269" t="s">
        <v>1609</v>
      </c>
      <c r="W619" s="165" t="s">
        <v>4146</v>
      </c>
      <c r="X619" s="295">
        <v>44641.0</v>
      </c>
      <c r="Y619" s="295">
        <v>44651.0</v>
      </c>
      <c r="Z619" s="288"/>
      <c r="AA619" s="165" t="s">
        <v>2699</v>
      </c>
      <c r="AB619" s="295">
        <v>44517.0</v>
      </c>
      <c r="AC619" s="165" t="s">
        <v>2669</v>
      </c>
      <c r="AD619" s="295">
        <v>44641.0</v>
      </c>
      <c r="AE619" s="160"/>
      <c r="AF619" s="288"/>
      <c r="AG619" s="160"/>
      <c r="AH619" s="288"/>
      <c r="AI619" s="288"/>
      <c r="AJ619" s="288"/>
      <c r="AK619" s="165" t="s">
        <v>1971</v>
      </c>
      <c r="AL619" s="165" t="s">
        <v>1791</v>
      </c>
      <c r="AM619" s="288"/>
      <c r="AN619" s="288"/>
      <c r="AO619" s="288"/>
      <c r="AP619" s="150" t="s">
        <v>2663</v>
      </c>
      <c r="AQ619" s="288"/>
    </row>
    <row r="620">
      <c r="A620" s="150" t="s">
        <v>4147</v>
      </c>
      <c r="B620" s="150" t="s">
        <v>4148</v>
      </c>
      <c r="C620" s="175" t="str">
        <f>VLOOKUP(A620,Import!A:C,3,false)</f>
        <v>DOĞRU</v>
      </c>
      <c r="D620" s="150" t="s">
        <v>2664</v>
      </c>
      <c r="E620" s="280">
        <f>VLOOKUP(A620,Import!A:J,5,0)</f>
        <v>701</v>
      </c>
      <c r="F620" s="280">
        <f>VLOOKUP(A620,Import!A:J,6,0)</f>
        <v>4</v>
      </c>
      <c r="G620" s="289">
        <f>VLOOKUP(A620,Import!A:J,7,0)</f>
        <v>0</v>
      </c>
      <c r="H620" s="289">
        <f>VLOOKUP(A620,Import!A:J,8,0)</f>
        <v>5</v>
      </c>
      <c r="I620" s="289">
        <f>VLOOKUP(A620,Import!A:J,9,0)</f>
        <v>5</v>
      </c>
      <c r="J620" s="282">
        <f>VLOOKUP(A620,Import!A:J,10,0)</f>
        <v>0</v>
      </c>
      <c r="K620" s="244" t="str">
        <f>VLOOKUP(A620,Import!A:P,11,0)</f>
        <v>BEKİR YAVUZ</v>
      </c>
      <c r="L620" s="150">
        <v>2.222335353E9</v>
      </c>
      <c r="M620" s="150" t="s">
        <v>2666</v>
      </c>
      <c r="N620" s="150" t="s">
        <v>2682</v>
      </c>
      <c r="O620" s="150" t="s">
        <v>4149</v>
      </c>
      <c r="P620" s="244" t="str">
        <f>VLOOKUP(A620,Import!A:P,16,0)</f>
        <v>Geleneksel</v>
      </c>
      <c r="Q620" s="315" t="s">
        <v>2713</v>
      </c>
      <c r="R620" s="292" t="b">
        <v>1</v>
      </c>
      <c r="S620" s="292" t="b">
        <v>1</v>
      </c>
      <c r="T620" s="296"/>
      <c r="U620" s="296"/>
      <c r="V620" s="296"/>
      <c r="W620" s="149" t="s">
        <v>4150</v>
      </c>
      <c r="X620" s="297"/>
      <c r="Y620" s="297"/>
      <c r="Z620" s="288"/>
      <c r="AA620" s="165" t="s">
        <v>2688</v>
      </c>
      <c r="AB620" s="295">
        <v>44489.0</v>
      </c>
      <c r="AC620" s="165" t="s">
        <v>2688</v>
      </c>
      <c r="AD620" s="295">
        <v>44502.0</v>
      </c>
      <c r="AE620" s="160"/>
      <c r="AF620" s="288"/>
      <c r="AG620" s="160"/>
      <c r="AH620" s="288"/>
      <c r="AI620" s="288"/>
      <c r="AJ620" s="288"/>
      <c r="AK620" s="165" t="s">
        <v>1717</v>
      </c>
      <c r="AL620" s="165" t="s">
        <v>1791</v>
      </c>
      <c r="AM620" s="288"/>
      <c r="AN620" s="288"/>
      <c r="AO620" s="288"/>
      <c r="AP620" s="150" t="s">
        <v>2663</v>
      </c>
      <c r="AQ620" s="288"/>
    </row>
    <row r="621">
      <c r="A621" s="244" t="s">
        <v>4151</v>
      </c>
      <c r="B621" s="244" t="s">
        <v>4152</v>
      </c>
      <c r="C621" s="175" t="str">
        <f>VLOOKUP(A621,Import!A:C,3,false)</f>
        <v>DOĞRU</v>
      </c>
      <c r="D621" s="244" t="s">
        <v>2701</v>
      </c>
      <c r="E621" s="280">
        <f>VLOOKUP(A621,Import!A:J,5,0)</f>
        <v>11756</v>
      </c>
      <c r="F621" s="280">
        <f>VLOOKUP(A621,Import!A:J,6,0)</f>
        <v>446</v>
      </c>
      <c r="G621" s="289">
        <f>VLOOKUP(A621,Import!A:J,7,0)</f>
        <v>0</v>
      </c>
      <c r="H621" s="289">
        <f>VLOOKUP(A621,Import!A:J,8,0)</f>
        <v>6</v>
      </c>
      <c r="I621" s="289">
        <f>VLOOKUP(A621,Import!A:J,9,0)</f>
        <v>6</v>
      </c>
      <c r="J621" s="282">
        <f>VLOOKUP(A621,Import!A:J,10,0)</f>
        <v>0</v>
      </c>
      <c r="K621" s="244" t="str">
        <f>VLOOKUP(A621,Import!A:P,11,0)</f>
        <v>BEKİR YAVUZ</v>
      </c>
      <c r="L621" s="280">
        <v>5.337265234E9</v>
      </c>
      <c r="M621" s="244" t="s">
        <v>2666</v>
      </c>
      <c r="N621" s="244" t="s">
        <v>2682</v>
      </c>
      <c r="O621" s="244" t="s">
        <v>4153</v>
      </c>
      <c r="P621" s="244" t="str">
        <f>VLOOKUP(A621,Import!A:P,16,0)</f>
        <v>Geleneksel</v>
      </c>
      <c r="Q621" s="291" t="s">
        <v>2660</v>
      </c>
      <c r="R621" s="292" t="b">
        <v>1</v>
      </c>
      <c r="S621" s="292" t="b">
        <v>1</v>
      </c>
      <c r="T621" s="165"/>
      <c r="U621" s="165"/>
      <c r="V621" s="165"/>
      <c r="W621" s="165" t="s">
        <v>4154</v>
      </c>
      <c r="X621" s="295"/>
      <c r="Y621" s="295"/>
      <c r="Z621" s="288"/>
      <c r="AA621" s="165" t="s">
        <v>2688</v>
      </c>
      <c r="AB621" s="295">
        <v>44489.0</v>
      </c>
      <c r="AC621" s="288"/>
      <c r="AD621" s="288"/>
      <c r="AE621" s="160"/>
      <c r="AF621" s="288"/>
      <c r="AG621" s="160"/>
      <c r="AH621" s="288"/>
      <c r="AI621" s="288"/>
      <c r="AJ621" s="288"/>
      <c r="AK621" s="165" t="s">
        <v>1717</v>
      </c>
      <c r="AL621" s="288"/>
      <c r="AM621" s="288"/>
      <c r="AN621" s="288"/>
      <c r="AO621" s="288"/>
      <c r="AP621" s="150" t="s">
        <v>2663</v>
      </c>
      <c r="AQ621" s="288"/>
    </row>
    <row r="622">
      <c r="A622" s="150" t="s">
        <v>4155</v>
      </c>
      <c r="B622" s="150" t="s">
        <v>4156</v>
      </c>
      <c r="C622" s="175" t="str">
        <f>VLOOKUP(A622,Import!A:C,3,false)</f>
        <v>DOĞRU</v>
      </c>
      <c r="D622" s="150" t="s">
        <v>2701</v>
      </c>
      <c r="E622" s="280">
        <f>VLOOKUP(A622,Import!A:J,5,0)</f>
        <v>43</v>
      </c>
      <c r="F622" s="280">
        <f>VLOOKUP(A622,Import!A:J,6,0)</f>
        <v>43</v>
      </c>
      <c r="G622" s="289">
        <f>VLOOKUP(A622,Import!A:J,7,0)</f>
        <v>0</v>
      </c>
      <c r="H622" s="289">
        <f>VLOOKUP(A622,Import!A:J,8,0)</f>
        <v>5</v>
      </c>
      <c r="I622" s="289">
        <f>VLOOKUP(A622,Import!A:J,9,0)</f>
        <v>5</v>
      </c>
      <c r="J622" s="282">
        <f>VLOOKUP(A622,Import!A:J,10,0)</f>
        <v>0</v>
      </c>
      <c r="K622" s="150" t="s">
        <v>4157</v>
      </c>
      <c r="L622" s="150">
        <v>2.223221232E9</v>
      </c>
      <c r="M622" s="150" t="s">
        <v>2666</v>
      </c>
      <c r="N622" s="150" t="s">
        <v>2721</v>
      </c>
      <c r="O622" s="150" t="s">
        <v>4158</v>
      </c>
      <c r="P622" s="244" t="str">
        <f>VLOOKUP(A622,Import!A:P,16,0)</f>
        <v>Geleneksel</v>
      </c>
      <c r="Q622" s="291"/>
      <c r="R622" s="292" t="b">
        <v>0</v>
      </c>
      <c r="S622" s="293" t="b">
        <v>0</v>
      </c>
      <c r="T622" s="149"/>
      <c r="U622" s="296"/>
      <c r="V622" s="296"/>
      <c r="W622" s="149"/>
      <c r="X622" s="297"/>
      <c r="Y622" s="297"/>
      <c r="Z622" s="288"/>
      <c r="AA622" s="165"/>
      <c r="AB622" s="295"/>
      <c r="AC622" s="288"/>
      <c r="AD622" s="288"/>
      <c r="AE622" s="160"/>
      <c r="AF622" s="288"/>
      <c r="AG622" s="160"/>
      <c r="AH622" s="288"/>
      <c r="AI622" s="288"/>
      <c r="AJ622" s="288"/>
      <c r="AK622" s="165"/>
      <c r="AL622" s="288"/>
      <c r="AM622" s="288"/>
      <c r="AN622" s="288"/>
      <c r="AO622" s="165"/>
      <c r="AP622" s="150"/>
      <c r="AQ622" s="165"/>
    </row>
    <row r="623">
      <c r="A623" s="244" t="s">
        <v>1711</v>
      </c>
      <c r="B623" s="244" t="s">
        <v>1712</v>
      </c>
      <c r="C623" s="175" t="str">
        <f>VLOOKUP(A623,Import!A:C,3,false)</f>
        <v>DOĞRU</v>
      </c>
      <c r="D623" s="244" t="s">
        <v>2773</v>
      </c>
      <c r="E623" s="280">
        <f>VLOOKUP(A623,Import!A:J,5,0)</f>
        <v>353</v>
      </c>
      <c r="F623" s="280">
        <f>VLOOKUP(A623,Import!A:J,6,0)</f>
        <v>8</v>
      </c>
      <c r="G623" s="289">
        <f>VLOOKUP(A623,Import!A:J,7,0)</f>
        <v>8</v>
      </c>
      <c r="H623" s="289">
        <f>VLOOKUP(A623,Import!A:J,8,0)</f>
        <v>1</v>
      </c>
      <c r="I623" s="289">
        <f>VLOOKUP(A623,Import!A:J,9,0)</f>
        <v>9</v>
      </c>
      <c r="J623" s="282">
        <f>VLOOKUP(A623,Import!A:J,10,0)</f>
        <v>0.89</v>
      </c>
      <c r="K623" s="244" t="str">
        <f>VLOOKUP(A623,Import!A:P,11,0)</f>
        <v>BAYRAM ERUS</v>
      </c>
      <c r="L623" s="280">
        <v>5.386778626E9</v>
      </c>
      <c r="M623" s="244" t="s">
        <v>1450</v>
      </c>
      <c r="N623" s="244" t="s">
        <v>2716</v>
      </c>
      <c r="O623" s="244" t="s">
        <v>1714</v>
      </c>
      <c r="P623" s="244" t="str">
        <f>VLOOKUP(A623,Import!A:P,16,0)</f>
        <v>Geleneksel</v>
      </c>
      <c r="Q623" s="315" t="s">
        <v>2660</v>
      </c>
      <c r="R623" s="292" t="b">
        <v>1</v>
      </c>
      <c r="S623" s="293" t="b">
        <v>0</v>
      </c>
      <c r="T623" s="165" t="s">
        <v>2661</v>
      </c>
      <c r="U623" s="165" t="s">
        <v>819</v>
      </c>
      <c r="V623" s="313" t="s">
        <v>1609</v>
      </c>
      <c r="W623" s="165" t="s">
        <v>4159</v>
      </c>
      <c r="X623" s="295">
        <v>44484.0</v>
      </c>
      <c r="Y623" s="295">
        <v>44488.0</v>
      </c>
      <c r="Z623" s="288"/>
      <c r="AA623" s="165" t="s">
        <v>2669</v>
      </c>
      <c r="AB623" s="295">
        <v>44484.0</v>
      </c>
      <c r="AC623" s="165" t="s">
        <v>2669</v>
      </c>
      <c r="AD623" s="295">
        <v>44539.0</v>
      </c>
      <c r="AE623" s="160"/>
      <c r="AF623" s="288"/>
      <c r="AG623" s="160"/>
      <c r="AH623" s="288"/>
      <c r="AI623" s="288"/>
      <c r="AJ623" s="288"/>
      <c r="AK623" s="165" t="s">
        <v>819</v>
      </c>
      <c r="AL623" s="165" t="s">
        <v>1911</v>
      </c>
      <c r="AM623" s="288"/>
      <c r="AN623" s="288"/>
      <c r="AO623" s="288"/>
      <c r="AP623" s="150" t="s">
        <v>2663</v>
      </c>
      <c r="AQ623" s="288"/>
    </row>
    <row r="624">
      <c r="A624" s="150" t="s">
        <v>4160</v>
      </c>
      <c r="B624" s="150" t="s">
        <v>4161</v>
      </c>
      <c r="C624" s="175" t="str">
        <f>VLOOKUP(A624,Import!A:C,3,false)</f>
        <v>DOĞRU</v>
      </c>
      <c r="D624" s="150" t="s">
        <v>2867</v>
      </c>
      <c r="E624" s="280">
        <f>VLOOKUP(A624,Import!A:J,5,0)</f>
        <v>445</v>
      </c>
      <c r="F624" s="280">
        <f>VLOOKUP(A624,Import!A:J,6,0)</f>
        <v>19</v>
      </c>
      <c r="G624" s="289">
        <f>VLOOKUP(A624,Import!A:J,7,0)</f>
        <v>0</v>
      </c>
      <c r="H624" s="289">
        <f>VLOOKUP(A624,Import!A:J,8,0)</f>
        <v>102</v>
      </c>
      <c r="I624" s="289">
        <f>VLOOKUP(A624,Import!A:J,9,0)</f>
        <v>102</v>
      </c>
      <c r="J624" s="282">
        <f>VLOOKUP(A624,Import!A:J,10,0)</f>
        <v>0</v>
      </c>
      <c r="K624" s="244" t="str">
        <f>VLOOKUP(A624,Import!A:P,11,0)</f>
        <v>OSMAN KOYUNCU</v>
      </c>
      <c r="L624" s="150">
        <v>2.222399988E9</v>
      </c>
      <c r="M624" s="150" t="s">
        <v>1450</v>
      </c>
      <c r="N624" s="150" t="s">
        <v>2732</v>
      </c>
      <c r="O624" s="150" t="s">
        <v>4162</v>
      </c>
      <c r="P624" s="244" t="str">
        <f>VLOOKUP(A624,Import!A:P,16,0)</f>
        <v>Geleneksel</v>
      </c>
      <c r="Q624" s="291" t="s">
        <v>2713</v>
      </c>
      <c r="R624" s="292" t="b">
        <v>1</v>
      </c>
      <c r="S624" s="292" t="b">
        <v>1</v>
      </c>
      <c r="T624" s="296"/>
      <c r="U624" s="296"/>
      <c r="V624" s="296"/>
      <c r="W624" s="149" t="s">
        <v>4163</v>
      </c>
      <c r="X624" s="297"/>
      <c r="Y624" s="297"/>
      <c r="Z624" s="288"/>
      <c r="AA624" s="165" t="s">
        <v>2772</v>
      </c>
      <c r="AB624" s="295">
        <v>44488.0</v>
      </c>
      <c r="AC624" s="165" t="s">
        <v>2699</v>
      </c>
      <c r="AD624" s="295">
        <v>44497.0</v>
      </c>
      <c r="AE624" s="160"/>
      <c r="AF624" s="288"/>
      <c r="AG624" s="160"/>
      <c r="AH624" s="288"/>
      <c r="AI624" s="288"/>
      <c r="AJ624" s="288"/>
      <c r="AK624" s="165" t="s">
        <v>1717</v>
      </c>
      <c r="AL624" s="165" t="s">
        <v>1715</v>
      </c>
      <c r="AM624" s="288"/>
      <c r="AN624" s="288"/>
      <c r="AO624" s="288"/>
      <c r="AP624" s="150" t="s">
        <v>2663</v>
      </c>
      <c r="AQ624" s="288"/>
    </row>
    <row r="625">
      <c r="A625" s="150" t="s">
        <v>4164</v>
      </c>
      <c r="B625" s="150" t="s">
        <v>4165</v>
      </c>
      <c r="C625" s="175" t="str">
        <f>VLOOKUP(A625,Import!A:C,3,false)</f>
        <v>DOĞRU</v>
      </c>
      <c r="D625" s="150" t="s">
        <v>2904</v>
      </c>
      <c r="E625" s="280">
        <f>VLOOKUP(A625,Import!A:J,5,0)</f>
        <v>1324</v>
      </c>
      <c r="F625" s="280" t="str">
        <f>VLOOKUP(A625,Import!A:J,6,0)</f>
        <v/>
      </c>
      <c r="G625" s="289">
        <f>VLOOKUP(A625,Import!A:J,7,0)</f>
        <v>0</v>
      </c>
      <c r="H625" s="289">
        <f>VLOOKUP(A625,Import!A:J,8,0)</f>
        <v>58</v>
      </c>
      <c r="I625" s="289">
        <f>VLOOKUP(A625,Import!A:J,9,0)</f>
        <v>58</v>
      </c>
      <c r="J625" s="282">
        <f>VLOOKUP(A625,Import!A:J,10,0)</f>
        <v>0</v>
      </c>
      <c r="K625" s="244" t="str">
        <f>VLOOKUP(A625,Import!A:P,11,0)</f>
        <v>OSMAN KOYUNCU</v>
      </c>
      <c r="L625" s="150">
        <v>5.550980026E9</v>
      </c>
      <c r="M625" s="150" t="s">
        <v>1450</v>
      </c>
      <c r="N625" s="150" t="s">
        <v>3251</v>
      </c>
      <c r="O625" s="150" t="s">
        <v>4166</v>
      </c>
      <c r="P625" s="244" t="str">
        <f>VLOOKUP(A625,Import!A:P,16,0)</f>
        <v>Geleneksel</v>
      </c>
      <c r="Q625" s="291" t="s">
        <v>2713</v>
      </c>
      <c r="R625" s="292" t="b">
        <v>1</v>
      </c>
      <c r="S625" s="292" t="b">
        <v>1</v>
      </c>
      <c r="T625" s="296"/>
      <c r="U625" s="296"/>
      <c r="V625" s="312"/>
      <c r="W625" s="149" t="s">
        <v>4167</v>
      </c>
      <c r="X625" s="297"/>
      <c r="Y625" s="297"/>
      <c r="Z625" s="288"/>
      <c r="AA625" s="165" t="s">
        <v>2669</v>
      </c>
      <c r="AB625" s="295">
        <v>44378.0</v>
      </c>
      <c r="AC625" s="288"/>
      <c r="AD625" s="288"/>
      <c r="AE625" s="160"/>
      <c r="AF625" s="288"/>
      <c r="AG625" s="160"/>
      <c r="AH625" s="288"/>
      <c r="AI625" s="288"/>
      <c r="AJ625" s="288"/>
      <c r="AK625" s="165" t="s">
        <v>2718</v>
      </c>
      <c r="AL625" s="288"/>
      <c r="AM625" s="288"/>
      <c r="AN625" s="288"/>
      <c r="AO625" s="288"/>
      <c r="AP625" s="150" t="s">
        <v>2663</v>
      </c>
      <c r="AQ625" s="288"/>
    </row>
    <row r="626">
      <c r="A626" s="244" t="s">
        <v>1731</v>
      </c>
      <c r="B626" s="244" t="s">
        <v>1732</v>
      </c>
      <c r="C626" s="175" t="str">
        <f>VLOOKUP(A626,Import!A:C,3,false)</f>
        <v>DOĞRU</v>
      </c>
      <c r="D626" s="320" t="s">
        <v>2706</v>
      </c>
      <c r="E626" s="280">
        <f>VLOOKUP(A626,Import!A:J,5,0)</f>
        <v>2169</v>
      </c>
      <c r="F626" s="280">
        <f>VLOOKUP(A626,Import!A:J,6,0)</f>
        <v>132</v>
      </c>
      <c r="G626" s="289">
        <f>VLOOKUP(A626,Import!A:J,7,0)</f>
        <v>22</v>
      </c>
      <c r="H626" s="289">
        <f>VLOOKUP(A626,Import!A:J,8,0)</f>
        <v>12</v>
      </c>
      <c r="I626" s="289">
        <f>VLOOKUP(A626,Import!A:J,9,0)</f>
        <v>34</v>
      </c>
      <c r="J626" s="282">
        <f>VLOOKUP(A626,Import!A:J,10,0)</f>
        <v>0.65</v>
      </c>
      <c r="K626" s="244" t="str">
        <f>VLOOKUP(A626,Import!A:P,11,0)</f>
        <v>Soner AKAGÜNDÜZ</v>
      </c>
      <c r="L626" s="321">
        <v>2.222398483E9</v>
      </c>
      <c r="M626" s="320" t="s">
        <v>1450</v>
      </c>
      <c r="N626" s="320" t="s">
        <v>2732</v>
      </c>
      <c r="O626" s="320" t="s">
        <v>734</v>
      </c>
      <c r="P626" s="244" t="str">
        <f>VLOOKUP(A626,Import!A:P,16,0)</f>
        <v>Geleneksel</v>
      </c>
      <c r="Q626" s="322" t="s">
        <v>2760</v>
      </c>
      <c r="R626" s="323" t="b">
        <v>1</v>
      </c>
      <c r="S626" s="324" t="b">
        <v>0</v>
      </c>
      <c r="T626" s="325" t="s">
        <v>2770</v>
      </c>
      <c r="U626" s="333"/>
      <c r="V626" s="400"/>
      <c r="W626" s="325" t="s">
        <v>4168</v>
      </c>
      <c r="X626" s="345"/>
      <c r="Y626" s="345"/>
      <c r="Z626" s="288"/>
      <c r="AA626" s="165" t="s">
        <v>2772</v>
      </c>
      <c r="AB626" s="295">
        <v>44377.0</v>
      </c>
      <c r="AC626" s="165" t="s">
        <v>2669</v>
      </c>
      <c r="AD626" s="295">
        <v>44539.0</v>
      </c>
      <c r="AE626" s="160"/>
      <c r="AF626" s="288"/>
      <c r="AG626" s="160"/>
      <c r="AH626" s="288"/>
      <c r="AI626" s="288"/>
      <c r="AJ626" s="288"/>
      <c r="AK626" s="165" t="s">
        <v>2913</v>
      </c>
      <c r="AL626" s="165" t="s">
        <v>1911</v>
      </c>
      <c r="AM626" s="288"/>
      <c r="AN626" s="288"/>
      <c r="AO626" s="288"/>
      <c r="AP626" s="150" t="s">
        <v>2663</v>
      </c>
      <c r="AQ626" s="288"/>
    </row>
    <row r="627">
      <c r="A627" s="150" t="s">
        <v>4169</v>
      </c>
      <c r="B627" s="150" t="s">
        <v>4170</v>
      </c>
      <c r="C627" s="175" t="str">
        <f>VLOOKUP(A627,Import!A:C,3,false)</f>
        <v>DOĞRU</v>
      </c>
      <c r="D627" s="150" t="s">
        <v>2664</v>
      </c>
      <c r="E627" s="280">
        <f>VLOOKUP(A627,Import!A:J,5,0)</f>
        <v>2705</v>
      </c>
      <c r="F627" s="280">
        <f>VLOOKUP(A627,Import!A:J,6,0)</f>
        <v>133</v>
      </c>
      <c r="G627" s="289">
        <f>VLOOKUP(A627,Import!A:J,7,0)</f>
        <v>0</v>
      </c>
      <c r="H627" s="289">
        <f>VLOOKUP(A627,Import!A:J,8,0)</f>
        <v>70</v>
      </c>
      <c r="I627" s="289">
        <f>VLOOKUP(A627,Import!A:J,9,0)</f>
        <v>70</v>
      </c>
      <c r="J627" s="282">
        <f>VLOOKUP(A627,Import!A:J,10,0)</f>
        <v>0</v>
      </c>
      <c r="K627" s="244" t="str">
        <f>VLOOKUP(A627,Import!A:P,11,0)</f>
        <v>Abdullah Yeşildağ</v>
      </c>
      <c r="L627" s="150">
        <v>2.222313508E9</v>
      </c>
      <c r="M627" s="150" t="s">
        <v>1450</v>
      </c>
      <c r="N627" s="150" t="s">
        <v>2700</v>
      </c>
      <c r="O627" s="150" t="s">
        <v>3829</v>
      </c>
      <c r="P627" s="244" t="str">
        <f>VLOOKUP(A627,Import!A:P,16,0)</f>
        <v>Geleneksel</v>
      </c>
      <c r="Q627" s="291" t="s">
        <v>2713</v>
      </c>
      <c r="R627" s="292" t="b">
        <v>1</v>
      </c>
      <c r="S627" s="292" t="b">
        <v>0</v>
      </c>
      <c r="T627" s="149" t="s">
        <v>2714</v>
      </c>
      <c r="U627" s="296"/>
      <c r="V627" s="296"/>
      <c r="W627" s="149" t="s">
        <v>4171</v>
      </c>
      <c r="X627" s="297"/>
      <c r="Y627" s="297"/>
      <c r="Z627" s="288"/>
      <c r="AA627" s="165" t="s">
        <v>2669</v>
      </c>
      <c r="AB627" s="295">
        <v>44547.0</v>
      </c>
      <c r="AC627" s="165" t="s">
        <v>2669</v>
      </c>
      <c r="AD627" s="295">
        <v>44620.0</v>
      </c>
      <c r="AE627" s="160"/>
      <c r="AF627" s="288"/>
      <c r="AG627" s="160"/>
      <c r="AH627" s="288"/>
      <c r="AI627" s="288"/>
      <c r="AJ627" s="288"/>
      <c r="AK627" s="165" t="s">
        <v>1971</v>
      </c>
      <c r="AL627" s="165" t="s">
        <v>819</v>
      </c>
      <c r="AM627" s="288"/>
      <c r="AN627" s="288"/>
      <c r="AO627" s="288"/>
      <c r="AP627" s="150" t="s">
        <v>2663</v>
      </c>
      <c r="AQ627" s="288"/>
    </row>
    <row r="628">
      <c r="A628" s="150" t="s">
        <v>4172</v>
      </c>
      <c r="B628" s="150" t="s">
        <v>4173</v>
      </c>
      <c r="C628" s="175" t="str">
        <f>VLOOKUP(A628,Import!A:C,3,false)</f>
        <v>DOĞRU</v>
      </c>
      <c r="D628" s="150" t="s">
        <v>2664</v>
      </c>
      <c r="E628" s="280">
        <f>VLOOKUP(A628,Import!A:J,5,0)</f>
        <v>485</v>
      </c>
      <c r="F628" s="280">
        <f>VLOOKUP(A628,Import!A:J,6,0)</f>
        <v>238</v>
      </c>
      <c r="G628" s="289">
        <f>VLOOKUP(A628,Import!A:J,7,0)</f>
        <v>0</v>
      </c>
      <c r="H628" s="289">
        <f>VLOOKUP(A628,Import!A:J,8,0)</f>
        <v>46</v>
      </c>
      <c r="I628" s="289">
        <f>VLOOKUP(A628,Import!A:J,9,0)</f>
        <v>46</v>
      </c>
      <c r="J628" s="282">
        <f>VLOOKUP(A628,Import!A:J,10,0)</f>
        <v>0</v>
      </c>
      <c r="K628" s="290" t="s">
        <v>4174</v>
      </c>
      <c r="L628" s="150">
        <v>5.050895007E9</v>
      </c>
      <c r="M628" s="150" t="s">
        <v>1450</v>
      </c>
      <c r="N628" s="150" t="s">
        <v>2732</v>
      </c>
      <c r="O628" s="150" t="s">
        <v>1736</v>
      </c>
      <c r="P628" s="244" t="str">
        <f>VLOOKUP(A628,Import!A:P,16,0)</f>
        <v>Geleneksel</v>
      </c>
      <c r="Q628" s="291"/>
      <c r="R628" s="292" t="b">
        <v>1</v>
      </c>
      <c r="S628" s="293" t="b">
        <v>0</v>
      </c>
      <c r="T628" s="149" t="s">
        <v>2770</v>
      </c>
      <c r="U628" s="296"/>
      <c r="V628" s="296"/>
      <c r="W628" s="149" t="s">
        <v>4175</v>
      </c>
      <c r="X628" s="297"/>
      <c r="Y628" s="297"/>
      <c r="Z628" s="288"/>
      <c r="AA628" s="165" t="s">
        <v>2669</v>
      </c>
      <c r="AB628" s="295">
        <v>44641.0</v>
      </c>
      <c r="AC628" s="288"/>
      <c r="AD628" s="288"/>
      <c r="AE628" s="160"/>
      <c r="AF628" s="288"/>
      <c r="AG628" s="160"/>
      <c r="AH628" s="288"/>
      <c r="AI628" s="288"/>
      <c r="AJ628" s="288"/>
      <c r="AK628" s="165" t="s">
        <v>1791</v>
      </c>
      <c r="AL628" s="288"/>
      <c r="AM628" s="288"/>
      <c r="AN628" s="288"/>
      <c r="AO628" s="165"/>
      <c r="AP628" s="150"/>
      <c r="AQ628" s="165"/>
    </row>
    <row r="629">
      <c r="A629" s="150" t="s">
        <v>1626</v>
      </c>
      <c r="B629" s="150" t="s">
        <v>1627</v>
      </c>
      <c r="C629" s="175" t="str">
        <f>VLOOKUP(A629,Import!A:C,3,false)</f>
        <v>DOĞRU</v>
      </c>
      <c r="D629" s="150" t="s">
        <v>2684</v>
      </c>
      <c r="E629" s="280">
        <f>VLOOKUP(A629,Import!A:J,5,0)</f>
        <v>7</v>
      </c>
      <c r="F629" s="280" t="str">
        <f>VLOOKUP(A629,Import!A:J,6,0)</f>
        <v/>
      </c>
      <c r="G629" s="289">
        <f>VLOOKUP(A629,Import!A:J,7,0)</f>
        <v>0</v>
      </c>
      <c r="H629" s="289">
        <f>VLOOKUP(A629,Import!A:J,8,0)</f>
        <v>10</v>
      </c>
      <c r="I629" s="289">
        <f>VLOOKUP(A629,Import!A:J,9,0)</f>
        <v>10</v>
      </c>
      <c r="J629" s="282">
        <f>VLOOKUP(A629,Import!A:J,10,0)</f>
        <v>0</v>
      </c>
      <c r="K629" s="244" t="str">
        <f>VLOOKUP(A629,Import!A:P,11,0)</f>
        <v>İlhan Özer</v>
      </c>
      <c r="L629" s="150">
        <v>5.453532606E9</v>
      </c>
      <c r="M629" s="150" t="s">
        <v>1450</v>
      </c>
      <c r="N629" s="150" t="s">
        <v>2716</v>
      </c>
      <c r="O629" s="150" t="s">
        <v>1625</v>
      </c>
      <c r="P629" s="244" t="str">
        <f>VLOOKUP(A629,Import!A:P,16,0)</f>
        <v>Geleneksel</v>
      </c>
      <c r="Q629" s="291"/>
      <c r="R629" s="292" t="b">
        <v>1</v>
      </c>
      <c r="S629" s="293" t="b">
        <v>0</v>
      </c>
      <c r="T629" s="149" t="s">
        <v>2661</v>
      </c>
      <c r="U629" s="149" t="s">
        <v>1824</v>
      </c>
      <c r="V629" s="149" t="s">
        <v>4021</v>
      </c>
      <c r="W629" s="149" t="s">
        <v>4176</v>
      </c>
      <c r="X629" s="294">
        <v>44478.0</v>
      </c>
      <c r="Y629" s="294">
        <v>44481.0</v>
      </c>
      <c r="Z629" s="288"/>
      <c r="AA629" s="165" t="s">
        <v>2669</v>
      </c>
      <c r="AB629" s="295">
        <v>44478.0</v>
      </c>
      <c r="AC629" s="165" t="s">
        <v>2669</v>
      </c>
      <c r="AD629" s="295">
        <v>44540.0</v>
      </c>
      <c r="AE629" s="160"/>
      <c r="AF629" s="288"/>
      <c r="AG629" s="160"/>
      <c r="AH629" s="288"/>
      <c r="AI629" s="288"/>
      <c r="AJ629" s="288"/>
      <c r="AK629" s="165" t="s">
        <v>1824</v>
      </c>
      <c r="AL629" s="165" t="s">
        <v>1911</v>
      </c>
      <c r="AM629" s="288"/>
      <c r="AN629" s="288"/>
      <c r="AO629" s="288"/>
      <c r="AP629" s="150" t="s">
        <v>2663</v>
      </c>
      <c r="AQ629" s="288"/>
    </row>
    <row r="630">
      <c r="A630" s="150" t="s">
        <v>4177</v>
      </c>
      <c r="B630" s="150" t="s">
        <v>4178</v>
      </c>
      <c r="C630" s="175" t="str">
        <f>VLOOKUP(A630,Import!A:C,3,false)</f>
        <v>DOĞRU</v>
      </c>
      <c r="D630" s="150" t="s">
        <v>2684</v>
      </c>
      <c r="E630" s="280">
        <f>VLOOKUP(A630,Import!A:J,5,0)</f>
        <v>4</v>
      </c>
      <c r="F630" s="280">
        <f>VLOOKUP(A630,Import!A:J,6,0)</f>
        <v>4</v>
      </c>
      <c r="G630" s="289">
        <f>VLOOKUP(A630,Import!A:J,7,0)</f>
        <v>0</v>
      </c>
      <c r="H630" s="289">
        <f>VLOOKUP(A630,Import!A:J,8,0)</f>
        <v>40</v>
      </c>
      <c r="I630" s="289">
        <f>VLOOKUP(A630,Import!A:J,9,0)</f>
        <v>40</v>
      </c>
      <c r="J630" s="282">
        <f>VLOOKUP(A630,Import!A:J,10,0)</f>
        <v>0</v>
      </c>
      <c r="K630" s="150" t="s">
        <v>4179</v>
      </c>
      <c r="L630" s="150">
        <v>5.314722726E9</v>
      </c>
      <c r="M630" s="150" t="s">
        <v>1450</v>
      </c>
      <c r="N630" s="150" t="s">
        <v>2782</v>
      </c>
      <c r="O630" s="150" t="s">
        <v>4180</v>
      </c>
      <c r="P630" s="244" t="str">
        <f>VLOOKUP(A630,Import!A:P,16,0)</f>
        <v>Geleneksel</v>
      </c>
      <c r="Q630" s="291"/>
      <c r="R630" s="292" t="b">
        <v>0</v>
      </c>
      <c r="S630" s="293" t="b">
        <v>0</v>
      </c>
      <c r="T630" s="149"/>
      <c r="U630" s="296"/>
      <c r="V630" s="296"/>
      <c r="W630" s="149"/>
      <c r="X630" s="297"/>
      <c r="Y630" s="297"/>
      <c r="Z630" s="288"/>
      <c r="AA630" s="165"/>
      <c r="AB630" s="295"/>
      <c r="AC630" s="288"/>
      <c r="AD630" s="288"/>
      <c r="AE630" s="160"/>
      <c r="AF630" s="288"/>
      <c r="AG630" s="160"/>
      <c r="AH630" s="288"/>
      <c r="AI630" s="288"/>
      <c r="AJ630" s="288"/>
      <c r="AK630" s="165"/>
      <c r="AL630" s="288"/>
      <c r="AM630" s="288"/>
      <c r="AN630" s="288"/>
      <c r="AO630" s="165"/>
      <c r="AP630" s="150"/>
      <c r="AQ630" s="165"/>
    </row>
    <row r="631">
      <c r="A631" s="150" t="s">
        <v>4181</v>
      </c>
      <c r="B631" s="150" t="s">
        <v>4182</v>
      </c>
      <c r="C631" s="175" t="str">
        <f>VLOOKUP(A631,Import!A:C,3,false)</f>
        <v>DOĞRU</v>
      </c>
      <c r="D631" s="150" t="s">
        <v>2684</v>
      </c>
      <c r="E631" s="280">
        <f>VLOOKUP(A631,Import!A:J,5,0)</f>
        <v>3</v>
      </c>
      <c r="F631" s="280">
        <f>VLOOKUP(A631,Import!A:J,6,0)</f>
        <v>3</v>
      </c>
      <c r="G631" s="289">
        <f>VLOOKUP(A631,Import!A:J,7,0)</f>
        <v>0</v>
      </c>
      <c r="H631" s="289">
        <f>VLOOKUP(A631,Import!A:J,8,0)</f>
        <v>38</v>
      </c>
      <c r="I631" s="289">
        <f>VLOOKUP(A631,Import!A:J,9,0)</f>
        <v>38</v>
      </c>
      <c r="J631" s="282">
        <f>VLOOKUP(A631,Import!A:J,10,0)</f>
        <v>0</v>
      </c>
      <c r="K631" s="150" t="s">
        <v>4183</v>
      </c>
      <c r="L631" s="150">
        <v>5.380933426E9</v>
      </c>
      <c r="M631" s="150" t="s">
        <v>2666</v>
      </c>
      <c r="N631" s="150" t="s">
        <v>2685</v>
      </c>
      <c r="O631" s="150" t="s">
        <v>2333</v>
      </c>
      <c r="P631" s="244" t="str">
        <f>VLOOKUP(A631,Import!A:P,16,0)</f>
        <v>Geleneksel</v>
      </c>
      <c r="Q631" s="291"/>
      <c r="R631" s="292" t="b">
        <v>0</v>
      </c>
      <c r="S631" s="293" t="b">
        <v>0</v>
      </c>
      <c r="T631" s="149"/>
      <c r="U631" s="296"/>
      <c r="V631" s="296"/>
      <c r="W631" s="149"/>
      <c r="X631" s="297"/>
      <c r="Y631" s="297"/>
      <c r="Z631" s="288"/>
      <c r="AA631" s="165"/>
      <c r="AB631" s="295"/>
      <c r="AC631" s="288"/>
      <c r="AD631" s="288"/>
      <c r="AE631" s="160"/>
      <c r="AF631" s="288"/>
      <c r="AG631" s="160"/>
      <c r="AH631" s="288"/>
      <c r="AI631" s="288"/>
      <c r="AJ631" s="288"/>
      <c r="AK631" s="165"/>
      <c r="AL631" s="288"/>
      <c r="AM631" s="288"/>
      <c r="AN631" s="288"/>
      <c r="AO631" s="165"/>
      <c r="AP631" s="150"/>
      <c r="AQ631" s="165"/>
    </row>
    <row r="632">
      <c r="A632" s="150" t="s">
        <v>2285</v>
      </c>
      <c r="B632" s="150" t="s">
        <v>2286</v>
      </c>
      <c r="C632" s="175" t="str">
        <f>VLOOKUP(A632,Import!A:C,3,false)</f>
        <v>DOĞRU</v>
      </c>
      <c r="D632" s="150" t="s">
        <v>2672</v>
      </c>
      <c r="E632" s="280">
        <f>VLOOKUP(A632,Import!A:J,5,0)</f>
        <v>3017</v>
      </c>
      <c r="F632" s="280">
        <f>VLOOKUP(A632,Import!A:J,6,0)</f>
        <v>1283</v>
      </c>
      <c r="G632" s="289">
        <f>VLOOKUP(A632,Import!A:J,7,0)</f>
        <v>3</v>
      </c>
      <c r="H632" s="289">
        <f>VLOOKUP(A632,Import!A:J,8,0)</f>
        <v>16</v>
      </c>
      <c r="I632" s="289">
        <f>VLOOKUP(A632,Import!A:J,9,0)</f>
        <v>19</v>
      </c>
      <c r="J632" s="282">
        <f>VLOOKUP(A632,Import!A:J,10,0)</f>
        <v>0.16</v>
      </c>
      <c r="K632" s="290" t="s">
        <v>3064</v>
      </c>
      <c r="L632" s="150">
        <v>2.223353516E9</v>
      </c>
      <c r="M632" s="150" t="s">
        <v>2666</v>
      </c>
      <c r="N632" s="150" t="s">
        <v>2750</v>
      </c>
      <c r="O632" s="150" t="s">
        <v>772</v>
      </c>
      <c r="P632" s="244" t="str">
        <f>VLOOKUP(A632,Import!A:P,16,0)</f>
        <v>Geleneksel</v>
      </c>
      <c r="Q632" s="291"/>
      <c r="R632" s="292" t="b">
        <v>1</v>
      </c>
      <c r="S632" s="293" t="b">
        <v>0</v>
      </c>
      <c r="T632" s="149" t="s">
        <v>2661</v>
      </c>
      <c r="U632" s="149" t="s">
        <v>819</v>
      </c>
      <c r="V632" s="301" t="s">
        <v>1609</v>
      </c>
      <c r="X632" s="294">
        <v>44557.0</v>
      </c>
      <c r="Y632" s="294">
        <v>44560.0</v>
      </c>
      <c r="Z632" s="288"/>
      <c r="AA632" s="165" t="s">
        <v>2699</v>
      </c>
      <c r="AB632" s="295">
        <v>44516.0</v>
      </c>
      <c r="AC632" s="165" t="s">
        <v>2699</v>
      </c>
      <c r="AD632" s="295">
        <v>44516.0</v>
      </c>
      <c r="AE632" s="165" t="s">
        <v>2669</v>
      </c>
      <c r="AF632" s="295">
        <v>44557.0</v>
      </c>
      <c r="AG632" s="160"/>
      <c r="AH632" s="288"/>
      <c r="AI632" s="288"/>
      <c r="AJ632" s="288"/>
      <c r="AK632" s="165" t="s">
        <v>1621</v>
      </c>
      <c r="AL632" s="165" t="s">
        <v>1791</v>
      </c>
      <c r="AM632" s="165" t="s">
        <v>819</v>
      </c>
      <c r="AN632" s="288"/>
      <c r="AO632" s="288"/>
      <c r="AP632" s="150" t="s">
        <v>2663</v>
      </c>
      <c r="AQ632" s="288"/>
    </row>
    <row r="633">
      <c r="A633" s="150" t="s">
        <v>4184</v>
      </c>
      <c r="B633" s="150" t="s">
        <v>4185</v>
      </c>
      <c r="C633" s="175" t="str">
        <f>VLOOKUP(A633,Import!A:C,3,false)</f>
        <v>YANLIŞ</v>
      </c>
      <c r="D633" s="150" t="s">
        <v>2664</v>
      </c>
      <c r="E633" s="280">
        <f>VLOOKUP(A633,Import!A:J,5,0)</f>
        <v>206</v>
      </c>
      <c r="F633" s="280" t="str">
        <f>VLOOKUP(A633,Import!A:J,6,0)</f>
        <v/>
      </c>
      <c r="G633" s="289">
        <f>VLOOKUP(A633,Import!A:J,7,0)</f>
        <v>73</v>
      </c>
      <c r="H633" s="289">
        <f>VLOOKUP(A633,Import!A:J,8,0)</f>
        <v>77</v>
      </c>
      <c r="I633" s="289">
        <f>VLOOKUP(A633,Import!A:J,9,0)</f>
        <v>150</v>
      </c>
      <c r="J633" s="282">
        <f>VLOOKUP(A633,Import!A:J,10,0)</f>
        <v>0.49</v>
      </c>
      <c r="K633" s="244" t="str">
        <f>VLOOKUP(A633,Import!A:P,11,0)</f>
        <v>Özgür Marankoz</v>
      </c>
      <c r="L633" s="150">
        <v>2.22333066E9</v>
      </c>
      <c r="M633" s="150" t="s">
        <v>2666</v>
      </c>
      <c r="N633" s="150" t="s">
        <v>2682</v>
      </c>
      <c r="O633" s="150" t="s">
        <v>4186</v>
      </c>
      <c r="P633" s="244" t="str">
        <f>VLOOKUP(A633,Import!A:P,16,0)</f>
        <v>Key</v>
      </c>
      <c r="Q633" s="315" t="s">
        <v>2713</v>
      </c>
      <c r="R633" s="293" t="b">
        <v>0</v>
      </c>
      <c r="S633" s="293" t="b">
        <v>0</v>
      </c>
      <c r="T633" s="149" t="s">
        <v>2925</v>
      </c>
      <c r="U633" s="296"/>
      <c r="V633" s="296"/>
      <c r="W633" s="149" t="s">
        <v>4187</v>
      </c>
      <c r="X633" s="297"/>
      <c r="Y633" s="297"/>
      <c r="Z633" s="288"/>
      <c r="AA633" s="288"/>
      <c r="AB633" s="288"/>
      <c r="AC633" s="288"/>
      <c r="AD633" s="288"/>
      <c r="AE633" s="160"/>
      <c r="AF633" s="288"/>
      <c r="AG633" s="160"/>
      <c r="AH633" s="288"/>
      <c r="AI633" s="288"/>
      <c r="AJ633" s="288"/>
      <c r="AK633" s="288"/>
      <c r="AL633" s="288"/>
      <c r="AM633" s="288"/>
      <c r="AN633" s="288"/>
      <c r="AO633" s="288"/>
      <c r="AP633" s="150" t="s">
        <v>4017</v>
      </c>
      <c r="AQ633" s="288"/>
    </row>
    <row r="634">
      <c r="A634" s="244" t="s">
        <v>165</v>
      </c>
      <c r="B634" s="244" t="s">
        <v>166</v>
      </c>
      <c r="C634" s="175" t="str">
        <f>VLOOKUP(A634,Import!A:C,3,false)</f>
        <v>DOĞRU</v>
      </c>
      <c r="D634" s="303" t="s">
        <v>2664</v>
      </c>
      <c r="E634" s="280">
        <f>VLOOKUP(A634,Import!A:J,5,0)</f>
        <v>11739</v>
      </c>
      <c r="F634" s="280">
        <f>VLOOKUP(A634,Import!A:J,6,0)</f>
        <v>441</v>
      </c>
      <c r="G634" s="289">
        <f>VLOOKUP(A634,Import!A:J,7,0)</f>
        <v>13</v>
      </c>
      <c r="H634" s="289">
        <f>VLOOKUP(A634,Import!A:J,8,0)</f>
        <v>19</v>
      </c>
      <c r="I634" s="289">
        <f>VLOOKUP(A634,Import!A:J,9,0)</f>
        <v>32</v>
      </c>
      <c r="J634" s="282">
        <f>VLOOKUP(A634,Import!A:J,10,0)</f>
        <v>0.41</v>
      </c>
      <c r="K634" s="244" t="str">
        <f>VLOOKUP(A634,Import!A:P,11,0)</f>
        <v>SAADET AVCI</v>
      </c>
      <c r="L634" s="304">
        <v>5.394822214E9</v>
      </c>
      <c r="M634" s="303" t="s">
        <v>2666</v>
      </c>
      <c r="N634" s="303" t="s">
        <v>2801</v>
      </c>
      <c r="O634" s="303" t="s">
        <v>169</v>
      </c>
      <c r="P634" s="244" t="str">
        <f>VLOOKUP(A634,Import!A:P,16,0)</f>
        <v>Geleneksel</v>
      </c>
      <c r="Q634" s="334" t="s">
        <v>2760</v>
      </c>
      <c r="R634" s="335" t="b">
        <v>1</v>
      </c>
      <c r="S634" s="336" t="b">
        <v>0</v>
      </c>
      <c r="T634" s="337" t="s">
        <v>2770</v>
      </c>
      <c r="U634" s="337"/>
      <c r="V634" s="337"/>
      <c r="W634" s="337" t="s">
        <v>4188</v>
      </c>
      <c r="X634" s="338"/>
      <c r="Y634" s="338"/>
      <c r="Z634" s="288"/>
      <c r="AA634" s="165" t="s">
        <v>2772</v>
      </c>
      <c r="AB634" s="295">
        <v>44490.0</v>
      </c>
      <c r="AC634" s="165" t="s">
        <v>2688</v>
      </c>
      <c r="AD634" s="295">
        <v>44516.0</v>
      </c>
      <c r="AE634" s="160"/>
      <c r="AF634" s="288"/>
      <c r="AG634" s="160"/>
      <c r="AH634" s="288"/>
      <c r="AI634" s="288"/>
      <c r="AJ634" s="288"/>
      <c r="AK634" s="165" t="s">
        <v>1754</v>
      </c>
      <c r="AL634" s="165" t="s">
        <v>1621</v>
      </c>
      <c r="AM634" s="288"/>
      <c r="AN634" s="288"/>
      <c r="AO634" s="288"/>
      <c r="AP634" s="150" t="s">
        <v>2663</v>
      </c>
      <c r="AQ634" s="288"/>
    </row>
    <row r="635">
      <c r="A635" s="150" t="s">
        <v>2019</v>
      </c>
      <c r="B635" s="150" t="s">
        <v>2020</v>
      </c>
      <c r="C635" s="175" t="str">
        <f>VLOOKUP(A635,Import!A:C,3,false)</f>
        <v>DOĞRU</v>
      </c>
      <c r="D635" s="150" t="s">
        <v>2701</v>
      </c>
      <c r="E635" s="280">
        <f>VLOOKUP(A635,Import!A:J,5,0)</f>
        <v>2676</v>
      </c>
      <c r="F635" s="280">
        <f>VLOOKUP(A635,Import!A:J,6,0)</f>
        <v>301</v>
      </c>
      <c r="G635" s="289">
        <f>VLOOKUP(A635,Import!A:J,7,0)</f>
        <v>58</v>
      </c>
      <c r="H635" s="289">
        <f>VLOOKUP(A635,Import!A:J,8,0)</f>
        <v>38</v>
      </c>
      <c r="I635" s="289">
        <f>VLOOKUP(A635,Import!A:J,9,0)</f>
        <v>96</v>
      </c>
      <c r="J635" s="282">
        <f>VLOOKUP(A635,Import!A:J,10,0)</f>
        <v>0.6</v>
      </c>
      <c r="K635" s="244" t="str">
        <f>VLOOKUP(A635,Import!A:P,11,0)</f>
        <v>Yasemin Ayyıldız</v>
      </c>
      <c r="L635" s="150">
        <v>5.516008418E9</v>
      </c>
      <c r="M635" s="150" t="s">
        <v>2666</v>
      </c>
      <c r="N635" s="150" t="s">
        <v>2711</v>
      </c>
      <c r="O635" s="150" t="s">
        <v>2022</v>
      </c>
      <c r="P635" s="244" t="str">
        <f>VLOOKUP(A635,Import!A:P,16,0)</f>
        <v>Geleneksel</v>
      </c>
      <c r="Q635" s="291"/>
      <c r="R635" s="292" t="b">
        <v>1</v>
      </c>
      <c r="S635" s="293" t="b">
        <v>0</v>
      </c>
      <c r="T635" s="149" t="s">
        <v>2661</v>
      </c>
      <c r="U635" s="149" t="s">
        <v>819</v>
      </c>
      <c r="V635" s="301" t="s">
        <v>1609</v>
      </c>
      <c r="X635" s="294">
        <v>44523.0</v>
      </c>
      <c r="Y635" s="294">
        <v>44523.0</v>
      </c>
      <c r="Z635" s="288"/>
      <c r="AA635" s="165" t="s">
        <v>2693</v>
      </c>
      <c r="AB635" s="295">
        <v>44517.0</v>
      </c>
      <c r="AC635" s="165" t="s">
        <v>2693</v>
      </c>
      <c r="AD635" s="295">
        <v>44523.0</v>
      </c>
      <c r="AE635" s="165" t="s">
        <v>2669</v>
      </c>
      <c r="AF635" s="295">
        <v>44523.0</v>
      </c>
      <c r="AG635" s="160"/>
      <c r="AH635" s="288"/>
      <c r="AI635" s="288"/>
      <c r="AJ635" s="288"/>
      <c r="AK635" s="165" t="s">
        <v>1791</v>
      </c>
      <c r="AL635" s="165" t="s">
        <v>819</v>
      </c>
      <c r="AM635" s="288"/>
      <c r="AN635" s="288"/>
      <c r="AO635" s="288"/>
      <c r="AP635" s="150" t="s">
        <v>2663</v>
      </c>
      <c r="AQ635" s="288"/>
    </row>
    <row r="636">
      <c r="A636" s="244" t="s">
        <v>4189</v>
      </c>
      <c r="B636" s="244" t="s">
        <v>4190</v>
      </c>
      <c r="C636" s="175" t="str">
        <f>VLOOKUP(A636,Import!A:C,3,false)</f>
        <v>DOĞRU</v>
      </c>
      <c r="D636" s="175" t="s">
        <v>2763</v>
      </c>
      <c r="E636" s="280">
        <f>VLOOKUP(A636,Import!A:J,5,0)</f>
        <v>5870</v>
      </c>
      <c r="F636" s="280">
        <f>VLOOKUP(A636,Import!A:J,6,0)</f>
        <v>187</v>
      </c>
      <c r="G636" s="289">
        <f>VLOOKUP(A636,Import!A:J,7,0)</f>
        <v>6</v>
      </c>
      <c r="H636" s="289">
        <f>VLOOKUP(A636,Import!A:J,8,0)</f>
        <v>29</v>
      </c>
      <c r="I636" s="289">
        <f>VLOOKUP(A636,Import!A:J,9,0)</f>
        <v>35</v>
      </c>
      <c r="J636" s="282">
        <f>VLOOKUP(A636,Import!A:J,10,0)</f>
        <v>0.17</v>
      </c>
      <c r="K636" s="244" t="str">
        <f>VLOOKUP(A636,Import!A:P,11,0)</f>
        <v>ALİ ÇUBUK</v>
      </c>
      <c r="L636" s="283">
        <v>2.22321114E9</v>
      </c>
      <c r="M636" s="175" t="s">
        <v>2666</v>
      </c>
      <c r="N636" s="175" t="s">
        <v>2721</v>
      </c>
      <c r="O636" s="175" t="s">
        <v>4191</v>
      </c>
      <c r="P636" s="244" t="str">
        <f>VLOOKUP(A636,Import!A:P,16,0)</f>
        <v>Geleneksel</v>
      </c>
      <c r="Q636" s="284" t="s">
        <v>2760</v>
      </c>
      <c r="R636" s="285" t="b">
        <v>1</v>
      </c>
      <c r="S636" s="285" t="b">
        <v>1</v>
      </c>
      <c r="T636" s="298"/>
      <c r="U636" s="298"/>
      <c r="V636" s="298"/>
      <c r="W636" s="171" t="s">
        <v>4192</v>
      </c>
      <c r="X636" s="299"/>
      <c r="Y636" s="299"/>
      <c r="Z636" s="288"/>
      <c r="AA636" s="288"/>
      <c r="AB636" s="288"/>
      <c r="AC636" s="288"/>
      <c r="AD636" s="288"/>
      <c r="AE636" s="160"/>
      <c r="AF636" s="288"/>
      <c r="AG636" s="160"/>
      <c r="AH636" s="288"/>
      <c r="AI636" s="288"/>
      <c r="AJ636" s="288"/>
      <c r="AK636" s="288"/>
      <c r="AL636" s="288"/>
      <c r="AM636" s="288"/>
      <c r="AN636" s="288"/>
      <c r="AO636" s="288"/>
      <c r="AP636" s="150" t="s">
        <v>2663</v>
      </c>
      <c r="AQ636" s="288"/>
    </row>
    <row r="637">
      <c r="A637" s="150" t="s">
        <v>2451</v>
      </c>
      <c r="B637" s="150" t="s">
        <v>2452</v>
      </c>
      <c r="C637" s="175" t="str">
        <f>VLOOKUP(A637,Import!A:C,3,false)</f>
        <v>DOĞRU</v>
      </c>
      <c r="D637" s="150" t="s">
        <v>2672</v>
      </c>
      <c r="E637" s="280">
        <f>VLOOKUP(A637,Import!A:J,5,0)</f>
        <v>626</v>
      </c>
      <c r="F637" s="280">
        <f>VLOOKUP(A637,Import!A:J,6,0)</f>
        <v>43</v>
      </c>
      <c r="G637" s="289">
        <f>VLOOKUP(A637,Import!A:J,7,0)</f>
        <v>8</v>
      </c>
      <c r="H637" s="289">
        <f>VLOOKUP(A637,Import!A:J,8,0)</f>
        <v>8</v>
      </c>
      <c r="I637" s="289">
        <f>VLOOKUP(A637,Import!A:J,9,0)</f>
        <v>16</v>
      </c>
      <c r="J637" s="282">
        <f>VLOOKUP(A637,Import!A:J,10,0)</f>
        <v>0.5</v>
      </c>
      <c r="K637" s="290" t="s">
        <v>4193</v>
      </c>
      <c r="L637" s="150">
        <v>5.013682633E9</v>
      </c>
      <c r="M637" s="150" t="s">
        <v>2666</v>
      </c>
      <c r="N637" s="150" t="s">
        <v>2774</v>
      </c>
      <c r="O637" s="150" t="s">
        <v>2454</v>
      </c>
      <c r="P637" s="244" t="str">
        <f>VLOOKUP(A637,Import!A:P,16,0)</f>
        <v>Geleneksel</v>
      </c>
      <c r="Q637" s="291"/>
      <c r="R637" s="292" t="b">
        <v>1</v>
      </c>
      <c r="S637" s="293" t="b">
        <v>0</v>
      </c>
      <c r="T637" s="149" t="s">
        <v>2661</v>
      </c>
      <c r="U637" s="149" t="s">
        <v>819</v>
      </c>
      <c r="V637" s="301" t="s">
        <v>1609</v>
      </c>
      <c r="W637" s="149" t="s">
        <v>4194</v>
      </c>
      <c r="X637" s="294">
        <v>44596.0</v>
      </c>
      <c r="Y637" s="294">
        <v>44599.0</v>
      </c>
      <c r="Z637" s="288"/>
      <c r="AA637" s="165" t="s">
        <v>2669</v>
      </c>
      <c r="AB637" s="295">
        <v>44596.0</v>
      </c>
      <c r="AC637" s="288"/>
      <c r="AD637" s="288"/>
      <c r="AE637" s="160"/>
      <c r="AF637" s="288"/>
      <c r="AG637" s="160"/>
      <c r="AH637" s="288"/>
      <c r="AI637" s="288"/>
      <c r="AJ637" s="288"/>
      <c r="AK637" s="165" t="s">
        <v>819</v>
      </c>
      <c r="AL637" s="288"/>
      <c r="AM637" s="288"/>
      <c r="AN637" s="288"/>
      <c r="AO637" s="165"/>
      <c r="AP637" s="150"/>
      <c r="AQ637" s="165"/>
    </row>
    <row r="638">
      <c r="A638" s="150" t="s">
        <v>1962</v>
      </c>
      <c r="B638" s="150" t="s">
        <v>1963</v>
      </c>
      <c r="C638" s="175" t="str">
        <f>VLOOKUP(A638,Import!A:C,3,false)</f>
        <v>DOĞRU</v>
      </c>
      <c r="D638" s="150" t="s">
        <v>2664</v>
      </c>
      <c r="E638" s="280">
        <f>VLOOKUP(A638,Import!A:J,5,0)</f>
        <v>271</v>
      </c>
      <c r="F638" s="280">
        <f>VLOOKUP(A638,Import!A:J,6,0)</f>
        <v>1</v>
      </c>
      <c r="G638" s="289">
        <f>VLOOKUP(A638,Import!A:J,7,0)</f>
        <v>55</v>
      </c>
      <c r="H638" s="289">
        <f>VLOOKUP(A638,Import!A:J,8,0)</f>
        <v>67</v>
      </c>
      <c r="I638" s="289">
        <f>VLOOKUP(A638,Import!A:J,9,0)</f>
        <v>122</v>
      </c>
      <c r="J638" s="282">
        <f>VLOOKUP(A638,Import!A:J,10,0)</f>
        <v>0.45</v>
      </c>
      <c r="K638" s="290" t="s">
        <v>4195</v>
      </c>
      <c r="L638" s="150">
        <v>5.469251906E9</v>
      </c>
      <c r="M638" s="150" t="s">
        <v>2666</v>
      </c>
      <c r="N638" s="150" t="s">
        <v>2801</v>
      </c>
      <c r="O638" s="150" t="s">
        <v>1965</v>
      </c>
      <c r="P638" s="244" t="str">
        <f>VLOOKUP(A638,Import!A:P,16,0)</f>
        <v>Geleneksel</v>
      </c>
      <c r="Q638" s="291"/>
      <c r="R638" s="292" t="b">
        <v>1</v>
      </c>
      <c r="S638" s="293" t="b">
        <v>0</v>
      </c>
      <c r="T638" s="149" t="s">
        <v>2661</v>
      </c>
      <c r="U638" s="149" t="s">
        <v>1621</v>
      </c>
      <c r="V638" s="269" t="s">
        <v>1609</v>
      </c>
      <c r="W638" s="149"/>
      <c r="X638" s="294">
        <v>44516.0</v>
      </c>
      <c r="Y638" s="294">
        <v>44517.0</v>
      </c>
      <c r="Z638" s="288"/>
      <c r="AA638" s="165" t="s">
        <v>2669</v>
      </c>
      <c r="AB638" s="295">
        <v>44516.0</v>
      </c>
      <c r="AC638" s="288"/>
      <c r="AD638" s="288"/>
      <c r="AE638" s="160"/>
      <c r="AF638" s="288"/>
      <c r="AG638" s="160"/>
      <c r="AH638" s="288"/>
      <c r="AI638" s="288"/>
      <c r="AJ638" s="288"/>
      <c r="AK638" s="165" t="s">
        <v>1621</v>
      </c>
      <c r="AL638" s="288"/>
      <c r="AM638" s="288"/>
      <c r="AN638" s="288"/>
      <c r="AO638" s="288"/>
      <c r="AP638" s="150" t="s">
        <v>2663</v>
      </c>
      <c r="AQ638" s="288"/>
    </row>
    <row r="639">
      <c r="A639" s="150" t="s">
        <v>630</v>
      </c>
      <c r="B639" s="150" t="s">
        <v>631</v>
      </c>
      <c r="C639" s="175" t="str">
        <f>VLOOKUP(A639,Import!A:C,3,false)</f>
        <v>DOĞRU</v>
      </c>
      <c r="D639" s="150" t="s">
        <v>2658</v>
      </c>
      <c r="E639" s="280">
        <f>VLOOKUP(A639,Import!A:J,5,0)</f>
        <v>2978</v>
      </c>
      <c r="F639" s="280">
        <f>VLOOKUP(A639,Import!A:J,6,0)</f>
        <v>69</v>
      </c>
      <c r="G639" s="289">
        <f>VLOOKUP(A639,Import!A:J,7,0)</f>
        <v>30</v>
      </c>
      <c r="H639" s="289">
        <f>VLOOKUP(A639,Import!A:J,8,0)</f>
        <v>16</v>
      </c>
      <c r="I639" s="289">
        <f>VLOOKUP(A639,Import!A:J,9,0)</f>
        <v>46</v>
      </c>
      <c r="J639" s="282">
        <f>VLOOKUP(A639,Import!A:J,10,0)</f>
        <v>0.65</v>
      </c>
      <c r="K639" s="244" t="str">
        <f>VLOOKUP(A639,Import!A:P,11,0)</f>
        <v>Emine Çelik</v>
      </c>
      <c r="L639" s="150">
        <v>2.222501265E9</v>
      </c>
      <c r="M639" s="150" t="s">
        <v>1450</v>
      </c>
      <c r="N639" s="150" t="s">
        <v>2703</v>
      </c>
      <c r="O639" s="150" t="s">
        <v>633</v>
      </c>
      <c r="P639" s="244" t="str">
        <f>VLOOKUP(A639,Import!A:P,16,0)</f>
        <v>Geleneksel</v>
      </c>
      <c r="Q639" s="291" t="s">
        <v>2713</v>
      </c>
      <c r="R639" s="292" t="b">
        <v>1</v>
      </c>
      <c r="S639" s="293" t="b">
        <v>0</v>
      </c>
      <c r="T639" s="149" t="s">
        <v>2661</v>
      </c>
      <c r="U639" s="149" t="s">
        <v>1000</v>
      </c>
      <c r="V639" s="149" t="s">
        <v>31</v>
      </c>
      <c r="W639" s="149" t="s">
        <v>4196</v>
      </c>
      <c r="X639" s="294">
        <v>44270.0</v>
      </c>
      <c r="Y639" s="294">
        <v>44271.0</v>
      </c>
      <c r="Z639" s="288"/>
      <c r="AA639" s="165" t="s">
        <v>2699</v>
      </c>
      <c r="AB639" s="295">
        <v>44578.0</v>
      </c>
      <c r="AC639" s="288"/>
      <c r="AD639" s="288"/>
      <c r="AE639" s="160"/>
      <c r="AF639" s="288"/>
      <c r="AG639" s="160"/>
      <c r="AH639" s="288"/>
      <c r="AI639" s="288"/>
      <c r="AJ639" s="288"/>
      <c r="AK639" s="165" t="s">
        <v>819</v>
      </c>
      <c r="AL639" s="288"/>
      <c r="AM639" s="288"/>
      <c r="AN639" s="288"/>
      <c r="AO639" s="288"/>
      <c r="AP639" s="150" t="s">
        <v>2663</v>
      </c>
      <c r="AQ639" s="288"/>
    </row>
    <row r="640">
      <c r="A640" s="150" t="s">
        <v>4197</v>
      </c>
      <c r="B640" s="150" t="s">
        <v>4198</v>
      </c>
      <c r="C640" s="175" t="str">
        <f>VLOOKUP(A640,Import!A:C,3,false)</f>
        <v>YANLIŞ</v>
      </c>
      <c r="D640" s="150" t="s">
        <v>2763</v>
      </c>
      <c r="E640" s="280">
        <f>VLOOKUP(A640,Import!A:J,5,0)</f>
        <v>151</v>
      </c>
      <c r="F640" s="280" t="str">
        <f>VLOOKUP(A640,Import!A:J,6,0)</f>
        <v/>
      </c>
      <c r="G640" s="289">
        <f>VLOOKUP(A640,Import!A:J,7,0)</f>
        <v>0</v>
      </c>
      <c r="H640" s="289">
        <f>VLOOKUP(A640,Import!A:J,8,0)</f>
        <v>31</v>
      </c>
      <c r="I640" s="289">
        <f>VLOOKUP(A640,Import!A:J,9,0)</f>
        <v>31</v>
      </c>
      <c r="J640" s="282">
        <f>VLOOKUP(A640,Import!A:J,10,0)</f>
        <v>0</v>
      </c>
      <c r="K640" s="244" t="str">
        <f>VLOOKUP(A640,Import!A:P,11,0)</f>
        <v>BİLAL OKAN</v>
      </c>
      <c r="L640" s="150">
        <v>1.23456789E8</v>
      </c>
      <c r="M640" s="150" t="s">
        <v>2666</v>
      </c>
      <c r="N640" s="150" t="s">
        <v>2809</v>
      </c>
      <c r="O640" s="150" t="s">
        <v>4199</v>
      </c>
      <c r="P640" s="244" t="str">
        <f>VLOOKUP(A640,Import!A:P,16,0)</f>
        <v>Geleneksel</v>
      </c>
      <c r="Q640" s="315" t="s">
        <v>2713</v>
      </c>
      <c r="R640" s="292" t="b">
        <v>1</v>
      </c>
      <c r="S640" s="293" t="b">
        <v>0</v>
      </c>
      <c r="T640" s="149" t="s">
        <v>2714</v>
      </c>
      <c r="U640" s="296"/>
      <c r="V640" s="296"/>
      <c r="W640" s="149" t="s">
        <v>4200</v>
      </c>
      <c r="X640" s="297"/>
      <c r="Y640" s="297"/>
      <c r="Z640" s="288"/>
      <c r="AA640" s="288"/>
      <c r="AB640" s="288"/>
      <c r="AC640" s="288"/>
      <c r="AD640" s="288"/>
      <c r="AE640" s="160"/>
      <c r="AF640" s="288"/>
      <c r="AG640" s="160"/>
      <c r="AH640" s="288"/>
      <c r="AI640" s="288"/>
      <c r="AJ640" s="288"/>
      <c r="AK640" s="288"/>
      <c r="AL640" s="288"/>
      <c r="AM640" s="288"/>
      <c r="AN640" s="288"/>
      <c r="AO640" s="288"/>
      <c r="AP640" s="150" t="s">
        <v>2663</v>
      </c>
      <c r="AQ640" s="288"/>
    </row>
    <row r="641">
      <c r="A641" s="150" t="s">
        <v>4201</v>
      </c>
      <c r="B641" s="150" t="s">
        <v>4202</v>
      </c>
      <c r="C641" s="175" t="str">
        <f>VLOOKUP(A641,Import!A:C,3,false)</f>
        <v>DOĞRU</v>
      </c>
      <c r="D641" s="150" t="s">
        <v>2763</v>
      </c>
      <c r="E641" s="280">
        <f>VLOOKUP(A641,Import!A:J,5,0)</f>
        <v>1569</v>
      </c>
      <c r="F641" s="280">
        <f>VLOOKUP(A641,Import!A:J,6,0)</f>
        <v>18</v>
      </c>
      <c r="G641" s="289">
        <f>VLOOKUP(A641,Import!A:J,7,0)</f>
        <v>0</v>
      </c>
      <c r="H641" s="289">
        <f>VLOOKUP(A641,Import!A:J,8,0)</f>
        <v>22</v>
      </c>
      <c r="I641" s="289">
        <f>VLOOKUP(A641,Import!A:J,9,0)</f>
        <v>22</v>
      </c>
      <c r="J641" s="282">
        <f>VLOOKUP(A641,Import!A:J,10,0)</f>
        <v>0</v>
      </c>
      <c r="K641" s="244" t="str">
        <f>VLOOKUP(A641,Import!A:P,11,0)</f>
        <v>KEMAL UÇAK</v>
      </c>
      <c r="L641" s="150">
        <v>5.38503325E9</v>
      </c>
      <c r="M641" s="150" t="s">
        <v>2666</v>
      </c>
      <c r="N641" s="150" t="s">
        <v>2807</v>
      </c>
      <c r="O641" s="150" t="s">
        <v>4203</v>
      </c>
      <c r="P641" s="244" t="str">
        <f>VLOOKUP(A641,Import!A:P,16,0)</f>
        <v>Geleneksel</v>
      </c>
      <c r="Q641" s="291"/>
      <c r="R641" s="292" t="b">
        <v>1</v>
      </c>
      <c r="S641" s="293" t="b">
        <v>0</v>
      </c>
      <c r="T641" s="149" t="s">
        <v>2714</v>
      </c>
      <c r="U641" s="296"/>
      <c r="V641" s="296"/>
      <c r="W641" s="149" t="s">
        <v>4204</v>
      </c>
      <c r="X641" s="297"/>
      <c r="Y641" s="297"/>
      <c r="Z641" s="288"/>
      <c r="AA641" s="165" t="s">
        <v>2669</v>
      </c>
      <c r="AB641" s="295">
        <v>44522.0</v>
      </c>
      <c r="AC641" s="165" t="s">
        <v>2693</v>
      </c>
      <c r="AD641" s="295">
        <v>44543.0</v>
      </c>
      <c r="AE641" s="160"/>
      <c r="AF641" s="288"/>
      <c r="AG641" s="160"/>
      <c r="AH641" s="288"/>
      <c r="AI641" s="288"/>
      <c r="AJ641" s="288"/>
      <c r="AK641" s="165" t="s">
        <v>1715</v>
      </c>
      <c r="AL641" s="165" t="s">
        <v>921</v>
      </c>
      <c r="AM641" s="288"/>
      <c r="AN641" s="288"/>
      <c r="AO641" s="288"/>
      <c r="AP641" s="150" t="s">
        <v>2663</v>
      </c>
      <c r="AQ641" s="288"/>
    </row>
    <row r="642">
      <c r="A642" s="150" t="s">
        <v>4205</v>
      </c>
      <c r="B642" s="150" t="s">
        <v>4206</v>
      </c>
      <c r="C642" s="175" t="str">
        <f>VLOOKUP(A642,Import!A:C,3,false)</f>
        <v>DOĞRU</v>
      </c>
      <c r="D642" s="150" t="s">
        <v>2763</v>
      </c>
      <c r="E642" s="280">
        <f>VLOOKUP(A642,Import!A:J,5,0)</f>
        <v>266</v>
      </c>
      <c r="F642" s="280">
        <f>VLOOKUP(A642,Import!A:J,6,0)</f>
        <v>18</v>
      </c>
      <c r="G642" s="289">
        <f>VLOOKUP(A642,Import!A:J,7,0)</f>
        <v>0</v>
      </c>
      <c r="H642" s="289">
        <f>VLOOKUP(A642,Import!A:J,8,0)</f>
        <v>31</v>
      </c>
      <c r="I642" s="289">
        <f>VLOOKUP(A642,Import!A:J,9,0)</f>
        <v>31</v>
      </c>
      <c r="J642" s="282">
        <f>VLOOKUP(A642,Import!A:J,10,0)</f>
        <v>0</v>
      </c>
      <c r="K642" s="290" t="s">
        <v>3550</v>
      </c>
      <c r="L642" s="150">
        <v>5.531029147E9</v>
      </c>
      <c r="M642" s="150" t="s">
        <v>1450</v>
      </c>
      <c r="N642" s="150" t="s">
        <v>2732</v>
      </c>
      <c r="O642" s="150" t="s">
        <v>3551</v>
      </c>
      <c r="P642" s="244" t="str">
        <f>VLOOKUP(A642,Import!A:P,16,0)</f>
        <v>Geleneksel</v>
      </c>
      <c r="Q642" s="291"/>
      <c r="R642" s="292" t="b">
        <v>1</v>
      </c>
      <c r="S642" s="293" t="b">
        <v>0</v>
      </c>
      <c r="T642" s="149" t="s">
        <v>2864</v>
      </c>
      <c r="U642" s="296"/>
      <c r="V642" s="296"/>
      <c r="W642" s="149" t="s">
        <v>4207</v>
      </c>
      <c r="X642" s="297"/>
      <c r="Y642" s="297"/>
      <c r="Z642" s="288"/>
      <c r="AA642" s="165" t="s">
        <v>2669</v>
      </c>
      <c r="AB642" s="295">
        <v>44545.0</v>
      </c>
      <c r="AC642" s="288"/>
      <c r="AD642" s="288"/>
      <c r="AE642" s="160"/>
      <c r="AF642" s="288"/>
      <c r="AG642" s="160"/>
      <c r="AH642" s="288"/>
      <c r="AI642" s="288"/>
      <c r="AJ642" s="288"/>
      <c r="AK642" s="165" t="s">
        <v>1971</v>
      </c>
      <c r="AL642" s="288"/>
      <c r="AM642" s="288"/>
      <c r="AN642" s="288"/>
      <c r="AO642" s="165"/>
      <c r="AP642" s="150" t="s">
        <v>2663</v>
      </c>
      <c r="AQ642" s="165"/>
    </row>
    <row r="643">
      <c r="A643" s="150" t="s">
        <v>4208</v>
      </c>
      <c r="B643" s="150" t="s">
        <v>4209</v>
      </c>
      <c r="C643" s="175" t="str">
        <f>VLOOKUP(A643,Import!A:C,3,false)</f>
        <v>DOĞRU</v>
      </c>
      <c r="D643" s="150" t="s">
        <v>2672</v>
      </c>
      <c r="E643" s="280">
        <f>VLOOKUP(A643,Import!A:J,5,0)</f>
        <v>4056</v>
      </c>
      <c r="F643" s="280">
        <f>VLOOKUP(A643,Import!A:J,6,0)</f>
        <v>465</v>
      </c>
      <c r="G643" s="289">
        <f>VLOOKUP(A643,Import!A:J,7,0)</f>
        <v>0</v>
      </c>
      <c r="H643" s="289">
        <f>VLOOKUP(A643,Import!A:J,8,0)</f>
        <v>9</v>
      </c>
      <c r="I643" s="289">
        <f>VLOOKUP(A643,Import!A:J,9,0)</f>
        <v>9</v>
      </c>
      <c r="J643" s="282">
        <f>VLOOKUP(A643,Import!A:J,10,0)</f>
        <v>0</v>
      </c>
      <c r="K643" s="244" t="str">
        <f>VLOOKUP(A643,Import!A:P,11,0)</f>
        <v>Latif Günbeği</v>
      </c>
      <c r="L643" s="150">
        <v>2.222397267E9</v>
      </c>
      <c r="M643" s="150" t="s">
        <v>1450</v>
      </c>
      <c r="N643" s="150" t="s">
        <v>2732</v>
      </c>
      <c r="O643" s="150" t="s">
        <v>2572</v>
      </c>
      <c r="P643" s="244" t="str">
        <f>VLOOKUP(A643,Import!A:P,16,0)</f>
        <v>Geleneksel</v>
      </c>
      <c r="Q643" s="291" t="s">
        <v>2660</v>
      </c>
      <c r="R643" s="292" t="b">
        <v>1</v>
      </c>
      <c r="S643" s="292" t="b">
        <v>0</v>
      </c>
      <c r="T643" s="149" t="s">
        <v>2714</v>
      </c>
      <c r="U643" s="296"/>
      <c r="V643" s="296"/>
      <c r="W643" s="149" t="s">
        <v>4210</v>
      </c>
      <c r="X643" s="297"/>
      <c r="Y643" s="297"/>
      <c r="Z643" s="288"/>
      <c r="AA643" s="165" t="s">
        <v>2688</v>
      </c>
      <c r="AB643" s="295">
        <v>44488.0</v>
      </c>
      <c r="AC643" s="165" t="s">
        <v>2669</v>
      </c>
      <c r="AD643" s="295">
        <v>44547.0</v>
      </c>
      <c r="AE643" s="160"/>
      <c r="AF643" s="288"/>
      <c r="AG643" s="160"/>
      <c r="AH643" s="288"/>
      <c r="AI643" s="288"/>
      <c r="AJ643" s="288"/>
      <c r="AK643" s="165" t="s">
        <v>1717</v>
      </c>
      <c r="AL643" s="165" t="s">
        <v>1971</v>
      </c>
      <c r="AM643" s="288"/>
      <c r="AN643" s="288"/>
      <c r="AO643" s="288"/>
      <c r="AP643" s="150" t="s">
        <v>2663</v>
      </c>
      <c r="AQ643" s="288"/>
    </row>
    <row r="644">
      <c r="A644" s="150" t="s">
        <v>4211</v>
      </c>
      <c r="B644" s="150" t="s">
        <v>4212</v>
      </c>
      <c r="C644" s="175" t="str">
        <f>VLOOKUP(A644,Import!A:C,3,false)</f>
        <v>DOĞRU</v>
      </c>
      <c r="D644" s="150" t="s">
        <v>2763</v>
      </c>
      <c r="E644" s="280">
        <f>VLOOKUP(A644,Import!A:J,5,0)</f>
        <v>1160</v>
      </c>
      <c r="F644" s="280">
        <f>VLOOKUP(A644,Import!A:J,6,0)</f>
        <v>56</v>
      </c>
      <c r="G644" s="289">
        <f>VLOOKUP(A644,Import!A:J,7,0)</f>
        <v>0</v>
      </c>
      <c r="H644" s="289">
        <f>VLOOKUP(A644,Import!A:J,8,0)</f>
        <v>22</v>
      </c>
      <c r="I644" s="289">
        <f>VLOOKUP(A644,Import!A:J,9,0)</f>
        <v>22</v>
      </c>
      <c r="J644" s="282">
        <f>VLOOKUP(A644,Import!A:J,10,0)</f>
        <v>0</v>
      </c>
      <c r="K644" s="290" t="s">
        <v>2875</v>
      </c>
      <c r="L644" s="150">
        <v>5.528775383E9</v>
      </c>
      <c r="M644" s="150" t="s">
        <v>2666</v>
      </c>
      <c r="N644" s="150" t="s">
        <v>2876</v>
      </c>
      <c r="O644" s="150" t="s">
        <v>2877</v>
      </c>
      <c r="P644" s="244" t="str">
        <f>VLOOKUP(A644,Import!A:P,16,0)</f>
        <v>Geleneksel</v>
      </c>
      <c r="Q644" s="291"/>
      <c r="R644" s="292" t="b">
        <v>1</v>
      </c>
      <c r="S644" s="293" t="b">
        <v>0</v>
      </c>
      <c r="T644" s="149" t="s">
        <v>2693</v>
      </c>
      <c r="U644" s="296"/>
      <c r="V644" s="296"/>
      <c r="W644" s="149" t="s">
        <v>4213</v>
      </c>
      <c r="X644" s="297"/>
      <c r="Y644" s="297"/>
      <c r="Z644" s="288"/>
      <c r="AA644" s="165" t="s">
        <v>2699</v>
      </c>
      <c r="AB644" s="295">
        <v>44596.0</v>
      </c>
      <c r="AC644" s="288"/>
      <c r="AD644" s="288"/>
      <c r="AE644" s="160"/>
      <c r="AF644" s="288"/>
      <c r="AG644" s="160"/>
      <c r="AH644" s="288"/>
      <c r="AI644" s="288"/>
      <c r="AJ644" s="288"/>
      <c r="AK644" s="165" t="s">
        <v>819</v>
      </c>
      <c r="AL644" s="288"/>
      <c r="AM644" s="288"/>
      <c r="AN644" s="288"/>
      <c r="AO644" s="165"/>
      <c r="AP644" s="150"/>
      <c r="AQ644" s="165"/>
    </row>
    <row r="645">
      <c r="A645" s="150" t="s">
        <v>4214</v>
      </c>
      <c r="B645" s="150" t="s">
        <v>4215</v>
      </c>
      <c r="C645" s="175" t="str">
        <f>VLOOKUP(A645,Import!A:C,3,false)</f>
        <v>DOĞRU</v>
      </c>
      <c r="D645" s="150" t="s">
        <v>2867</v>
      </c>
      <c r="E645" s="280">
        <f>VLOOKUP(A645,Import!A:J,5,0)</f>
        <v>102</v>
      </c>
      <c r="F645" s="280" t="str">
        <f>VLOOKUP(A645,Import!A:J,6,0)</f>
        <v/>
      </c>
      <c r="G645" s="289">
        <f>VLOOKUP(A645,Import!A:J,7,0)</f>
        <v>0</v>
      </c>
      <c r="H645" s="289">
        <f>VLOOKUP(A645,Import!A:J,8,0)</f>
        <v>29</v>
      </c>
      <c r="I645" s="289">
        <f>VLOOKUP(A645,Import!A:J,9,0)</f>
        <v>29</v>
      </c>
      <c r="J645" s="282">
        <f>VLOOKUP(A645,Import!A:J,10,0)</f>
        <v>0</v>
      </c>
      <c r="K645" s="290" t="s">
        <v>4216</v>
      </c>
      <c r="L645" s="150">
        <v>5.526483098E9</v>
      </c>
      <c r="M645" s="150" t="s">
        <v>2666</v>
      </c>
      <c r="N645" s="150" t="s">
        <v>2750</v>
      </c>
      <c r="O645" s="150" t="s">
        <v>1961</v>
      </c>
      <c r="P645" s="244" t="str">
        <f>VLOOKUP(A645,Import!A:P,16,0)</f>
        <v>Geleneksel</v>
      </c>
      <c r="Q645" s="291"/>
      <c r="R645" s="292" t="b">
        <v>1</v>
      </c>
      <c r="S645" s="293" t="b">
        <v>0</v>
      </c>
      <c r="T645" s="149" t="s">
        <v>2734</v>
      </c>
      <c r="U645" s="296"/>
      <c r="V645" s="296"/>
      <c r="W645" s="150" t="s">
        <v>4217</v>
      </c>
      <c r="X645" s="297"/>
      <c r="Y645" s="297"/>
      <c r="Z645" s="288"/>
      <c r="AA645" s="165" t="s">
        <v>2669</v>
      </c>
      <c r="AB645" s="295">
        <v>44543.0</v>
      </c>
      <c r="AC645" s="288"/>
      <c r="AD645" s="288"/>
      <c r="AE645" s="160"/>
      <c r="AF645" s="288"/>
      <c r="AG645" s="160"/>
      <c r="AH645" s="288"/>
      <c r="AI645" s="288"/>
      <c r="AJ645" s="288"/>
      <c r="AK645" s="165" t="s">
        <v>921</v>
      </c>
      <c r="AL645" s="288"/>
      <c r="AM645" s="288"/>
      <c r="AN645" s="288"/>
      <c r="AO645" s="165"/>
      <c r="AP645" s="150" t="s">
        <v>2663</v>
      </c>
      <c r="AQ645" s="165"/>
    </row>
    <row r="646">
      <c r="A646" s="150" t="s">
        <v>4218</v>
      </c>
      <c r="B646" s="150" t="s">
        <v>4219</v>
      </c>
      <c r="C646" s="175" t="str">
        <f>VLOOKUP(A646,Import!A:C,3,false)</f>
        <v>DOĞRU</v>
      </c>
      <c r="D646" s="150" t="s">
        <v>2904</v>
      </c>
      <c r="E646" s="280">
        <f>VLOOKUP(A646,Import!A:J,5,0)</f>
        <v>346</v>
      </c>
      <c r="F646" s="280">
        <f>VLOOKUP(A646,Import!A:J,6,0)</f>
        <v>8</v>
      </c>
      <c r="G646" s="289">
        <f>VLOOKUP(A646,Import!A:J,7,0)</f>
        <v>0</v>
      </c>
      <c r="H646" s="289">
        <f>VLOOKUP(A646,Import!A:J,8,0)</f>
        <v>22</v>
      </c>
      <c r="I646" s="289">
        <f>VLOOKUP(A646,Import!A:J,9,0)</f>
        <v>22</v>
      </c>
      <c r="J646" s="282">
        <f>VLOOKUP(A646,Import!A:J,10,0)</f>
        <v>0</v>
      </c>
      <c r="K646" s="244" t="str">
        <f>VLOOKUP(A646,Import!A:P,11,0)</f>
        <v>ÖMER BULUT</v>
      </c>
      <c r="L646" s="150">
        <v>2.222490403E9</v>
      </c>
      <c r="M646" s="150" t="s">
        <v>1450</v>
      </c>
      <c r="N646" s="150" t="s">
        <v>2795</v>
      </c>
      <c r="O646" s="150" t="s">
        <v>4220</v>
      </c>
      <c r="P646" s="244" t="str">
        <f>VLOOKUP(A646,Import!A:P,16,0)</f>
        <v>Geleneksel</v>
      </c>
      <c r="Q646" s="291" t="s">
        <v>2686</v>
      </c>
      <c r="R646" s="292" t="b">
        <v>1</v>
      </c>
      <c r="S646" s="292" t="b">
        <v>1</v>
      </c>
      <c r="T646" s="296"/>
      <c r="U646" s="296"/>
      <c r="V646" s="296"/>
      <c r="W646" s="149" t="s">
        <v>4221</v>
      </c>
      <c r="X646" s="297"/>
      <c r="Y646" s="297"/>
      <c r="Z646" s="288"/>
      <c r="AA646" s="165" t="s">
        <v>2669</v>
      </c>
      <c r="AB646" s="295">
        <v>44547.0</v>
      </c>
      <c r="AC646" s="288"/>
      <c r="AD646" s="288"/>
      <c r="AE646" s="160"/>
      <c r="AF646" s="288"/>
      <c r="AG646" s="160"/>
      <c r="AH646" s="288"/>
      <c r="AI646" s="288"/>
      <c r="AJ646" s="288"/>
      <c r="AK646" s="165" t="s">
        <v>1971</v>
      </c>
      <c r="AL646" s="288"/>
      <c r="AM646" s="288"/>
      <c r="AN646" s="288"/>
      <c r="AO646" s="288"/>
      <c r="AP646" s="150" t="s">
        <v>2663</v>
      </c>
      <c r="AQ646" s="288"/>
    </row>
    <row r="647">
      <c r="A647" s="150" t="s">
        <v>4222</v>
      </c>
      <c r="B647" s="150" t="s">
        <v>4223</v>
      </c>
      <c r="C647" s="175" t="str">
        <f>VLOOKUP(A647,Import!A:C,3,false)</f>
        <v>DOĞRU</v>
      </c>
      <c r="D647" s="150" t="s">
        <v>2763</v>
      </c>
      <c r="E647" s="280">
        <f>VLOOKUP(A647,Import!A:J,5,0)</f>
        <v>2420</v>
      </c>
      <c r="F647" s="280">
        <f>VLOOKUP(A647,Import!A:J,6,0)</f>
        <v>183</v>
      </c>
      <c r="G647" s="289">
        <f>VLOOKUP(A647,Import!A:J,7,0)</f>
        <v>0</v>
      </c>
      <c r="H647" s="289">
        <f>VLOOKUP(A647,Import!A:J,8,0)</f>
        <v>66</v>
      </c>
      <c r="I647" s="289">
        <f>VLOOKUP(A647,Import!A:J,9,0)</f>
        <v>66</v>
      </c>
      <c r="J647" s="282">
        <f>VLOOKUP(A647,Import!A:J,10,0)</f>
        <v>0</v>
      </c>
      <c r="K647" s="290" t="s">
        <v>4224</v>
      </c>
      <c r="L647" s="150">
        <v>5.071782278E9</v>
      </c>
      <c r="M647" s="150" t="s">
        <v>2666</v>
      </c>
      <c r="N647" s="150" t="s">
        <v>2809</v>
      </c>
      <c r="O647" s="150" t="s">
        <v>4225</v>
      </c>
      <c r="P647" s="244" t="str">
        <f>VLOOKUP(A647,Import!A:P,16,0)</f>
        <v>Geleneksel</v>
      </c>
      <c r="Q647" s="291"/>
      <c r="R647" s="292" t="b">
        <v>1</v>
      </c>
      <c r="S647" s="293" t="b">
        <v>0</v>
      </c>
      <c r="T647" s="149" t="s">
        <v>2714</v>
      </c>
      <c r="U647" s="296"/>
      <c r="V647" s="296"/>
      <c r="W647" s="149" t="s">
        <v>4226</v>
      </c>
      <c r="X647" s="297"/>
      <c r="Y647" s="297"/>
      <c r="Z647" s="288"/>
      <c r="AA647" s="165" t="s">
        <v>2772</v>
      </c>
      <c r="AB647" s="295">
        <v>44529.0</v>
      </c>
      <c r="AC647" s="165" t="s">
        <v>2669</v>
      </c>
      <c r="AD647" s="295">
        <v>44530.0</v>
      </c>
      <c r="AE647" s="165" t="s">
        <v>2772</v>
      </c>
      <c r="AF647" s="295">
        <v>44543.0</v>
      </c>
      <c r="AG647" s="160"/>
      <c r="AH647" s="288"/>
      <c r="AI647" s="288"/>
      <c r="AJ647" s="288"/>
      <c r="AK647" s="165" t="s">
        <v>1971</v>
      </c>
      <c r="AL647" s="165" t="s">
        <v>1715</v>
      </c>
      <c r="AM647" s="165" t="s">
        <v>921</v>
      </c>
      <c r="AN647" s="288"/>
      <c r="AO647" s="165"/>
      <c r="AP647" s="150" t="s">
        <v>2663</v>
      </c>
      <c r="AQ647" s="165"/>
    </row>
    <row r="648">
      <c r="A648" s="150" t="s">
        <v>1912</v>
      </c>
      <c r="B648" s="150" t="s">
        <v>1913</v>
      </c>
      <c r="C648" s="175" t="str">
        <f>VLOOKUP(A648,Import!A:C,3,false)</f>
        <v>DOĞRU</v>
      </c>
      <c r="D648" s="150" t="s">
        <v>2850</v>
      </c>
      <c r="E648" s="280">
        <f>VLOOKUP(A648,Import!A:J,5,0)</f>
        <v>233</v>
      </c>
      <c r="F648" s="280" t="str">
        <f>VLOOKUP(A648,Import!A:J,6,0)</f>
        <v/>
      </c>
      <c r="G648" s="289">
        <f>VLOOKUP(A648,Import!A:J,7,0)</f>
        <v>18</v>
      </c>
      <c r="H648" s="289">
        <f>VLOOKUP(A648,Import!A:J,8,0)</f>
        <v>6</v>
      </c>
      <c r="I648" s="289">
        <f>VLOOKUP(A648,Import!A:J,9,0)</f>
        <v>24</v>
      </c>
      <c r="J648" s="282">
        <f>VLOOKUP(A648,Import!A:J,10,0)</f>
        <v>0.75</v>
      </c>
      <c r="K648" s="244" t="str">
        <f>VLOOKUP(A648,Import!A:P,11,0)</f>
        <v>Ayşe Dikmen</v>
      </c>
      <c r="L648" s="150">
        <v>5.525515026E9</v>
      </c>
      <c r="M648" s="150" t="s">
        <v>2666</v>
      </c>
      <c r="N648" s="150" t="s">
        <v>2809</v>
      </c>
      <c r="O648" s="150" t="s">
        <v>1916</v>
      </c>
      <c r="P648" s="244" t="str">
        <f>VLOOKUP(A648,Import!A:P,16,0)</f>
        <v>Geleneksel</v>
      </c>
      <c r="Q648" s="291"/>
      <c r="R648" s="292" t="b">
        <v>1</v>
      </c>
      <c r="S648" s="293" t="b">
        <v>0</v>
      </c>
      <c r="T648" s="149" t="s">
        <v>2661</v>
      </c>
      <c r="U648" s="149" t="s">
        <v>921</v>
      </c>
      <c r="V648" s="269" t="s">
        <v>1609</v>
      </c>
      <c r="W648" s="149" t="s">
        <v>3959</v>
      </c>
      <c r="X648" s="294">
        <v>44543.0</v>
      </c>
      <c r="Y648" s="294">
        <v>44545.0</v>
      </c>
      <c r="Z648" s="288"/>
      <c r="AA648" s="165" t="s">
        <v>2693</v>
      </c>
      <c r="AB648" s="295">
        <v>44511.0</v>
      </c>
      <c r="AC648" s="165" t="s">
        <v>2693</v>
      </c>
      <c r="AD648" s="295">
        <v>44511.0</v>
      </c>
      <c r="AE648" s="165" t="s">
        <v>2669</v>
      </c>
      <c r="AF648" s="295">
        <v>44511.0</v>
      </c>
      <c r="AG648" s="165" t="s">
        <v>2669</v>
      </c>
      <c r="AH648" s="295">
        <v>44529.0</v>
      </c>
      <c r="AI648" s="165" t="s">
        <v>2669</v>
      </c>
      <c r="AJ648" s="295">
        <v>44543.0</v>
      </c>
      <c r="AK648" s="165" t="s">
        <v>1911</v>
      </c>
      <c r="AL648" s="165" t="s">
        <v>1911</v>
      </c>
      <c r="AM648" s="165" t="s">
        <v>1911</v>
      </c>
      <c r="AN648" s="165" t="s">
        <v>1715</v>
      </c>
      <c r="AO648" s="165" t="s">
        <v>921</v>
      </c>
      <c r="AP648" s="150" t="s">
        <v>2663</v>
      </c>
      <c r="AQ648" s="165"/>
    </row>
    <row r="649">
      <c r="A649" s="150" t="s">
        <v>2446</v>
      </c>
      <c r="B649" s="150" t="s">
        <v>2447</v>
      </c>
      <c r="C649" s="175" t="str">
        <f>VLOOKUP(A649,Import!A:C,3,false)</f>
        <v>YANLIŞ</v>
      </c>
      <c r="D649" s="150" t="s">
        <v>2696</v>
      </c>
      <c r="E649" s="280">
        <f>VLOOKUP(A649,Import!A:J,5,0)</f>
        <v>21</v>
      </c>
      <c r="F649" s="280" t="str">
        <f>VLOOKUP(A649,Import!A:J,6,0)</f>
        <v/>
      </c>
      <c r="G649" s="289">
        <f>VLOOKUP(A649,Import!A:J,7,0)</f>
        <v>12</v>
      </c>
      <c r="H649" s="289">
        <f>VLOOKUP(A649,Import!A:J,8,0)</f>
        <v>6</v>
      </c>
      <c r="I649" s="289">
        <f>VLOOKUP(A649,Import!A:J,9,0)</f>
        <v>18</v>
      </c>
      <c r="J649" s="282">
        <f>VLOOKUP(A649,Import!A:J,10,0)</f>
        <v>0.67</v>
      </c>
      <c r="K649" s="290" t="s">
        <v>4227</v>
      </c>
      <c r="L649" s="150">
        <v>2.222218176E9</v>
      </c>
      <c r="M649" s="150" t="s">
        <v>2666</v>
      </c>
      <c r="N649" s="150" t="s">
        <v>2897</v>
      </c>
      <c r="O649" s="150" t="s">
        <v>2450</v>
      </c>
      <c r="P649" s="244" t="str">
        <f>VLOOKUP(A649,Import!A:P,16,0)</f>
        <v>Geleneksel</v>
      </c>
      <c r="Q649" s="291"/>
      <c r="R649" s="292" t="b">
        <v>1</v>
      </c>
      <c r="S649" s="293" t="b">
        <v>0</v>
      </c>
      <c r="T649" s="149" t="s">
        <v>2661</v>
      </c>
      <c r="U649" s="149" t="s">
        <v>819</v>
      </c>
      <c r="V649" s="301" t="s">
        <v>1609</v>
      </c>
      <c r="W649" s="149">
        <v>5.444686631E9</v>
      </c>
      <c r="X649" s="294">
        <v>44596.0</v>
      </c>
      <c r="Y649" s="294">
        <v>44599.0</v>
      </c>
      <c r="Z649" s="288"/>
      <c r="AA649" s="165" t="s">
        <v>2669</v>
      </c>
      <c r="AB649" s="295">
        <v>44596.0</v>
      </c>
      <c r="AC649" s="288"/>
      <c r="AD649" s="288"/>
      <c r="AE649" s="160"/>
      <c r="AF649" s="288"/>
      <c r="AG649" s="160"/>
      <c r="AH649" s="288"/>
      <c r="AI649" s="288"/>
      <c r="AJ649" s="288"/>
      <c r="AK649" s="165" t="s">
        <v>819</v>
      </c>
      <c r="AL649" s="288"/>
      <c r="AM649" s="288"/>
      <c r="AN649" s="288"/>
      <c r="AO649" s="165"/>
      <c r="AP649" s="150"/>
      <c r="AQ649" s="165"/>
    </row>
    <row r="650">
      <c r="A650" s="150" t="s">
        <v>4228</v>
      </c>
      <c r="B650" s="150" t="s">
        <v>4229</v>
      </c>
      <c r="C650" s="175" t="str">
        <f>VLOOKUP(A650,Import!A:C,3,false)</f>
        <v>DOĞRU</v>
      </c>
      <c r="D650" s="150" t="s">
        <v>2850</v>
      </c>
      <c r="E650" s="280">
        <f>VLOOKUP(A650,Import!A:J,5,0)</f>
        <v>78</v>
      </c>
      <c r="F650" s="280">
        <f>VLOOKUP(A650,Import!A:J,6,0)</f>
        <v>5</v>
      </c>
      <c r="G650" s="289">
        <f>VLOOKUP(A650,Import!A:J,7,0)</f>
        <v>0</v>
      </c>
      <c r="H650" s="289">
        <f>VLOOKUP(A650,Import!A:J,8,0)</f>
        <v>25</v>
      </c>
      <c r="I650" s="289">
        <f>VLOOKUP(A650,Import!A:J,9,0)</f>
        <v>25</v>
      </c>
      <c r="J650" s="282">
        <f>VLOOKUP(A650,Import!A:J,10,0)</f>
        <v>0</v>
      </c>
      <c r="K650" s="290" t="s">
        <v>4230</v>
      </c>
      <c r="L650" s="150">
        <v>5.335241674E9</v>
      </c>
      <c r="M650" s="150" t="s">
        <v>1450</v>
      </c>
      <c r="N650" s="150" t="s">
        <v>2659</v>
      </c>
      <c r="O650" s="150" t="s">
        <v>4231</v>
      </c>
      <c r="P650" s="244" t="str">
        <f>VLOOKUP(A650,Import!A:P,16,0)</f>
        <v>Geleneksel</v>
      </c>
      <c r="Q650" s="291"/>
      <c r="R650" s="292" t="b">
        <v>1</v>
      </c>
      <c r="S650" s="293" t="b">
        <v>0</v>
      </c>
      <c r="T650" s="149" t="s">
        <v>2714</v>
      </c>
      <c r="U650" s="296"/>
      <c r="V650" s="296"/>
      <c r="W650" s="149" t="s">
        <v>4232</v>
      </c>
      <c r="X650" s="297"/>
      <c r="Y650" s="297"/>
      <c r="Z650" s="288"/>
      <c r="AA650" s="165" t="s">
        <v>2693</v>
      </c>
      <c r="AB650" s="295">
        <v>44532.0</v>
      </c>
      <c r="AC650" s="165" t="s">
        <v>2669</v>
      </c>
      <c r="AD650" s="295">
        <v>44537.0</v>
      </c>
      <c r="AE650" s="165" t="s">
        <v>2669</v>
      </c>
      <c r="AF650" s="295">
        <v>44602.0</v>
      </c>
      <c r="AG650" s="160"/>
      <c r="AH650" s="288"/>
      <c r="AI650" s="288"/>
      <c r="AJ650" s="288"/>
      <c r="AK650" s="165" t="s">
        <v>1717</v>
      </c>
      <c r="AL650" s="165" t="s">
        <v>1715</v>
      </c>
      <c r="AM650" s="165" t="s">
        <v>2474</v>
      </c>
      <c r="AN650" s="288"/>
      <c r="AO650" s="165"/>
      <c r="AP650" s="150" t="s">
        <v>2663</v>
      </c>
      <c r="AQ650" s="165"/>
    </row>
    <row r="651">
      <c r="A651" s="150" t="s">
        <v>4233</v>
      </c>
      <c r="B651" s="150" t="s">
        <v>4234</v>
      </c>
      <c r="C651" s="175" t="str">
        <f>VLOOKUP(A651,Import!A:C,3,false)</f>
        <v>YANLIŞ</v>
      </c>
      <c r="D651" s="162" t="s">
        <v>2658</v>
      </c>
      <c r="E651" s="280">
        <f>VLOOKUP(A651,Import!A:J,5,0)</f>
        <v>2405</v>
      </c>
      <c r="F651" s="280" t="str">
        <f>VLOOKUP(A651,Import!A:J,6,0)</f>
        <v/>
      </c>
      <c r="G651" s="289">
        <f>VLOOKUP(A651,Import!A:J,7,0)</f>
        <v>41</v>
      </c>
      <c r="H651" s="289">
        <f>VLOOKUP(A651,Import!A:J,8,0)</f>
        <v>9</v>
      </c>
      <c r="I651" s="289">
        <f>VLOOKUP(A651,Import!A:J,9,0)</f>
        <v>50</v>
      </c>
      <c r="J651" s="282">
        <f>VLOOKUP(A651,Import!A:J,10,0)</f>
        <v>0.82</v>
      </c>
      <c r="K651" s="244" t="str">
        <f>VLOOKUP(A651,Import!A:P,11,0)</f>
        <v>TOLGA KUMRU</v>
      </c>
      <c r="L651" s="162">
        <v>5.547101747E9</v>
      </c>
      <c r="M651" s="162" t="s">
        <v>2666</v>
      </c>
      <c r="N651" s="162" t="s">
        <v>2855</v>
      </c>
      <c r="O651" s="162" t="s">
        <v>882</v>
      </c>
      <c r="P651" s="244" t="str">
        <f>VLOOKUP(A651,Import!A:P,16,0)</f>
        <v>Geleneksel</v>
      </c>
      <c r="Q651" s="300" t="s">
        <v>2713</v>
      </c>
      <c r="R651" s="285" t="b">
        <v>1</v>
      </c>
      <c r="S651" s="285" t="b">
        <v>1</v>
      </c>
      <c r="T651" s="358"/>
      <c r="U651" s="358"/>
      <c r="V651" s="358"/>
      <c r="W651" s="358"/>
      <c r="X651" s="359"/>
      <c r="Y651" s="359"/>
      <c r="Z651" s="288"/>
      <c r="AA651" s="288"/>
      <c r="AB651" s="288"/>
      <c r="AC651" s="288"/>
      <c r="AD651" s="288"/>
      <c r="AE651" s="160"/>
      <c r="AF651" s="288"/>
      <c r="AG651" s="160"/>
      <c r="AH651" s="288"/>
      <c r="AI651" s="288"/>
      <c r="AJ651" s="288"/>
      <c r="AK651" s="288"/>
      <c r="AL651" s="288"/>
      <c r="AM651" s="288"/>
      <c r="AN651" s="288"/>
      <c r="AO651" s="288"/>
      <c r="AP651" s="150" t="s">
        <v>2663</v>
      </c>
      <c r="AQ651" s="288"/>
    </row>
    <row r="652">
      <c r="A652" s="244" t="s">
        <v>4235</v>
      </c>
      <c r="B652" s="244" t="s">
        <v>4236</v>
      </c>
      <c r="C652" s="175" t="str">
        <f>VLOOKUP(A652,Import!A:C,3,false)</f>
        <v>DOĞRU</v>
      </c>
      <c r="D652" s="320" t="s">
        <v>2658</v>
      </c>
      <c r="E652" s="280">
        <f>VLOOKUP(A652,Import!A:J,5,0)</f>
        <v>27902</v>
      </c>
      <c r="F652" s="280">
        <f>VLOOKUP(A652,Import!A:J,6,0)</f>
        <v>972</v>
      </c>
      <c r="G652" s="289">
        <f>VLOOKUP(A652,Import!A:J,7,0)</f>
        <v>13</v>
      </c>
      <c r="H652" s="289">
        <f>VLOOKUP(A652,Import!A:J,8,0)</f>
        <v>1</v>
      </c>
      <c r="I652" s="289">
        <f>VLOOKUP(A652,Import!A:J,9,0)</f>
        <v>14</v>
      </c>
      <c r="J652" s="282">
        <f>VLOOKUP(A652,Import!A:J,10,0)</f>
        <v>0.93</v>
      </c>
      <c r="K652" s="244" t="str">
        <f>VLOOKUP(A652,Import!A:P,11,0)</f>
        <v>MEHMET AZAD ZENGİN</v>
      </c>
      <c r="L652" s="321">
        <v>2.223209988E9</v>
      </c>
      <c r="M652" s="320" t="s">
        <v>2666</v>
      </c>
      <c r="N652" s="320" t="s">
        <v>2721</v>
      </c>
      <c r="O652" s="320" t="s">
        <v>4237</v>
      </c>
      <c r="P652" s="244" t="str">
        <f>VLOOKUP(A652,Import!A:P,16,0)</f>
        <v>Geleneksel</v>
      </c>
      <c r="Q652" s="322" t="s">
        <v>2660</v>
      </c>
      <c r="R652" s="323" t="b">
        <v>1</v>
      </c>
      <c r="S652" s="324" t="b">
        <v>0</v>
      </c>
      <c r="T652" s="145" t="s">
        <v>2734</v>
      </c>
      <c r="U652" s="333"/>
      <c r="V652" s="333"/>
      <c r="W652" s="333"/>
      <c r="X652" s="345"/>
      <c r="Y652" s="345"/>
      <c r="Z652" s="288"/>
      <c r="AA652" s="288"/>
      <c r="AB652" s="288"/>
      <c r="AC652" s="288"/>
      <c r="AD652" s="288"/>
      <c r="AE652" s="160"/>
      <c r="AF652" s="288"/>
      <c r="AG652" s="160"/>
      <c r="AH652" s="288"/>
      <c r="AI652" s="288"/>
      <c r="AJ652" s="288"/>
      <c r="AK652" s="288"/>
      <c r="AL652" s="288"/>
      <c r="AM652" s="288"/>
      <c r="AN652" s="288"/>
      <c r="AO652" s="288"/>
      <c r="AP652" s="150" t="s">
        <v>2663</v>
      </c>
      <c r="AQ652" s="288"/>
    </row>
    <row r="653">
      <c r="A653" s="244" t="s">
        <v>1097</v>
      </c>
      <c r="B653" s="244" t="s">
        <v>1098</v>
      </c>
      <c r="C653" s="175" t="str">
        <f>VLOOKUP(A653,Import!A:C,3,false)</f>
        <v>DOĞRU</v>
      </c>
      <c r="D653" s="244" t="s">
        <v>2658</v>
      </c>
      <c r="E653" s="280">
        <f>VLOOKUP(A653,Import!A:J,5,0)</f>
        <v>31410</v>
      </c>
      <c r="F653" s="280">
        <f>VLOOKUP(A653,Import!A:J,6,0)</f>
        <v>1365</v>
      </c>
      <c r="G653" s="289">
        <f>VLOOKUP(A653,Import!A:J,7,0)</f>
        <v>8</v>
      </c>
      <c r="H653" s="289">
        <f>VLOOKUP(A653,Import!A:J,8,0)</f>
        <v>5</v>
      </c>
      <c r="I653" s="289">
        <f>VLOOKUP(A653,Import!A:J,9,0)</f>
        <v>13</v>
      </c>
      <c r="J653" s="282">
        <f>VLOOKUP(A653,Import!A:J,10,0)</f>
        <v>0.62</v>
      </c>
      <c r="K653" s="244" t="str">
        <f>VLOOKUP(A653,Import!A:P,11,0)</f>
        <v>DENİZ BARUT</v>
      </c>
      <c r="L653" s="280">
        <v>2.22234662E9</v>
      </c>
      <c r="M653" s="244" t="s">
        <v>2666</v>
      </c>
      <c r="N653" s="244" t="s">
        <v>2667</v>
      </c>
      <c r="O653" s="244" t="s">
        <v>1100</v>
      </c>
      <c r="P653" s="244" t="str">
        <f>VLOOKUP(A653,Import!A:P,16,0)</f>
        <v>Geleneksel</v>
      </c>
      <c r="Q653" s="291" t="s">
        <v>2660</v>
      </c>
      <c r="R653" s="292" t="b">
        <v>1</v>
      </c>
      <c r="S653" s="293" t="b">
        <v>0</v>
      </c>
      <c r="T653" s="165" t="s">
        <v>2661</v>
      </c>
      <c r="U653" s="165" t="s">
        <v>1000</v>
      </c>
      <c r="V653" s="165" t="s">
        <v>31</v>
      </c>
      <c r="W653" s="165">
        <v>5.337264966E9</v>
      </c>
      <c r="X653" s="295">
        <v>44265.0</v>
      </c>
      <c r="Y653" s="295">
        <v>44267.0</v>
      </c>
      <c r="Z653" s="288"/>
      <c r="AA653" s="288"/>
      <c r="AB653" s="288"/>
      <c r="AC653" s="288"/>
      <c r="AD653" s="288"/>
      <c r="AE653" s="160"/>
      <c r="AF653" s="288"/>
      <c r="AG653" s="160"/>
      <c r="AH653" s="288"/>
      <c r="AI653" s="288"/>
      <c r="AJ653" s="288"/>
      <c r="AK653" s="288"/>
      <c r="AL653" s="288"/>
      <c r="AM653" s="288"/>
      <c r="AN653" s="288"/>
      <c r="AO653" s="288"/>
      <c r="AP653" s="150" t="s">
        <v>2663</v>
      </c>
      <c r="AQ653" s="288"/>
    </row>
    <row r="654">
      <c r="A654" s="244" t="s">
        <v>743</v>
      </c>
      <c r="B654" s="244" t="s">
        <v>744</v>
      </c>
      <c r="C654" s="175" t="str">
        <f>VLOOKUP(A654,Import!A:C,3,false)</f>
        <v>DOĞRU</v>
      </c>
      <c r="D654" s="362" t="s">
        <v>2658</v>
      </c>
      <c r="E654" s="280">
        <f>VLOOKUP(A654,Import!A:J,5,0)</f>
        <v>28343</v>
      </c>
      <c r="F654" s="280">
        <f>VLOOKUP(A654,Import!A:J,6,0)</f>
        <v>1509</v>
      </c>
      <c r="G654" s="289">
        <f>VLOOKUP(A654,Import!A:J,7,0)</f>
        <v>21</v>
      </c>
      <c r="H654" s="289">
        <f>VLOOKUP(A654,Import!A:J,8,0)</f>
        <v>16</v>
      </c>
      <c r="I654" s="289">
        <f>VLOOKUP(A654,Import!A:J,9,0)</f>
        <v>37</v>
      </c>
      <c r="J654" s="282">
        <f>VLOOKUP(A654,Import!A:J,10,0)</f>
        <v>0.57</v>
      </c>
      <c r="K654" s="244" t="str">
        <f>VLOOKUP(A654,Import!A:P,11,0)</f>
        <v>Yılmaz Zengin</v>
      </c>
      <c r="L654" s="280">
        <v>2.222215042E9</v>
      </c>
      <c r="M654" s="244" t="s">
        <v>1450</v>
      </c>
      <c r="N654" s="244" t="s">
        <v>2716</v>
      </c>
      <c r="O654" s="244" t="s">
        <v>746</v>
      </c>
      <c r="P654" s="244" t="str">
        <f>VLOOKUP(A654,Import!A:P,16,0)</f>
        <v>Geleneksel</v>
      </c>
      <c r="Q654" s="291" t="s">
        <v>2760</v>
      </c>
      <c r="R654" s="292" t="b">
        <v>1</v>
      </c>
      <c r="S654" s="293" t="b">
        <v>0</v>
      </c>
      <c r="T654" s="165" t="s">
        <v>2770</v>
      </c>
      <c r="U654" s="165" t="s">
        <v>1971</v>
      </c>
      <c r="V654" s="401" t="s">
        <v>1609</v>
      </c>
      <c r="W654" s="165" t="s">
        <v>2226</v>
      </c>
      <c r="X654" s="295">
        <v>44547.0</v>
      </c>
      <c r="Y654" s="295">
        <v>44552.0</v>
      </c>
      <c r="Z654" s="288"/>
      <c r="AA654" s="165" t="s">
        <v>2669</v>
      </c>
      <c r="AB654" s="295">
        <v>44497.0</v>
      </c>
      <c r="AC654" s="165" t="s">
        <v>2669</v>
      </c>
      <c r="AD654" s="295">
        <v>44499.0</v>
      </c>
      <c r="AE654" s="165" t="s">
        <v>2699</v>
      </c>
      <c r="AF654" s="295">
        <v>44517.0</v>
      </c>
      <c r="AG654" s="165" t="s">
        <v>2669</v>
      </c>
      <c r="AH654" s="295">
        <v>44547.0</v>
      </c>
      <c r="AI654" s="165" t="s">
        <v>2669</v>
      </c>
      <c r="AJ654" s="295">
        <v>44552.0</v>
      </c>
      <c r="AK654" s="165" t="s">
        <v>1715</v>
      </c>
      <c r="AL654" s="165" t="s">
        <v>819</v>
      </c>
      <c r="AM654" s="165" t="s">
        <v>1971</v>
      </c>
      <c r="AN654" s="165" t="s">
        <v>1971</v>
      </c>
      <c r="AO654" s="165" t="s">
        <v>1971</v>
      </c>
      <c r="AP654" s="150" t="s">
        <v>2663</v>
      </c>
      <c r="AQ654" s="288"/>
    </row>
    <row r="655">
      <c r="A655" s="150" t="s">
        <v>4238</v>
      </c>
      <c r="B655" s="150" t="s">
        <v>4239</v>
      </c>
      <c r="C655" s="175" t="str">
        <f>VLOOKUP(A655,Import!A:C,3,false)</f>
        <v>DOĞRU</v>
      </c>
      <c r="D655" s="150" t="s">
        <v>2773</v>
      </c>
      <c r="E655" s="280">
        <f>VLOOKUP(A655,Import!A:J,5,0)</f>
        <v>255</v>
      </c>
      <c r="F655" s="280">
        <f>VLOOKUP(A655,Import!A:J,6,0)</f>
        <v>36</v>
      </c>
      <c r="G655" s="289">
        <f>VLOOKUP(A655,Import!A:J,7,0)</f>
        <v>0</v>
      </c>
      <c r="H655" s="289">
        <f>VLOOKUP(A655,Import!A:J,8,0)</f>
        <v>33</v>
      </c>
      <c r="I655" s="289">
        <f>VLOOKUP(A655,Import!A:J,9,0)</f>
        <v>33</v>
      </c>
      <c r="J655" s="282">
        <f>VLOOKUP(A655,Import!A:J,10,0)</f>
        <v>0</v>
      </c>
      <c r="K655" s="290" t="s">
        <v>4240</v>
      </c>
      <c r="L655" s="150">
        <v>5.389565418E9</v>
      </c>
      <c r="M655" s="150" t="s">
        <v>1450</v>
      </c>
      <c r="N655" s="150" t="s">
        <v>2795</v>
      </c>
      <c r="O655" s="150" t="s">
        <v>4241</v>
      </c>
      <c r="P655" s="244" t="str">
        <f>VLOOKUP(A655,Import!A:P,16,0)</f>
        <v>Geleneksel</v>
      </c>
      <c r="Q655" s="291"/>
      <c r="R655" s="292" t="b">
        <v>1</v>
      </c>
      <c r="S655" s="293" t="b">
        <v>0</v>
      </c>
      <c r="T655" s="149" t="s">
        <v>2734</v>
      </c>
      <c r="U655" s="296"/>
      <c r="V655" s="296"/>
      <c r="W655" s="149" t="s">
        <v>4242</v>
      </c>
      <c r="X655" s="297"/>
      <c r="Y655" s="297"/>
      <c r="Z655" s="288"/>
      <c r="AA655" s="165" t="s">
        <v>2669</v>
      </c>
      <c r="AB655" s="295">
        <v>44628.0</v>
      </c>
      <c r="AC655" s="288"/>
      <c r="AD655" s="288"/>
      <c r="AE655" s="160"/>
      <c r="AF655" s="288"/>
      <c r="AG655" s="160"/>
      <c r="AH655" s="288"/>
      <c r="AI655" s="288"/>
      <c r="AJ655" s="288"/>
      <c r="AK655" s="165" t="s">
        <v>819</v>
      </c>
      <c r="AL655" s="288"/>
      <c r="AM655" s="288"/>
      <c r="AN655" s="288"/>
      <c r="AO655" s="165"/>
      <c r="AP655" s="150"/>
      <c r="AQ655" s="165"/>
    </row>
    <row r="656">
      <c r="A656" s="244" t="s">
        <v>739</v>
      </c>
      <c r="B656" s="244" t="s">
        <v>740</v>
      </c>
      <c r="C656" s="175" t="str">
        <f>VLOOKUP(A656,Import!A:C,3,false)</f>
        <v>DOĞRU</v>
      </c>
      <c r="D656" s="362" t="s">
        <v>2773</v>
      </c>
      <c r="E656" s="280">
        <f>VLOOKUP(A656,Import!A:J,5,0)</f>
        <v>5064</v>
      </c>
      <c r="F656" s="280">
        <f>VLOOKUP(A656,Import!A:J,6,0)</f>
        <v>183</v>
      </c>
      <c r="G656" s="289">
        <f>VLOOKUP(A656,Import!A:J,7,0)</f>
        <v>9</v>
      </c>
      <c r="H656" s="289">
        <f>VLOOKUP(A656,Import!A:J,8,0)</f>
        <v>22</v>
      </c>
      <c r="I656" s="289">
        <f>VLOOKUP(A656,Import!A:J,9,0)</f>
        <v>31</v>
      </c>
      <c r="J656" s="282">
        <f>VLOOKUP(A656,Import!A:J,10,0)</f>
        <v>0.29</v>
      </c>
      <c r="K656" s="244" t="str">
        <f>VLOOKUP(A656,Import!A:P,11,0)</f>
        <v>Adnan Ertuğrul</v>
      </c>
      <c r="L656" s="280">
        <v>2.222377575E9</v>
      </c>
      <c r="M656" s="244" t="s">
        <v>1450</v>
      </c>
      <c r="N656" s="244" t="s">
        <v>2795</v>
      </c>
      <c r="O656" s="244" t="s">
        <v>742</v>
      </c>
      <c r="P656" s="244" t="str">
        <f>VLOOKUP(A656,Import!A:P,16,0)</f>
        <v>Geleneksel</v>
      </c>
      <c r="Q656" s="291" t="s">
        <v>2760</v>
      </c>
      <c r="R656" s="292" t="b">
        <v>1</v>
      </c>
      <c r="S656" s="293" t="b">
        <v>0</v>
      </c>
      <c r="T656" s="165" t="s">
        <v>2661</v>
      </c>
      <c r="U656" s="165"/>
      <c r="V656" s="339" t="s">
        <v>13</v>
      </c>
      <c r="W656" s="165" t="s">
        <v>2708</v>
      </c>
      <c r="X656" s="295">
        <v>44245.0</v>
      </c>
      <c r="Y656" s="295">
        <v>44252.0</v>
      </c>
      <c r="Z656" s="288"/>
      <c r="AA656" s="288"/>
      <c r="AB656" s="288"/>
      <c r="AC656" s="288"/>
      <c r="AD656" s="288"/>
      <c r="AE656" s="160"/>
      <c r="AF656" s="288"/>
      <c r="AG656" s="160"/>
      <c r="AH656" s="288"/>
      <c r="AI656" s="288"/>
      <c r="AJ656" s="288"/>
      <c r="AK656" s="288"/>
      <c r="AL656" s="288"/>
      <c r="AM656" s="288"/>
      <c r="AN656" s="288"/>
      <c r="AO656" s="288"/>
      <c r="AP656" s="150" t="s">
        <v>2663</v>
      </c>
      <c r="AQ656" s="288"/>
    </row>
    <row r="657">
      <c r="A657" s="150" t="s">
        <v>2266</v>
      </c>
      <c r="B657" s="150" t="s">
        <v>2267</v>
      </c>
      <c r="C657" s="175" t="str">
        <f>VLOOKUP(A657,Import!A:C,3,false)</f>
        <v>DOĞRU</v>
      </c>
      <c r="D657" s="150" t="s">
        <v>2672</v>
      </c>
      <c r="E657" s="280">
        <f>VLOOKUP(A657,Import!A:J,5,0)</f>
        <v>879</v>
      </c>
      <c r="F657" s="280" t="str">
        <f>VLOOKUP(A657,Import!A:J,6,0)</f>
        <v/>
      </c>
      <c r="G657" s="289">
        <f>VLOOKUP(A657,Import!A:J,7,0)</f>
        <v>24</v>
      </c>
      <c r="H657" s="289">
        <f>VLOOKUP(A657,Import!A:J,8,0)</f>
        <v>7</v>
      </c>
      <c r="I657" s="289">
        <f>VLOOKUP(A657,Import!A:J,9,0)</f>
        <v>31</v>
      </c>
      <c r="J657" s="282">
        <f>VLOOKUP(A657,Import!A:J,10,0)</f>
        <v>0.77</v>
      </c>
      <c r="K657" s="290" t="s">
        <v>4243</v>
      </c>
      <c r="L657" s="150">
        <v>2.223303525E9</v>
      </c>
      <c r="M657" s="150" t="s">
        <v>2666</v>
      </c>
      <c r="N657" s="150" t="s">
        <v>2750</v>
      </c>
      <c r="O657" s="150" t="s">
        <v>2269</v>
      </c>
      <c r="P657" s="244" t="str">
        <f>VLOOKUP(A657,Import!A:P,16,0)</f>
        <v>Geleneksel</v>
      </c>
      <c r="Q657" s="291"/>
      <c r="R657" s="292" t="b">
        <v>1</v>
      </c>
      <c r="S657" s="293" t="b">
        <v>0</v>
      </c>
      <c r="T657" s="149" t="s">
        <v>2661</v>
      </c>
      <c r="U657" s="149" t="s">
        <v>819</v>
      </c>
      <c r="V657" s="301" t="s">
        <v>1609</v>
      </c>
      <c r="W657" s="149" t="s">
        <v>4244</v>
      </c>
      <c r="X657" s="294">
        <v>44557.0</v>
      </c>
      <c r="Y657" s="294">
        <v>44560.0</v>
      </c>
      <c r="Z657" s="288"/>
      <c r="AA657" s="165" t="s">
        <v>2669</v>
      </c>
      <c r="AB657" s="295">
        <v>44554.0</v>
      </c>
      <c r="AC657" s="165" t="s">
        <v>2669</v>
      </c>
      <c r="AD657" s="295">
        <v>44557.0</v>
      </c>
      <c r="AE657" s="160"/>
      <c r="AF657" s="288"/>
      <c r="AG657" s="160"/>
      <c r="AH657" s="288"/>
      <c r="AI657" s="288"/>
      <c r="AJ657" s="288"/>
      <c r="AK657" s="165" t="s">
        <v>819</v>
      </c>
      <c r="AL657" s="165" t="s">
        <v>819</v>
      </c>
      <c r="AM657" s="288"/>
      <c r="AN657" s="288"/>
      <c r="AO657" s="165"/>
      <c r="AP657" s="150"/>
      <c r="AQ657" s="165"/>
    </row>
    <row r="658">
      <c r="A658" s="244" t="s">
        <v>524</v>
      </c>
      <c r="B658" s="244" t="s">
        <v>525</v>
      </c>
      <c r="C658" s="175" t="str">
        <f>VLOOKUP(A658,Import!A:C,3,false)</f>
        <v>DOĞRU</v>
      </c>
      <c r="D658" s="244" t="s">
        <v>2850</v>
      </c>
      <c r="E658" s="280">
        <f>VLOOKUP(A658,Import!A:J,5,0)</f>
        <v>1130</v>
      </c>
      <c r="F658" s="280">
        <f>VLOOKUP(A658,Import!A:J,6,0)</f>
        <v>6</v>
      </c>
      <c r="G658" s="289">
        <f>VLOOKUP(A658,Import!A:J,7,0)</f>
        <v>0</v>
      </c>
      <c r="H658" s="289">
        <f>VLOOKUP(A658,Import!A:J,8,0)</f>
        <v>11</v>
      </c>
      <c r="I658" s="289">
        <f>VLOOKUP(A658,Import!A:J,9,0)</f>
        <v>11</v>
      </c>
      <c r="J658" s="282">
        <f>VLOOKUP(A658,Import!A:J,10,0)</f>
        <v>0</v>
      </c>
      <c r="K658" s="244" t="str">
        <f>VLOOKUP(A658,Import!A:P,11,0)</f>
        <v>SAADET BAHAR ŞİRİNER</v>
      </c>
      <c r="L658" s="280">
        <v>2.22239058E9</v>
      </c>
      <c r="M658" s="244" t="s">
        <v>1450</v>
      </c>
      <c r="N658" s="244" t="s">
        <v>2732</v>
      </c>
      <c r="O658" s="244" t="s">
        <v>527</v>
      </c>
      <c r="P658" s="244" t="str">
        <f>VLOOKUP(A658,Import!A:P,16,0)</f>
        <v>Geleneksel</v>
      </c>
      <c r="Q658" s="291" t="s">
        <v>2660</v>
      </c>
      <c r="R658" s="292" t="b">
        <v>1</v>
      </c>
      <c r="S658" s="293" t="b">
        <v>0</v>
      </c>
      <c r="T658" s="165" t="s">
        <v>2714</v>
      </c>
      <c r="U658" s="165"/>
      <c r="V658" s="165" t="s">
        <v>3435</v>
      </c>
      <c r="W658" s="165" t="s">
        <v>4245</v>
      </c>
      <c r="X658" s="295">
        <v>44239.0</v>
      </c>
      <c r="Y658" s="295">
        <v>44245.0</v>
      </c>
      <c r="Z658" s="288"/>
      <c r="AA658" s="165" t="s">
        <v>2669</v>
      </c>
      <c r="AB658" s="295">
        <v>44497.0</v>
      </c>
      <c r="AC658" s="288"/>
      <c r="AD658" s="288"/>
      <c r="AE658" s="160"/>
      <c r="AF658" s="288"/>
      <c r="AG658" s="160"/>
      <c r="AH658" s="288"/>
      <c r="AI658" s="288"/>
      <c r="AJ658" s="288"/>
      <c r="AK658" s="165" t="s">
        <v>1715</v>
      </c>
      <c r="AL658" s="288"/>
      <c r="AM658" s="288"/>
      <c r="AN658" s="288"/>
      <c r="AO658" s="288"/>
      <c r="AP658" s="150" t="s">
        <v>2663</v>
      </c>
      <c r="AQ658" s="288"/>
    </row>
    <row r="659">
      <c r="A659" s="150" t="s">
        <v>2465</v>
      </c>
      <c r="B659" s="150" t="s">
        <v>2466</v>
      </c>
      <c r="C659" s="175" t="str">
        <f>VLOOKUP(A659,Import!A:C,3,false)</f>
        <v>DOĞRU</v>
      </c>
      <c r="D659" s="150" t="s">
        <v>2672</v>
      </c>
      <c r="E659" s="280">
        <f>VLOOKUP(A659,Import!A:J,5,0)</f>
        <v>2480</v>
      </c>
      <c r="F659" s="280">
        <f>VLOOKUP(A659,Import!A:J,6,0)</f>
        <v>387</v>
      </c>
      <c r="G659" s="289">
        <f>VLOOKUP(A659,Import!A:J,7,0)</f>
        <v>0</v>
      </c>
      <c r="H659" s="289">
        <f>VLOOKUP(A659,Import!A:J,8,0)</f>
        <v>10</v>
      </c>
      <c r="I659" s="289">
        <f>VLOOKUP(A659,Import!A:J,9,0)</f>
        <v>10</v>
      </c>
      <c r="J659" s="282">
        <f>VLOOKUP(A659,Import!A:J,10,0)</f>
        <v>0</v>
      </c>
      <c r="K659" s="290" t="s">
        <v>4246</v>
      </c>
      <c r="L659" s="150">
        <v>2.222399449E9</v>
      </c>
      <c r="M659" s="150" t="s">
        <v>1450</v>
      </c>
      <c r="N659" s="150" t="s">
        <v>3688</v>
      </c>
      <c r="O659" s="150" t="s">
        <v>2468</v>
      </c>
      <c r="P659" s="244" t="str">
        <f>VLOOKUP(A659,Import!A:P,16,0)</f>
        <v>Geleneksel</v>
      </c>
      <c r="Q659" s="291"/>
      <c r="R659" s="292" t="b">
        <v>1</v>
      </c>
      <c r="S659" s="293" t="b">
        <v>0</v>
      </c>
      <c r="T659" s="149" t="s">
        <v>2661</v>
      </c>
      <c r="U659" s="149" t="s">
        <v>819</v>
      </c>
      <c r="V659" s="301" t="s">
        <v>1609</v>
      </c>
      <c r="W659" s="384">
        <v>5.453929525E9</v>
      </c>
      <c r="X659" s="294">
        <v>44599.0</v>
      </c>
      <c r="Y659" s="294">
        <v>44600.0</v>
      </c>
      <c r="Z659" s="288"/>
      <c r="AA659" s="165" t="s">
        <v>2669</v>
      </c>
      <c r="AB659" s="295">
        <v>44599.0</v>
      </c>
      <c r="AC659" s="288"/>
      <c r="AD659" s="288"/>
      <c r="AE659" s="160"/>
      <c r="AF659" s="288"/>
      <c r="AG659" s="160"/>
      <c r="AH659" s="288"/>
      <c r="AI659" s="288"/>
      <c r="AJ659" s="288"/>
      <c r="AK659" s="165" t="s">
        <v>819</v>
      </c>
      <c r="AL659" s="288"/>
      <c r="AM659" s="288"/>
      <c r="AN659" s="288"/>
      <c r="AO659" s="165"/>
      <c r="AP659" s="150"/>
      <c r="AQ659" s="165"/>
    </row>
    <row r="660">
      <c r="A660" s="150" t="s">
        <v>1939</v>
      </c>
      <c r="B660" s="150" t="s">
        <v>1940</v>
      </c>
      <c r="C660" s="175" t="str">
        <f>VLOOKUP(A660,Import!A:C,3,false)</f>
        <v>DOĞRU</v>
      </c>
      <c r="D660" s="150" t="s">
        <v>2696</v>
      </c>
      <c r="E660" s="280">
        <f>VLOOKUP(A660,Import!A:J,5,0)</f>
        <v>838</v>
      </c>
      <c r="F660" s="280">
        <f>VLOOKUP(A660,Import!A:J,6,0)</f>
        <v>8</v>
      </c>
      <c r="G660" s="289">
        <f>VLOOKUP(A660,Import!A:J,7,0)</f>
        <v>6</v>
      </c>
      <c r="H660" s="289">
        <f>VLOOKUP(A660,Import!A:J,8,0)</f>
        <v>6</v>
      </c>
      <c r="I660" s="289">
        <f>VLOOKUP(A660,Import!A:J,9,0)</f>
        <v>12</v>
      </c>
      <c r="J660" s="282">
        <f>VLOOKUP(A660,Import!A:J,10,0)</f>
        <v>0.5</v>
      </c>
      <c r="K660" s="244" t="str">
        <f>VLOOKUP(A660,Import!A:P,11,0)</f>
        <v>Aynur Şener</v>
      </c>
      <c r="L660" s="150">
        <v>5.461380101E9</v>
      </c>
      <c r="M660" s="150" t="s">
        <v>2666</v>
      </c>
      <c r="N660" s="150" t="s">
        <v>2667</v>
      </c>
      <c r="O660" s="150" t="s">
        <v>4247</v>
      </c>
      <c r="P660" s="244" t="str">
        <f>VLOOKUP(A660,Import!A:P,16,0)</f>
        <v>Geleneksel</v>
      </c>
      <c r="Q660" s="291"/>
      <c r="R660" s="292" t="b">
        <v>1</v>
      </c>
      <c r="S660" s="293" t="b">
        <v>0</v>
      </c>
      <c r="T660" s="149" t="s">
        <v>2661</v>
      </c>
      <c r="U660" s="149" t="s">
        <v>1791</v>
      </c>
      <c r="V660" s="269" t="s">
        <v>1609</v>
      </c>
      <c r="W660" s="149" t="s">
        <v>4248</v>
      </c>
      <c r="X660" s="294">
        <v>44515.0</v>
      </c>
      <c r="Y660" s="294">
        <v>44516.0</v>
      </c>
      <c r="Z660" s="288"/>
      <c r="AA660" s="165" t="s">
        <v>2669</v>
      </c>
      <c r="AB660" s="295">
        <v>44515.0</v>
      </c>
      <c r="AC660" s="165" t="s">
        <v>2772</v>
      </c>
      <c r="AD660" s="295">
        <v>44543.0</v>
      </c>
      <c r="AE660" s="165" t="s">
        <v>2699</v>
      </c>
      <c r="AF660" s="295">
        <v>44209.0</v>
      </c>
      <c r="AG660" s="160"/>
      <c r="AH660" s="288"/>
      <c r="AI660" s="288"/>
      <c r="AJ660" s="288"/>
      <c r="AK660" s="165" t="s">
        <v>1791</v>
      </c>
      <c r="AL660" s="165" t="s">
        <v>921</v>
      </c>
      <c r="AM660" s="165" t="s">
        <v>1715</v>
      </c>
      <c r="AN660" s="288"/>
      <c r="AO660" s="288"/>
      <c r="AP660" s="150" t="s">
        <v>2663</v>
      </c>
      <c r="AQ660" s="288"/>
    </row>
    <row r="661">
      <c r="A661" s="150" t="s">
        <v>4249</v>
      </c>
      <c r="B661" s="150" t="s">
        <v>4250</v>
      </c>
      <c r="C661" s="175" t="str">
        <f>VLOOKUP(A661,Import!A:C,3,false)</f>
        <v>DOĞRU</v>
      </c>
      <c r="D661" s="150" t="s">
        <v>2672</v>
      </c>
      <c r="E661" s="280">
        <f>VLOOKUP(A661,Import!A:J,5,0)</f>
        <v>42</v>
      </c>
      <c r="F661" s="280">
        <f>VLOOKUP(A661,Import!A:J,6,0)</f>
        <v>42</v>
      </c>
      <c r="G661" s="289">
        <f>VLOOKUP(A661,Import!A:J,7,0)</f>
        <v>17</v>
      </c>
      <c r="H661" s="289">
        <f>VLOOKUP(A661,Import!A:J,8,0)</f>
        <v>20</v>
      </c>
      <c r="I661" s="289">
        <f>VLOOKUP(A661,Import!A:J,9,0)</f>
        <v>37</v>
      </c>
      <c r="J661" s="282">
        <f>VLOOKUP(A661,Import!A:J,10,0)</f>
        <v>0.46</v>
      </c>
      <c r="K661" s="290" t="s">
        <v>4251</v>
      </c>
      <c r="L661" s="150">
        <v>5.324408584E9</v>
      </c>
      <c r="M661" s="150" t="s">
        <v>1450</v>
      </c>
      <c r="N661" s="150" t="s">
        <v>2716</v>
      </c>
      <c r="O661" s="150" t="s">
        <v>4252</v>
      </c>
      <c r="P661" s="244" t="str">
        <f>VLOOKUP(A661,Import!A:P,16,0)</f>
        <v>Geleneksel</v>
      </c>
      <c r="Q661" s="291"/>
      <c r="R661" s="292" t="b">
        <v>1</v>
      </c>
      <c r="S661" s="292" t="b">
        <v>1</v>
      </c>
      <c r="T661" s="149"/>
      <c r="U661" s="296"/>
      <c r="V661" s="296"/>
      <c r="W661" s="149" t="s">
        <v>4253</v>
      </c>
      <c r="X661" s="297"/>
      <c r="Y661" s="297"/>
      <c r="Z661" s="288"/>
      <c r="AA661" s="165" t="s">
        <v>2669</v>
      </c>
      <c r="AB661" s="295">
        <v>44648.0</v>
      </c>
      <c r="AC661" s="288"/>
      <c r="AD661" s="288"/>
      <c r="AE661" s="160"/>
      <c r="AF661" s="288"/>
      <c r="AG661" s="160"/>
      <c r="AH661" s="288"/>
      <c r="AI661" s="288"/>
      <c r="AJ661" s="288"/>
      <c r="AK661" s="165" t="s">
        <v>1791</v>
      </c>
      <c r="AL661" s="288"/>
      <c r="AM661" s="288"/>
      <c r="AN661" s="288"/>
      <c r="AO661" s="165"/>
      <c r="AP661" s="150"/>
      <c r="AQ661" s="165"/>
    </row>
    <row r="662">
      <c r="A662" s="244" t="s">
        <v>814</v>
      </c>
      <c r="B662" s="244" t="s">
        <v>815</v>
      </c>
      <c r="C662" s="175" t="str">
        <f>VLOOKUP(A662,Import!A:C,3,false)</f>
        <v>DOĞRU</v>
      </c>
      <c r="D662" s="244" t="s">
        <v>2672</v>
      </c>
      <c r="E662" s="280">
        <f>VLOOKUP(A662,Import!A:J,5,0)</f>
        <v>1318</v>
      </c>
      <c r="F662" s="280">
        <f>VLOOKUP(A662,Import!A:J,6,0)</f>
        <v>20</v>
      </c>
      <c r="G662" s="289">
        <f>VLOOKUP(A662,Import!A:J,7,0)</f>
        <v>12</v>
      </c>
      <c r="H662" s="289">
        <f>VLOOKUP(A662,Import!A:J,8,0)</f>
        <v>4</v>
      </c>
      <c r="I662" s="289">
        <f>VLOOKUP(A662,Import!A:J,9,0)</f>
        <v>16</v>
      </c>
      <c r="J662" s="282">
        <f>VLOOKUP(A662,Import!A:J,10,0)</f>
        <v>0.75</v>
      </c>
      <c r="K662" s="244" t="str">
        <f>VLOOKUP(A662,Import!A:P,11,0)</f>
        <v>SİNAN ATİNAR</v>
      </c>
      <c r="L662" s="280">
        <v>2.222303726E9</v>
      </c>
      <c r="M662" s="244" t="s">
        <v>1450</v>
      </c>
      <c r="N662" s="244" t="s">
        <v>2700</v>
      </c>
      <c r="O662" s="244" t="s">
        <v>817</v>
      </c>
      <c r="P662" s="244" t="str">
        <f>VLOOKUP(A662,Import!A:P,16,0)</f>
        <v>Geleneksel</v>
      </c>
      <c r="Q662" s="291" t="s">
        <v>2686</v>
      </c>
      <c r="R662" s="292" t="b">
        <v>1</v>
      </c>
      <c r="S662" s="293" t="b">
        <v>0</v>
      </c>
      <c r="T662" s="165" t="s">
        <v>2661</v>
      </c>
      <c r="U662" s="165" t="s">
        <v>1791</v>
      </c>
      <c r="V662" s="149" t="s">
        <v>2835</v>
      </c>
      <c r="W662" s="165" t="s">
        <v>4254</v>
      </c>
      <c r="X662" s="295">
        <v>44582.0</v>
      </c>
      <c r="Y662" s="295">
        <v>44585.0</v>
      </c>
      <c r="Z662" s="288"/>
      <c r="AA662" s="165" t="s">
        <v>2669</v>
      </c>
      <c r="AB662" s="295">
        <v>44483.0</v>
      </c>
      <c r="AC662" s="165" t="s">
        <v>2669</v>
      </c>
      <c r="AD662" s="295">
        <v>44582.0</v>
      </c>
      <c r="AE662" s="160"/>
      <c r="AF662" s="288"/>
      <c r="AG662" s="160"/>
      <c r="AH662" s="288"/>
      <c r="AI662" s="288"/>
      <c r="AJ662" s="288"/>
      <c r="AK662" s="165" t="s">
        <v>943</v>
      </c>
      <c r="AL662" s="165" t="s">
        <v>1791</v>
      </c>
      <c r="AM662" s="288"/>
      <c r="AN662" s="288"/>
      <c r="AO662" s="288"/>
      <c r="AP662" s="150" t="s">
        <v>2663</v>
      </c>
      <c r="AQ662" s="288"/>
    </row>
    <row r="663">
      <c r="A663" s="150" t="s">
        <v>2273</v>
      </c>
      <c r="B663" s="150" t="s">
        <v>2274</v>
      </c>
      <c r="C663" s="175" t="str">
        <f>VLOOKUP(A663,Import!A:C,3,false)</f>
        <v>DOĞRU</v>
      </c>
      <c r="D663" s="150" t="s">
        <v>2904</v>
      </c>
      <c r="E663" s="280">
        <f>VLOOKUP(A663,Import!A:J,5,0)</f>
        <v>34</v>
      </c>
      <c r="F663" s="280" t="str">
        <f>VLOOKUP(A663,Import!A:J,6,0)</f>
        <v/>
      </c>
      <c r="G663" s="289">
        <f>VLOOKUP(A663,Import!A:J,7,0)</f>
        <v>0</v>
      </c>
      <c r="H663" s="289">
        <f>VLOOKUP(A663,Import!A:J,8,0)</f>
        <v>52</v>
      </c>
      <c r="I663" s="289">
        <f>VLOOKUP(A663,Import!A:J,9,0)</f>
        <v>52</v>
      </c>
      <c r="J663" s="282">
        <f>VLOOKUP(A663,Import!A:J,10,0)</f>
        <v>0</v>
      </c>
      <c r="K663" s="290" t="s">
        <v>4255</v>
      </c>
      <c r="L663" s="150">
        <v>5.068207704E9</v>
      </c>
      <c r="M663" s="150" t="s">
        <v>1450</v>
      </c>
      <c r="N663" s="150" t="s">
        <v>2659</v>
      </c>
      <c r="O663" s="150" t="s">
        <v>2276</v>
      </c>
      <c r="P663" s="244" t="str">
        <f>VLOOKUP(A663,Import!A:P,16,0)</f>
        <v>Geleneksel</v>
      </c>
      <c r="Q663" s="291"/>
      <c r="R663" s="292" t="b">
        <v>1</v>
      </c>
      <c r="S663" s="293" t="b">
        <v>0</v>
      </c>
      <c r="T663" s="149" t="s">
        <v>2688</v>
      </c>
      <c r="U663" s="149" t="s">
        <v>1717</v>
      </c>
      <c r="V663" s="149" t="s">
        <v>2835</v>
      </c>
      <c r="W663" s="302" t="s">
        <v>4256</v>
      </c>
      <c r="X663" s="294">
        <v>44558.0</v>
      </c>
      <c r="Y663" s="294">
        <v>44559.0</v>
      </c>
      <c r="Z663" s="288"/>
      <c r="AA663" s="165" t="s">
        <v>2669</v>
      </c>
      <c r="AB663" s="295">
        <v>44558.0</v>
      </c>
      <c r="AC663" s="165" t="s">
        <v>2772</v>
      </c>
      <c r="AD663" s="295">
        <v>44602.0</v>
      </c>
      <c r="AE663" s="160"/>
      <c r="AF663" s="288"/>
      <c r="AG663" s="160"/>
      <c r="AH663" s="288"/>
      <c r="AI663" s="288"/>
      <c r="AJ663" s="288"/>
      <c r="AK663" s="165" t="s">
        <v>1717</v>
      </c>
      <c r="AL663" s="165" t="s">
        <v>1621</v>
      </c>
      <c r="AM663" s="288"/>
      <c r="AN663" s="288"/>
      <c r="AO663" s="165"/>
      <c r="AP663" s="150"/>
      <c r="AQ663" s="165"/>
    </row>
    <row r="664">
      <c r="A664" s="147" t="s">
        <v>1353</v>
      </c>
      <c r="B664" s="147" t="s">
        <v>1354</v>
      </c>
      <c r="C664" s="175" t="str">
        <f>VLOOKUP(A664,Import!A:C,3,false)</f>
        <v>DOĞRU</v>
      </c>
      <c r="D664" s="147" t="s">
        <v>2701</v>
      </c>
      <c r="E664" s="280">
        <f>VLOOKUP(A664,Import!A:J,5,0)</f>
        <v>1249</v>
      </c>
      <c r="F664" s="280">
        <f>VLOOKUP(A664,Import!A:J,6,0)</f>
        <v>141</v>
      </c>
      <c r="G664" s="289">
        <f>VLOOKUP(A664,Import!A:J,7,0)</f>
        <v>16</v>
      </c>
      <c r="H664" s="289">
        <f>VLOOKUP(A664,Import!A:J,8,0)</f>
        <v>15</v>
      </c>
      <c r="I664" s="289">
        <f>VLOOKUP(A664,Import!A:J,9,0)</f>
        <v>31</v>
      </c>
      <c r="J664" s="282">
        <f>VLOOKUP(A664,Import!A:J,10,0)</f>
        <v>0.52</v>
      </c>
      <c r="K664" s="244" t="str">
        <f>VLOOKUP(A664,Import!A:P,11,0)</f>
        <v>Serap Usal</v>
      </c>
      <c r="L664" s="147">
        <v>5.432626772E9</v>
      </c>
      <c r="M664" s="147" t="s">
        <v>1450</v>
      </c>
      <c r="N664" s="147" t="s">
        <v>2716</v>
      </c>
      <c r="O664" s="147" t="s">
        <v>1356</v>
      </c>
      <c r="P664" s="244" t="str">
        <f>VLOOKUP(A664,Import!A:P,16,0)</f>
        <v>Geleneksel</v>
      </c>
      <c r="Q664" s="330"/>
      <c r="R664" s="292" t="b">
        <v>1</v>
      </c>
      <c r="S664" s="292" t="b">
        <v>0</v>
      </c>
      <c r="T664" s="149" t="s">
        <v>2661</v>
      </c>
      <c r="U664" s="149" t="s">
        <v>1715</v>
      </c>
      <c r="V664" s="296"/>
      <c r="W664" s="149" t="s">
        <v>4257</v>
      </c>
      <c r="X664" s="294">
        <v>44487.0</v>
      </c>
      <c r="Y664" s="294">
        <v>44488.0</v>
      </c>
      <c r="Z664" s="288"/>
      <c r="AA664" s="165" t="s">
        <v>2669</v>
      </c>
      <c r="AB664" s="295">
        <v>44487.0</v>
      </c>
      <c r="AC664" s="165" t="s">
        <v>2669</v>
      </c>
      <c r="AD664" s="295">
        <v>44509.0</v>
      </c>
      <c r="AE664" s="165" t="s">
        <v>2669</v>
      </c>
      <c r="AF664" s="295">
        <v>44539.0</v>
      </c>
      <c r="AG664" s="160"/>
      <c r="AH664" s="288"/>
      <c r="AI664" s="288"/>
      <c r="AJ664" s="288"/>
      <c r="AK664" s="165" t="s">
        <v>1715</v>
      </c>
      <c r="AL664" s="165" t="s">
        <v>943</v>
      </c>
      <c r="AM664" s="165" t="s">
        <v>1911</v>
      </c>
      <c r="AN664" s="288"/>
      <c r="AO664" s="288"/>
      <c r="AP664" s="150" t="s">
        <v>2663</v>
      </c>
      <c r="AQ664" s="288"/>
    </row>
    <row r="665">
      <c r="A665" s="150" t="s">
        <v>1803</v>
      </c>
      <c r="B665" s="150" t="s">
        <v>1804</v>
      </c>
      <c r="C665" s="175" t="str">
        <f>VLOOKUP(A665,Import!A:C,3,false)</f>
        <v>DOĞRU</v>
      </c>
      <c r="D665" s="150" t="s">
        <v>2701</v>
      </c>
      <c r="E665" s="280">
        <f>VLOOKUP(A665,Import!A:J,5,0)</f>
        <v>392</v>
      </c>
      <c r="F665" s="280">
        <f>VLOOKUP(A665,Import!A:J,6,0)</f>
        <v>51</v>
      </c>
      <c r="G665" s="289">
        <f>VLOOKUP(A665,Import!A:J,7,0)</f>
        <v>17</v>
      </c>
      <c r="H665" s="289">
        <f>VLOOKUP(A665,Import!A:J,8,0)</f>
        <v>25</v>
      </c>
      <c r="I665" s="289">
        <f>VLOOKUP(A665,Import!A:J,9,0)</f>
        <v>42</v>
      </c>
      <c r="J665" s="282">
        <f>VLOOKUP(A665,Import!A:J,10,0)</f>
        <v>0.4</v>
      </c>
      <c r="K665" s="244" t="str">
        <f>VLOOKUP(A665,Import!A:P,11,0)</f>
        <v>MESUT YILMAZ</v>
      </c>
      <c r="L665" s="150">
        <v>2.222217999E9</v>
      </c>
      <c r="M665" s="150" t="s">
        <v>2666</v>
      </c>
      <c r="N665" s="150" t="s">
        <v>2711</v>
      </c>
      <c r="O665" s="150" t="s">
        <v>555</v>
      </c>
      <c r="P665" s="244" t="str">
        <f>VLOOKUP(A665,Import!A:P,16,0)</f>
        <v>Geleneksel</v>
      </c>
      <c r="Q665" s="291"/>
      <c r="R665" s="292" t="b">
        <v>1</v>
      </c>
      <c r="S665" s="293" t="b">
        <v>0</v>
      </c>
      <c r="T665" s="149" t="s">
        <v>2661</v>
      </c>
      <c r="U665" s="149" t="s">
        <v>819</v>
      </c>
      <c r="V665" s="301" t="s">
        <v>1609</v>
      </c>
      <c r="W665" s="149" t="s">
        <v>4258</v>
      </c>
      <c r="X665" s="294">
        <v>44503.0</v>
      </c>
      <c r="Y665" s="294">
        <v>44508.0</v>
      </c>
      <c r="Z665" s="288"/>
      <c r="AA665" s="165" t="s">
        <v>2669</v>
      </c>
      <c r="AB665" s="295">
        <v>44496.0</v>
      </c>
      <c r="AC665" s="165" t="s">
        <v>2688</v>
      </c>
      <c r="AD665" s="295">
        <v>44496.0</v>
      </c>
      <c r="AE665" s="165" t="s">
        <v>2669</v>
      </c>
      <c r="AF665" s="295">
        <v>44503.0</v>
      </c>
      <c r="AG665" s="165" t="s">
        <v>2772</v>
      </c>
      <c r="AH665" s="295">
        <v>44543.0</v>
      </c>
      <c r="AI665" s="288"/>
      <c r="AJ665" s="288"/>
      <c r="AK665" s="165" t="s">
        <v>819</v>
      </c>
      <c r="AL665" s="165" t="s">
        <v>819</v>
      </c>
      <c r="AM665" s="165" t="s">
        <v>819</v>
      </c>
      <c r="AN665" s="165" t="s">
        <v>921</v>
      </c>
      <c r="AO665" s="288"/>
      <c r="AP665" s="150" t="s">
        <v>2663</v>
      </c>
      <c r="AQ665" s="288"/>
    </row>
    <row r="666">
      <c r="A666" s="150" t="s">
        <v>4259</v>
      </c>
      <c r="B666" s="150" t="s">
        <v>4260</v>
      </c>
      <c r="C666" s="175" t="str">
        <f>VLOOKUP(A666,Import!A:C,3,false)</f>
        <v>DOĞRU</v>
      </c>
      <c r="D666" s="150" t="s">
        <v>2904</v>
      </c>
      <c r="E666" s="280">
        <f>VLOOKUP(A666,Import!A:J,5,0)</f>
        <v>829</v>
      </c>
      <c r="F666" s="280" t="str">
        <f>VLOOKUP(A666,Import!A:J,6,0)</f>
        <v/>
      </c>
      <c r="G666" s="289">
        <f>VLOOKUP(A666,Import!A:J,7,0)</f>
        <v>0</v>
      </c>
      <c r="H666" s="289">
        <f>VLOOKUP(A666,Import!A:J,8,0)</f>
        <v>22</v>
      </c>
      <c r="I666" s="289">
        <f>VLOOKUP(A666,Import!A:J,9,0)</f>
        <v>22</v>
      </c>
      <c r="J666" s="282">
        <f>VLOOKUP(A666,Import!A:J,10,0)</f>
        <v>0</v>
      </c>
      <c r="K666" s="244" t="str">
        <f>VLOOKUP(A666,Import!A:P,11,0)</f>
        <v>İLKER AHMET TATLIDİL</v>
      </c>
      <c r="L666" s="150">
        <v>2.222347524E9</v>
      </c>
      <c r="M666" s="150" t="s">
        <v>1450</v>
      </c>
      <c r="N666" s="150" t="s">
        <v>2716</v>
      </c>
      <c r="O666" s="150" t="s">
        <v>4261</v>
      </c>
      <c r="P666" s="244" t="str">
        <f>VLOOKUP(A666,Import!A:P,16,0)</f>
        <v>Geleneksel</v>
      </c>
      <c r="Q666" s="291"/>
      <c r="R666" s="292" t="b">
        <v>1</v>
      </c>
      <c r="S666" s="293" t="b">
        <v>0</v>
      </c>
      <c r="T666" s="149" t="s">
        <v>2714</v>
      </c>
      <c r="U666" s="296"/>
      <c r="V666" s="296"/>
      <c r="W666" s="149" t="s">
        <v>4262</v>
      </c>
      <c r="X666" s="297"/>
      <c r="Y666" s="297"/>
      <c r="Z666" s="288"/>
      <c r="AA666" s="165" t="s">
        <v>2669</v>
      </c>
      <c r="AB666" s="295">
        <v>44487.0</v>
      </c>
      <c r="AC666" s="165" t="s">
        <v>2699</v>
      </c>
      <c r="AD666" s="295">
        <v>44509.0</v>
      </c>
      <c r="AE666" s="165" t="s">
        <v>2699</v>
      </c>
      <c r="AF666" s="295">
        <v>44582.0</v>
      </c>
      <c r="AG666" s="160"/>
      <c r="AH666" s="288"/>
      <c r="AI666" s="288"/>
      <c r="AJ666" s="288"/>
      <c r="AK666" s="165" t="s">
        <v>1715</v>
      </c>
      <c r="AL666" s="165" t="s">
        <v>1791</v>
      </c>
      <c r="AM666" s="165" t="s">
        <v>1791</v>
      </c>
      <c r="AN666" s="288"/>
      <c r="AO666" s="288"/>
      <c r="AP666" s="150" t="s">
        <v>2663</v>
      </c>
      <c r="AQ666" s="288"/>
    </row>
    <row r="667">
      <c r="A667" s="150" t="s">
        <v>2162</v>
      </c>
      <c r="B667" s="150" t="s">
        <v>2163</v>
      </c>
      <c r="C667" s="175" t="str">
        <f>VLOOKUP(A667,Import!A:C,3,false)</f>
        <v>DOĞRU</v>
      </c>
      <c r="D667" s="150" t="s">
        <v>2773</v>
      </c>
      <c r="E667" s="280">
        <f>VLOOKUP(A667,Import!A:J,5,0)</f>
        <v>138</v>
      </c>
      <c r="F667" s="280">
        <f>VLOOKUP(A667,Import!A:J,6,0)</f>
        <v>15</v>
      </c>
      <c r="G667" s="289">
        <f>VLOOKUP(A667,Import!A:J,7,0)</f>
        <v>7</v>
      </c>
      <c r="H667" s="289">
        <f>VLOOKUP(A667,Import!A:J,8,0)</f>
        <v>3</v>
      </c>
      <c r="I667" s="289">
        <f>VLOOKUP(A667,Import!A:J,9,0)</f>
        <v>10</v>
      </c>
      <c r="J667" s="282">
        <f>VLOOKUP(A667,Import!A:J,10,0)</f>
        <v>0.7</v>
      </c>
      <c r="K667" s="290" t="s">
        <v>4263</v>
      </c>
      <c r="L667" s="150">
        <v>5.446316829E9</v>
      </c>
      <c r="M667" s="150" t="s">
        <v>1450</v>
      </c>
      <c r="N667" s="150" t="s">
        <v>2716</v>
      </c>
      <c r="O667" s="150" t="s">
        <v>2165</v>
      </c>
      <c r="P667" s="244" t="str">
        <f>VLOOKUP(A667,Import!A:P,16,0)</f>
        <v>Geleneksel</v>
      </c>
      <c r="Q667" s="291"/>
      <c r="R667" s="292" t="b">
        <v>1</v>
      </c>
      <c r="S667" s="293" t="b">
        <v>0</v>
      </c>
      <c r="T667" s="149" t="s">
        <v>2661</v>
      </c>
      <c r="U667" s="149" t="s">
        <v>2161</v>
      </c>
      <c r="V667" s="383" t="s">
        <v>1609</v>
      </c>
      <c r="W667" s="149"/>
      <c r="X667" s="294">
        <v>44541.0</v>
      </c>
      <c r="Y667" s="294">
        <v>44544.0</v>
      </c>
      <c r="Z667" s="288"/>
      <c r="AA667" s="165" t="s">
        <v>2669</v>
      </c>
      <c r="AB667" s="295">
        <v>44541.0</v>
      </c>
      <c r="AC667" s="288"/>
      <c r="AD667" s="288"/>
      <c r="AE667" s="160"/>
      <c r="AF667" s="288"/>
      <c r="AG667" s="160"/>
      <c r="AH667" s="288"/>
      <c r="AI667" s="288"/>
      <c r="AJ667" s="288"/>
      <c r="AK667" s="165" t="s">
        <v>2161</v>
      </c>
      <c r="AL667" s="288"/>
      <c r="AM667" s="288"/>
      <c r="AN667" s="288"/>
      <c r="AO667" s="165"/>
      <c r="AP667" s="150" t="s">
        <v>2663</v>
      </c>
      <c r="AQ667" s="165"/>
    </row>
    <row r="668">
      <c r="A668" s="147" t="s">
        <v>4264</v>
      </c>
      <c r="B668" s="147" t="s">
        <v>4265</v>
      </c>
      <c r="C668" s="175" t="str">
        <f>VLOOKUP(A668,Import!A:C,3,false)</f>
        <v>DOĞRU</v>
      </c>
      <c r="D668" s="147" t="s">
        <v>3419</v>
      </c>
      <c r="E668" s="280">
        <f>VLOOKUP(A668,Import!A:J,5,0)</f>
        <v>1894</v>
      </c>
      <c r="F668" s="280">
        <f>VLOOKUP(A668,Import!A:J,6,0)</f>
        <v>96</v>
      </c>
      <c r="G668" s="289">
        <f>VLOOKUP(A668,Import!A:J,7,0)</f>
        <v>29</v>
      </c>
      <c r="H668" s="289">
        <f>VLOOKUP(A668,Import!A:J,8,0)</f>
        <v>17</v>
      </c>
      <c r="I668" s="289">
        <f>VLOOKUP(A668,Import!A:J,9,0)</f>
        <v>46</v>
      </c>
      <c r="J668" s="282">
        <f>VLOOKUP(A668,Import!A:J,10,0)</f>
        <v>0.63</v>
      </c>
      <c r="K668" s="244" t="str">
        <f>VLOOKUP(A668,Import!A:P,11,0)</f>
        <v>Mehmet Çoban</v>
      </c>
      <c r="L668" s="147">
        <v>2.223228483E9</v>
      </c>
      <c r="M668" s="147" t="s">
        <v>1450</v>
      </c>
      <c r="N668" s="147" t="s">
        <v>2782</v>
      </c>
      <c r="O668" s="147" t="s">
        <v>3796</v>
      </c>
      <c r="P668" s="244" t="str">
        <f>VLOOKUP(A668,Import!A:P,16,0)</f>
        <v>Geleneksel</v>
      </c>
      <c r="Q668" s="330"/>
      <c r="T668" s="149" t="s">
        <v>2925</v>
      </c>
      <c r="U668" s="296"/>
      <c r="V668" s="296"/>
      <c r="W668" s="149" t="s">
        <v>4266</v>
      </c>
      <c r="X668" s="297"/>
      <c r="Y668" s="297"/>
      <c r="Z668" s="288"/>
      <c r="AA668" s="288"/>
      <c r="AB668" s="288"/>
      <c r="AC668" s="288"/>
      <c r="AD668" s="288"/>
      <c r="AE668" s="160"/>
      <c r="AF668" s="288"/>
      <c r="AG668" s="160"/>
      <c r="AH668" s="288"/>
      <c r="AI668" s="288"/>
      <c r="AJ668" s="288"/>
      <c r="AK668" s="288"/>
      <c r="AL668" s="288"/>
      <c r="AM668" s="288"/>
      <c r="AN668" s="288"/>
      <c r="AO668" s="288"/>
      <c r="AP668" s="150" t="s">
        <v>2663</v>
      </c>
      <c r="AQ668" s="288"/>
    </row>
    <row r="669">
      <c r="A669" s="150" t="s">
        <v>4267</v>
      </c>
      <c r="B669" s="150" t="s">
        <v>4268</v>
      </c>
      <c r="C669" s="175" t="str">
        <f>VLOOKUP(A669,Import!A:C,3,false)</f>
        <v>DOĞRU</v>
      </c>
      <c r="D669" s="150" t="s">
        <v>2867</v>
      </c>
      <c r="E669" s="280">
        <f>VLOOKUP(A669,Import!A:J,5,0)</f>
        <v>296</v>
      </c>
      <c r="F669" s="280">
        <f>VLOOKUP(A669,Import!A:J,6,0)</f>
        <v>44</v>
      </c>
      <c r="G669" s="289">
        <f>VLOOKUP(A669,Import!A:J,7,0)</f>
        <v>2</v>
      </c>
      <c r="H669" s="289">
        <f>VLOOKUP(A669,Import!A:J,8,0)</f>
        <v>19</v>
      </c>
      <c r="I669" s="289">
        <f>VLOOKUP(A669,Import!A:J,9,0)</f>
        <v>21</v>
      </c>
      <c r="J669" s="282">
        <f>VLOOKUP(A669,Import!A:J,10,0)</f>
        <v>0.1</v>
      </c>
      <c r="K669" s="290" t="s">
        <v>2997</v>
      </c>
      <c r="L669" s="150">
        <v>5.524809173E9</v>
      </c>
      <c r="M669" s="150" t="s">
        <v>1450</v>
      </c>
      <c r="N669" s="150" t="s">
        <v>2716</v>
      </c>
      <c r="O669" s="150" t="s">
        <v>2998</v>
      </c>
      <c r="P669" s="244" t="str">
        <f>VLOOKUP(A669,Import!A:P,16,0)</f>
        <v>Geleneksel</v>
      </c>
      <c r="Q669" s="291"/>
      <c r="R669" s="292" t="b">
        <v>1</v>
      </c>
      <c r="S669" s="292" t="b">
        <v>1</v>
      </c>
      <c r="T669" s="149"/>
      <c r="U669" s="296"/>
      <c r="V669" s="296"/>
      <c r="W669" s="149" t="s">
        <v>2999</v>
      </c>
      <c r="X669" s="297"/>
      <c r="Y669" s="297"/>
      <c r="Z669" s="288"/>
      <c r="AA669" s="165" t="s">
        <v>2669</v>
      </c>
      <c r="AB669" s="295">
        <v>44599.0</v>
      </c>
      <c r="AC669" s="288"/>
      <c r="AD669" s="288"/>
      <c r="AE669" s="160"/>
      <c r="AF669" s="288"/>
      <c r="AG669" s="160"/>
      <c r="AH669" s="288"/>
      <c r="AI669" s="288"/>
      <c r="AJ669" s="288"/>
      <c r="AK669" s="165" t="s">
        <v>819</v>
      </c>
      <c r="AL669" s="288"/>
      <c r="AM669" s="288"/>
      <c r="AN669" s="288"/>
      <c r="AO669" s="165"/>
      <c r="AP669" s="150"/>
      <c r="AQ669" s="165"/>
    </row>
    <row r="670">
      <c r="A670" s="150" t="s">
        <v>4269</v>
      </c>
      <c r="B670" s="150" t="s">
        <v>4270</v>
      </c>
      <c r="C670" s="175" t="str">
        <f>VLOOKUP(A670,Import!A:C,3,false)</f>
        <v>DOĞRU</v>
      </c>
      <c r="D670" s="150" t="s">
        <v>2867</v>
      </c>
      <c r="E670" s="280">
        <f>VLOOKUP(A670,Import!A:J,5,0)</f>
        <v>1071</v>
      </c>
      <c r="F670" s="280">
        <f>VLOOKUP(A670,Import!A:J,6,0)</f>
        <v>264</v>
      </c>
      <c r="G670" s="289">
        <f>VLOOKUP(A670,Import!A:J,7,0)</f>
        <v>0</v>
      </c>
      <c r="H670" s="289">
        <f>VLOOKUP(A670,Import!A:J,8,0)</f>
        <v>52</v>
      </c>
      <c r="I670" s="289">
        <f>VLOOKUP(A670,Import!A:J,9,0)</f>
        <v>52</v>
      </c>
      <c r="J670" s="282">
        <f>VLOOKUP(A670,Import!A:J,10,0)</f>
        <v>0</v>
      </c>
      <c r="K670" s="290" t="s">
        <v>3032</v>
      </c>
      <c r="L670" s="150">
        <v>5.461032626E9</v>
      </c>
      <c r="M670" s="150" t="s">
        <v>2666</v>
      </c>
      <c r="N670" s="150" t="s">
        <v>2801</v>
      </c>
      <c r="O670" s="150" t="s">
        <v>3033</v>
      </c>
      <c r="P670" s="244" t="str">
        <f>VLOOKUP(A670,Import!A:P,16,0)</f>
        <v>Geleneksel</v>
      </c>
      <c r="Q670" s="291"/>
      <c r="R670" s="292" t="b">
        <v>1</v>
      </c>
      <c r="S670" s="292" t="b">
        <v>1</v>
      </c>
      <c r="T670" s="149"/>
      <c r="U670" s="296"/>
      <c r="V670" s="296"/>
      <c r="W670" s="149" t="s">
        <v>4271</v>
      </c>
      <c r="X670" s="297"/>
      <c r="Y670" s="297"/>
      <c r="Z670" s="288"/>
      <c r="AA670" s="165" t="s">
        <v>2669</v>
      </c>
      <c r="AB670" s="295">
        <v>44596.0</v>
      </c>
      <c r="AC670" s="288"/>
      <c r="AD670" s="288"/>
      <c r="AE670" s="160"/>
      <c r="AF670" s="288"/>
      <c r="AG670" s="160"/>
      <c r="AH670" s="288"/>
      <c r="AI670" s="288"/>
      <c r="AJ670" s="288"/>
      <c r="AK670" s="165" t="s">
        <v>819</v>
      </c>
      <c r="AL670" s="288"/>
      <c r="AM670" s="288"/>
      <c r="AN670" s="288"/>
      <c r="AO670" s="165"/>
      <c r="AP670" s="150"/>
      <c r="AQ670" s="165"/>
    </row>
    <row r="671">
      <c r="A671" s="147" t="s">
        <v>4272</v>
      </c>
      <c r="B671" s="147" t="s">
        <v>4273</v>
      </c>
      <c r="C671" s="175" t="str">
        <f>VLOOKUP(A671,Import!A:C,3,false)</f>
        <v>YANLIŞ</v>
      </c>
      <c r="D671" s="147" t="s">
        <v>2867</v>
      </c>
      <c r="E671" s="280">
        <f>VLOOKUP(A671,Import!A:J,5,0)</f>
        <v>34</v>
      </c>
      <c r="F671" s="280" t="str">
        <f>VLOOKUP(A671,Import!A:J,6,0)</f>
        <v/>
      </c>
      <c r="G671" s="289">
        <f>VLOOKUP(A671,Import!A:J,7,0)</f>
        <v>0</v>
      </c>
      <c r="H671" s="289">
        <f>VLOOKUP(A671,Import!A:J,8,0)</f>
        <v>78</v>
      </c>
      <c r="I671" s="289">
        <f>VLOOKUP(A671,Import!A:J,9,0)</f>
        <v>78</v>
      </c>
      <c r="J671" s="282">
        <f>VLOOKUP(A671,Import!A:J,10,0)</f>
        <v>0</v>
      </c>
      <c r="K671" s="244" t="str">
        <f>VLOOKUP(A671,Import!A:P,11,0)</f>
        <v>Ayberk Yıldız</v>
      </c>
      <c r="L671" s="147">
        <v>5.050390158E9</v>
      </c>
      <c r="M671" s="147" t="s">
        <v>2666</v>
      </c>
      <c r="N671" s="147" t="s">
        <v>2667</v>
      </c>
      <c r="O671" s="147" t="s">
        <v>4274</v>
      </c>
      <c r="P671" s="244" t="str">
        <f>VLOOKUP(A671,Import!A:P,16,0)</f>
        <v>Geleneksel</v>
      </c>
      <c r="Q671" s="330"/>
      <c r="R671" s="335" t="b">
        <v>1</v>
      </c>
      <c r="S671" s="292" t="b">
        <v>1</v>
      </c>
      <c r="T671" s="296"/>
      <c r="U671" s="296"/>
      <c r="V671" s="296"/>
      <c r="W671" s="149" t="s">
        <v>4100</v>
      </c>
      <c r="X671" s="297"/>
      <c r="Y671" s="297"/>
      <c r="Z671" s="288"/>
      <c r="AA671" s="165" t="s">
        <v>2669</v>
      </c>
      <c r="AB671" s="295">
        <v>44517.0</v>
      </c>
      <c r="AC671" s="288"/>
      <c r="AD671" s="288"/>
      <c r="AE671" s="160"/>
      <c r="AF671" s="288"/>
      <c r="AG671" s="160"/>
      <c r="AH671" s="288"/>
      <c r="AI671" s="288"/>
      <c r="AJ671" s="288"/>
      <c r="AK671" s="165" t="s">
        <v>1971</v>
      </c>
      <c r="AL671" s="288"/>
      <c r="AM671" s="288"/>
      <c r="AN671" s="288"/>
      <c r="AO671" s="288"/>
      <c r="AP671" s="150" t="s">
        <v>2663</v>
      </c>
      <c r="AQ671" s="288"/>
    </row>
    <row r="672">
      <c r="A672" s="150" t="s">
        <v>4275</v>
      </c>
      <c r="B672" s="150" t="s">
        <v>4276</v>
      </c>
      <c r="C672" s="175" t="str">
        <f>VLOOKUP(A672,Import!A:C,3,false)</f>
        <v>DOĞRU</v>
      </c>
      <c r="D672" s="150" t="s">
        <v>2672</v>
      </c>
      <c r="E672" s="280">
        <f>VLOOKUP(A672,Import!A:J,5,0)</f>
        <v>279</v>
      </c>
      <c r="F672" s="280">
        <f>VLOOKUP(A672,Import!A:J,6,0)</f>
        <v>15</v>
      </c>
      <c r="G672" s="289">
        <f>VLOOKUP(A672,Import!A:J,7,0)</f>
        <v>0</v>
      </c>
      <c r="H672" s="289">
        <f>VLOOKUP(A672,Import!A:J,8,0)</f>
        <v>6</v>
      </c>
      <c r="I672" s="289">
        <f>VLOOKUP(A672,Import!A:J,9,0)</f>
        <v>6</v>
      </c>
      <c r="J672" s="282">
        <f>VLOOKUP(A672,Import!A:J,10,0)</f>
        <v>0</v>
      </c>
      <c r="K672" s="290" t="s">
        <v>4277</v>
      </c>
      <c r="L672" s="150">
        <v>2.223357036E9</v>
      </c>
      <c r="M672" s="150" t="s">
        <v>2666</v>
      </c>
      <c r="N672" s="150" t="s">
        <v>2750</v>
      </c>
      <c r="O672" s="150" t="s">
        <v>4278</v>
      </c>
      <c r="P672" s="244" t="str">
        <f>VLOOKUP(A672,Import!A:P,16,0)</f>
        <v>Geleneksel</v>
      </c>
      <c r="Q672" s="291"/>
      <c r="R672" s="292" t="b">
        <v>1</v>
      </c>
      <c r="S672" s="293" t="b">
        <v>0</v>
      </c>
      <c r="T672" s="149" t="s">
        <v>2693</v>
      </c>
      <c r="U672" s="296"/>
      <c r="V672" s="296"/>
      <c r="W672" s="149" t="s">
        <v>3133</v>
      </c>
      <c r="X672" s="297"/>
      <c r="Y672" s="297"/>
      <c r="Z672" s="288"/>
      <c r="AA672" s="165" t="s">
        <v>2693</v>
      </c>
      <c r="AB672" s="295">
        <v>44543.0</v>
      </c>
      <c r="AC672" s="165" t="s">
        <v>2693</v>
      </c>
      <c r="AD672" s="295">
        <v>44554.0</v>
      </c>
      <c r="AE672" s="165" t="s">
        <v>2772</v>
      </c>
      <c r="AF672" s="295">
        <v>44625.0</v>
      </c>
      <c r="AG672" s="160"/>
      <c r="AH672" s="288"/>
      <c r="AI672" s="288"/>
      <c r="AJ672" s="288"/>
      <c r="AK672" s="165" t="s">
        <v>921</v>
      </c>
      <c r="AL672" s="165" t="s">
        <v>1911</v>
      </c>
      <c r="AM672" s="165" t="s">
        <v>921</v>
      </c>
      <c r="AN672" s="288"/>
      <c r="AO672" s="165"/>
      <c r="AP672" s="150" t="s">
        <v>2663</v>
      </c>
      <c r="AQ672" s="165"/>
    </row>
    <row r="673">
      <c r="A673" s="150" t="s">
        <v>4279</v>
      </c>
      <c r="B673" s="150" t="s">
        <v>4280</v>
      </c>
      <c r="C673" s="175" t="str">
        <f>VLOOKUP(A673,Import!A:C,3,false)</f>
        <v>DOĞRU</v>
      </c>
      <c r="D673" s="150" t="s">
        <v>2724</v>
      </c>
      <c r="E673" s="280">
        <f>VLOOKUP(A673,Import!A:J,5,0)</f>
        <v>9030</v>
      </c>
      <c r="F673" s="280">
        <f>VLOOKUP(A673,Import!A:J,6,0)</f>
        <v>279</v>
      </c>
      <c r="G673" s="289">
        <f>VLOOKUP(A673,Import!A:J,7,0)</f>
        <v>102</v>
      </c>
      <c r="H673" s="289">
        <f>VLOOKUP(A673,Import!A:J,8,0)</f>
        <v>2</v>
      </c>
      <c r="I673" s="289">
        <f>VLOOKUP(A673,Import!A:J,9,0)</f>
        <v>104</v>
      </c>
      <c r="J673" s="282">
        <f>VLOOKUP(A673,Import!A:J,10,0)</f>
        <v>0.98</v>
      </c>
      <c r="K673" s="244" t="str">
        <f>VLOOKUP(A673,Import!A:P,11,0)</f>
        <v>Muhammed Tozlu</v>
      </c>
      <c r="L673" s="150">
        <v>2.223330177E9</v>
      </c>
      <c r="M673" s="150" t="s">
        <v>1450</v>
      </c>
      <c r="N673" s="150" t="s">
        <v>2950</v>
      </c>
      <c r="O673" s="150" t="s">
        <v>4281</v>
      </c>
      <c r="P673" s="244" t="str">
        <f>VLOOKUP(A673,Import!A:P,16,0)</f>
        <v>Key</v>
      </c>
      <c r="Q673" s="315" t="s">
        <v>2713</v>
      </c>
      <c r="R673" s="293" t="b">
        <v>0</v>
      </c>
      <c r="S673" s="293" t="b">
        <v>0</v>
      </c>
      <c r="T673" s="149" t="s">
        <v>2925</v>
      </c>
      <c r="U673" s="296"/>
      <c r="V673" s="296"/>
      <c r="X673" s="297"/>
      <c r="Y673" s="297"/>
      <c r="Z673" s="288"/>
      <c r="AA673" s="288"/>
      <c r="AB673" s="288"/>
      <c r="AC673" s="288"/>
      <c r="AD673" s="288"/>
      <c r="AE673" s="160"/>
      <c r="AF673" s="288"/>
      <c r="AG673" s="160"/>
      <c r="AH673" s="288"/>
      <c r="AI673" s="288"/>
      <c r="AJ673" s="288"/>
      <c r="AK673" s="288"/>
      <c r="AL673" s="288"/>
      <c r="AM673" s="288"/>
      <c r="AN673" s="288"/>
      <c r="AO673" s="288"/>
      <c r="AP673" s="150" t="s">
        <v>3258</v>
      </c>
      <c r="AQ673" s="288"/>
    </row>
    <row r="674">
      <c r="A674" s="150" t="s">
        <v>1745</v>
      </c>
      <c r="B674" s="150" t="s">
        <v>1746</v>
      </c>
      <c r="C674" s="175" t="str">
        <f>VLOOKUP(A674,Import!A:C,3,false)</f>
        <v>DOĞRU</v>
      </c>
      <c r="D674" s="150" t="s">
        <v>2664</v>
      </c>
      <c r="E674" s="280">
        <f>VLOOKUP(A674,Import!A:J,5,0)</f>
        <v>7138</v>
      </c>
      <c r="F674" s="280">
        <f>VLOOKUP(A674,Import!A:J,6,0)</f>
        <v>532</v>
      </c>
      <c r="G674" s="289">
        <f>VLOOKUP(A674,Import!A:J,7,0)</f>
        <v>6</v>
      </c>
      <c r="H674" s="289">
        <f>VLOOKUP(A674,Import!A:J,8,0)</f>
        <v>8</v>
      </c>
      <c r="I674" s="289">
        <f>VLOOKUP(A674,Import!A:J,9,0)</f>
        <v>14</v>
      </c>
      <c r="J674" s="282">
        <f>VLOOKUP(A674,Import!A:J,10,0)</f>
        <v>0.43</v>
      </c>
      <c r="K674" s="244" t="str">
        <f>VLOOKUP(A674,Import!A:P,11,0)</f>
        <v>SELİM EROĞLU</v>
      </c>
      <c r="L674" s="150">
        <v>5.071366718E9</v>
      </c>
      <c r="M674" s="150" t="s">
        <v>2666</v>
      </c>
      <c r="N674" s="150" t="s">
        <v>2682</v>
      </c>
      <c r="O674" s="150" t="s">
        <v>1207</v>
      </c>
      <c r="P674" s="244" t="str">
        <f>VLOOKUP(A674,Import!A:P,16,0)</f>
        <v>Geleneksel</v>
      </c>
      <c r="Q674" s="291"/>
      <c r="R674" s="292" t="b">
        <v>1</v>
      </c>
      <c r="S674" s="293" t="b">
        <v>0</v>
      </c>
      <c r="T674" s="149" t="s">
        <v>2661</v>
      </c>
      <c r="U674" s="149" t="s">
        <v>1717</v>
      </c>
      <c r="V674" s="396" t="s">
        <v>1609</v>
      </c>
      <c r="W674" s="149">
        <v>5.370289479E9</v>
      </c>
      <c r="X674" s="294">
        <v>44489.0</v>
      </c>
      <c r="Y674" s="294">
        <v>44490.0</v>
      </c>
      <c r="Z674" s="288"/>
      <c r="AA674" s="165" t="s">
        <v>2693</v>
      </c>
      <c r="AB674" s="295">
        <v>44489.0</v>
      </c>
      <c r="AC674" s="165" t="s">
        <v>2669</v>
      </c>
      <c r="AD674" s="295">
        <v>44489.0</v>
      </c>
      <c r="AE674" s="165" t="s">
        <v>2693</v>
      </c>
      <c r="AF674" s="295">
        <v>44543.0</v>
      </c>
      <c r="AG674" s="160"/>
      <c r="AH674" s="288"/>
      <c r="AI674" s="288"/>
      <c r="AJ674" s="288"/>
      <c r="AK674" s="165" t="s">
        <v>1717</v>
      </c>
      <c r="AL674" s="165" t="s">
        <v>1717</v>
      </c>
      <c r="AM674" s="165" t="s">
        <v>921</v>
      </c>
      <c r="AN674" s="288"/>
      <c r="AO674" s="288"/>
      <c r="AP674" s="150" t="s">
        <v>2663</v>
      </c>
      <c r="AQ674" s="288"/>
    </row>
    <row r="675">
      <c r="A675" s="150" t="s">
        <v>4282</v>
      </c>
      <c r="B675" s="150" t="s">
        <v>4283</v>
      </c>
      <c r="C675" s="175" t="str">
        <f>VLOOKUP(A675,Import!A:C,3,false)</f>
        <v>DOĞRU</v>
      </c>
      <c r="D675" s="150" t="s">
        <v>2701</v>
      </c>
      <c r="E675" s="280">
        <f>VLOOKUP(A675,Import!A:J,5,0)</f>
        <v>858</v>
      </c>
      <c r="F675" s="280">
        <f>VLOOKUP(A675,Import!A:J,6,0)</f>
        <v>64</v>
      </c>
      <c r="G675" s="289">
        <f>VLOOKUP(A675,Import!A:J,7,0)</f>
        <v>17</v>
      </c>
      <c r="H675" s="289">
        <f>VLOOKUP(A675,Import!A:J,8,0)</f>
        <v>29</v>
      </c>
      <c r="I675" s="289">
        <f>VLOOKUP(A675,Import!A:J,9,0)</f>
        <v>46</v>
      </c>
      <c r="J675" s="282">
        <f>VLOOKUP(A675,Import!A:J,10,0)</f>
        <v>0.37</v>
      </c>
      <c r="K675" s="244" t="str">
        <f>VLOOKUP(A675,Import!A:P,11,0)</f>
        <v>Yasin Ahmet Torun</v>
      </c>
      <c r="L675" s="150">
        <v>5.366780926E9</v>
      </c>
      <c r="M675" s="150" t="s">
        <v>2666</v>
      </c>
      <c r="N675" s="150" t="s">
        <v>3000</v>
      </c>
      <c r="O675" s="150" t="s">
        <v>4284</v>
      </c>
      <c r="P675" s="244" t="str">
        <f>VLOOKUP(A675,Import!A:P,16,0)</f>
        <v>Geleneksel</v>
      </c>
      <c r="Q675" s="291"/>
      <c r="R675" s="292" t="b">
        <v>1</v>
      </c>
      <c r="S675" s="293" t="b">
        <v>0</v>
      </c>
      <c r="T675" s="149" t="s">
        <v>2714</v>
      </c>
      <c r="U675" s="296"/>
      <c r="V675" s="296"/>
      <c r="W675" s="149" t="s">
        <v>4285</v>
      </c>
      <c r="X675" s="297"/>
      <c r="Y675" s="297"/>
      <c r="Z675" s="288"/>
      <c r="AA675" s="165" t="s">
        <v>2669</v>
      </c>
      <c r="AB675" s="295">
        <v>44517.0</v>
      </c>
      <c r="AC675" s="165" t="s">
        <v>2693</v>
      </c>
      <c r="AD675" s="295">
        <v>44601.0</v>
      </c>
      <c r="AE675" s="160"/>
      <c r="AF675" s="288"/>
      <c r="AG675" s="160"/>
      <c r="AH675" s="288"/>
      <c r="AI675" s="288"/>
      <c r="AJ675" s="288"/>
      <c r="AK675" s="165" t="s">
        <v>1971</v>
      </c>
      <c r="AL675" s="165" t="s">
        <v>2474</v>
      </c>
      <c r="AM675" s="288"/>
      <c r="AN675" s="288"/>
      <c r="AO675" s="288"/>
      <c r="AP675" s="150" t="s">
        <v>2663</v>
      </c>
      <c r="AQ675" s="288"/>
    </row>
    <row r="676">
      <c r="A676" s="150" t="s">
        <v>4286</v>
      </c>
      <c r="B676" s="150" t="s">
        <v>4287</v>
      </c>
      <c r="C676" s="175" t="str">
        <f>VLOOKUP(A676,Import!A:C,3,false)</f>
        <v>DOĞRU</v>
      </c>
      <c r="D676" s="150" t="s">
        <v>3151</v>
      </c>
      <c r="E676" s="280" t="str">
        <f>VLOOKUP(A676,Import!A:J,5,0)</f>
        <v/>
      </c>
      <c r="F676" s="280" t="str">
        <f>VLOOKUP(A676,Import!A:J,6,0)</f>
        <v/>
      </c>
      <c r="G676" s="289">
        <f>VLOOKUP(A676,Import!A:J,7,0)</f>
        <v>0</v>
      </c>
      <c r="H676" s="289">
        <f>VLOOKUP(A676,Import!A:J,8,0)</f>
        <v>93</v>
      </c>
      <c r="I676" s="289">
        <f>VLOOKUP(A676,Import!A:J,9,0)</f>
        <v>93</v>
      </c>
      <c r="J676" s="282">
        <f>VLOOKUP(A676,Import!A:J,10,0)</f>
        <v>0</v>
      </c>
      <c r="K676" s="290" t="s">
        <v>4288</v>
      </c>
      <c r="L676" s="150">
        <v>5.38612909E9</v>
      </c>
      <c r="M676" s="150" t="s">
        <v>2666</v>
      </c>
      <c r="N676" s="150" t="s">
        <v>2721</v>
      </c>
      <c r="O676" s="150" t="s">
        <v>4289</v>
      </c>
      <c r="P676" s="244" t="str">
        <f>VLOOKUP(A676,Import!A:P,16,0)</f>
        <v>Geleneksel</v>
      </c>
      <c r="Q676" s="291"/>
      <c r="R676" s="292" t="b">
        <v>1</v>
      </c>
      <c r="S676" s="293" t="b">
        <v>0</v>
      </c>
      <c r="T676" s="149" t="s">
        <v>2693</v>
      </c>
      <c r="U676" s="296"/>
      <c r="V676" s="296"/>
      <c r="W676" s="149"/>
      <c r="X676" s="297"/>
      <c r="Y676" s="297"/>
      <c r="Z676" s="288"/>
      <c r="AA676" s="165" t="s">
        <v>2693</v>
      </c>
      <c r="AB676" s="295">
        <v>44625.0</v>
      </c>
      <c r="AC676" s="288"/>
      <c r="AD676" s="288"/>
      <c r="AE676" s="160"/>
      <c r="AF676" s="288"/>
      <c r="AG676" s="160"/>
      <c r="AH676" s="288"/>
      <c r="AI676" s="288"/>
      <c r="AJ676" s="288"/>
      <c r="AK676" s="165" t="s">
        <v>943</v>
      </c>
      <c r="AL676" s="288"/>
      <c r="AM676" s="288"/>
      <c r="AN676" s="288"/>
      <c r="AO676" s="165"/>
      <c r="AP676" s="150"/>
      <c r="AQ676" s="165"/>
    </row>
    <row r="677">
      <c r="A677" s="150" t="s">
        <v>4290</v>
      </c>
      <c r="B677" s="150" t="s">
        <v>4291</v>
      </c>
      <c r="C677" s="175" t="str">
        <f>VLOOKUP(A677,Import!A:C,3,false)</f>
        <v>DOĞRU</v>
      </c>
      <c r="D677" s="150" t="s">
        <v>2696</v>
      </c>
      <c r="E677" s="280">
        <f>VLOOKUP(A677,Import!A:J,5,0)</f>
        <v>18443</v>
      </c>
      <c r="F677" s="280">
        <f>VLOOKUP(A677,Import!A:J,6,0)</f>
        <v>499</v>
      </c>
      <c r="G677" s="289">
        <f>VLOOKUP(A677,Import!A:J,7,0)</f>
        <v>0</v>
      </c>
      <c r="H677" s="289">
        <f>VLOOKUP(A677,Import!A:J,8,0)</f>
        <v>41</v>
      </c>
      <c r="I677" s="289">
        <f>VLOOKUP(A677,Import!A:J,9,0)</f>
        <v>41</v>
      </c>
      <c r="J677" s="282">
        <f>VLOOKUP(A677,Import!A:J,10,0)</f>
        <v>0</v>
      </c>
      <c r="K677" s="244" t="str">
        <f>VLOOKUP(A677,Import!A:P,11,0)</f>
        <v>Elif Başer</v>
      </c>
      <c r="L677" s="150">
        <v>2.223226642E9</v>
      </c>
      <c r="M677" s="150" t="s">
        <v>2666</v>
      </c>
      <c r="N677" s="150" t="s">
        <v>2801</v>
      </c>
      <c r="O677" s="150" t="s">
        <v>4292</v>
      </c>
      <c r="P677" s="244" t="str">
        <f>VLOOKUP(A677,Import!A:P,16,0)</f>
        <v>Geleneksel</v>
      </c>
      <c r="Q677" s="291" t="s">
        <v>2713</v>
      </c>
      <c r="R677" s="292" t="b">
        <v>1</v>
      </c>
      <c r="S677" s="292" t="b">
        <v>0</v>
      </c>
      <c r="T677" s="149" t="s">
        <v>2714</v>
      </c>
      <c r="U677" s="296"/>
      <c r="V677" s="296"/>
      <c r="W677" s="149" t="s">
        <v>4293</v>
      </c>
      <c r="X677" s="297"/>
      <c r="Y677" s="297"/>
      <c r="Z677" s="288"/>
      <c r="AA677" s="165" t="s">
        <v>2669</v>
      </c>
      <c r="AB677" s="295">
        <v>44490.0</v>
      </c>
      <c r="AC677" s="165" t="s">
        <v>2699</v>
      </c>
      <c r="AD677" s="295">
        <v>44530.0</v>
      </c>
      <c r="AE677" s="160"/>
      <c r="AF677" s="288"/>
      <c r="AG677" s="160"/>
      <c r="AH677" s="288"/>
      <c r="AI677" s="288"/>
      <c r="AJ677" s="288"/>
      <c r="AK677" s="165" t="s">
        <v>1754</v>
      </c>
      <c r="AL677" s="165" t="s">
        <v>1911</v>
      </c>
      <c r="AM677" s="288"/>
      <c r="AN677" s="288"/>
      <c r="AO677" s="288"/>
      <c r="AP677" s="150" t="s">
        <v>2663</v>
      </c>
      <c r="AQ677" s="288"/>
    </row>
    <row r="678">
      <c r="A678" s="150" t="s">
        <v>4294</v>
      </c>
      <c r="B678" s="150" t="s">
        <v>4295</v>
      </c>
      <c r="C678" s="175" t="str">
        <f>VLOOKUP(A678,Import!A:C,3,false)</f>
        <v>DOĞRU</v>
      </c>
      <c r="D678" s="150" t="s">
        <v>2684</v>
      </c>
      <c r="E678" s="280">
        <f>VLOOKUP(A678,Import!A:J,5,0)</f>
        <v>13991</v>
      </c>
      <c r="F678" s="280">
        <f>VLOOKUP(A678,Import!A:J,6,0)</f>
        <v>376</v>
      </c>
      <c r="G678" s="289">
        <f>VLOOKUP(A678,Import!A:J,7,0)</f>
        <v>0</v>
      </c>
      <c r="H678" s="289">
        <f>VLOOKUP(A678,Import!A:J,8,0)</f>
        <v>24</v>
      </c>
      <c r="I678" s="289">
        <f>VLOOKUP(A678,Import!A:J,9,0)</f>
        <v>24</v>
      </c>
      <c r="J678" s="282">
        <f>VLOOKUP(A678,Import!A:J,10,0)</f>
        <v>0</v>
      </c>
      <c r="K678" s="244" t="str">
        <f>VLOOKUP(A678,Import!A:P,11,0)</f>
        <v>Özgür Demirtaş</v>
      </c>
      <c r="L678" s="150">
        <v>5.331592131E9</v>
      </c>
      <c r="M678" s="150" t="s">
        <v>2666</v>
      </c>
      <c r="N678" s="150" t="s">
        <v>2682</v>
      </c>
      <c r="O678" s="150" t="s">
        <v>4296</v>
      </c>
      <c r="P678" s="244" t="str">
        <f>VLOOKUP(A678,Import!A:P,16,0)</f>
        <v>Geleneksel</v>
      </c>
      <c r="Q678" s="291" t="s">
        <v>2760</v>
      </c>
      <c r="R678" s="292" t="b">
        <v>1</v>
      </c>
      <c r="S678" s="292" t="b">
        <v>1</v>
      </c>
      <c r="T678" s="149" t="s">
        <v>232</v>
      </c>
      <c r="U678" s="296"/>
      <c r="V678" s="296"/>
      <c r="W678" s="149" t="s">
        <v>4297</v>
      </c>
      <c r="X678" s="297"/>
      <c r="Y678" s="297"/>
      <c r="Z678" s="288"/>
      <c r="AA678" s="165" t="s">
        <v>2669</v>
      </c>
      <c r="AB678" s="295">
        <v>44489.0</v>
      </c>
      <c r="AC678" s="165" t="s">
        <v>2699</v>
      </c>
      <c r="AD678" s="295">
        <v>44543.0</v>
      </c>
      <c r="AE678" s="160"/>
      <c r="AF678" s="288"/>
      <c r="AG678" s="160"/>
      <c r="AH678" s="288"/>
      <c r="AI678" s="288"/>
      <c r="AJ678" s="288"/>
      <c r="AK678" s="165" t="s">
        <v>921</v>
      </c>
      <c r="AL678" s="288"/>
      <c r="AM678" s="288"/>
      <c r="AN678" s="288"/>
      <c r="AO678" s="288"/>
      <c r="AP678" s="150" t="s">
        <v>2663</v>
      </c>
      <c r="AQ678" s="288"/>
    </row>
    <row r="679">
      <c r="A679" s="150" t="s">
        <v>1831</v>
      </c>
      <c r="B679" s="150" t="s">
        <v>1832</v>
      </c>
      <c r="C679" s="175" t="str">
        <f>VLOOKUP(A679,Import!A:C,3,false)</f>
        <v>DOĞRU</v>
      </c>
      <c r="D679" s="150" t="s">
        <v>2701</v>
      </c>
      <c r="E679" s="280">
        <f>VLOOKUP(A679,Import!A:J,5,0)</f>
        <v>56</v>
      </c>
      <c r="F679" s="280">
        <f>VLOOKUP(A679,Import!A:J,6,0)</f>
        <v>5</v>
      </c>
      <c r="G679" s="289">
        <f>VLOOKUP(A679,Import!A:J,7,0)</f>
        <v>12</v>
      </c>
      <c r="H679" s="289">
        <f>VLOOKUP(A679,Import!A:J,8,0)</f>
        <v>1</v>
      </c>
      <c r="I679" s="289">
        <f>VLOOKUP(A679,Import!A:J,9,0)</f>
        <v>13</v>
      </c>
      <c r="J679" s="282">
        <f>VLOOKUP(A679,Import!A:J,10,0)</f>
        <v>0.92</v>
      </c>
      <c r="K679" s="290" t="s">
        <v>4298</v>
      </c>
      <c r="L679" s="150">
        <v>5.382769447E9</v>
      </c>
      <c r="M679" s="150" t="s">
        <v>2666</v>
      </c>
      <c r="N679" s="150" t="s">
        <v>2682</v>
      </c>
      <c r="O679" s="150" t="s">
        <v>1834</v>
      </c>
      <c r="P679" s="244" t="str">
        <f>VLOOKUP(A679,Import!A:P,16,0)</f>
        <v>Geleneksel</v>
      </c>
      <c r="Q679" s="291"/>
      <c r="R679" s="292" t="b">
        <v>1</v>
      </c>
      <c r="S679" s="293" t="b">
        <v>0</v>
      </c>
      <c r="T679" s="149" t="s">
        <v>2661</v>
      </c>
      <c r="U679" s="149" t="s">
        <v>819</v>
      </c>
      <c r="V679" s="301" t="s">
        <v>1609</v>
      </c>
      <c r="W679" s="149" t="s">
        <v>4299</v>
      </c>
      <c r="X679" s="294">
        <v>44499.0</v>
      </c>
      <c r="Y679" s="294">
        <v>44502.0</v>
      </c>
      <c r="Z679" s="288"/>
      <c r="AA679" s="165" t="s">
        <v>2669</v>
      </c>
      <c r="AB679" s="295">
        <v>44499.0</v>
      </c>
      <c r="AC679" s="288"/>
      <c r="AD679" s="288"/>
      <c r="AE679" s="160"/>
      <c r="AF679" s="288"/>
      <c r="AG679" s="160"/>
      <c r="AH679" s="288"/>
      <c r="AI679" s="288"/>
      <c r="AJ679" s="288"/>
      <c r="AK679" s="165" t="s">
        <v>819</v>
      </c>
      <c r="AL679" s="288"/>
      <c r="AM679" s="288"/>
      <c r="AN679" s="288"/>
      <c r="AO679" s="288"/>
      <c r="AP679" s="150" t="s">
        <v>2663</v>
      </c>
      <c r="AQ679" s="288"/>
    </row>
    <row r="680">
      <c r="A680" s="244" t="s">
        <v>2215</v>
      </c>
      <c r="B680" s="244" t="s">
        <v>2216</v>
      </c>
      <c r="C680" s="175" t="str">
        <f>VLOOKUP(A680,Import!A:C,3,false)</f>
        <v>DOĞRU</v>
      </c>
      <c r="D680" s="372" t="s">
        <v>2701</v>
      </c>
      <c r="E680" s="280">
        <f>VLOOKUP(A680,Import!A:J,5,0)</f>
        <v>4716</v>
      </c>
      <c r="F680" s="280">
        <f>VLOOKUP(A680,Import!A:J,6,0)</f>
        <v>160</v>
      </c>
      <c r="G680" s="289">
        <f>VLOOKUP(A680,Import!A:J,7,0)</f>
        <v>6</v>
      </c>
      <c r="H680" s="289">
        <f>VLOOKUP(A680,Import!A:J,8,0)</f>
        <v>1</v>
      </c>
      <c r="I680" s="289">
        <f>VLOOKUP(A680,Import!A:J,9,0)</f>
        <v>7</v>
      </c>
      <c r="J680" s="282">
        <f>VLOOKUP(A680,Import!A:J,10,0)</f>
        <v>0.86</v>
      </c>
      <c r="K680" s="244" t="str">
        <f>VLOOKUP(A680,Import!A:P,11,0)</f>
        <v>FATİH İLYAS ÖZCAN</v>
      </c>
      <c r="L680" s="373">
        <v>5.435080326E9</v>
      </c>
      <c r="M680" s="372" t="s">
        <v>2666</v>
      </c>
      <c r="N680" s="372" t="s">
        <v>2721</v>
      </c>
      <c r="O680" s="372" t="s">
        <v>4300</v>
      </c>
      <c r="P680" s="244" t="str">
        <f>VLOOKUP(A680,Import!A:P,16,0)</f>
        <v>Geleneksel</v>
      </c>
      <c r="Q680" s="374" t="s">
        <v>2660</v>
      </c>
      <c r="R680" s="375" t="b">
        <v>1</v>
      </c>
      <c r="S680" s="375" t="b">
        <v>0</v>
      </c>
      <c r="T680" s="402" t="s">
        <v>2661</v>
      </c>
      <c r="U680" s="402" t="s">
        <v>1971</v>
      </c>
      <c r="V680" s="269" t="s">
        <v>1609</v>
      </c>
      <c r="W680" s="402" t="s">
        <v>4301</v>
      </c>
      <c r="X680" s="403">
        <v>44550.0</v>
      </c>
      <c r="Y680" s="403">
        <v>44551.0</v>
      </c>
      <c r="Z680" s="288"/>
      <c r="AA680" s="165" t="s">
        <v>2669</v>
      </c>
      <c r="AB680" s="295">
        <v>44550.0</v>
      </c>
      <c r="AC680" s="288"/>
      <c r="AD680" s="288"/>
      <c r="AE680" s="160"/>
      <c r="AF680" s="288"/>
      <c r="AG680" s="160"/>
      <c r="AH680" s="288"/>
      <c r="AI680" s="288"/>
      <c r="AJ680" s="288"/>
      <c r="AK680" s="165" t="s">
        <v>1971</v>
      </c>
      <c r="AL680" s="288"/>
      <c r="AM680" s="288"/>
      <c r="AN680" s="288"/>
      <c r="AO680" s="288"/>
      <c r="AP680" s="150" t="s">
        <v>2663</v>
      </c>
      <c r="AQ680" s="288"/>
    </row>
    <row r="681">
      <c r="A681" s="150" t="s">
        <v>4302</v>
      </c>
      <c r="B681" s="150" t="s">
        <v>4303</v>
      </c>
      <c r="C681" s="175" t="str">
        <f>VLOOKUP(A681,Import!A:C,3,false)</f>
        <v>DOĞRU</v>
      </c>
      <c r="D681" s="150" t="s">
        <v>2701</v>
      </c>
      <c r="E681" s="280">
        <f>VLOOKUP(A681,Import!A:J,5,0)</f>
        <v>396</v>
      </c>
      <c r="F681" s="280">
        <f>VLOOKUP(A681,Import!A:J,6,0)</f>
        <v>124</v>
      </c>
      <c r="G681" s="289">
        <f>VLOOKUP(A681,Import!A:J,7,0)</f>
        <v>0</v>
      </c>
      <c r="H681" s="289">
        <f>VLOOKUP(A681,Import!A:J,8,0)</f>
        <v>4</v>
      </c>
      <c r="I681" s="289">
        <f>VLOOKUP(A681,Import!A:J,9,0)</f>
        <v>4</v>
      </c>
      <c r="J681" s="282">
        <f>VLOOKUP(A681,Import!A:J,10,0)</f>
        <v>0</v>
      </c>
      <c r="K681" s="290" t="s">
        <v>4304</v>
      </c>
      <c r="L681" s="150">
        <v>5.074336691E9</v>
      </c>
      <c r="M681" s="150" t="s">
        <v>2666</v>
      </c>
      <c r="N681" s="150" t="s">
        <v>2667</v>
      </c>
      <c r="O681" s="150" t="s">
        <v>4305</v>
      </c>
      <c r="P681" s="244" t="str">
        <f>VLOOKUP(A681,Import!A:P,16,0)</f>
        <v>Geleneksel</v>
      </c>
      <c r="Q681" s="291"/>
      <c r="R681" s="292" t="b">
        <v>1</v>
      </c>
      <c r="S681" s="293" t="b">
        <v>0</v>
      </c>
      <c r="T681" s="149" t="s">
        <v>2714</v>
      </c>
      <c r="U681" s="296"/>
      <c r="V681" s="296"/>
      <c r="W681" s="149" t="s">
        <v>4306</v>
      </c>
      <c r="X681" s="297"/>
      <c r="Y681" s="297"/>
      <c r="Z681" s="288"/>
      <c r="AA681" s="165" t="s">
        <v>2669</v>
      </c>
      <c r="AB681" s="295">
        <v>44641.0</v>
      </c>
      <c r="AC681" s="288"/>
      <c r="AD681" s="288"/>
      <c r="AE681" s="160"/>
      <c r="AF681" s="288"/>
      <c r="AG681" s="160"/>
      <c r="AH681" s="288"/>
      <c r="AI681" s="288"/>
      <c r="AJ681" s="288"/>
      <c r="AK681" s="165" t="s">
        <v>1791</v>
      </c>
      <c r="AL681" s="288"/>
      <c r="AM681" s="288"/>
      <c r="AN681" s="288"/>
      <c r="AO681" s="165"/>
      <c r="AP681" s="150"/>
      <c r="AQ681" s="165"/>
    </row>
    <row r="682">
      <c r="A682" s="150" t="s">
        <v>4307</v>
      </c>
      <c r="B682" s="150" t="s">
        <v>4308</v>
      </c>
      <c r="C682" s="175" t="str">
        <f>VLOOKUP(A682,Import!A:C,3,false)</f>
        <v>DOĞRU</v>
      </c>
      <c r="D682" s="150" t="s">
        <v>2684</v>
      </c>
      <c r="E682" s="280">
        <f>VLOOKUP(A682,Import!A:J,5,0)</f>
        <v>5321</v>
      </c>
      <c r="F682" s="280">
        <f>VLOOKUP(A682,Import!A:J,6,0)</f>
        <v>164</v>
      </c>
      <c r="G682" s="289">
        <f>VLOOKUP(A682,Import!A:J,7,0)</f>
        <v>13</v>
      </c>
      <c r="H682" s="289">
        <f>VLOOKUP(A682,Import!A:J,8,0)</f>
        <v>56</v>
      </c>
      <c r="I682" s="289">
        <f>VLOOKUP(A682,Import!A:J,9,0)</f>
        <v>69</v>
      </c>
      <c r="J682" s="282">
        <f>VLOOKUP(A682,Import!A:J,10,0)</f>
        <v>0.19</v>
      </c>
      <c r="K682" s="244" t="str">
        <f>VLOOKUP(A682,Import!A:P,11,0)</f>
        <v>Yunus Uzun</v>
      </c>
      <c r="L682" s="150">
        <v>5.314722726E9</v>
      </c>
      <c r="M682" s="150" t="s">
        <v>1450</v>
      </c>
      <c r="N682" s="150" t="s">
        <v>2782</v>
      </c>
      <c r="O682" s="150" t="s">
        <v>4180</v>
      </c>
      <c r="P682" s="244" t="str">
        <f>VLOOKUP(A682,Import!A:P,16,0)</f>
        <v>Geleneksel</v>
      </c>
      <c r="Q682" s="291" t="s">
        <v>2713</v>
      </c>
      <c r="R682" s="292" t="b">
        <v>1</v>
      </c>
      <c r="S682" s="292" t="b">
        <v>1</v>
      </c>
      <c r="T682" s="296"/>
      <c r="U682" s="296"/>
      <c r="V682" s="296"/>
      <c r="W682" s="302" t="s">
        <v>4309</v>
      </c>
      <c r="X682" s="297"/>
      <c r="Y682" s="297"/>
      <c r="Z682" s="288"/>
      <c r="AA682" s="288"/>
      <c r="AB682" s="288"/>
      <c r="AC682" s="288"/>
      <c r="AD682" s="288"/>
      <c r="AE682" s="160"/>
      <c r="AF682" s="288"/>
      <c r="AG682" s="160"/>
      <c r="AH682" s="288"/>
      <c r="AI682" s="288"/>
      <c r="AJ682" s="288"/>
      <c r="AK682" s="288"/>
      <c r="AL682" s="288"/>
      <c r="AM682" s="288"/>
      <c r="AN682" s="288"/>
      <c r="AO682" s="288"/>
      <c r="AP682" s="150" t="s">
        <v>2663</v>
      </c>
      <c r="AQ682" s="288"/>
    </row>
    <row r="683">
      <c r="A683" s="150" t="s">
        <v>4310</v>
      </c>
      <c r="B683" s="150" t="s">
        <v>4311</v>
      </c>
      <c r="C683" s="175" t="str">
        <f>VLOOKUP(A683,Import!A:C,3,false)</f>
        <v>DOĞRU</v>
      </c>
      <c r="D683" s="150" t="s">
        <v>2684</v>
      </c>
      <c r="E683" s="280">
        <f>VLOOKUP(A683,Import!A:J,5,0)</f>
        <v>4645</v>
      </c>
      <c r="F683" s="280">
        <f>VLOOKUP(A683,Import!A:J,6,0)</f>
        <v>145</v>
      </c>
      <c r="G683" s="289">
        <f>VLOOKUP(A683,Import!A:J,7,0)</f>
        <v>0</v>
      </c>
      <c r="H683" s="289">
        <f>VLOOKUP(A683,Import!A:J,8,0)</f>
        <v>51</v>
      </c>
      <c r="I683" s="289">
        <f>VLOOKUP(A683,Import!A:J,9,0)</f>
        <v>51</v>
      </c>
      <c r="J683" s="282">
        <f>VLOOKUP(A683,Import!A:J,10,0)</f>
        <v>0</v>
      </c>
      <c r="K683" s="244" t="str">
        <f>VLOOKUP(A683,Import!A:P,11,0)</f>
        <v>Alev Torun</v>
      </c>
      <c r="L683" s="150">
        <v>5.448342627E9</v>
      </c>
      <c r="M683" s="150" t="s">
        <v>2666</v>
      </c>
      <c r="N683" s="150" t="s">
        <v>3084</v>
      </c>
      <c r="O683" s="150" t="s">
        <v>4312</v>
      </c>
      <c r="P683" s="244" t="str">
        <f>VLOOKUP(A683,Import!A:P,16,0)</f>
        <v>Geleneksel</v>
      </c>
      <c r="Q683" s="291"/>
      <c r="R683" s="292" t="b">
        <v>1</v>
      </c>
      <c r="S683" s="293" t="b">
        <v>0</v>
      </c>
      <c r="T683" s="149"/>
      <c r="U683" s="296"/>
      <c r="V683" s="296"/>
      <c r="W683" s="149" t="s">
        <v>4313</v>
      </c>
      <c r="X683" s="297"/>
      <c r="Y683" s="297"/>
      <c r="Z683" s="288"/>
      <c r="AA683" s="165" t="s">
        <v>2699</v>
      </c>
      <c r="AB683" s="295">
        <v>44543.0</v>
      </c>
      <c r="AC683" s="165" t="s">
        <v>2693</v>
      </c>
      <c r="AD683" s="295">
        <v>44548.0</v>
      </c>
      <c r="AE683" s="165" t="s">
        <v>2669</v>
      </c>
      <c r="AF683" s="295">
        <v>44565.0</v>
      </c>
      <c r="AG683" s="160"/>
      <c r="AH683" s="288"/>
      <c r="AI683" s="288"/>
      <c r="AJ683" s="288"/>
      <c r="AK683" s="165" t="s">
        <v>921</v>
      </c>
      <c r="AL683" s="165" t="s">
        <v>1621</v>
      </c>
      <c r="AM683" s="165" t="s">
        <v>1715</v>
      </c>
      <c r="AN683" s="288"/>
      <c r="AO683" s="288"/>
      <c r="AP683" s="150" t="s">
        <v>2663</v>
      </c>
      <c r="AQ683" s="288"/>
    </row>
    <row r="684">
      <c r="A684" s="150" t="s">
        <v>4314</v>
      </c>
      <c r="B684" s="150" t="s">
        <v>4315</v>
      </c>
      <c r="C684" s="175" t="str">
        <f>VLOOKUP(A684,Import!A:C,3,false)</f>
        <v>DOĞRU</v>
      </c>
      <c r="D684" s="150" t="s">
        <v>2684</v>
      </c>
      <c r="E684" s="280">
        <f>VLOOKUP(A684,Import!A:J,5,0)</f>
        <v>4106</v>
      </c>
      <c r="F684" s="280">
        <f>VLOOKUP(A684,Import!A:J,6,0)</f>
        <v>118</v>
      </c>
      <c r="G684" s="289">
        <f>VLOOKUP(A684,Import!A:J,7,0)</f>
        <v>0</v>
      </c>
      <c r="H684" s="289">
        <f>VLOOKUP(A684,Import!A:J,8,0)</f>
        <v>55</v>
      </c>
      <c r="I684" s="289">
        <f>VLOOKUP(A684,Import!A:J,9,0)</f>
        <v>55</v>
      </c>
      <c r="J684" s="282">
        <f>VLOOKUP(A684,Import!A:J,10,0)</f>
        <v>0</v>
      </c>
      <c r="K684" s="244" t="str">
        <f>VLOOKUP(A684,Import!A:P,11,0)</f>
        <v>NURGÜL GÖKTÜRK</v>
      </c>
      <c r="L684" s="150">
        <v>5.33262644E9</v>
      </c>
      <c r="M684" s="150" t="s">
        <v>1450</v>
      </c>
      <c r="N684" s="150" t="s">
        <v>2659</v>
      </c>
      <c r="O684" s="150" t="s">
        <v>4316</v>
      </c>
      <c r="P684" s="244" t="str">
        <f>VLOOKUP(A684,Import!A:P,16,0)</f>
        <v>Geleneksel</v>
      </c>
      <c r="Q684" s="291"/>
      <c r="R684" s="292" t="b">
        <v>1</v>
      </c>
      <c r="S684" s="292" t="b">
        <v>1</v>
      </c>
      <c r="T684" s="149"/>
      <c r="U684" s="296"/>
      <c r="V684" s="296"/>
      <c r="W684" s="149" t="s">
        <v>4317</v>
      </c>
      <c r="X684" s="297"/>
      <c r="Y684" s="297"/>
      <c r="Z684" s="288"/>
      <c r="AA684" s="165" t="s">
        <v>2669</v>
      </c>
      <c r="AB684" s="295">
        <v>44478.0</v>
      </c>
      <c r="AC684" s="165" t="s">
        <v>2669</v>
      </c>
      <c r="AD684" s="295">
        <v>44503.0</v>
      </c>
      <c r="AE684" s="160"/>
      <c r="AF684" s="288"/>
      <c r="AG684" s="160"/>
      <c r="AH684" s="288"/>
      <c r="AI684" s="288"/>
      <c r="AJ684" s="288"/>
      <c r="AK684" s="165" t="s">
        <v>1824</v>
      </c>
      <c r="AL684" s="165" t="s">
        <v>1717</v>
      </c>
      <c r="AM684" s="288"/>
      <c r="AN684" s="288"/>
      <c r="AO684" s="288"/>
      <c r="AP684" s="150" t="s">
        <v>2663</v>
      </c>
      <c r="AQ684" s="288"/>
    </row>
    <row r="685">
      <c r="A685" s="150" t="s">
        <v>4318</v>
      </c>
      <c r="B685" s="150" t="s">
        <v>4319</v>
      </c>
      <c r="C685" s="175" t="str">
        <f>VLOOKUP(A685,Import!A:C,3,false)</f>
        <v>DOĞRU</v>
      </c>
      <c r="D685" s="150" t="s">
        <v>2684</v>
      </c>
      <c r="E685" s="280">
        <f>VLOOKUP(A685,Import!A:J,5,0)</f>
        <v>7679</v>
      </c>
      <c r="F685" s="280">
        <f>VLOOKUP(A685,Import!A:J,6,0)</f>
        <v>225</v>
      </c>
      <c r="G685" s="289">
        <f>VLOOKUP(A685,Import!A:J,7,0)</f>
        <v>13</v>
      </c>
      <c r="H685" s="289">
        <f>VLOOKUP(A685,Import!A:J,8,0)</f>
        <v>42</v>
      </c>
      <c r="I685" s="289">
        <f>VLOOKUP(A685,Import!A:J,9,0)</f>
        <v>55</v>
      </c>
      <c r="J685" s="282">
        <f>VLOOKUP(A685,Import!A:J,10,0)</f>
        <v>0.24</v>
      </c>
      <c r="K685" s="244" t="str">
        <f>VLOOKUP(A685,Import!A:P,11,0)</f>
        <v>Baturhan Şentürk</v>
      </c>
      <c r="L685" s="150">
        <v>5.53739025E9</v>
      </c>
      <c r="M685" s="150" t="s">
        <v>2666</v>
      </c>
      <c r="N685" s="150" t="s">
        <v>2682</v>
      </c>
      <c r="O685" s="150" t="s">
        <v>4320</v>
      </c>
      <c r="P685" s="244" t="str">
        <f>VLOOKUP(A685,Import!A:P,16,0)</f>
        <v>Geleneksel</v>
      </c>
      <c r="Q685" s="291" t="s">
        <v>2760</v>
      </c>
      <c r="R685" s="292" t="b">
        <v>1</v>
      </c>
      <c r="S685" s="292" t="b">
        <v>1</v>
      </c>
      <c r="T685" s="149" t="s">
        <v>2661</v>
      </c>
      <c r="U685" s="149" t="s">
        <v>1000</v>
      </c>
      <c r="V685" s="101" t="s">
        <v>46</v>
      </c>
      <c r="W685" s="149" t="s">
        <v>2708</v>
      </c>
      <c r="X685" s="294">
        <v>44266.0</v>
      </c>
      <c r="Y685" s="294">
        <v>44267.0</v>
      </c>
      <c r="Z685" s="288"/>
      <c r="AA685" s="288"/>
      <c r="AB685" s="288"/>
      <c r="AC685" s="288"/>
      <c r="AD685" s="288"/>
      <c r="AE685" s="160"/>
      <c r="AF685" s="288"/>
      <c r="AG685" s="160"/>
      <c r="AH685" s="288"/>
      <c r="AI685" s="288"/>
      <c r="AJ685" s="288"/>
      <c r="AK685" s="288"/>
      <c r="AL685" s="288"/>
      <c r="AM685" s="288"/>
      <c r="AN685" s="288"/>
      <c r="AO685" s="288"/>
      <c r="AP685" s="150" t="s">
        <v>2663</v>
      </c>
      <c r="AQ685" s="288"/>
    </row>
    <row r="686">
      <c r="A686" s="150" t="s">
        <v>1109</v>
      </c>
      <c r="B686" s="150" t="s">
        <v>1110</v>
      </c>
      <c r="C686" s="175" t="str">
        <f>VLOOKUP(A686,Import!A:C,3,false)</f>
        <v>DOĞRU</v>
      </c>
      <c r="D686" s="150" t="s">
        <v>2684</v>
      </c>
      <c r="E686" s="280">
        <f>VLOOKUP(A686,Import!A:J,5,0)</f>
        <v>8734</v>
      </c>
      <c r="F686" s="280">
        <f>VLOOKUP(A686,Import!A:J,6,0)</f>
        <v>264</v>
      </c>
      <c r="G686" s="289">
        <f>VLOOKUP(A686,Import!A:J,7,0)</f>
        <v>16</v>
      </c>
      <c r="H686" s="289">
        <f>VLOOKUP(A686,Import!A:J,8,0)</f>
        <v>38</v>
      </c>
      <c r="I686" s="289">
        <f>VLOOKUP(A686,Import!A:J,9,0)</f>
        <v>54</v>
      </c>
      <c r="J686" s="282">
        <f>VLOOKUP(A686,Import!A:J,10,0)</f>
        <v>0.3</v>
      </c>
      <c r="K686" s="244" t="str">
        <f>VLOOKUP(A686,Import!A:P,11,0)</f>
        <v>Baturhan Şentürk</v>
      </c>
      <c r="L686" s="150">
        <v>5.53739025E9</v>
      </c>
      <c r="M686" s="150" t="s">
        <v>1450</v>
      </c>
      <c r="N686" s="150" t="s">
        <v>2795</v>
      </c>
      <c r="O686" s="150" t="s">
        <v>1112</v>
      </c>
      <c r="P686" s="244" t="str">
        <f>VLOOKUP(A686,Import!A:P,16,0)</f>
        <v>Geleneksel</v>
      </c>
      <c r="Q686" s="291" t="s">
        <v>2760</v>
      </c>
      <c r="R686" s="292" t="b">
        <v>1</v>
      </c>
      <c r="S686" s="292" t="b">
        <v>1</v>
      </c>
      <c r="T686" s="296"/>
      <c r="U686" s="296"/>
      <c r="V686" s="296"/>
      <c r="W686" s="302" t="s">
        <v>4321</v>
      </c>
      <c r="X686" s="297"/>
      <c r="Y686" s="297"/>
      <c r="Z686" s="288"/>
      <c r="AA686" s="165" t="s">
        <v>2699</v>
      </c>
      <c r="AB686" s="295">
        <v>44547.0</v>
      </c>
      <c r="AC686" s="288"/>
      <c r="AD686" s="288"/>
      <c r="AE686" s="160"/>
      <c r="AF686" s="288"/>
      <c r="AG686" s="160"/>
      <c r="AH686" s="288"/>
      <c r="AI686" s="288"/>
      <c r="AJ686" s="288"/>
      <c r="AK686" s="165" t="s">
        <v>1971</v>
      </c>
      <c r="AL686" s="288"/>
      <c r="AM686" s="288"/>
      <c r="AN686" s="288"/>
      <c r="AO686" s="288"/>
      <c r="AP686" s="150" t="s">
        <v>2663</v>
      </c>
      <c r="AQ686" s="288"/>
    </row>
    <row r="687">
      <c r="A687" s="150" t="s">
        <v>875</v>
      </c>
      <c r="B687" s="150" t="s">
        <v>876</v>
      </c>
      <c r="C687" s="175" t="str">
        <f>VLOOKUP(A687,Import!A:C,3,false)</f>
        <v>DOĞRU</v>
      </c>
      <c r="D687" s="150" t="s">
        <v>2658</v>
      </c>
      <c r="E687" s="280">
        <f>VLOOKUP(A687,Import!A:J,5,0)</f>
        <v>8699</v>
      </c>
      <c r="F687" s="280">
        <f>VLOOKUP(A687,Import!A:J,6,0)</f>
        <v>94</v>
      </c>
      <c r="G687" s="289">
        <f>VLOOKUP(A687,Import!A:J,7,0)</f>
        <v>8</v>
      </c>
      <c r="H687" s="289">
        <f>VLOOKUP(A687,Import!A:J,8,0)</f>
        <v>28</v>
      </c>
      <c r="I687" s="289">
        <f>VLOOKUP(A687,Import!A:J,9,0)</f>
        <v>36</v>
      </c>
      <c r="J687" s="282">
        <f>VLOOKUP(A687,Import!A:J,10,0)</f>
        <v>0.22</v>
      </c>
      <c r="K687" s="244" t="str">
        <f>VLOOKUP(A687,Import!A:P,11,0)</f>
        <v>ÖZLEM ŞİDE</v>
      </c>
      <c r="L687" s="150">
        <v>2.223220045E9</v>
      </c>
      <c r="M687" s="150" t="s">
        <v>2666</v>
      </c>
      <c r="N687" s="150" t="s">
        <v>2721</v>
      </c>
      <c r="O687" s="150" t="s">
        <v>4057</v>
      </c>
      <c r="P687" s="244" t="str">
        <f>VLOOKUP(A687,Import!A:P,16,0)</f>
        <v>Geleneksel</v>
      </c>
      <c r="Q687" s="291" t="s">
        <v>2713</v>
      </c>
      <c r="R687" s="292" t="b">
        <v>1</v>
      </c>
      <c r="S687" s="293" t="b">
        <v>0</v>
      </c>
      <c r="T687" s="149" t="s">
        <v>2661</v>
      </c>
      <c r="U687" s="296"/>
      <c r="V687" s="149" t="s">
        <v>4322</v>
      </c>
      <c r="W687" s="149" t="s">
        <v>4323</v>
      </c>
      <c r="X687" s="294">
        <v>44239.0</v>
      </c>
      <c r="Y687" s="294">
        <v>44257.0</v>
      </c>
      <c r="Z687" s="288"/>
      <c r="AA687" s="165" t="s">
        <v>2669</v>
      </c>
      <c r="AB687" s="295">
        <v>44530.0</v>
      </c>
      <c r="AC687" s="288"/>
      <c r="AD687" s="288"/>
      <c r="AE687" s="160"/>
      <c r="AF687" s="288"/>
      <c r="AG687" s="160"/>
      <c r="AH687" s="288"/>
      <c r="AI687" s="288"/>
      <c r="AJ687" s="288"/>
      <c r="AK687" s="165" t="s">
        <v>1911</v>
      </c>
      <c r="AL687" s="288"/>
      <c r="AM687" s="288"/>
      <c r="AN687" s="288"/>
      <c r="AO687" s="288"/>
      <c r="AP687" s="150" t="s">
        <v>2663</v>
      </c>
      <c r="AQ687" s="288"/>
    </row>
    <row r="688">
      <c r="A688" s="150" t="s">
        <v>2596</v>
      </c>
      <c r="B688" s="150" t="s">
        <v>2597</v>
      </c>
      <c r="C688" s="175" t="str">
        <f>VLOOKUP(A688,Import!A:C,3,false)</f>
        <v>DOĞRU</v>
      </c>
      <c r="D688" s="150" t="s">
        <v>2664</v>
      </c>
      <c r="E688" s="280">
        <f>VLOOKUP(A688,Import!A:J,5,0)</f>
        <v>17</v>
      </c>
      <c r="F688" s="280">
        <f>VLOOKUP(A688,Import!A:J,6,0)</f>
        <v>7</v>
      </c>
      <c r="G688" s="289">
        <f>VLOOKUP(A688,Import!A:J,7,0)</f>
        <v>0</v>
      </c>
      <c r="H688" s="289">
        <f>VLOOKUP(A688,Import!A:J,8,0)</f>
        <v>17</v>
      </c>
      <c r="I688" s="289">
        <f>VLOOKUP(A688,Import!A:J,9,0)</f>
        <v>17</v>
      </c>
      <c r="J688" s="282">
        <f>VLOOKUP(A688,Import!A:J,10,0)</f>
        <v>0</v>
      </c>
      <c r="K688" s="290" t="s">
        <v>4324</v>
      </c>
      <c r="L688" s="150">
        <v>5.51194916E9</v>
      </c>
      <c r="M688" s="150" t="s">
        <v>2666</v>
      </c>
      <c r="N688" s="150" t="s">
        <v>2774</v>
      </c>
      <c r="O688" s="150" t="s">
        <v>2600</v>
      </c>
      <c r="P688" s="244" t="str">
        <f>VLOOKUP(A688,Import!A:P,16,0)</f>
        <v>Geleneksel</v>
      </c>
      <c r="Q688" s="291"/>
      <c r="R688" s="292" t="b">
        <v>1</v>
      </c>
      <c r="S688" s="293" t="b">
        <v>0</v>
      </c>
      <c r="T688" s="149" t="s">
        <v>2661</v>
      </c>
      <c r="U688" s="149" t="s">
        <v>1791</v>
      </c>
      <c r="V688" s="301" t="s">
        <v>1609</v>
      </c>
      <c r="W688" s="149"/>
      <c r="X688" s="294">
        <v>44649.0</v>
      </c>
      <c r="Y688" s="294">
        <v>44656.0</v>
      </c>
      <c r="Z688" s="288"/>
      <c r="AA688" s="165" t="s">
        <v>2669</v>
      </c>
      <c r="AB688" s="295">
        <v>44648.0</v>
      </c>
      <c r="AC688" s="165" t="s">
        <v>2669</v>
      </c>
      <c r="AD688" s="295">
        <v>44649.0</v>
      </c>
      <c r="AE688" s="160"/>
      <c r="AF688" s="288"/>
      <c r="AG688" s="160"/>
      <c r="AH688" s="288"/>
      <c r="AI688" s="288"/>
      <c r="AJ688" s="288"/>
      <c r="AK688" s="165" t="s">
        <v>1791</v>
      </c>
      <c r="AL688" s="165" t="s">
        <v>1791</v>
      </c>
      <c r="AM688" s="288"/>
      <c r="AN688" s="288"/>
      <c r="AO688" s="165"/>
      <c r="AP688" s="150"/>
      <c r="AQ688" s="165"/>
    </row>
    <row r="689">
      <c r="A689" s="150" t="s">
        <v>905</v>
      </c>
      <c r="B689" s="150" t="s">
        <v>906</v>
      </c>
      <c r="C689" s="175" t="str">
        <f>VLOOKUP(A689,Import!A:C,3,false)</f>
        <v>YANLIŞ</v>
      </c>
      <c r="D689" s="150" t="s">
        <v>2672</v>
      </c>
      <c r="E689" s="280">
        <f>VLOOKUP(A689,Import!A:J,5,0)</f>
        <v>184</v>
      </c>
      <c r="F689" s="280" t="str">
        <f>VLOOKUP(A689,Import!A:J,6,0)</f>
        <v/>
      </c>
      <c r="G689" s="289">
        <f>VLOOKUP(A689,Import!A:J,7,0)</f>
        <v>9</v>
      </c>
      <c r="H689" s="289">
        <f>VLOOKUP(A689,Import!A:J,8,0)</f>
        <v>10</v>
      </c>
      <c r="I689" s="289">
        <f>VLOOKUP(A689,Import!A:J,9,0)</f>
        <v>19</v>
      </c>
      <c r="J689" s="282">
        <f>VLOOKUP(A689,Import!A:J,10,0)</f>
        <v>0.47</v>
      </c>
      <c r="K689" s="244" t="str">
        <f>VLOOKUP(A689,Import!A:P,11,0)</f>
        <v>Umut Göğce</v>
      </c>
      <c r="L689" s="150">
        <v>5.465422296E9</v>
      </c>
      <c r="M689" s="150" t="s">
        <v>2666</v>
      </c>
      <c r="N689" s="150" t="s">
        <v>2750</v>
      </c>
      <c r="O689" s="150" t="s">
        <v>909</v>
      </c>
      <c r="P689" s="244" t="str">
        <f>VLOOKUP(A689,Import!A:P,16,0)</f>
        <v>Geleneksel</v>
      </c>
      <c r="Q689" s="291" t="s">
        <v>2660</v>
      </c>
      <c r="R689" s="292" t="b">
        <v>1</v>
      </c>
      <c r="S689" s="293" t="b">
        <v>0</v>
      </c>
      <c r="T689" s="149" t="s">
        <v>2661</v>
      </c>
      <c r="U689" s="149" t="s">
        <v>1791</v>
      </c>
      <c r="V689" s="149" t="s">
        <v>2783</v>
      </c>
      <c r="W689" s="149" t="s">
        <v>4325</v>
      </c>
      <c r="X689" s="294">
        <v>44539.0</v>
      </c>
      <c r="Y689" s="294">
        <v>44543.0</v>
      </c>
      <c r="Z689" s="288"/>
      <c r="AA689" s="165" t="s">
        <v>2669</v>
      </c>
      <c r="AB689" s="295">
        <v>44510.0</v>
      </c>
      <c r="AC689" s="165" t="s">
        <v>2669</v>
      </c>
      <c r="AD689" s="295">
        <v>44539.0</v>
      </c>
      <c r="AE689" s="165" t="s">
        <v>2669</v>
      </c>
      <c r="AF689" s="295">
        <v>44539.0</v>
      </c>
      <c r="AG689" s="160"/>
      <c r="AH689" s="288"/>
      <c r="AI689" s="288"/>
      <c r="AJ689" s="288"/>
      <c r="AK689" s="165" t="s">
        <v>1715</v>
      </c>
      <c r="AL689" s="165" t="s">
        <v>1911</v>
      </c>
      <c r="AM689" s="165" t="s">
        <v>1791</v>
      </c>
      <c r="AN689" s="288"/>
      <c r="AO689" s="288"/>
      <c r="AP689" s="150" t="s">
        <v>2663</v>
      </c>
      <c r="AQ689" s="288"/>
    </row>
    <row r="690">
      <c r="A690" s="244" t="s">
        <v>1287</v>
      </c>
      <c r="B690" s="244" t="s">
        <v>1288</v>
      </c>
      <c r="C690" s="175" t="str">
        <f>VLOOKUP(A690,Import!A:C,3,false)</f>
        <v>DOĞRU</v>
      </c>
      <c r="D690" s="175" t="s">
        <v>2664</v>
      </c>
      <c r="E690" s="280">
        <f>VLOOKUP(A690,Import!A:J,5,0)</f>
        <v>13424</v>
      </c>
      <c r="F690" s="280">
        <f>VLOOKUP(A690,Import!A:J,6,0)</f>
        <v>686</v>
      </c>
      <c r="G690" s="289">
        <f>VLOOKUP(A690,Import!A:J,7,0)</f>
        <v>22</v>
      </c>
      <c r="H690" s="289">
        <f>VLOOKUP(A690,Import!A:J,8,0)</f>
        <v>2</v>
      </c>
      <c r="I690" s="289">
        <f>VLOOKUP(A690,Import!A:J,9,0)</f>
        <v>24</v>
      </c>
      <c r="J690" s="282">
        <f>VLOOKUP(A690,Import!A:J,10,0)</f>
        <v>0.92</v>
      </c>
      <c r="K690" s="244" t="str">
        <f>VLOOKUP(A690,Import!A:P,11,0)</f>
        <v>TALİB KATILMIŞ</v>
      </c>
      <c r="L690" s="283">
        <v>2.222337023E9</v>
      </c>
      <c r="M690" s="175" t="s">
        <v>2666</v>
      </c>
      <c r="N690" s="175" t="s">
        <v>2667</v>
      </c>
      <c r="O690" s="175" t="s">
        <v>1290</v>
      </c>
      <c r="P690" s="244" t="str">
        <f>VLOOKUP(A690,Import!A:P,16,0)</f>
        <v>Geleneksel</v>
      </c>
      <c r="Q690" s="284" t="s">
        <v>2686</v>
      </c>
      <c r="R690" s="285" t="b">
        <v>1</v>
      </c>
      <c r="S690" s="285" t="b">
        <v>0</v>
      </c>
      <c r="T690" s="171" t="s">
        <v>2661</v>
      </c>
      <c r="U690" s="171" t="s">
        <v>937</v>
      </c>
      <c r="V690" s="171" t="s">
        <v>13</v>
      </c>
      <c r="W690" s="171" t="s">
        <v>4326</v>
      </c>
      <c r="X690" s="287">
        <v>44308.0</v>
      </c>
      <c r="Y690" s="287">
        <v>44312.0</v>
      </c>
      <c r="Z690" s="288"/>
      <c r="AA690" s="288"/>
      <c r="AB690" s="288"/>
      <c r="AC690" s="288"/>
      <c r="AD690" s="288"/>
      <c r="AE690" s="160"/>
      <c r="AF690" s="288"/>
      <c r="AG690" s="160"/>
      <c r="AH690" s="288"/>
      <c r="AI690" s="288"/>
      <c r="AJ690" s="288"/>
      <c r="AK690" s="288"/>
      <c r="AL690" s="288"/>
      <c r="AM690" s="288"/>
      <c r="AN690" s="288"/>
      <c r="AO690" s="288"/>
      <c r="AP690" s="150" t="s">
        <v>2663</v>
      </c>
      <c r="AQ690" s="288"/>
    </row>
    <row r="691">
      <c r="A691" s="244" t="s">
        <v>4327</v>
      </c>
      <c r="B691" s="244" t="s">
        <v>4328</v>
      </c>
      <c r="C691" s="175" t="str">
        <f>VLOOKUP(A691,Import!A:C,3,false)</f>
        <v>DOĞRU</v>
      </c>
      <c r="D691" s="244" t="s">
        <v>2672</v>
      </c>
      <c r="E691" s="280">
        <f>VLOOKUP(A691,Import!A:J,5,0)</f>
        <v>2375</v>
      </c>
      <c r="F691" s="280">
        <f>VLOOKUP(A691,Import!A:J,6,0)</f>
        <v>60</v>
      </c>
      <c r="G691" s="289">
        <f>VLOOKUP(A691,Import!A:J,7,0)</f>
        <v>3</v>
      </c>
      <c r="H691" s="289">
        <f>VLOOKUP(A691,Import!A:J,8,0)</f>
        <v>9</v>
      </c>
      <c r="I691" s="289">
        <f>VLOOKUP(A691,Import!A:J,9,0)</f>
        <v>12</v>
      </c>
      <c r="J691" s="282">
        <f>VLOOKUP(A691,Import!A:J,10,0)</f>
        <v>0.25</v>
      </c>
      <c r="K691" s="244" t="str">
        <f>VLOOKUP(A691,Import!A:P,11,0)</f>
        <v>NESRİN ÇİÇEK</v>
      </c>
      <c r="L691" s="280">
        <v>2.222300303E9</v>
      </c>
      <c r="M691" s="244" t="s">
        <v>1450</v>
      </c>
      <c r="N691" s="244" t="s">
        <v>2700</v>
      </c>
      <c r="O691" s="244" t="s">
        <v>4329</v>
      </c>
      <c r="P691" s="244" t="str">
        <f>VLOOKUP(A691,Import!A:P,16,0)</f>
        <v>Geleneksel</v>
      </c>
      <c r="Q691" s="291" t="s">
        <v>2660</v>
      </c>
      <c r="R691" s="292" t="b">
        <v>1</v>
      </c>
      <c r="S691" s="292" t="b">
        <v>1</v>
      </c>
      <c r="T691" s="160"/>
      <c r="U691" s="160"/>
      <c r="V691" s="160"/>
      <c r="W691" s="165" t="s">
        <v>4330</v>
      </c>
      <c r="X691" s="288"/>
      <c r="Y691" s="288"/>
      <c r="Z691" s="288"/>
      <c r="AA691" s="165" t="s">
        <v>2699</v>
      </c>
      <c r="AB691" s="295">
        <v>44503.0</v>
      </c>
      <c r="AC691" s="165" t="s">
        <v>2669</v>
      </c>
      <c r="AD691" s="295">
        <v>44547.0</v>
      </c>
      <c r="AE691" s="165" t="s">
        <v>2699</v>
      </c>
      <c r="AF691" s="295">
        <v>44582.0</v>
      </c>
      <c r="AG691" s="160"/>
      <c r="AH691" s="288"/>
      <c r="AI691" s="288"/>
      <c r="AJ691" s="288"/>
      <c r="AK691" s="165" t="s">
        <v>1717</v>
      </c>
      <c r="AL691" s="165" t="s">
        <v>1971</v>
      </c>
      <c r="AM691" s="165" t="s">
        <v>1791</v>
      </c>
      <c r="AN691" s="288"/>
      <c r="AO691" s="288"/>
      <c r="AP691" s="150" t="s">
        <v>2663</v>
      </c>
      <c r="AQ691" s="288"/>
    </row>
    <row r="692">
      <c r="A692" s="150" t="s">
        <v>4331</v>
      </c>
      <c r="B692" s="150" t="s">
        <v>4332</v>
      </c>
      <c r="C692" s="175" t="str">
        <f>VLOOKUP(A692,Import!A:C,3,false)</f>
        <v>YANLIŞ</v>
      </c>
      <c r="D692" s="150" t="s">
        <v>2672</v>
      </c>
      <c r="E692" s="280">
        <f>VLOOKUP(A692,Import!A:J,5,0)</f>
        <v>2</v>
      </c>
      <c r="F692" s="280" t="str">
        <f>VLOOKUP(A692,Import!A:J,6,0)</f>
        <v/>
      </c>
      <c r="G692" s="289">
        <f>VLOOKUP(A692,Import!A:J,7,0)</f>
        <v>0</v>
      </c>
      <c r="H692" s="289">
        <f>VLOOKUP(A692,Import!A:J,8,0)</f>
        <v>13</v>
      </c>
      <c r="I692" s="289">
        <f>VLOOKUP(A692,Import!A:J,9,0)</f>
        <v>13</v>
      </c>
      <c r="J692" s="282">
        <f>VLOOKUP(A692,Import!A:J,10,0)</f>
        <v>0</v>
      </c>
      <c r="K692" s="244" t="str">
        <f>VLOOKUP(A692,Import!A:P,11,0)</f>
        <v>Meliha Aksu</v>
      </c>
      <c r="L692" s="150">
        <v>5.324086122E9</v>
      </c>
      <c r="M692" s="150" t="s">
        <v>2666</v>
      </c>
      <c r="N692" s="150" t="s">
        <v>2667</v>
      </c>
      <c r="O692" s="150" t="s">
        <v>4333</v>
      </c>
      <c r="P692" s="244" t="str">
        <f>VLOOKUP(A692,Import!A:P,16,0)</f>
        <v>Geleneksel</v>
      </c>
      <c r="Q692" s="291" t="s">
        <v>2660</v>
      </c>
      <c r="R692" s="292" t="b">
        <v>1</v>
      </c>
      <c r="S692" s="292" t="b">
        <v>1</v>
      </c>
      <c r="T692" s="296"/>
      <c r="U692" s="296"/>
      <c r="V692" s="296"/>
      <c r="X692" s="297"/>
      <c r="Y692" s="297"/>
      <c r="Z692" s="288"/>
      <c r="AA692" s="288"/>
      <c r="AB692" s="288"/>
      <c r="AC692" s="288"/>
      <c r="AD692" s="288"/>
      <c r="AE692" s="160"/>
      <c r="AF692" s="288"/>
      <c r="AG692" s="160"/>
      <c r="AH692" s="288"/>
      <c r="AI692" s="288"/>
      <c r="AJ692" s="288"/>
      <c r="AK692" s="288"/>
      <c r="AL692" s="288"/>
      <c r="AM692" s="288"/>
      <c r="AN692" s="288"/>
      <c r="AO692" s="288"/>
      <c r="AP692" s="150" t="s">
        <v>2663</v>
      </c>
      <c r="AQ692" s="288"/>
    </row>
    <row r="693">
      <c r="A693" s="150" t="s">
        <v>1957</v>
      </c>
      <c r="B693" s="150" t="s">
        <v>1958</v>
      </c>
      <c r="C693" s="175" t="str">
        <f>VLOOKUP(A693,Import!A:C,3,false)</f>
        <v>DOĞRU</v>
      </c>
      <c r="D693" s="150" t="s">
        <v>2867</v>
      </c>
      <c r="E693" s="280">
        <f>VLOOKUP(A693,Import!A:J,5,0)</f>
        <v>388</v>
      </c>
      <c r="F693" s="280" t="str">
        <f>VLOOKUP(A693,Import!A:J,6,0)</f>
        <v/>
      </c>
      <c r="G693" s="289">
        <f>VLOOKUP(A693,Import!A:J,7,0)</f>
        <v>2</v>
      </c>
      <c r="H693" s="289">
        <f>VLOOKUP(A693,Import!A:J,8,0)</f>
        <v>1</v>
      </c>
      <c r="I693" s="289">
        <f>VLOOKUP(A693,Import!A:J,9,0)</f>
        <v>3</v>
      </c>
      <c r="J693" s="282">
        <f>VLOOKUP(A693,Import!A:J,10,0)</f>
        <v>0.67</v>
      </c>
      <c r="K693" s="290" t="s">
        <v>4216</v>
      </c>
      <c r="L693" s="150">
        <v>5.526483098E9</v>
      </c>
      <c r="M693" s="150" t="s">
        <v>2666</v>
      </c>
      <c r="N693" s="150" t="s">
        <v>2750</v>
      </c>
      <c r="O693" s="150" t="s">
        <v>1961</v>
      </c>
      <c r="P693" s="244" t="str">
        <f>VLOOKUP(A693,Import!A:P,16,0)</f>
        <v>Geleneksel</v>
      </c>
      <c r="Q693" s="291"/>
      <c r="R693" s="292" t="b">
        <v>1</v>
      </c>
      <c r="S693" s="293" t="b">
        <v>0</v>
      </c>
      <c r="T693" s="149" t="s">
        <v>2661</v>
      </c>
      <c r="U693" s="149" t="s">
        <v>1715</v>
      </c>
      <c r="V693" s="296"/>
      <c r="W693" s="149">
        <v>5.307761698E9</v>
      </c>
      <c r="X693" s="294">
        <v>44516.0</v>
      </c>
      <c r="Y693" s="294">
        <v>44517.0</v>
      </c>
      <c r="Z693" s="288"/>
      <c r="AA693" s="165" t="s">
        <v>2772</v>
      </c>
      <c r="AB693" s="295">
        <v>44516.0</v>
      </c>
      <c r="AC693" s="165" t="s">
        <v>2669</v>
      </c>
      <c r="AD693" s="295">
        <v>44516.0</v>
      </c>
      <c r="AE693" s="160"/>
      <c r="AF693" s="288"/>
      <c r="AG693" s="160"/>
      <c r="AH693" s="288"/>
      <c r="AI693" s="288"/>
      <c r="AJ693" s="288"/>
      <c r="AK693" s="165" t="s">
        <v>1621</v>
      </c>
      <c r="AL693" s="165" t="s">
        <v>1715</v>
      </c>
      <c r="AM693" s="288"/>
      <c r="AN693" s="288"/>
      <c r="AO693" s="288"/>
      <c r="AP693" s="150" t="s">
        <v>2663</v>
      </c>
      <c r="AQ693" s="288"/>
    </row>
    <row r="694">
      <c r="A694" s="244" t="s">
        <v>1268</v>
      </c>
      <c r="B694" s="244" t="s">
        <v>1269</v>
      </c>
      <c r="C694" s="175" t="str">
        <f>VLOOKUP(A694,Import!A:C,3,false)</f>
        <v>YANLIŞ</v>
      </c>
      <c r="D694" s="175" t="s">
        <v>2672</v>
      </c>
      <c r="E694" s="280">
        <f>VLOOKUP(A694,Import!A:J,5,0)</f>
        <v>1841</v>
      </c>
      <c r="F694" s="280" t="str">
        <f>VLOOKUP(A694,Import!A:J,6,0)</f>
        <v/>
      </c>
      <c r="G694" s="289">
        <f>VLOOKUP(A694,Import!A:J,7,0)</f>
        <v>20</v>
      </c>
      <c r="H694" s="289">
        <f>VLOOKUP(A694,Import!A:J,8,0)</f>
        <v>1</v>
      </c>
      <c r="I694" s="289">
        <f>VLOOKUP(A694,Import!A:J,9,0)</f>
        <v>21</v>
      </c>
      <c r="J694" s="282">
        <f>VLOOKUP(A694,Import!A:J,10,0)</f>
        <v>0.95</v>
      </c>
      <c r="K694" s="244" t="str">
        <f>VLOOKUP(A694,Import!A:P,11,0)</f>
        <v>EMRAH İLHAN</v>
      </c>
      <c r="L694" s="283">
        <v>2.223220021E9</v>
      </c>
      <c r="M694" s="175" t="s">
        <v>2666</v>
      </c>
      <c r="N694" s="175" t="s">
        <v>2721</v>
      </c>
      <c r="O694" s="175" t="s">
        <v>1271</v>
      </c>
      <c r="P694" s="244" t="str">
        <f>VLOOKUP(A694,Import!A:P,16,0)</f>
        <v>Geleneksel</v>
      </c>
      <c r="Q694" s="284" t="s">
        <v>2686</v>
      </c>
      <c r="R694" s="285" t="b">
        <v>1</v>
      </c>
      <c r="S694" s="285" t="b">
        <v>0</v>
      </c>
      <c r="T694" s="171" t="s">
        <v>2661</v>
      </c>
      <c r="U694" s="171" t="s">
        <v>937</v>
      </c>
      <c r="V694" s="171" t="s">
        <v>13</v>
      </c>
      <c r="W694" s="298"/>
      <c r="X694" s="287">
        <v>44307.0</v>
      </c>
      <c r="Y694" s="287">
        <v>44309.0</v>
      </c>
      <c r="Z694" s="288"/>
      <c r="AA694" s="288"/>
      <c r="AB694" s="288"/>
      <c r="AC694" s="288"/>
      <c r="AD694" s="288"/>
      <c r="AE694" s="160"/>
      <c r="AF694" s="288"/>
      <c r="AG694" s="160"/>
      <c r="AH694" s="288"/>
      <c r="AI694" s="288"/>
      <c r="AJ694" s="288"/>
      <c r="AK694" s="288"/>
      <c r="AL694" s="288"/>
      <c r="AM694" s="288"/>
      <c r="AN694" s="288"/>
      <c r="AO694" s="288"/>
      <c r="AP694" s="150" t="s">
        <v>2663</v>
      </c>
      <c r="AQ694" s="288"/>
    </row>
    <row r="695">
      <c r="A695" s="147" t="s">
        <v>4334</v>
      </c>
      <c r="B695" s="147" t="s">
        <v>4335</v>
      </c>
      <c r="C695" s="175" t="str">
        <f>VLOOKUP(A695,Import!A:C,3,false)</f>
        <v>DOĞRU</v>
      </c>
      <c r="D695" s="147" t="s">
        <v>2664</v>
      </c>
      <c r="E695" s="280">
        <f>VLOOKUP(A695,Import!A:J,5,0)</f>
        <v>9825</v>
      </c>
      <c r="F695" s="280">
        <f>VLOOKUP(A695,Import!A:J,6,0)</f>
        <v>409</v>
      </c>
      <c r="G695" s="289">
        <f>VLOOKUP(A695,Import!A:J,7,0)</f>
        <v>13</v>
      </c>
      <c r="H695" s="289">
        <f>VLOOKUP(A695,Import!A:J,8,0)</f>
        <v>15</v>
      </c>
      <c r="I695" s="289">
        <f>VLOOKUP(A695,Import!A:J,9,0)</f>
        <v>28</v>
      </c>
      <c r="J695" s="282">
        <f>VLOOKUP(A695,Import!A:J,10,0)</f>
        <v>0.46</v>
      </c>
      <c r="K695" s="244" t="str">
        <f>VLOOKUP(A695,Import!A:P,11,0)</f>
        <v>Battal Emre Değer</v>
      </c>
      <c r="L695" s="147">
        <v>2.222291836E9</v>
      </c>
      <c r="M695" s="147" t="s">
        <v>1450</v>
      </c>
      <c r="N695" s="147" t="s">
        <v>2732</v>
      </c>
      <c r="O695" s="147" t="s">
        <v>4336</v>
      </c>
      <c r="P695" s="244" t="str">
        <f>VLOOKUP(A695,Import!A:P,16,0)</f>
        <v>Geleneksel</v>
      </c>
      <c r="Q695" s="330"/>
      <c r="R695" s="292" t="b">
        <v>1</v>
      </c>
      <c r="S695" s="292" t="b">
        <v>0</v>
      </c>
      <c r="T695" s="145" t="s">
        <v>2734</v>
      </c>
      <c r="U695" s="296"/>
      <c r="V695" s="296"/>
      <c r="W695" s="149" t="s">
        <v>4337</v>
      </c>
      <c r="X695" s="297"/>
      <c r="Y695" s="297"/>
      <c r="Z695" s="288"/>
      <c r="AA695" s="288"/>
      <c r="AB695" s="288"/>
      <c r="AC695" s="288"/>
      <c r="AD695" s="288"/>
      <c r="AE695" s="160"/>
      <c r="AF695" s="288"/>
      <c r="AG695" s="160"/>
      <c r="AH695" s="288"/>
      <c r="AI695" s="288"/>
      <c r="AJ695" s="288"/>
      <c r="AK695" s="288"/>
      <c r="AL695" s="288"/>
      <c r="AM695" s="288"/>
      <c r="AN695" s="288"/>
      <c r="AO695" s="288"/>
      <c r="AP695" s="150" t="s">
        <v>2663</v>
      </c>
      <c r="AQ695" s="288"/>
    </row>
    <row r="696">
      <c r="A696" s="150" t="s">
        <v>1749</v>
      </c>
      <c r="B696" s="150" t="s">
        <v>1750</v>
      </c>
      <c r="C696" s="175" t="str">
        <f>VLOOKUP(A696,Import!A:C,3,false)</f>
        <v>YANLIŞ</v>
      </c>
      <c r="D696" s="150" t="s">
        <v>2664</v>
      </c>
      <c r="E696" s="280">
        <f>VLOOKUP(A696,Import!A:J,5,0)</f>
        <v>404</v>
      </c>
      <c r="F696" s="280" t="str">
        <f>VLOOKUP(A696,Import!A:J,6,0)</f>
        <v/>
      </c>
      <c r="G696" s="289">
        <f>VLOOKUP(A696,Import!A:J,7,0)</f>
        <v>17</v>
      </c>
      <c r="H696" s="289">
        <f>VLOOKUP(A696,Import!A:J,8,0)</f>
        <v>2</v>
      </c>
      <c r="I696" s="289">
        <f>VLOOKUP(A696,Import!A:J,9,0)</f>
        <v>19</v>
      </c>
      <c r="J696" s="282">
        <f>VLOOKUP(A696,Import!A:J,10,0)</f>
        <v>0.89</v>
      </c>
      <c r="K696" s="244" t="str">
        <f>VLOOKUP(A696,Import!A:P,11,0)</f>
        <v>Nevzatcan Dinçer</v>
      </c>
      <c r="L696" s="150">
        <v>2.226060909E9</v>
      </c>
      <c r="M696" s="150" t="s">
        <v>2666</v>
      </c>
      <c r="N696" s="150" t="s">
        <v>2682</v>
      </c>
      <c r="O696" s="150" t="s">
        <v>1752</v>
      </c>
      <c r="P696" s="244" t="str">
        <f>VLOOKUP(A696,Import!A:P,16,0)</f>
        <v>Geleneksel</v>
      </c>
      <c r="Q696" s="291"/>
      <c r="R696" s="292" t="b">
        <v>1</v>
      </c>
      <c r="S696" s="292" t="b">
        <v>1</v>
      </c>
      <c r="T696" s="149" t="s">
        <v>2668</v>
      </c>
      <c r="U696" s="149" t="s">
        <v>1717</v>
      </c>
      <c r="V696" s="396" t="s">
        <v>1609</v>
      </c>
      <c r="W696" s="149" t="s">
        <v>4338</v>
      </c>
      <c r="X696" s="294">
        <v>44489.0</v>
      </c>
      <c r="Y696" s="294">
        <v>44491.0</v>
      </c>
      <c r="Z696" s="288"/>
      <c r="AA696" s="165" t="s">
        <v>2688</v>
      </c>
      <c r="AB696" s="295">
        <v>44489.0</v>
      </c>
      <c r="AC696" s="165" t="s">
        <v>2669</v>
      </c>
      <c r="AD696" s="295">
        <v>44489.0</v>
      </c>
      <c r="AE696" s="165" t="s">
        <v>2669</v>
      </c>
      <c r="AF696" s="295">
        <v>44529.0</v>
      </c>
      <c r="AG696" s="160"/>
      <c r="AH696" s="288"/>
      <c r="AI696" s="288"/>
      <c r="AJ696" s="288"/>
      <c r="AK696" s="165" t="s">
        <v>1717</v>
      </c>
      <c r="AL696" s="165" t="s">
        <v>1717</v>
      </c>
      <c r="AM696" s="165" t="s">
        <v>1715</v>
      </c>
      <c r="AN696" s="288"/>
      <c r="AO696" s="288"/>
      <c r="AP696" s="150" t="s">
        <v>2663</v>
      </c>
      <c r="AQ696" s="288"/>
    </row>
    <row r="697">
      <c r="A697" s="147" t="s">
        <v>4339</v>
      </c>
      <c r="B697" s="147" t="s">
        <v>4340</v>
      </c>
      <c r="C697" s="175" t="str">
        <f>VLOOKUP(A697,Import!A:C,3,false)</f>
        <v>DOĞRU</v>
      </c>
      <c r="D697" s="147" t="s">
        <v>2664</v>
      </c>
      <c r="E697" s="280">
        <f>VLOOKUP(A697,Import!A:J,5,0)</f>
        <v>230</v>
      </c>
      <c r="F697" s="280">
        <f>VLOOKUP(A697,Import!A:J,6,0)</f>
        <v>28</v>
      </c>
      <c r="G697" s="289">
        <f>VLOOKUP(A697,Import!A:J,7,0)</f>
        <v>0</v>
      </c>
      <c r="H697" s="289">
        <f>VLOOKUP(A697,Import!A:J,8,0)</f>
        <v>13</v>
      </c>
      <c r="I697" s="289">
        <f>VLOOKUP(A697,Import!A:J,9,0)</f>
        <v>13</v>
      </c>
      <c r="J697" s="282">
        <f>VLOOKUP(A697,Import!A:J,10,0)</f>
        <v>0</v>
      </c>
      <c r="K697" s="244" t="str">
        <f>VLOOKUP(A697,Import!A:P,11,0)</f>
        <v>Musahan Seyhan</v>
      </c>
      <c r="L697" s="147">
        <v>5.455017595E9</v>
      </c>
      <c r="M697" s="147" t="s">
        <v>2666</v>
      </c>
      <c r="N697" s="147" t="s">
        <v>2774</v>
      </c>
      <c r="O697" s="147" t="s">
        <v>2993</v>
      </c>
      <c r="P697" s="244" t="str">
        <f>VLOOKUP(A697,Import!A:P,16,0)</f>
        <v>Geleneksel</v>
      </c>
      <c r="Q697" s="330"/>
      <c r="R697" s="292" t="b">
        <v>1</v>
      </c>
      <c r="S697" s="293" t="b">
        <v>0</v>
      </c>
      <c r="T697" s="149" t="s">
        <v>2693</v>
      </c>
      <c r="U697" s="296"/>
      <c r="V697" s="296"/>
      <c r="W697" s="149" t="s">
        <v>4341</v>
      </c>
      <c r="X697" s="297"/>
      <c r="Y697" s="297"/>
      <c r="Z697" s="288"/>
      <c r="AA697" s="165" t="s">
        <v>2693</v>
      </c>
      <c r="AB697" s="295">
        <v>44529.0</v>
      </c>
      <c r="AC697" s="165" t="s">
        <v>2693</v>
      </c>
      <c r="AD697" s="295">
        <v>44543.0</v>
      </c>
      <c r="AE697" s="160"/>
      <c r="AF697" s="288"/>
      <c r="AG697" s="160"/>
      <c r="AH697" s="288"/>
      <c r="AI697" s="288"/>
      <c r="AJ697" s="288"/>
      <c r="AK697" s="165" t="s">
        <v>1971</v>
      </c>
      <c r="AL697" s="165" t="s">
        <v>921</v>
      </c>
      <c r="AM697" s="288"/>
      <c r="AN697" s="288"/>
      <c r="AO697" s="288"/>
      <c r="AP697" s="150" t="s">
        <v>2663</v>
      </c>
      <c r="AQ697" s="288"/>
    </row>
    <row r="698">
      <c r="A698" s="150" t="s">
        <v>4342</v>
      </c>
      <c r="B698" s="150" t="s">
        <v>4343</v>
      </c>
      <c r="C698" s="175" t="str">
        <f>VLOOKUP(A698,Import!A:C,3,false)</f>
        <v>YANLIŞ</v>
      </c>
      <c r="D698" s="150" t="s">
        <v>2664</v>
      </c>
      <c r="E698" s="280">
        <f>VLOOKUP(A698,Import!A:J,5,0)</f>
        <v>809</v>
      </c>
      <c r="F698" s="280" t="str">
        <f>VLOOKUP(A698,Import!A:J,6,0)</f>
        <v/>
      </c>
      <c r="G698" s="289">
        <f>VLOOKUP(A698,Import!A:J,7,0)</f>
        <v>0</v>
      </c>
      <c r="H698" s="289">
        <f>VLOOKUP(A698,Import!A:J,8,0)</f>
        <v>42</v>
      </c>
      <c r="I698" s="289">
        <f>VLOOKUP(A698,Import!A:J,9,0)</f>
        <v>42</v>
      </c>
      <c r="J698" s="282">
        <f>VLOOKUP(A698,Import!A:J,10,0)</f>
        <v>0</v>
      </c>
      <c r="K698" s="244" t="str">
        <f>VLOOKUP(A698,Import!A:P,11,0)</f>
        <v>Emre Yücel</v>
      </c>
      <c r="L698" s="150">
        <v>5.076588086E9</v>
      </c>
      <c r="M698" s="150" t="s">
        <v>1450</v>
      </c>
      <c r="N698" s="150" t="s">
        <v>2700</v>
      </c>
      <c r="O698" s="150" t="s">
        <v>4344</v>
      </c>
      <c r="P698" s="244" t="str">
        <f>VLOOKUP(A698,Import!A:P,16,0)</f>
        <v>Geleneksel</v>
      </c>
      <c r="Q698" s="291" t="s">
        <v>2713</v>
      </c>
      <c r="R698" s="292" t="b">
        <v>1</v>
      </c>
      <c r="S698" s="292" t="b">
        <v>1</v>
      </c>
      <c r="T698" s="296"/>
      <c r="U698" s="296"/>
      <c r="V698" s="296"/>
      <c r="W698" s="149" t="s">
        <v>4345</v>
      </c>
      <c r="X698" s="297"/>
      <c r="Y698" s="297"/>
      <c r="Z698" s="288"/>
      <c r="AA698" s="165" t="s">
        <v>2669</v>
      </c>
      <c r="AB698" s="295">
        <v>44503.0</v>
      </c>
      <c r="AC698" s="165" t="s">
        <v>2669</v>
      </c>
      <c r="AD698" s="295">
        <v>44582.0</v>
      </c>
      <c r="AE698" s="160"/>
      <c r="AF698" s="288"/>
      <c r="AG698" s="160"/>
      <c r="AH698" s="288"/>
      <c r="AI698" s="288"/>
      <c r="AJ698" s="288"/>
      <c r="AK698" s="165" t="s">
        <v>1717</v>
      </c>
      <c r="AL698" s="165" t="s">
        <v>1791</v>
      </c>
      <c r="AM698" s="288"/>
      <c r="AN698" s="288"/>
      <c r="AO698" s="288"/>
      <c r="AP698" s="150" t="s">
        <v>2663</v>
      </c>
      <c r="AQ698" s="288"/>
    </row>
    <row r="699">
      <c r="A699" s="150" t="s">
        <v>4346</v>
      </c>
      <c r="B699" s="150" t="s">
        <v>4347</v>
      </c>
      <c r="C699" s="175" t="str">
        <f>VLOOKUP(A699,Import!A:C,3,false)</f>
        <v>DOĞRU</v>
      </c>
      <c r="D699" s="162" t="s">
        <v>2664</v>
      </c>
      <c r="E699" s="280">
        <f>VLOOKUP(A699,Import!A:J,5,0)</f>
        <v>10486</v>
      </c>
      <c r="F699" s="280">
        <f>VLOOKUP(A699,Import!A:J,6,0)</f>
        <v>370</v>
      </c>
      <c r="G699" s="289">
        <f>VLOOKUP(A699,Import!A:J,7,0)</f>
        <v>28</v>
      </c>
      <c r="H699" s="289">
        <f>VLOOKUP(A699,Import!A:J,8,0)</f>
        <v>8</v>
      </c>
      <c r="I699" s="289">
        <f>VLOOKUP(A699,Import!A:J,9,0)</f>
        <v>36</v>
      </c>
      <c r="J699" s="282">
        <f>VLOOKUP(A699,Import!A:J,10,0)</f>
        <v>0.78</v>
      </c>
      <c r="K699" s="244" t="str">
        <f>VLOOKUP(A699,Import!A:P,11,0)</f>
        <v>Tuğçe İlayda Gökalp</v>
      </c>
      <c r="L699" s="162">
        <v>2.223228678E9</v>
      </c>
      <c r="M699" s="162" t="s">
        <v>2666</v>
      </c>
      <c r="N699" s="162" t="s">
        <v>2682</v>
      </c>
      <c r="O699" s="162" t="s">
        <v>4348</v>
      </c>
      <c r="P699" s="244" t="str">
        <f>VLOOKUP(A699,Import!A:P,16,0)</f>
        <v>Geleneksel</v>
      </c>
      <c r="Q699" s="300" t="s">
        <v>2760</v>
      </c>
      <c r="R699" s="285" t="b">
        <v>1</v>
      </c>
      <c r="S699" s="285" t="b">
        <v>1</v>
      </c>
      <c r="T699" s="358"/>
      <c r="U699" s="358"/>
      <c r="V699" s="358"/>
      <c r="W699" s="145" t="s">
        <v>4349</v>
      </c>
      <c r="X699" s="359"/>
      <c r="Y699" s="359"/>
      <c r="Z699" s="288"/>
      <c r="AA699" s="288"/>
      <c r="AB699" s="288"/>
      <c r="AC699" s="288"/>
      <c r="AD699" s="288"/>
      <c r="AE699" s="160"/>
      <c r="AF699" s="288"/>
      <c r="AG699" s="160"/>
      <c r="AH699" s="288"/>
      <c r="AI699" s="288"/>
      <c r="AJ699" s="288"/>
      <c r="AK699" s="288"/>
      <c r="AL699" s="288"/>
      <c r="AM699" s="288"/>
      <c r="AN699" s="288"/>
      <c r="AO699" s="288"/>
      <c r="AP699" s="150" t="s">
        <v>2663</v>
      </c>
      <c r="AQ699" s="288"/>
    </row>
    <row r="700">
      <c r="A700" s="150" t="s">
        <v>2150</v>
      </c>
      <c r="B700" s="150" t="s">
        <v>2151</v>
      </c>
      <c r="C700" s="175" t="str">
        <f>VLOOKUP(A700,Import!A:C,3,false)</f>
        <v>DOĞRU</v>
      </c>
      <c r="D700" s="150" t="s">
        <v>2664</v>
      </c>
      <c r="E700" s="280">
        <f>VLOOKUP(A700,Import!A:J,5,0)</f>
        <v>2347</v>
      </c>
      <c r="F700" s="280">
        <f>VLOOKUP(A700,Import!A:J,6,0)</f>
        <v>112</v>
      </c>
      <c r="G700" s="289">
        <f>VLOOKUP(A700,Import!A:J,7,0)</f>
        <v>24</v>
      </c>
      <c r="H700" s="289">
        <f>VLOOKUP(A700,Import!A:J,8,0)</f>
        <v>33</v>
      </c>
      <c r="I700" s="289">
        <f>VLOOKUP(A700,Import!A:J,9,0)</f>
        <v>57</v>
      </c>
      <c r="J700" s="282">
        <f>VLOOKUP(A700,Import!A:J,10,0)</f>
        <v>0.42</v>
      </c>
      <c r="K700" s="290" t="s">
        <v>4350</v>
      </c>
      <c r="L700" s="150">
        <v>5.360604093E9</v>
      </c>
      <c r="M700" s="150" t="s">
        <v>2666</v>
      </c>
      <c r="N700" s="150" t="s">
        <v>2801</v>
      </c>
      <c r="O700" s="150" t="s">
        <v>2153</v>
      </c>
      <c r="P700" s="244" t="str">
        <f>VLOOKUP(A700,Import!A:P,16,0)</f>
        <v>Geleneksel</v>
      </c>
      <c r="Q700" s="291"/>
      <c r="R700" s="292" t="b">
        <v>1</v>
      </c>
      <c r="S700" s="293" t="b">
        <v>0</v>
      </c>
      <c r="T700" s="149" t="s">
        <v>2661</v>
      </c>
      <c r="U700" s="149" t="s">
        <v>921</v>
      </c>
      <c r="V700" s="149" t="s">
        <v>1609</v>
      </c>
      <c r="W700" s="149"/>
      <c r="X700" s="294">
        <v>44540.0</v>
      </c>
      <c r="Y700" s="294">
        <v>44543.0</v>
      </c>
      <c r="Z700" s="288"/>
      <c r="AA700" s="165" t="s">
        <v>2669</v>
      </c>
      <c r="AB700" s="295">
        <v>44540.0</v>
      </c>
      <c r="AC700" s="288"/>
      <c r="AD700" s="288"/>
      <c r="AE700" s="160"/>
      <c r="AF700" s="288"/>
      <c r="AG700" s="160"/>
      <c r="AH700" s="288"/>
      <c r="AI700" s="288"/>
      <c r="AJ700" s="288"/>
      <c r="AK700" s="165" t="s">
        <v>921</v>
      </c>
      <c r="AL700" s="288"/>
      <c r="AM700" s="288"/>
      <c r="AN700" s="288"/>
      <c r="AO700" s="165"/>
      <c r="AP700" s="150" t="s">
        <v>2663</v>
      </c>
      <c r="AQ700" s="165"/>
    </row>
    <row r="701">
      <c r="A701" s="244" t="s">
        <v>828</v>
      </c>
      <c r="B701" s="244" t="s">
        <v>829</v>
      </c>
      <c r="C701" s="175" t="str">
        <f>VLOOKUP(A701,Import!A:C,3,false)</f>
        <v>DOĞRU</v>
      </c>
      <c r="D701" s="362" t="s">
        <v>2658</v>
      </c>
      <c r="E701" s="280">
        <f>VLOOKUP(A701,Import!A:J,5,0)</f>
        <v>9022</v>
      </c>
      <c r="F701" s="280">
        <f>VLOOKUP(A701,Import!A:J,6,0)</f>
        <v>31</v>
      </c>
      <c r="G701" s="289">
        <f>VLOOKUP(A701,Import!A:J,7,0)</f>
        <v>1</v>
      </c>
      <c r="H701" s="289">
        <f>VLOOKUP(A701,Import!A:J,8,0)</f>
        <v>40</v>
      </c>
      <c r="I701" s="289">
        <f>VLOOKUP(A701,Import!A:J,9,0)</f>
        <v>41</v>
      </c>
      <c r="J701" s="282">
        <f>VLOOKUP(A701,Import!A:J,10,0)</f>
        <v>0.02</v>
      </c>
      <c r="K701" s="244" t="str">
        <f>VLOOKUP(A701,Import!A:P,11,0)</f>
        <v>NAİM UYSAL</v>
      </c>
      <c r="L701" s="280">
        <v>2.222400088E9</v>
      </c>
      <c r="M701" s="244" t="s">
        <v>1450</v>
      </c>
      <c r="N701" s="244" t="s">
        <v>2905</v>
      </c>
      <c r="O701" s="244" t="s">
        <v>832</v>
      </c>
      <c r="P701" s="244" t="str">
        <f>VLOOKUP(A701,Import!A:P,16,0)</f>
        <v>Geleneksel</v>
      </c>
      <c r="Q701" s="291" t="s">
        <v>2760</v>
      </c>
      <c r="R701" s="292" t="b">
        <v>1</v>
      </c>
      <c r="S701" s="293" t="b">
        <v>0</v>
      </c>
      <c r="T701" s="165" t="s">
        <v>2661</v>
      </c>
      <c r="U701" s="165"/>
      <c r="V701" s="165" t="s">
        <v>31</v>
      </c>
      <c r="W701" s="165" t="s">
        <v>4351</v>
      </c>
      <c r="X701" s="295">
        <v>44253.0</v>
      </c>
      <c r="Y701" s="295">
        <v>44256.0</v>
      </c>
      <c r="Z701" s="288"/>
      <c r="AA701" s="288"/>
      <c r="AB701" s="288"/>
      <c r="AC701" s="288"/>
      <c r="AD701" s="288"/>
      <c r="AE701" s="160"/>
      <c r="AF701" s="288"/>
      <c r="AG701" s="160"/>
      <c r="AH701" s="288"/>
      <c r="AI701" s="288"/>
      <c r="AJ701" s="288"/>
      <c r="AK701" s="288"/>
      <c r="AL701" s="288"/>
      <c r="AM701" s="288"/>
      <c r="AN701" s="288"/>
      <c r="AO701" s="288"/>
      <c r="AP701" s="150" t="s">
        <v>2663</v>
      </c>
      <c r="AQ701" s="288"/>
    </row>
    <row r="702">
      <c r="A702" s="244" t="s">
        <v>61</v>
      </c>
      <c r="B702" s="244" t="s">
        <v>62</v>
      </c>
      <c r="C702" s="175" t="str">
        <f>VLOOKUP(A702,Import!A:C,3,false)</f>
        <v>DOĞRU</v>
      </c>
      <c r="D702" s="175" t="s">
        <v>2658</v>
      </c>
      <c r="E702" s="280">
        <f>VLOOKUP(A702,Import!A:J,5,0)</f>
        <v>7570</v>
      </c>
      <c r="F702" s="280">
        <f>VLOOKUP(A702,Import!A:J,6,0)</f>
        <v>506</v>
      </c>
      <c r="G702" s="289">
        <f>VLOOKUP(A702,Import!A:J,7,0)</f>
        <v>8</v>
      </c>
      <c r="H702" s="289">
        <f>VLOOKUP(A702,Import!A:J,8,0)</f>
        <v>3</v>
      </c>
      <c r="I702" s="289">
        <f>VLOOKUP(A702,Import!A:J,9,0)</f>
        <v>11</v>
      </c>
      <c r="J702" s="282">
        <f>VLOOKUP(A702,Import!A:J,10,0)</f>
        <v>0.73</v>
      </c>
      <c r="K702" s="244" t="str">
        <f>VLOOKUP(A702,Import!A:P,11,0)</f>
        <v>İsmet Tekin</v>
      </c>
      <c r="L702" s="283">
        <v>2.223230565E9</v>
      </c>
      <c r="M702" s="175" t="s">
        <v>2666</v>
      </c>
      <c r="N702" s="175" t="s">
        <v>2682</v>
      </c>
      <c r="O702" s="175" t="s">
        <v>64</v>
      </c>
      <c r="P702" s="244" t="str">
        <f>VLOOKUP(A702,Import!A:P,16,0)</f>
        <v>Geleneksel</v>
      </c>
      <c r="Q702" s="284" t="s">
        <v>2660</v>
      </c>
      <c r="R702" s="285" t="b">
        <v>1</v>
      </c>
      <c r="S702" s="286" t="b">
        <v>0</v>
      </c>
      <c r="T702" s="171" t="s">
        <v>2661</v>
      </c>
      <c r="U702" s="171"/>
      <c r="V702" s="171" t="s">
        <v>13</v>
      </c>
      <c r="W702" s="298"/>
      <c r="X702" s="287">
        <v>44231.0</v>
      </c>
      <c r="Y702" s="287">
        <v>44236.0</v>
      </c>
      <c r="Z702" s="288"/>
      <c r="AA702" s="288"/>
      <c r="AB702" s="288"/>
      <c r="AC702" s="288"/>
      <c r="AD702" s="288"/>
      <c r="AE702" s="160"/>
      <c r="AF702" s="288"/>
      <c r="AG702" s="160"/>
      <c r="AH702" s="288"/>
      <c r="AI702" s="288"/>
      <c r="AJ702" s="288"/>
      <c r="AK702" s="288"/>
      <c r="AL702" s="288"/>
      <c r="AM702" s="288"/>
      <c r="AN702" s="288"/>
      <c r="AO702" s="288"/>
      <c r="AP702" s="150" t="s">
        <v>2663</v>
      </c>
      <c r="AQ702" s="288"/>
    </row>
    <row r="703">
      <c r="A703" s="147" t="s">
        <v>1255</v>
      </c>
      <c r="B703" s="147" t="s">
        <v>1256</v>
      </c>
      <c r="C703" s="175" t="str">
        <f>VLOOKUP(A703,Import!A:C,3,false)</f>
        <v>DOĞRU</v>
      </c>
      <c r="D703" s="147" t="s">
        <v>2672</v>
      </c>
      <c r="E703" s="280">
        <f>VLOOKUP(A703,Import!A:J,5,0)</f>
        <v>2782</v>
      </c>
      <c r="F703" s="280">
        <f>VLOOKUP(A703,Import!A:J,6,0)</f>
        <v>105</v>
      </c>
      <c r="G703" s="289">
        <f>VLOOKUP(A703,Import!A:J,7,0)</f>
        <v>4</v>
      </c>
      <c r="H703" s="289">
        <f>VLOOKUP(A703,Import!A:J,8,0)</f>
        <v>1</v>
      </c>
      <c r="I703" s="289">
        <f>VLOOKUP(A703,Import!A:J,9,0)</f>
        <v>5</v>
      </c>
      <c r="J703" s="282">
        <f>VLOOKUP(A703,Import!A:J,10,0)</f>
        <v>0.8</v>
      </c>
      <c r="K703" s="244" t="str">
        <f>VLOOKUP(A703,Import!A:P,11,0)</f>
        <v>Harun Tekin</v>
      </c>
      <c r="L703" s="147">
        <v>2.223200885E9</v>
      </c>
      <c r="M703" s="147" t="s">
        <v>2666</v>
      </c>
      <c r="N703" s="147" t="s">
        <v>2750</v>
      </c>
      <c r="O703" s="147" t="s">
        <v>1258</v>
      </c>
      <c r="P703" s="244" t="str">
        <f>VLOOKUP(A703,Import!A:P,16,0)</f>
        <v>Geleneksel</v>
      </c>
      <c r="Q703" s="330"/>
      <c r="R703" s="292" t="b">
        <v>1</v>
      </c>
      <c r="S703" s="293" t="b">
        <v>0</v>
      </c>
      <c r="T703" s="149" t="s">
        <v>2661</v>
      </c>
      <c r="U703" s="149" t="s">
        <v>819</v>
      </c>
      <c r="V703" s="149" t="s">
        <v>13</v>
      </c>
      <c r="X703" s="294">
        <v>44306.0</v>
      </c>
      <c r="Y703" s="294">
        <v>44307.0</v>
      </c>
      <c r="Z703" s="288"/>
      <c r="AA703" s="288"/>
      <c r="AB703" s="288"/>
      <c r="AC703" s="288"/>
      <c r="AD703" s="288"/>
      <c r="AE703" s="160"/>
      <c r="AF703" s="288"/>
      <c r="AG703" s="160"/>
      <c r="AH703" s="288"/>
      <c r="AI703" s="288"/>
      <c r="AJ703" s="288"/>
      <c r="AK703" s="288"/>
      <c r="AL703" s="288"/>
      <c r="AM703" s="288"/>
      <c r="AN703" s="288"/>
      <c r="AO703" s="288"/>
      <c r="AP703" s="150" t="s">
        <v>2663</v>
      </c>
      <c r="AQ703" s="288"/>
    </row>
    <row r="704">
      <c r="A704" s="150" t="s">
        <v>4352</v>
      </c>
      <c r="B704" s="150" t="s">
        <v>4353</v>
      </c>
      <c r="C704" s="175" t="str">
        <f>VLOOKUP(A704,Import!A:C,3,false)</f>
        <v>DOĞRU</v>
      </c>
      <c r="D704" s="150" t="s">
        <v>2664</v>
      </c>
      <c r="E704" s="280" t="str">
        <f>VLOOKUP(A704,Import!A:J,5,0)</f>
        <v/>
      </c>
      <c r="F704" s="280" t="str">
        <f>VLOOKUP(A704,Import!A:J,6,0)</f>
        <v/>
      </c>
      <c r="G704" s="289">
        <f>VLOOKUP(A704,Import!A:J,7,0)</f>
        <v>0</v>
      </c>
      <c r="H704" s="289">
        <f>VLOOKUP(A704,Import!A:J,8,0)</f>
        <v>29</v>
      </c>
      <c r="I704" s="289">
        <f>VLOOKUP(A704,Import!A:J,9,0)</f>
        <v>29</v>
      </c>
      <c r="J704" s="282">
        <f>VLOOKUP(A704,Import!A:J,10,0)</f>
        <v>0</v>
      </c>
      <c r="K704" s="150" t="s">
        <v>4354</v>
      </c>
      <c r="L704" s="150">
        <v>2.225000066E9</v>
      </c>
      <c r="M704" s="150" t="s">
        <v>1450</v>
      </c>
      <c r="N704" s="150" t="s">
        <v>2732</v>
      </c>
      <c r="O704" s="150" t="s">
        <v>3340</v>
      </c>
      <c r="P704" s="244" t="str">
        <f>VLOOKUP(A704,Import!A:P,16,0)</f>
        <v>Geleneksel</v>
      </c>
      <c r="Q704" s="291"/>
      <c r="R704" s="292" t="b">
        <v>0</v>
      </c>
      <c r="S704" s="293" t="b">
        <v>0</v>
      </c>
      <c r="T704" s="149"/>
      <c r="U704" s="296"/>
      <c r="V704" s="296"/>
      <c r="W704" s="149"/>
      <c r="X704" s="297"/>
      <c r="Y704" s="297"/>
      <c r="Z704" s="288"/>
      <c r="AA704" s="165"/>
      <c r="AB704" s="295"/>
      <c r="AC704" s="288"/>
      <c r="AD704" s="288"/>
      <c r="AE704" s="160"/>
      <c r="AF704" s="288"/>
      <c r="AG704" s="160"/>
      <c r="AH704" s="288"/>
      <c r="AI704" s="288"/>
      <c r="AJ704" s="288"/>
      <c r="AK704" s="165"/>
      <c r="AL704" s="288"/>
      <c r="AM704" s="288"/>
      <c r="AN704" s="288"/>
      <c r="AO704" s="165"/>
      <c r="AP704" s="150"/>
      <c r="AQ704" s="165"/>
    </row>
    <row r="705">
      <c r="A705" s="147" t="s">
        <v>1260</v>
      </c>
      <c r="B705" s="147" t="s">
        <v>1261</v>
      </c>
      <c r="C705" s="175" t="str">
        <f>VLOOKUP(A705,Import!A:C,3,false)</f>
        <v>DOĞRU</v>
      </c>
      <c r="D705" s="147" t="s">
        <v>2773</v>
      </c>
      <c r="E705" s="280">
        <f>VLOOKUP(A705,Import!A:J,5,0)</f>
        <v>450</v>
      </c>
      <c r="F705" s="280">
        <f>VLOOKUP(A705,Import!A:J,6,0)</f>
        <v>1</v>
      </c>
      <c r="G705" s="289">
        <f>VLOOKUP(A705,Import!A:J,7,0)</f>
        <v>16</v>
      </c>
      <c r="H705" s="289">
        <f>VLOOKUP(A705,Import!A:J,8,0)</f>
        <v>7</v>
      </c>
      <c r="I705" s="289">
        <f>VLOOKUP(A705,Import!A:J,9,0)</f>
        <v>23</v>
      </c>
      <c r="J705" s="282">
        <f>VLOOKUP(A705,Import!A:J,10,0)</f>
        <v>0.7</v>
      </c>
      <c r="K705" s="244" t="str">
        <f>VLOOKUP(A705,Import!A:P,11,0)</f>
        <v>Ismahan Tuzyurdu</v>
      </c>
      <c r="L705" s="147">
        <v>5.467302626E9</v>
      </c>
      <c r="M705" s="147" t="s">
        <v>2666</v>
      </c>
      <c r="N705" s="147" t="s">
        <v>2721</v>
      </c>
      <c r="O705" s="147" t="s">
        <v>1263</v>
      </c>
      <c r="P705" s="244" t="str">
        <f>VLOOKUP(A705,Import!A:P,16,0)</f>
        <v>Geleneksel</v>
      </c>
      <c r="Q705" s="330"/>
      <c r="R705" s="292" t="b">
        <v>1</v>
      </c>
      <c r="S705" s="293" t="b">
        <v>0</v>
      </c>
      <c r="T705" s="149" t="s">
        <v>2661</v>
      </c>
      <c r="U705" s="149" t="s">
        <v>937</v>
      </c>
      <c r="V705" s="149" t="s">
        <v>13</v>
      </c>
      <c r="X705" s="294">
        <v>44306.0</v>
      </c>
      <c r="Y705" s="294">
        <v>44307.0</v>
      </c>
      <c r="Z705" s="288"/>
      <c r="AA705" s="288"/>
      <c r="AB705" s="288"/>
      <c r="AC705" s="288"/>
      <c r="AD705" s="288"/>
      <c r="AE705" s="160"/>
      <c r="AF705" s="288"/>
      <c r="AG705" s="160"/>
      <c r="AH705" s="288"/>
      <c r="AI705" s="288"/>
      <c r="AJ705" s="288"/>
      <c r="AK705" s="288"/>
      <c r="AL705" s="288"/>
      <c r="AM705" s="288"/>
      <c r="AN705" s="288"/>
      <c r="AO705" s="288"/>
      <c r="AP705" s="150" t="s">
        <v>2663</v>
      </c>
      <c r="AQ705" s="288"/>
    </row>
    <row r="706">
      <c r="A706" s="150" t="s">
        <v>4355</v>
      </c>
      <c r="B706" s="150" t="s">
        <v>4356</v>
      </c>
      <c r="C706" s="175" t="str">
        <f>VLOOKUP(A706,Import!A:C,3,false)</f>
        <v>DOĞRU</v>
      </c>
      <c r="D706" s="150" t="s">
        <v>2706</v>
      </c>
      <c r="E706" s="280">
        <f>VLOOKUP(A706,Import!A:J,5,0)</f>
        <v>368</v>
      </c>
      <c r="F706" s="280">
        <f>VLOOKUP(A706,Import!A:J,6,0)</f>
        <v>50</v>
      </c>
      <c r="G706" s="289">
        <f>VLOOKUP(A706,Import!A:J,7,0)</f>
        <v>0</v>
      </c>
      <c r="H706" s="289">
        <f>VLOOKUP(A706,Import!A:J,8,0)</f>
        <v>237</v>
      </c>
      <c r="I706" s="289">
        <f>VLOOKUP(A706,Import!A:J,9,0)</f>
        <v>237</v>
      </c>
      <c r="J706" s="282">
        <f>VLOOKUP(A706,Import!A:J,10,0)</f>
        <v>0</v>
      </c>
      <c r="K706" s="244" t="str">
        <f>VLOOKUP(A706,Import!A:P,11,0)</f>
        <v>Begüm Taşkır</v>
      </c>
      <c r="L706" s="150">
        <v>5.070066166E9</v>
      </c>
      <c r="M706" s="150" t="s">
        <v>2666</v>
      </c>
      <c r="N706" s="150" t="s">
        <v>2682</v>
      </c>
      <c r="O706" s="150" t="s">
        <v>4357</v>
      </c>
      <c r="P706" s="244" t="str">
        <f>VLOOKUP(A706,Import!A:P,16,0)</f>
        <v>Geleneksel</v>
      </c>
      <c r="Q706" s="291"/>
      <c r="R706" s="292" t="b">
        <v>1</v>
      </c>
      <c r="S706" s="293" t="b">
        <v>0</v>
      </c>
      <c r="T706" s="149" t="s">
        <v>2688</v>
      </c>
      <c r="U706" s="296"/>
      <c r="V706" s="296"/>
      <c r="W706" s="149" t="s">
        <v>4358</v>
      </c>
      <c r="X706" s="297"/>
      <c r="Y706" s="297"/>
      <c r="Z706" s="288"/>
      <c r="AA706" s="165" t="s">
        <v>2688</v>
      </c>
      <c r="AB706" s="295">
        <v>44378.0</v>
      </c>
      <c r="AC706" s="165" t="s">
        <v>2669</v>
      </c>
      <c r="AD706" s="295">
        <v>44593.0</v>
      </c>
      <c r="AE706" s="160"/>
      <c r="AF706" s="288"/>
      <c r="AG706" s="160"/>
      <c r="AH706" s="288"/>
      <c r="AI706" s="288"/>
      <c r="AJ706" s="288"/>
      <c r="AK706" s="165" t="s">
        <v>2718</v>
      </c>
      <c r="AL706" s="165" t="s">
        <v>1717</v>
      </c>
      <c r="AM706" s="288"/>
      <c r="AN706" s="288"/>
      <c r="AO706" s="288"/>
      <c r="AP706" s="150" t="s">
        <v>2663</v>
      </c>
      <c r="AQ706" s="288"/>
    </row>
    <row r="707">
      <c r="A707" s="150" t="s">
        <v>726</v>
      </c>
      <c r="B707" s="150" t="s">
        <v>727</v>
      </c>
      <c r="C707" s="175" t="str">
        <f>VLOOKUP(A707,Import!A:C,3,false)</f>
        <v>DOĞRU</v>
      </c>
      <c r="D707" s="150" t="s">
        <v>2696</v>
      </c>
      <c r="E707" s="280">
        <f>VLOOKUP(A707,Import!A:J,5,0)</f>
        <v>3084</v>
      </c>
      <c r="F707" s="280">
        <f>VLOOKUP(A707,Import!A:J,6,0)</f>
        <v>5</v>
      </c>
      <c r="G707" s="289">
        <f>VLOOKUP(A707,Import!A:J,7,0)</f>
        <v>13</v>
      </c>
      <c r="H707" s="289">
        <f>VLOOKUP(A707,Import!A:J,8,0)</f>
        <v>27</v>
      </c>
      <c r="I707" s="289">
        <f>VLOOKUP(A707,Import!A:J,9,0)</f>
        <v>40</v>
      </c>
      <c r="J707" s="282">
        <f>VLOOKUP(A707,Import!A:J,10,0)</f>
        <v>0.33</v>
      </c>
      <c r="K707" s="244" t="str">
        <f>VLOOKUP(A707,Import!A:P,11,0)</f>
        <v>HALİL DEMİRKALA</v>
      </c>
      <c r="L707" s="150">
        <v>2.222335171E9</v>
      </c>
      <c r="M707" s="150" t="s">
        <v>2666</v>
      </c>
      <c r="N707" s="150" t="s">
        <v>2897</v>
      </c>
      <c r="O707" s="150" t="s">
        <v>730</v>
      </c>
      <c r="P707" s="244" t="str">
        <f>VLOOKUP(A707,Import!A:P,16,0)</f>
        <v>Geleneksel</v>
      </c>
      <c r="Q707" s="291" t="s">
        <v>2713</v>
      </c>
      <c r="R707" s="292" t="b">
        <v>1</v>
      </c>
      <c r="S707" s="293" t="b">
        <v>0</v>
      </c>
      <c r="T707" s="149" t="s">
        <v>2661</v>
      </c>
      <c r="U707" s="149" t="s">
        <v>2474</v>
      </c>
      <c r="V707" s="149" t="s">
        <v>2835</v>
      </c>
      <c r="W707" s="149" t="s">
        <v>4359</v>
      </c>
      <c r="X707" s="294">
        <v>44308.0</v>
      </c>
      <c r="Y707" s="294">
        <v>44316.0</v>
      </c>
      <c r="Z707" s="288"/>
      <c r="AA707" s="165" t="s">
        <v>2669</v>
      </c>
      <c r="AB707" s="295">
        <v>44602.0</v>
      </c>
      <c r="AC707" s="288"/>
      <c r="AD707" s="288"/>
      <c r="AE707" s="160"/>
      <c r="AF707" s="288"/>
      <c r="AG707" s="160"/>
      <c r="AH707" s="288"/>
      <c r="AI707" s="288"/>
      <c r="AJ707" s="288"/>
      <c r="AK707" s="165" t="s">
        <v>2474</v>
      </c>
      <c r="AL707" s="288"/>
      <c r="AM707" s="288"/>
      <c r="AN707" s="288"/>
      <c r="AO707" s="288"/>
      <c r="AP707" s="150" t="s">
        <v>2663</v>
      </c>
      <c r="AQ707" s="288"/>
    </row>
    <row r="708">
      <c r="A708" s="244" t="s">
        <v>131</v>
      </c>
      <c r="B708" s="244" t="s">
        <v>132</v>
      </c>
      <c r="C708" s="175" t="str">
        <f>VLOOKUP(A708,Import!A:C,3,false)</f>
        <v>DOĞRU</v>
      </c>
      <c r="D708" s="303" t="s">
        <v>2696</v>
      </c>
      <c r="E708" s="280">
        <f>VLOOKUP(A708,Import!A:J,5,0)</f>
        <v>3069</v>
      </c>
      <c r="F708" s="280">
        <f>VLOOKUP(A708,Import!A:J,6,0)</f>
        <v>92</v>
      </c>
      <c r="G708" s="289">
        <f>VLOOKUP(A708,Import!A:J,7,0)</f>
        <v>24</v>
      </c>
      <c r="H708" s="289">
        <f>VLOOKUP(A708,Import!A:J,8,0)</f>
        <v>7</v>
      </c>
      <c r="I708" s="289">
        <f>VLOOKUP(A708,Import!A:J,9,0)</f>
        <v>31</v>
      </c>
      <c r="J708" s="282">
        <f>VLOOKUP(A708,Import!A:J,10,0)</f>
        <v>0.77</v>
      </c>
      <c r="K708" s="244" t="str">
        <f>VLOOKUP(A708,Import!A:P,11,0)</f>
        <v>SALİH BULUT</v>
      </c>
      <c r="L708" s="304">
        <v>2.22502505E9</v>
      </c>
      <c r="M708" s="303" t="s">
        <v>2666</v>
      </c>
      <c r="N708" s="303" t="s">
        <v>2682</v>
      </c>
      <c r="O708" s="303" t="s">
        <v>134</v>
      </c>
      <c r="P708" s="244" t="str">
        <f>VLOOKUP(A708,Import!A:P,16,0)</f>
        <v>Geleneksel</v>
      </c>
      <c r="Q708" s="305" t="s">
        <v>2660</v>
      </c>
      <c r="R708" s="306" t="b">
        <v>1</v>
      </c>
      <c r="S708" s="307" t="b">
        <v>0</v>
      </c>
      <c r="T708" s="309" t="s">
        <v>2661</v>
      </c>
      <c r="U708" s="309" t="s">
        <v>1000</v>
      </c>
      <c r="V708" s="309" t="s">
        <v>46</v>
      </c>
      <c r="W708" s="309" t="s">
        <v>3046</v>
      </c>
      <c r="X708" s="310">
        <v>44267.0</v>
      </c>
      <c r="Y708" s="310">
        <v>44270.0</v>
      </c>
      <c r="Z708" s="288"/>
      <c r="AA708" s="288"/>
      <c r="AB708" s="288"/>
      <c r="AC708" s="288"/>
      <c r="AD708" s="288"/>
      <c r="AE708" s="160"/>
      <c r="AF708" s="288"/>
      <c r="AG708" s="160"/>
      <c r="AH708" s="288"/>
      <c r="AI708" s="288"/>
      <c r="AJ708" s="288"/>
      <c r="AK708" s="288"/>
      <c r="AL708" s="288"/>
      <c r="AM708" s="288"/>
      <c r="AN708" s="288"/>
      <c r="AO708" s="288"/>
      <c r="AP708" s="150" t="s">
        <v>2663</v>
      </c>
      <c r="AQ708" s="288"/>
    </row>
    <row r="709">
      <c r="A709" s="147" t="s">
        <v>2166</v>
      </c>
      <c r="B709" s="147" t="s">
        <v>1683</v>
      </c>
      <c r="C709" s="175" t="str">
        <f>VLOOKUP(A709,Import!A:C,3,false)</f>
        <v>DOĞRU</v>
      </c>
      <c r="D709" s="147" t="s">
        <v>2696</v>
      </c>
      <c r="E709" s="280">
        <f>VLOOKUP(A709,Import!A:J,5,0)</f>
        <v>1199</v>
      </c>
      <c r="F709" s="280">
        <f>VLOOKUP(A709,Import!A:J,6,0)</f>
        <v>30</v>
      </c>
      <c r="G709" s="289">
        <f>VLOOKUP(A709,Import!A:J,7,0)</f>
        <v>0</v>
      </c>
      <c r="H709" s="289">
        <f>VLOOKUP(A709,Import!A:J,8,0)</f>
        <v>37</v>
      </c>
      <c r="I709" s="289">
        <f>VLOOKUP(A709,Import!A:J,9,0)</f>
        <v>37</v>
      </c>
      <c r="J709" s="282">
        <f>VLOOKUP(A709,Import!A:J,10,0)</f>
        <v>0</v>
      </c>
      <c r="K709" s="244" t="str">
        <f>VLOOKUP(A709,Import!A:P,11,0)</f>
        <v>İbrahim Kaya</v>
      </c>
      <c r="L709" s="147">
        <v>2.222252002E9</v>
      </c>
      <c r="M709" s="147" t="s">
        <v>1450</v>
      </c>
      <c r="N709" s="147" t="s">
        <v>2707</v>
      </c>
      <c r="O709" s="147" t="s">
        <v>2168</v>
      </c>
      <c r="P709" s="244" t="str">
        <f>VLOOKUP(A709,Import!A:P,16,0)</f>
        <v>Geleneksel</v>
      </c>
      <c r="Q709" s="330"/>
      <c r="R709" s="292" t="b">
        <v>1</v>
      </c>
      <c r="S709" s="292" t="b">
        <v>0</v>
      </c>
      <c r="T709" s="149" t="s">
        <v>2880</v>
      </c>
      <c r="U709" s="149" t="s">
        <v>2161</v>
      </c>
      <c r="V709" s="149" t="s">
        <v>2835</v>
      </c>
      <c r="W709" s="149" t="s">
        <v>4360</v>
      </c>
      <c r="X709" s="294">
        <v>44541.0</v>
      </c>
      <c r="Y709" s="294">
        <v>44544.0</v>
      </c>
      <c r="Z709" s="288"/>
      <c r="AA709" s="165" t="s">
        <v>2669</v>
      </c>
      <c r="AB709" s="295">
        <v>44541.0</v>
      </c>
      <c r="AC709" s="165" t="s">
        <v>2688</v>
      </c>
      <c r="AD709" s="295">
        <v>44547.0</v>
      </c>
      <c r="AE709" s="160"/>
      <c r="AF709" s="288"/>
      <c r="AG709" s="160"/>
      <c r="AH709" s="288"/>
      <c r="AI709" s="288"/>
      <c r="AJ709" s="288"/>
      <c r="AK709" s="165" t="s">
        <v>2161</v>
      </c>
      <c r="AL709" s="165" t="s">
        <v>1791</v>
      </c>
      <c r="AM709" s="288"/>
      <c r="AN709" s="288"/>
      <c r="AO709" s="288"/>
      <c r="AP709" s="150" t="s">
        <v>2663</v>
      </c>
      <c r="AQ709" s="288"/>
    </row>
    <row r="710">
      <c r="A710" s="150" t="s">
        <v>4361</v>
      </c>
      <c r="B710" s="150" t="s">
        <v>4362</v>
      </c>
      <c r="C710" s="175" t="str">
        <f>VLOOKUP(A710,Import!A:C,3,false)</f>
        <v>DOĞRU</v>
      </c>
      <c r="D710" s="150" t="s">
        <v>2904</v>
      </c>
      <c r="E710" s="280">
        <f>VLOOKUP(A710,Import!A:J,5,0)</f>
        <v>2052</v>
      </c>
      <c r="F710" s="280">
        <f>VLOOKUP(A710,Import!A:J,6,0)</f>
        <v>69</v>
      </c>
      <c r="G710" s="289">
        <f>VLOOKUP(A710,Import!A:J,7,0)</f>
        <v>0</v>
      </c>
      <c r="H710" s="289">
        <f>VLOOKUP(A710,Import!A:J,8,0)</f>
        <v>134</v>
      </c>
      <c r="I710" s="289">
        <f>VLOOKUP(A710,Import!A:J,9,0)</f>
        <v>134</v>
      </c>
      <c r="J710" s="282">
        <f>VLOOKUP(A710,Import!A:J,10,0)</f>
        <v>0</v>
      </c>
      <c r="K710" s="244" t="str">
        <f>VLOOKUP(A710,Import!A:P,11,0)</f>
        <v>Hüseyin Atay</v>
      </c>
      <c r="L710" s="150">
        <v>2.222269994E9</v>
      </c>
      <c r="M710" s="150" t="s">
        <v>1450</v>
      </c>
      <c r="N710" s="150" t="s">
        <v>3838</v>
      </c>
      <c r="O710" s="150" t="s">
        <v>4363</v>
      </c>
      <c r="P710" s="244" t="str">
        <f>VLOOKUP(A710,Import!A:P,16,0)</f>
        <v>Geleneksel</v>
      </c>
      <c r="Q710" s="291" t="s">
        <v>2713</v>
      </c>
      <c r="R710" s="292" t="b">
        <v>1</v>
      </c>
      <c r="S710" s="293" t="b">
        <v>0</v>
      </c>
      <c r="T710" s="149" t="s">
        <v>2714</v>
      </c>
      <c r="U710" s="296"/>
      <c r="V710" s="296"/>
      <c r="W710" s="149" t="s">
        <v>4364</v>
      </c>
      <c r="X710" s="297"/>
      <c r="Y710" s="297"/>
      <c r="Z710" s="288"/>
      <c r="AA710" s="165" t="s">
        <v>2772</v>
      </c>
      <c r="AB710" s="295">
        <v>44377.0</v>
      </c>
      <c r="AC710" s="165" t="s">
        <v>2669</v>
      </c>
      <c r="AD710" s="295">
        <v>44545.0</v>
      </c>
      <c r="AE710" s="160"/>
      <c r="AF710" s="288"/>
      <c r="AG710" s="160"/>
      <c r="AH710" s="288"/>
      <c r="AI710" s="288"/>
      <c r="AJ710" s="288"/>
      <c r="AK710" s="165" t="s">
        <v>2913</v>
      </c>
      <c r="AL710" s="165" t="s">
        <v>1971</v>
      </c>
      <c r="AM710" s="288"/>
      <c r="AN710" s="288"/>
      <c r="AO710" s="288"/>
      <c r="AP710" s="150" t="s">
        <v>2663</v>
      </c>
      <c r="AQ710" s="288"/>
    </row>
    <row r="711">
      <c r="A711" s="147" t="s">
        <v>4365</v>
      </c>
      <c r="B711" s="147" t="s">
        <v>4366</v>
      </c>
      <c r="C711" s="175" t="str">
        <f>VLOOKUP(A711,Import!A:C,3,false)</f>
        <v>YANLIŞ</v>
      </c>
      <c r="D711" s="147" t="s">
        <v>2763</v>
      </c>
      <c r="E711" s="280">
        <f>VLOOKUP(A711,Import!A:J,5,0)</f>
        <v>425</v>
      </c>
      <c r="F711" s="280" t="str">
        <f>VLOOKUP(A711,Import!A:J,6,0)</f>
        <v/>
      </c>
      <c r="G711" s="289">
        <f>VLOOKUP(A711,Import!A:J,7,0)</f>
        <v>0</v>
      </c>
      <c r="H711" s="289">
        <f>VLOOKUP(A711,Import!A:J,8,0)</f>
        <v>31</v>
      </c>
      <c r="I711" s="289">
        <f>VLOOKUP(A711,Import!A:J,9,0)</f>
        <v>31</v>
      </c>
      <c r="J711" s="282">
        <f>VLOOKUP(A711,Import!A:J,10,0)</f>
        <v>0</v>
      </c>
      <c r="K711" s="244" t="str">
        <f>VLOOKUP(A711,Import!A:P,11,0)</f>
        <v>Beklan Gençer</v>
      </c>
      <c r="L711" s="147">
        <v>2.224087893E9</v>
      </c>
      <c r="M711" s="147" t="s">
        <v>1450</v>
      </c>
      <c r="N711" s="147" t="s">
        <v>3189</v>
      </c>
      <c r="O711" s="147" t="s">
        <v>4367</v>
      </c>
      <c r="P711" s="244" t="str">
        <f>VLOOKUP(A711,Import!A:P,16,0)</f>
        <v>Geleneksel</v>
      </c>
      <c r="Q711" s="330"/>
      <c r="R711" s="292" t="b">
        <v>1</v>
      </c>
      <c r="S711" s="293" t="b">
        <v>0</v>
      </c>
      <c r="T711" s="149" t="s">
        <v>2770</v>
      </c>
      <c r="U711" s="296"/>
      <c r="V711" s="296"/>
      <c r="W711" s="149" t="s">
        <v>4368</v>
      </c>
      <c r="X711" s="297"/>
      <c r="Y711" s="297"/>
      <c r="Z711" s="288"/>
      <c r="AA711" s="165" t="s">
        <v>2693</v>
      </c>
      <c r="AB711" s="295">
        <v>44379.0</v>
      </c>
      <c r="AC711" s="165" t="s">
        <v>2772</v>
      </c>
      <c r="AD711" s="295">
        <v>44578.0</v>
      </c>
      <c r="AE711" s="160"/>
      <c r="AF711" s="288"/>
      <c r="AG711" s="160"/>
      <c r="AH711" s="288"/>
      <c r="AI711" s="288"/>
      <c r="AJ711" s="288"/>
      <c r="AK711" s="165" t="s">
        <v>2718</v>
      </c>
      <c r="AL711" s="165" t="s">
        <v>819</v>
      </c>
      <c r="AM711" s="288"/>
      <c r="AN711" s="288"/>
      <c r="AO711" s="288"/>
      <c r="AP711" s="150" t="s">
        <v>2663</v>
      </c>
      <c r="AQ711" s="288"/>
    </row>
    <row r="712">
      <c r="A712" s="150" t="s">
        <v>4369</v>
      </c>
      <c r="B712" s="150" t="s">
        <v>1899</v>
      </c>
      <c r="C712" s="175" t="str">
        <f>VLOOKUP(A712,Import!A:C,3,false)</f>
        <v>DOĞRU</v>
      </c>
      <c r="D712" s="150" t="s">
        <v>2701</v>
      </c>
      <c r="E712" s="280" t="str">
        <f>VLOOKUP(A712,Import!A:J,5,0)</f>
        <v/>
      </c>
      <c r="F712" s="280" t="str">
        <f>VLOOKUP(A712,Import!A:J,6,0)</f>
        <v/>
      </c>
      <c r="G712" s="289">
        <f>VLOOKUP(A712,Import!A:J,7,0)</f>
        <v>0</v>
      </c>
      <c r="H712" s="289">
        <f>VLOOKUP(A712,Import!A:J,8,0)</f>
        <v>24</v>
      </c>
      <c r="I712" s="289">
        <f>VLOOKUP(A712,Import!A:J,9,0)</f>
        <v>24</v>
      </c>
      <c r="J712" s="282">
        <f>VLOOKUP(A712,Import!A:J,10,0)</f>
        <v>0</v>
      </c>
      <c r="K712" s="150" t="s">
        <v>4370</v>
      </c>
      <c r="L712" s="150">
        <v>5.412057525E9</v>
      </c>
      <c r="M712" s="150" t="s">
        <v>2666</v>
      </c>
      <c r="N712" s="150" t="s">
        <v>2750</v>
      </c>
      <c r="O712" s="150" t="s">
        <v>4371</v>
      </c>
      <c r="P712" s="244" t="str">
        <f>VLOOKUP(A712,Import!A:P,16,0)</f>
        <v>Geleneksel</v>
      </c>
      <c r="Q712" s="291"/>
      <c r="R712" s="292" t="b">
        <v>0</v>
      </c>
      <c r="S712" s="293" t="b">
        <v>0</v>
      </c>
      <c r="T712" s="149"/>
      <c r="U712" s="296"/>
      <c r="V712" s="296"/>
      <c r="W712" s="149"/>
      <c r="X712" s="297"/>
      <c r="Y712" s="297"/>
      <c r="Z712" s="288"/>
      <c r="AA712" s="165"/>
      <c r="AB712" s="295"/>
      <c r="AC712" s="288"/>
      <c r="AD712" s="288"/>
      <c r="AE712" s="160"/>
      <c r="AF712" s="288"/>
      <c r="AG712" s="160"/>
      <c r="AH712" s="288"/>
      <c r="AI712" s="288"/>
      <c r="AJ712" s="288"/>
      <c r="AK712" s="165"/>
      <c r="AL712" s="288"/>
      <c r="AM712" s="288"/>
      <c r="AN712" s="288"/>
      <c r="AO712" s="165"/>
      <c r="AP712" s="150"/>
      <c r="AQ712" s="165"/>
    </row>
    <row r="713">
      <c r="A713" s="150" t="s">
        <v>4372</v>
      </c>
      <c r="B713" s="150" t="s">
        <v>4373</v>
      </c>
      <c r="C713" s="175" t="str">
        <f>VLOOKUP(A713,Import!A:C,3,false)</f>
        <v>DOĞRU</v>
      </c>
      <c r="D713" s="150" t="s">
        <v>2701</v>
      </c>
      <c r="E713" s="280" t="str">
        <f>VLOOKUP(A713,Import!A:J,5,0)</f>
        <v/>
      </c>
      <c r="F713" s="280" t="str">
        <f>VLOOKUP(A713,Import!A:J,6,0)</f>
        <v/>
      </c>
      <c r="G713" s="289">
        <f>VLOOKUP(A713,Import!A:J,7,0)</f>
        <v>0</v>
      </c>
      <c r="H713" s="289">
        <f>VLOOKUP(A713,Import!A:J,8,0)</f>
        <v>42</v>
      </c>
      <c r="I713" s="289">
        <f>VLOOKUP(A713,Import!A:J,9,0)</f>
        <v>42</v>
      </c>
      <c r="J713" s="282">
        <f>VLOOKUP(A713,Import!A:J,10,0)</f>
        <v>0</v>
      </c>
      <c r="K713" s="290" t="s">
        <v>4374</v>
      </c>
      <c r="L713" s="150">
        <v>5.465485545E9</v>
      </c>
      <c r="M713" s="150" t="s">
        <v>2666</v>
      </c>
      <c r="N713" s="150" t="s">
        <v>2667</v>
      </c>
      <c r="O713" s="150" t="s">
        <v>4375</v>
      </c>
      <c r="P713" s="244" t="str">
        <f>VLOOKUP(A713,Import!A:P,16,0)</f>
        <v>Geleneksel</v>
      </c>
      <c r="Q713" s="291"/>
      <c r="R713" s="292" t="b">
        <v>1</v>
      </c>
      <c r="S713" s="293" t="b">
        <v>0</v>
      </c>
      <c r="T713" s="149"/>
      <c r="U713" s="296"/>
      <c r="V713" s="296"/>
      <c r="W713" s="149" t="s">
        <v>2968</v>
      </c>
      <c r="X713" s="297"/>
      <c r="Y713" s="297"/>
      <c r="Z713" s="288"/>
      <c r="AA713" s="165" t="s">
        <v>2669</v>
      </c>
      <c r="AB713" s="295">
        <v>44641.0</v>
      </c>
      <c r="AC713" s="288"/>
      <c r="AD713" s="288"/>
      <c r="AE713" s="160"/>
      <c r="AF713" s="288"/>
      <c r="AG713" s="160"/>
      <c r="AH713" s="288"/>
      <c r="AI713" s="288"/>
      <c r="AJ713" s="288"/>
      <c r="AK713" s="165" t="s">
        <v>1791</v>
      </c>
      <c r="AL713" s="288"/>
      <c r="AM713" s="288"/>
      <c r="AN713" s="288"/>
      <c r="AO713" s="165"/>
      <c r="AP713" s="150"/>
      <c r="AQ713" s="165"/>
    </row>
    <row r="714">
      <c r="A714" s="150" t="s">
        <v>4376</v>
      </c>
      <c r="B714" s="150" t="s">
        <v>4377</v>
      </c>
      <c r="C714" s="175" t="str">
        <f>VLOOKUP(A714,Import!A:C,3,false)</f>
        <v>DOĞRU</v>
      </c>
      <c r="D714" s="150" t="s">
        <v>2904</v>
      </c>
      <c r="E714" s="280">
        <f>VLOOKUP(A714,Import!A:J,5,0)</f>
        <v>146</v>
      </c>
      <c r="F714" s="280">
        <f>VLOOKUP(A714,Import!A:J,6,0)</f>
        <v>8</v>
      </c>
      <c r="G714" s="289">
        <f>VLOOKUP(A714,Import!A:J,7,0)</f>
        <v>0</v>
      </c>
      <c r="H714" s="289">
        <f>VLOOKUP(A714,Import!A:J,8,0)</f>
        <v>6</v>
      </c>
      <c r="I714" s="289">
        <f>VLOOKUP(A714,Import!A:J,9,0)</f>
        <v>6</v>
      </c>
      <c r="J714" s="282">
        <f>VLOOKUP(A714,Import!A:J,10,0)</f>
        <v>0</v>
      </c>
      <c r="K714" s="290" t="s">
        <v>4378</v>
      </c>
      <c r="L714" s="150">
        <v>2.222902525E9</v>
      </c>
      <c r="M714" s="150" t="s">
        <v>1450</v>
      </c>
      <c r="N714" s="150" t="s">
        <v>2782</v>
      </c>
      <c r="O714" s="150" t="s">
        <v>4379</v>
      </c>
      <c r="P714" s="244" t="str">
        <f>VLOOKUP(A714,Import!A:P,16,0)</f>
        <v>Geleneksel</v>
      </c>
      <c r="Q714" s="291"/>
      <c r="R714" s="292" t="b">
        <v>1</v>
      </c>
      <c r="S714" s="292" t="b">
        <v>1</v>
      </c>
      <c r="T714" s="149"/>
      <c r="U714" s="296"/>
      <c r="V714" s="296"/>
      <c r="W714" s="149" t="s">
        <v>4380</v>
      </c>
      <c r="X714" s="297"/>
      <c r="Y714" s="297"/>
      <c r="Z714" s="288"/>
      <c r="AA714" s="165" t="s">
        <v>2669</v>
      </c>
      <c r="AB714" s="295">
        <v>44553.0</v>
      </c>
      <c r="AC714" s="288"/>
      <c r="AD714" s="288"/>
      <c r="AE714" s="160"/>
      <c r="AF714" s="288"/>
      <c r="AG714" s="160"/>
      <c r="AH714" s="288"/>
      <c r="AI714" s="288"/>
      <c r="AJ714" s="288"/>
      <c r="AK714" s="165" t="s">
        <v>819</v>
      </c>
      <c r="AL714" s="288"/>
      <c r="AM714" s="288"/>
      <c r="AN714" s="288"/>
      <c r="AO714" s="288"/>
      <c r="AP714" s="150" t="s">
        <v>2663</v>
      </c>
      <c r="AQ714" s="288"/>
    </row>
    <row r="715">
      <c r="A715" s="150" t="s">
        <v>4381</v>
      </c>
      <c r="B715" s="150" t="s">
        <v>4382</v>
      </c>
      <c r="C715" s="175" t="str">
        <f>VLOOKUP(A715,Import!A:C,3,false)</f>
        <v>DOĞRU</v>
      </c>
      <c r="D715" s="150" t="s">
        <v>2904</v>
      </c>
      <c r="E715" s="280">
        <f>VLOOKUP(A715,Import!A:J,5,0)</f>
        <v>208</v>
      </c>
      <c r="F715" s="280">
        <f>VLOOKUP(A715,Import!A:J,6,0)</f>
        <v>5</v>
      </c>
      <c r="G715" s="289">
        <f>VLOOKUP(A715,Import!A:J,7,0)</f>
        <v>0</v>
      </c>
      <c r="H715" s="289">
        <f>VLOOKUP(A715,Import!A:J,8,0)</f>
        <v>9</v>
      </c>
      <c r="I715" s="289">
        <f>VLOOKUP(A715,Import!A:J,9,0)</f>
        <v>9</v>
      </c>
      <c r="J715" s="282">
        <f>VLOOKUP(A715,Import!A:J,10,0)</f>
        <v>0</v>
      </c>
      <c r="K715" s="290" t="s">
        <v>4378</v>
      </c>
      <c r="L715" s="150">
        <v>2.22320223E9</v>
      </c>
      <c r="M715" s="150" t="s">
        <v>2666</v>
      </c>
      <c r="N715" s="150" t="s">
        <v>3084</v>
      </c>
      <c r="O715" s="150" t="s">
        <v>4383</v>
      </c>
      <c r="P715" s="244" t="str">
        <f>VLOOKUP(A715,Import!A:P,16,0)</f>
        <v>Geleneksel</v>
      </c>
      <c r="Q715" s="291"/>
      <c r="R715" s="292" t="b">
        <v>1</v>
      </c>
      <c r="S715" s="293" t="b">
        <v>0</v>
      </c>
      <c r="T715" s="149" t="s">
        <v>2693</v>
      </c>
      <c r="U715" s="296"/>
      <c r="V715" s="296"/>
      <c r="W715" s="149" t="s">
        <v>4384</v>
      </c>
      <c r="X715" s="297"/>
      <c r="Y715" s="297"/>
      <c r="Z715" s="288"/>
      <c r="AA715" s="165" t="s">
        <v>2693</v>
      </c>
      <c r="AB715" s="295">
        <v>44571.0</v>
      </c>
      <c r="AC715" s="165" t="s">
        <v>2693</v>
      </c>
      <c r="AD715" s="295">
        <v>44590.0</v>
      </c>
      <c r="AE715" s="160"/>
      <c r="AF715" s="288"/>
      <c r="AG715" s="160"/>
      <c r="AH715" s="288"/>
      <c r="AI715" s="288"/>
      <c r="AJ715" s="288"/>
      <c r="AK715" s="165" t="s">
        <v>819</v>
      </c>
      <c r="AL715" s="165" t="s">
        <v>1715</v>
      </c>
      <c r="AM715" s="288"/>
      <c r="AN715" s="288"/>
      <c r="AO715" s="165"/>
      <c r="AP715" s="150"/>
      <c r="AQ715" s="165"/>
    </row>
    <row r="716">
      <c r="A716" s="150" t="s">
        <v>4385</v>
      </c>
      <c r="B716" s="150" t="s">
        <v>4386</v>
      </c>
      <c r="C716" s="175" t="str">
        <f>VLOOKUP(A716,Import!A:C,3,false)</f>
        <v>DOĞRU</v>
      </c>
      <c r="D716" s="150" t="s">
        <v>2672</v>
      </c>
      <c r="E716" s="280">
        <f>VLOOKUP(A716,Import!A:J,5,0)</f>
        <v>5</v>
      </c>
      <c r="F716" s="280">
        <f>VLOOKUP(A716,Import!A:J,6,0)</f>
        <v>3</v>
      </c>
      <c r="G716" s="289">
        <f>VLOOKUP(A716,Import!A:J,7,0)</f>
        <v>0</v>
      </c>
      <c r="H716" s="289">
        <f>VLOOKUP(A716,Import!A:J,8,0)</f>
        <v>11</v>
      </c>
      <c r="I716" s="289">
        <f>VLOOKUP(A716,Import!A:J,9,0)</f>
        <v>11</v>
      </c>
      <c r="J716" s="282">
        <f>VLOOKUP(A716,Import!A:J,10,0)</f>
        <v>0</v>
      </c>
      <c r="K716" s="150" t="s">
        <v>4387</v>
      </c>
      <c r="L716" s="150">
        <v>5.398540105E9</v>
      </c>
      <c r="M716" s="150" t="s">
        <v>1450</v>
      </c>
      <c r="N716" s="150" t="s">
        <v>2659</v>
      </c>
      <c r="O716" s="150" t="s">
        <v>4388</v>
      </c>
      <c r="P716" s="244" t="str">
        <f>VLOOKUP(A716,Import!A:P,16,0)</f>
        <v>Geleneksel</v>
      </c>
      <c r="Q716" s="291"/>
      <c r="R716" s="292" t="b">
        <v>0</v>
      </c>
      <c r="S716" s="293" t="b">
        <v>0</v>
      </c>
      <c r="T716" s="149"/>
      <c r="U716" s="296"/>
      <c r="V716" s="296"/>
      <c r="W716" s="149"/>
      <c r="X716" s="297"/>
      <c r="Y716" s="297"/>
      <c r="Z716" s="288"/>
      <c r="AA716" s="165"/>
      <c r="AB716" s="295"/>
      <c r="AC716" s="288"/>
      <c r="AD716" s="288"/>
      <c r="AE716" s="160"/>
      <c r="AF716" s="288"/>
      <c r="AG716" s="160"/>
      <c r="AH716" s="288"/>
      <c r="AI716" s="288"/>
      <c r="AJ716" s="288"/>
      <c r="AK716" s="165"/>
      <c r="AL716" s="288"/>
      <c r="AM716" s="288"/>
      <c r="AN716" s="288"/>
      <c r="AO716" s="165"/>
      <c r="AP716" s="150"/>
      <c r="AQ716" s="165"/>
    </row>
    <row r="717">
      <c r="A717" s="244" t="s">
        <v>4389</v>
      </c>
      <c r="B717" s="244" t="s">
        <v>4390</v>
      </c>
      <c r="C717" s="175" t="str">
        <f>VLOOKUP(A717,Import!A:C,3,false)</f>
        <v>DOĞRU</v>
      </c>
      <c r="D717" s="362" t="s">
        <v>2658</v>
      </c>
      <c r="E717" s="280">
        <f>VLOOKUP(A717,Import!A:J,5,0)</f>
        <v>2067</v>
      </c>
      <c r="F717" s="280">
        <f>VLOOKUP(A717,Import!A:J,6,0)</f>
        <v>67</v>
      </c>
      <c r="G717" s="289">
        <f>VLOOKUP(A717,Import!A:J,7,0)</f>
        <v>0</v>
      </c>
      <c r="H717" s="289">
        <f>VLOOKUP(A717,Import!A:J,8,0)</f>
        <v>54</v>
      </c>
      <c r="I717" s="289">
        <f>VLOOKUP(A717,Import!A:J,9,0)</f>
        <v>54</v>
      </c>
      <c r="J717" s="282">
        <f>VLOOKUP(A717,Import!A:J,10,0)</f>
        <v>0</v>
      </c>
      <c r="K717" s="244" t="str">
        <f>VLOOKUP(A717,Import!A:P,11,0)</f>
        <v>İPEK ÇUBUK</v>
      </c>
      <c r="L717" s="280">
        <v>5.445965628E9</v>
      </c>
      <c r="M717" s="244" t="s">
        <v>1450</v>
      </c>
      <c r="N717" s="244" t="s">
        <v>3189</v>
      </c>
      <c r="O717" s="244" t="s">
        <v>4391</v>
      </c>
      <c r="P717" s="244" t="str">
        <f>VLOOKUP(A717,Import!A:P,16,0)</f>
        <v>Geleneksel</v>
      </c>
      <c r="Q717" s="291" t="s">
        <v>2760</v>
      </c>
      <c r="R717" s="292" t="b">
        <v>1</v>
      </c>
      <c r="S717" s="292" t="b">
        <v>1</v>
      </c>
      <c r="T717" s="165"/>
      <c r="U717" s="160"/>
      <c r="V717" s="160"/>
      <c r="W717" s="360" t="s">
        <v>4392</v>
      </c>
      <c r="X717" s="288"/>
      <c r="Y717" s="288"/>
      <c r="Z717" s="288"/>
      <c r="AA717" s="165" t="s">
        <v>2693</v>
      </c>
      <c r="AB717" s="295">
        <v>44379.0</v>
      </c>
      <c r="AC717" s="165" t="s">
        <v>2693</v>
      </c>
      <c r="AD717" s="295">
        <v>44508.0</v>
      </c>
      <c r="AE717" s="165" t="s">
        <v>2669</v>
      </c>
      <c r="AF717" s="295">
        <v>44547.0</v>
      </c>
      <c r="AG717" s="165" t="s">
        <v>2669</v>
      </c>
      <c r="AH717" s="295">
        <v>44582.0</v>
      </c>
      <c r="AI717" s="288"/>
      <c r="AJ717" s="288"/>
      <c r="AK717" s="165" t="s">
        <v>2718</v>
      </c>
      <c r="AL717" s="165" t="s">
        <v>1621</v>
      </c>
      <c r="AM717" s="165" t="s">
        <v>1971</v>
      </c>
      <c r="AN717" s="165" t="s">
        <v>1791</v>
      </c>
      <c r="AO717" s="288"/>
      <c r="AP717" s="150" t="s">
        <v>2663</v>
      </c>
      <c r="AQ717" s="288"/>
    </row>
    <row r="718">
      <c r="A718" s="150" t="s">
        <v>2345</v>
      </c>
      <c r="B718" s="150" t="s">
        <v>2346</v>
      </c>
      <c r="C718" s="175" t="str">
        <f>VLOOKUP(A718,Import!A:C,3,false)</f>
        <v>DOĞRU</v>
      </c>
      <c r="D718" s="150" t="s">
        <v>2701</v>
      </c>
      <c r="E718" s="280">
        <f>VLOOKUP(A718,Import!A:J,5,0)</f>
        <v>1640</v>
      </c>
      <c r="F718" s="280">
        <f>VLOOKUP(A718,Import!A:J,6,0)</f>
        <v>220</v>
      </c>
      <c r="G718" s="289">
        <f>VLOOKUP(A718,Import!A:J,7,0)</f>
        <v>45</v>
      </c>
      <c r="H718" s="289">
        <f>VLOOKUP(A718,Import!A:J,8,0)</f>
        <v>7</v>
      </c>
      <c r="I718" s="289">
        <f>VLOOKUP(A718,Import!A:J,9,0)</f>
        <v>52</v>
      </c>
      <c r="J718" s="282">
        <f>VLOOKUP(A718,Import!A:J,10,0)</f>
        <v>0.87</v>
      </c>
      <c r="K718" s="290" t="s">
        <v>4393</v>
      </c>
      <c r="L718" s="150">
        <v>2.222240407E9</v>
      </c>
      <c r="M718" s="150" t="s">
        <v>1450</v>
      </c>
      <c r="N718" s="150" t="s">
        <v>2795</v>
      </c>
      <c r="O718" s="150" t="s">
        <v>2348</v>
      </c>
      <c r="P718" s="244" t="str">
        <f>VLOOKUP(A718,Import!A:P,16,0)</f>
        <v>Geleneksel</v>
      </c>
      <c r="Q718" s="291"/>
      <c r="R718" s="292" t="b">
        <v>1</v>
      </c>
      <c r="S718" s="293" t="b">
        <v>0</v>
      </c>
      <c r="T718" s="149" t="s">
        <v>2661</v>
      </c>
      <c r="U718" s="149" t="s">
        <v>1715</v>
      </c>
      <c r="V718" s="296"/>
      <c r="W718" s="149" t="s">
        <v>1807</v>
      </c>
      <c r="X718" s="294">
        <v>44571.0</v>
      </c>
      <c r="Y718" s="294">
        <v>44574.0</v>
      </c>
      <c r="Z718" s="288"/>
      <c r="AA718" s="165" t="s">
        <v>2669</v>
      </c>
      <c r="AB718" s="295">
        <v>44568.0</v>
      </c>
      <c r="AC718" s="165" t="s">
        <v>2669</v>
      </c>
      <c r="AD718" s="295">
        <v>44571.0</v>
      </c>
      <c r="AE718" s="160"/>
      <c r="AF718" s="288"/>
      <c r="AG718" s="160"/>
      <c r="AH718" s="288"/>
      <c r="AI718" s="288"/>
      <c r="AJ718" s="288"/>
      <c r="AK718" s="165" t="s">
        <v>1715</v>
      </c>
      <c r="AL718" s="165" t="s">
        <v>1715</v>
      </c>
      <c r="AM718" s="288"/>
      <c r="AN718" s="288"/>
      <c r="AO718" s="165"/>
      <c r="AP718" s="150"/>
      <c r="AQ718" s="165"/>
    </row>
    <row r="719">
      <c r="A719" s="244" t="s">
        <v>4394</v>
      </c>
      <c r="B719" s="244" t="s">
        <v>4395</v>
      </c>
      <c r="C719" s="175" t="str">
        <f>VLOOKUP(A719,Import!A:C,3,false)</f>
        <v>DOĞRU</v>
      </c>
      <c r="D719" s="175" t="s">
        <v>2701</v>
      </c>
      <c r="E719" s="280">
        <f>VLOOKUP(A719,Import!A:J,5,0)</f>
        <v>2355</v>
      </c>
      <c r="F719" s="280">
        <f>VLOOKUP(A719,Import!A:J,6,0)</f>
        <v>41</v>
      </c>
      <c r="G719" s="289">
        <f>VLOOKUP(A719,Import!A:J,7,0)</f>
        <v>9</v>
      </c>
      <c r="H719" s="289">
        <f>VLOOKUP(A719,Import!A:J,8,0)</f>
        <v>11</v>
      </c>
      <c r="I719" s="289">
        <f>VLOOKUP(A719,Import!A:J,9,0)</f>
        <v>20</v>
      </c>
      <c r="J719" s="282">
        <f>VLOOKUP(A719,Import!A:J,10,0)</f>
        <v>0.45</v>
      </c>
      <c r="K719" s="244" t="str">
        <f>VLOOKUP(A719,Import!A:P,11,0)</f>
        <v>Tuğçe İlayda Gökalp</v>
      </c>
      <c r="L719" s="283">
        <v>2.223228678E9</v>
      </c>
      <c r="M719" s="175" t="s">
        <v>2666</v>
      </c>
      <c r="N719" s="175" t="s">
        <v>2682</v>
      </c>
      <c r="O719" s="175" t="s">
        <v>4396</v>
      </c>
      <c r="P719" s="244" t="str">
        <f>VLOOKUP(A719,Import!A:P,16,0)</f>
        <v>Geleneksel</v>
      </c>
      <c r="Q719" s="284" t="s">
        <v>2660</v>
      </c>
      <c r="R719" s="285" t="b">
        <v>1</v>
      </c>
      <c r="S719" s="285" t="b">
        <v>1</v>
      </c>
      <c r="T719" s="298"/>
      <c r="U719" s="298"/>
      <c r="V719" s="298"/>
      <c r="W719" s="298"/>
      <c r="X719" s="299"/>
      <c r="Y719" s="299"/>
      <c r="Z719" s="288"/>
      <c r="AA719" s="288"/>
      <c r="AB719" s="288"/>
      <c r="AC719" s="288"/>
      <c r="AD719" s="288"/>
      <c r="AE719" s="160"/>
      <c r="AF719" s="288"/>
      <c r="AG719" s="160"/>
      <c r="AH719" s="288"/>
      <c r="AI719" s="288"/>
      <c r="AJ719" s="288"/>
      <c r="AK719" s="288"/>
      <c r="AL719" s="288"/>
      <c r="AM719" s="288"/>
      <c r="AN719" s="288"/>
      <c r="AO719" s="288"/>
      <c r="AP719" s="150" t="s">
        <v>2663</v>
      </c>
      <c r="AQ719" s="288"/>
    </row>
    <row r="720">
      <c r="A720" s="150" t="s">
        <v>2494</v>
      </c>
      <c r="B720" s="150" t="s">
        <v>2495</v>
      </c>
      <c r="C720" s="175" t="str">
        <f>VLOOKUP(A720,Import!A:C,3,false)</f>
        <v>DOĞRU</v>
      </c>
      <c r="D720" s="150" t="s">
        <v>2763</v>
      </c>
      <c r="E720" s="280">
        <f>VLOOKUP(A720,Import!A:J,5,0)</f>
        <v>850</v>
      </c>
      <c r="F720" s="280">
        <f>VLOOKUP(A720,Import!A:J,6,0)</f>
        <v>148</v>
      </c>
      <c r="G720" s="289">
        <f>VLOOKUP(A720,Import!A:J,7,0)</f>
        <v>12</v>
      </c>
      <c r="H720" s="289">
        <f>VLOOKUP(A720,Import!A:J,8,0)</f>
        <v>44</v>
      </c>
      <c r="I720" s="289">
        <f>VLOOKUP(A720,Import!A:J,9,0)</f>
        <v>56</v>
      </c>
      <c r="J720" s="282">
        <f>VLOOKUP(A720,Import!A:J,10,0)</f>
        <v>0.21</v>
      </c>
      <c r="K720" s="290" t="s">
        <v>4397</v>
      </c>
      <c r="L720" s="150">
        <v>5.550980026E9</v>
      </c>
      <c r="M720" s="150" t="s">
        <v>1450</v>
      </c>
      <c r="N720" s="150" t="s">
        <v>3251</v>
      </c>
      <c r="O720" s="150" t="s">
        <v>2498</v>
      </c>
      <c r="P720" s="244" t="str">
        <f>VLOOKUP(A720,Import!A:P,16,0)</f>
        <v>Geleneksel</v>
      </c>
      <c r="Q720" s="291"/>
      <c r="R720" s="292" t="b">
        <v>1</v>
      </c>
      <c r="S720" s="293" t="b">
        <v>0</v>
      </c>
      <c r="T720" s="149" t="s">
        <v>2661</v>
      </c>
      <c r="U720" s="149" t="s">
        <v>819</v>
      </c>
      <c r="V720" s="301" t="s">
        <v>1609</v>
      </c>
      <c r="W720" s="302">
        <v>5.442784229E9</v>
      </c>
      <c r="X720" s="294">
        <v>44599.0</v>
      </c>
      <c r="Y720" s="294">
        <v>44603.0</v>
      </c>
      <c r="Z720" s="288"/>
      <c r="AA720" s="165" t="s">
        <v>2669</v>
      </c>
      <c r="AB720" s="295">
        <v>44599.0</v>
      </c>
      <c r="AC720" s="288"/>
      <c r="AD720" s="288"/>
      <c r="AE720" s="160"/>
      <c r="AF720" s="288"/>
      <c r="AG720" s="160"/>
      <c r="AH720" s="288"/>
      <c r="AI720" s="288"/>
      <c r="AJ720" s="288"/>
      <c r="AK720" s="165" t="s">
        <v>819</v>
      </c>
      <c r="AL720" s="288"/>
      <c r="AM720" s="288"/>
      <c r="AN720" s="288"/>
      <c r="AO720" s="165"/>
      <c r="AP720" s="150"/>
      <c r="AQ720" s="165"/>
    </row>
    <row r="721">
      <c r="A721" s="244" t="s">
        <v>156</v>
      </c>
      <c r="B721" s="244" t="s">
        <v>157</v>
      </c>
      <c r="C721" s="175" t="str">
        <f>VLOOKUP(A721,Import!A:C,3,false)</f>
        <v>DOĞRU</v>
      </c>
      <c r="D721" s="303" t="s">
        <v>2701</v>
      </c>
      <c r="E721" s="280">
        <f>VLOOKUP(A721,Import!A:J,5,0)</f>
        <v>7601</v>
      </c>
      <c r="F721" s="280">
        <f>VLOOKUP(A721,Import!A:J,6,0)</f>
        <v>292</v>
      </c>
      <c r="G721" s="289">
        <f>VLOOKUP(A721,Import!A:J,7,0)</f>
        <v>8</v>
      </c>
      <c r="H721" s="289">
        <f>VLOOKUP(A721,Import!A:J,8,0)</f>
        <v>7</v>
      </c>
      <c r="I721" s="289">
        <f>VLOOKUP(A721,Import!A:J,9,0)</f>
        <v>15</v>
      </c>
      <c r="J721" s="282">
        <f>VLOOKUP(A721,Import!A:J,10,0)</f>
        <v>0.53</v>
      </c>
      <c r="K721" s="244" t="str">
        <f>VLOOKUP(A721,Import!A:P,11,0)</f>
        <v>VELİ TURAN</v>
      </c>
      <c r="L721" s="304">
        <v>5.444861164E9</v>
      </c>
      <c r="M721" s="303" t="s">
        <v>2666</v>
      </c>
      <c r="N721" s="303" t="s">
        <v>2667</v>
      </c>
      <c r="O721" s="303" t="s">
        <v>159</v>
      </c>
      <c r="P721" s="244" t="str">
        <f>VLOOKUP(A721,Import!A:P,16,0)</f>
        <v>Geleneksel</v>
      </c>
      <c r="Q721" s="305" t="s">
        <v>2686</v>
      </c>
      <c r="R721" s="306" t="b">
        <v>1</v>
      </c>
      <c r="S721" s="307" t="b">
        <v>0</v>
      </c>
      <c r="T721" s="309" t="s">
        <v>2661</v>
      </c>
      <c r="U721" s="309"/>
      <c r="V721" s="309" t="s">
        <v>31</v>
      </c>
      <c r="W721" s="308"/>
      <c r="X721" s="310">
        <v>44231.0</v>
      </c>
      <c r="Y721" s="310">
        <v>44237.0</v>
      </c>
      <c r="Z721" s="288"/>
      <c r="AA721" s="288"/>
      <c r="AB721" s="288"/>
      <c r="AC721" s="288"/>
      <c r="AD721" s="288"/>
      <c r="AE721" s="160"/>
      <c r="AF721" s="288"/>
      <c r="AG721" s="160"/>
      <c r="AH721" s="288"/>
      <c r="AI721" s="288"/>
      <c r="AJ721" s="288"/>
      <c r="AK721" s="288"/>
      <c r="AL721" s="288"/>
      <c r="AM721" s="288"/>
      <c r="AN721" s="288"/>
      <c r="AO721" s="288"/>
      <c r="AP721" s="150" t="s">
        <v>2663</v>
      </c>
      <c r="AQ721" s="288"/>
    </row>
    <row r="722">
      <c r="A722" s="150" t="s">
        <v>1679</v>
      </c>
      <c r="B722" s="150" t="s">
        <v>1680</v>
      </c>
      <c r="C722" s="175" t="str">
        <f>VLOOKUP(A722,Import!A:C,3,false)</f>
        <v>DOĞRU</v>
      </c>
      <c r="D722" s="150" t="s">
        <v>2696</v>
      </c>
      <c r="E722" s="280">
        <f>VLOOKUP(A722,Import!A:J,5,0)</f>
        <v>259</v>
      </c>
      <c r="F722" s="280">
        <f>VLOOKUP(A722,Import!A:J,6,0)</f>
        <v>15</v>
      </c>
      <c r="G722" s="289">
        <f>VLOOKUP(A722,Import!A:J,7,0)</f>
        <v>7</v>
      </c>
      <c r="H722" s="289">
        <f>VLOOKUP(A722,Import!A:J,8,0)</f>
        <v>63</v>
      </c>
      <c r="I722" s="289">
        <f>VLOOKUP(A722,Import!A:J,9,0)</f>
        <v>70</v>
      </c>
      <c r="J722" s="282">
        <f>VLOOKUP(A722,Import!A:J,10,0)</f>
        <v>0.1</v>
      </c>
      <c r="K722" s="244" t="str">
        <f>VLOOKUP(A722,Import!A:P,11,0)</f>
        <v>Eyyüp Kaya</v>
      </c>
      <c r="L722" s="150">
        <v>2.222257979E9</v>
      </c>
      <c r="M722" s="150" t="s">
        <v>1450</v>
      </c>
      <c r="N722" s="150" t="s">
        <v>3838</v>
      </c>
      <c r="O722" s="150" t="s">
        <v>2196</v>
      </c>
      <c r="P722" s="244" t="str">
        <f>VLOOKUP(A722,Import!A:P,16,0)</f>
        <v>Geleneksel</v>
      </c>
      <c r="Q722" s="291"/>
      <c r="R722" s="292" t="b">
        <v>1</v>
      </c>
      <c r="S722" s="293" t="b">
        <v>0</v>
      </c>
      <c r="T722" s="149" t="s">
        <v>2668</v>
      </c>
      <c r="U722" s="149" t="s">
        <v>1911</v>
      </c>
      <c r="V722" s="383" t="s">
        <v>1609</v>
      </c>
      <c r="W722" s="149" t="s">
        <v>4398</v>
      </c>
      <c r="X722" s="294">
        <v>44539.0</v>
      </c>
      <c r="Y722" s="294">
        <v>44547.0</v>
      </c>
      <c r="Z722" s="288"/>
      <c r="AA722" s="165" t="s">
        <v>2669</v>
      </c>
      <c r="AB722" s="295">
        <v>44482.0</v>
      </c>
      <c r="AC722" s="165" t="s">
        <v>2669</v>
      </c>
      <c r="AD722" s="295">
        <v>44539.0</v>
      </c>
      <c r="AE722" s="165" t="s">
        <v>2669</v>
      </c>
      <c r="AF722" s="295">
        <v>44547.0</v>
      </c>
      <c r="AG722" s="160"/>
      <c r="AH722" s="288"/>
      <c r="AI722" s="288"/>
      <c r="AJ722" s="288"/>
      <c r="AK722" s="165" t="s">
        <v>943</v>
      </c>
      <c r="AL722" s="165" t="s">
        <v>1911</v>
      </c>
      <c r="AM722" s="165" t="s">
        <v>1911</v>
      </c>
      <c r="AN722" s="288"/>
      <c r="AO722" s="288"/>
      <c r="AP722" s="150" t="s">
        <v>2663</v>
      </c>
      <c r="AQ722" s="288"/>
    </row>
    <row r="723">
      <c r="A723" s="150" t="s">
        <v>2247</v>
      </c>
      <c r="B723" s="150" t="s">
        <v>2248</v>
      </c>
      <c r="C723" s="175" t="str">
        <f>VLOOKUP(A723,Import!A:C,3,false)</f>
        <v>DOĞRU</v>
      </c>
      <c r="D723" s="150" t="s">
        <v>2763</v>
      </c>
      <c r="E723" s="280">
        <f>VLOOKUP(A723,Import!A:J,5,0)</f>
        <v>693</v>
      </c>
      <c r="F723" s="280">
        <f>VLOOKUP(A723,Import!A:J,6,0)</f>
        <v>47</v>
      </c>
      <c r="G723" s="289">
        <f>VLOOKUP(A723,Import!A:J,7,0)</f>
        <v>8</v>
      </c>
      <c r="H723" s="289">
        <f>VLOOKUP(A723,Import!A:J,8,0)</f>
        <v>11</v>
      </c>
      <c r="I723" s="289">
        <f>VLOOKUP(A723,Import!A:J,9,0)</f>
        <v>19</v>
      </c>
      <c r="J723" s="282">
        <f>VLOOKUP(A723,Import!A:J,10,0)</f>
        <v>0.42</v>
      </c>
      <c r="K723" s="244" t="str">
        <f>VLOOKUP(A723,Import!A:P,11,0)</f>
        <v>Müftah Terkan</v>
      </c>
      <c r="L723" s="150">
        <v>5.346474039E9</v>
      </c>
      <c r="M723" s="150" t="s">
        <v>1450</v>
      </c>
      <c r="N723" s="150" t="s">
        <v>2782</v>
      </c>
      <c r="O723" s="150" t="s">
        <v>2251</v>
      </c>
      <c r="P723" s="244" t="str">
        <f>VLOOKUP(A723,Import!A:P,16,0)</f>
        <v>Geleneksel</v>
      </c>
      <c r="Q723" s="291"/>
      <c r="R723" s="292" t="b">
        <v>1</v>
      </c>
      <c r="S723" s="293" t="b">
        <v>0</v>
      </c>
      <c r="T723" s="149" t="s">
        <v>2661</v>
      </c>
      <c r="U723" s="149" t="s">
        <v>1715</v>
      </c>
      <c r="V723" s="301" t="s">
        <v>1609</v>
      </c>
      <c r="X723" s="294">
        <v>44580.0</v>
      </c>
      <c r="Y723" s="294">
        <v>44588.0</v>
      </c>
      <c r="Z723" s="288"/>
      <c r="AA723" s="165" t="s">
        <v>2669</v>
      </c>
      <c r="AB723" s="295">
        <v>44480.0</v>
      </c>
      <c r="AC723" s="165" t="s">
        <v>2669</v>
      </c>
      <c r="AD723" s="295">
        <v>44553.0</v>
      </c>
      <c r="AE723" s="165" t="s">
        <v>2669</v>
      </c>
      <c r="AF723" s="295">
        <v>44554.0</v>
      </c>
      <c r="AG723" s="165" t="s">
        <v>2669</v>
      </c>
      <c r="AH723" s="295">
        <v>44580.0</v>
      </c>
      <c r="AI723" s="165" t="s">
        <v>2669</v>
      </c>
      <c r="AJ723" s="288"/>
      <c r="AK723" s="165" t="s">
        <v>1824</v>
      </c>
      <c r="AL723" s="165" t="s">
        <v>819</v>
      </c>
      <c r="AM723" s="165" t="s">
        <v>819</v>
      </c>
      <c r="AN723" s="165" t="s">
        <v>1715</v>
      </c>
      <c r="AO723" s="165" t="s">
        <v>2161</v>
      </c>
      <c r="AP723" s="150" t="s">
        <v>2663</v>
      </c>
      <c r="AQ723" s="288"/>
    </row>
    <row r="724">
      <c r="A724" s="150" t="s">
        <v>4399</v>
      </c>
      <c r="B724" s="150" t="s">
        <v>4400</v>
      </c>
      <c r="C724" s="175" t="str">
        <f>VLOOKUP(A724,Import!A:C,3,false)</f>
        <v>YANLIŞ</v>
      </c>
      <c r="D724" s="150" t="s">
        <v>2664</v>
      </c>
      <c r="E724" s="280">
        <f>VLOOKUP(A724,Import!A:J,5,0)</f>
        <v>678</v>
      </c>
      <c r="F724" s="280" t="str">
        <f>VLOOKUP(A724,Import!A:J,6,0)</f>
        <v/>
      </c>
      <c r="G724" s="289">
        <f>VLOOKUP(A724,Import!A:J,7,0)</f>
        <v>0</v>
      </c>
      <c r="H724" s="289">
        <f>VLOOKUP(A724,Import!A:J,8,0)</f>
        <v>61</v>
      </c>
      <c r="I724" s="289">
        <f>VLOOKUP(A724,Import!A:J,9,0)</f>
        <v>61</v>
      </c>
      <c r="J724" s="282">
        <f>VLOOKUP(A724,Import!A:J,10,0)</f>
        <v>0</v>
      </c>
      <c r="K724" s="244" t="str">
        <f>VLOOKUP(A724,Import!A:P,11,0)</f>
        <v>Abdullah Bilen</v>
      </c>
      <c r="L724" s="150">
        <v>5.321332484E9</v>
      </c>
      <c r="M724" s="150" t="s">
        <v>1450</v>
      </c>
      <c r="N724" s="150" t="s">
        <v>2716</v>
      </c>
      <c r="O724" s="150" t="s">
        <v>4401</v>
      </c>
      <c r="P724" s="244" t="str">
        <f>VLOOKUP(A724,Import!A:P,16,0)</f>
        <v>Geleneksel</v>
      </c>
      <c r="Q724" s="291"/>
      <c r="R724" s="292" t="b">
        <v>1</v>
      </c>
      <c r="S724" s="293" t="b">
        <v>0</v>
      </c>
      <c r="T724" s="149" t="s">
        <v>2864</v>
      </c>
      <c r="U724" s="296"/>
      <c r="V724" s="296"/>
      <c r="W724" s="149" t="s">
        <v>4402</v>
      </c>
      <c r="X724" s="297"/>
      <c r="Y724" s="297"/>
      <c r="Z724" s="288"/>
      <c r="AA724" s="165" t="s">
        <v>2669</v>
      </c>
      <c r="AB724" s="295">
        <v>44482.0</v>
      </c>
      <c r="AC724" s="288"/>
      <c r="AD724" s="288"/>
      <c r="AE724" s="160"/>
      <c r="AF724" s="288"/>
      <c r="AG724" s="160"/>
      <c r="AH724" s="288"/>
      <c r="AI724" s="288"/>
      <c r="AJ724" s="288"/>
      <c r="AK724" s="165" t="s">
        <v>819</v>
      </c>
      <c r="AL724" s="288"/>
      <c r="AM724" s="288"/>
      <c r="AN724" s="288"/>
      <c r="AO724" s="288"/>
      <c r="AP724" s="150" t="s">
        <v>2663</v>
      </c>
      <c r="AQ724" s="288"/>
    </row>
    <row r="725">
      <c r="A725" s="150" t="s">
        <v>2586</v>
      </c>
      <c r="B725" s="150" t="s">
        <v>2587</v>
      </c>
      <c r="C725" s="175" t="str">
        <f>VLOOKUP(A725,Import!A:C,3,false)</f>
        <v>DOĞRU</v>
      </c>
      <c r="D725" s="150" t="s">
        <v>2701</v>
      </c>
      <c r="E725" s="280">
        <f>VLOOKUP(A725,Import!A:J,5,0)</f>
        <v>503</v>
      </c>
      <c r="F725" s="280">
        <f>VLOOKUP(A725,Import!A:J,6,0)</f>
        <v>186</v>
      </c>
      <c r="G725" s="289">
        <f>VLOOKUP(A725,Import!A:J,7,0)</f>
        <v>0</v>
      </c>
      <c r="H725" s="289">
        <f>VLOOKUP(A725,Import!A:J,8,0)</f>
        <v>30</v>
      </c>
      <c r="I725" s="289">
        <f>VLOOKUP(A725,Import!A:J,9,0)</f>
        <v>30</v>
      </c>
      <c r="J725" s="282">
        <f>VLOOKUP(A725,Import!A:J,10,0)</f>
        <v>0</v>
      </c>
      <c r="K725" s="290" t="s">
        <v>4403</v>
      </c>
      <c r="L725" s="150">
        <v>5.308955526E9</v>
      </c>
      <c r="M725" s="150" t="s">
        <v>1450</v>
      </c>
      <c r="N725" s="150" t="s">
        <v>3255</v>
      </c>
      <c r="O725" s="150" t="s">
        <v>2590</v>
      </c>
      <c r="P725" s="244" t="str">
        <f>VLOOKUP(A725,Import!A:P,16,0)</f>
        <v>Geleneksel</v>
      </c>
      <c r="Q725" s="291"/>
      <c r="R725" s="292" t="b">
        <v>1</v>
      </c>
      <c r="S725" s="293" t="b">
        <v>0</v>
      </c>
      <c r="T725" s="149" t="s">
        <v>2770</v>
      </c>
      <c r="U725" s="149" t="s">
        <v>943</v>
      </c>
      <c r="V725" s="313" t="s">
        <v>1609</v>
      </c>
      <c r="W725" s="149"/>
      <c r="X725" s="294">
        <v>44642.0</v>
      </c>
      <c r="Y725" s="294">
        <v>44644.0</v>
      </c>
      <c r="Z725" s="288"/>
      <c r="AA725" s="165" t="s">
        <v>2669</v>
      </c>
      <c r="AB725" s="295">
        <v>44642.0</v>
      </c>
      <c r="AC725" s="288"/>
      <c r="AD725" s="288"/>
      <c r="AE725" s="160"/>
      <c r="AF725" s="288"/>
      <c r="AG725" s="160"/>
      <c r="AH725" s="288"/>
      <c r="AI725" s="288"/>
      <c r="AJ725" s="288"/>
      <c r="AK725" s="165" t="s">
        <v>943</v>
      </c>
      <c r="AL725" s="288"/>
      <c r="AM725" s="288"/>
      <c r="AN725" s="288"/>
      <c r="AO725" s="165"/>
      <c r="AP725" s="150"/>
      <c r="AQ725" s="165"/>
    </row>
    <row r="726">
      <c r="A726" s="147" t="s">
        <v>4404</v>
      </c>
      <c r="B726" s="147" t="s">
        <v>4405</v>
      </c>
      <c r="C726" s="175" t="str">
        <f>VLOOKUP(A726,Import!A:C,3,false)</f>
        <v>DOĞRU</v>
      </c>
      <c r="D726" s="147" t="s">
        <v>3151</v>
      </c>
      <c r="E726" s="280">
        <f>VLOOKUP(A726,Import!A:J,5,0)</f>
        <v>278</v>
      </c>
      <c r="F726" s="280">
        <f>VLOOKUP(A726,Import!A:J,6,0)</f>
        <v>43</v>
      </c>
      <c r="G726" s="289">
        <f>VLOOKUP(A726,Import!A:J,7,0)</f>
        <v>0</v>
      </c>
      <c r="H726" s="289">
        <f>VLOOKUP(A726,Import!A:J,8,0)</f>
        <v>27</v>
      </c>
      <c r="I726" s="289">
        <f>VLOOKUP(A726,Import!A:J,9,0)</f>
        <v>27</v>
      </c>
      <c r="J726" s="282">
        <f>VLOOKUP(A726,Import!A:J,10,0)</f>
        <v>0</v>
      </c>
      <c r="K726" s="244" t="str">
        <f>VLOOKUP(A726,Import!A:P,11,0)</f>
        <v>Resul Kürkçü</v>
      </c>
      <c r="L726" s="147">
        <v>5.547551178E9</v>
      </c>
      <c r="M726" s="147" t="s">
        <v>1450</v>
      </c>
      <c r="N726" s="147" t="s">
        <v>2795</v>
      </c>
      <c r="O726" s="147" t="s">
        <v>4406</v>
      </c>
      <c r="P726" s="244" t="str">
        <f>VLOOKUP(A726,Import!A:P,16,0)</f>
        <v>Geleneksel</v>
      </c>
      <c r="Q726" s="330"/>
      <c r="R726" s="292" t="b">
        <v>1</v>
      </c>
      <c r="S726" s="292" t="b">
        <v>1</v>
      </c>
      <c r="T726" s="296"/>
      <c r="U726" s="296"/>
      <c r="V726" s="296"/>
      <c r="W726" s="149" t="s">
        <v>3161</v>
      </c>
      <c r="X726" s="297"/>
      <c r="Y726" s="297"/>
      <c r="Z726" s="288"/>
      <c r="AA726" s="288"/>
      <c r="AB726" s="288"/>
      <c r="AC726" s="288"/>
      <c r="AD726" s="288"/>
      <c r="AE726" s="160"/>
      <c r="AF726" s="288"/>
      <c r="AG726" s="160"/>
      <c r="AH726" s="288"/>
      <c r="AI726" s="288"/>
      <c r="AJ726" s="288"/>
      <c r="AK726" s="288"/>
      <c r="AL726" s="288"/>
      <c r="AM726" s="288"/>
      <c r="AN726" s="288"/>
      <c r="AO726" s="288"/>
      <c r="AP726" s="150" t="s">
        <v>2663</v>
      </c>
      <c r="AQ726" s="288"/>
    </row>
    <row r="727">
      <c r="A727" s="244" t="s">
        <v>4407</v>
      </c>
      <c r="B727" s="244" t="s">
        <v>4408</v>
      </c>
      <c r="C727" s="175" t="str">
        <f>VLOOKUP(A727,Import!A:C,3,false)</f>
        <v>DOĞRU</v>
      </c>
      <c r="D727" s="372" t="s">
        <v>2664</v>
      </c>
      <c r="E727" s="280">
        <f>VLOOKUP(A727,Import!A:J,5,0)</f>
        <v>1868</v>
      </c>
      <c r="F727" s="280">
        <f>VLOOKUP(A727,Import!A:J,6,0)</f>
        <v>61</v>
      </c>
      <c r="G727" s="289">
        <f>VLOOKUP(A727,Import!A:J,7,0)</f>
        <v>0</v>
      </c>
      <c r="H727" s="289">
        <f>VLOOKUP(A727,Import!A:J,8,0)</f>
        <v>25</v>
      </c>
      <c r="I727" s="289">
        <f>VLOOKUP(A727,Import!A:J,9,0)</f>
        <v>25</v>
      </c>
      <c r="J727" s="282">
        <f>VLOOKUP(A727,Import!A:J,10,0)</f>
        <v>0</v>
      </c>
      <c r="K727" s="244" t="str">
        <f>VLOOKUP(A727,Import!A:P,11,0)</f>
        <v>Resul Kürkçü</v>
      </c>
      <c r="L727" s="373">
        <v>5.547551178E9</v>
      </c>
      <c r="M727" s="372" t="s">
        <v>2666</v>
      </c>
      <c r="N727" s="372" t="s">
        <v>2682</v>
      </c>
      <c r="O727" s="372" t="s">
        <v>4409</v>
      </c>
      <c r="P727" s="244" t="str">
        <f>VLOOKUP(A727,Import!A:P,16,0)</f>
        <v>Geleneksel</v>
      </c>
      <c r="Q727" s="374" t="s">
        <v>2686</v>
      </c>
      <c r="R727" s="375" t="b">
        <v>1</v>
      </c>
      <c r="S727" s="375" t="b">
        <v>1</v>
      </c>
      <c r="T727" s="376"/>
      <c r="U727" s="376"/>
      <c r="V727" s="376"/>
      <c r="W727" s="376"/>
      <c r="X727" s="377"/>
      <c r="Y727" s="377"/>
      <c r="Z727" s="288"/>
      <c r="AA727" s="288"/>
      <c r="AB727" s="288"/>
      <c r="AC727" s="288"/>
      <c r="AD727" s="288"/>
      <c r="AE727" s="160"/>
      <c r="AF727" s="288"/>
      <c r="AG727" s="160"/>
      <c r="AH727" s="288"/>
      <c r="AI727" s="288"/>
      <c r="AJ727" s="288"/>
      <c r="AK727" s="288"/>
      <c r="AL727" s="288"/>
      <c r="AM727" s="288"/>
      <c r="AN727" s="288"/>
      <c r="AO727" s="288"/>
      <c r="AP727" s="150" t="s">
        <v>2663</v>
      </c>
      <c r="AQ727" s="288"/>
    </row>
    <row r="728">
      <c r="A728" s="150" t="s">
        <v>4410</v>
      </c>
      <c r="B728" s="150" t="s">
        <v>4411</v>
      </c>
      <c r="C728" s="175" t="str">
        <f>VLOOKUP(A728,Import!A:C,3,false)</f>
        <v>DOĞRU</v>
      </c>
      <c r="D728" s="150" t="s">
        <v>2724</v>
      </c>
      <c r="E728" s="280">
        <f>VLOOKUP(A728,Import!A:J,5,0)</f>
        <v>595</v>
      </c>
      <c r="F728" s="280">
        <f>VLOOKUP(A728,Import!A:J,6,0)</f>
        <v>49</v>
      </c>
      <c r="G728" s="289">
        <f>VLOOKUP(A728,Import!A:J,7,0)</f>
        <v>0</v>
      </c>
      <c r="H728" s="289">
        <f>VLOOKUP(A728,Import!A:J,8,0)</f>
        <v>127</v>
      </c>
      <c r="I728" s="289">
        <f>VLOOKUP(A728,Import!A:J,9,0)</f>
        <v>127</v>
      </c>
      <c r="J728" s="282">
        <f>VLOOKUP(A728,Import!A:J,10,0)</f>
        <v>0</v>
      </c>
      <c r="K728" s="290" t="s">
        <v>4412</v>
      </c>
      <c r="L728" s="150">
        <v>2.223220232E9</v>
      </c>
      <c r="M728" s="150" t="s">
        <v>2666</v>
      </c>
      <c r="N728" s="150" t="s">
        <v>2685</v>
      </c>
      <c r="O728" s="150" t="s">
        <v>4413</v>
      </c>
      <c r="P728" s="244" t="str">
        <f>VLOOKUP(A728,Import!A:P,16,0)</f>
        <v>Geleneksel</v>
      </c>
      <c r="Q728" s="291"/>
      <c r="R728" s="292" t="b">
        <v>1</v>
      </c>
      <c r="S728" s="293" t="b">
        <v>0</v>
      </c>
      <c r="T728" s="149" t="s">
        <v>2688</v>
      </c>
      <c r="U728" s="296"/>
      <c r="V728" s="296"/>
      <c r="W728" s="149" t="s">
        <v>4414</v>
      </c>
      <c r="X728" s="297"/>
      <c r="Y728" s="297"/>
      <c r="Z728" s="288"/>
      <c r="AA728" s="165" t="s">
        <v>2772</v>
      </c>
      <c r="AB728" s="295">
        <v>44564.0</v>
      </c>
      <c r="AC728" s="165" t="s">
        <v>2772</v>
      </c>
      <c r="AD728" s="295">
        <v>44565.0</v>
      </c>
      <c r="AE728" s="160"/>
      <c r="AF728" s="288"/>
      <c r="AG728" s="160"/>
      <c r="AH728" s="288"/>
      <c r="AI728" s="288"/>
      <c r="AJ728" s="288"/>
      <c r="AK728" s="165" t="s">
        <v>819</v>
      </c>
      <c r="AL728" s="165" t="s">
        <v>1715</v>
      </c>
      <c r="AM728" s="288"/>
      <c r="AN728" s="288"/>
      <c r="AO728" s="165"/>
      <c r="AP728" s="150"/>
      <c r="AQ728" s="165"/>
    </row>
    <row r="729">
      <c r="A729" s="150" t="s">
        <v>441</v>
      </c>
      <c r="B729" s="150" t="s">
        <v>442</v>
      </c>
      <c r="C729" s="175" t="str">
        <f>VLOOKUP(A729,Import!A:C,3,false)</f>
        <v>DOĞRU</v>
      </c>
      <c r="D729" s="150" t="s">
        <v>2724</v>
      </c>
      <c r="E729" s="280">
        <f>VLOOKUP(A729,Import!A:J,5,0)</f>
        <v>7612</v>
      </c>
      <c r="F729" s="280">
        <f>VLOOKUP(A729,Import!A:J,6,0)</f>
        <v>203</v>
      </c>
      <c r="G729" s="289">
        <f>VLOOKUP(A729,Import!A:J,7,0)</f>
        <v>0</v>
      </c>
      <c r="H729" s="289">
        <f>VLOOKUP(A729,Import!A:J,8,0)</f>
        <v>133</v>
      </c>
      <c r="I729" s="289">
        <f>VLOOKUP(A729,Import!A:J,9,0)</f>
        <v>133</v>
      </c>
      <c r="J729" s="282">
        <f>VLOOKUP(A729,Import!A:J,10,0)</f>
        <v>0</v>
      </c>
      <c r="K729" s="244" t="str">
        <f>VLOOKUP(A729,Import!A:P,11,0)</f>
        <v>CİHAN DURMUŞ</v>
      </c>
      <c r="L729" s="150">
        <v>5.39575991E9</v>
      </c>
      <c r="M729" s="150" t="s">
        <v>2666</v>
      </c>
      <c r="N729" s="150" t="s">
        <v>2667</v>
      </c>
      <c r="O729" s="150" t="s">
        <v>4415</v>
      </c>
      <c r="P729" s="244" t="str">
        <f>VLOOKUP(A729,Import!A:P,16,0)</f>
        <v>Geleneksel</v>
      </c>
      <c r="Q729" s="291" t="s">
        <v>2713</v>
      </c>
      <c r="R729" s="292" t="b">
        <v>1</v>
      </c>
      <c r="S729" s="293" t="b">
        <v>0</v>
      </c>
      <c r="T729" s="149" t="s">
        <v>2880</v>
      </c>
      <c r="U729" s="149"/>
      <c r="V729" s="149" t="s">
        <v>31</v>
      </c>
      <c r="W729" s="149" t="s">
        <v>4416</v>
      </c>
      <c r="X729" s="294">
        <v>44239.0</v>
      </c>
      <c r="Y729" s="294">
        <v>44243.0</v>
      </c>
      <c r="Z729" s="288"/>
      <c r="AA729" s="165" t="s">
        <v>2669</v>
      </c>
      <c r="AB729" s="295">
        <v>44517.0</v>
      </c>
      <c r="AC729" s="165" t="s">
        <v>2772</v>
      </c>
      <c r="AD729" s="295">
        <v>44543.0</v>
      </c>
      <c r="AE729" s="165" t="s">
        <v>2693</v>
      </c>
      <c r="AF729" s="295">
        <v>44572.0</v>
      </c>
      <c r="AG729" s="160"/>
      <c r="AH729" s="288"/>
      <c r="AI729" s="288"/>
      <c r="AJ729" s="288"/>
      <c r="AK729" s="165" t="s">
        <v>1971</v>
      </c>
      <c r="AL729" s="165" t="s">
        <v>921</v>
      </c>
      <c r="AM729" s="165" t="s">
        <v>819</v>
      </c>
      <c r="AN729" s="288"/>
      <c r="AO729" s="288"/>
      <c r="AP729" s="150" t="s">
        <v>2663</v>
      </c>
      <c r="AQ729" s="288"/>
    </row>
    <row r="730">
      <c r="A730" s="244" t="s">
        <v>1722</v>
      </c>
      <c r="B730" s="244" t="s">
        <v>1723</v>
      </c>
      <c r="C730" s="175" t="str">
        <f>VLOOKUP(A730,Import!A:C,3,false)</f>
        <v>DOĞRU</v>
      </c>
      <c r="D730" s="362" t="s">
        <v>2658</v>
      </c>
      <c r="E730" s="280">
        <f>VLOOKUP(A730,Import!A:J,5,0)</f>
        <v>17377</v>
      </c>
      <c r="F730" s="280">
        <f>VLOOKUP(A730,Import!A:J,6,0)</f>
        <v>518</v>
      </c>
      <c r="G730" s="289">
        <f>VLOOKUP(A730,Import!A:J,7,0)</f>
        <v>7</v>
      </c>
      <c r="H730" s="289">
        <f>VLOOKUP(A730,Import!A:J,8,0)</f>
        <v>19</v>
      </c>
      <c r="I730" s="289">
        <f>VLOOKUP(A730,Import!A:J,9,0)</f>
        <v>26</v>
      </c>
      <c r="J730" s="282">
        <f>VLOOKUP(A730,Import!A:J,10,0)</f>
        <v>0.27</v>
      </c>
      <c r="K730" s="244" t="str">
        <f>VLOOKUP(A730,Import!A:P,11,0)</f>
        <v>KADİR ADA</v>
      </c>
      <c r="L730" s="280">
        <v>2.222393911E9</v>
      </c>
      <c r="M730" s="244" t="s">
        <v>1450</v>
      </c>
      <c r="N730" s="244" t="s">
        <v>2732</v>
      </c>
      <c r="O730" s="244" t="s">
        <v>4417</v>
      </c>
      <c r="P730" s="244" t="str">
        <f>VLOOKUP(A730,Import!A:P,16,0)</f>
        <v>Geleneksel</v>
      </c>
      <c r="Q730" s="291" t="s">
        <v>2686</v>
      </c>
      <c r="R730" s="292" t="b">
        <v>1</v>
      </c>
      <c r="S730" s="293" t="b">
        <v>0</v>
      </c>
      <c r="T730" s="145" t="s">
        <v>2734</v>
      </c>
      <c r="U730" s="165" t="s">
        <v>1717</v>
      </c>
      <c r="V730" s="356" t="s">
        <v>1609</v>
      </c>
      <c r="W730" s="165" t="s">
        <v>4418</v>
      </c>
      <c r="X730" s="295">
        <v>44488.0</v>
      </c>
      <c r="Y730" s="295">
        <v>44489.0</v>
      </c>
      <c r="Z730" s="288"/>
      <c r="AA730" s="165" t="s">
        <v>2772</v>
      </c>
      <c r="AB730" s="295">
        <v>44377.0</v>
      </c>
      <c r="AC730" s="165" t="s">
        <v>2669</v>
      </c>
      <c r="AD730" s="295">
        <v>44488.0</v>
      </c>
      <c r="AE730" s="165" t="s">
        <v>2699</v>
      </c>
      <c r="AF730" s="295">
        <v>44497.0</v>
      </c>
      <c r="AG730" s="165" t="s">
        <v>2669</v>
      </c>
      <c r="AH730" s="295">
        <v>44497.0</v>
      </c>
      <c r="AI730" s="288"/>
      <c r="AJ730" s="288"/>
      <c r="AK730" s="165" t="s">
        <v>2913</v>
      </c>
      <c r="AL730" s="165" t="s">
        <v>1717</v>
      </c>
      <c r="AM730" s="165" t="s">
        <v>1715</v>
      </c>
      <c r="AN730" s="165" t="s">
        <v>1715</v>
      </c>
      <c r="AO730" s="288"/>
      <c r="AP730" s="150" t="s">
        <v>2663</v>
      </c>
      <c r="AQ730" s="288"/>
    </row>
    <row r="731">
      <c r="A731" s="150" t="s">
        <v>1733</v>
      </c>
      <c r="B731" s="150" t="s">
        <v>1734</v>
      </c>
      <c r="C731" s="175" t="str">
        <f>VLOOKUP(A731,Import!A:C,3,false)</f>
        <v>DOĞRU</v>
      </c>
      <c r="D731" s="150" t="s">
        <v>2904</v>
      </c>
      <c r="E731" s="280">
        <f>VLOOKUP(A731,Import!A:J,5,0)</f>
        <v>8243</v>
      </c>
      <c r="F731" s="280">
        <f>VLOOKUP(A731,Import!A:J,6,0)</f>
        <v>272</v>
      </c>
      <c r="G731" s="289">
        <f>VLOOKUP(A731,Import!A:J,7,0)</f>
        <v>10</v>
      </c>
      <c r="H731" s="289">
        <f>VLOOKUP(A731,Import!A:J,8,0)</f>
        <v>22</v>
      </c>
      <c r="I731" s="289">
        <f>VLOOKUP(A731,Import!A:J,9,0)</f>
        <v>32</v>
      </c>
      <c r="J731" s="282">
        <f>VLOOKUP(A731,Import!A:J,10,0)</f>
        <v>0.31</v>
      </c>
      <c r="K731" s="244" t="str">
        <f>VLOOKUP(A731,Import!A:P,11,0)</f>
        <v>Furkan Durukan</v>
      </c>
      <c r="L731" s="150">
        <v>5.050895007E9</v>
      </c>
      <c r="M731" s="150" t="s">
        <v>1450</v>
      </c>
      <c r="N731" s="150" t="s">
        <v>2732</v>
      </c>
      <c r="O731" s="150" t="s">
        <v>1736</v>
      </c>
      <c r="P731" s="244" t="str">
        <f>VLOOKUP(A731,Import!A:P,16,0)</f>
        <v>Geleneksel</v>
      </c>
      <c r="Q731" s="291" t="s">
        <v>2713</v>
      </c>
      <c r="R731" s="292" t="b">
        <v>1</v>
      </c>
      <c r="S731" s="293" t="b">
        <v>0</v>
      </c>
      <c r="T731" s="149" t="s">
        <v>2661</v>
      </c>
      <c r="U731" s="149" t="s">
        <v>1717</v>
      </c>
      <c r="V731" s="356" t="s">
        <v>1609</v>
      </c>
      <c r="W731" s="149" t="s">
        <v>4419</v>
      </c>
      <c r="X731" s="294">
        <v>44488.0</v>
      </c>
      <c r="Y731" s="294">
        <v>44489.0</v>
      </c>
      <c r="Z731" s="288"/>
      <c r="AA731" s="165" t="s">
        <v>2669</v>
      </c>
      <c r="AB731" s="295">
        <v>44488.0</v>
      </c>
      <c r="AC731" s="165" t="s">
        <v>2669</v>
      </c>
      <c r="AD731" s="295">
        <v>44547.0</v>
      </c>
      <c r="AE731" s="160"/>
      <c r="AF731" s="288"/>
      <c r="AG731" s="160"/>
      <c r="AH731" s="288"/>
      <c r="AI731" s="288"/>
      <c r="AJ731" s="288"/>
      <c r="AK731" s="165" t="s">
        <v>1717</v>
      </c>
      <c r="AL731" s="165" t="s">
        <v>1971</v>
      </c>
      <c r="AM731" s="288"/>
      <c r="AN731" s="288"/>
      <c r="AO731" s="288"/>
      <c r="AP731" s="150" t="s">
        <v>2663</v>
      </c>
      <c r="AQ731" s="288"/>
    </row>
    <row r="732">
      <c r="A732" s="150" t="s">
        <v>4420</v>
      </c>
      <c r="B732" s="150" t="s">
        <v>4421</v>
      </c>
      <c r="C732" s="175" t="str">
        <f>VLOOKUP(A732,Import!A:C,3,false)</f>
        <v>DOĞRU</v>
      </c>
      <c r="D732" s="150" t="s">
        <v>2672</v>
      </c>
      <c r="E732" s="280">
        <f>VLOOKUP(A732,Import!A:J,5,0)</f>
        <v>155</v>
      </c>
      <c r="F732" s="280">
        <f>VLOOKUP(A732,Import!A:J,6,0)</f>
        <v>30</v>
      </c>
      <c r="G732" s="289">
        <f>VLOOKUP(A732,Import!A:J,7,0)</f>
        <v>0</v>
      </c>
      <c r="H732" s="289">
        <f>VLOOKUP(A732,Import!A:J,8,0)</f>
        <v>22</v>
      </c>
      <c r="I732" s="289">
        <f>VLOOKUP(A732,Import!A:J,9,0)</f>
        <v>22</v>
      </c>
      <c r="J732" s="282">
        <f>VLOOKUP(A732,Import!A:J,10,0)</f>
        <v>0</v>
      </c>
      <c r="K732" s="290" t="s">
        <v>4422</v>
      </c>
      <c r="L732" s="150">
        <v>2.22340011E9</v>
      </c>
      <c r="M732" s="150" t="s">
        <v>2666</v>
      </c>
      <c r="N732" s="150" t="s">
        <v>3000</v>
      </c>
      <c r="O732" s="150" t="s">
        <v>4423</v>
      </c>
      <c r="P732" s="244" t="str">
        <f>VLOOKUP(A732,Import!A:P,16,0)</f>
        <v>Geleneksel</v>
      </c>
      <c r="Q732" s="291"/>
      <c r="R732" s="292" t="b">
        <v>1</v>
      </c>
      <c r="S732" s="293" t="b">
        <v>0</v>
      </c>
      <c r="T732" s="149" t="s">
        <v>2688</v>
      </c>
      <c r="U732" s="296"/>
      <c r="V732" s="296"/>
      <c r="W732" s="149" t="s">
        <v>4424</v>
      </c>
      <c r="X732" s="297"/>
      <c r="Y732" s="297"/>
      <c r="Z732" s="288"/>
      <c r="AA732" s="165" t="s">
        <v>2688</v>
      </c>
      <c r="AB732" s="295">
        <v>44601.0</v>
      </c>
      <c r="AC732" s="288"/>
      <c r="AD732" s="288"/>
      <c r="AE732" s="160"/>
      <c r="AF732" s="288"/>
      <c r="AG732" s="160"/>
      <c r="AH732" s="288"/>
      <c r="AI732" s="288"/>
      <c r="AJ732" s="288"/>
      <c r="AK732" s="165" t="s">
        <v>2474</v>
      </c>
      <c r="AL732" s="288"/>
      <c r="AM732" s="288"/>
      <c r="AN732" s="288"/>
      <c r="AO732" s="165"/>
      <c r="AP732" s="150"/>
      <c r="AQ732" s="165"/>
    </row>
    <row r="733">
      <c r="A733" s="244" t="s">
        <v>833</v>
      </c>
      <c r="B733" s="244" t="s">
        <v>834</v>
      </c>
      <c r="C733" s="175" t="str">
        <f>VLOOKUP(A733,Import!A:C,3,false)</f>
        <v>DOĞRU</v>
      </c>
      <c r="D733" s="244" t="s">
        <v>2763</v>
      </c>
      <c r="E733" s="280">
        <f>VLOOKUP(A733,Import!A:J,5,0)</f>
        <v>3016</v>
      </c>
      <c r="F733" s="280">
        <f>VLOOKUP(A733,Import!A:J,6,0)</f>
        <v>48</v>
      </c>
      <c r="G733" s="289">
        <f>VLOOKUP(A733,Import!A:J,7,0)</f>
        <v>12</v>
      </c>
      <c r="H733" s="289">
        <f>VLOOKUP(A733,Import!A:J,8,0)</f>
        <v>13</v>
      </c>
      <c r="I733" s="289">
        <f>VLOOKUP(A733,Import!A:J,9,0)</f>
        <v>25</v>
      </c>
      <c r="J733" s="282">
        <f>VLOOKUP(A733,Import!A:J,10,0)</f>
        <v>0.48</v>
      </c>
      <c r="K733" s="244" t="str">
        <f>VLOOKUP(A733,Import!A:P,11,0)</f>
        <v>ERGÜN SARIKAVAK</v>
      </c>
      <c r="L733" s="280">
        <v>2.222338062E9</v>
      </c>
      <c r="M733" s="244" t="s">
        <v>1450</v>
      </c>
      <c r="N733" s="244" t="s">
        <v>2659</v>
      </c>
      <c r="O733" s="244" t="s">
        <v>836</v>
      </c>
      <c r="P733" s="244" t="str">
        <f>VLOOKUP(A733,Import!A:P,16,0)</f>
        <v>Geleneksel</v>
      </c>
      <c r="Q733" s="291" t="s">
        <v>2686</v>
      </c>
      <c r="R733" s="292" t="b">
        <v>1</v>
      </c>
      <c r="S733" s="293" t="b">
        <v>0</v>
      </c>
      <c r="T733" s="165" t="s">
        <v>2661</v>
      </c>
      <c r="U733" s="165"/>
      <c r="V733" s="165" t="s">
        <v>31</v>
      </c>
      <c r="W733" s="165" t="s">
        <v>4425</v>
      </c>
      <c r="X733" s="295">
        <v>44253.0</v>
      </c>
      <c r="Y733" s="295">
        <v>44256.0</v>
      </c>
      <c r="Z733" s="288"/>
      <c r="AA733" s="165" t="s">
        <v>2699</v>
      </c>
      <c r="AB733" s="295">
        <v>44547.0</v>
      </c>
      <c r="AC733" s="165" t="s">
        <v>2669</v>
      </c>
      <c r="AD733" s="295">
        <v>44558.0</v>
      </c>
      <c r="AE733" s="160"/>
      <c r="AF733" s="288"/>
      <c r="AG733" s="160"/>
      <c r="AH733" s="288"/>
      <c r="AI733" s="288"/>
      <c r="AJ733" s="288"/>
      <c r="AK733" s="165" t="s">
        <v>1971</v>
      </c>
      <c r="AL733" s="165" t="s">
        <v>2161</v>
      </c>
      <c r="AM733" s="288"/>
      <c r="AN733" s="288"/>
      <c r="AO733" s="288"/>
      <c r="AP733" s="150" t="s">
        <v>2663</v>
      </c>
      <c r="AQ733" s="288"/>
    </row>
    <row r="734">
      <c r="A734" s="244" t="s">
        <v>703</v>
      </c>
      <c r="B734" s="244" t="s">
        <v>704</v>
      </c>
      <c r="C734" s="175" t="str">
        <f>VLOOKUP(A734,Import!A:C,3,false)</f>
        <v>DOĞRU</v>
      </c>
      <c r="D734" s="244" t="s">
        <v>2672</v>
      </c>
      <c r="E734" s="280">
        <f>VLOOKUP(A734,Import!A:J,5,0)</f>
        <v>4777</v>
      </c>
      <c r="F734" s="280" t="str">
        <f>VLOOKUP(A734,Import!A:J,6,0)</f>
        <v/>
      </c>
      <c r="G734" s="289">
        <f>VLOOKUP(A734,Import!A:J,7,0)</f>
        <v>16</v>
      </c>
      <c r="H734" s="289">
        <f>VLOOKUP(A734,Import!A:J,8,0)</f>
        <v>22</v>
      </c>
      <c r="I734" s="289">
        <f>VLOOKUP(A734,Import!A:J,9,0)</f>
        <v>38</v>
      </c>
      <c r="J734" s="282">
        <f>VLOOKUP(A734,Import!A:J,10,0)</f>
        <v>0.42</v>
      </c>
      <c r="K734" s="244" t="str">
        <f>VLOOKUP(A734,Import!A:P,11,0)</f>
        <v>Yasin Turnal</v>
      </c>
      <c r="L734" s="280">
        <v>2.222371414E9</v>
      </c>
      <c r="M734" s="244" t="s">
        <v>1450</v>
      </c>
      <c r="N734" s="244" t="s">
        <v>2674</v>
      </c>
      <c r="O734" s="244" t="s">
        <v>707</v>
      </c>
      <c r="P734" s="244" t="str">
        <f>VLOOKUP(A734,Import!A:P,16,0)</f>
        <v>Geleneksel</v>
      </c>
      <c r="Q734" s="291" t="s">
        <v>2760</v>
      </c>
      <c r="R734" s="292" t="b">
        <v>1</v>
      </c>
      <c r="S734" s="293" t="b">
        <v>0</v>
      </c>
      <c r="T734" s="165" t="s">
        <v>2661</v>
      </c>
      <c r="U734" s="165"/>
      <c r="V734" s="165" t="s">
        <v>31</v>
      </c>
      <c r="W734" s="165" t="s">
        <v>4426</v>
      </c>
      <c r="X734" s="295">
        <v>44245.0</v>
      </c>
      <c r="Y734" s="295">
        <v>44251.0</v>
      </c>
      <c r="Z734" s="288"/>
      <c r="AA734" s="165" t="s">
        <v>2772</v>
      </c>
      <c r="AB734" s="295">
        <v>44378.0</v>
      </c>
      <c r="AC734" s="288"/>
      <c r="AD734" s="288"/>
      <c r="AE734" s="160"/>
      <c r="AF734" s="288"/>
      <c r="AG734" s="160"/>
      <c r="AH734" s="288"/>
      <c r="AI734" s="288"/>
      <c r="AJ734" s="288"/>
      <c r="AK734" s="165" t="s">
        <v>2718</v>
      </c>
      <c r="AL734" s="288"/>
      <c r="AM734" s="288"/>
      <c r="AN734" s="288"/>
      <c r="AO734" s="288"/>
      <c r="AP734" s="150" t="s">
        <v>2663</v>
      </c>
      <c r="AQ734" s="288"/>
    </row>
    <row r="735">
      <c r="A735" s="150" t="s">
        <v>503</v>
      </c>
      <c r="B735" s="150" t="s">
        <v>504</v>
      </c>
      <c r="C735" s="175" t="str">
        <f>VLOOKUP(A735,Import!A:C,3,false)</f>
        <v>DOĞRU</v>
      </c>
      <c r="D735" s="150" t="s">
        <v>2696</v>
      </c>
      <c r="E735" s="280">
        <f>VLOOKUP(A735,Import!A:J,5,0)</f>
        <v>1057</v>
      </c>
      <c r="F735" s="280" t="str">
        <f>VLOOKUP(A735,Import!A:J,6,0)</f>
        <v/>
      </c>
      <c r="G735" s="289">
        <f>VLOOKUP(A735,Import!A:J,7,0)</f>
        <v>15</v>
      </c>
      <c r="H735" s="289">
        <f>VLOOKUP(A735,Import!A:J,8,0)</f>
        <v>44</v>
      </c>
      <c r="I735" s="289">
        <f>VLOOKUP(A735,Import!A:J,9,0)</f>
        <v>59</v>
      </c>
      <c r="J735" s="282">
        <f>VLOOKUP(A735,Import!A:J,10,0)</f>
        <v>0.25</v>
      </c>
      <c r="K735" s="244" t="str">
        <f>VLOOKUP(A735,Import!A:P,11,0)</f>
        <v>ÖMER YETİK</v>
      </c>
      <c r="L735" s="150">
        <v>5.39216558E9</v>
      </c>
      <c r="M735" s="150" t="s">
        <v>1450</v>
      </c>
      <c r="N735" s="150" t="s">
        <v>3189</v>
      </c>
      <c r="O735" s="150" t="s">
        <v>507</v>
      </c>
      <c r="P735" s="244" t="str">
        <f>VLOOKUP(A735,Import!A:P,16,0)</f>
        <v>Geleneksel</v>
      </c>
      <c r="Q735" s="291" t="s">
        <v>2713</v>
      </c>
      <c r="R735" s="292" t="b">
        <v>1</v>
      </c>
      <c r="S735" s="293" t="b">
        <v>0</v>
      </c>
      <c r="T735" s="149" t="s">
        <v>2770</v>
      </c>
      <c r="U735" s="149" t="s">
        <v>2718</v>
      </c>
      <c r="V735" s="149"/>
      <c r="W735" s="149" t="s">
        <v>4427</v>
      </c>
      <c r="X735" s="294">
        <v>44378.0</v>
      </c>
      <c r="Y735" s="294">
        <v>44383.0</v>
      </c>
      <c r="Z735" s="288"/>
      <c r="AA735" s="165" t="s">
        <v>2669</v>
      </c>
      <c r="AB735" s="295">
        <v>44378.0</v>
      </c>
      <c r="AC735" s="165" t="s">
        <v>2669</v>
      </c>
      <c r="AD735" s="295">
        <v>44481.0</v>
      </c>
      <c r="AE735" s="160"/>
      <c r="AF735" s="288"/>
      <c r="AG735" s="160"/>
      <c r="AH735" s="288"/>
      <c r="AI735" s="288"/>
      <c r="AJ735" s="288"/>
      <c r="AK735" s="165" t="s">
        <v>2718</v>
      </c>
      <c r="AL735" s="165" t="s">
        <v>1824</v>
      </c>
      <c r="AM735" s="288"/>
      <c r="AN735" s="288"/>
      <c r="AO735" s="288"/>
      <c r="AP735" s="150" t="s">
        <v>2663</v>
      </c>
      <c r="AQ735" s="288"/>
    </row>
    <row r="736">
      <c r="A736" s="244" t="s">
        <v>2423</v>
      </c>
      <c r="B736" s="244" t="s">
        <v>2424</v>
      </c>
      <c r="C736" s="175" t="str">
        <f>VLOOKUP(A736,Import!A:C,3,false)</f>
        <v>DOĞRU</v>
      </c>
      <c r="D736" s="244" t="s">
        <v>2672</v>
      </c>
      <c r="E736" s="280">
        <f>VLOOKUP(A736,Import!A:J,5,0)</f>
        <v>3820</v>
      </c>
      <c r="F736" s="280">
        <f>VLOOKUP(A736,Import!A:J,6,0)</f>
        <v>49</v>
      </c>
      <c r="G736" s="289">
        <f>VLOOKUP(A736,Import!A:J,7,0)</f>
        <v>7</v>
      </c>
      <c r="H736" s="289">
        <f>VLOOKUP(A736,Import!A:J,8,0)</f>
        <v>8</v>
      </c>
      <c r="I736" s="289">
        <f>VLOOKUP(A736,Import!A:J,9,0)</f>
        <v>15</v>
      </c>
      <c r="J736" s="282">
        <f>VLOOKUP(A736,Import!A:J,10,0)</f>
        <v>0.47</v>
      </c>
      <c r="K736" s="244" t="str">
        <f>VLOOKUP(A736,Import!A:P,11,0)</f>
        <v>Serhat Ekici</v>
      </c>
      <c r="L736" s="280">
        <v>2.22250506E9</v>
      </c>
      <c r="M736" s="244" t="s">
        <v>1450</v>
      </c>
      <c r="N736" s="244" t="s">
        <v>2703</v>
      </c>
      <c r="O736" s="244" t="s">
        <v>2426</v>
      </c>
      <c r="P736" s="244" t="str">
        <f>VLOOKUP(A736,Import!A:P,16,0)</f>
        <v>Geleneksel</v>
      </c>
      <c r="Q736" s="291" t="s">
        <v>2660</v>
      </c>
      <c r="R736" s="292" t="b">
        <v>1</v>
      </c>
      <c r="S736" s="293" t="b">
        <v>0</v>
      </c>
      <c r="T736" s="165" t="s">
        <v>2661</v>
      </c>
      <c r="U736" s="165" t="s">
        <v>819</v>
      </c>
      <c r="V736" s="165" t="s">
        <v>1609</v>
      </c>
      <c r="W736" s="165" t="s">
        <v>4428</v>
      </c>
      <c r="X736" s="295">
        <v>44581.0</v>
      </c>
      <c r="Y736" s="295">
        <v>44582.0</v>
      </c>
      <c r="Z736" s="288"/>
      <c r="AA736" s="165" t="s">
        <v>2693</v>
      </c>
      <c r="AB736" s="295">
        <v>44379.0</v>
      </c>
      <c r="AC736" s="165" t="s">
        <v>2699</v>
      </c>
      <c r="AD736" s="295">
        <v>44578.0</v>
      </c>
      <c r="AE736" s="165" t="s">
        <v>2699</v>
      </c>
      <c r="AF736" s="295">
        <v>44580.0</v>
      </c>
      <c r="AG736" s="165" t="s">
        <v>2669</v>
      </c>
      <c r="AH736" s="295">
        <v>44581.0</v>
      </c>
      <c r="AI736" s="288"/>
      <c r="AJ736" s="288"/>
      <c r="AK736" s="165" t="s">
        <v>2718</v>
      </c>
      <c r="AL736" s="165" t="s">
        <v>819</v>
      </c>
      <c r="AM736" s="165" t="s">
        <v>1715</v>
      </c>
      <c r="AN736" s="165" t="s">
        <v>819</v>
      </c>
      <c r="AO736" s="288"/>
      <c r="AP736" s="150" t="s">
        <v>2663</v>
      </c>
      <c r="AQ736" s="288"/>
    </row>
    <row r="737">
      <c r="A737" s="150" t="s">
        <v>2607</v>
      </c>
      <c r="B737" s="150" t="s">
        <v>2608</v>
      </c>
      <c r="C737" s="175" t="str">
        <f>VLOOKUP(A737,Import!A:C,3,false)</f>
        <v>DOĞRU</v>
      </c>
      <c r="D737" s="150" t="s">
        <v>2664</v>
      </c>
      <c r="E737" s="280">
        <f>VLOOKUP(A737,Import!A:J,5,0)</f>
        <v>78</v>
      </c>
      <c r="F737" s="280">
        <f>VLOOKUP(A737,Import!A:J,6,0)</f>
        <v>42</v>
      </c>
      <c r="G737" s="289">
        <f>VLOOKUP(A737,Import!A:J,7,0)</f>
        <v>0</v>
      </c>
      <c r="H737" s="289">
        <f>VLOOKUP(A737,Import!A:J,8,0)</f>
        <v>3</v>
      </c>
      <c r="I737" s="289">
        <f>VLOOKUP(A737,Import!A:J,9,0)</f>
        <v>3</v>
      </c>
      <c r="J737" s="282">
        <f>VLOOKUP(A737,Import!A:J,10,0)</f>
        <v>0</v>
      </c>
      <c r="K737" s="290" t="s">
        <v>4429</v>
      </c>
      <c r="L737" s="150">
        <v>5.342653842E9</v>
      </c>
      <c r="M737" s="150" t="s">
        <v>2666</v>
      </c>
      <c r="N737" s="150" t="s">
        <v>2667</v>
      </c>
      <c r="O737" s="150" t="s">
        <v>2610</v>
      </c>
      <c r="P737" s="244" t="str">
        <f>VLOOKUP(A737,Import!A:P,16,0)</f>
        <v>Geleneksel</v>
      </c>
      <c r="Q737" s="291"/>
      <c r="R737" s="292" t="b">
        <v>1</v>
      </c>
      <c r="S737" s="293" t="b">
        <v>0</v>
      </c>
      <c r="T737" s="149" t="s">
        <v>2770</v>
      </c>
      <c r="U737" s="149" t="s">
        <v>943</v>
      </c>
      <c r="V737" s="165" t="s">
        <v>1609</v>
      </c>
      <c r="W737" s="149"/>
      <c r="X737" s="294">
        <v>44649.0</v>
      </c>
      <c r="Y737" s="294">
        <v>44657.0</v>
      </c>
      <c r="Z737" s="288"/>
      <c r="AA737" s="165" t="s">
        <v>2669</v>
      </c>
      <c r="AB737" s="295">
        <v>44649.0</v>
      </c>
      <c r="AC737" s="288"/>
      <c r="AD737" s="288"/>
      <c r="AE737" s="160"/>
      <c r="AF737" s="288"/>
      <c r="AG737" s="160"/>
      <c r="AH737" s="288"/>
      <c r="AI737" s="288"/>
      <c r="AJ737" s="288"/>
      <c r="AK737" s="165" t="s">
        <v>943</v>
      </c>
      <c r="AL737" s="288"/>
      <c r="AM737" s="288"/>
      <c r="AN737" s="288"/>
      <c r="AO737" s="165"/>
      <c r="AP737" s="150"/>
      <c r="AQ737" s="165"/>
    </row>
    <row r="738">
      <c r="A738" s="244" t="s">
        <v>750</v>
      </c>
      <c r="B738" s="244" t="s">
        <v>751</v>
      </c>
      <c r="C738" s="175" t="str">
        <f>VLOOKUP(A738,Import!A:C,3,false)</f>
        <v>DOĞRU</v>
      </c>
      <c r="D738" s="362" t="s">
        <v>2658</v>
      </c>
      <c r="E738" s="280">
        <f>VLOOKUP(A738,Import!A:J,5,0)</f>
        <v>4664</v>
      </c>
      <c r="F738" s="280">
        <f>VLOOKUP(A738,Import!A:J,6,0)</f>
        <v>93</v>
      </c>
      <c r="G738" s="289">
        <f>VLOOKUP(A738,Import!A:J,7,0)</f>
        <v>12</v>
      </c>
      <c r="H738" s="289">
        <f>VLOOKUP(A738,Import!A:J,8,0)</f>
        <v>7</v>
      </c>
      <c r="I738" s="289">
        <f>VLOOKUP(A738,Import!A:J,9,0)</f>
        <v>19</v>
      </c>
      <c r="J738" s="282">
        <f>VLOOKUP(A738,Import!A:J,10,0)</f>
        <v>0.63</v>
      </c>
      <c r="K738" s="244" t="str">
        <f>VLOOKUP(A738,Import!A:P,11,0)</f>
        <v>Ramazan Güler</v>
      </c>
      <c r="L738" s="280">
        <v>2.223355045E9</v>
      </c>
      <c r="M738" s="244" t="s">
        <v>2666</v>
      </c>
      <c r="N738" s="244" t="s">
        <v>3084</v>
      </c>
      <c r="O738" s="244" t="s">
        <v>753</v>
      </c>
      <c r="P738" s="244" t="str">
        <f>VLOOKUP(A738,Import!A:P,16,0)</f>
        <v>Geleneksel</v>
      </c>
      <c r="Q738" s="291" t="s">
        <v>2686</v>
      </c>
      <c r="R738" s="292" t="b">
        <v>1</v>
      </c>
      <c r="S738" s="293" t="b">
        <v>0</v>
      </c>
      <c r="T738" s="165" t="s">
        <v>2661</v>
      </c>
      <c r="U738" s="165"/>
      <c r="V738" s="165" t="s">
        <v>46</v>
      </c>
      <c r="W738" s="165"/>
      <c r="X738" s="295">
        <v>44251.0</v>
      </c>
      <c r="Y738" s="295">
        <v>44252.0</v>
      </c>
      <c r="Z738" s="288"/>
      <c r="AA738" s="288"/>
      <c r="AB738" s="288"/>
      <c r="AC738" s="288"/>
      <c r="AD738" s="288"/>
      <c r="AE738" s="160"/>
      <c r="AF738" s="288"/>
      <c r="AG738" s="160"/>
      <c r="AH738" s="288"/>
      <c r="AI738" s="288"/>
      <c r="AJ738" s="288"/>
      <c r="AK738" s="288"/>
      <c r="AL738" s="288"/>
      <c r="AM738" s="288"/>
      <c r="AN738" s="288"/>
      <c r="AO738" s="288"/>
      <c r="AP738" s="150" t="s">
        <v>2663</v>
      </c>
      <c r="AQ738" s="288"/>
    </row>
    <row r="739">
      <c r="A739" s="150" t="s">
        <v>1012</v>
      </c>
      <c r="B739" s="150" t="s">
        <v>1013</v>
      </c>
      <c r="C739" s="175" t="str">
        <f>VLOOKUP(A739,Import!A:C,3,false)</f>
        <v>DOĞRU</v>
      </c>
      <c r="D739" s="150" t="s">
        <v>2672</v>
      </c>
      <c r="E739" s="280">
        <f>VLOOKUP(A739,Import!A:J,5,0)</f>
        <v>1177</v>
      </c>
      <c r="F739" s="280">
        <f>VLOOKUP(A739,Import!A:J,6,0)</f>
        <v>79</v>
      </c>
      <c r="G739" s="289">
        <f>VLOOKUP(A739,Import!A:J,7,0)</f>
        <v>15</v>
      </c>
      <c r="H739" s="289">
        <f>VLOOKUP(A739,Import!A:J,8,0)</f>
        <v>5</v>
      </c>
      <c r="I739" s="289">
        <f>VLOOKUP(A739,Import!A:J,9,0)</f>
        <v>20</v>
      </c>
      <c r="J739" s="282">
        <f>VLOOKUP(A739,Import!A:J,10,0)</f>
        <v>0.75</v>
      </c>
      <c r="K739" s="244" t="str">
        <f>VLOOKUP(A739,Import!A:P,11,0)</f>
        <v>Hasan Soner</v>
      </c>
      <c r="L739" s="150">
        <v>2.222501436E9</v>
      </c>
      <c r="M739" s="150" t="s">
        <v>1450</v>
      </c>
      <c r="N739" s="150" t="s">
        <v>2703</v>
      </c>
      <c r="O739" s="150" t="s">
        <v>1015</v>
      </c>
      <c r="P739" s="244" t="str">
        <f>VLOOKUP(A739,Import!A:P,16,0)</f>
        <v>Geleneksel</v>
      </c>
      <c r="Q739" s="291" t="s">
        <v>2686</v>
      </c>
      <c r="R739" s="292" t="b">
        <v>1</v>
      </c>
      <c r="S739" s="292"/>
      <c r="T739" s="149" t="s">
        <v>2661</v>
      </c>
      <c r="U739" s="149" t="s">
        <v>1000</v>
      </c>
      <c r="V739" s="149" t="s">
        <v>31</v>
      </c>
      <c r="X739" s="294">
        <v>44271.0</v>
      </c>
      <c r="Y739" s="294">
        <v>44274.0</v>
      </c>
      <c r="Z739" s="288"/>
      <c r="AA739" s="288"/>
      <c r="AB739" s="288"/>
      <c r="AC739" s="288"/>
      <c r="AD739" s="288"/>
      <c r="AE739" s="160"/>
      <c r="AF739" s="288"/>
      <c r="AG739" s="160"/>
      <c r="AH739" s="288"/>
      <c r="AI739" s="288"/>
      <c r="AJ739" s="288"/>
      <c r="AK739" s="288"/>
      <c r="AL739" s="288"/>
      <c r="AM739" s="288"/>
      <c r="AN739" s="288"/>
      <c r="AO739" s="288"/>
      <c r="AP739" s="150" t="s">
        <v>2663</v>
      </c>
      <c r="AQ739" s="288"/>
    </row>
    <row r="740">
      <c r="A740" s="150" t="s">
        <v>626</v>
      </c>
      <c r="B740" s="150" t="s">
        <v>627</v>
      </c>
      <c r="C740" s="175" t="str">
        <f>VLOOKUP(A740,Import!A:C,3,false)</f>
        <v>DOĞRU</v>
      </c>
      <c r="D740" s="150" t="s">
        <v>2658</v>
      </c>
      <c r="E740" s="280">
        <f>VLOOKUP(A740,Import!A:J,5,0)</f>
        <v>2062</v>
      </c>
      <c r="F740" s="280" t="str">
        <f>VLOOKUP(A740,Import!A:J,6,0)</f>
        <v/>
      </c>
      <c r="G740" s="289">
        <f>VLOOKUP(A740,Import!A:J,7,0)</f>
        <v>12</v>
      </c>
      <c r="H740" s="289">
        <f>VLOOKUP(A740,Import!A:J,8,0)</f>
        <v>17</v>
      </c>
      <c r="I740" s="289">
        <f>VLOOKUP(A740,Import!A:J,9,0)</f>
        <v>29</v>
      </c>
      <c r="J740" s="282">
        <f>VLOOKUP(A740,Import!A:J,10,0)</f>
        <v>0.41</v>
      </c>
      <c r="K740" s="244" t="str">
        <f>VLOOKUP(A740,Import!A:P,11,0)</f>
        <v>Mehmet Topçu</v>
      </c>
      <c r="L740" s="150">
        <v>5.511463657E9</v>
      </c>
      <c r="M740" s="150" t="s">
        <v>1450</v>
      </c>
      <c r="N740" s="150" t="s">
        <v>2703</v>
      </c>
      <c r="O740" s="150" t="s">
        <v>629</v>
      </c>
      <c r="P740" s="244" t="str">
        <f>VLOOKUP(A740,Import!A:P,16,0)</f>
        <v>Geleneksel</v>
      </c>
      <c r="Q740" s="291" t="s">
        <v>2660</v>
      </c>
      <c r="R740" s="292" t="b">
        <v>1</v>
      </c>
      <c r="S740" s="293" t="b">
        <v>0</v>
      </c>
      <c r="T740" s="149" t="s">
        <v>2661</v>
      </c>
      <c r="U740" s="149"/>
      <c r="V740" s="149" t="s">
        <v>31</v>
      </c>
      <c r="X740" s="294">
        <v>44237.0</v>
      </c>
      <c r="Y740" s="294">
        <v>44249.0</v>
      </c>
      <c r="Z740" s="288"/>
      <c r="AA740" s="288"/>
      <c r="AB740" s="288"/>
      <c r="AC740" s="288"/>
      <c r="AD740" s="288"/>
      <c r="AE740" s="160"/>
      <c r="AF740" s="288"/>
      <c r="AG740" s="160"/>
      <c r="AH740" s="288"/>
      <c r="AI740" s="288"/>
      <c r="AJ740" s="288"/>
      <c r="AK740" s="288"/>
      <c r="AL740" s="288"/>
      <c r="AM740" s="288"/>
      <c r="AN740" s="288"/>
      <c r="AO740" s="288"/>
      <c r="AP740" s="150" t="s">
        <v>2663</v>
      </c>
      <c r="AQ740" s="288"/>
    </row>
    <row r="741">
      <c r="A741" s="150" t="s">
        <v>4430</v>
      </c>
      <c r="B741" s="150" t="s">
        <v>4431</v>
      </c>
      <c r="C741" s="175" t="str">
        <f>VLOOKUP(A741,Import!A:C,3,false)</f>
        <v>DOĞRU</v>
      </c>
      <c r="D741" s="150" t="s">
        <v>2867</v>
      </c>
      <c r="E741" s="280">
        <f>VLOOKUP(A741,Import!A:J,5,0)</f>
        <v>6</v>
      </c>
      <c r="F741" s="280">
        <f>VLOOKUP(A741,Import!A:J,6,0)</f>
        <v>6</v>
      </c>
      <c r="G741" s="289">
        <f>VLOOKUP(A741,Import!A:J,7,0)</f>
        <v>0</v>
      </c>
      <c r="H741" s="289">
        <f>VLOOKUP(A741,Import!A:J,8,0)</f>
        <v>15</v>
      </c>
      <c r="I741" s="289">
        <f>VLOOKUP(A741,Import!A:J,9,0)</f>
        <v>15</v>
      </c>
      <c r="J741" s="282">
        <f>VLOOKUP(A741,Import!A:J,10,0)</f>
        <v>0</v>
      </c>
      <c r="K741" s="150" t="s">
        <v>4432</v>
      </c>
      <c r="L741" s="150">
        <v>5.548529011E9</v>
      </c>
      <c r="M741" s="150" t="s">
        <v>1450</v>
      </c>
      <c r="N741" s="150" t="s">
        <v>2950</v>
      </c>
      <c r="O741" s="150" t="s">
        <v>4433</v>
      </c>
      <c r="P741" s="244" t="str">
        <f>VLOOKUP(A741,Import!A:P,16,0)</f>
        <v>Geleneksel</v>
      </c>
      <c r="Q741" s="291"/>
      <c r="R741" s="292" t="b">
        <v>0</v>
      </c>
      <c r="S741" s="293" t="b">
        <v>0</v>
      </c>
      <c r="T741" s="149"/>
      <c r="U741" s="296"/>
      <c r="V741" s="296"/>
      <c r="W741" s="149"/>
      <c r="X741" s="297"/>
      <c r="Y741" s="297"/>
      <c r="Z741" s="288"/>
      <c r="AA741" s="165"/>
      <c r="AB741" s="295"/>
      <c r="AC741" s="288"/>
      <c r="AD741" s="288"/>
      <c r="AE741" s="160"/>
      <c r="AF741" s="288"/>
      <c r="AG741" s="160"/>
      <c r="AH741" s="288"/>
      <c r="AI741" s="288"/>
      <c r="AJ741" s="288"/>
      <c r="AK741" s="165"/>
      <c r="AL741" s="288"/>
      <c r="AM741" s="288"/>
      <c r="AN741" s="288"/>
      <c r="AO741" s="165"/>
      <c r="AP741" s="150"/>
      <c r="AQ741" s="165"/>
    </row>
    <row r="742">
      <c r="A742" s="150" t="s">
        <v>469</v>
      </c>
      <c r="B742" s="150" t="s">
        <v>470</v>
      </c>
      <c r="C742" s="175" t="str">
        <f>VLOOKUP(A742,Import!A:C,3,false)</f>
        <v>DOĞRU</v>
      </c>
      <c r="D742" s="150" t="s">
        <v>2706</v>
      </c>
      <c r="E742" s="280">
        <f>VLOOKUP(A742,Import!A:J,5,0)</f>
        <v>5515</v>
      </c>
      <c r="F742" s="280" t="str">
        <f>VLOOKUP(A742,Import!A:J,6,0)</f>
        <v/>
      </c>
      <c r="G742" s="289">
        <f>VLOOKUP(A742,Import!A:J,7,0)</f>
        <v>22</v>
      </c>
      <c r="H742" s="289">
        <f>VLOOKUP(A742,Import!A:J,8,0)</f>
        <v>48</v>
      </c>
      <c r="I742" s="289">
        <f>VLOOKUP(A742,Import!A:J,9,0)</f>
        <v>70</v>
      </c>
      <c r="J742" s="282">
        <f>VLOOKUP(A742,Import!A:J,10,0)</f>
        <v>0.31</v>
      </c>
      <c r="K742" s="244" t="str">
        <f>VLOOKUP(A742,Import!A:P,11,0)</f>
        <v>GÜL KEDİKLİ</v>
      </c>
      <c r="L742" s="150">
        <v>5.077920092E9</v>
      </c>
      <c r="M742" s="150" t="s">
        <v>2666</v>
      </c>
      <c r="N742" s="150" t="s">
        <v>2682</v>
      </c>
      <c r="O742" s="150" t="s">
        <v>472</v>
      </c>
      <c r="P742" s="244" t="str">
        <f>VLOOKUP(A742,Import!A:P,16,0)</f>
        <v>Geleneksel</v>
      </c>
      <c r="Q742" s="315" t="s">
        <v>2713</v>
      </c>
      <c r="R742" s="292" t="b">
        <v>1</v>
      </c>
      <c r="S742" s="292" t="b">
        <v>0</v>
      </c>
      <c r="T742" s="149" t="s">
        <v>2661</v>
      </c>
      <c r="U742" s="149" t="s">
        <v>937</v>
      </c>
      <c r="V742" s="149" t="s">
        <v>13</v>
      </c>
      <c r="W742" s="149" t="s">
        <v>4434</v>
      </c>
      <c r="X742" s="294">
        <v>44307.0</v>
      </c>
      <c r="Y742" s="294">
        <v>44308.0</v>
      </c>
      <c r="Z742" s="288"/>
      <c r="AA742" s="165" t="s">
        <v>2669</v>
      </c>
      <c r="AB742" s="295">
        <v>44501.0</v>
      </c>
      <c r="AC742" s="165" t="s">
        <v>2693</v>
      </c>
      <c r="AD742" s="295">
        <v>44543.0</v>
      </c>
      <c r="AE742" s="160"/>
      <c r="AF742" s="288"/>
      <c r="AG742" s="160"/>
      <c r="AH742" s="288"/>
      <c r="AI742" s="288"/>
      <c r="AJ742" s="288"/>
      <c r="AK742" s="165" t="s">
        <v>943</v>
      </c>
      <c r="AL742" s="165" t="s">
        <v>921</v>
      </c>
      <c r="AM742" s="288"/>
      <c r="AN742" s="288"/>
      <c r="AO742" s="288"/>
      <c r="AP742" s="150" t="s">
        <v>2663</v>
      </c>
      <c r="AQ742" s="288"/>
    </row>
    <row r="743">
      <c r="A743" s="150" t="s">
        <v>4435</v>
      </c>
      <c r="B743" s="150" t="s">
        <v>4436</v>
      </c>
      <c r="C743" s="175" t="str">
        <f>VLOOKUP(A743,Import!A:C,3,false)</f>
        <v>DOĞRU</v>
      </c>
      <c r="D743" s="150" t="s">
        <v>2751</v>
      </c>
      <c r="E743" s="280">
        <f>VLOOKUP(A743,Import!A:J,5,0)</f>
        <v>86</v>
      </c>
      <c r="F743" s="280">
        <f>VLOOKUP(A743,Import!A:J,6,0)</f>
        <v>30</v>
      </c>
      <c r="G743" s="289">
        <f>VLOOKUP(A743,Import!A:J,7,0)</f>
        <v>0</v>
      </c>
      <c r="H743" s="289">
        <f>VLOOKUP(A743,Import!A:J,8,0)</f>
        <v>40</v>
      </c>
      <c r="I743" s="289">
        <f>VLOOKUP(A743,Import!A:J,9,0)</f>
        <v>40</v>
      </c>
      <c r="J743" s="282">
        <f>VLOOKUP(A743,Import!A:J,10,0)</f>
        <v>0</v>
      </c>
      <c r="K743" s="290" t="s">
        <v>4437</v>
      </c>
      <c r="L743" s="150">
        <v>5.320616628E9</v>
      </c>
      <c r="M743" s="150" t="s">
        <v>1450</v>
      </c>
      <c r="N743" s="150" t="s">
        <v>2732</v>
      </c>
      <c r="O743" s="150" t="s">
        <v>4438</v>
      </c>
      <c r="P743" s="244" t="str">
        <f>VLOOKUP(A743,Import!A:P,16,0)</f>
        <v>Geleneksel</v>
      </c>
      <c r="Q743" s="291"/>
      <c r="R743" s="292" t="b">
        <v>1</v>
      </c>
      <c r="S743" s="293" t="b">
        <v>0</v>
      </c>
      <c r="T743" s="149" t="s">
        <v>2734</v>
      </c>
      <c r="U743" s="296"/>
      <c r="V743" s="296"/>
      <c r="W743" s="149" t="s">
        <v>4439</v>
      </c>
      <c r="X743" s="297"/>
      <c r="Y743" s="297"/>
      <c r="Z743" s="288"/>
      <c r="AA743" s="165" t="s">
        <v>2669</v>
      </c>
      <c r="AB743" s="295">
        <v>44641.0</v>
      </c>
      <c r="AC743" s="288"/>
      <c r="AD743" s="288"/>
      <c r="AE743" s="160"/>
      <c r="AF743" s="288"/>
      <c r="AG743" s="160"/>
      <c r="AH743" s="288"/>
      <c r="AI743" s="288"/>
      <c r="AJ743" s="288"/>
      <c r="AK743" s="165" t="s">
        <v>1791</v>
      </c>
      <c r="AL743" s="288"/>
      <c r="AM743" s="288"/>
      <c r="AN743" s="288"/>
      <c r="AO743" s="165"/>
      <c r="AP743" s="150"/>
      <c r="AQ743" s="165"/>
    </row>
    <row r="744">
      <c r="A744" s="147" t="s">
        <v>1247</v>
      </c>
      <c r="B744" s="147" t="s">
        <v>1248</v>
      </c>
      <c r="C744" s="175" t="str">
        <f>VLOOKUP(A744,Import!A:C,3,false)</f>
        <v>DOĞRU</v>
      </c>
      <c r="D744" s="147" t="s">
        <v>2664</v>
      </c>
      <c r="E744" s="280">
        <f>VLOOKUP(A744,Import!A:J,5,0)</f>
        <v>3498</v>
      </c>
      <c r="F744" s="280">
        <f>VLOOKUP(A744,Import!A:J,6,0)</f>
        <v>148</v>
      </c>
      <c r="G744" s="289">
        <f>VLOOKUP(A744,Import!A:J,7,0)</f>
        <v>52</v>
      </c>
      <c r="H744" s="289">
        <f>VLOOKUP(A744,Import!A:J,8,0)</f>
        <v>4</v>
      </c>
      <c r="I744" s="289">
        <f>VLOOKUP(A744,Import!A:J,9,0)</f>
        <v>56</v>
      </c>
      <c r="J744" s="282">
        <f>VLOOKUP(A744,Import!A:J,10,0)</f>
        <v>0.93</v>
      </c>
      <c r="K744" s="244" t="str">
        <f>VLOOKUP(A744,Import!A:P,11,0)</f>
        <v>Hüseyin Karaağaç</v>
      </c>
      <c r="L744" s="147">
        <v>2.222200045E9</v>
      </c>
      <c r="M744" s="147" t="s">
        <v>1450</v>
      </c>
      <c r="N744" s="147" t="s">
        <v>2700</v>
      </c>
      <c r="O744" s="147" t="s">
        <v>1250</v>
      </c>
      <c r="P744" s="244" t="str">
        <f>VLOOKUP(A744,Import!A:P,16,0)</f>
        <v>Geleneksel</v>
      </c>
      <c r="Q744" s="330"/>
      <c r="R744" s="292" t="b">
        <v>1</v>
      </c>
      <c r="S744" s="293" t="b">
        <v>0</v>
      </c>
      <c r="T744" s="149" t="s">
        <v>2661</v>
      </c>
      <c r="U744" s="149" t="s">
        <v>819</v>
      </c>
      <c r="V744" s="296"/>
      <c r="W744" s="149" t="s">
        <v>4440</v>
      </c>
      <c r="X744" s="294">
        <v>44504.0</v>
      </c>
      <c r="Y744" s="294">
        <v>44505.0</v>
      </c>
      <c r="Z744" s="288"/>
      <c r="AA744" s="165" t="s">
        <v>2688</v>
      </c>
      <c r="AB744" s="295">
        <v>44504.0</v>
      </c>
      <c r="AC744" s="165" t="s">
        <v>2669</v>
      </c>
      <c r="AD744" s="295">
        <v>44505.0</v>
      </c>
      <c r="AE744" s="160"/>
      <c r="AF744" s="288"/>
      <c r="AG744" s="160"/>
      <c r="AH744" s="288"/>
      <c r="AI744" s="288"/>
      <c r="AJ744" s="288"/>
      <c r="AK744" s="165" t="s">
        <v>819</v>
      </c>
      <c r="AL744" s="165" t="s">
        <v>819</v>
      </c>
      <c r="AM744" s="288"/>
      <c r="AN744" s="288"/>
      <c r="AO744" s="288"/>
      <c r="AP744" s="150" t="s">
        <v>2663</v>
      </c>
      <c r="AQ744" s="288"/>
    </row>
    <row r="745">
      <c r="A745" s="244" t="s">
        <v>508</v>
      </c>
      <c r="B745" s="244" t="s">
        <v>509</v>
      </c>
      <c r="C745" s="175" t="str">
        <f>VLOOKUP(A745,Import!A:C,3,false)</f>
        <v>DOĞRU</v>
      </c>
      <c r="D745" s="244" t="s">
        <v>2672</v>
      </c>
      <c r="E745" s="280">
        <f>VLOOKUP(A745,Import!A:J,5,0)</f>
        <v>2158</v>
      </c>
      <c r="F745" s="280">
        <f>VLOOKUP(A745,Import!A:J,6,0)</f>
        <v>10</v>
      </c>
      <c r="G745" s="289">
        <f>VLOOKUP(A745,Import!A:J,7,0)</f>
        <v>9</v>
      </c>
      <c r="H745" s="289">
        <f>VLOOKUP(A745,Import!A:J,8,0)</f>
        <v>1</v>
      </c>
      <c r="I745" s="289">
        <f>VLOOKUP(A745,Import!A:J,9,0)</f>
        <v>10</v>
      </c>
      <c r="J745" s="282">
        <f>VLOOKUP(A745,Import!A:J,10,0)</f>
        <v>0.9</v>
      </c>
      <c r="K745" s="244" t="str">
        <f>VLOOKUP(A745,Import!A:P,11,0)</f>
        <v>MERAL ÖZKAYKI</v>
      </c>
      <c r="L745" s="280">
        <v>2.222341155E9</v>
      </c>
      <c r="M745" s="244" t="s">
        <v>1450</v>
      </c>
      <c r="N745" s="244" t="s">
        <v>2700</v>
      </c>
      <c r="O745" s="244" t="s">
        <v>511</v>
      </c>
      <c r="P745" s="244" t="str">
        <f>VLOOKUP(A745,Import!A:P,16,0)</f>
        <v>Geleneksel</v>
      </c>
      <c r="Q745" s="291" t="s">
        <v>2660</v>
      </c>
      <c r="R745" s="292" t="b">
        <v>1</v>
      </c>
      <c r="S745" s="293" t="b">
        <v>0</v>
      </c>
      <c r="T745" s="165" t="s">
        <v>2661</v>
      </c>
      <c r="U745" s="165"/>
      <c r="V745" s="165" t="s">
        <v>13</v>
      </c>
      <c r="W745" s="160"/>
      <c r="X745" s="295">
        <v>44270.0</v>
      </c>
      <c r="Y745" s="295">
        <v>44272.0</v>
      </c>
      <c r="Z745" s="288"/>
      <c r="AA745" s="288"/>
      <c r="AB745" s="288"/>
      <c r="AC745" s="288"/>
      <c r="AD745" s="288"/>
      <c r="AE745" s="160"/>
      <c r="AF745" s="288"/>
      <c r="AG745" s="160"/>
      <c r="AH745" s="288"/>
      <c r="AI745" s="288"/>
      <c r="AJ745" s="288"/>
      <c r="AK745" s="288"/>
      <c r="AL745" s="288"/>
      <c r="AM745" s="288"/>
      <c r="AN745" s="288"/>
      <c r="AO745" s="288"/>
      <c r="AP745" s="150" t="s">
        <v>2663</v>
      </c>
      <c r="AQ745" s="288"/>
    </row>
    <row r="746">
      <c r="A746" s="150" t="s">
        <v>520</v>
      </c>
      <c r="B746" s="150" t="s">
        <v>521</v>
      </c>
      <c r="C746" s="175" t="str">
        <f>VLOOKUP(A746,Import!A:C,3,false)</f>
        <v>DOĞRU</v>
      </c>
      <c r="D746" s="150" t="s">
        <v>2706</v>
      </c>
      <c r="E746" s="280">
        <f>VLOOKUP(A746,Import!A:J,5,0)</f>
        <v>7096</v>
      </c>
      <c r="F746" s="280">
        <f>VLOOKUP(A746,Import!A:J,6,0)</f>
        <v>349</v>
      </c>
      <c r="G746" s="289">
        <f>VLOOKUP(A746,Import!A:J,7,0)</f>
        <v>50</v>
      </c>
      <c r="H746" s="289">
        <f>VLOOKUP(A746,Import!A:J,8,0)</f>
        <v>118</v>
      </c>
      <c r="I746" s="289">
        <f>VLOOKUP(A746,Import!A:J,9,0)</f>
        <v>168</v>
      </c>
      <c r="J746" s="282">
        <f>VLOOKUP(A746,Import!A:J,10,0)</f>
        <v>0.3</v>
      </c>
      <c r="K746" s="244" t="str">
        <f>VLOOKUP(A746,Import!A:P,11,0)</f>
        <v>Yıldız Şenen</v>
      </c>
      <c r="L746" s="150">
        <v>2.22229005E9</v>
      </c>
      <c r="M746" s="150" t="s">
        <v>1450</v>
      </c>
      <c r="N746" s="150" t="s">
        <v>2732</v>
      </c>
      <c r="O746" s="150" t="s">
        <v>523</v>
      </c>
      <c r="P746" s="244" t="str">
        <f>VLOOKUP(A746,Import!A:P,16,0)</f>
        <v>Geleneksel</v>
      </c>
      <c r="Q746" s="291" t="s">
        <v>2713</v>
      </c>
      <c r="R746" s="292" t="b">
        <v>1</v>
      </c>
      <c r="S746" s="293" t="b">
        <v>0</v>
      </c>
      <c r="T746" s="149" t="s">
        <v>2661</v>
      </c>
      <c r="U746" s="149" t="s">
        <v>2718</v>
      </c>
      <c r="V746" s="149"/>
      <c r="W746" s="149" t="s">
        <v>4441</v>
      </c>
      <c r="X746" s="294">
        <v>44378.0</v>
      </c>
      <c r="Y746" s="294">
        <v>44379.0</v>
      </c>
      <c r="Z746" s="288"/>
      <c r="AA746" s="165" t="s">
        <v>2669</v>
      </c>
      <c r="AB746" s="295">
        <v>44378.0</v>
      </c>
      <c r="AC746" s="288"/>
      <c r="AD746" s="288"/>
      <c r="AE746" s="160"/>
      <c r="AF746" s="288"/>
      <c r="AG746" s="160"/>
      <c r="AH746" s="288"/>
      <c r="AI746" s="288"/>
      <c r="AJ746" s="288"/>
      <c r="AK746" s="165" t="s">
        <v>2718</v>
      </c>
      <c r="AL746" s="288"/>
      <c r="AM746" s="288"/>
      <c r="AN746" s="288"/>
      <c r="AO746" s="288"/>
      <c r="AP746" s="150" t="s">
        <v>2663</v>
      </c>
      <c r="AQ746" s="288"/>
    </row>
    <row r="747">
      <c r="A747" s="150" t="s">
        <v>4442</v>
      </c>
      <c r="B747" s="150" t="s">
        <v>4443</v>
      </c>
      <c r="C747" s="175" t="str">
        <f>VLOOKUP(A747,Import!A:C,3,false)</f>
        <v>DOĞRU</v>
      </c>
      <c r="D747" s="150" t="s">
        <v>2684</v>
      </c>
      <c r="E747" s="280">
        <f>VLOOKUP(A747,Import!A:J,5,0)</f>
        <v>591</v>
      </c>
      <c r="F747" s="280" t="str">
        <f>VLOOKUP(A747,Import!A:J,6,0)</f>
        <v/>
      </c>
      <c r="G747" s="289">
        <f>VLOOKUP(A747,Import!A:J,7,0)</f>
        <v>1</v>
      </c>
      <c r="H747" s="289">
        <f>VLOOKUP(A747,Import!A:J,8,0)</f>
        <v>17</v>
      </c>
      <c r="I747" s="289">
        <f>VLOOKUP(A747,Import!A:J,9,0)</f>
        <v>18</v>
      </c>
      <c r="J747" s="282">
        <f>VLOOKUP(A747,Import!A:J,10,0)</f>
        <v>0.06</v>
      </c>
      <c r="K747" s="290" t="s">
        <v>3237</v>
      </c>
      <c r="L747" s="150">
        <v>5.545042525E9</v>
      </c>
      <c r="M747" s="150" t="s">
        <v>1450</v>
      </c>
      <c r="N747" s="150" t="s">
        <v>2716</v>
      </c>
      <c r="O747" s="150" t="s">
        <v>4401</v>
      </c>
      <c r="P747" s="244" t="str">
        <f>VLOOKUP(A747,Import!A:P,16,0)</f>
        <v>Geleneksel</v>
      </c>
      <c r="Q747" s="291"/>
      <c r="R747" s="292" t="b">
        <v>1</v>
      </c>
      <c r="S747" s="293" t="b">
        <v>0</v>
      </c>
      <c r="T747" s="149" t="s">
        <v>2688</v>
      </c>
      <c r="U747" s="296"/>
      <c r="V747" s="296"/>
      <c r="W747" s="149" t="s">
        <v>4444</v>
      </c>
      <c r="X747" s="297"/>
      <c r="Y747" s="297"/>
      <c r="Z747" s="288"/>
      <c r="AA747" s="165" t="s">
        <v>2688</v>
      </c>
      <c r="AB747" s="295">
        <v>44550.0</v>
      </c>
      <c r="AC747" s="288"/>
      <c r="AD747" s="288"/>
      <c r="AE747" s="160"/>
      <c r="AF747" s="288"/>
      <c r="AG747" s="160"/>
      <c r="AH747" s="288"/>
      <c r="AI747" s="288"/>
      <c r="AJ747" s="288"/>
      <c r="AK747" s="165" t="s">
        <v>819</v>
      </c>
      <c r="AL747" s="288"/>
      <c r="AM747" s="288"/>
      <c r="AN747" s="288"/>
      <c r="AO747" s="165"/>
      <c r="AP747" s="150"/>
      <c r="AQ747" s="165"/>
    </row>
    <row r="748">
      <c r="A748" s="147" t="s">
        <v>1373</v>
      </c>
      <c r="B748" s="147" t="s">
        <v>1374</v>
      </c>
      <c r="C748" s="175" t="str">
        <f>VLOOKUP(A748,Import!A:C,3,false)</f>
        <v>DOĞRU</v>
      </c>
      <c r="D748" s="147" t="s">
        <v>2773</v>
      </c>
      <c r="E748" s="280">
        <f>VLOOKUP(A748,Import!A:J,5,0)</f>
        <v>518</v>
      </c>
      <c r="F748" s="280">
        <f>VLOOKUP(A748,Import!A:J,6,0)</f>
        <v>25</v>
      </c>
      <c r="G748" s="289">
        <f>VLOOKUP(A748,Import!A:J,7,0)</f>
        <v>20</v>
      </c>
      <c r="H748" s="289">
        <f>VLOOKUP(A748,Import!A:J,8,0)</f>
        <v>9</v>
      </c>
      <c r="I748" s="289">
        <f>VLOOKUP(A748,Import!A:J,9,0)</f>
        <v>29</v>
      </c>
      <c r="J748" s="282">
        <f>VLOOKUP(A748,Import!A:J,10,0)</f>
        <v>0.69</v>
      </c>
      <c r="K748" s="244" t="str">
        <f>VLOOKUP(A748,Import!A:P,11,0)</f>
        <v>Büşra Anılmış</v>
      </c>
      <c r="L748" s="147">
        <v>5.388881717E9</v>
      </c>
      <c r="M748" s="147" t="s">
        <v>2666</v>
      </c>
      <c r="N748" s="147" t="s">
        <v>4445</v>
      </c>
      <c r="O748" s="147" t="s">
        <v>1377</v>
      </c>
      <c r="P748" s="244" t="str">
        <f>VLOOKUP(A748,Import!A:P,16,0)</f>
        <v>Geleneksel</v>
      </c>
      <c r="Q748" s="330"/>
      <c r="R748" s="292" t="b">
        <v>1</v>
      </c>
      <c r="S748" s="293" t="b">
        <v>0</v>
      </c>
      <c r="T748" s="149" t="s">
        <v>2661</v>
      </c>
      <c r="U748" s="149" t="s">
        <v>1911</v>
      </c>
      <c r="V748" s="356" t="s">
        <v>1609</v>
      </c>
      <c r="W748" s="149" t="s">
        <v>4446</v>
      </c>
      <c r="X748" s="294">
        <v>44546.0</v>
      </c>
      <c r="Y748" s="294">
        <v>44551.0</v>
      </c>
      <c r="Z748" s="288"/>
      <c r="AA748" s="165" t="s">
        <v>2669</v>
      </c>
      <c r="AB748" s="295">
        <v>44378.0</v>
      </c>
      <c r="AC748" s="165" t="s">
        <v>2693</v>
      </c>
      <c r="AD748" s="295">
        <v>44543.0</v>
      </c>
      <c r="AE748" s="165" t="s">
        <v>2693</v>
      </c>
      <c r="AF748" s="295">
        <v>44543.0</v>
      </c>
      <c r="AG748" s="165" t="s">
        <v>2669</v>
      </c>
      <c r="AH748" s="295">
        <v>44546.0</v>
      </c>
      <c r="AI748" s="288"/>
      <c r="AJ748" s="288"/>
      <c r="AK748" s="165" t="s">
        <v>2718</v>
      </c>
      <c r="AL748" s="165" t="s">
        <v>921</v>
      </c>
      <c r="AM748" s="165"/>
      <c r="AN748" s="165" t="s">
        <v>1911</v>
      </c>
      <c r="AO748" s="288"/>
      <c r="AP748" s="150" t="s">
        <v>2663</v>
      </c>
      <c r="AQ748" s="288"/>
    </row>
    <row r="749">
      <c r="A749" s="150" t="s">
        <v>4447</v>
      </c>
      <c r="B749" s="150" t="s">
        <v>4448</v>
      </c>
      <c r="C749" s="175" t="str">
        <f>VLOOKUP(A749,Import!A:C,3,false)</f>
        <v>DOĞRU</v>
      </c>
      <c r="D749" s="150" t="s">
        <v>2672</v>
      </c>
      <c r="E749" s="280">
        <f>VLOOKUP(A749,Import!A:J,5,0)</f>
        <v>15</v>
      </c>
      <c r="F749" s="280">
        <f>VLOOKUP(A749,Import!A:J,6,0)</f>
        <v>2</v>
      </c>
      <c r="G749" s="289">
        <f>VLOOKUP(A749,Import!A:J,7,0)</f>
        <v>0</v>
      </c>
      <c r="H749" s="289">
        <f>VLOOKUP(A749,Import!A:J,8,0)</f>
        <v>11</v>
      </c>
      <c r="I749" s="289">
        <f>VLOOKUP(A749,Import!A:J,9,0)</f>
        <v>11</v>
      </c>
      <c r="J749" s="282">
        <f>VLOOKUP(A749,Import!A:J,10,0)</f>
        <v>0</v>
      </c>
      <c r="K749" s="290" t="s">
        <v>4449</v>
      </c>
      <c r="L749" s="150">
        <v>5.52234555E9</v>
      </c>
      <c r="M749" s="150" t="s">
        <v>1450</v>
      </c>
      <c r="N749" s="150" t="s">
        <v>2674</v>
      </c>
      <c r="O749" s="150" t="s">
        <v>4450</v>
      </c>
      <c r="P749" s="244" t="str">
        <f>VLOOKUP(A749,Import!A:P,16,0)</f>
        <v>Geleneksel</v>
      </c>
      <c r="Q749" s="291"/>
      <c r="R749" s="292" t="b">
        <v>0</v>
      </c>
      <c r="S749" s="293" t="b">
        <v>0</v>
      </c>
      <c r="T749" s="149"/>
      <c r="U749" s="296"/>
      <c r="V749" s="296"/>
      <c r="W749" s="149"/>
      <c r="X749" s="297"/>
      <c r="Y749" s="297"/>
      <c r="Z749" s="288"/>
      <c r="AA749" s="165"/>
      <c r="AB749" s="295"/>
      <c r="AC749" s="288"/>
      <c r="AD749" s="288"/>
      <c r="AE749" s="160"/>
      <c r="AF749" s="288"/>
      <c r="AG749" s="160"/>
      <c r="AH749" s="288"/>
      <c r="AI749" s="288"/>
      <c r="AJ749" s="288"/>
      <c r="AK749" s="165"/>
      <c r="AL749" s="288"/>
      <c r="AM749" s="288"/>
      <c r="AN749" s="288"/>
      <c r="AO749" s="165"/>
      <c r="AP749" s="150"/>
      <c r="AQ749" s="165"/>
    </row>
    <row r="750">
      <c r="A750" s="150" t="s">
        <v>662</v>
      </c>
      <c r="B750" s="150" t="s">
        <v>663</v>
      </c>
      <c r="C750" s="175" t="str">
        <f>VLOOKUP(A750,Import!A:C,3,false)</f>
        <v>DOĞRU</v>
      </c>
      <c r="D750" s="150" t="s">
        <v>2664</v>
      </c>
      <c r="E750" s="280">
        <f>VLOOKUP(A750,Import!A:J,5,0)</f>
        <v>2104</v>
      </c>
      <c r="F750" s="280">
        <f>VLOOKUP(A750,Import!A:J,6,0)</f>
        <v>17</v>
      </c>
      <c r="G750" s="289">
        <f>VLOOKUP(A750,Import!A:J,7,0)</f>
        <v>33</v>
      </c>
      <c r="H750" s="289">
        <f>VLOOKUP(A750,Import!A:J,8,0)</f>
        <v>53</v>
      </c>
      <c r="I750" s="289">
        <f>VLOOKUP(A750,Import!A:J,9,0)</f>
        <v>86</v>
      </c>
      <c r="J750" s="282">
        <f>VLOOKUP(A750,Import!A:J,10,0)</f>
        <v>0.38</v>
      </c>
      <c r="K750" s="244" t="str">
        <f>VLOOKUP(A750,Import!A:P,11,0)</f>
        <v>KEVSER SİPAHİOĞLU</v>
      </c>
      <c r="L750" s="150">
        <v>2.223303031E9</v>
      </c>
      <c r="M750" s="150" t="s">
        <v>2666</v>
      </c>
      <c r="N750" s="150" t="s">
        <v>2667</v>
      </c>
      <c r="O750" s="150" t="s">
        <v>664</v>
      </c>
      <c r="P750" s="244" t="str">
        <f>VLOOKUP(A750,Import!A:P,16,0)</f>
        <v>Geleneksel</v>
      </c>
      <c r="Q750" s="291" t="s">
        <v>2713</v>
      </c>
      <c r="R750" s="292" t="b">
        <v>1</v>
      </c>
      <c r="S750" s="293" t="b">
        <v>0</v>
      </c>
      <c r="T750" s="149" t="s">
        <v>2661</v>
      </c>
      <c r="U750" s="149" t="s">
        <v>1911</v>
      </c>
      <c r="V750" s="383" t="s">
        <v>1609</v>
      </c>
      <c r="W750" s="149" t="s">
        <v>4451</v>
      </c>
      <c r="X750" s="294">
        <v>44530.0</v>
      </c>
      <c r="Y750" s="294">
        <v>44531.0</v>
      </c>
      <c r="Z750" s="288"/>
      <c r="AA750" s="165" t="s">
        <v>2699</v>
      </c>
      <c r="AB750" s="295">
        <v>44529.0</v>
      </c>
      <c r="AC750" s="165" t="s">
        <v>2669</v>
      </c>
      <c r="AD750" s="295">
        <v>44530.0</v>
      </c>
      <c r="AE750" s="160"/>
      <c r="AF750" s="288"/>
      <c r="AG750" s="160"/>
      <c r="AH750" s="288"/>
      <c r="AI750" s="288"/>
      <c r="AJ750" s="288"/>
      <c r="AK750" s="165" t="s">
        <v>1715</v>
      </c>
      <c r="AL750" s="165" t="s">
        <v>1911</v>
      </c>
      <c r="AM750" s="165" t="s">
        <v>921</v>
      </c>
      <c r="AN750" s="288"/>
      <c r="AO750" s="288"/>
      <c r="AP750" s="150" t="s">
        <v>2663</v>
      </c>
      <c r="AQ750" s="288"/>
    </row>
    <row r="751">
      <c r="A751" s="150" t="s">
        <v>4452</v>
      </c>
      <c r="B751" s="150" t="s">
        <v>4453</v>
      </c>
      <c r="C751" s="175" t="str">
        <f>VLOOKUP(A751,Import!A:C,3,false)</f>
        <v>DOĞRU</v>
      </c>
      <c r="D751" s="150" t="s">
        <v>2978</v>
      </c>
      <c r="E751" s="280" t="str">
        <f>VLOOKUP(A751,Import!A:J,5,0)</f>
        <v/>
      </c>
      <c r="F751" s="280" t="str">
        <f>VLOOKUP(A751,Import!A:J,6,0)</f>
        <v/>
      </c>
      <c r="G751" s="289">
        <f>VLOOKUP(A751,Import!A:J,7,0)</f>
        <v>0</v>
      </c>
      <c r="H751" s="289">
        <f>VLOOKUP(A751,Import!A:J,8,0)</f>
        <v>13</v>
      </c>
      <c r="I751" s="289">
        <f>VLOOKUP(A751,Import!A:J,9,0)</f>
        <v>13</v>
      </c>
      <c r="J751" s="282">
        <f>VLOOKUP(A751,Import!A:J,10,0)</f>
        <v>0</v>
      </c>
      <c r="K751" s="150" t="s">
        <v>4454</v>
      </c>
      <c r="L751" s="150">
        <v>5.451269208E9</v>
      </c>
      <c r="M751" s="150" t="s">
        <v>2666</v>
      </c>
      <c r="N751" s="150" t="s">
        <v>4455</v>
      </c>
      <c r="O751" s="150" t="s">
        <v>4456</v>
      </c>
      <c r="P751" s="244" t="str">
        <f>VLOOKUP(A751,Import!A:P,16,0)</f>
        <v>Geleneksel</v>
      </c>
      <c r="Q751" s="291"/>
      <c r="R751" s="292" t="b">
        <v>0</v>
      </c>
      <c r="S751" s="293" t="b">
        <v>0</v>
      </c>
      <c r="T751" s="149"/>
      <c r="U751" s="296"/>
      <c r="V751" s="296"/>
      <c r="W751" s="149"/>
      <c r="X751" s="297"/>
      <c r="Y751" s="297"/>
      <c r="Z751" s="288"/>
      <c r="AA751" s="165"/>
      <c r="AB751" s="295"/>
      <c r="AC751" s="288"/>
      <c r="AD751" s="288"/>
      <c r="AE751" s="160"/>
      <c r="AF751" s="288"/>
      <c r="AG751" s="160"/>
      <c r="AH751" s="288"/>
      <c r="AI751" s="288"/>
      <c r="AJ751" s="288"/>
      <c r="AK751" s="165"/>
      <c r="AL751" s="288"/>
      <c r="AM751" s="288"/>
      <c r="AN751" s="288"/>
      <c r="AO751" s="165"/>
      <c r="AP751" s="150"/>
      <c r="AQ751" s="165"/>
    </row>
    <row r="752">
      <c r="A752" s="244" t="s">
        <v>4457</v>
      </c>
      <c r="B752" s="244" t="s">
        <v>4458</v>
      </c>
      <c r="C752" s="175" t="str">
        <f>VLOOKUP(A752,Import!A:C,3,false)</f>
        <v>DOĞRU</v>
      </c>
      <c r="D752" s="362" t="s">
        <v>2658</v>
      </c>
      <c r="E752" s="280">
        <f>VLOOKUP(A752,Import!A:J,5,0)</f>
        <v>974</v>
      </c>
      <c r="F752" s="280">
        <f>VLOOKUP(A752,Import!A:J,6,0)</f>
        <v>12</v>
      </c>
      <c r="G752" s="289">
        <f>VLOOKUP(A752,Import!A:J,7,0)</f>
        <v>0</v>
      </c>
      <c r="H752" s="289">
        <f>VLOOKUP(A752,Import!A:J,8,0)</f>
        <v>9</v>
      </c>
      <c r="I752" s="289">
        <f>VLOOKUP(A752,Import!A:J,9,0)</f>
        <v>9</v>
      </c>
      <c r="J752" s="282">
        <f>VLOOKUP(A752,Import!A:J,10,0)</f>
        <v>0</v>
      </c>
      <c r="K752" s="244" t="str">
        <f>VLOOKUP(A752,Import!A:P,11,0)</f>
        <v>Merih Seçil</v>
      </c>
      <c r="L752" s="280">
        <v>5.335261881E9</v>
      </c>
      <c r="M752" s="244" t="s">
        <v>2666</v>
      </c>
      <c r="N752" s="244" t="s">
        <v>2685</v>
      </c>
      <c r="O752" s="244" t="s">
        <v>4459</v>
      </c>
      <c r="P752" s="244" t="str">
        <f>VLOOKUP(A752,Import!A:P,16,0)</f>
        <v>Geleneksel</v>
      </c>
      <c r="Q752" s="291" t="s">
        <v>2660</v>
      </c>
      <c r="R752" s="292" t="b">
        <v>1</v>
      </c>
      <c r="S752" s="336" t="b">
        <v>0</v>
      </c>
      <c r="T752" s="337" t="s">
        <v>2770</v>
      </c>
      <c r="U752" s="337"/>
      <c r="V752" s="337"/>
      <c r="W752" s="302" t="s">
        <v>4460</v>
      </c>
      <c r="X752" s="295"/>
      <c r="Y752" s="295"/>
      <c r="Z752" s="288"/>
      <c r="AA752" s="165" t="s">
        <v>2693</v>
      </c>
      <c r="AB752" s="295">
        <v>44518.0</v>
      </c>
      <c r="AC752" s="165" t="s">
        <v>2693</v>
      </c>
      <c r="AD752" s="295">
        <v>44518.0</v>
      </c>
      <c r="AE752" s="165" t="s">
        <v>2693</v>
      </c>
      <c r="AF752" s="295">
        <v>44518.0</v>
      </c>
      <c r="AG752" s="165" t="s">
        <v>2693</v>
      </c>
      <c r="AH752" s="295">
        <v>44543.0</v>
      </c>
      <c r="AI752" s="288"/>
      <c r="AJ752" s="288"/>
      <c r="AK752" s="165" t="s">
        <v>1911</v>
      </c>
      <c r="AL752" s="165" t="s">
        <v>1911</v>
      </c>
      <c r="AM752" s="165" t="s">
        <v>1911</v>
      </c>
      <c r="AN752" s="165" t="s">
        <v>921</v>
      </c>
      <c r="AO752" s="288"/>
      <c r="AP752" s="150" t="s">
        <v>2663</v>
      </c>
      <c r="AQ752" s="288"/>
    </row>
    <row r="753">
      <c r="A753" s="150" t="s">
        <v>1181</v>
      </c>
      <c r="B753" s="150" t="s">
        <v>1182</v>
      </c>
      <c r="C753" s="175" t="str">
        <f>VLOOKUP(A753,Import!A:C,3,false)</f>
        <v>DOĞRU</v>
      </c>
      <c r="D753" s="150" t="s">
        <v>2701</v>
      </c>
      <c r="E753" s="280">
        <f>VLOOKUP(A753,Import!A:J,5,0)</f>
        <v>5604</v>
      </c>
      <c r="F753" s="280">
        <f>VLOOKUP(A753,Import!A:J,6,0)</f>
        <v>183</v>
      </c>
      <c r="G753" s="289">
        <f>VLOOKUP(A753,Import!A:J,7,0)</f>
        <v>33</v>
      </c>
      <c r="H753" s="289">
        <f>VLOOKUP(A753,Import!A:J,8,0)</f>
        <v>65</v>
      </c>
      <c r="I753" s="289">
        <f>VLOOKUP(A753,Import!A:J,9,0)</f>
        <v>98</v>
      </c>
      <c r="J753" s="282">
        <f>VLOOKUP(A753,Import!A:J,10,0)</f>
        <v>0.34</v>
      </c>
      <c r="K753" s="244" t="str">
        <f>VLOOKUP(A753,Import!A:P,11,0)</f>
        <v>ABDURRAHMAN KARAÇOR</v>
      </c>
      <c r="L753" s="150">
        <v>5.526238262E9</v>
      </c>
      <c r="M753" s="150" t="s">
        <v>2666</v>
      </c>
      <c r="N753" s="150" t="s">
        <v>3846</v>
      </c>
      <c r="O753" s="150" t="s">
        <v>1185</v>
      </c>
      <c r="P753" s="244" t="str">
        <f>VLOOKUP(A753,Import!A:P,16,0)</f>
        <v>Geleneksel</v>
      </c>
      <c r="Q753" s="291" t="s">
        <v>2713</v>
      </c>
      <c r="R753" s="292" t="b">
        <v>1</v>
      </c>
      <c r="S753" s="293" t="b">
        <v>0</v>
      </c>
      <c r="T753" s="149" t="s">
        <v>2714</v>
      </c>
      <c r="U753" s="296"/>
      <c r="V753" s="296"/>
      <c r="W753" s="149" t="s">
        <v>4461</v>
      </c>
      <c r="X753" s="297"/>
      <c r="Y753" s="297"/>
      <c r="Z753" s="288"/>
      <c r="AA753" s="165" t="s">
        <v>2699</v>
      </c>
      <c r="AB753" s="295">
        <v>44543.0</v>
      </c>
      <c r="AC753" s="288"/>
      <c r="AD753" s="288"/>
      <c r="AE753" s="160"/>
      <c r="AF753" s="288"/>
      <c r="AG753" s="160"/>
      <c r="AH753" s="288"/>
      <c r="AI753" s="288"/>
      <c r="AJ753" s="288"/>
      <c r="AK753" s="165" t="s">
        <v>921</v>
      </c>
      <c r="AL753" s="288"/>
      <c r="AM753" s="288"/>
      <c r="AN753" s="288"/>
      <c r="AO753" s="165"/>
      <c r="AP753" s="150" t="s">
        <v>2663</v>
      </c>
      <c r="AQ753" s="165"/>
    </row>
  </sheetData>
  <autoFilter ref="$A$1:$AQ$753">
    <sortState ref="A1:AQ753">
      <sortCondition ref="B1:B753"/>
    </sortState>
  </autoFilter>
  <customSheetViews>
    <customSheetView guid="{CA6CD8D7-D9B4-4340-AD39-A8B568BBE7B9}" filter="1" showAutoFilter="1">
      <autoFilter ref="$AA$212:$AN$218"/>
    </customSheetView>
    <customSheetView guid="{5AC7C3BA-C45A-43B0-9CD1-E7A8C60551D9}" filter="1" showAutoFilter="1">
      <autoFilter ref="$R$1:$R$680"/>
    </customSheetView>
    <customSheetView guid="{9C12345D-ECC2-41D0-B0F0-FE03BC2E6BE4}" filter="1" showAutoFilter="1">
      <autoFilter ref="$A$1:$AC$450">
        <filterColumn colId="18">
          <filters>
            <filter val="TRUE"/>
          </filters>
        </filterColumn>
      </autoFilter>
    </customSheetView>
    <customSheetView guid="{35EC112A-1CC8-4FB5-838A-B018EC4B42BB}" filter="1" showAutoFilter="1">
      <autoFilter ref="$W$199:$W$200"/>
    </customSheetView>
    <customSheetView guid="{3F6365B8-D4EE-4A0A-A8F0-AF160B99B81E}" filter="1" showAutoFilter="1">
      <autoFilter ref="$W$519:$Y$520"/>
    </customSheetView>
    <customSheetView guid="{8F3DB152-E524-4F4F-A4A7-D1EED478CDD2}" filter="1" showAutoFilter="1">
      <autoFilter ref="$AF$615"/>
    </customSheetView>
    <customSheetView guid="{77864600-9F3D-43DB-8192-5A16958EF381}" filter="1" showAutoFilter="1">
      <autoFilter ref="$W$519:$W$520"/>
    </customSheetView>
    <customSheetView guid="{52EA133F-B242-4E98-9F15-8DE89FBBB58F}" filter="1" showAutoFilter="1">
      <autoFilter ref="$A$1:$AO$581">
        <filterColumn colId="25">
          <filters>
            <filter val="Hemen Randevu İstiyorum"/>
          </filters>
        </filterColumn>
      </autoFilter>
    </customSheetView>
    <customSheetView guid="{A4A1D1FE-8B8E-40A6-9EE0-FE1B8C3E66B5}" filter="1" showAutoFilter="1">
      <autoFilter ref="$W$199"/>
    </customSheetView>
    <customSheetView guid="{4FA0CA2B-F425-4B35-9746-FD8AC5638882}" filter="1" showAutoFilter="1">
      <autoFilter ref="$AK$637:$AL$639"/>
    </customSheetView>
    <customSheetView guid="{1CCD2F15-6E18-4F7D-A064-8A6ACF3FDDBE}" filter="1" showAutoFilter="1">
      <autoFilter ref="$A$1:$AO$662"/>
    </customSheetView>
    <customSheetView guid="{3551CA1F-B264-4A2E-BDC6-D6D4783EFDE9}" filter="1" showAutoFilter="1">
      <autoFilter ref="$A$1:$AO$662">
        <filterColumn colId="2">
          <filters>
            <filter val="DOĞRU"/>
            <filter val="YANLIŞ"/>
          </filters>
        </filterColumn>
        <filterColumn colId="9">
          <filters>
            <filter val="87%"/>
            <filter val="95%"/>
            <filter val="5%"/>
            <filter val="12%"/>
            <filter val="88%"/>
            <filter val="76%"/>
            <filter val="96%"/>
            <filter val="84%"/>
            <filter val="72%"/>
            <filter val="92%"/>
            <filter val="37%"/>
            <filter val="13%"/>
            <filter val="93%"/>
            <filter val="98%"/>
            <filter val="0%"/>
          </filters>
        </filterColumn>
        <filterColumn colId="19">
          <filters>
            <filter val="Randevu Alındı"/>
          </filters>
        </filterColumn>
        <sortState ref="A1:AO662">
          <sortCondition ref="Y1:Y662"/>
        </sortState>
      </autoFilter>
    </customSheetView>
    <customSheetView guid="{F011F8D1-FEA7-4AB3-82FE-7C477A285697}" filter="1" showAutoFilter="1">
      <autoFilter ref="$A$1:$AC$568">
        <filterColumn colId="17">
          <filters>
            <filter val="TRUE"/>
          </filters>
        </filterColumn>
        <filterColumn colId="18">
          <filters>
            <filter val="FALSE"/>
          </filters>
        </filterColumn>
        <filterColumn colId="19">
          <filters blank="1">
            <filter val="İleride Randevu Alınacak"/>
            <filter val="Ramazandan Sonra Randevu Istiyor"/>
            <filter val="Personel Eksik"/>
            <filter val="Ulaşılamadı"/>
            <filter val="Dönüş Yapacak"/>
            <filter val="Sistemden Çıkmak İstiyor"/>
            <filter val="BlackList"/>
            <filter val="Franchise"/>
            <filter val="Devir"/>
            <filter val="Başka Şubeden Çekilecek"/>
            <filter val="Randevu İptal"/>
            <filter val="Tadilat Var"/>
            <filter val="Restoran Silindi"/>
          </filters>
        </filterColumn>
      </autoFilter>
    </customSheetView>
    <customSheetView guid="{1445159B-E213-48F7-ABCE-42FF68ABA72F}" filter="1" showAutoFilter="1">
      <autoFilter ref="$A$1:$AC$450"/>
    </customSheetView>
    <customSheetView guid="{5A929F51-9AA4-4865-8312-231726F1BA72}" filter="1" showAutoFilter="1">
      <autoFilter ref="$A$1:$AC$450">
        <filterColumn colId="19">
          <filters>
            <filter val="Ramazandan Sonra Randevu Istiyor"/>
            <filter val="Personel Eksik"/>
            <filter val="Ulaşılamadı"/>
            <filter val="Dönüş Yapacak"/>
            <filter val="BlackList"/>
            <filter val="Franchise"/>
            <filter val="Başka Şubeden Çekilecek"/>
            <filter val="Tadilat Var"/>
            <filter val="Restoran Silindi"/>
          </filters>
        </filterColumn>
      </autoFilter>
    </customSheetView>
    <customSheetView guid="{612636F0-4676-427D-8732-221D9A45513A}" filter="1" showAutoFilter="1">
      <autoFilter ref="$Q$1:$Q$662"/>
    </customSheetView>
    <customSheetView guid="{8FE984A8-5EA3-4A96-9E32-2A1360934C18}" filter="1" showAutoFilter="1">
      <autoFilter ref="$A$1:$AC$450">
        <filterColumn colId="18">
          <filters>
            <filter val="FALSE"/>
          </filters>
        </filterColumn>
        <filterColumn colId="19">
          <filters blank="1">
            <filter val="İleride Randevu Alınacak"/>
            <filter val="Ramazandan Sonra Randevu Istiyor"/>
            <filter val="Personel Eksik"/>
            <filter val="Ulaşılamadı"/>
            <filter val="Dönüş Yapacak"/>
            <filter val="Sistemden Çıkmak İstiyor"/>
            <filter val="BlackList"/>
            <filter val="Franchise"/>
            <filter val="Devir"/>
            <filter val="Randevu İptal"/>
            <filter val="Çekim İstemiyor"/>
            <filter val="Tadilat Var"/>
            <filter val="Restoran Silindi"/>
          </filters>
        </filterColumn>
      </autoFilter>
    </customSheetView>
    <customSheetView guid="{AB209013-9DDE-4CB9-96BF-B305167B0807}" filter="1" showAutoFilter="1">
      <autoFilter ref="$A$1:$AC$450"/>
    </customSheetView>
    <customSheetView guid="{80B014F7-9016-49D6-A5FA-A7AA13E24A38}" filter="1" showAutoFilter="1">
      <autoFilter ref="$A$1:$AO$634">
        <filterColumn colId="25">
          <filters>
            <filter val="Hemen Randevu İstiyorum"/>
          </filters>
        </filterColumn>
        <filterColumn colId="2">
          <filters>
            <filter val="DOĞRU"/>
            <filter val="YANLIŞ"/>
          </filters>
        </filterColumn>
      </autoFilter>
    </customSheetView>
    <customSheetView guid="{9A4B629D-8067-4176-96A8-FAF8D5A9B11B}" filter="1" showAutoFilter="1">
      <autoFilter ref="$Q$1:$Q$662"/>
    </customSheetView>
    <customSheetView guid="{5ED80FDD-78B5-4946-B281-5E9323D5D2B0}" filter="1" showAutoFilter="1">
      <autoFilter ref="$A$1:$AC$450"/>
    </customSheetView>
    <customSheetView guid="{4B3212FB-6CE1-4241-9087-6BF6F539DA0D}" filter="1" showAutoFilter="1">
      <autoFilter ref="$AF$1:$AF$718"/>
    </customSheetView>
    <customSheetView guid="{AA9C43BC-081D-487B-994F-FAF2A751A64C}" filter="1" showAutoFilter="1">
      <autoFilter ref="$W$199"/>
    </customSheetView>
    <customSheetView guid="{596477FD-10AC-4A70-B968-3E72A9795E4D}" filter="1" showAutoFilter="1">
      <autoFilter ref="$V$1:$V$662"/>
    </customSheetView>
    <customSheetView guid="{76163E85-F98A-4AED-8439-E0675A5264FA}" filter="1" showAutoFilter="1">
      <autoFilter ref="$Y$551"/>
    </customSheetView>
    <customSheetView guid="{2EAE423D-DE9C-4790-A0E6-CB2918CA23D7}" filter="1" showAutoFilter="1">
      <autoFilter ref="$A$1:$AC$443">
        <filterColumn colId="2">
          <filters>
            <filter val="DOĞRU"/>
            <filter val="YANLIŞ"/>
          </filters>
        </filterColumn>
        <filterColumn colId="17">
          <filters>
            <filter val="TRUE"/>
          </filters>
        </filterColumn>
        <filterColumn colId="18">
          <filters>
            <filter val="FALSE"/>
          </filters>
        </filterColumn>
        <filterColumn colId="19">
          <filters>
            <filter val="Ramazandan Sonra Randevu Istiyor"/>
            <filter val="Personel Eksik"/>
            <filter val="Ulaşılamadı"/>
            <filter val="Dönüş Yapacak"/>
            <filter val="BlackList"/>
            <filter val="Franchise"/>
            <filter val="Randevu İptal"/>
            <filter val="Tadilat Var"/>
            <filter val="Restoran Silindi"/>
          </filters>
        </filterColumn>
      </autoFilter>
    </customSheetView>
    <customSheetView guid="{6F4C6914-5A30-4B6A-A7C9-5BDA2A1D7638}" filter="1" showAutoFilter="1">
      <autoFilter ref="$A$1:$AC$450">
        <filterColumn colId="2">
          <filters>
            <filter val="DOĞRU"/>
            <filter val="YANLIŞ"/>
          </filters>
        </filterColumn>
        <filterColumn colId="17">
          <filters>
            <filter val="FALSE"/>
          </filters>
        </filterColumn>
      </autoFilter>
    </customSheetView>
    <customSheetView guid="{26AAF745-FD25-413E-88C3-358E212949C2}" filter="1" showAutoFilter="1">
      <autoFilter ref="$A$1:$AC$450">
        <filterColumn colId="8">
          <customFilters>
            <customFilter operator="greaterThan" val="35"/>
          </customFilters>
        </filterColumn>
        <filterColumn colId="16">
          <filters blank="1">
            <filter val="26-35"/>
            <filter val="35+"/>
          </filters>
        </filterColumn>
      </autoFilter>
    </customSheetView>
    <customSheetView guid="{4EBA9641-897B-489C-B27F-7FEC0DDA7E9D}" filter="1" showAutoFilter="1">
      <autoFilter ref="$A$1:$AO$662">
        <filterColumn colId="2">
          <filters>
            <filter val="DOĞRU"/>
            <filter val="YANLIŞ"/>
          </filters>
        </filterColumn>
        <filterColumn colId="19">
          <filters>
            <filter val="Randevu Alındı"/>
          </filters>
        </filterColumn>
        <filterColumn colId="9">
          <filters>
            <filter val="87%"/>
            <filter val="75%"/>
            <filter val="95%"/>
            <filter val="5%"/>
            <filter val="12%"/>
            <filter val="88%"/>
            <filter val="76%"/>
            <filter val="96%"/>
            <filter val="84%"/>
            <filter val="72%"/>
            <filter val="92%"/>
            <filter val="49%"/>
            <filter val="37%"/>
            <filter val="98%"/>
            <filter val="86%"/>
            <filter val="74%"/>
            <filter val="0%"/>
          </filters>
        </filterColumn>
        <sortState ref="A1:AO662">
          <sortCondition ref="Y1:Y662"/>
        </sortState>
      </autoFilter>
    </customSheetView>
    <customSheetView guid="{9BC268AF-8BBA-4758-A9E4-A5C79EAB7ED2}" filter="1" showAutoFilter="1">
      <autoFilter ref="$A$1:$AA$131"/>
    </customSheetView>
    <customSheetView guid="{C63410FD-B602-47ED-9DEF-A42C83555846}" filter="1" showAutoFilter="1">
      <autoFilter ref="$A$1:$AJ$398"/>
    </customSheetView>
    <customSheetView guid="{A6B772E7-2377-429E-A110-68FE568C352A}" filter="1" showAutoFilter="1">
      <autoFilter ref="$V$1:$V$692"/>
    </customSheetView>
    <customSheetView guid="{93AFAB44-098B-4B63-95D7-EF7DCE709397}" filter="1" showAutoFilter="1">
      <autoFilter ref="$A$1:$AJ$443">
        <filterColumn colId="8">
          <customFilters>
            <customFilter operator="greaterThan" val="35"/>
          </customFilters>
        </filterColumn>
      </autoFilter>
    </customSheetView>
  </customSheetViews>
  <conditionalFormatting sqref="J1:J753">
    <cfRule type="colorScale" priority="1">
      <colorScale>
        <cfvo type="min"/>
        <cfvo type="percentile" val="50"/>
        <cfvo type="max"/>
        <color rgb="FFE67C73"/>
        <color rgb="FFFFFFFF"/>
        <color rgb="FF57BB8A"/>
      </colorScale>
    </cfRule>
  </conditionalFormatting>
  <conditionalFormatting sqref="C1:C753">
    <cfRule type="containsText" dxfId="0" priority="2" operator="containsText" text="true">
      <formula>NOT(ISERROR(SEARCH(("true"),(C1))))</formula>
    </cfRule>
  </conditionalFormatting>
  <conditionalFormatting sqref="C1:C753">
    <cfRule type="containsText" dxfId="1" priority="3" operator="containsText" text="false">
      <formula>NOT(ISERROR(SEARCH(("false"),(C1))))</formula>
    </cfRule>
  </conditionalFormatting>
  <conditionalFormatting sqref="P2:P753">
    <cfRule type="containsText" dxfId="0" priority="4" operator="containsText" text="Geleneksel">
      <formula>NOT(ISERROR(SEARCH(("Geleneksel"),(P2))))</formula>
    </cfRule>
  </conditionalFormatting>
  <conditionalFormatting sqref="P2:P753">
    <cfRule type="notContainsText" dxfId="1" priority="5" operator="notContains" text="Geleneksel">
      <formula>ISERROR(SEARCH(("Geleneksel"),(P2)))</formula>
    </cfRule>
  </conditionalFormatting>
  <dataValidations>
    <dataValidation type="list" allowBlank="1" showErrorMessage="1" sqref="Z2:Z753">
      <formula1>'Durum Parametreler'!$C$32:$C$34</formula1>
    </dataValidation>
    <dataValidation type="list" allowBlank="1" showErrorMessage="1" sqref="AK2:AO753">
      <formula1>'Durum Parametreler'!$F$9:$F$33</formula1>
    </dataValidation>
    <dataValidation type="list" allowBlank="1" showErrorMessage="1" sqref="T2:T753">
      <formula1>'Durum Parametreler'!$C$2:$C$19</formula1>
    </dataValidation>
    <dataValidation type="list" allowBlank="1" showErrorMessage="1" sqref="AQ2:AQ753">
      <formula1>'Durum Parametreler'!$C$37:$C$40</formula1>
    </dataValidation>
    <dataValidation type="list" allowBlank="1" showErrorMessage="1" sqref="U2:U753">
      <formula1>'Durum Parametreler'!$F$9:$F$43</formula1>
    </dataValidation>
    <dataValidation type="list" allowBlank="1" showErrorMessage="1" sqref="AA2:AA753 AC2:AC753 AE2:AE753 AG2:AG753 AI2:AI753">
      <formula1>'Durum Parametreler'!$C$26:$C$30</formula1>
    </dataValidation>
    <dataValidation type="list" allowBlank="1" sqref="V2:V6 V8:V10 V13:V14 V16:V23 V26:V36 V38:V39 V41:V53 V56:V61 V63 V66 V68 V71:V75 V77:V80 V82:V90 V93:V96 V98:V100 V102:V105 V107:V115 V117:V125 V127:V128 V131:V145 V147:V159 V161 V164:V166 V168:V172 V174:V181 V183 V185:V189 V191:V192 V196:V200 V202:V205 V207:V208 V210:V212 V214 V216:V218 V220:V221 V223 V225 V227:V231 V233:V256 V258:V265 V267 V269:V275 V278:V283 V285:V290 V292:V293 V295:V303 V305:V306 V308:V310 V312:V317 V319:V322 V324 V326:V332 V334:V341 V343:V346 V348:V355 V357:V359 V363:V366 V368:V369 V371 V373 V376:V377 V379:V399 V402:V403 V405 V407 V409:V424 V426:V428 V430:V440 V442:V448 V451:V453 V455:V459 V461:V462 V465:V467 V469:V475 V477:V484 V487:V508 V512 V515:V516 V519 V521:V525 V528 V530:V534 V537 V539:V549 V551 V553 V555:V576 V578:V588 V590 V592:V595 V597:V598 V601:V608 V610:V618 V620:V622 V624:V631 V633:V634 V636 V639:V647 V650:V653 V655:V656 V658 V661 V663:V664 V666 V668:V678 V681:V687 V689:V699 V701:V708 V710:V719 V721 V724 V726:V729 V732:V747 V749 V751:V753">
      <formula1>'Durum Parametreler'!$F$2:$F$6</formula1>
    </dataValidation>
    <dataValidation type="list" allowBlank="1" sqref="V219">
      <formula1>'Durum Parametreler'!$F$2:$F$6</formula1>
    </dataValidation>
    <dataValidation type="list" allowBlank="1" showErrorMessage="1" sqref="X2:Y276 Y277 X278:Y548 X549 X550:Y753 AB2:AB753 AD2:AD753 AF2:AF753 AH2:AH753 AJ2:AJ753">
      <formula1>'Durum Parametreler'!$A$1:$A$700</formula1>
    </dataValidation>
    <dataValidation type="list" allowBlank="1" showErrorMessage="1" sqref="Y549">
      <formula1>'Durum Parametreler'!$A$1:$A$700</formula1>
    </dataValidation>
  </dataValidations>
  <hyperlinks>
    <hyperlink r:id="rId1" ref="W128"/>
    <hyperlink r:id="rId2" ref="W268"/>
    <hyperlink r:id="rId3" ref="W605"/>
    <hyperlink r:id="rId4" ref="W71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s>
  <sheetData>
    <row r="1">
      <c r="G1" s="404"/>
      <c r="H1" s="404"/>
      <c r="I1" s="404"/>
      <c r="J1" s="405"/>
      <c r="K1" s="405"/>
      <c r="M1" s="406"/>
      <c r="N1" s="406"/>
      <c r="O1" s="406"/>
      <c r="P1" s="407"/>
      <c r="Q1" s="407"/>
    </row>
    <row r="2">
      <c r="B2" s="408" t="s">
        <v>2734</v>
      </c>
      <c r="C2" s="409">
        <f>COUNTIFS('Hedef Liste'!T:T,B2,'Hedef Liste'!C:C,"doğru",'Hedef Liste'!P:P,"Geleneksel",'Hedef Liste'!J:J,"=0%")</f>
        <v>5</v>
      </c>
      <c r="D2" s="149" t="s">
        <v>4463</v>
      </c>
      <c r="E2" s="296">
        <f>COUNTIFS(Import!C:C,"doğru",Import!P:P,"Geleneksel")</f>
        <v>725</v>
      </c>
      <c r="G2" s="410"/>
      <c r="K2" s="411"/>
      <c r="M2" s="412"/>
      <c r="N2" s="413"/>
      <c r="O2" s="413"/>
      <c r="P2" s="413"/>
      <c r="Q2" s="414"/>
    </row>
    <row r="3">
      <c r="B3" s="408" t="s">
        <v>2864</v>
      </c>
      <c r="C3" s="409">
        <f>COUNTIFS('Hedef Liste'!T:T,B3,'Hedef Liste'!C:C,"doğru",'Hedef Liste'!P:P,"Geleneksel",'Hedef Liste'!J:J,"=0%")</f>
        <v>8</v>
      </c>
      <c r="D3" s="149" t="s">
        <v>4465</v>
      </c>
      <c r="E3" s="296">
        <f>COUNTIFS(Import!C:C,"doğru",Import!P:P,"Geleneksel",Import!J:J,"&gt;0%")</f>
        <v>407</v>
      </c>
      <c r="G3" s="410"/>
      <c r="K3" s="411"/>
      <c r="M3" s="412"/>
      <c r="N3" s="413"/>
      <c r="O3" s="413"/>
      <c r="P3" s="413"/>
      <c r="Q3" s="414"/>
    </row>
    <row r="4">
      <c r="B4" s="408" t="s">
        <v>2714</v>
      </c>
      <c r="C4" s="409">
        <f>COUNTIFS('Hedef Liste'!T:T,B4,'Hedef Liste'!C:C,"doğru",'Hedef Liste'!P:P,"Geleneksel",'Hedef Liste'!J:J,"=0%")</f>
        <v>76</v>
      </c>
      <c r="D4" s="149" t="s">
        <v>4466</v>
      </c>
      <c r="E4" s="415">
        <f>E3/E2</f>
        <v>0.5613793103</v>
      </c>
      <c r="G4" s="410"/>
      <c r="J4" s="416" t="s">
        <v>4467</v>
      </c>
      <c r="K4" s="417">
        <f>COUNTIFS(Import!$C:$C,"true",Import!$P:$P,"Geleneksel")</f>
        <v>0</v>
      </c>
      <c r="O4" s="413"/>
      <c r="P4" s="413"/>
      <c r="Q4" s="414"/>
      <c r="S4" s="418" t="s">
        <v>4468</v>
      </c>
    </row>
    <row r="5">
      <c r="B5" s="408" t="s">
        <v>232</v>
      </c>
      <c r="C5" s="409">
        <f>COUNTIFS('Hedef Liste'!T:T,B5,'Hedef Liste'!C:C,"doğru",'Hedef Liste'!P:P,"Geleneksel",'Hedef Liste'!J:J,"=0%")</f>
        <v>2</v>
      </c>
      <c r="G5" s="410"/>
      <c r="J5" s="416" t="s">
        <v>4465</v>
      </c>
      <c r="K5" s="419">
        <f>COUNTIFS(Import!$C:$C,"true",Import!$P:$P,"Geleneksel",Import!$J:$J,"&gt;0%")</f>
        <v>0</v>
      </c>
      <c r="M5" s="420" t="str">
        <f>$K$5/$K$4</f>
        <v>#DIV/0!</v>
      </c>
      <c r="O5" s="413"/>
      <c r="P5" s="413"/>
      <c r="Q5" s="414"/>
      <c r="S5" s="421" t="str">
        <f>O24/N24</f>
        <v>#DIV/0!</v>
      </c>
    </row>
    <row r="6">
      <c r="B6" s="408" t="s">
        <v>2688</v>
      </c>
      <c r="C6" s="409">
        <f>COUNTIFS('Hedef Liste'!T:T,B6,'Hedef Liste'!C:C,"doğru",'Hedef Liste'!P:P,"Geleneksel",'Hedef Liste'!J:J,"=0%")</f>
        <v>11</v>
      </c>
      <c r="G6" s="410"/>
      <c r="J6" s="160"/>
      <c r="K6" s="422"/>
      <c r="L6" s="160"/>
      <c r="M6" s="423"/>
      <c r="N6" s="395"/>
      <c r="O6" s="413"/>
      <c r="P6" s="413"/>
      <c r="Q6" s="414"/>
    </row>
    <row r="7">
      <c r="B7" s="408" t="s">
        <v>2925</v>
      </c>
      <c r="C7" s="409">
        <f>COUNTIFS('Hedef Liste'!T:T,B7,'Hedef Liste'!C:C,"doğru",'Hedef Liste'!P:P,"Geleneksel",'Hedef Liste'!J:J,"=0%")</f>
        <v>2</v>
      </c>
      <c r="G7" s="410"/>
      <c r="J7" s="416" t="s">
        <v>4469</v>
      </c>
      <c r="K7" s="424" t="s">
        <v>4470</v>
      </c>
      <c r="M7" s="425" t="s">
        <v>4471</v>
      </c>
      <c r="O7" s="413"/>
      <c r="P7" s="413"/>
      <c r="Q7" s="414"/>
    </row>
    <row r="8">
      <c r="B8" s="408" t="s">
        <v>2770</v>
      </c>
      <c r="C8" s="409">
        <f>COUNTIFS('Hedef Liste'!T:T,B8,'Hedef Liste'!C:C,"doğru",'Hedef Liste'!P:P,"Geleneksel",'Hedef Liste'!J:J,"=0%")</f>
        <v>33</v>
      </c>
      <c r="G8" s="410"/>
      <c r="J8" s="426" t="s">
        <v>4465</v>
      </c>
      <c r="K8" s="427">
        <f>COUNTIFS(Import!$C:$C,"true",Import!$J:$J,"&gt;0%",Import!$P:$P,"Geleneksel",Import!$I:$I,"&lt;=25")</f>
        <v>0</v>
      </c>
      <c r="L8" s="420" t="str">
        <f>K8/K5</f>
        <v>#DIV/0!</v>
      </c>
      <c r="M8" s="427">
        <f>COUNTIFS(Import!C:C,"true",Import!J:J,"&gt;0%",Import!P:P,"Geleneksel",Import!I:I,"&gt;25")</f>
        <v>0</v>
      </c>
      <c r="N8" s="420" t="str">
        <f>M8/K5</f>
        <v>#DIV/0!</v>
      </c>
      <c r="O8" s="413"/>
      <c r="P8" s="413"/>
      <c r="Q8" s="414"/>
    </row>
    <row r="9">
      <c r="B9" s="408" t="s">
        <v>4472</v>
      </c>
      <c r="C9" s="409">
        <f>COUNTIFS('Hedef Liste'!T:T,B9,'Hedef Liste'!C:C,"doğru",'Hedef Liste'!P:P,"Geleneksel",'Hedef Liste'!J:J,"=0%")</f>
        <v>0</v>
      </c>
      <c r="G9" s="410"/>
      <c r="J9" s="426" t="s">
        <v>4473</v>
      </c>
      <c r="K9" s="428">
        <f>COUNTIFS(Import!C:C,"true",Import!J:J,"&gt;0%",Import!J:J,"&lt;=20%",Import!P:P,"Geleneksel",Import!I:I,"&lt;=25")</f>
        <v>0</v>
      </c>
      <c r="L9" s="429" t="str">
        <f>K9/K8</f>
        <v>#DIV/0!</v>
      </c>
      <c r="M9" s="428">
        <f>COUNTIFS(Import!C:C,"true",Import!J:J,"&gt;0%",Import!J:J,"&lt;=20%",Import!P:P,"Geleneksel",Import!I:I,"&gt;25")</f>
        <v>0</v>
      </c>
      <c r="N9" s="429" t="str">
        <f>M9/M8</f>
        <v>#DIV/0!</v>
      </c>
      <c r="O9" s="413"/>
      <c r="P9" s="413"/>
      <c r="Q9" s="414"/>
    </row>
    <row r="10">
      <c r="B10" s="408" t="s">
        <v>4474</v>
      </c>
      <c r="C10" s="409">
        <f>COUNTIFS('Hedef Liste'!T:T,B10,'Hedef Liste'!C:C,"doğru",'Hedef Liste'!P:P,"Geleneksel",'Hedef Liste'!J:J,"=0%")</f>
        <v>0</v>
      </c>
      <c r="G10" s="410"/>
      <c r="J10" s="426" t="s">
        <v>4475</v>
      </c>
      <c r="K10" s="427">
        <f>COUNTIFS(Import!C:C,"true",Import!J:J,"&gt;20%",Import!J:J,"&lt;=50%",Import!P:P,"Geleneksel",Import!I:I,"&lt;=25")</f>
        <v>0</v>
      </c>
      <c r="L10" s="430" t="str">
        <f>K10/K8</f>
        <v>#DIV/0!</v>
      </c>
      <c r="M10" s="427">
        <f>COUNTIFS(Import!C:C,"true",Import!J:J,"&gt;20%",Import!J:J,"&lt;=50%",Import!P:P,"Geleneksel",Import!I:I,"&gt;25")</f>
        <v>0</v>
      </c>
      <c r="N10" s="430" t="str">
        <f>M10/M8</f>
        <v>#DIV/0!</v>
      </c>
      <c r="O10" s="413"/>
      <c r="P10" s="413"/>
      <c r="Q10" s="414"/>
    </row>
    <row r="11">
      <c r="B11" s="408" t="s">
        <v>4085</v>
      </c>
      <c r="C11" s="409">
        <f>COUNTIFS('Hedef Liste'!T:T,B11,'Hedef Liste'!C:C,"doğru",'Hedef Liste'!P:P,"Geleneksel",'Hedef Liste'!J:J,"=0%")</f>
        <v>1</v>
      </c>
      <c r="G11" s="410"/>
      <c r="J11" s="426" t="s">
        <v>4476</v>
      </c>
      <c r="K11" s="428">
        <f>COUNTIFS(Import!C:C,"true",Import!J:J,"&gt;50%",Import!J:J,"&lt;=80%",Import!P:P,"Geleneksel",Import!I:I,"&lt;=25")</f>
        <v>0</v>
      </c>
      <c r="L11" s="429" t="str">
        <f>K11/K8</f>
        <v>#DIV/0!</v>
      </c>
      <c r="M11" s="428">
        <f>COUNTIFS(Import!C:C,"true",Import!J:J,"&gt;50%",Import!J:J,"&lt;=80%",Import!P:P,"Geleneksel",Import!I:I,"&gt;25")</f>
        <v>0</v>
      </c>
      <c r="N11" s="429" t="str">
        <f>M11/M8</f>
        <v>#DIV/0!</v>
      </c>
      <c r="O11" s="413"/>
      <c r="P11" s="413"/>
      <c r="Q11" s="414"/>
    </row>
    <row r="12">
      <c r="B12" s="408" t="s">
        <v>2948</v>
      </c>
      <c r="C12" s="409">
        <f>COUNTIFS('Hedef Liste'!T:T,B12,'Hedef Liste'!C:C,"doğru",'Hedef Liste'!P:P,"Geleneksel",'Hedef Liste'!J:J,"=0%")</f>
        <v>2</v>
      </c>
      <c r="G12" s="410"/>
      <c r="J12" s="426" t="s">
        <v>4477</v>
      </c>
      <c r="K12" s="427">
        <f>COUNTIFS(Import!C:C,"true",Import!J:J,"&gt;80%",Import!P:P,"Geleneksel",Import!I:I,"&lt;=25")</f>
        <v>0</v>
      </c>
      <c r="L12" s="430" t="str">
        <f>K12/K8</f>
        <v>#DIV/0!</v>
      </c>
      <c r="M12" s="427">
        <f>COUNTIFS(Import!C:C,"true",Import!J:J,"&gt;80%",Import!P:P,"Geleneksel",Import!I:I,"&gt;25")</f>
        <v>0</v>
      </c>
      <c r="N12" s="430" t="str">
        <f>M12/M8</f>
        <v>#DIV/0!</v>
      </c>
      <c r="O12" s="413"/>
      <c r="P12" s="413"/>
      <c r="Q12" s="414"/>
    </row>
    <row r="13">
      <c r="B13" s="408" t="s">
        <v>2661</v>
      </c>
      <c r="C13" s="409">
        <f>COUNTIFS('Hedef Liste'!T:T,B13,'Hedef Liste'!C:C,"doğru",'Hedef Liste'!P:P,"Geleneksel",'Hedef Liste'!J:J,"=0%")</f>
        <v>13</v>
      </c>
      <c r="G13" s="410"/>
      <c r="K13" s="411"/>
      <c r="M13" s="412"/>
      <c r="N13" s="413"/>
      <c r="O13" s="413"/>
      <c r="P13" s="413"/>
      <c r="Q13" s="414"/>
    </row>
    <row r="14">
      <c r="B14" s="408" t="s">
        <v>2668</v>
      </c>
      <c r="C14" s="409">
        <f>COUNTIFS('Hedef Liste'!T:T,B14,'Hedef Liste'!C:C,"doğru",'Hedef Liste'!P:P,"Geleneksel",'Hedef Liste'!J:J,"=0%")</f>
        <v>14</v>
      </c>
      <c r="G14" s="410"/>
      <c r="K14" s="411"/>
      <c r="M14" s="412"/>
      <c r="N14" s="413"/>
      <c r="O14" s="413"/>
      <c r="P14" s="413"/>
      <c r="Q14" s="414"/>
    </row>
    <row r="15">
      <c r="B15" s="408" t="s">
        <v>2788</v>
      </c>
      <c r="C15" s="409">
        <f>COUNTIFS('Hedef Liste'!T:T,B15,'Hedef Liste'!C:C,"doğru",'Hedef Liste'!P:P,"Geleneksel",'Hedef Liste'!J:J,"=0%")</f>
        <v>1</v>
      </c>
      <c r="G15" s="410"/>
      <c r="K15" s="411"/>
      <c r="M15" s="412"/>
      <c r="N15" s="413"/>
      <c r="O15" s="413"/>
      <c r="P15" s="413"/>
      <c r="Q15" s="414"/>
    </row>
    <row r="16">
      <c r="B16" s="408" t="s">
        <v>3111</v>
      </c>
      <c r="C16" s="409">
        <f>COUNTIFS('Hedef Liste'!T:T,B16,'Hedef Liste'!C:C,"doğru",'Hedef Liste'!P:P,"Geleneksel",'Hedef Liste'!J:J,"=0%")</f>
        <v>4</v>
      </c>
      <c r="G16" s="410"/>
      <c r="K16" s="411"/>
      <c r="M16" s="412"/>
      <c r="N16" s="413"/>
      <c r="O16" s="413"/>
      <c r="P16" s="413"/>
      <c r="Q16" s="414"/>
    </row>
    <row r="17">
      <c r="B17" s="408" t="s">
        <v>2880</v>
      </c>
      <c r="C17" s="409">
        <f>COUNTIFS('Hedef Liste'!T:T,B17,'Hedef Liste'!C:C,"doğru",'Hedef Liste'!P:P,"Geleneksel",'Hedef Liste'!J:J,"=0%")</f>
        <v>3</v>
      </c>
      <c r="G17" s="410"/>
      <c r="K17" s="411"/>
      <c r="M17" s="412"/>
      <c r="N17" s="413"/>
      <c r="O17" s="413"/>
      <c r="P17" s="413"/>
      <c r="Q17" s="414"/>
    </row>
    <row r="18">
      <c r="B18" s="408" t="s">
        <v>2693</v>
      </c>
      <c r="C18" s="409">
        <f>COUNTIFS('Hedef Liste'!T:T,B18,'Hedef Liste'!C:C,"doğru",'Hedef Liste'!P:P,"Geleneksel",'Hedef Liste'!J:J,"=0%")</f>
        <v>22</v>
      </c>
      <c r="G18" s="410"/>
      <c r="K18" s="411"/>
      <c r="M18" s="412"/>
      <c r="N18" s="413"/>
      <c r="O18" s="413"/>
      <c r="P18" s="413"/>
      <c r="Q18" s="414"/>
    </row>
    <row r="19">
      <c r="B19" s="408" t="s">
        <v>3248</v>
      </c>
      <c r="C19" s="409">
        <f>COUNTIFS('Hedef Liste'!T:T,B19,'Hedef Liste'!C:C,"doğru",'Hedef Liste'!P:P,"Geleneksel",'Hedef Liste'!J:J,"=0%")</f>
        <v>1</v>
      </c>
      <c r="G19" s="410"/>
      <c r="K19" s="411"/>
    </row>
    <row r="20">
      <c r="B20" s="408" t="s">
        <v>4478</v>
      </c>
      <c r="C20" s="409">
        <f>COUNTIFS('Hedef Liste'!S:S,"True",'Hedef Liste'!C:C,"doğru",'Hedef Liste'!P:P,"Geleneksel",'Hedef Liste'!J:J,"=0%",'Hedef Liste'!T:T,"")</f>
        <v>47</v>
      </c>
      <c r="G20" s="410"/>
      <c r="K20" s="411"/>
    </row>
    <row r="21">
      <c r="B21" s="431" t="s">
        <v>4479</v>
      </c>
      <c r="C21" s="409">
        <f>SUM(C2:C20)</f>
        <v>245</v>
      </c>
      <c r="D21" s="296">
        <f>COUNTIFS('Hedef Liste'!C:C,"true",'Hedef Liste'!P:P,"Geleneksel")</f>
        <v>0</v>
      </c>
      <c r="G21" s="410"/>
    </row>
    <row r="22">
      <c r="G22" s="410"/>
    </row>
    <row r="23">
      <c r="B23" s="432" t="s">
        <v>4480</v>
      </c>
      <c r="G23" s="410"/>
    </row>
    <row r="24">
      <c r="B24" s="433" t="str">
        <f>C13/COUNTIFS('Hedef Liste'!R:R,"true",'Hedef Liste'!C:C,"true")</f>
        <v>#DIV/0!</v>
      </c>
      <c r="G24" s="410"/>
      <c r="M24" s="418"/>
      <c r="N24" s="434"/>
      <c r="O24" s="434"/>
      <c r="P24" s="434"/>
      <c r="Q24" s="435"/>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sheetData>
  <mergeCells count="5">
    <mergeCell ref="K4:N4"/>
    <mergeCell ref="K5:L5"/>
    <mergeCell ref="M5:N5"/>
    <mergeCell ref="K7:L7"/>
    <mergeCell ref="M7:N7"/>
  </mergeCell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8.13"/>
    <col customWidth="1" min="7" max="7" width="10.13"/>
    <col customWidth="1" min="8" max="8" width="11.0"/>
    <col customWidth="1" min="9" max="9" width="10.0"/>
  </cols>
  <sheetData>
    <row r="1">
      <c r="A1" s="271" t="s">
        <v>2617</v>
      </c>
      <c r="B1" s="272" t="s">
        <v>2618</v>
      </c>
      <c r="C1" s="272" t="s">
        <v>2619</v>
      </c>
      <c r="D1" s="271" t="s">
        <v>2620</v>
      </c>
      <c r="E1" s="272" t="s">
        <v>2621</v>
      </c>
      <c r="F1" s="271" t="s">
        <v>2622</v>
      </c>
      <c r="G1" s="273" t="s">
        <v>2623</v>
      </c>
      <c r="H1" s="273" t="s">
        <v>2624</v>
      </c>
      <c r="I1" s="273" t="s">
        <v>2625</v>
      </c>
      <c r="J1" s="436" t="s">
        <v>2626</v>
      </c>
      <c r="K1" s="271" t="s">
        <v>2627</v>
      </c>
      <c r="L1" s="271" t="s">
        <v>2628</v>
      </c>
      <c r="M1" s="271" t="s">
        <v>2629</v>
      </c>
      <c r="N1" s="271" t="s">
        <v>2630</v>
      </c>
      <c r="O1" s="271" t="s">
        <v>7</v>
      </c>
      <c r="P1" s="272" t="s">
        <v>2631</v>
      </c>
      <c r="Q1" s="437" t="s">
        <v>4482</v>
      </c>
      <c r="R1" s="276"/>
      <c r="S1" s="276"/>
      <c r="T1" s="275"/>
      <c r="U1" s="275"/>
      <c r="V1" s="276"/>
      <c r="W1" s="276"/>
      <c r="X1" s="276"/>
      <c r="Y1" s="438"/>
      <c r="Z1" s="438"/>
      <c r="AA1" s="438"/>
      <c r="AB1" s="438"/>
      <c r="AC1" s="438"/>
    </row>
    <row r="2" hidden="1">
      <c r="A2" s="150" t="s">
        <v>769</v>
      </c>
      <c r="B2" s="150" t="s">
        <v>770</v>
      </c>
      <c r="C2" s="439" t="s">
        <v>4483</v>
      </c>
      <c r="D2" s="150" t="s">
        <v>2672</v>
      </c>
      <c r="E2" s="440">
        <v>27514.0</v>
      </c>
      <c r="F2" s="440">
        <v>1411.0</v>
      </c>
      <c r="G2" s="440">
        <v>29.0</v>
      </c>
      <c r="H2" s="440">
        <v>1.0</v>
      </c>
      <c r="I2" s="440">
        <v>30.0</v>
      </c>
      <c r="J2" s="441">
        <v>0.97</v>
      </c>
      <c r="K2" s="150" t="s">
        <v>3064</v>
      </c>
      <c r="L2" s="150">
        <v>2.223353516E9</v>
      </c>
      <c r="M2" s="150" t="s">
        <v>2666</v>
      </c>
      <c r="N2" s="150" t="s">
        <v>2750</v>
      </c>
      <c r="O2" s="150" t="s">
        <v>772</v>
      </c>
      <c r="P2" s="150" t="s">
        <v>4484</v>
      </c>
      <c r="Q2" s="442">
        <f>COUNTIF('Hedef Liste'!$A:$A,A2)</f>
        <v>1</v>
      </c>
    </row>
    <row r="3" hidden="1">
      <c r="A3" s="150" t="s">
        <v>457</v>
      </c>
      <c r="B3" s="150" t="s">
        <v>4485</v>
      </c>
      <c r="C3" s="439" t="s">
        <v>4483</v>
      </c>
      <c r="D3" s="150" t="s">
        <v>2664</v>
      </c>
      <c r="E3" s="440">
        <v>17017.0</v>
      </c>
      <c r="F3" s="440">
        <v>294.0</v>
      </c>
      <c r="G3" s="440">
        <v>47.0</v>
      </c>
      <c r="H3" s="440">
        <v>22.0</v>
      </c>
      <c r="I3" s="440">
        <v>69.0</v>
      </c>
      <c r="J3" s="441">
        <v>0.68</v>
      </c>
      <c r="K3" s="150" t="s">
        <v>4486</v>
      </c>
      <c r="L3" s="150">
        <v>2.222390101E9</v>
      </c>
      <c r="M3" s="150" t="s">
        <v>1450</v>
      </c>
      <c r="N3" s="150" t="s">
        <v>2732</v>
      </c>
      <c r="O3" s="150" t="s">
        <v>460</v>
      </c>
      <c r="P3" s="150" t="s">
        <v>4484</v>
      </c>
      <c r="Q3" s="442">
        <f>COUNTIF('Hedef Liste'!$A:$A,A3)</f>
        <v>1</v>
      </c>
    </row>
    <row r="4" hidden="1">
      <c r="A4" s="150" t="s">
        <v>3724</v>
      </c>
      <c r="B4" s="150" t="s">
        <v>3725</v>
      </c>
      <c r="C4" s="439" t="s">
        <v>4483</v>
      </c>
      <c r="D4" s="150" t="s">
        <v>2696</v>
      </c>
      <c r="E4" s="440">
        <v>14468.0</v>
      </c>
      <c r="F4" s="440">
        <v>300.0</v>
      </c>
      <c r="G4" s="440">
        <v>12.0</v>
      </c>
      <c r="H4" s="440">
        <v>60.0</v>
      </c>
      <c r="I4" s="440">
        <v>72.0</v>
      </c>
      <c r="J4" s="441">
        <v>0.17</v>
      </c>
      <c r="K4" s="150" t="s">
        <v>2764</v>
      </c>
      <c r="L4" s="150">
        <v>5.525007171E9</v>
      </c>
      <c r="M4" s="150" t="s">
        <v>2666</v>
      </c>
      <c r="N4" s="150" t="s">
        <v>2667</v>
      </c>
      <c r="O4" s="150" t="s">
        <v>2765</v>
      </c>
      <c r="P4" s="150" t="s">
        <v>4484</v>
      </c>
      <c r="Q4" s="442">
        <f>COUNTIF('Hedef Liste'!$A:$A,A4)</f>
        <v>1</v>
      </c>
    </row>
    <row r="5" hidden="1">
      <c r="A5" s="150" t="s">
        <v>2187</v>
      </c>
      <c r="B5" s="150" t="s">
        <v>2188</v>
      </c>
      <c r="C5" s="439" t="s">
        <v>4483</v>
      </c>
      <c r="D5" s="150" t="s">
        <v>2751</v>
      </c>
      <c r="E5" s="440">
        <v>3373.0</v>
      </c>
      <c r="F5" s="440">
        <v>165.0</v>
      </c>
      <c r="G5" s="440">
        <v>0.0</v>
      </c>
      <c r="H5" s="440">
        <v>90.0</v>
      </c>
      <c r="I5" s="440">
        <v>90.0</v>
      </c>
      <c r="J5" s="441">
        <v>0.0</v>
      </c>
      <c r="K5" s="150" t="s">
        <v>4487</v>
      </c>
      <c r="L5" s="150">
        <v>5.419782817E9</v>
      </c>
      <c r="M5" s="150" t="s">
        <v>1450</v>
      </c>
      <c r="N5" s="150" t="s">
        <v>2700</v>
      </c>
      <c r="O5" s="150" t="s">
        <v>2190</v>
      </c>
      <c r="P5" s="150" t="s">
        <v>4484</v>
      </c>
      <c r="Q5" s="442">
        <f>COUNTIF('Hedef Liste'!$A:$A,A5)</f>
        <v>1</v>
      </c>
    </row>
    <row r="6" hidden="1">
      <c r="A6" s="150" t="s">
        <v>3074</v>
      </c>
      <c r="B6" s="150" t="s">
        <v>4488</v>
      </c>
      <c r="C6" s="439" t="s">
        <v>4483</v>
      </c>
      <c r="D6" s="150" t="s">
        <v>2684</v>
      </c>
      <c r="E6" s="440">
        <v>13282.0</v>
      </c>
      <c r="F6" s="440">
        <v>189.0</v>
      </c>
      <c r="G6" s="440">
        <v>18.0</v>
      </c>
      <c r="H6" s="440">
        <v>3.0</v>
      </c>
      <c r="I6" s="440">
        <v>21.0</v>
      </c>
      <c r="J6" s="441">
        <v>0.86</v>
      </c>
      <c r="K6" s="150" t="s">
        <v>4489</v>
      </c>
      <c r="L6" s="150">
        <v>5.457762677E9</v>
      </c>
      <c r="M6" s="150" t="s">
        <v>2666</v>
      </c>
      <c r="N6" s="150" t="s">
        <v>2682</v>
      </c>
      <c r="O6" s="150" t="s">
        <v>3076</v>
      </c>
      <c r="P6" s="150" t="s">
        <v>4484</v>
      </c>
      <c r="Q6" s="442">
        <f>COUNTIF('Hedef Liste'!$A:$A,A6)</f>
        <v>1</v>
      </c>
    </row>
    <row r="7" hidden="1">
      <c r="A7" s="150" t="s">
        <v>112</v>
      </c>
      <c r="B7" s="150" t="s">
        <v>113</v>
      </c>
      <c r="C7" s="439" t="s">
        <v>4483</v>
      </c>
      <c r="D7" s="150" t="s">
        <v>2701</v>
      </c>
      <c r="E7" s="440">
        <v>9675.0</v>
      </c>
      <c r="F7" s="440">
        <v>289.0</v>
      </c>
      <c r="G7" s="440">
        <v>14.0</v>
      </c>
      <c r="H7" s="440">
        <v>19.0</v>
      </c>
      <c r="I7" s="440">
        <v>33.0</v>
      </c>
      <c r="J7" s="441">
        <v>0.42</v>
      </c>
      <c r="K7" s="150" t="s">
        <v>4374</v>
      </c>
      <c r="L7" s="150">
        <v>2.222262424E9</v>
      </c>
      <c r="M7" s="150" t="s">
        <v>1450</v>
      </c>
      <c r="N7" s="150" t="s">
        <v>2950</v>
      </c>
      <c r="O7" s="150" t="s">
        <v>115</v>
      </c>
      <c r="P7" s="150" t="s">
        <v>4484</v>
      </c>
      <c r="Q7" s="442">
        <f>COUNTIF('Hedef Liste'!$A:$A,A7)</f>
        <v>1</v>
      </c>
    </row>
    <row r="8" hidden="1">
      <c r="A8" s="150" t="s">
        <v>3156</v>
      </c>
      <c r="B8" s="150" t="s">
        <v>3157</v>
      </c>
      <c r="C8" s="439" t="s">
        <v>4483</v>
      </c>
      <c r="D8" s="150" t="s">
        <v>2751</v>
      </c>
      <c r="E8" s="440">
        <v>4499.0</v>
      </c>
      <c r="F8" s="440">
        <v>248.0</v>
      </c>
      <c r="G8" s="440">
        <v>0.0</v>
      </c>
      <c r="H8" s="440">
        <v>66.0</v>
      </c>
      <c r="I8" s="440">
        <v>66.0</v>
      </c>
      <c r="J8" s="441">
        <v>0.0</v>
      </c>
      <c r="K8" s="150" t="s">
        <v>4490</v>
      </c>
      <c r="L8" s="150">
        <v>5.356928409E9</v>
      </c>
      <c r="M8" s="150" t="s">
        <v>1450</v>
      </c>
      <c r="N8" s="150" t="s">
        <v>2700</v>
      </c>
      <c r="O8" s="150" t="s">
        <v>4491</v>
      </c>
      <c r="P8" s="150" t="s">
        <v>4484</v>
      </c>
      <c r="Q8" s="442">
        <f>COUNTIF('Hedef Liste'!$A:$A,A8)</f>
        <v>1</v>
      </c>
    </row>
    <row r="9" hidden="1">
      <c r="A9" s="150" t="s">
        <v>3570</v>
      </c>
      <c r="B9" s="150" t="s">
        <v>3571</v>
      </c>
      <c r="C9" s="439" t="s">
        <v>4483</v>
      </c>
      <c r="D9" s="150" t="s">
        <v>2684</v>
      </c>
      <c r="E9" s="440">
        <v>24275.0</v>
      </c>
      <c r="F9" s="440">
        <v>451.0</v>
      </c>
      <c r="G9" s="440">
        <v>40.0</v>
      </c>
      <c r="H9" s="440">
        <v>10.0</v>
      </c>
      <c r="I9" s="440">
        <v>50.0</v>
      </c>
      <c r="J9" s="441">
        <v>0.8</v>
      </c>
      <c r="K9" s="150" t="s">
        <v>4492</v>
      </c>
      <c r="L9" s="150">
        <v>2.222214943E9</v>
      </c>
      <c r="M9" s="150" t="s">
        <v>2666</v>
      </c>
      <c r="N9" s="150" t="s">
        <v>2667</v>
      </c>
      <c r="O9" s="150" t="s">
        <v>3572</v>
      </c>
      <c r="P9" s="150" t="s">
        <v>4484</v>
      </c>
      <c r="Q9" s="442">
        <f>COUNTIF('Hedef Liste'!$A:$A,A9)</f>
        <v>1</v>
      </c>
    </row>
    <row r="10" hidden="1">
      <c r="A10" s="150" t="s">
        <v>423</v>
      </c>
      <c r="B10" s="150" t="s">
        <v>424</v>
      </c>
      <c r="C10" s="439" t="s">
        <v>4483</v>
      </c>
      <c r="D10" s="150" t="s">
        <v>2658</v>
      </c>
      <c r="E10" s="440">
        <v>2332.0</v>
      </c>
      <c r="F10" s="440">
        <v>44.0</v>
      </c>
      <c r="G10" s="440">
        <v>26.0</v>
      </c>
      <c r="H10" s="440">
        <v>37.0</v>
      </c>
      <c r="I10" s="440">
        <v>63.0</v>
      </c>
      <c r="J10" s="441">
        <v>0.41</v>
      </c>
      <c r="K10" s="150" t="s">
        <v>4493</v>
      </c>
      <c r="L10" s="150">
        <v>5.367656805E9</v>
      </c>
      <c r="M10" s="150" t="s">
        <v>2666</v>
      </c>
      <c r="N10" s="150" t="s">
        <v>2711</v>
      </c>
      <c r="O10" s="150" t="s">
        <v>3391</v>
      </c>
      <c r="P10" s="150" t="s">
        <v>4484</v>
      </c>
      <c r="Q10" s="442">
        <f>COUNTIF('Hedef Liste'!$A:$A,A10)</f>
        <v>1</v>
      </c>
    </row>
    <row r="11" hidden="1">
      <c r="A11" s="150" t="s">
        <v>3476</v>
      </c>
      <c r="B11" s="150" t="s">
        <v>4494</v>
      </c>
      <c r="C11" s="439" t="s">
        <v>4483</v>
      </c>
      <c r="D11" s="150" t="s">
        <v>2763</v>
      </c>
      <c r="E11" s="440">
        <v>10026.0</v>
      </c>
      <c r="F11" s="440">
        <v>236.0</v>
      </c>
      <c r="G11" s="440">
        <v>0.0</v>
      </c>
      <c r="H11" s="440">
        <v>45.0</v>
      </c>
      <c r="I11" s="440">
        <v>45.0</v>
      </c>
      <c r="J11" s="441">
        <v>0.0</v>
      </c>
      <c r="K11" s="150" t="s">
        <v>4495</v>
      </c>
      <c r="L11" s="150">
        <v>2.222268451E9</v>
      </c>
      <c r="M11" s="150" t="s">
        <v>1450</v>
      </c>
      <c r="N11" s="150" t="s">
        <v>2795</v>
      </c>
      <c r="O11" s="150" t="s">
        <v>3478</v>
      </c>
      <c r="P11" s="150" t="s">
        <v>4484</v>
      </c>
      <c r="Q11" s="442">
        <f>COUNTIF('Hedef Liste'!$A:$A,A11)</f>
        <v>1</v>
      </c>
    </row>
    <row r="12" hidden="1">
      <c r="A12" s="150" t="s">
        <v>917</v>
      </c>
      <c r="B12" s="150" t="s">
        <v>4496</v>
      </c>
      <c r="C12" s="439" t="s">
        <v>4483</v>
      </c>
      <c r="D12" s="150" t="s">
        <v>2763</v>
      </c>
      <c r="E12" s="440">
        <v>1696.0</v>
      </c>
      <c r="F12" s="440">
        <v>47.0</v>
      </c>
      <c r="G12" s="440">
        <v>10.0</v>
      </c>
      <c r="H12" s="440">
        <v>7.0</v>
      </c>
      <c r="I12" s="440">
        <v>17.0</v>
      </c>
      <c r="J12" s="441">
        <v>0.59</v>
      </c>
      <c r="K12" s="150" t="s">
        <v>4497</v>
      </c>
      <c r="L12" s="150">
        <v>2.222344831E9</v>
      </c>
      <c r="M12" s="150" t="s">
        <v>1450</v>
      </c>
      <c r="N12" s="150" t="s">
        <v>2659</v>
      </c>
      <c r="O12" s="150" t="s">
        <v>920</v>
      </c>
      <c r="P12" s="150" t="s">
        <v>4484</v>
      </c>
      <c r="Q12" s="442">
        <f>COUNTIF('Hedef Liste'!$A:$A,A12)</f>
        <v>1</v>
      </c>
    </row>
    <row r="13" hidden="1">
      <c r="A13" s="150" t="s">
        <v>747</v>
      </c>
      <c r="B13" s="150" t="s">
        <v>748</v>
      </c>
      <c r="C13" s="439" t="s">
        <v>4483</v>
      </c>
      <c r="D13" s="150" t="s">
        <v>2664</v>
      </c>
      <c r="E13" s="440">
        <v>2196.0</v>
      </c>
      <c r="F13" s="440">
        <v>29.0</v>
      </c>
      <c r="G13" s="440">
        <v>19.0</v>
      </c>
      <c r="H13" s="440">
        <v>58.0</v>
      </c>
      <c r="I13" s="440">
        <v>77.0</v>
      </c>
      <c r="J13" s="441">
        <v>0.25</v>
      </c>
      <c r="K13" s="150" t="s">
        <v>4498</v>
      </c>
      <c r="L13" s="150">
        <v>5.423554445E9</v>
      </c>
      <c r="M13" s="150" t="s">
        <v>2666</v>
      </c>
      <c r="N13" s="150" t="s">
        <v>2667</v>
      </c>
      <c r="O13" s="150" t="s">
        <v>749</v>
      </c>
      <c r="P13" s="150" t="s">
        <v>4484</v>
      </c>
      <c r="Q13" s="442">
        <f>COUNTIF('Hedef Liste'!$A:$A,A13)</f>
        <v>1</v>
      </c>
    </row>
    <row r="14" hidden="1">
      <c r="A14" s="150" t="s">
        <v>4294</v>
      </c>
      <c r="B14" s="150" t="s">
        <v>4295</v>
      </c>
      <c r="C14" s="439" t="s">
        <v>4483</v>
      </c>
      <c r="D14" s="150" t="s">
        <v>2684</v>
      </c>
      <c r="E14" s="440">
        <v>13991.0</v>
      </c>
      <c r="F14" s="440">
        <v>376.0</v>
      </c>
      <c r="G14" s="440">
        <v>0.0</v>
      </c>
      <c r="H14" s="440">
        <v>24.0</v>
      </c>
      <c r="I14" s="440">
        <v>24.0</v>
      </c>
      <c r="J14" s="441">
        <v>0.0</v>
      </c>
      <c r="K14" s="150" t="s">
        <v>4499</v>
      </c>
      <c r="L14" s="150">
        <v>5.331592131E9</v>
      </c>
      <c r="M14" s="150" t="s">
        <v>2666</v>
      </c>
      <c r="N14" s="150" t="s">
        <v>2682</v>
      </c>
      <c r="O14" s="150" t="s">
        <v>4296</v>
      </c>
      <c r="P14" s="150" t="s">
        <v>4484</v>
      </c>
      <c r="Q14" s="442">
        <f>COUNTIF('Hedef Liste'!$A:$A,A14)</f>
        <v>1</v>
      </c>
    </row>
    <row r="15" hidden="1">
      <c r="A15" s="150" t="s">
        <v>1101</v>
      </c>
      <c r="B15" s="150" t="s">
        <v>1102</v>
      </c>
      <c r="C15" s="439" t="s">
        <v>4483</v>
      </c>
      <c r="D15" s="150" t="s">
        <v>2904</v>
      </c>
      <c r="E15" s="440">
        <v>17509.0</v>
      </c>
      <c r="F15" s="440">
        <v>835.0</v>
      </c>
      <c r="G15" s="440">
        <v>6.0</v>
      </c>
      <c r="H15" s="440">
        <v>23.0</v>
      </c>
      <c r="I15" s="440">
        <v>29.0</v>
      </c>
      <c r="J15" s="441">
        <v>0.21</v>
      </c>
      <c r="K15" s="150" t="s">
        <v>4500</v>
      </c>
      <c r="L15" s="150">
        <v>2.223224243E9</v>
      </c>
      <c r="M15" s="150" t="s">
        <v>2666</v>
      </c>
      <c r="N15" s="150" t="s">
        <v>2876</v>
      </c>
      <c r="O15" s="150" t="s">
        <v>1105</v>
      </c>
      <c r="P15" s="150" t="s">
        <v>4484</v>
      </c>
      <c r="Q15" s="442">
        <f>COUNTIF('Hedef Liste'!$A:$A,A15)</f>
        <v>1</v>
      </c>
    </row>
    <row r="16" hidden="1">
      <c r="A16" s="150" t="s">
        <v>489</v>
      </c>
      <c r="B16" s="150" t="s">
        <v>490</v>
      </c>
      <c r="C16" s="439" t="s">
        <v>4483</v>
      </c>
      <c r="D16" s="150" t="s">
        <v>2867</v>
      </c>
      <c r="E16" s="440">
        <v>24099.0</v>
      </c>
      <c r="F16" s="440">
        <v>734.0</v>
      </c>
      <c r="G16" s="440">
        <v>31.0</v>
      </c>
      <c r="H16" s="440">
        <v>46.0</v>
      </c>
      <c r="I16" s="440">
        <v>77.0</v>
      </c>
      <c r="J16" s="441">
        <v>0.4</v>
      </c>
      <c r="K16" s="150" t="s">
        <v>4501</v>
      </c>
      <c r="L16" s="150">
        <v>5.52935781E9</v>
      </c>
      <c r="M16" s="150" t="s">
        <v>1450</v>
      </c>
      <c r="N16" s="150" t="s">
        <v>2732</v>
      </c>
      <c r="O16" s="150" t="s">
        <v>492</v>
      </c>
      <c r="P16" s="150" t="s">
        <v>4484</v>
      </c>
      <c r="Q16" s="442">
        <f>COUNTIF('Hedef Liste'!$A:$A,A16)</f>
        <v>1</v>
      </c>
    </row>
    <row r="17" hidden="1">
      <c r="A17" s="150" t="s">
        <v>296</v>
      </c>
      <c r="B17" s="150" t="s">
        <v>4502</v>
      </c>
      <c r="C17" s="439" t="s">
        <v>4483</v>
      </c>
      <c r="D17" s="150" t="s">
        <v>2724</v>
      </c>
      <c r="E17" s="440">
        <v>3065.0</v>
      </c>
      <c r="F17" s="440">
        <v>201.0</v>
      </c>
      <c r="G17" s="440">
        <v>65.0</v>
      </c>
      <c r="H17" s="440">
        <v>36.0</v>
      </c>
      <c r="I17" s="440">
        <v>101.0</v>
      </c>
      <c r="J17" s="441">
        <v>0.64</v>
      </c>
      <c r="K17" s="150" t="s">
        <v>4503</v>
      </c>
      <c r="L17" s="150">
        <v>2.222902626E9</v>
      </c>
      <c r="M17" s="150" t="s">
        <v>2666</v>
      </c>
      <c r="N17" s="150" t="s">
        <v>2682</v>
      </c>
      <c r="O17" s="150" t="s">
        <v>301</v>
      </c>
      <c r="P17" s="150" t="s">
        <v>4484</v>
      </c>
      <c r="Q17" s="442">
        <f>COUNTIF('Hedef Liste'!$A:$A,A17)</f>
        <v>1</v>
      </c>
    </row>
    <row r="18" hidden="1">
      <c r="A18" s="150" t="s">
        <v>871</v>
      </c>
      <c r="B18" s="150" t="s">
        <v>872</v>
      </c>
      <c r="C18" s="439" t="s">
        <v>4483</v>
      </c>
      <c r="D18" s="150" t="s">
        <v>2763</v>
      </c>
      <c r="E18" s="440">
        <v>12817.0</v>
      </c>
      <c r="F18" s="440">
        <v>282.0</v>
      </c>
      <c r="G18" s="440">
        <v>25.0</v>
      </c>
      <c r="H18" s="440">
        <v>10.0</v>
      </c>
      <c r="I18" s="440">
        <v>35.0</v>
      </c>
      <c r="J18" s="441">
        <v>0.71</v>
      </c>
      <c r="K18" s="150" t="s">
        <v>3897</v>
      </c>
      <c r="L18" s="150">
        <v>2.222258256E9</v>
      </c>
      <c r="M18" s="150" t="s">
        <v>1450</v>
      </c>
      <c r="N18" s="150" t="s">
        <v>2705</v>
      </c>
      <c r="O18" s="150" t="s">
        <v>874</v>
      </c>
      <c r="P18" s="150" t="s">
        <v>4484</v>
      </c>
      <c r="Q18" s="442">
        <f>COUNTIF('Hedef Liste'!$A:$A,A18)</f>
        <v>1</v>
      </c>
    </row>
    <row r="19" hidden="1">
      <c r="A19" s="150" t="s">
        <v>512</v>
      </c>
      <c r="B19" s="150" t="s">
        <v>513</v>
      </c>
      <c r="C19" s="439" t="s">
        <v>4483</v>
      </c>
      <c r="D19" s="150" t="s">
        <v>2696</v>
      </c>
      <c r="E19" s="440">
        <v>1569.0</v>
      </c>
      <c r="F19" s="440">
        <v>32.0</v>
      </c>
      <c r="G19" s="440">
        <v>32.0</v>
      </c>
      <c r="H19" s="440">
        <v>5.0</v>
      </c>
      <c r="I19" s="440">
        <v>37.0</v>
      </c>
      <c r="J19" s="441">
        <v>0.86</v>
      </c>
      <c r="K19" s="150" t="s">
        <v>4504</v>
      </c>
      <c r="L19" s="150">
        <v>5.352791245E9</v>
      </c>
      <c r="M19" s="150" t="s">
        <v>1450</v>
      </c>
      <c r="N19" s="150" t="s">
        <v>2705</v>
      </c>
      <c r="O19" s="150" t="s">
        <v>3664</v>
      </c>
      <c r="P19" s="150" t="s">
        <v>4484</v>
      </c>
      <c r="Q19" s="442">
        <f>COUNTIF('Hedef Liste'!$A:$A,A19)</f>
        <v>1</v>
      </c>
    </row>
    <row r="20" hidden="1">
      <c r="A20" s="150" t="s">
        <v>3919</v>
      </c>
      <c r="B20" s="150" t="s">
        <v>3920</v>
      </c>
      <c r="C20" s="439" t="s">
        <v>4483</v>
      </c>
      <c r="D20" s="150" t="s">
        <v>2706</v>
      </c>
      <c r="E20" s="440">
        <v>4359.0</v>
      </c>
      <c r="F20" s="440">
        <v>200.0</v>
      </c>
      <c r="G20" s="440">
        <v>0.0</v>
      </c>
      <c r="H20" s="440">
        <v>74.0</v>
      </c>
      <c r="I20" s="440">
        <v>74.0</v>
      </c>
      <c r="J20" s="441">
        <v>0.0</v>
      </c>
      <c r="K20" s="150" t="s">
        <v>4505</v>
      </c>
      <c r="L20" s="150">
        <v>2.22226203E8</v>
      </c>
      <c r="M20" s="150" t="s">
        <v>1450</v>
      </c>
      <c r="N20" s="150" t="s">
        <v>2795</v>
      </c>
      <c r="O20" s="150" t="s">
        <v>3921</v>
      </c>
      <c r="P20" s="150" t="s">
        <v>4484</v>
      </c>
      <c r="Q20" s="442">
        <f>COUNTIF('Hedef Liste'!$A:$A,A20)</f>
        <v>1</v>
      </c>
    </row>
    <row r="21" hidden="1">
      <c r="A21" s="150" t="s">
        <v>946</v>
      </c>
      <c r="B21" s="150" t="s">
        <v>947</v>
      </c>
      <c r="C21" s="439" t="s">
        <v>4483</v>
      </c>
      <c r="D21" s="150" t="s">
        <v>2696</v>
      </c>
      <c r="E21" s="440">
        <v>7158.0</v>
      </c>
      <c r="F21" s="440">
        <v>15.0</v>
      </c>
      <c r="G21" s="440">
        <v>18.0</v>
      </c>
      <c r="H21" s="440">
        <v>36.0</v>
      </c>
      <c r="I21" s="440">
        <v>54.0</v>
      </c>
      <c r="J21" s="441">
        <v>0.33</v>
      </c>
      <c r="K21" s="150" t="s">
        <v>4506</v>
      </c>
      <c r="L21" s="150">
        <v>2.22220203E9</v>
      </c>
      <c r="M21" s="150" t="s">
        <v>2666</v>
      </c>
      <c r="N21" s="150" t="s">
        <v>2667</v>
      </c>
      <c r="O21" s="150" t="s">
        <v>3002</v>
      </c>
      <c r="P21" s="150" t="s">
        <v>4484</v>
      </c>
      <c r="Q21" s="442">
        <f>COUNTIF('Hedef Liste'!$A:$A,A21)</f>
        <v>1</v>
      </c>
    </row>
    <row r="22" hidden="1">
      <c r="A22" s="150" t="s">
        <v>487</v>
      </c>
      <c r="B22" s="150" t="s">
        <v>4507</v>
      </c>
      <c r="C22" s="439" t="s">
        <v>4483</v>
      </c>
      <c r="D22" s="150" t="s">
        <v>2658</v>
      </c>
      <c r="E22" s="440">
        <v>15935.0</v>
      </c>
      <c r="F22" s="440">
        <v>394.0</v>
      </c>
      <c r="G22" s="440">
        <v>18.0</v>
      </c>
      <c r="H22" s="440">
        <v>73.0</v>
      </c>
      <c r="I22" s="440">
        <v>91.0</v>
      </c>
      <c r="J22" s="441">
        <v>0.2</v>
      </c>
      <c r="K22" s="150" t="s">
        <v>3828</v>
      </c>
      <c r="L22" s="150">
        <v>2.222313508E9</v>
      </c>
      <c r="M22" s="150" t="s">
        <v>1450</v>
      </c>
      <c r="N22" s="150" t="s">
        <v>2700</v>
      </c>
      <c r="O22" s="150" t="s">
        <v>3829</v>
      </c>
      <c r="P22" s="150" t="s">
        <v>4484</v>
      </c>
      <c r="Q22" s="442">
        <f>COUNTIF('Hedef Liste'!$A:$A,A22)</f>
        <v>1</v>
      </c>
    </row>
    <row r="23" hidden="1">
      <c r="A23" s="150" t="s">
        <v>4508</v>
      </c>
      <c r="B23" s="150" t="s">
        <v>4509</v>
      </c>
      <c r="C23" s="439" t="s">
        <v>4483</v>
      </c>
      <c r="D23" s="150" t="s">
        <v>2724</v>
      </c>
      <c r="E23" s="440">
        <v>11285.0</v>
      </c>
      <c r="F23" s="440">
        <v>294.0</v>
      </c>
      <c r="G23" s="440">
        <v>61.0</v>
      </c>
      <c r="H23" s="440">
        <v>2.0</v>
      </c>
      <c r="I23" s="440">
        <v>63.0</v>
      </c>
      <c r="J23" s="441">
        <v>0.97</v>
      </c>
      <c r="K23" s="150" t="s">
        <v>4510</v>
      </c>
      <c r="L23" s="150">
        <v>2.222050048E9</v>
      </c>
      <c r="M23" s="150" t="s">
        <v>1450</v>
      </c>
      <c r="N23" s="150" t="s">
        <v>2950</v>
      </c>
      <c r="O23" s="150" t="s">
        <v>4511</v>
      </c>
      <c r="P23" s="150" t="s">
        <v>4512</v>
      </c>
      <c r="Q23" s="442">
        <f>COUNTIF('Hedef Liste'!$A:$A,A23)</f>
        <v>0</v>
      </c>
    </row>
    <row r="24" hidden="1">
      <c r="A24" s="150" t="s">
        <v>3085</v>
      </c>
      <c r="B24" s="150" t="s">
        <v>3086</v>
      </c>
      <c r="C24" s="439" t="s">
        <v>4483</v>
      </c>
      <c r="D24" s="150" t="s">
        <v>2867</v>
      </c>
      <c r="E24" s="440">
        <v>1314.0</v>
      </c>
      <c r="F24" s="440">
        <v>32.0</v>
      </c>
      <c r="G24" s="440">
        <v>0.0</v>
      </c>
      <c r="H24" s="440">
        <v>29.0</v>
      </c>
      <c r="I24" s="440">
        <v>29.0</v>
      </c>
      <c r="J24" s="441">
        <v>0.0</v>
      </c>
      <c r="K24" s="150" t="s">
        <v>4513</v>
      </c>
      <c r="L24" s="150">
        <v>2.22239607E9</v>
      </c>
      <c r="M24" s="150" t="s">
        <v>1450</v>
      </c>
      <c r="N24" s="150" t="s">
        <v>4514</v>
      </c>
      <c r="O24" s="150" t="s">
        <v>3087</v>
      </c>
      <c r="P24" s="150" t="s">
        <v>4484</v>
      </c>
      <c r="Q24" s="442">
        <f>COUNTIF('Hedef Liste'!$A:$A,A24)</f>
        <v>1</v>
      </c>
    </row>
    <row r="25" hidden="1">
      <c r="A25" s="150" t="s">
        <v>3721</v>
      </c>
      <c r="B25" s="150" t="s">
        <v>3722</v>
      </c>
      <c r="C25" s="439" t="s">
        <v>4483</v>
      </c>
      <c r="D25" s="150" t="s">
        <v>2658</v>
      </c>
      <c r="E25" s="440">
        <v>1627.0</v>
      </c>
      <c r="F25" s="440">
        <v>31.0</v>
      </c>
      <c r="G25" s="440">
        <v>0.0</v>
      </c>
      <c r="H25" s="440">
        <v>19.0</v>
      </c>
      <c r="I25" s="440">
        <v>19.0</v>
      </c>
      <c r="J25" s="441">
        <v>0.0</v>
      </c>
      <c r="K25" s="150" t="s">
        <v>4515</v>
      </c>
      <c r="L25" s="150">
        <v>5.455302526E9</v>
      </c>
      <c r="M25" s="150" t="s">
        <v>1450</v>
      </c>
      <c r="N25" s="150" t="s">
        <v>2703</v>
      </c>
      <c r="O25" s="150" t="s">
        <v>3723</v>
      </c>
      <c r="P25" s="150" t="s">
        <v>4484</v>
      </c>
      <c r="Q25" s="442">
        <f>COUNTIF('Hedef Liste'!$A:$A,A25)</f>
        <v>1</v>
      </c>
    </row>
    <row r="26" hidden="1">
      <c r="A26" s="150" t="s">
        <v>593</v>
      </c>
      <c r="B26" s="150" t="s">
        <v>594</v>
      </c>
      <c r="C26" s="439" t="s">
        <v>4483</v>
      </c>
      <c r="D26" s="150" t="s">
        <v>2658</v>
      </c>
      <c r="E26" s="440">
        <v>675.0</v>
      </c>
      <c r="F26" s="440">
        <v>30.0</v>
      </c>
      <c r="G26" s="440">
        <v>5.0</v>
      </c>
      <c r="H26" s="440">
        <v>5.0</v>
      </c>
      <c r="I26" s="440">
        <v>10.0</v>
      </c>
      <c r="J26" s="441">
        <v>0.5</v>
      </c>
      <c r="K26" s="150" t="s">
        <v>4516</v>
      </c>
      <c r="L26" s="150">
        <v>5.432920605E9</v>
      </c>
      <c r="M26" s="150" t="s">
        <v>1450</v>
      </c>
      <c r="N26" s="150" t="s">
        <v>2707</v>
      </c>
      <c r="O26" s="150" t="s">
        <v>597</v>
      </c>
      <c r="P26" s="150" t="s">
        <v>4484</v>
      </c>
      <c r="Q26" s="442">
        <f>COUNTIF('Hedef Liste'!$A:$A,A26)</f>
        <v>1</v>
      </c>
    </row>
    <row r="27" hidden="1">
      <c r="A27" s="150" t="s">
        <v>3642</v>
      </c>
      <c r="B27" s="150" t="s">
        <v>3643</v>
      </c>
      <c r="C27" s="439" t="s">
        <v>4483</v>
      </c>
      <c r="D27" s="150" t="s">
        <v>2658</v>
      </c>
      <c r="E27" s="440">
        <v>3017.0</v>
      </c>
      <c r="F27" s="440">
        <v>95.0</v>
      </c>
      <c r="G27" s="440">
        <v>9.0</v>
      </c>
      <c r="H27" s="440">
        <v>25.0</v>
      </c>
      <c r="I27" s="440">
        <v>34.0</v>
      </c>
      <c r="J27" s="441">
        <v>0.26</v>
      </c>
      <c r="K27" s="150" t="s">
        <v>4060</v>
      </c>
      <c r="L27" s="150">
        <v>5.382743426E9</v>
      </c>
      <c r="M27" s="150" t="s">
        <v>1450</v>
      </c>
      <c r="N27" s="150" t="s">
        <v>2732</v>
      </c>
      <c r="O27" s="150" t="s">
        <v>3644</v>
      </c>
      <c r="P27" s="150" t="s">
        <v>4484</v>
      </c>
      <c r="Q27" s="442">
        <f>COUNTIF('Hedef Liste'!$A:$A,A27)</f>
        <v>1</v>
      </c>
    </row>
    <row r="28" hidden="1">
      <c r="A28" s="150" t="s">
        <v>2726</v>
      </c>
      <c r="B28" s="150" t="s">
        <v>4517</v>
      </c>
      <c r="C28" s="439" t="s">
        <v>4483</v>
      </c>
      <c r="D28" s="150" t="s">
        <v>2696</v>
      </c>
      <c r="E28" s="440">
        <v>1078.0</v>
      </c>
      <c r="F28" s="440">
        <v>13.0</v>
      </c>
      <c r="G28" s="440">
        <v>0.0</v>
      </c>
      <c r="H28" s="440">
        <v>25.0</v>
      </c>
      <c r="I28" s="440">
        <v>25.0</v>
      </c>
      <c r="J28" s="441">
        <v>0.0</v>
      </c>
      <c r="K28" s="150" t="s">
        <v>4518</v>
      </c>
      <c r="L28" s="150">
        <v>5.416921792E9</v>
      </c>
      <c r="M28" s="150" t="s">
        <v>2666</v>
      </c>
      <c r="N28" s="150" t="s">
        <v>3185</v>
      </c>
      <c r="O28" s="150" t="s">
        <v>2728</v>
      </c>
      <c r="P28" s="150" t="s">
        <v>4484</v>
      </c>
      <c r="Q28" s="442">
        <f>COUNTIF('Hedef Liste'!$A:$A,A28)</f>
        <v>1</v>
      </c>
    </row>
    <row r="29" hidden="1">
      <c r="A29" s="150" t="s">
        <v>820</v>
      </c>
      <c r="B29" s="150" t="s">
        <v>821</v>
      </c>
      <c r="C29" s="439" t="s">
        <v>4483</v>
      </c>
      <c r="D29" s="150" t="s">
        <v>2696</v>
      </c>
      <c r="E29" s="440">
        <v>3539.0</v>
      </c>
      <c r="F29" s="440">
        <v>176.0</v>
      </c>
      <c r="G29" s="440">
        <v>14.0</v>
      </c>
      <c r="H29" s="440">
        <v>47.0</v>
      </c>
      <c r="I29" s="440">
        <v>61.0</v>
      </c>
      <c r="J29" s="441">
        <v>0.23</v>
      </c>
      <c r="K29" s="150" t="s">
        <v>4519</v>
      </c>
      <c r="L29" s="150">
        <v>5.059588884E9</v>
      </c>
      <c r="M29" s="150" t="s">
        <v>1450</v>
      </c>
      <c r="N29" s="150" t="s">
        <v>2795</v>
      </c>
      <c r="O29" s="150" t="s">
        <v>823</v>
      </c>
      <c r="P29" s="150" t="s">
        <v>4484</v>
      </c>
      <c r="Q29" s="442">
        <f>COUNTIF('Hedef Liste'!$A:$A,A29)</f>
        <v>1</v>
      </c>
    </row>
    <row r="30" hidden="1">
      <c r="A30" s="150" t="s">
        <v>4039</v>
      </c>
      <c r="B30" s="150" t="s">
        <v>4040</v>
      </c>
      <c r="C30" s="439" t="s">
        <v>4483</v>
      </c>
      <c r="D30" s="150" t="s">
        <v>2867</v>
      </c>
      <c r="E30" s="440">
        <v>5500.0</v>
      </c>
      <c r="F30" s="440">
        <v>303.0</v>
      </c>
      <c r="G30" s="440">
        <v>0.0</v>
      </c>
      <c r="H30" s="440">
        <v>102.0</v>
      </c>
      <c r="I30" s="440">
        <v>102.0</v>
      </c>
      <c r="J30" s="441">
        <v>0.0</v>
      </c>
      <c r="K30" s="150" t="s">
        <v>4505</v>
      </c>
      <c r="L30" s="150">
        <v>2.222262036E9</v>
      </c>
      <c r="M30" s="150" t="s">
        <v>1450</v>
      </c>
      <c r="N30" s="150" t="s">
        <v>2795</v>
      </c>
      <c r="O30" s="150" t="s">
        <v>4041</v>
      </c>
      <c r="P30" s="150" t="s">
        <v>4484</v>
      </c>
      <c r="Q30" s="442">
        <f>COUNTIF('Hedef Liste'!$A:$A,A30)</f>
        <v>1</v>
      </c>
    </row>
    <row r="31" hidden="1">
      <c r="A31" s="150" t="s">
        <v>2328</v>
      </c>
      <c r="B31" s="150" t="s">
        <v>2329</v>
      </c>
      <c r="C31" s="439" t="s">
        <v>4483</v>
      </c>
      <c r="D31" s="150" t="s">
        <v>2763</v>
      </c>
      <c r="E31" s="440">
        <v>942.0</v>
      </c>
      <c r="F31" s="440">
        <v>31.0</v>
      </c>
      <c r="G31" s="440">
        <v>5.0</v>
      </c>
      <c r="H31" s="440">
        <v>54.0</v>
      </c>
      <c r="I31" s="440">
        <v>59.0</v>
      </c>
      <c r="J31" s="441">
        <v>0.08</v>
      </c>
      <c r="K31" s="150" t="s">
        <v>3547</v>
      </c>
      <c r="L31" s="150">
        <v>5.616117277E9</v>
      </c>
      <c r="M31" s="150" t="s">
        <v>2666</v>
      </c>
      <c r="N31" s="150" t="s">
        <v>3084</v>
      </c>
      <c r="O31" s="150" t="s">
        <v>2324</v>
      </c>
      <c r="P31" s="150" t="s">
        <v>4484</v>
      </c>
      <c r="Q31" s="442">
        <f>COUNTIF('Hedef Liste'!$A:$A,A31)</f>
        <v>1</v>
      </c>
    </row>
    <row r="32" hidden="1">
      <c r="A32" s="150" t="s">
        <v>4197</v>
      </c>
      <c r="B32" s="150" t="s">
        <v>4198</v>
      </c>
      <c r="C32" s="439" t="s">
        <v>4520</v>
      </c>
      <c r="D32" s="150" t="s">
        <v>2763</v>
      </c>
      <c r="E32" s="440">
        <v>151.0</v>
      </c>
      <c r="F32" s="443"/>
      <c r="G32" s="440">
        <v>0.0</v>
      </c>
      <c r="H32" s="440">
        <v>31.0</v>
      </c>
      <c r="I32" s="440">
        <v>31.0</v>
      </c>
      <c r="J32" s="444">
        <v>0.0</v>
      </c>
      <c r="K32" s="150" t="s">
        <v>4521</v>
      </c>
      <c r="L32" s="150">
        <v>1.23456789E8</v>
      </c>
      <c r="M32" s="150" t="s">
        <v>2666</v>
      </c>
      <c r="N32" s="150" t="s">
        <v>2809</v>
      </c>
      <c r="O32" s="150" t="s">
        <v>4199</v>
      </c>
      <c r="P32" s="150" t="s">
        <v>4484</v>
      </c>
      <c r="Q32" s="442">
        <f>COUNTIF('Hedef Liste'!$A:$A,A32)</f>
        <v>1</v>
      </c>
    </row>
    <row r="33" hidden="1">
      <c r="A33" s="150" t="s">
        <v>875</v>
      </c>
      <c r="B33" s="150" t="s">
        <v>876</v>
      </c>
      <c r="C33" s="439" t="s">
        <v>4483</v>
      </c>
      <c r="D33" s="150" t="s">
        <v>2658</v>
      </c>
      <c r="E33" s="440">
        <v>8699.0</v>
      </c>
      <c r="F33" s="440">
        <v>94.0</v>
      </c>
      <c r="G33" s="440">
        <v>8.0</v>
      </c>
      <c r="H33" s="440">
        <v>28.0</v>
      </c>
      <c r="I33" s="440">
        <v>36.0</v>
      </c>
      <c r="J33" s="441">
        <v>0.22</v>
      </c>
      <c r="K33" s="150" t="s">
        <v>4522</v>
      </c>
      <c r="L33" s="150">
        <v>2.223220045E9</v>
      </c>
      <c r="M33" s="150" t="s">
        <v>2666</v>
      </c>
      <c r="N33" s="150" t="s">
        <v>2721</v>
      </c>
      <c r="O33" s="150" t="s">
        <v>4057</v>
      </c>
      <c r="P33" s="150" t="s">
        <v>4484</v>
      </c>
      <c r="Q33" s="442">
        <f>COUNTIF('Hedef Liste'!$A:$A,A33)</f>
        <v>1</v>
      </c>
    </row>
    <row r="34" hidden="1">
      <c r="A34" s="150" t="s">
        <v>2077</v>
      </c>
      <c r="B34" s="150" t="s">
        <v>2078</v>
      </c>
      <c r="C34" s="439" t="s">
        <v>4483</v>
      </c>
      <c r="D34" s="150" t="s">
        <v>2751</v>
      </c>
      <c r="E34" s="440">
        <v>2378.0</v>
      </c>
      <c r="F34" s="440">
        <v>45.0</v>
      </c>
      <c r="G34" s="440">
        <v>19.0</v>
      </c>
      <c r="H34" s="440">
        <v>15.0</v>
      </c>
      <c r="I34" s="440">
        <v>34.0</v>
      </c>
      <c r="J34" s="441">
        <v>0.56</v>
      </c>
      <c r="K34" s="150" t="s">
        <v>4523</v>
      </c>
      <c r="L34" s="150">
        <v>5.524240424E9</v>
      </c>
      <c r="M34" s="150" t="s">
        <v>2666</v>
      </c>
      <c r="N34" s="150" t="s">
        <v>2667</v>
      </c>
      <c r="O34" s="150" t="s">
        <v>2080</v>
      </c>
      <c r="P34" s="150" t="s">
        <v>4484</v>
      </c>
      <c r="Q34" s="442">
        <f>COUNTIF('Hedef Liste'!$A:$A,A34)</f>
        <v>1</v>
      </c>
    </row>
    <row r="35" hidden="1">
      <c r="A35" s="150" t="s">
        <v>1729</v>
      </c>
      <c r="B35" s="150" t="s">
        <v>1730</v>
      </c>
      <c r="C35" s="439" t="s">
        <v>4483</v>
      </c>
      <c r="D35" s="150" t="s">
        <v>2706</v>
      </c>
      <c r="E35" s="440">
        <v>6261.0</v>
      </c>
      <c r="F35" s="440">
        <v>340.0</v>
      </c>
      <c r="G35" s="440">
        <v>20.0</v>
      </c>
      <c r="H35" s="440">
        <v>15.0</v>
      </c>
      <c r="I35" s="440">
        <v>35.0</v>
      </c>
      <c r="J35" s="441">
        <v>0.57</v>
      </c>
      <c r="K35" s="150" t="s">
        <v>4524</v>
      </c>
      <c r="L35" s="150">
        <v>2.222398483E9</v>
      </c>
      <c r="M35" s="150" t="s">
        <v>1450</v>
      </c>
      <c r="N35" s="150" t="s">
        <v>2732</v>
      </c>
      <c r="O35" s="150" t="s">
        <v>734</v>
      </c>
      <c r="P35" s="150" t="s">
        <v>4484</v>
      </c>
      <c r="Q35" s="442">
        <f>COUNTIF('Hedef Liste'!$A:$A,A35)</f>
        <v>1</v>
      </c>
    </row>
    <row r="36" hidden="1">
      <c r="A36" s="150" t="s">
        <v>642</v>
      </c>
      <c r="B36" s="150" t="s">
        <v>4525</v>
      </c>
      <c r="C36" s="439" t="s">
        <v>4483</v>
      </c>
      <c r="D36" s="150" t="s">
        <v>2696</v>
      </c>
      <c r="E36" s="440">
        <v>4859.0</v>
      </c>
      <c r="F36" s="440">
        <v>46.0</v>
      </c>
      <c r="G36" s="440">
        <v>9.0</v>
      </c>
      <c r="H36" s="440">
        <v>14.0</v>
      </c>
      <c r="I36" s="440">
        <v>23.0</v>
      </c>
      <c r="J36" s="441">
        <v>0.39</v>
      </c>
      <c r="K36" s="150" t="s">
        <v>4526</v>
      </c>
      <c r="L36" s="150">
        <v>2.222209998E9</v>
      </c>
      <c r="M36" s="150" t="s">
        <v>1450</v>
      </c>
      <c r="N36" s="150" t="s">
        <v>2659</v>
      </c>
      <c r="O36" s="150" t="s">
        <v>645</v>
      </c>
      <c r="P36" s="150" t="s">
        <v>4484</v>
      </c>
      <c r="Q36" s="442">
        <f>COUNTIF('Hedef Liste'!$A:$A,A36)</f>
        <v>1</v>
      </c>
    </row>
    <row r="37" hidden="1">
      <c r="A37" s="150" t="s">
        <v>3732</v>
      </c>
      <c r="B37" s="150" t="s">
        <v>4527</v>
      </c>
      <c r="C37" s="439" t="s">
        <v>4483</v>
      </c>
      <c r="D37" s="150" t="s">
        <v>2904</v>
      </c>
      <c r="E37" s="440">
        <v>1768.0</v>
      </c>
      <c r="F37" s="440">
        <v>59.0</v>
      </c>
      <c r="G37" s="440">
        <v>0.0</v>
      </c>
      <c r="H37" s="440">
        <v>46.0</v>
      </c>
      <c r="I37" s="440">
        <v>46.0</v>
      </c>
      <c r="J37" s="441">
        <v>0.0</v>
      </c>
      <c r="K37" s="150" t="s">
        <v>4528</v>
      </c>
      <c r="L37" s="150">
        <v>2.222330708E9</v>
      </c>
      <c r="M37" s="150" t="s">
        <v>2666</v>
      </c>
      <c r="N37" s="150" t="s">
        <v>4529</v>
      </c>
      <c r="O37" s="150" t="s">
        <v>3734</v>
      </c>
      <c r="P37" s="150" t="s">
        <v>4484</v>
      </c>
      <c r="Q37" s="442">
        <f>COUNTIF('Hedef Liste'!$A:$A,A37)</f>
        <v>1</v>
      </c>
    </row>
    <row r="38" hidden="1">
      <c r="A38" s="150" t="s">
        <v>1109</v>
      </c>
      <c r="B38" s="150" t="s">
        <v>1110</v>
      </c>
      <c r="C38" s="439" t="s">
        <v>4483</v>
      </c>
      <c r="D38" s="150" t="s">
        <v>2684</v>
      </c>
      <c r="E38" s="440">
        <v>8734.0</v>
      </c>
      <c r="F38" s="440">
        <v>264.0</v>
      </c>
      <c r="G38" s="440">
        <v>16.0</v>
      </c>
      <c r="H38" s="440">
        <v>38.0</v>
      </c>
      <c r="I38" s="440">
        <v>54.0</v>
      </c>
      <c r="J38" s="441">
        <v>0.3</v>
      </c>
      <c r="K38" s="150" t="s">
        <v>3335</v>
      </c>
      <c r="L38" s="150">
        <v>5.53739025E9</v>
      </c>
      <c r="M38" s="150" t="s">
        <v>1450</v>
      </c>
      <c r="N38" s="150" t="s">
        <v>2795</v>
      </c>
      <c r="O38" s="150" t="s">
        <v>1112</v>
      </c>
      <c r="P38" s="150" t="s">
        <v>4484</v>
      </c>
      <c r="Q38" s="442">
        <f>COUNTIF('Hedef Liste'!$A:$A,A38)</f>
        <v>1</v>
      </c>
    </row>
    <row r="39" hidden="1">
      <c r="A39" s="150" t="s">
        <v>101</v>
      </c>
      <c r="B39" s="150" t="s">
        <v>102</v>
      </c>
      <c r="C39" s="439" t="s">
        <v>4483</v>
      </c>
      <c r="D39" s="150" t="s">
        <v>2773</v>
      </c>
      <c r="E39" s="440">
        <v>2628.0</v>
      </c>
      <c r="F39" s="440">
        <v>50.0</v>
      </c>
      <c r="G39" s="440">
        <v>17.0</v>
      </c>
      <c r="H39" s="440">
        <v>10.0</v>
      </c>
      <c r="I39" s="440">
        <v>27.0</v>
      </c>
      <c r="J39" s="441">
        <v>0.63</v>
      </c>
      <c r="K39" s="150" t="s">
        <v>4530</v>
      </c>
      <c r="L39" s="150">
        <v>5.438920626E9</v>
      </c>
      <c r="M39" s="150" t="s">
        <v>1450</v>
      </c>
      <c r="N39" s="150" t="s">
        <v>2703</v>
      </c>
      <c r="O39" s="150" t="s">
        <v>106</v>
      </c>
      <c r="P39" s="150" t="s">
        <v>4484</v>
      </c>
      <c r="Q39" s="442">
        <f>COUNTIF('Hedef Liste'!$A:$A,A39)</f>
        <v>1</v>
      </c>
    </row>
    <row r="40" hidden="1">
      <c r="A40" s="150" t="s">
        <v>85</v>
      </c>
      <c r="B40" s="150" t="s">
        <v>4531</v>
      </c>
      <c r="C40" s="439" t="s">
        <v>4483</v>
      </c>
      <c r="D40" s="150" t="s">
        <v>2904</v>
      </c>
      <c r="E40" s="440">
        <v>1655.0</v>
      </c>
      <c r="F40" s="440">
        <v>63.0</v>
      </c>
      <c r="G40" s="440">
        <v>5.0</v>
      </c>
      <c r="H40" s="440">
        <v>1.0</v>
      </c>
      <c r="I40" s="440">
        <v>6.0</v>
      </c>
      <c r="J40" s="441">
        <v>0.83</v>
      </c>
      <c r="K40" s="150" t="s">
        <v>4532</v>
      </c>
      <c r="L40" s="150">
        <v>2.222335101E9</v>
      </c>
      <c r="M40" s="150" t="s">
        <v>2666</v>
      </c>
      <c r="N40" s="150" t="s">
        <v>2667</v>
      </c>
      <c r="O40" s="150" t="s">
        <v>89</v>
      </c>
      <c r="P40" s="150" t="s">
        <v>4484</v>
      </c>
      <c r="Q40" s="442">
        <f>COUNTIF('Hedef Liste'!$A:$A,A40)</f>
        <v>1</v>
      </c>
    </row>
    <row r="41" hidden="1">
      <c r="A41" s="150" t="s">
        <v>461</v>
      </c>
      <c r="B41" s="150" t="s">
        <v>462</v>
      </c>
      <c r="C41" s="439" t="s">
        <v>4483</v>
      </c>
      <c r="D41" s="150" t="s">
        <v>2664</v>
      </c>
      <c r="E41" s="440">
        <v>12149.0</v>
      </c>
      <c r="F41" s="440">
        <v>412.0</v>
      </c>
      <c r="G41" s="440">
        <v>22.0</v>
      </c>
      <c r="H41" s="440">
        <v>66.0</v>
      </c>
      <c r="I41" s="440">
        <v>88.0</v>
      </c>
      <c r="J41" s="441">
        <v>0.25</v>
      </c>
      <c r="K41" s="150" t="s">
        <v>4533</v>
      </c>
      <c r="L41" s="150">
        <v>5.526323288E9</v>
      </c>
      <c r="M41" s="150" t="s">
        <v>1450</v>
      </c>
      <c r="N41" s="150" t="s">
        <v>2732</v>
      </c>
      <c r="O41" s="150" t="s">
        <v>4534</v>
      </c>
      <c r="P41" s="150" t="s">
        <v>4484</v>
      </c>
      <c r="Q41" s="442">
        <f>COUNTIF('Hedef Liste'!$A:$A,A41)</f>
        <v>1</v>
      </c>
    </row>
    <row r="42" hidden="1">
      <c r="A42" s="150" t="s">
        <v>1079</v>
      </c>
      <c r="B42" s="150" t="s">
        <v>1080</v>
      </c>
      <c r="C42" s="439" t="s">
        <v>4483</v>
      </c>
      <c r="D42" s="150" t="s">
        <v>2672</v>
      </c>
      <c r="E42" s="440">
        <v>1159.0</v>
      </c>
      <c r="F42" s="440">
        <v>39.0</v>
      </c>
      <c r="G42" s="440">
        <v>13.0</v>
      </c>
      <c r="H42" s="440">
        <v>8.0</v>
      </c>
      <c r="I42" s="440">
        <v>21.0</v>
      </c>
      <c r="J42" s="441">
        <v>0.62</v>
      </c>
      <c r="K42" s="150" t="s">
        <v>4535</v>
      </c>
      <c r="L42" s="150">
        <v>2.222203501E9</v>
      </c>
      <c r="M42" s="150" t="s">
        <v>1450</v>
      </c>
      <c r="N42" s="150" t="s">
        <v>2659</v>
      </c>
      <c r="O42" s="150" t="s">
        <v>1082</v>
      </c>
      <c r="P42" s="150" t="s">
        <v>4484</v>
      </c>
      <c r="Q42" s="442">
        <f>COUNTIF('Hedef Liste'!$A:$A,A42)</f>
        <v>1</v>
      </c>
    </row>
    <row r="43" hidden="1">
      <c r="A43" s="150" t="s">
        <v>4189</v>
      </c>
      <c r="B43" s="150" t="s">
        <v>4190</v>
      </c>
      <c r="C43" s="439" t="s">
        <v>4483</v>
      </c>
      <c r="D43" s="150" t="s">
        <v>2763</v>
      </c>
      <c r="E43" s="440">
        <v>5870.0</v>
      </c>
      <c r="F43" s="440">
        <v>187.0</v>
      </c>
      <c r="G43" s="440">
        <v>6.0</v>
      </c>
      <c r="H43" s="440">
        <v>29.0</v>
      </c>
      <c r="I43" s="440">
        <v>35.0</v>
      </c>
      <c r="J43" s="441">
        <v>0.17</v>
      </c>
      <c r="K43" s="150" t="s">
        <v>4536</v>
      </c>
      <c r="L43" s="150">
        <v>2.22321114E9</v>
      </c>
      <c r="M43" s="150" t="s">
        <v>2666</v>
      </c>
      <c r="N43" s="150" t="s">
        <v>2721</v>
      </c>
      <c r="O43" s="150" t="s">
        <v>4191</v>
      </c>
      <c r="P43" s="150" t="s">
        <v>4484</v>
      </c>
      <c r="Q43" s="442">
        <f>COUNTIF('Hedef Liste'!$A:$A,A43)</f>
        <v>1</v>
      </c>
    </row>
    <row r="44" hidden="1">
      <c r="A44" s="150" t="s">
        <v>2719</v>
      </c>
      <c r="B44" s="150" t="s">
        <v>2720</v>
      </c>
      <c r="C44" s="439" t="s">
        <v>4483</v>
      </c>
      <c r="D44" s="150" t="s">
        <v>2664</v>
      </c>
      <c r="E44" s="440">
        <v>5915.0</v>
      </c>
      <c r="F44" s="440">
        <v>187.0</v>
      </c>
      <c r="G44" s="440">
        <v>0.0</v>
      </c>
      <c r="H44" s="440">
        <v>193.0</v>
      </c>
      <c r="I44" s="440">
        <v>193.0</v>
      </c>
      <c r="J44" s="441">
        <v>0.0</v>
      </c>
      <c r="K44" s="150" t="s">
        <v>4518</v>
      </c>
      <c r="L44" s="150">
        <v>2.22322777E9</v>
      </c>
      <c r="M44" s="150" t="s">
        <v>2666</v>
      </c>
      <c r="N44" s="150" t="s">
        <v>2721</v>
      </c>
      <c r="O44" s="150" t="s">
        <v>2722</v>
      </c>
      <c r="P44" s="150" t="s">
        <v>4484</v>
      </c>
      <c r="Q44" s="442">
        <f>COUNTIF('Hedef Liste'!$A:$A,A44)</f>
        <v>1</v>
      </c>
    </row>
    <row r="45" hidden="1">
      <c r="A45" s="150" t="s">
        <v>4290</v>
      </c>
      <c r="B45" s="150" t="s">
        <v>4291</v>
      </c>
      <c r="C45" s="439" t="s">
        <v>4483</v>
      </c>
      <c r="D45" s="150" t="s">
        <v>2696</v>
      </c>
      <c r="E45" s="440">
        <v>18443.0</v>
      </c>
      <c r="F45" s="440">
        <v>499.0</v>
      </c>
      <c r="G45" s="440">
        <v>0.0</v>
      </c>
      <c r="H45" s="440">
        <v>41.0</v>
      </c>
      <c r="I45" s="440">
        <v>41.0</v>
      </c>
      <c r="J45" s="441">
        <v>0.0</v>
      </c>
      <c r="K45" s="150" t="s">
        <v>4537</v>
      </c>
      <c r="L45" s="150">
        <v>2.223226642E9</v>
      </c>
      <c r="M45" s="150" t="s">
        <v>2666</v>
      </c>
      <c r="N45" s="150" t="s">
        <v>2801</v>
      </c>
      <c r="O45" s="150" t="s">
        <v>4292</v>
      </c>
      <c r="P45" s="150" t="s">
        <v>4484</v>
      </c>
      <c r="Q45" s="442">
        <f>COUNTIF('Hedef Liste'!$A:$A,A45)</f>
        <v>1</v>
      </c>
    </row>
    <row r="46" hidden="1">
      <c r="A46" s="150" t="s">
        <v>1059</v>
      </c>
      <c r="B46" s="150" t="s">
        <v>1060</v>
      </c>
      <c r="C46" s="439" t="s">
        <v>4483</v>
      </c>
      <c r="D46" s="150" t="s">
        <v>2701</v>
      </c>
      <c r="E46" s="440">
        <v>6030.0</v>
      </c>
      <c r="F46" s="440">
        <v>220.0</v>
      </c>
      <c r="G46" s="440">
        <v>35.0</v>
      </c>
      <c r="H46" s="440">
        <v>152.0</v>
      </c>
      <c r="I46" s="440">
        <v>187.0</v>
      </c>
      <c r="J46" s="441">
        <v>0.19</v>
      </c>
      <c r="K46" s="150" t="s">
        <v>4538</v>
      </c>
      <c r="L46" s="150">
        <v>5.321391222E9</v>
      </c>
      <c r="M46" s="150" t="s">
        <v>1450</v>
      </c>
      <c r="N46" s="150" t="s">
        <v>2795</v>
      </c>
      <c r="O46" s="150" t="s">
        <v>1062</v>
      </c>
      <c r="P46" s="150" t="s">
        <v>4484</v>
      </c>
      <c r="Q46" s="442">
        <f>COUNTIF('Hedef Liste'!$A:$A,A46)</f>
        <v>1</v>
      </c>
    </row>
    <row r="47" hidden="1">
      <c r="A47" s="150" t="s">
        <v>681</v>
      </c>
      <c r="B47" s="150" t="s">
        <v>4539</v>
      </c>
      <c r="C47" s="439" t="s">
        <v>4483</v>
      </c>
      <c r="D47" s="150" t="s">
        <v>2658</v>
      </c>
      <c r="E47" s="440">
        <v>5294.0</v>
      </c>
      <c r="F47" s="440">
        <v>148.0</v>
      </c>
      <c r="G47" s="440">
        <v>25.0</v>
      </c>
      <c r="H47" s="440">
        <v>28.0</v>
      </c>
      <c r="I47" s="440">
        <v>53.0</v>
      </c>
      <c r="J47" s="441">
        <v>0.47</v>
      </c>
      <c r="K47" s="150" t="s">
        <v>4540</v>
      </c>
      <c r="L47" s="150">
        <v>2.222213326E9</v>
      </c>
      <c r="M47" s="150" t="s">
        <v>1450</v>
      </c>
      <c r="N47" s="150" t="s">
        <v>2716</v>
      </c>
      <c r="O47" s="150" t="s">
        <v>684</v>
      </c>
      <c r="P47" s="150" t="s">
        <v>4484</v>
      </c>
      <c r="Q47" s="442">
        <f>COUNTIF('Hedef Liste'!$A:$A,A47)</f>
        <v>1</v>
      </c>
    </row>
    <row r="48" hidden="1">
      <c r="A48" s="150" t="s">
        <v>810</v>
      </c>
      <c r="B48" s="150" t="s">
        <v>811</v>
      </c>
      <c r="C48" s="439" t="s">
        <v>4483</v>
      </c>
      <c r="D48" s="150" t="s">
        <v>2658</v>
      </c>
      <c r="E48" s="440">
        <v>3771.0</v>
      </c>
      <c r="F48" s="440">
        <v>120.0</v>
      </c>
      <c r="G48" s="440">
        <v>7.0</v>
      </c>
      <c r="H48" s="440">
        <v>6.0</v>
      </c>
      <c r="I48" s="440">
        <v>13.0</v>
      </c>
      <c r="J48" s="441">
        <v>0.54</v>
      </c>
      <c r="K48" s="150" t="s">
        <v>4541</v>
      </c>
      <c r="L48" s="150">
        <v>2.222333896E9</v>
      </c>
      <c r="M48" s="150" t="s">
        <v>2666</v>
      </c>
      <c r="N48" s="150" t="s">
        <v>2711</v>
      </c>
      <c r="O48" s="150" t="s">
        <v>813</v>
      </c>
      <c r="P48" s="150" t="s">
        <v>4484</v>
      </c>
      <c r="Q48" s="442">
        <f>COUNTIF('Hedef Liste'!$A:$A,A48)</f>
        <v>1</v>
      </c>
    </row>
    <row r="49" hidden="1">
      <c r="A49" s="150" t="s">
        <v>3393</v>
      </c>
      <c r="B49" s="150" t="s">
        <v>3394</v>
      </c>
      <c r="C49" s="439" t="s">
        <v>4483</v>
      </c>
      <c r="D49" s="150" t="s">
        <v>2658</v>
      </c>
      <c r="E49" s="440">
        <v>1647.0</v>
      </c>
      <c r="F49" s="440">
        <v>129.0</v>
      </c>
      <c r="G49" s="440">
        <v>0.0</v>
      </c>
      <c r="H49" s="440">
        <v>96.0</v>
      </c>
      <c r="I49" s="440">
        <v>96.0</v>
      </c>
      <c r="J49" s="441">
        <v>0.0</v>
      </c>
      <c r="K49" s="150" t="s">
        <v>4542</v>
      </c>
      <c r="L49" s="150">
        <v>2.222342312E9</v>
      </c>
      <c r="M49" s="150" t="s">
        <v>2666</v>
      </c>
      <c r="N49" s="150" t="s">
        <v>2711</v>
      </c>
      <c r="O49" s="150" t="s">
        <v>3395</v>
      </c>
      <c r="P49" s="150" t="s">
        <v>4484</v>
      </c>
      <c r="Q49" s="442">
        <f>COUNTIF('Hedef Liste'!$A:$A,A49)</f>
        <v>1</v>
      </c>
    </row>
    <row r="50" hidden="1">
      <c r="A50" s="150" t="s">
        <v>3849</v>
      </c>
      <c r="B50" s="150" t="s">
        <v>4543</v>
      </c>
      <c r="C50" s="439" t="s">
        <v>4483</v>
      </c>
      <c r="D50" s="150" t="s">
        <v>2664</v>
      </c>
      <c r="E50" s="440">
        <v>5914.0</v>
      </c>
      <c r="F50" s="440">
        <v>247.0</v>
      </c>
      <c r="G50" s="440">
        <v>0.0</v>
      </c>
      <c r="H50" s="440">
        <v>108.0</v>
      </c>
      <c r="I50" s="440">
        <v>108.0</v>
      </c>
      <c r="J50" s="441">
        <v>0.0</v>
      </c>
      <c r="K50" s="150" t="s">
        <v>4544</v>
      </c>
      <c r="L50" s="150">
        <v>5.07660051E9</v>
      </c>
      <c r="M50" s="150" t="s">
        <v>2666</v>
      </c>
      <c r="N50" s="150" t="s">
        <v>2667</v>
      </c>
      <c r="O50" s="150" t="s">
        <v>3851</v>
      </c>
      <c r="P50" s="150" t="s">
        <v>4484</v>
      </c>
      <c r="Q50" s="442">
        <f>COUNTIF('Hedef Liste'!$A:$A,A50)</f>
        <v>1</v>
      </c>
    </row>
    <row r="51" hidden="1">
      <c r="A51" s="150" t="s">
        <v>532</v>
      </c>
      <c r="B51" s="150" t="s">
        <v>4545</v>
      </c>
      <c r="C51" s="439" t="s">
        <v>4483</v>
      </c>
      <c r="D51" s="150" t="s">
        <v>2658</v>
      </c>
      <c r="E51" s="440">
        <v>3818.0</v>
      </c>
      <c r="F51" s="440">
        <v>113.0</v>
      </c>
      <c r="G51" s="440">
        <v>6.0</v>
      </c>
      <c r="H51" s="440">
        <v>3.0</v>
      </c>
      <c r="I51" s="440">
        <v>9.0</v>
      </c>
      <c r="J51" s="441">
        <v>0.67</v>
      </c>
      <c r="K51" s="150" t="s">
        <v>4546</v>
      </c>
      <c r="L51" s="150">
        <v>5.35911202E9</v>
      </c>
      <c r="M51" s="150" t="s">
        <v>1450</v>
      </c>
      <c r="N51" s="150" t="s">
        <v>2700</v>
      </c>
      <c r="O51" s="150" t="s">
        <v>3263</v>
      </c>
      <c r="P51" s="150" t="s">
        <v>4484</v>
      </c>
      <c r="Q51" s="442">
        <f>COUNTIF('Hedef Liste'!$A:$A,A51)</f>
        <v>1</v>
      </c>
    </row>
    <row r="52" hidden="1">
      <c r="A52" s="150" t="s">
        <v>3660</v>
      </c>
      <c r="B52" s="150" t="s">
        <v>1005</v>
      </c>
      <c r="C52" s="439" t="s">
        <v>4483</v>
      </c>
      <c r="D52" s="150" t="s">
        <v>2684</v>
      </c>
      <c r="E52" s="440">
        <v>35629.0</v>
      </c>
      <c r="F52" s="440">
        <v>1091.0</v>
      </c>
      <c r="G52" s="440">
        <v>11.0</v>
      </c>
      <c r="H52" s="440">
        <v>30.0</v>
      </c>
      <c r="I52" s="440">
        <v>41.0</v>
      </c>
      <c r="J52" s="441">
        <v>0.27</v>
      </c>
      <c r="K52" s="150" t="s">
        <v>4547</v>
      </c>
      <c r="L52" s="150">
        <v>5.314508303E9</v>
      </c>
      <c r="M52" s="150" t="s">
        <v>2666</v>
      </c>
      <c r="N52" s="150" t="s">
        <v>2682</v>
      </c>
      <c r="O52" s="150" t="s">
        <v>1007</v>
      </c>
      <c r="P52" s="150" t="s">
        <v>4484</v>
      </c>
      <c r="Q52" s="442">
        <f>COUNTIF('Hedef Liste'!$A:$A,A52)</f>
        <v>1</v>
      </c>
    </row>
    <row r="53" hidden="1">
      <c r="A53" s="150" t="s">
        <v>3472</v>
      </c>
      <c r="B53" s="150" t="s">
        <v>3473</v>
      </c>
      <c r="C53" s="439" t="s">
        <v>4520</v>
      </c>
      <c r="D53" s="150" t="s">
        <v>2696</v>
      </c>
      <c r="E53" s="440">
        <v>1005.0</v>
      </c>
      <c r="F53" s="443"/>
      <c r="G53" s="440">
        <v>8.0</v>
      </c>
      <c r="H53" s="440">
        <v>36.0</v>
      </c>
      <c r="I53" s="440">
        <v>44.0</v>
      </c>
      <c r="J53" s="441">
        <v>0.18</v>
      </c>
      <c r="K53" s="150" t="s">
        <v>4548</v>
      </c>
      <c r="L53" s="150">
        <v>2.222205282E9</v>
      </c>
      <c r="M53" s="150" t="s">
        <v>2666</v>
      </c>
      <c r="N53" s="150" t="s">
        <v>2667</v>
      </c>
      <c r="O53" s="150" t="s">
        <v>3474</v>
      </c>
      <c r="P53" s="150" t="s">
        <v>4484</v>
      </c>
      <c r="Q53" s="442">
        <f>COUNTIF('Hedef Liste'!$A:$A,A53)</f>
        <v>1</v>
      </c>
    </row>
    <row r="54" hidden="1">
      <c r="A54" s="150" t="s">
        <v>716</v>
      </c>
      <c r="B54" s="150" t="s">
        <v>717</v>
      </c>
      <c r="C54" s="439" t="s">
        <v>4483</v>
      </c>
      <c r="D54" s="150" t="s">
        <v>2658</v>
      </c>
      <c r="E54" s="440">
        <v>2100.0</v>
      </c>
      <c r="F54" s="440">
        <v>38.0</v>
      </c>
      <c r="G54" s="440">
        <v>0.0</v>
      </c>
      <c r="H54" s="440">
        <v>15.0</v>
      </c>
      <c r="I54" s="440">
        <v>15.0</v>
      </c>
      <c r="J54" s="441">
        <v>0.0</v>
      </c>
      <c r="K54" s="150" t="s">
        <v>4549</v>
      </c>
      <c r="L54" s="150">
        <v>2.22220044E9</v>
      </c>
      <c r="M54" s="150" t="s">
        <v>1450</v>
      </c>
      <c r="N54" s="150" t="s">
        <v>2795</v>
      </c>
      <c r="O54" s="150" t="s">
        <v>719</v>
      </c>
      <c r="P54" s="150" t="s">
        <v>4484</v>
      </c>
      <c r="Q54" s="442">
        <f>COUNTIF('Hedef Liste'!$A:$A,A54)</f>
        <v>1</v>
      </c>
    </row>
    <row r="55" hidden="1">
      <c r="A55" s="150" t="s">
        <v>2349</v>
      </c>
      <c r="B55" s="150" t="s">
        <v>2350</v>
      </c>
      <c r="C55" s="439" t="s">
        <v>4483</v>
      </c>
      <c r="D55" s="150" t="s">
        <v>2658</v>
      </c>
      <c r="E55" s="440">
        <v>2905.0</v>
      </c>
      <c r="F55" s="440">
        <v>32.0</v>
      </c>
      <c r="G55" s="440">
        <v>8.0</v>
      </c>
      <c r="H55" s="440">
        <v>18.0</v>
      </c>
      <c r="I55" s="440">
        <v>26.0</v>
      </c>
      <c r="J55" s="441">
        <v>0.31</v>
      </c>
      <c r="K55" s="150" t="s">
        <v>4550</v>
      </c>
      <c r="L55" s="150">
        <v>5.39724835E9</v>
      </c>
      <c r="M55" s="150" t="s">
        <v>1450</v>
      </c>
      <c r="N55" s="150" t="s">
        <v>2795</v>
      </c>
      <c r="O55" s="150" t="s">
        <v>4551</v>
      </c>
      <c r="P55" s="150" t="s">
        <v>4484</v>
      </c>
      <c r="Q55" s="442">
        <f>COUNTIF('Hedef Liste'!$A:$A,A55)</f>
        <v>1</v>
      </c>
    </row>
    <row r="56" hidden="1">
      <c r="A56" s="150" t="s">
        <v>4552</v>
      </c>
      <c r="B56" s="150" t="s">
        <v>4553</v>
      </c>
      <c r="C56" s="439" t="s">
        <v>4483</v>
      </c>
      <c r="D56" s="150" t="s">
        <v>2684</v>
      </c>
      <c r="E56" s="440">
        <v>16327.0</v>
      </c>
      <c r="F56" s="440">
        <v>502.0</v>
      </c>
      <c r="G56" s="440">
        <v>98.0</v>
      </c>
      <c r="H56" s="440">
        <v>0.0</v>
      </c>
      <c r="I56" s="440">
        <v>98.0</v>
      </c>
      <c r="J56" s="441">
        <v>1.0</v>
      </c>
      <c r="K56" s="150" t="s">
        <v>4554</v>
      </c>
      <c r="L56" s="150">
        <v>2.123363575E9</v>
      </c>
      <c r="M56" s="150" t="s">
        <v>2666</v>
      </c>
      <c r="N56" s="150" t="s">
        <v>2721</v>
      </c>
      <c r="O56" s="150" t="s">
        <v>4555</v>
      </c>
      <c r="P56" s="150" t="s">
        <v>4512</v>
      </c>
      <c r="Q56" s="442">
        <f>COUNTIF('Hedef Liste'!$A:$A,A56)</f>
        <v>0</v>
      </c>
    </row>
    <row r="57" hidden="1">
      <c r="A57" s="150" t="s">
        <v>2689</v>
      </c>
      <c r="B57" s="150" t="s">
        <v>2690</v>
      </c>
      <c r="C57" s="439" t="s">
        <v>4483</v>
      </c>
      <c r="D57" s="150" t="s">
        <v>2664</v>
      </c>
      <c r="E57" s="440">
        <v>1560.0</v>
      </c>
      <c r="F57" s="440">
        <v>20.0</v>
      </c>
      <c r="G57" s="440">
        <v>0.0</v>
      </c>
      <c r="H57" s="440">
        <v>55.0</v>
      </c>
      <c r="I57" s="440">
        <v>55.0</v>
      </c>
      <c r="J57" s="441">
        <v>0.0</v>
      </c>
      <c r="K57" s="150" t="s">
        <v>4556</v>
      </c>
      <c r="L57" s="150">
        <v>5.377449269E9</v>
      </c>
      <c r="M57" s="150" t="s">
        <v>2666</v>
      </c>
      <c r="N57" s="150" t="s">
        <v>2667</v>
      </c>
      <c r="O57" s="150" t="s">
        <v>2691</v>
      </c>
      <c r="P57" s="150" t="s">
        <v>4484</v>
      </c>
      <c r="Q57" s="442">
        <f>COUNTIF('Hedef Liste'!$A:$A,A57)</f>
        <v>1</v>
      </c>
    </row>
    <row r="58" hidden="1">
      <c r="A58" s="150" t="s">
        <v>3594</v>
      </c>
      <c r="B58" s="150" t="s">
        <v>4557</v>
      </c>
      <c r="C58" s="439" t="s">
        <v>4483</v>
      </c>
      <c r="D58" s="150" t="s">
        <v>2658</v>
      </c>
      <c r="E58" s="440">
        <v>1609.0</v>
      </c>
      <c r="F58" s="440">
        <v>25.0</v>
      </c>
      <c r="G58" s="440">
        <v>3.0</v>
      </c>
      <c r="H58" s="440">
        <v>8.0</v>
      </c>
      <c r="I58" s="440">
        <v>11.0</v>
      </c>
      <c r="J58" s="441">
        <v>0.27</v>
      </c>
      <c r="K58" s="150" t="s">
        <v>4526</v>
      </c>
      <c r="L58" s="150">
        <v>2.222213915E9</v>
      </c>
      <c r="M58" s="150" t="s">
        <v>1450</v>
      </c>
      <c r="N58" s="150" t="s">
        <v>2659</v>
      </c>
      <c r="O58" s="150" t="s">
        <v>3596</v>
      </c>
      <c r="P58" s="150" t="s">
        <v>4484</v>
      </c>
      <c r="Q58" s="442">
        <f>COUNTIF('Hedef Liste'!$A:$A,A58)</f>
        <v>1</v>
      </c>
    </row>
    <row r="59" hidden="1">
      <c r="A59" s="150" t="s">
        <v>3465</v>
      </c>
      <c r="B59" s="150" t="s">
        <v>3466</v>
      </c>
      <c r="C59" s="439" t="s">
        <v>4483</v>
      </c>
      <c r="D59" s="150" t="s">
        <v>2724</v>
      </c>
      <c r="E59" s="440">
        <v>18291.0</v>
      </c>
      <c r="F59" s="440">
        <v>269.0</v>
      </c>
      <c r="G59" s="440">
        <v>16.0</v>
      </c>
      <c r="H59" s="440">
        <v>18.0</v>
      </c>
      <c r="I59" s="440">
        <v>34.0</v>
      </c>
      <c r="J59" s="441">
        <v>0.47</v>
      </c>
      <c r="K59" s="150" t="s">
        <v>4558</v>
      </c>
      <c r="L59" s="150">
        <v>2.22220303E9</v>
      </c>
      <c r="M59" s="150" t="s">
        <v>2666</v>
      </c>
      <c r="N59" s="150" t="s">
        <v>2855</v>
      </c>
      <c r="O59" s="150" t="s">
        <v>3467</v>
      </c>
      <c r="P59" s="150" t="s">
        <v>4484</v>
      </c>
      <c r="Q59" s="442">
        <f>COUNTIF('Hedef Liste'!$A:$A,A59)</f>
        <v>1</v>
      </c>
    </row>
    <row r="60" hidden="1">
      <c r="A60" s="150" t="s">
        <v>658</v>
      </c>
      <c r="B60" s="150" t="s">
        <v>659</v>
      </c>
      <c r="C60" s="439" t="s">
        <v>4483</v>
      </c>
      <c r="D60" s="150" t="s">
        <v>2724</v>
      </c>
      <c r="E60" s="440">
        <v>18215.0</v>
      </c>
      <c r="F60" s="440">
        <v>589.0</v>
      </c>
      <c r="G60" s="440">
        <v>20.0</v>
      </c>
      <c r="H60" s="440">
        <v>47.0</v>
      </c>
      <c r="I60" s="440">
        <v>67.0</v>
      </c>
      <c r="J60" s="441">
        <v>0.3</v>
      </c>
      <c r="K60" s="150" t="s">
        <v>4559</v>
      </c>
      <c r="L60" s="150">
        <v>5.538902626E9</v>
      </c>
      <c r="M60" s="150" t="s">
        <v>2666</v>
      </c>
      <c r="N60" s="150" t="s">
        <v>2711</v>
      </c>
      <c r="O60" s="150" t="s">
        <v>3817</v>
      </c>
      <c r="P60" s="150" t="s">
        <v>4484</v>
      </c>
      <c r="Q60" s="442">
        <f>COUNTIF('Hedef Liste'!$A:$A,A60)</f>
        <v>1</v>
      </c>
    </row>
    <row r="61" hidden="1">
      <c r="A61" s="150" t="s">
        <v>3468</v>
      </c>
      <c r="B61" s="150" t="s">
        <v>3469</v>
      </c>
      <c r="C61" s="439" t="s">
        <v>4483</v>
      </c>
      <c r="D61" s="150" t="s">
        <v>2724</v>
      </c>
      <c r="E61" s="440">
        <v>5911.0</v>
      </c>
      <c r="F61" s="440">
        <v>149.0</v>
      </c>
      <c r="G61" s="440">
        <v>0.0</v>
      </c>
      <c r="H61" s="440">
        <v>80.0</v>
      </c>
      <c r="I61" s="440">
        <v>80.0</v>
      </c>
      <c r="J61" s="441">
        <v>0.0</v>
      </c>
      <c r="K61" s="150" t="s">
        <v>4560</v>
      </c>
      <c r="L61" s="150">
        <v>2.223212788E9</v>
      </c>
      <c r="M61" s="150" t="s">
        <v>2666</v>
      </c>
      <c r="N61" s="150" t="s">
        <v>2721</v>
      </c>
      <c r="O61" s="150" t="s">
        <v>3470</v>
      </c>
      <c r="P61" s="150" t="s">
        <v>4484</v>
      </c>
      <c r="Q61" s="442">
        <f>COUNTIF('Hedef Liste'!$A:$A,A61)</f>
        <v>1</v>
      </c>
    </row>
    <row r="62" hidden="1">
      <c r="A62" s="150" t="s">
        <v>3599</v>
      </c>
      <c r="B62" s="150" t="s">
        <v>3600</v>
      </c>
      <c r="C62" s="439" t="s">
        <v>4483</v>
      </c>
      <c r="D62" s="150" t="s">
        <v>2658</v>
      </c>
      <c r="E62" s="440">
        <v>514.0</v>
      </c>
      <c r="F62" s="440">
        <v>6.0</v>
      </c>
      <c r="G62" s="440">
        <v>12.0</v>
      </c>
      <c r="H62" s="440">
        <v>13.0</v>
      </c>
      <c r="I62" s="440">
        <v>25.0</v>
      </c>
      <c r="J62" s="441">
        <v>0.48</v>
      </c>
      <c r="K62" s="150" t="s">
        <v>4561</v>
      </c>
      <c r="L62" s="150">
        <v>5.337761568E9</v>
      </c>
      <c r="M62" s="150" t="s">
        <v>2666</v>
      </c>
      <c r="N62" s="150" t="s">
        <v>2774</v>
      </c>
      <c r="O62" s="150" t="s">
        <v>94</v>
      </c>
      <c r="P62" s="150" t="s">
        <v>4484</v>
      </c>
      <c r="Q62" s="442">
        <f>COUNTIF('Hedef Liste'!$A:$A,A62)</f>
        <v>1</v>
      </c>
    </row>
    <row r="63" hidden="1">
      <c r="A63" s="150" t="s">
        <v>2848</v>
      </c>
      <c r="B63" s="150" t="s">
        <v>2849</v>
      </c>
      <c r="C63" s="439" t="s">
        <v>4483</v>
      </c>
      <c r="D63" s="150" t="s">
        <v>2850</v>
      </c>
      <c r="E63" s="440">
        <v>6614.0</v>
      </c>
      <c r="F63" s="440">
        <v>518.0</v>
      </c>
      <c r="G63" s="440">
        <v>0.0</v>
      </c>
      <c r="H63" s="440">
        <v>40.0</v>
      </c>
      <c r="I63" s="440">
        <v>40.0</v>
      </c>
      <c r="J63" s="441">
        <v>0.0</v>
      </c>
      <c r="K63" s="150" t="s">
        <v>3928</v>
      </c>
      <c r="L63" s="150">
        <v>5.333752639E9</v>
      </c>
      <c r="M63" s="150" t="s">
        <v>1450</v>
      </c>
      <c r="N63" s="150" t="s">
        <v>2700</v>
      </c>
      <c r="O63" s="150" t="s">
        <v>2851</v>
      </c>
      <c r="P63" s="150" t="s">
        <v>4484</v>
      </c>
      <c r="Q63" s="442">
        <f>COUNTIF('Hedef Liste'!$A:$A,A63)</f>
        <v>1</v>
      </c>
    </row>
    <row r="64" hidden="1">
      <c r="A64" s="150" t="s">
        <v>3770</v>
      </c>
      <c r="B64" s="150" t="s">
        <v>3771</v>
      </c>
      <c r="C64" s="439" t="s">
        <v>4483</v>
      </c>
      <c r="D64" s="150" t="s">
        <v>3561</v>
      </c>
      <c r="E64" s="440">
        <v>952.0</v>
      </c>
      <c r="F64" s="440">
        <v>6.0</v>
      </c>
      <c r="G64" s="440">
        <v>0.0</v>
      </c>
      <c r="H64" s="440">
        <v>38.0</v>
      </c>
      <c r="I64" s="440">
        <v>38.0</v>
      </c>
      <c r="J64" s="441">
        <v>0.0</v>
      </c>
      <c r="K64" s="150" t="s">
        <v>4562</v>
      </c>
      <c r="L64" s="150">
        <v>5.534740931E9</v>
      </c>
      <c r="M64" s="150" t="s">
        <v>2666</v>
      </c>
      <c r="N64" s="150" t="s">
        <v>2685</v>
      </c>
      <c r="O64" s="150" t="s">
        <v>3772</v>
      </c>
      <c r="P64" s="150" t="s">
        <v>4484</v>
      </c>
      <c r="Q64" s="442">
        <f>COUNTIF('Hedef Liste'!$A:$A,A64)</f>
        <v>1</v>
      </c>
    </row>
    <row r="65" hidden="1">
      <c r="A65" s="150" t="s">
        <v>3865</v>
      </c>
      <c r="B65" s="150" t="s">
        <v>3866</v>
      </c>
      <c r="C65" s="439" t="s">
        <v>4483</v>
      </c>
      <c r="D65" s="150" t="s">
        <v>2773</v>
      </c>
      <c r="E65" s="440">
        <v>1339.0</v>
      </c>
      <c r="F65" s="440">
        <v>50.0</v>
      </c>
      <c r="G65" s="440">
        <v>15.0</v>
      </c>
      <c r="H65" s="440">
        <v>12.0</v>
      </c>
      <c r="I65" s="440">
        <v>27.0</v>
      </c>
      <c r="J65" s="441">
        <v>0.56</v>
      </c>
      <c r="K65" s="150" t="s">
        <v>4563</v>
      </c>
      <c r="L65" s="150">
        <v>5.454225657E9</v>
      </c>
      <c r="M65" s="150" t="s">
        <v>2666</v>
      </c>
      <c r="N65" s="150" t="s">
        <v>2809</v>
      </c>
      <c r="O65" s="150" t="s">
        <v>3867</v>
      </c>
      <c r="P65" s="150" t="s">
        <v>4484</v>
      </c>
      <c r="Q65" s="442">
        <f>COUNTIF('Hedef Liste'!$A:$A,A65)</f>
        <v>1</v>
      </c>
    </row>
    <row r="66" hidden="1">
      <c r="A66" s="150" t="s">
        <v>2839</v>
      </c>
      <c r="B66" s="150" t="s">
        <v>2840</v>
      </c>
      <c r="C66" s="439" t="s">
        <v>4483</v>
      </c>
      <c r="D66" s="150" t="s">
        <v>2696</v>
      </c>
      <c r="E66" s="440">
        <v>15493.0</v>
      </c>
      <c r="F66" s="440">
        <v>798.0</v>
      </c>
      <c r="G66" s="440">
        <v>9.0</v>
      </c>
      <c r="H66" s="440">
        <v>6.0</v>
      </c>
      <c r="I66" s="440">
        <v>15.0</v>
      </c>
      <c r="J66" s="441">
        <v>0.6</v>
      </c>
      <c r="K66" s="150" t="s">
        <v>4564</v>
      </c>
      <c r="L66" s="150">
        <v>5.526762526E9</v>
      </c>
      <c r="M66" s="150" t="s">
        <v>2666</v>
      </c>
      <c r="N66" s="150" t="s">
        <v>2682</v>
      </c>
      <c r="O66" s="150" t="s">
        <v>2841</v>
      </c>
      <c r="P66" s="150" t="s">
        <v>4484</v>
      </c>
      <c r="Q66" s="442">
        <f>COUNTIF('Hedef Liste'!$A:$A,A66)</f>
        <v>1</v>
      </c>
    </row>
    <row r="67" hidden="1">
      <c r="A67" s="150" t="s">
        <v>4565</v>
      </c>
      <c r="B67" s="150" t="s">
        <v>4566</v>
      </c>
      <c r="C67" s="439" t="s">
        <v>4483</v>
      </c>
      <c r="D67" s="150" t="s">
        <v>2773</v>
      </c>
      <c r="E67" s="440">
        <v>2301.0</v>
      </c>
      <c r="F67" s="440">
        <v>67.0</v>
      </c>
      <c r="G67" s="440">
        <v>61.0</v>
      </c>
      <c r="H67" s="440">
        <v>7.0</v>
      </c>
      <c r="I67" s="440">
        <v>68.0</v>
      </c>
      <c r="J67" s="441">
        <v>0.9</v>
      </c>
      <c r="K67" s="150" t="s">
        <v>4567</v>
      </c>
      <c r="L67" s="150">
        <v>2.22219303E9</v>
      </c>
      <c r="M67" s="150" t="s">
        <v>1450</v>
      </c>
      <c r="N67" s="150" t="s">
        <v>2782</v>
      </c>
      <c r="O67" s="150" t="s">
        <v>4568</v>
      </c>
      <c r="P67" s="150" t="s">
        <v>4512</v>
      </c>
      <c r="Q67" s="442">
        <f>COUNTIF('Hedef Liste'!$A:$A,A67)</f>
        <v>0</v>
      </c>
    </row>
    <row r="68" hidden="1">
      <c r="A68" s="150" t="s">
        <v>4569</v>
      </c>
      <c r="B68" s="150" t="s">
        <v>4570</v>
      </c>
      <c r="C68" s="439" t="s">
        <v>4483</v>
      </c>
      <c r="D68" s="150" t="s">
        <v>2773</v>
      </c>
      <c r="E68" s="440">
        <v>1508.0</v>
      </c>
      <c r="F68" s="440">
        <v>18.0</v>
      </c>
      <c r="G68" s="440">
        <v>94.0</v>
      </c>
      <c r="H68" s="440">
        <v>9.0</v>
      </c>
      <c r="I68" s="440">
        <v>103.0</v>
      </c>
      <c r="J68" s="441">
        <v>0.91</v>
      </c>
      <c r="K68" s="150" t="s">
        <v>4567</v>
      </c>
      <c r="L68" s="150">
        <v>5.527542626E9</v>
      </c>
      <c r="M68" s="150" t="s">
        <v>2666</v>
      </c>
      <c r="N68" s="150" t="s">
        <v>3000</v>
      </c>
      <c r="O68" s="150" t="s">
        <v>4571</v>
      </c>
      <c r="P68" s="150" t="s">
        <v>4512</v>
      </c>
      <c r="Q68" s="442">
        <f>COUNTIF('Hedef Liste'!$A:$A,A68)</f>
        <v>0</v>
      </c>
    </row>
    <row r="69" hidden="1">
      <c r="A69" s="150" t="s">
        <v>721</v>
      </c>
      <c r="B69" s="150" t="s">
        <v>722</v>
      </c>
      <c r="C69" s="439" t="s">
        <v>4483</v>
      </c>
      <c r="D69" s="150" t="s">
        <v>2978</v>
      </c>
      <c r="E69" s="440">
        <v>4393.0</v>
      </c>
      <c r="F69" s="440">
        <v>189.0</v>
      </c>
      <c r="G69" s="440">
        <v>29.0</v>
      </c>
      <c r="H69" s="440">
        <v>12.0</v>
      </c>
      <c r="I69" s="440">
        <v>41.0</v>
      </c>
      <c r="J69" s="441">
        <v>0.71</v>
      </c>
      <c r="K69" s="150" t="s">
        <v>4572</v>
      </c>
      <c r="L69" s="150">
        <v>5.318870585E9</v>
      </c>
      <c r="M69" s="150" t="s">
        <v>1450</v>
      </c>
      <c r="N69" s="150" t="s">
        <v>2795</v>
      </c>
      <c r="O69" s="150" t="s">
        <v>724</v>
      </c>
      <c r="P69" s="150" t="s">
        <v>4484</v>
      </c>
      <c r="Q69" s="442">
        <f>COUNTIF('Hedef Liste'!$A:$A,A69)</f>
        <v>1</v>
      </c>
    </row>
    <row r="70" hidden="1">
      <c r="A70" s="150" t="s">
        <v>3445</v>
      </c>
      <c r="B70" s="150" t="s">
        <v>4573</v>
      </c>
      <c r="C70" s="439" t="s">
        <v>4483</v>
      </c>
      <c r="D70" s="150" t="s">
        <v>2684</v>
      </c>
      <c r="E70" s="440">
        <v>31198.0</v>
      </c>
      <c r="F70" s="440">
        <v>433.0</v>
      </c>
      <c r="G70" s="440">
        <v>8.0</v>
      </c>
      <c r="H70" s="440">
        <v>23.0</v>
      </c>
      <c r="I70" s="440">
        <v>31.0</v>
      </c>
      <c r="J70" s="441">
        <v>0.26</v>
      </c>
      <c r="K70" s="150" t="s">
        <v>4574</v>
      </c>
      <c r="L70" s="150">
        <v>2.223353344E9</v>
      </c>
      <c r="M70" s="150" t="s">
        <v>2666</v>
      </c>
      <c r="N70" s="150" t="s">
        <v>2682</v>
      </c>
      <c r="O70" s="150" t="s">
        <v>3447</v>
      </c>
      <c r="P70" s="150" t="s">
        <v>4484</v>
      </c>
      <c r="Q70" s="442">
        <f>COUNTIF('Hedef Liste'!$A:$A,A70)</f>
        <v>1</v>
      </c>
    </row>
    <row r="71" hidden="1">
      <c r="A71" s="150" t="s">
        <v>399</v>
      </c>
      <c r="B71" s="150" t="s">
        <v>400</v>
      </c>
      <c r="C71" s="439" t="s">
        <v>4483</v>
      </c>
      <c r="D71" s="150" t="s">
        <v>2664</v>
      </c>
      <c r="E71" s="440">
        <v>5711.0</v>
      </c>
      <c r="F71" s="440">
        <v>30.0</v>
      </c>
      <c r="G71" s="440">
        <v>15.0</v>
      </c>
      <c r="H71" s="440">
        <v>50.0</v>
      </c>
      <c r="I71" s="440">
        <v>65.0</v>
      </c>
      <c r="J71" s="441">
        <v>0.23</v>
      </c>
      <c r="K71" s="150" t="s">
        <v>4575</v>
      </c>
      <c r="L71" s="150">
        <v>2.2232395E9</v>
      </c>
      <c r="M71" s="150" t="s">
        <v>2666</v>
      </c>
      <c r="N71" s="150" t="s">
        <v>2855</v>
      </c>
      <c r="O71" s="150" t="s">
        <v>403</v>
      </c>
      <c r="P71" s="150" t="s">
        <v>4484</v>
      </c>
      <c r="Q71" s="442">
        <f>COUNTIF('Hedef Liste'!$A:$A,A71)</f>
        <v>1</v>
      </c>
    </row>
    <row r="72" hidden="1">
      <c r="A72" s="150" t="s">
        <v>3789</v>
      </c>
      <c r="B72" s="150" t="s">
        <v>4576</v>
      </c>
      <c r="C72" s="439" t="s">
        <v>4483</v>
      </c>
      <c r="D72" s="150" t="s">
        <v>2672</v>
      </c>
      <c r="E72" s="440">
        <v>10298.0</v>
      </c>
      <c r="F72" s="440">
        <v>204.0</v>
      </c>
      <c r="G72" s="440">
        <v>0.0</v>
      </c>
      <c r="H72" s="440">
        <v>13.0</v>
      </c>
      <c r="I72" s="440">
        <v>13.0</v>
      </c>
      <c r="J72" s="441">
        <v>0.0</v>
      </c>
      <c r="K72" s="150" t="s">
        <v>4577</v>
      </c>
      <c r="L72" s="150">
        <v>5.436221965E9</v>
      </c>
      <c r="M72" s="150" t="s">
        <v>2666</v>
      </c>
      <c r="N72" s="150" t="s">
        <v>2801</v>
      </c>
      <c r="O72" s="150" t="s">
        <v>3791</v>
      </c>
      <c r="P72" s="150" t="s">
        <v>4484</v>
      </c>
      <c r="Q72" s="442">
        <f>COUNTIF('Hedef Liste'!$A:$A,A72)</f>
        <v>1</v>
      </c>
    </row>
    <row r="73" hidden="1">
      <c r="A73" s="150" t="s">
        <v>4070</v>
      </c>
      <c r="B73" s="150" t="s">
        <v>4071</v>
      </c>
      <c r="C73" s="439" t="s">
        <v>4520</v>
      </c>
      <c r="D73" s="150" t="s">
        <v>2724</v>
      </c>
      <c r="E73" s="440">
        <v>313.0</v>
      </c>
      <c r="F73" s="443"/>
      <c r="G73" s="440">
        <v>0.0</v>
      </c>
      <c r="H73" s="440">
        <v>77.0</v>
      </c>
      <c r="I73" s="440">
        <v>77.0</v>
      </c>
      <c r="J73" s="441">
        <v>0.0</v>
      </c>
      <c r="K73" s="150" t="s">
        <v>4578</v>
      </c>
      <c r="L73" s="150">
        <v>2.223303353E9</v>
      </c>
      <c r="M73" s="150" t="s">
        <v>2666</v>
      </c>
      <c r="N73" s="150" t="s">
        <v>2667</v>
      </c>
      <c r="O73" s="150" t="s">
        <v>4072</v>
      </c>
      <c r="P73" s="150" t="s">
        <v>4512</v>
      </c>
      <c r="Q73" s="442">
        <f>COUNTIF('Hedef Liste'!$A:$A,A73)</f>
        <v>1</v>
      </c>
    </row>
    <row r="74" hidden="1">
      <c r="A74" s="150" t="s">
        <v>3533</v>
      </c>
      <c r="B74" s="150" t="s">
        <v>3534</v>
      </c>
      <c r="C74" s="439" t="s">
        <v>4483</v>
      </c>
      <c r="D74" s="150" t="s">
        <v>2904</v>
      </c>
      <c r="E74" s="440">
        <v>1322.0</v>
      </c>
      <c r="F74" s="440">
        <v>67.0</v>
      </c>
      <c r="G74" s="440">
        <v>0.0</v>
      </c>
      <c r="H74" s="440">
        <v>49.0</v>
      </c>
      <c r="I74" s="440">
        <v>49.0</v>
      </c>
      <c r="J74" s="441">
        <v>0.0</v>
      </c>
      <c r="K74" s="150" t="s">
        <v>4579</v>
      </c>
      <c r="L74" s="150">
        <v>5.357866678E9</v>
      </c>
      <c r="M74" s="150" t="s">
        <v>2666</v>
      </c>
      <c r="N74" s="150" t="s">
        <v>2801</v>
      </c>
      <c r="O74" s="150" t="s">
        <v>3535</v>
      </c>
      <c r="P74" s="150" t="s">
        <v>4484</v>
      </c>
      <c r="Q74" s="442">
        <f>COUNTIF('Hedef Liste'!$A:$A,A74)</f>
        <v>1</v>
      </c>
    </row>
    <row r="75" hidden="1">
      <c r="A75" s="150" t="s">
        <v>90</v>
      </c>
      <c r="B75" s="150" t="s">
        <v>91</v>
      </c>
      <c r="C75" s="439" t="s">
        <v>4483</v>
      </c>
      <c r="D75" s="150" t="s">
        <v>2773</v>
      </c>
      <c r="E75" s="440">
        <v>692.0</v>
      </c>
      <c r="F75" s="440">
        <v>17.0</v>
      </c>
      <c r="G75" s="440">
        <v>11.0</v>
      </c>
      <c r="H75" s="440">
        <v>12.0</v>
      </c>
      <c r="I75" s="440">
        <v>23.0</v>
      </c>
      <c r="J75" s="441">
        <v>0.48</v>
      </c>
      <c r="K75" s="150" t="s">
        <v>4580</v>
      </c>
      <c r="L75" s="150">
        <v>5.337761568E9</v>
      </c>
      <c r="M75" s="150" t="s">
        <v>2666</v>
      </c>
      <c r="N75" s="150" t="s">
        <v>2774</v>
      </c>
      <c r="O75" s="150" t="s">
        <v>94</v>
      </c>
      <c r="P75" s="150" t="s">
        <v>4484</v>
      </c>
      <c r="Q75" s="442">
        <f>COUNTIF('Hedef Liste'!$A:$A,A75)</f>
        <v>1</v>
      </c>
    </row>
    <row r="76" hidden="1">
      <c r="A76" s="150" t="s">
        <v>2070</v>
      </c>
      <c r="B76" s="150" t="s">
        <v>4581</v>
      </c>
      <c r="C76" s="439" t="s">
        <v>4483</v>
      </c>
      <c r="D76" s="150" t="s">
        <v>2867</v>
      </c>
      <c r="E76" s="440">
        <v>15260.0</v>
      </c>
      <c r="F76" s="440">
        <v>329.0</v>
      </c>
      <c r="G76" s="440">
        <v>85.0</v>
      </c>
      <c r="H76" s="440">
        <v>22.0</v>
      </c>
      <c r="I76" s="440">
        <v>107.0</v>
      </c>
      <c r="J76" s="441">
        <v>0.79</v>
      </c>
      <c r="K76" s="150" t="s">
        <v>3226</v>
      </c>
      <c r="L76" s="150">
        <v>2.22323609E9</v>
      </c>
      <c r="M76" s="150" t="s">
        <v>2666</v>
      </c>
      <c r="N76" s="150" t="s">
        <v>2855</v>
      </c>
      <c r="O76" s="150" t="s">
        <v>2073</v>
      </c>
      <c r="P76" s="150" t="s">
        <v>4484</v>
      </c>
      <c r="Q76" s="442">
        <f>COUNTIF('Hedef Liste'!$A:$A,A76)</f>
        <v>1</v>
      </c>
    </row>
    <row r="77" hidden="1">
      <c r="A77" s="150" t="s">
        <v>4184</v>
      </c>
      <c r="B77" s="150" t="s">
        <v>4185</v>
      </c>
      <c r="C77" s="439" t="s">
        <v>4520</v>
      </c>
      <c r="D77" s="150" t="s">
        <v>2664</v>
      </c>
      <c r="E77" s="440">
        <v>206.0</v>
      </c>
      <c r="F77" s="443"/>
      <c r="G77" s="440">
        <v>73.0</v>
      </c>
      <c r="H77" s="440">
        <v>77.0</v>
      </c>
      <c r="I77" s="440">
        <v>150.0</v>
      </c>
      <c r="J77" s="441">
        <v>0.49</v>
      </c>
      <c r="K77" s="150" t="s">
        <v>4582</v>
      </c>
      <c r="L77" s="150">
        <v>2.22333066E9</v>
      </c>
      <c r="M77" s="150" t="s">
        <v>2666</v>
      </c>
      <c r="N77" s="150" t="s">
        <v>2682</v>
      </c>
      <c r="O77" s="150" t="s">
        <v>4186</v>
      </c>
      <c r="P77" s="150" t="s">
        <v>4512</v>
      </c>
      <c r="Q77" s="442">
        <f>COUNTIF('Hedef Liste'!$A:$A,A77)</f>
        <v>1</v>
      </c>
    </row>
    <row r="78" hidden="1">
      <c r="A78" s="150" t="s">
        <v>4112</v>
      </c>
      <c r="B78" s="150" t="s">
        <v>4583</v>
      </c>
      <c r="C78" s="439" t="s">
        <v>4483</v>
      </c>
      <c r="D78" s="150" t="s">
        <v>2763</v>
      </c>
      <c r="E78" s="440">
        <v>4648.0</v>
      </c>
      <c r="F78" s="440">
        <v>176.0</v>
      </c>
      <c r="G78" s="440">
        <v>0.0</v>
      </c>
      <c r="H78" s="440">
        <v>71.0</v>
      </c>
      <c r="I78" s="440">
        <v>71.0</v>
      </c>
      <c r="J78" s="441">
        <v>0.0</v>
      </c>
      <c r="K78" s="150" t="s">
        <v>4584</v>
      </c>
      <c r="L78" s="150">
        <v>2.222301199E9</v>
      </c>
      <c r="M78" s="150" t="s">
        <v>1450</v>
      </c>
      <c r="N78" s="150" t="s">
        <v>2700</v>
      </c>
      <c r="O78" s="150" t="s">
        <v>4114</v>
      </c>
      <c r="P78" s="150" t="s">
        <v>4484</v>
      </c>
      <c r="Q78" s="442">
        <f>COUNTIF('Hedef Liste'!$A:$A,A78)</f>
        <v>1</v>
      </c>
    </row>
    <row r="79" hidden="1">
      <c r="A79" s="150" t="s">
        <v>4116</v>
      </c>
      <c r="B79" s="150" t="s">
        <v>4585</v>
      </c>
      <c r="C79" s="439" t="s">
        <v>4483</v>
      </c>
      <c r="D79" s="150" t="s">
        <v>2763</v>
      </c>
      <c r="E79" s="440">
        <v>17223.0</v>
      </c>
      <c r="F79" s="440">
        <v>747.0</v>
      </c>
      <c r="G79" s="440">
        <v>0.0</v>
      </c>
      <c r="H79" s="440">
        <v>95.0</v>
      </c>
      <c r="I79" s="440">
        <v>95.0</v>
      </c>
      <c r="J79" s="441">
        <v>0.0</v>
      </c>
      <c r="K79" s="150" t="s">
        <v>4584</v>
      </c>
      <c r="L79" s="150">
        <v>2.223223E9</v>
      </c>
      <c r="M79" s="150" t="s">
        <v>2666</v>
      </c>
      <c r="N79" s="150" t="s">
        <v>2721</v>
      </c>
      <c r="O79" s="150" t="s">
        <v>4118</v>
      </c>
      <c r="P79" s="150" t="s">
        <v>4484</v>
      </c>
      <c r="Q79" s="442">
        <f>COUNTIF('Hedef Liste'!$A:$A,A79)</f>
        <v>1</v>
      </c>
    </row>
    <row r="80" hidden="1">
      <c r="A80" s="150" t="s">
        <v>4169</v>
      </c>
      <c r="B80" s="150" t="s">
        <v>4586</v>
      </c>
      <c r="C80" s="439" t="s">
        <v>4483</v>
      </c>
      <c r="D80" s="150" t="s">
        <v>2664</v>
      </c>
      <c r="E80" s="440">
        <v>2705.0</v>
      </c>
      <c r="F80" s="440">
        <v>133.0</v>
      </c>
      <c r="G80" s="440">
        <v>0.0</v>
      </c>
      <c r="H80" s="440">
        <v>70.0</v>
      </c>
      <c r="I80" s="440">
        <v>70.0</v>
      </c>
      <c r="J80" s="441">
        <v>0.0</v>
      </c>
      <c r="K80" s="150" t="s">
        <v>3828</v>
      </c>
      <c r="L80" s="150">
        <v>2.222313508E9</v>
      </c>
      <c r="M80" s="150" t="s">
        <v>1450</v>
      </c>
      <c r="N80" s="150" t="s">
        <v>2700</v>
      </c>
      <c r="O80" s="150" t="s">
        <v>3829</v>
      </c>
      <c r="P80" s="150" t="s">
        <v>4484</v>
      </c>
      <c r="Q80" s="442">
        <f>COUNTIF('Hedef Liste'!$A:$A,A80)</f>
        <v>1</v>
      </c>
    </row>
    <row r="81" hidden="1">
      <c r="A81" s="150" t="s">
        <v>4587</v>
      </c>
      <c r="B81" s="150" t="s">
        <v>4588</v>
      </c>
      <c r="C81" s="439" t="s">
        <v>4483</v>
      </c>
      <c r="D81" s="150" t="s">
        <v>2773</v>
      </c>
      <c r="E81" s="440">
        <v>9470.0</v>
      </c>
      <c r="F81" s="440">
        <v>287.0</v>
      </c>
      <c r="G81" s="440">
        <v>37.0</v>
      </c>
      <c r="H81" s="440">
        <v>1.0</v>
      </c>
      <c r="I81" s="440">
        <v>38.0</v>
      </c>
      <c r="J81" s="441">
        <v>0.97</v>
      </c>
      <c r="K81" s="150" t="s">
        <v>4567</v>
      </c>
      <c r="L81" s="150">
        <v>2.222344423E9</v>
      </c>
      <c r="M81" s="150" t="s">
        <v>1450</v>
      </c>
      <c r="N81" s="150" t="s">
        <v>2732</v>
      </c>
      <c r="O81" s="150" t="s">
        <v>4589</v>
      </c>
      <c r="P81" s="150" t="s">
        <v>4512</v>
      </c>
      <c r="Q81" s="442">
        <f>COUNTIF('Hedef Liste'!$A:$A,A81)</f>
        <v>0</v>
      </c>
    </row>
    <row r="82" hidden="1">
      <c r="A82" s="150" t="s">
        <v>4590</v>
      </c>
      <c r="B82" s="150" t="s">
        <v>4591</v>
      </c>
      <c r="C82" s="439" t="s">
        <v>4483</v>
      </c>
      <c r="D82" s="150" t="s">
        <v>2773</v>
      </c>
      <c r="E82" s="440">
        <v>4154.0</v>
      </c>
      <c r="F82" s="440">
        <v>123.0</v>
      </c>
      <c r="G82" s="440">
        <v>103.0</v>
      </c>
      <c r="H82" s="440">
        <v>8.0</v>
      </c>
      <c r="I82" s="440">
        <v>111.0</v>
      </c>
      <c r="J82" s="441">
        <v>0.93</v>
      </c>
      <c r="K82" s="150" t="s">
        <v>4567</v>
      </c>
      <c r="L82" s="150">
        <v>2.222200151E9</v>
      </c>
      <c r="M82" s="150" t="s">
        <v>2666</v>
      </c>
      <c r="N82" s="150" t="s">
        <v>2667</v>
      </c>
      <c r="O82" s="150" t="s">
        <v>4592</v>
      </c>
      <c r="P82" s="150" t="s">
        <v>4512</v>
      </c>
      <c r="Q82" s="442">
        <f>COUNTIF('Hedef Liste'!$A:$A,A82)</f>
        <v>0</v>
      </c>
    </row>
    <row r="83" hidden="1">
      <c r="A83" s="150" t="s">
        <v>4593</v>
      </c>
      <c r="B83" s="150" t="s">
        <v>4594</v>
      </c>
      <c r="C83" s="439" t="s">
        <v>4483</v>
      </c>
      <c r="D83" s="150" t="s">
        <v>2773</v>
      </c>
      <c r="E83" s="440">
        <v>3339.0</v>
      </c>
      <c r="F83" s="440">
        <v>92.0</v>
      </c>
      <c r="G83" s="440">
        <v>81.0</v>
      </c>
      <c r="H83" s="440">
        <v>8.0</v>
      </c>
      <c r="I83" s="440">
        <v>89.0</v>
      </c>
      <c r="J83" s="441">
        <v>0.91</v>
      </c>
      <c r="K83" s="150" t="s">
        <v>4567</v>
      </c>
      <c r="L83" s="150">
        <v>5.323577687E9</v>
      </c>
      <c r="M83" s="150" t="s">
        <v>2666</v>
      </c>
      <c r="N83" s="150" t="s">
        <v>3000</v>
      </c>
      <c r="O83" s="150" t="s">
        <v>4595</v>
      </c>
      <c r="P83" s="150" t="s">
        <v>4512</v>
      </c>
      <c r="Q83" s="442">
        <f>COUNTIF('Hedef Liste'!$A:$A,A83)</f>
        <v>0</v>
      </c>
    </row>
    <row r="84" hidden="1">
      <c r="A84" s="150" t="s">
        <v>863</v>
      </c>
      <c r="B84" s="150" t="s">
        <v>4596</v>
      </c>
      <c r="C84" s="439" t="s">
        <v>4483</v>
      </c>
      <c r="D84" s="150" t="s">
        <v>2867</v>
      </c>
      <c r="E84" s="440">
        <v>11666.0</v>
      </c>
      <c r="F84" s="440">
        <v>139.0</v>
      </c>
      <c r="G84" s="440">
        <v>21.0</v>
      </c>
      <c r="H84" s="440">
        <v>34.0</v>
      </c>
      <c r="I84" s="440">
        <v>55.0</v>
      </c>
      <c r="J84" s="441">
        <v>0.38</v>
      </c>
      <c r="K84" s="150" t="s">
        <v>4597</v>
      </c>
      <c r="L84" s="150">
        <v>2.229991844E9</v>
      </c>
      <c r="M84" s="150" t="s">
        <v>2666</v>
      </c>
      <c r="N84" s="150" t="s">
        <v>2855</v>
      </c>
      <c r="O84" s="150" t="s">
        <v>862</v>
      </c>
      <c r="P84" s="150" t="s">
        <v>4484</v>
      </c>
      <c r="Q84" s="442">
        <f>COUNTIF('Hedef Liste'!$A:$A,A84)</f>
        <v>1</v>
      </c>
    </row>
    <row r="85" hidden="1">
      <c r="A85" s="150" t="s">
        <v>4598</v>
      </c>
      <c r="B85" s="150" t="s">
        <v>4599</v>
      </c>
      <c r="C85" s="439" t="s">
        <v>4483</v>
      </c>
      <c r="D85" s="150" t="s">
        <v>2773</v>
      </c>
      <c r="E85" s="440">
        <v>13585.0</v>
      </c>
      <c r="F85" s="440">
        <v>455.0</v>
      </c>
      <c r="G85" s="440">
        <v>63.0</v>
      </c>
      <c r="H85" s="440">
        <v>9.0</v>
      </c>
      <c r="I85" s="440">
        <v>72.0</v>
      </c>
      <c r="J85" s="441">
        <v>0.88</v>
      </c>
      <c r="K85" s="150" t="s">
        <v>4567</v>
      </c>
      <c r="L85" s="150">
        <v>5.415451368E9</v>
      </c>
      <c r="M85" s="150" t="s">
        <v>2666</v>
      </c>
      <c r="N85" s="150" t="s">
        <v>2721</v>
      </c>
      <c r="O85" s="150" t="s">
        <v>4600</v>
      </c>
      <c r="P85" s="150" t="s">
        <v>4512</v>
      </c>
      <c r="Q85" s="442">
        <f>COUNTIF('Hedef Liste'!$A:$A,A85)</f>
        <v>0</v>
      </c>
    </row>
    <row r="86" hidden="1">
      <c r="A86" s="150" t="s">
        <v>1733</v>
      </c>
      <c r="B86" s="150" t="s">
        <v>4601</v>
      </c>
      <c r="C86" s="439" t="s">
        <v>4483</v>
      </c>
      <c r="D86" s="150" t="s">
        <v>2904</v>
      </c>
      <c r="E86" s="440">
        <v>8243.0</v>
      </c>
      <c r="F86" s="440">
        <v>272.0</v>
      </c>
      <c r="G86" s="440">
        <v>10.0</v>
      </c>
      <c r="H86" s="440">
        <v>22.0</v>
      </c>
      <c r="I86" s="440">
        <v>32.0</v>
      </c>
      <c r="J86" s="441">
        <v>0.31</v>
      </c>
      <c r="K86" s="150" t="s">
        <v>4174</v>
      </c>
      <c r="L86" s="150">
        <v>5.050895007E9</v>
      </c>
      <c r="M86" s="150" t="s">
        <v>1450</v>
      </c>
      <c r="N86" s="150" t="s">
        <v>2732</v>
      </c>
      <c r="O86" s="150" t="s">
        <v>1736</v>
      </c>
      <c r="P86" s="150" t="s">
        <v>4484</v>
      </c>
      <c r="Q86" s="442">
        <f>COUNTIF('Hedef Liste'!$A:$A,A86)</f>
        <v>1</v>
      </c>
    </row>
    <row r="87" hidden="1">
      <c r="A87" s="150" t="s">
        <v>3565</v>
      </c>
      <c r="B87" s="150" t="s">
        <v>3566</v>
      </c>
      <c r="C87" s="439" t="s">
        <v>4483</v>
      </c>
      <c r="D87" s="150" t="s">
        <v>3561</v>
      </c>
      <c r="E87" s="440">
        <v>7408.0</v>
      </c>
      <c r="F87" s="440">
        <v>163.0</v>
      </c>
      <c r="G87" s="440">
        <v>0.0</v>
      </c>
      <c r="H87" s="440">
        <v>65.0</v>
      </c>
      <c r="I87" s="440">
        <v>65.0</v>
      </c>
      <c r="J87" s="441">
        <v>0.0</v>
      </c>
      <c r="K87" s="150" t="s">
        <v>4602</v>
      </c>
      <c r="L87" s="150">
        <v>5.304924953E9</v>
      </c>
      <c r="M87" s="150" t="s">
        <v>2666</v>
      </c>
      <c r="N87" s="150" t="s">
        <v>2801</v>
      </c>
      <c r="O87" s="150" t="s">
        <v>3567</v>
      </c>
      <c r="P87" s="150" t="s">
        <v>4484</v>
      </c>
      <c r="Q87" s="442">
        <f>COUNTIF('Hedef Liste'!$A:$A,A87)</f>
        <v>1</v>
      </c>
    </row>
    <row r="88" hidden="1">
      <c r="A88" s="150" t="s">
        <v>2917</v>
      </c>
      <c r="B88" s="150" t="s">
        <v>2918</v>
      </c>
      <c r="C88" s="439" t="s">
        <v>4483</v>
      </c>
      <c r="D88" s="150" t="s">
        <v>2658</v>
      </c>
      <c r="E88" s="440">
        <v>1120.0</v>
      </c>
      <c r="F88" s="440">
        <v>22.0</v>
      </c>
      <c r="G88" s="440">
        <v>0.0</v>
      </c>
      <c r="H88" s="440">
        <v>22.0</v>
      </c>
      <c r="I88" s="440">
        <v>22.0</v>
      </c>
      <c r="J88" s="441">
        <v>0.0</v>
      </c>
      <c r="K88" s="150" t="s">
        <v>4603</v>
      </c>
      <c r="L88" s="150">
        <v>5.37744926E9</v>
      </c>
      <c r="M88" s="150" t="s">
        <v>2666</v>
      </c>
      <c r="N88" s="150" t="s">
        <v>2667</v>
      </c>
      <c r="O88" s="150" t="s">
        <v>2919</v>
      </c>
      <c r="P88" s="150" t="s">
        <v>4484</v>
      </c>
      <c r="Q88" s="442">
        <f>COUNTIF('Hedef Liste'!$A:$A,A88)</f>
        <v>1</v>
      </c>
    </row>
    <row r="89" hidden="1">
      <c r="A89" s="150" t="s">
        <v>395</v>
      </c>
      <c r="B89" s="150" t="s">
        <v>396</v>
      </c>
      <c r="C89" s="439" t="s">
        <v>4483</v>
      </c>
      <c r="D89" s="150" t="s">
        <v>2658</v>
      </c>
      <c r="E89" s="440">
        <v>6250.0</v>
      </c>
      <c r="F89" s="440">
        <v>166.0</v>
      </c>
      <c r="G89" s="440">
        <v>10.0</v>
      </c>
      <c r="H89" s="440">
        <v>22.0</v>
      </c>
      <c r="I89" s="440">
        <v>32.0</v>
      </c>
      <c r="J89" s="441">
        <v>0.31</v>
      </c>
      <c r="K89" s="150" t="s">
        <v>4604</v>
      </c>
      <c r="L89" s="150">
        <v>2.222392537E9</v>
      </c>
      <c r="M89" s="150" t="s">
        <v>1450</v>
      </c>
      <c r="N89" s="150" t="s">
        <v>2732</v>
      </c>
      <c r="O89" s="150" t="s">
        <v>398</v>
      </c>
      <c r="P89" s="150" t="s">
        <v>4484</v>
      </c>
      <c r="Q89" s="442">
        <f>COUNTIF('Hedef Liste'!$A:$A,A89)</f>
        <v>1</v>
      </c>
    </row>
    <row r="90" hidden="1">
      <c r="A90" s="150" t="s">
        <v>2562</v>
      </c>
      <c r="B90" s="150" t="s">
        <v>2563</v>
      </c>
      <c r="C90" s="439" t="s">
        <v>4483</v>
      </c>
      <c r="D90" s="150" t="s">
        <v>2763</v>
      </c>
      <c r="E90" s="440">
        <v>1488.0</v>
      </c>
      <c r="F90" s="440">
        <v>115.0</v>
      </c>
      <c r="G90" s="440">
        <v>0.0</v>
      </c>
      <c r="H90" s="440">
        <v>56.0</v>
      </c>
      <c r="I90" s="440">
        <v>56.0</v>
      </c>
      <c r="J90" s="441">
        <v>0.0</v>
      </c>
      <c r="K90" s="150" t="s">
        <v>4605</v>
      </c>
      <c r="L90" s="150">
        <v>5.366659079E9</v>
      </c>
      <c r="M90" s="150" t="s">
        <v>1450</v>
      </c>
      <c r="N90" s="150" t="s">
        <v>2950</v>
      </c>
      <c r="O90" s="150" t="s">
        <v>3597</v>
      </c>
      <c r="P90" s="150" t="s">
        <v>4484</v>
      </c>
      <c r="Q90" s="442">
        <f>COUNTIF('Hedef Liste'!$A:$A,A90)</f>
        <v>1</v>
      </c>
    </row>
    <row r="91" hidden="1">
      <c r="A91" s="150" t="s">
        <v>662</v>
      </c>
      <c r="B91" s="150" t="s">
        <v>663</v>
      </c>
      <c r="C91" s="439" t="s">
        <v>4483</v>
      </c>
      <c r="D91" s="150" t="s">
        <v>2664</v>
      </c>
      <c r="E91" s="440">
        <v>2104.0</v>
      </c>
      <c r="F91" s="440">
        <v>17.0</v>
      </c>
      <c r="G91" s="440">
        <v>33.0</v>
      </c>
      <c r="H91" s="440">
        <v>53.0</v>
      </c>
      <c r="I91" s="440">
        <v>86.0</v>
      </c>
      <c r="J91" s="441">
        <v>0.38</v>
      </c>
      <c r="K91" s="150" t="s">
        <v>4606</v>
      </c>
      <c r="L91" s="150">
        <v>2.223303031E9</v>
      </c>
      <c r="M91" s="150" t="s">
        <v>2666</v>
      </c>
      <c r="N91" s="150" t="s">
        <v>2667</v>
      </c>
      <c r="O91" s="150" t="s">
        <v>664</v>
      </c>
      <c r="P91" s="150" t="s">
        <v>4484</v>
      </c>
      <c r="Q91" s="442">
        <f>COUNTIF('Hedef Liste'!$A:$A,A91)</f>
        <v>1</v>
      </c>
    </row>
    <row r="92" hidden="1">
      <c r="A92" s="150" t="s">
        <v>634</v>
      </c>
      <c r="B92" s="150" t="s">
        <v>635</v>
      </c>
      <c r="C92" s="439" t="s">
        <v>4483</v>
      </c>
      <c r="D92" s="150" t="s">
        <v>2658</v>
      </c>
      <c r="E92" s="440">
        <v>1009.0</v>
      </c>
      <c r="F92" s="440">
        <v>50.0</v>
      </c>
      <c r="G92" s="440">
        <v>12.0</v>
      </c>
      <c r="H92" s="440">
        <v>18.0</v>
      </c>
      <c r="I92" s="440">
        <v>30.0</v>
      </c>
      <c r="J92" s="441">
        <v>0.4</v>
      </c>
      <c r="K92" s="150" t="s">
        <v>4607</v>
      </c>
      <c r="L92" s="150">
        <v>5.444717658E9</v>
      </c>
      <c r="M92" s="150" t="s">
        <v>1450</v>
      </c>
      <c r="N92" s="150" t="s">
        <v>2703</v>
      </c>
      <c r="O92" s="150" t="s">
        <v>637</v>
      </c>
      <c r="P92" s="150" t="s">
        <v>4484</v>
      </c>
      <c r="Q92" s="442">
        <f>COUNTIF('Hedef Liste'!$A:$A,A92)</f>
        <v>1</v>
      </c>
    </row>
    <row r="93" hidden="1">
      <c r="A93" s="150" t="s">
        <v>212</v>
      </c>
      <c r="B93" s="150" t="s">
        <v>213</v>
      </c>
      <c r="C93" s="439" t="s">
        <v>4483</v>
      </c>
      <c r="D93" s="150" t="s">
        <v>2664</v>
      </c>
      <c r="E93" s="440">
        <v>29122.0</v>
      </c>
      <c r="F93" s="440">
        <v>1346.0</v>
      </c>
      <c r="G93" s="440">
        <v>32.0</v>
      </c>
      <c r="H93" s="440">
        <v>6.0</v>
      </c>
      <c r="I93" s="440">
        <v>38.0</v>
      </c>
      <c r="J93" s="441">
        <v>0.84</v>
      </c>
      <c r="K93" s="150" t="s">
        <v>3064</v>
      </c>
      <c r="L93" s="150">
        <v>2.223353516E9</v>
      </c>
      <c r="M93" s="150" t="s">
        <v>2666</v>
      </c>
      <c r="N93" s="150" t="s">
        <v>2750</v>
      </c>
      <c r="O93" s="150" t="s">
        <v>216</v>
      </c>
      <c r="P93" s="150" t="s">
        <v>4484</v>
      </c>
      <c r="Q93" s="442">
        <f>COUNTIF('Hedef Liste'!$A:$A,A93)</f>
        <v>1</v>
      </c>
    </row>
    <row r="94" hidden="1">
      <c r="A94" s="150" t="s">
        <v>14</v>
      </c>
      <c r="B94" s="150" t="s">
        <v>15</v>
      </c>
      <c r="C94" s="439" t="s">
        <v>4483</v>
      </c>
      <c r="D94" s="150" t="s">
        <v>2773</v>
      </c>
      <c r="E94" s="440">
        <v>2436.0</v>
      </c>
      <c r="F94" s="440">
        <v>90.0</v>
      </c>
      <c r="G94" s="440">
        <v>14.0</v>
      </c>
      <c r="H94" s="440">
        <v>5.0</v>
      </c>
      <c r="I94" s="440">
        <v>19.0</v>
      </c>
      <c r="J94" s="441">
        <v>0.74</v>
      </c>
      <c r="K94" s="150" t="s">
        <v>4608</v>
      </c>
      <c r="L94" s="150">
        <v>5.30830258E9</v>
      </c>
      <c r="M94" s="150" t="s">
        <v>2666</v>
      </c>
      <c r="N94" s="150" t="s">
        <v>2721</v>
      </c>
      <c r="O94" s="150" t="s">
        <v>19</v>
      </c>
      <c r="P94" s="150" t="s">
        <v>4484</v>
      </c>
      <c r="Q94" s="442">
        <f>COUNTIF('Hedef Liste'!$A:$A,A94)</f>
        <v>1</v>
      </c>
    </row>
    <row r="95" hidden="1">
      <c r="A95" s="150" t="s">
        <v>4609</v>
      </c>
      <c r="B95" s="150" t="s">
        <v>4610</v>
      </c>
      <c r="C95" s="439" t="s">
        <v>4483</v>
      </c>
      <c r="D95" s="150" t="s">
        <v>2773</v>
      </c>
      <c r="E95" s="440">
        <v>4250.0</v>
      </c>
      <c r="F95" s="440">
        <v>122.0</v>
      </c>
      <c r="G95" s="440">
        <v>69.0</v>
      </c>
      <c r="H95" s="440">
        <v>2.0</v>
      </c>
      <c r="I95" s="440">
        <v>71.0</v>
      </c>
      <c r="J95" s="441">
        <v>0.97</v>
      </c>
      <c r="K95" s="150" t="s">
        <v>4567</v>
      </c>
      <c r="L95" s="150">
        <v>2.222253343E9</v>
      </c>
      <c r="M95" s="150" t="s">
        <v>1450</v>
      </c>
      <c r="N95" s="150" t="s">
        <v>2795</v>
      </c>
      <c r="O95" s="150" t="s">
        <v>4611</v>
      </c>
      <c r="P95" s="150" t="s">
        <v>4512</v>
      </c>
      <c r="Q95" s="442">
        <f>COUNTIF('Hedef Liste'!$A:$A,A95)</f>
        <v>0</v>
      </c>
    </row>
    <row r="96" hidden="1">
      <c r="A96" s="150" t="s">
        <v>4612</v>
      </c>
      <c r="B96" s="150" t="s">
        <v>4613</v>
      </c>
      <c r="C96" s="439" t="s">
        <v>4483</v>
      </c>
      <c r="D96" s="150" t="s">
        <v>2773</v>
      </c>
      <c r="E96" s="440">
        <v>3769.0</v>
      </c>
      <c r="F96" s="440">
        <v>93.0</v>
      </c>
      <c r="G96" s="440">
        <v>72.0</v>
      </c>
      <c r="H96" s="440">
        <v>5.0</v>
      </c>
      <c r="I96" s="440">
        <v>77.0</v>
      </c>
      <c r="J96" s="441">
        <v>0.94</v>
      </c>
      <c r="K96" s="150" t="s">
        <v>4567</v>
      </c>
      <c r="L96" s="150">
        <v>2.222393837E9</v>
      </c>
      <c r="M96" s="150" t="s">
        <v>1450</v>
      </c>
      <c r="N96" s="150" t="s">
        <v>3688</v>
      </c>
      <c r="O96" s="150" t="s">
        <v>4614</v>
      </c>
      <c r="P96" s="150" t="s">
        <v>4512</v>
      </c>
      <c r="Q96" s="442">
        <f>COUNTIF('Hedef Liste'!$A:$A,A96)</f>
        <v>0</v>
      </c>
    </row>
    <row r="97" hidden="1">
      <c r="A97" s="150" t="s">
        <v>4615</v>
      </c>
      <c r="B97" s="150" t="s">
        <v>4616</v>
      </c>
      <c r="C97" s="439" t="s">
        <v>4483</v>
      </c>
      <c r="D97" s="150" t="s">
        <v>2773</v>
      </c>
      <c r="E97" s="440">
        <v>4094.0</v>
      </c>
      <c r="F97" s="440">
        <v>57.0</v>
      </c>
      <c r="G97" s="440">
        <v>87.0</v>
      </c>
      <c r="H97" s="440">
        <v>6.0</v>
      </c>
      <c r="I97" s="440">
        <v>93.0</v>
      </c>
      <c r="J97" s="441">
        <v>0.94</v>
      </c>
      <c r="K97" s="150" t="s">
        <v>4567</v>
      </c>
      <c r="L97" s="150">
        <v>2.222343443E9</v>
      </c>
      <c r="M97" s="150" t="s">
        <v>2666</v>
      </c>
      <c r="N97" s="150" t="s">
        <v>2667</v>
      </c>
      <c r="O97" s="150" t="s">
        <v>4617</v>
      </c>
      <c r="P97" s="150" t="s">
        <v>4512</v>
      </c>
      <c r="Q97" s="442">
        <f>COUNTIF('Hedef Liste'!$A:$A,A97)</f>
        <v>0</v>
      </c>
    </row>
    <row r="98" hidden="1">
      <c r="A98" s="150" t="s">
        <v>3135</v>
      </c>
      <c r="B98" s="150" t="s">
        <v>4618</v>
      </c>
      <c r="C98" s="439" t="s">
        <v>4483</v>
      </c>
      <c r="D98" s="150" t="s">
        <v>2867</v>
      </c>
      <c r="E98" s="440">
        <v>789.0</v>
      </c>
      <c r="F98" s="440">
        <v>18.0</v>
      </c>
      <c r="G98" s="440">
        <v>0.0</v>
      </c>
      <c r="H98" s="440">
        <v>80.0</v>
      </c>
      <c r="I98" s="440">
        <v>80.0</v>
      </c>
      <c r="J98" s="441">
        <v>0.0</v>
      </c>
      <c r="K98" s="150" t="s">
        <v>4619</v>
      </c>
      <c r="L98" s="150">
        <v>2.222203366E9</v>
      </c>
      <c r="M98" s="150" t="s">
        <v>1450</v>
      </c>
      <c r="N98" s="150" t="s">
        <v>2707</v>
      </c>
      <c r="O98" s="150" t="s">
        <v>3137</v>
      </c>
      <c r="P98" s="150" t="s">
        <v>4484</v>
      </c>
      <c r="Q98" s="442">
        <f>COUNTIF('Hedef Liste'!$A:$A,A98)</f>
        <v>1</v>
      </c>
    </row>
    <row r="99" hidden="1">
      <c r="A99" s="150" t="s">
        <v>474</v>
      </c>
      <c r="B99" s="150" t="s">
        <v>4620</v>
      </c>
      <c r="C99" s="439" t="s">
        <v>4483</v>
      </c>
      <c r="D99" s="150" t="s">
        <v>2867</v>
      </c>
      <c r="E99" s="440">
        <v>5870.0</v>
      </c>
      <c r="F99" s="440">
        <v>142.0</v>
      </c>
      <c r="G99" s="440">
        <v>40.0</v>
      </c>
      <c r="H99" s="440">
        <v>49.0</v>
      </c>
      <c r="I99" s="440">
        <v>89.0</v>
      </c>
      <c r="J99" s="441">
        <v>0.45</v>
      </c>
      <c r="K99" s="150" t="s">
        <v>4621</v>
      </c>
      <c r="L99" s="150">
        <v>5.333715309E9</v>
      </c>
      <c r="M99" s="150" t="s">
        <v>1450</v>
      </c>
      <c r="N99" s="150" t="s">
        <v>2732</v>
      </c>
      <c r="O99" s="150" t="s">
        <v>477</v>
      </c>
      <c r="P99" s="150" t="s">
        <v>4484</v>
      </c>
      <c r="Q99" s="442">
        <f>COUNTIF('Hedef Liste'!$A:$A,A99)</f>
        <v>1</v>
      </c>
    </row>
    <row r="100" hidden="1">
      <c r="A100" s="150" t="s">
        <v>4622</v>
      </c>
      <c r="B100" s="150" t="s">
        <v>4623</v>
      </c>
      <c r="C100" s="439" t="s">
        <v>4483</v>
      </c>
      <c r="D100" s="150" t="s">
        <v>2773</v>
      </c>
      <c r="E100" s="440">
        <v>720.0</v>
      </c>
      <c r="F100" s="440">
        <v>39.0</v>
      </c>
      <c r="G100" s="440">
        <v>114.0</v>
      </c>
      <c r="H100" s="440">
        <v>4.0</v>
      </c>
      <c r="I100" s="440">
        <v>118.0</v>
      </c>
      <c r="J100" s="441">
        <v>0.97</v>
      </c>
      <c r="K100" s="150" t="s">
        <v>4567</v>
      </c>
      <c r="L100" s="150">
        <v>2.222333385E9</v>
      </c>
      <c r="M100" s="150" t="s">
        <v>1450</v>
      </c>
      <c r="N100" s="150" t="s">
        <v>2659</v>
      </c>
      <c r="O100" s="150" t="s">
        <v>4624</v>
      </c>
      <c r="P100" s="150" t="s">
        <v>4512</v>
      </c>
      <c r="Q100" s="442">
        <f>COUNTIF('Hedef Liste'!$A:$A,A100)</f>
        <v>0</v>
      </c>
    </row>
    <row r="101" hidden="1">
      <c r="A101" s="150" t="s">
        <v>3529</v>
      </c>
      <c r="B101" s="150" t="s">
        <v>3530</v>
      </c>
      <c r="C101" s="439" t="s">
        <v>4483</v>
      </c>
      <c r="D101" s="150" t="s">
        <v>2724</v>
      </c>
      <c r="E101" s="440">
        <v>6302.0</v>
      </c>
      <c r="F101" s="440">
        <v>176.0</v>
      </c>
      <c r="G101" s="440">
        <v>0.0</v>
      </c>
      <c r="H101" s="440">
        <v>69.0</v>
      </c>
      <c r="I101" s="440">
        <v>69.0</v>
      </c>
      <c r="J101" s="441">
        <v>0.0</v>
      </c>
      <c r="K101" s="150" t="s">
        <v>4625</v>
      </c>
      <c r="L101" s="150">
        <v>2.223151551E9</v>
      </c>
      <c r="M101" s="150" t="s">
        <v>2666</v>
      </c>
      <c r="N101" s="150" t="s">
        <v>2685</v>
      </c>
      <c r="O101" s="150" t="s">
        <v>3531</v>
      </c>
      <c r="P101" s="150" t="s">
        <v>4484</v>
      </c>
      <c r="Q101" s="442">
        <f>COUNTIF('Hedef Liste'!$A:$A,A101)</f>
        <v>1</v>
      </c>
    </row>
    <row r="102" hidden="1">
      <c r="A102" s="150" t="s">
        <v>202</v>
      </c>
      <c r="B102" s="150" t="s">
        <v>203</v>
      </c>
      <c r="C102" s="439" t="s">
        <v>4483</v>
      </c>
      <c r="D102" s="150" t="s">
        <v>2696</v>
      </c>
      <c r="E102" s="440">
        <v>1358.0</v>
      </c>
      <c r="F102" s="440">
        <v>21.0</v>
      </c>
      <c r="G102" s="440">
        <v>10.0</v>
      </c>
      <c r="H102" s="440">
        <v>11.0</v>
      </c>
      <c r="I102" s="440">
        <v>21.0</v>
      </c>
      <c r="J102" s="441">
        <v>0.48</v>
      </c>
      <c r="K102" s="150" t="s">
        <v>4626</v>
      </c>
      <c r="L102" s="150">
        <v>2.223208202E9</v>
      </c>
      <c r="M102" s="150" t="s">
        <v>2666</v>
      </c>
      <c r="N102" s="150" t="s">
        <v>2685</v>
      </c>
      <c r="O102" s="150" t="s">
        <v>206</v>
      </c>
      <c r="P102" s="150" t="s">
        <v>4484</v>
      </c>
      <c r="Q102" s="442">
        <f>COUNTIF('Hedef Liste'!$A:$A,A102)</f>
        <v>1</v>
      </c>
    </row>
    <row r="103" hidden="1">
      <c r="A103" s="150" t="s">
        <v>4627</v>
      </c>
      <c r="B103" s="150" t="s">
        <v>4628</v>
      </c>
      <c r="C103" s="439" t="s">
        <v>4520</v>
      </c>
      <c r="D103" s="150" t="s">
        <v>2724</v>
      </c>
      <c r="E103" s="440">
        <v>247.0</v>
      </c>
      <c r="F103" s="443"/>
      <c r="G103" s="440">
        <v>73.0</v>
      </c>
      <c r="H103" s="440">
        <v>22.0</v>
      </c>
      <c r="I103" s="440">
        <v>95.0</v>
      </c>
      <c r="J103" s="441">
        <v>0.77</v>
      </c>
      <c r="K103" s="150" t="s">
        <v>4629</v>
      </c>
      <c r="L103" s="150">
        <v>2.223330002E9</v>
      </c>
      <c r="M103" s="150" t="s">
        <v>2666</v>
      </c>
      <c r="N103" s="150" t="s">
        <v>2682</v>
      </c>
      <c r="O103" s="150" t="s">
        <v>4630</v>
      </c>
      <c r="P103" s="150" t="s">
        <v>4512</v>
      </c>
      <c r="Q103" s="442">
        <f>COUNTIF('Hedef Liste'!$A:$A,A103)</f>
        <v>0</v>
      </c>
    </row>
    <row r="104" hidden="1">
      <c r="A104" s="150" t="s">
        <v>165</v>
      </c>
      <c r="B104" s="150" t="s">
        <v>166</v>
      </c>
      <c r="C104" s="439" t="s">
        <v>4483</v>
      </c>
      <c r="D104" s="150" t="s">
        <v>2664</v>
      </c>
      <c r="E104" s="440">
        <v>11739.0</v>
      </c>
      <c r="F104" s="440">
        <v>441.0</v>
      </c>
      <c r="G104" s="440">
        <v>13.0</v>
      </c>
      <c r="H104" s="440">
        <v>19.0</v>
      </c>
      <c r="I104" s="440">
        <v>32.0</v>
      </c>
      <c r="J104" s="441">
        <v>0.41</v>
      </c>
      <c r="K104" s="150" t="s">
        <v>4631</v>
      </c>
      <c r="L104" s="150">
        <v>5.394822214E9</v>
      </c>
      <c r="M104" s="150" t="s">
        <v>2666</v>
      </c>
      <c r="N104" s="150" t="s">
        <v>2801</v>
      </c>
      <c r="O104" s="150" t="s">
        <v>169</v>
      </c>
      <c r="P104" s="150" t="s">
        <v>4484</v>
      </c>
      <c r="Q104" s="442">
        <f>COUNTIF('Hedef Liste'!$A:$A,A104)</f>
        <v>1</v>
      </c>
    </row>
    <row r="105" hidden="1">
      <c r="A105" s="150" t="s">
        <v>665</v>
      </c>
      <c r="B105" s="150" t="s">
        <v>666</v>
      </c>
      <c r="C105" s="439" t="s">
        <v>4483</v>
      </c>
      <c r="D105" s="150" t="s">
        <v>2696</v>
      </c>
      <c r="E105" s="440">
        <v>3166.0</v>
      </c>
      <c r="F105" s="440">
        <v>14.0</v>
      </c>
      <c r="G105" s="440">
        <v>10.0</v>
      </c>
      <c r="H105" s="440">
        <v>36.0</v>
      </c>
      <c r="I105" s="440">
        <v>46.0</v>
      </c>
      <c r="J105" s="441">
        <v>0.22</v>
      </c>
      <c r="K105" s="150" t="s">
        <v>3082</v>
      </c>
      <c r="L105" s="150">
        <v>2.225028686E9</v>
      </c>
      <c r="M105" s="150" t="s">
        <v>2666</v>
      </c>
      <c r="N105" s="150" t="s">
        <v>2721</v>
      </c>
      <c r="O105" s="150" t="s">
        <v>668</v>
      </c>
      <c r="P105" s="150" t="s">
        <v>4484</v>
      </c>
      <c r="Q105" s="442">
        <f>COUNTIF('Hedef Liste'!$A:$A,A105)</f>
        <v>1</v>
      </c>
    </row>
    <row r="106" hidden="1">
      <c r="A106" s="150" t="s">
        <v>437</v>
      </c>
      <c r="B106" s="150" t="s">
        <v>438</v>
      </c>
      <c r="C106" s="439" t="s">
        <v>4483</v>
      </c>
      <c r="D106" s="150" t="s">
        <v>2773</v>
      </c>
      <c r="E106" s="440">
        <v>1716.0</v>
      </c>
      <c r="F106" s="440">
        <v>10.0</v>
      </c>
      <c r="G106" s="440">
        <v>46.0</v>
      </c>
      <c r="H106" s="440">
        <v>1.0</v>
      </c>
      <c r="I106" s="440">
        <v>47.0</v>
      </c>
      <c r="J106" s="441">
        <v>0.98</v>
      </c>
      <c r="K106" s="150" t="s">
        <v>4632</v>
      </c>
      <c r="L106" s="150">
        <v>2.226060775E9</v>
      </c>
      <c r="M106" s="150" t="s">
        <v>2666</v>
      </c>
      <c r="N106" s="150" t="s">
        <v>2721</v>
      </c>
      <c r="O106" s="150" t="s">
        <v>439</v>
      </c>
      <c r="P106" s="150" t="s">
        <v>4484</v>
      </c>
      <c r="Q106" s="442">
        <f>COUNTIF('Hedef Liste'!$A:$A,A106)</f>
        <v>1</v>
      </c>
    </row>
    <row r="107" hidden="1">
      <c r="A107" s="150" t="s">
        <v>1181</v>
      </c>
      <c r="B107" s="150" t="s">
        <v>1182</v>
      </c>
      <c r="C107" s="439" t="s">
        <v>4483</v>
      </c>
      <c r="D107" s="150" t="s">
        <v>2701</v>
      </c>
      <c r="E107" s="440">
        <v>5604.0</v>
      </c>
      <c r="F107" s="440">
        <v>183.0</v>
      </c>
      <c r="G107" s="440">
        <v>33.0</v>
      </c>
      <c r="H107" s="440">
        <v>65.0</v>
      </c>
      <c r="I107" s="440">
        <v>98.0</v>
      </c>
      <c r="J107" s="441">
        <v>0.34</v>
      </c>
      <c r="K107" s="150" t="s">
        <v>4633</v>
      </c>
      <c r="L107" s="150">
        <v>5.526238262E9</v>
      </c>
      <c r="M107" s="150" t="s">
        <v>2666</v>
      </c>
      <c r="N107" s="150" t="s">
        <v>3846</v>
      </c>
      <c r="O107" s="150" t="s">
        <v>1185</v>
      </c>
      <c r="P107" s="150" t="s">
        <v>4484</v>
      </c>
      <c r="Q107" s="442">
        <f>COUNTIF('Hedef Liste'!$A:$A,A107)</f>
        <v>1</v>
      </c>
    </row>
    <row r="108" hidden="1">
      <c r="A108" s="150" t="s">
        <v>467</v>
      </c>
      <c r="B108" s="150" t="s">
        <v>468</v>
      </c>
      <c r="C108" s="439" t="s">
        <v>4483</v>
      </c>
      <c r="D108" s="150" t="s">
        <v>2664</v>
      </c>
      <c r="E108" s="440">
        <v>8891.0</v>
      </c>
      <c r="F108" s="440">
        <v>352.0</v>
      </c>
      <c r="G108" s="440">
        <v>21.0</v>
      </c>
      <c r="H108" s="440">
        <v>28.0</v>
      </c>
      <c r="I108" s="440">
        <v>49.0</v>
      </c>
      <c r="J108" s="441">
        <v>0.43</v>
      </c>
      <c r="K108" s="150" t="s">
        <v>4533</v>
      </c>
      <c r="L108" s="150">
        <v>5.526323288E9</v>
      </c>
      <c r="M108" s="150" t="s">
        <v>1450</v>
      </c>
      <c r="N108" s="150" t="s">
        <v>2732</v>
      </c>
      <c r="O108" s="150" t="s">
        <v>4534</v>
      </c>
      <c r="P108" s="150" t="s">
        <v>4484</v>
      </c>
      <c r="Q108" s="442">
        <f>COUNTIF('Hedef Liste'!$A:$A,A108)</f>
        <v>1</v>
      </c>
    </row>
    <row r="109" hidden="1">
      <c r="A109" s="150" t="s">
        <v>4024</v>
      </c>
      <c r="B109" s="150" t="s">
        <v>4025</v>
      </c>
      <c r="C109" s="439" t="s">
        <v>4483</v>
      </c>
      <c r="D109" s="150" t="s">
        <v>2664</v>
      </c>
      <c r="E109" s="440">
        <v>3919.0</v>
      </c>
      <c r="F109" s="443"/>
      <c r="G109" s="440">
        <v>14.0</v>
      </c>
      <c r="H109" s="440">
        <v>10.0</v>
      </c>
      <c r="I109" s="440">
        <v>24.0</v>
      </c>
      <c r="J109" s="441">
        <v>0.58</v>
      </c>
      <c r="K109" s="150" t="s">
        <v>4634</v>
      </c>
      <c r="L109" s="150">
        <v>5.372088183E9</v>
      </c>
      <c r="M109" s="150" t="s">
        <v>2666</v>
      </c>
      <c r="N109" s="150" t="s">
        <v>2682</v>
      </c>
      <c r="O109" s="150" t="s">
        <v>4026</v>
      </c>
      <c r="P109" s="150" t="s">
        <v>4484</v>
      </c>
      <c r="Q109" s="442">
        <f>COUNTIF('Hedef Liste'!$A:$A,A109)</f>
        <v>1</v>
      </c>
    </row>
    <row r="110" hidden="1">
      <c r="A110" s="150" t="s">
        <v>335</v>
      </c>
      <c r="B110" s="150" t="s">
        <v>336</v>
      </c>
      <c r="C110" s="439" t="s">
        <v>4520</v>
      </c>
      <c r="D110" s="150" t="s">
        <v>3145</v>
      </c>
      <c r="E110" s="440">
        <v>3294.0</v>
      </c>
      <c r="F110" s="443"/>
      <c r="G110" s="440">
        <v>3.0</v>
      </c>
      <c r="H110" s="440">
        <v>48.0</v>
      </c>
      <c r="I110" s="440">
        <v>51.0</v>
      </c>
      <c r="J110" s="441">
        <v>0.06</v>
      </c>
      <c r="K110" s="150" t="s">
        <v>4635</v>
      </c>
      <c r="L110" s="150">
        <v>5.079519127E9</v>
      </c>
      <c r="M110" s="150" t="s">
        <v>2666</v>
      </c>
      <c r="N110" s="150" t="s">
        <v>2682</v>
      </c>
      <c r="O110" s="150" t="s">
        <v>339</v>
      </c>
      <c r="P110" s="150" t="s">
        <v>4484</v>
      </c>
      <c r="Q110" s="442">
        <f>COUNTIF('Hedef Liste'!$A:$A,A110)</f>
        <v>1</v>
      </c>
    </row>
    <row r="111" hidden="1">
      <c r="A111" s="150" t="s">
        <v>3055</v>
      </c>
      <c r="B111" s="150" t="s">
        <v>3056</v>
      </c>
      <c r="C111" s="439" t="s">
        <v>4483</v>
      </c>
      <c r="D111" s="150" t="s">
        <v>2696</v>
      </c>
      <c r="E111" s="440">
        <v>7231.0</v>
      </c>
      <c r="F111" s="440">
        <v>338.0</v>
      </c>
      <c r="G111" s="440">
        <v>0.0</v>
      </c>
      <c r="H111" s="440">
        <v>59.0</v>
      </c>
      <c r="I111" s="440">
        <v>59.0</v>
      </c>
      <c r="J111" s="441">
        <v>0.0</v>
      </c>
      <c r="K111" s="150" t="s">
        <v>3049</v>
      </c>
      <c r="L111" s="150">
        <v>2.2223989E9</v>
      </c>
      <c r="M111" s="150" t="s">
        <v>1450</v>
      </c>
      <c r="N111" s="150" t="s">
        <v>2732</v>
      </c>
      <c r="O111" s="150" t="s">
        <v>3050</v>
      </c>
      <c r="P111" s="150" t="s">
        <v>4484</v>
      </c>
      <c r="Q111" s="442">
        <f>COUNTIF('Hedef Liste'!$A:$A,A111)</f>
        <v>1</v>
      </c>
    </row>
    <row r="112" hidden="1">
      <c r="A112" s="150" t="s">
        <v>3813</v>
      </c>
      <c r="B112" s="150" t="s">
        <v>3814</v>
      </c>
      <c r="C112" s="439" t="s">
        <v>4483</v>
      </c>
      <c r="D112" s="150" t="s">
        <v>2763</v>
      </c>
      <c r="E112" s="440">
        <v>8199.0</v>
      </c>
      <c r="F112" s="440">
        <v>221.0</v>
      </c>
      <c r="G112" s="440">
        <v>0.0</v>
      </c>
      <c r="H112" s="440">
        <v>37.0</v>
      </c>
      <c r="I112" s="440">
        <v>37.0</v>
      </c>
      <c r="J112" s="441">
        <v>0.0</v>
      </c>
      <c r="K112" s="150" t="s">
        <v>4636</v>
      </c>
      <c r="L112" s="150">
        <v>5.398856201E9</v>
      </c>
      <c r="M112" s="150" t="s">
        <v>2666</v>
      </c>
      <c r="N112" s="150" t="s">
        <v>2794</v>
      </c>
      <c r="O112" s="150" t="s">
        <v>3815</v>
      </c>
      <c r="P112" s="150" t="s">
        <v>4484</v>
      </c>
      <c r="Q112" s="442">
        <f>COUNTIF('Hedef Liste'!$A:$A,A112)</f>
        <v>1</v>
      </c>
    </row>
    <row r="113" hidden="1">
      <c r="A113" s="150" t="s">
        <v>2694</v>
      </c>
      <c r="B113" s="150" t="s">
        <v>2695</v>
      </c>
      <c r="C113" s="439" t="s">
        <v>4483</v>
      </c>
      <c r="D113" s="150" t="s">
        <v>2696</v>
      </c>
      <c r="E113" s="440">
        <v>2481.0</v>
      </c>
      <c r="F113" s="440">
        <v>495.0</v>
      </c>
      <c r="G113" s="440">
        <v>0.0</v>
      </c>
      <c r="H113" s="440">
        <v>47.0</v>
      </c>
      <c r="I113" s="440">
        <v>47.0</v>
      </c>
      <c r="J113" s="441">
        <v>0.0</v>
      </c>
      <c r="K113" s="150" t="s">
        <v>4542</v>
      </c>
      <c r="L113" s="150">
        <v>2.222342312E9</v>
      </c>
      <c r="M113" s="150" t="s">
        <v>2666</v>
      </c>
      <c r="N113" s="150" t="s">
        <v>2667</v>
      </c>
      <c r="O113" s="150" t="s">
        <v>2697</v>
      </c>
      <c r="P113" s="150" t="s">
        <v>4484</v>
      </c>
      <c r="Q113" s="442">
        <f>COUNTIF('Hedef Liste'!$A:$A,A113)</f>
        <v>1</v>
      </c>
    </row>
    <row r="114" hidden="1">
      <c r="A114" s="150" t="s">
        <v>3405</v>
      </c>
      <c r="B114" s="150" t="s">
        <v>3406</v>
      </c>
      <c r="C114" s="439" t="s">
        <v>4483</v>
      </c>
      <c r="D114" s="150" t="s">
        <v>2664</v>
      </c>
      <c r="E114" s="440">
        <v>2504.0</v>
      </c>
      <c r="F114" s="440">
        <v>96.0</v>
      </c>
      <c r="G114" s="440">
        <v>11.0</v>
      </c>
      <c r="H114" s="440">
        <v>127.0</v>
      </c>
      <c r="I114" s="440">
        <v>138.0</v>
      </c>
      <c r="J114" s="441">
        <v>0.08</v>
      </c>
      <c r="K114" s="150" t="s">
        <v>3651</v>
      </c>
      <c r="L114" s="150">
        <v>2.22335352E9</v>
      </c>
      <c r="M114" s="150" t="s">
        <v>2666</v>
      </c>
      <c r="N114" s="150" t="s">
        <v>4529</v>
      </c>
      <c r="O114" s="150" t="s">
        <v>572</v>
      </c>
      <c r="P114" s="150" t="s">
        <v>4484</v>
      </c>
      <c r="Q114" s="442">
        <f>COUNTIF('Hedef Liste'!$A:$A,A114)</f>
        <v>1</v>
      </c>
    </row>
    <row r="115" hidden="1">
      <c r="A115" s="150" t="s">
        <v>2831</v>
      </c>
      <c r="B115" s="150" t="s">
        <v>2832</v>
      </c>
      <c r="C115" s="439" t="s">
        <v>4483</v>
      </c>
      <c r="D115" s="150" t="s">
        <v>2658</v>
      </c>
      <c r="E115" s="440">
        <v>2928.0</v>
      </c>
      <c r="F115" s="440">
        <v>40.0</v>
      </c>
      <c r="G115" s="440">
        <v>0.0</v>
      </c>
      <c r="H115" s="440">
        <v>18.0</v>
      </c>
      <c r="I115" s="440">
        <v>18.0</v>
      </c>
      <c r="J115" s="441">
        <v>0.0</v>
      </c>
      <c r="K115" s="150" t="s">
        <v>4637</v>
      </c>
      <c r="L115" s="150">
        <v>5.415472545E9</v>
      </c>
      <c r="M115" s="150" t="s">
        <v>2666</v>
      </c>
      <c r="N115" s="150" t="s">
        <v>2721</v>
      </c>
      <c r="O115" s="150" t="s">
        <v>2833</v>
      </c>
      <c r="P115" s="150" t="s">
        <v>4484</v>
      </c>
      <c r="Q115" s="442">
        <f>COUNTIF('Hedef Liste'!$A:$A,A115)</f>
        <v>1</v>
      </c>
    </row>
    <row r="116" hidden="1">
      <c r="A116" s="150" t="s">
        <v>3058</v>
      </c>
      <c r="B116" s="150" t="s">
        <v>4638</v>
      </c>
      <c r="C116" s="439" t="s">
        <v>4483</v>
      </c>
      <c r="D116" s="150" t="s">
        <v>2724</v>
      </c>
      <c r="E116" s="440">
        <v>13499.0</v>
      </c>
      <c r="F116" s="440">
        <v>319.0</v>
      </c>
      <c r="G116" s="440">
        <v>0.0</v>
      </c>
      <c r="H116" s="440">
        <v>39.0</v>
      </c>
      <c r="I116" s="440">
        <v>39.0</v>
      </c>
      <c r="J116" s="441">
        <v>0.0</v>
      </c>
      <c r="K116" s="150" t="s">
        <v>4639</v>
      </c>
      <c r="L116" s="150">
        <v>5.452391319E9</v>
      </c>
      <c r="M116" s="150" t="s">
        <v>1450</v>
      </c>
      <c r="N116" s="150" t="s">
        <v>2732</v>
      </c>
      <c r="O116" s="150" t="s">
        <v>3060</v>
      </c>
      <c r="P116" s="150" t="s">
        <v>4484</v>
      </c>
      <c r="Q116" s="442">
        <f>COUNTIF('Hedef Liste'!$A:$A,A116)</f>
        <v>1</v>
      </c>
    </row>
    <row r="117" hidden="1">
      <c r="A117" s="150" t="s">
        <v>4218</v>
      </c>
      <c r="B117" s="150" t="s">
        <v>4219</v>
      </c>
      <c r="C117" s="439" t="s">
        <v>4483</v>
      </c>
      <c r="D117" s="150" t="s">
        <v>2904</v>
      </c>
      <c r="E117" s="440">
        <v>346.0</v>
      </c>
      <c r="F117" s="440">
        <v>8.0</v>
      </c>
      <c r="G117" s="440">
        <v>0.0</v>
      </c>
      <c r="H117" s="440">
        <v>22.0</v>
      </c>
      <c r="I117" s="440">
        <v>22.0</v>
      </c>
      <c r="J117" s="441">
        <v>0.0</v>
      </c>
      <c r="K117" s="150" t="s">
        <v>4640</v>
      </c>
      <c r="L117" s="150">
        <v>2.222490403E9</v>
      </c>
      <c r="M117" s="150" t="s">
        <v>1450</v>
      </c>
      <c r="N117" s="150" t="s">
        <v>2795</v>
      </c>
      <c r="O117" s="150" t="s">
        <v>4220</v>
      </c>
      <c r="P117" s="150" t="s">
        <v>4484</v>
      </c>
      <c r="Q117" s="442">
        <f>COUNTIF('Hedef Liste'!$A:$A,A117)</f>
        <v>1</v>
      </c>
    </row>
    <row r="118" hidden="1">
      <c r="A118" s="150" t="s">
        <v>447</v>
      </c>
      <c r="B118" s="150" t="s">
        <v>4641</v>
      </c>
      <c r="C118" s="439" t="s">
        <v>4483</v>
      </c>
      <c r="D118" s="150" t="s">
        <v>2658</v>
      </c>
      <c r="E118" s="440">
        <v>24498.0</v>
      </c>
      <c r="F118" s="440">
        <v>660.0</v>
      </c>
      <c r="G118" s="440">
        <v>11.0</v>
      </c>
      <c r="H118" s="440">
        <v>14.0</v>
      </c>
      <c r="I118" s="440">
        <v>25.0</v>
      </c>
      <c r="J118" s="441">
        <v>0.44</v>
      </c>
      <c r="K118" s="150" t="s">
        <v>4642</v>
      </c>
      <c r="L118" s="150">
        <v>2.222390203E9</v>
      </c>
      <c r="M118" s="150" t="s">
        <v>1450</v>
      </c>
      <c r="N118" s="150" t="s">
        <v>2732</v>
      </c>
      <c r="O118" s="150" t="s">
        <v>451</v>
      </c>
      <c r="P118" s="150" t="s">
        <v>4484</v>
      </c>
      <c r="Q118" s="442">
        <f>COUNTIF('Hedef Liste'!$A:$A,A118)</f>
        <v>1</v>
      </c>
    </row>
    <row r="119" hidden="1">
      <c r="A119" s="150" t="s">
        <v>4120</v>
      </c>
      <c r="B119" s="150" t="s">
        <v>4121</v>
      </c>
      <c r="C119" s="439" t="s">
        <v>4483</v>
      </c>
      <c r="D119" s="150" t="s">
        <v>2763</v>
      </c>
      <c r="E119" s="440">
        <v>4495.0</v>
      </c>
      <c r="F119" s="440">
        <v>126.0</v>
      </c>
      <c r="G119" s="440">
        <v>0.0</v>
      </c>
      <c r="H119" s="440">
        <v>84.0</v>
      </c>
      <c r="I119" s="440">
        <v>84.0</v>
      </c>
      <c r="J119" s="441">
        <v>0.0</v>
      </c>
      <c r="K119" s="150" t="s">
        <v>4584</v>
      </c>
      <c r="L119" s="150">
        <v>2.222316262E9</v>
      </c>
      <c r="M119" s="150" t="s">
        <v>1450</v>
      </c>
      <c r="N119" s="150" t="s">
        <v>2732</v>
      </c>
      <c r="O119" s="150" t="s">
        <v>4122</v>
      </c>
      <c r="P119" s="150" t="s">
        <v>4484</v>
      </c>
      <c r="Q119" s="442">
        <f>COUNTIF('Hedef Liste'!$A:$A,A119)</f>
        <v>1</v>
      </c>
    </row>
    <row r="120" hidden="1">
      <c r="A120" s="150" t="s">
        <v>847</v>
      </c>
      <c r="B120" s="150" t="s">
        <v>848</v>
      </c>
      <c r="C120" s="439" t="s">
        <v>4483</v>
      </c>
      <c r="D120" s="150" t="s">
        <v>2763</v>
      </c>
      <c r="E120" s="440">
        <v>1261.0</v>
      </c>
      <c r="F120" s="440">
        <v>1.0</v>
      </c>
      <c r="G120" s="440">
        <v>2.0</v>
      </c>
      <c r="H120" s="440">
        <v>15.0</v>
      </c>
      <c r="I120" s="440">
        <v>17.0</v>
      </c>
      <c r="J120" s="441">
        <v>0.12</v>
      </c>
      <c r="K120" s="150" t="s">
        <v>4643</v>
      </c>
      <c r="L120" s="150">
        <v>5.38503325E9</v>
      </c>
      <c r="M120" s="150" t="s">
        <v>2666</v>
      </c>
      <c r="N120" s="150" t="s">
        <v>2807</v>
      </c>
      <c r="O120" s="150" t="s">
        <v>2974</v>
      </c>
      <c r="P120" s="150" t="s">
        <v>4484</v>
      </c>
      <c r="Q120" s="442">
        <f>COUNTIF('Hedef Liste'!$A:$A,A120)</f>
        <v>1</v>
      </c>
    </row>
    <row r="121" hidden="1">
      <c r="A121" s="150" t="s">
        <v>4318</v>
      </c>
      <c r="B121" s="150" t="s">
        <v>4319</v>
      </c>
      <c r="C121" s="439" t="s">
        <v>4483</v>
      </c>
      <c r="D121" s="150" t="s">
        <v>2684</v>
      </c>
      <c r="E121" s="440">
        <v>7679.0</v>
      </c>
      <c r="F121" s="440">
        <v>225.0</v>
      </c>
      <c r="G121" s="440">
        <v>13.0</v>
      </c>
      <c r="H121" s="440">
        <v>42.0</v>
      </c>
      <c r="I121" s="440">
        <v>55.0</v>
      </c>
      <c r="J121" s="441">
        <v>0.24</v>
      </c>
      <c r="K121" s="150" t="s">
        <v>3335</v>
      </c>
      <c r="L121" s="150">
        <v>5.53739025E9</v>
      </c>
      <c r="M121" s="150" t="s">
        <v>2666</v>
      </c>
      <c r="N121" s="150" t="s">
        <v>2682</v>
      </c>
      <c r="O121" s="150" t="s">
        <v>4320</v>
      </c>
      <c r="P121" s="150" t="s">
        <v>4484</v>
      </c>
      <c r="Q121" s="442">
        <f>COUNTIF('Hedef Liste'!$A:$A,A121)</f>
        <v>1</v>
      </c>
    </row>
    <row r="122" hidden="1">
      <c r="A122" s="150" t="s">
        <v>726</v>
      </c>
      <c r="B122" s="150" t="s">
        <v>727</v>
      </c>
      <c r="C122" s="439" t="s">
        <v>4483</v>
      </c>
      <c r="D122" s="150" t="s">
        <v>2696</v>
      </c>
      <c r="E122" s="440">
        <v>3084.0</v>
      </c>
      <c r="F122" s="440">
        <v>5.0</v>
      </c>
      <c r="G122" s="440">
        <v>13.0</v>
      </c>
      <c r="H122" s="440">
        <v>27.0</v>
      </c>
      <c r="I122" s="440">
        <v>40.0</v>
      </c>
      <c r="J122" s="441">
        <v>0.33</v>
      </c>
      <c r="K122" s="150" t="s">
        <v>4644</v>
      </c>
      <c r="L122" s="150">
        <v>2.222335171E9</v>
      </c>
      <c r="M122" s="150" t="s">
        <v>2666</v>
      </c>
      <c r="N122" s="150" t="s">
        <v>2897</v>
      </c>
      <c r="O122" s="150" t="s">
        <v>730</v>
      </c>
      <c r="P122" s="150" t="s">
        <v>4484</v>
      </c>
      <c r="Q122" s="442">
        <f>COUNTIF('Hedef Liste'!$A:$A,A122)</f>
        <v>1</v>
      </c>
    </row>
    <row r="123" hidden="1">
      <c r="A123" s="150" t="s">
        <v>441</v>
      </c>
      <c r="B123" s="150" t="s">
        <v>4645</v>
      </c>
      <c r="C123" s="439" t="s">
        <v>4483</v>
      </c>
      <c r="D123" s="150" t="s">
        <v>2724</v>
      </c>
      <c r="E123" s="440">
        <v>7612.0</v>
      </c>
      <c r="F123" s="440">
        <v>203.0</v>
      </c>
      <c r="G123" s="440">
        <v>0.0</v>
      </c>
      <c r="H123" s="440">
        <v>133.0</v>
      </c>
      <c r="I123" s="440">
        <v>133.0</v>
      </c>
      <c r="J123" s="441">
        <v>0.0</v>
      </c>
      <c r="K123" s="150" t="s">
        <v>4412</v>
      </c>
      <c r="L123" s="150">
        <v>2.223220232E9</v>
      </c>
      <c r="M123" s="150" t="s">
        <v>2666</v>
      </c>
      <c r="N123" s="150" t="s">
        <v>2667</v>
      </c>
      <c r="O123" s="150" t="s">
        <v>4415</v>
      </c>
      <c r="P123" s="150" t="s">
        <v>4484</v>
      </c>
      <c r="Q123" s="442">
        <f>COUNTIF('Hedef Liste'!$A:$A,A123)</f>
        <v>1</v>
      </c>
    </row>
    <row r="124" hidden="1">
      <c r="A124" s="150" t="s">
        <v>3975</v>
      </c>
      <c r="B124" s="150" t="s">
        <v>3976</v>
      </c>
      <c r="C124" s="439" t="s">
        <v>4483</v>
      </c>
      <c r="D124" s="150" t="s">
        <v>2696</v>
      </c>
      <c r="E124" s="440">
        <v>4597.0</v>
      </c>
      <c r="F124" s="440">
        <v>28.0</v>
      </c>
      <c r="G124" s="440">
        <v>0.0</v>
      </c>
      <c r="H124" s="440">
        <v>21.0</v>
      </c>
      <c r="I124" s="440">
        <v>21.0</v>
      </c>
      <c r="J124" s="441">
        <v>0.0</v>
      </c>
      <c r="K124" s="150" t="s">
        <v>4646</v>
      </c>
      <c r="L124" s="150">
        <v>5.432602661E9</v>
      </c>
      <c r="M124" s="150" t="s">
        <v>2666</v>
      </c>
      <c r="N124" s="150" t="s">
        <v>2685</v>
      </c>
      <c r="O124" s="150" t="s">
        <v>4647</v>
      </c>
      <c r="P124" s="150" t="s">
        <v>4484</v>
      </c>
      <c r="Q124" s="442">
        <f>COUNTIF('Hedef Liste'!$A:$A,A124)</f>
        <v>1</v>
      </c>
    </row>
    <row r="125" hidden="1">
      <c r="A125" s="150" t="s">
        <v>3409</v>
      </c>
      <c r="B125" s="150" t="s">
        <v>3410</v>
      </c>
      <c r="C125" s="439" t="s">
        <v>4483</v>
      </c>
      <c r="D125" s="150" t="s">
        <v>2763</v>
      </c>
      <c r="E125" s="440">
        <v>7973.0</v>
      </c>
      <c r="F125" s="440">
        <v>222.0</v>
      </c>
      <c r="G125" s="440">
        <v>0.0</v>
      </c>
      <c r="H125" s="440">
        <v>42.0</v>
      </c>
      <c r="I125" s="440">
        <v>42.0</v>
      </c>
      <c r="J125" s="441">
        <v>0.0</v>
      </c>
      <c r="K125" s="150" t="s">
        <v>4648</v>
      </c>
      <c r="L125" s="150">
        <v>2.222393902E9</v>
      </c>
      <c r="M125" s="150" t="s">
        <v>1450</v>
      </c>
      <c r="N125" s="150" t="s">
        <v>2732</v>
      </c>
      <c r="O125" s="150" t="s">
        <v>3411</v>
      </c>
      <c r="P125" s="150" t="s">
        <v>4484</v>
      </c>
      <c r="Q125" s="442">
        <f>COUNTIF('Hedef Liste'!$A:$A,A125)</f>
        <v>1</v>
      </c>
    </row>
    <row r="126" hidden="1">
      <c r="A126" s="150" t="s">
        <v>3609</v>
      </c>
      <c r="B126" s="150" t="s">
        <v>3610</v>
      </c>
      <c r="C126" s="439" t="s">
        <v>4483</v>
      </c>
      <c r="D126" s="150" t="s">
        <v>2763</v>
      </c>
      <c r="E126" s="440">
        <v>3568.0</v>
      </c>
      <c r="F126" s="440">
        <v>60.0</v>
      </c>
      <c r="G126" s="440">
        <v>0.0</v>
      </c>
      <c r="H126" s="440">
        <v>10.0</v>
      </c>
      <c r="I126" s="440">
        <v>10.0</v>
      </c>
      <c r="J126" s="441">
        <v>0.0</v>
      </c>
      <c r="K126" s="150" t="s">
        <v>4649</v>
      </c>
      <c r="L126" s="150">
        <v>5.51954929E9</v>
      </c>
      <c r="M126" s="150" t="s">
        <v>1450</v>
      </c>
      <c r="N126" s="150" t="s">
        <v>2732</v>
      </c>
      <c r="O126" s="150" t="s">
        <v>3611</v>
      </c>
      <c r="P126" s="150" t="s">
        <v>4484</v>
      </c>
      <c r="Q126" s="442">
        <f>COUNTIF('Hedef Liste'!$A:$A,A126)</f>
        <v>1</v>
      </c>
    </row>
    <row r="127" hidden="1">
      <c r="A127" s="150" t="s">
        <v>520</v>
      </c>
      <c r="B127" s="150" t="s">
        <v>521</v>
      </c>
      <c r="C127" s="439" t="s">
        <v>4483</v>
      </c>
      <c r="D127" s="150" t="s">
        <v>2706</v>
      </c>
      <c r="E127" s="440">
        <v>7096.0</v>
      </c>
      <c r="F127" s="440">
        <v>349.0</v>
      </c>
      <c r="G127" s="440">
        <v>50.0</v>
      </c>
      <c r="H127" s="440">
        <v>118.0</v>
      </c>
      <c r="I127" s="440">
        <v>168.0</v>
      </c>
      <c r="J127" s="441">
        <v>0.3</v>
      </c>
      <c r="K127" s="150" t="s">
        <v>4650</v>
      </c>
      <c r="L127" s="150">
        <v>2.22229005E9</v>
      </c>
      <c r="M127" s="150" t="s">
        <v>1450</v>
      </c>
      <c r="N127" s="150" t="s">
        <v>2732</v>
      </c>
      <c r="O127" s="150" t="s">
        <v>523</v>
      </c>
      <c r="P127" s="150" t="s">
        <v>4484</v>
      </c>
      <c r="Q127" s="442">
        <f>COUNTIF('Hedef Liste'!$A:$A,A127)</f>
        <v>1</v>
      </c>
    </row>
    <row r="128" hidden="1">
      <c r="A128" s="150" t="s">
        <v>1027</v>
      </c>
      <c r="B128" s="150" t="s">
        <v>1028</v>
      </c>
      <c r="C128" s="439" t="s">
        <v>4483</v>
      </c>
      <c r="D128" s="150" t="s">
        <v>2658</v>
      </c>
      <c r="E128" s="440">
        <v>4336.0</v>
      </c>
      <c r="F128" s="440">
        <v>102.0</v>
      </c>
      <c r="G128" s="440">
        <v>0.0</v>
      </c>
      <c r="H128" s="440">
        <v>89.0</v>
      </c>
      <c r="I128" s="440">
        <v>89.0</v>
      </c>
      <c r="J128" s="441">
        <v>0.0</v>
      </c>
      <c r="K128" s="150" t="s">
        <v>4604</v>
      </c>
      <c r="L128" s="150">
        <v>2.222392537E9</v>
      </c>
      <c r="M128" s="150" t="s">
        <v>1450</v>
      </c>
      <c r="N128" s="150" t="s">
        <v>2732</v>
      </c>
      <c r="O128" s="150" t="s">
        <v>398</v>
      </c>
      <c r="P128" s="150" t="s">
        <v>4484</v>
      </c>
      <c r="Q128" s="442">
        <f>COUNTIF('Hedef Liste'!$A:$A,A128)</f>
        <v>1</v>
      </c>
    </row>
    <row r="129" hidden="1">
      <c r="A129" s="150" t="s">
        <v>1031</v>
      </c>
      <c r="B129" s="150" t="s">
        <v>1032</v>
      </c>
      <c r="C129" s="439" t="s">
        <v>4483</v>
      </c>
      <c r="D129" s="150" t="s">
        <v>2706</v>
      </c>
      <c r="E129" s="440">
        <v>3430.0</v>
      </c>
      <c r="F129" s="440">
        <v>6.0</v>
      </c>
      <c r="G129" s="440">
        <v>0.0</v>
      </c>
      <c r="H129" s="440">
        <v>267.0</v>
      </c>
      <c r="I129" s="440">
        <v>267.0</v>
      </c>
      <c r="J129" s="441">
        <v>0.0</v>
      </c>
      <c r="K129" s="150" t="s">
        <v>4651</v>
      </c>
      <c r="L129" s="150">
        <v>5.522610026E9</v>
      </c>
      <c r="M129" s="150" t="s">
        <v>2666</v>
      </c>
      <c r="N129" s="150" t="s">
        <v>2667</v>
      </c>
      <c r="O129" s="150" t="s">
        <v>3968</v>
      </c>
      <c r="P129" s="150" t="s">
        <v>4484</v>
      </c>
      <c r="Q129" s="442">
        <f>COUNTIF('Hedef Liste'!$A:$A,A129)</f>
        <v>1</v>
      </c>
    </row>
    <row r="130" hidden="1">
      <c r="A130" s="150" t="s">
        <v>927</v>
      </c>
      <c r="B130" s="150" t="s">
        <v>928</v>
      </c>
      <c r="C130" s="439" t="s">
        <v>4483</v>
      </c>
      <c r="D130" s="150" t="s">
        <v>2706</v>
      </c>
      <c r="E130" s="440">
        <v>1508.0</v>
      </c>
      <c r="F130" s="440">
        <v>57.0</v>
      </c>
      <c r="G130" s="440">
        <v>15.0</v>
      </c>
      <c r="H130" s="440">
        <v>60.0</v>
      </c>
      <c r="I130" s="440">
        <v>75.0</v>
      </c>
      <c r="J130" s="441">
        <v>0.2</v>
      </c>
      <c r="K130" s="150" t="s">
        <v>4652</v>
      </c>
      <c r="L130" s="150">
        <v>5.355003005E9</v>
      </c>
      <c r="M130" s="150" t="s">
        <v>1450</v>
      </c>
      <c r="N130" s="150" t="s">
        <v>2707</v>
      </c>
      <c r="O130" s="150" t="s">
        <v>930</v>
      </c>
      <c r="P130" s="150" t="s">
        <v>4484</v>
      </c>
      <c r="Q130" s="442">
        <f>COUNTIF('Hedef Liste'!$A:$A,A130)</f>
        <v>1</v>
      </c>
    </row>
    <row r="131" hidden="1">
      <c r="A131" s="150" t="s">
        <v>3895</v>
      </c>
      <c r="B131" s="150" t="s">
        <v>3896</v>
      </c>
      <c r="C131" s="439" t="s">
        <v>4483</v>
      </c>
      <c r="D131" s="150" t="s">
        <v>2773</v>
      </c>
      <c r="E131" s="440">
        <v>2882.0</v>
      </c>
      <c r="F131" s="440">
        <v>151.0</v>
      </c>
      <c r="G131" s="440">
        <v>9.0</v>
      </c>
      <c r="H131" s="440">
        <v>7.0</v>
      </c>
      <c r="I131" s="440">
        <v>16.0</v>
      </c>
      <c r="J131" s="441">
        <v>0.56</v>
      </c>
      <c r="K131" s="150" t="s">
        <v>4653</v>
      </c>
      <c r="L131" s="150">
        <v>5.396190272E9</v>
      </c>
      <c r="M131" s="150" t="s">
        <v>1450</v>
      </c>
      <c r="N131" s="150" t="s">
        <v>2703</v>
      </c>
      <c r="O131" s="150" t="s">
        <v>637</v>
      </c>
      <c r="P131" s="150" t="s">
        <v>4484</v>
      </c>
      <c r="Q131" s="442">
        <f>COUNTIF('Hedef Liste'!$A:$A,A131)</f>
        <v>1</v>
      </c>
    </row>
    <row r="132" hidden="1">
      <c r="A132" s="150" t="s">
        <v>4394</v>
      </c>
      <c r="B132" s="150" t="s">
        <v>4395</v>
      </c>
      <c r="C132" s="439" t="s">
        <v>4483</v>
      </c>
      <c r="D132" s="150" t="s">
        <v>2701</v>
      </c>
      <c r="E132" s="440">
        <v>2355.0</v>
      </c>
      <c r="F132" s="440">
        <v>41.0</v>
      </c>
      <c r="G132" s="440">
        <v>9.0</v>
      </c>
      <c r="H132" s="440">
        <v>11.0</v>
      </c>
      <c r="I132" s="440">
        <v>20.0</v>
      </c>
      <c r="J132" s="441">
        <v>0.45</v>
      </c>
      <c r="K132" s="150" t="s">
        <v>4654</v>
      </c>
      <c r="L132" s="150">
        <v>2.223228678E9</v>
      </c>
      <c r="M132" s="150" t="s">
        <v>2666</v>
      </c>
      <c r="N132" s="150" t="s">
        <v>2682</v>
      </c>
      <c r="O132" s="150" t="s">
        <v>4396</v>
      </c>
      <c r="P132" s="150" t="s">
        <v>4484</v>
      </c>
      <c r="Q132" s="442">
        <f>COUNTIF('Hedef Liste'!$A:$A,A132)</f>
        <v>1</v>
      </c>
    </row>
    <row r="133" hidden="1">
      <c r="A133" s="150" t="s">
        <v>801</v>
      </c>
      <c r="B133" s="150" t="s">
        <v>4655</v>
      </c>
      <c r="C133" s="439" t="s">
        <v>4520</v>
      </c>
      <c r="D133" s="150" t="s">
        <v>2773</v>
      </c>
      <c r="E133" s="440">
        <v>230.0</v>
      </c>
      <c r="F133" s="443"/>
      <c r="G133" s="440">
        <v>3.0</v>
      </c>
      <c r="H133" s="440">
        <v>16.0</v>
      </c>
      <c r="I133" s="440">
        <v>19.0</v>
      </c>
      <c r="J133" s="441">
        <v>0.16</v>
      </c>
      <c r="K133" s="150" t="s">
        <v>4656</v>
      </c>
      <c r="L133" s="150">
        <v>5.436938512E9</v>
      </c>
      <c r="M133" s="150" t="s">
        <v>2666</v>
      </c>
      <c r="N133" s="150" t="s">
        <v>2809</v>
      </c>
      <c r="O133" s="150" t="s">
        <v>805</v>
      </c>
      <c r="P133" s="150" t="s">
        <v>4484</v>
      </c>
      <c r="Q133" s="442">
        <f>COUNTIF('Hedef Liste'!$A:$A,A133)</f>
        <v>1</v>
      </c>
    </row>
    <row r="134" hidden="1">
      <c r="A134" s="150" t="s">
        <v>285</v>
      </c>
      <c r="B134" s="150" t="s">
        <v>286</v>
      </c>
      <c r="C134" s="439" t="s">
        <v>4520</v>
      </c>
      <c r="D134" s="150" t="s">
        <v>2978</v>
      </c>
      <c r="E134" s="440">
        <v>3134.0</v>
      </c>
      <c r="F134" s="443"/>
      <c r="G134" s="440">
        <v>11.0</v>
      </c>
      <c r="H134" s="440">
        <v>7.0</v>
      </c>
      <c r="I134" s="440">
        <v>18.0</v>
      </c>
      <c r="J134" s="441">
        <v>0.61</v>
      </c>
      <c r="K134" s="150" t="s">
        <v>4657</v>
      </c>
      <c r="L134" s="150">
        <v>5.342260334E9</v>
      </c>
      <c r="M134" s="150" t="s">
        <v>2666</v>
      </c>
      <c r="N134" s="150" t="s">
        <v>2682</v>
      </c>
      <c r="O134" s="150" t="s">
        <v>957</v>
      </c>
      <c r="P134" s="150" t="s">
        <v>4484</v>
      </c>
      <c r="Q134" s="442">
        <f>COUNTIF('Hedef Liste'!$A:$A,A134)</f>
        <v>1</v>
      </c>
    </row>
    <row r="135" hidden="1">
      <c r="A135" s="150" t="s">
        <v>4658</v>
      </c>
      <c r="B135" s="150" t="s">
        <v>4659</v>
      </c>
      <c r="C135" s="439" t="s">
        <v>4483</v>
      </c>
      <c r="D135" s="150" t="s">
        <v>2773</v>
      </c>
      <c r="E135" s="440">
        <v>324.0</v>
      </c>
      <c r="F135" s="440">
        <v>11.0</v>
      </c>
      <c r="G135" s="440">
        <v>62.0</v>
      </c>
      <c r="H135" s="440">
        <v>4.0</v>
      </c>
      <c r="I135" s="440">
        <v>66.0</v>
      </c>
      <c r="J135" s="441">
        <v>0.94</v>
      </c>
      <c r="K135" s="150" t="s">
        <v>4567</v>
      </c>
      <c r="L135" s="150">
        <v>2.222397676E9</v>
      </c>
      <c r="M135" s="150" t="s">
        <v>2666</v>
      </c>
      <c r="N135" s="150" t="s">
        <v>2807</v>
      </c>
      <c r="O135" s="150" t="s">
        <v>4660</v>
      </c>
      <c r="P135" s="150" t="s">
        <v>4512</v>
      </c>
      <c r="Q135" s="442">
        <f>COUNTIF('Hedef Liste'!$A:$A,A135)</f>
        <v>0</v>
      </c>
    </row>
    <row r="136" hidden="1">
      <c r="A136" s="150" t="s">
        <v>4661</v>
      </c>
      <c r="B136" s="150" t="s">
        <v>4662</v>
      </c>
      <c r="C136" s="439" t="s">
        <v>4483</v>
      </c>
      <c r="D136" s="150" t="s">
        <v>2773</v>
      </c>
      <c r="E136" s="440">
        <v>5664.0</v>
      </c>
      <c r="F136" s="440">
        <v>212.0</v>
      </c>
      <c r="G136" s="440">
        <v>69.0</v>
      </c>
      <c r="H136" s="440">
        <v>5.0</v>
      </c>
      <c r="I136" s="440">
        <v>74.0</v>
      </c>
      <c r="J136" s="441">
        <v>0.93</v>
      </c>
      <c r="K136" s="150" t="s">
        <v>4567</v>
      </c>
      <c r="L136" s="150">
        <v>5.395496538E9</v>
      </c>
      <c r="M136" s="150" t="s">
        <v>2666</v>
      </c>
      <c r="N136" s="150" t="s">
        <v>3084</v>
      </c>
      <c r="O136" s="150" t="s">
        <v>4663</v>
      </c>
      <c r="P136" s="150" t="s">
        <v>4512</v>
      </c>
      <c r="Q136" s="442">
        <f>COUNTIF('Hedef Liste'!$A:$A,A136)</f>
        <v>0</v>
      </c>
    </row>
    <row r="137" hidden="1">
      <c r="A137" s="150" t="s">
        <v>4664</v>
      </c>
      <c r="B137" s="150" t="s">
        <v>4665</v>
      </c>
      <c r="C137" s="439" t="s">
        <v>4483</v>
      </c>
      <c r="D137" s="150" t="s">
        <v>2773</v>
      </c>
      <c r="E137" s="440">
        <v>3720.0</v>
      </c>
      <c r="F137" s="440">
        <v>133.0</v>
      </c>
      <c r="G137" s="440">
        <v>98.0</v>
      </c>
      <c r="H137" s="440">
        <v>5.0</v>
      </c>
      <c r="I137" s="440">
        <v>103.0</v>
      </c>
      <c r="J137" s="441">
        <v>0.95</v>
      </c>
      <c r="K137" s="150" t="s">
        <v>4567</v>
      </c>
      <c r="L137" s="150">
        <v>2.22320242E9</v>
      </c>
      <c r="M137" s="150" t="s">
        <v>2666</v>
      </c>
      <c r="N137" s="150" t="s">
        <v>3000</v>
      </c>
      <c r="O137" s="150" t="s">
        <v>4666</v>
      </c>
      <c r="P137" s="150" t="s">
        <v>4512</v>
      </c>
      <c r="Q137" s="442">
        <f>COUNTIF('Hedef Liste'!$A:$A,A137)</f>
        <v>0</v>
      </c>
    </row>
    <row r="138" hidden="1">
      <c r="A138" s="150" t="s">
        <v>4667</v>
      </c>
      <c r="B138" s="150" t="s">
        <v>4668</v>
      </c>
      <c r="C138" s="439" t="s">
        <v>4483</v>
      </c>
      <c r="D138" s="150" t="s">
        <v>2724</v>
      </c>
      <c r="E138" s="440">
        <v>15257.0</v>
      </c>
      <c r="F138" s="440">
        <v>255.0</v>
      </c>
      <c r="G138" s="440">
        <v>29.0</v>
      </c>
      <c r="H138" s="440">
        <v>2.0</v>
      </c>
      <c r="I138" s="440">
        <v>31.0</v>
      </c>
      <c r="J138" s="441">
        <v>0.94</v>
      </c>
      <c r="K138" s="150" t="s">
        <v>4510</v>
      </c>
      <c r="L138" s="150">
        <v>2.222050616E9</v>
      </c>
      <c r="M138" s="150" t="s">
        <v>2666</v>
      </c>
      <c r="N138" s="150" t="s">
        <v>3185</v>
      </c>
      <c r="O138" s="150" t="s">
        <v>4669</v>
      </c>
      <c r="P138" s="150" t="s">
        <v>4512</v>
      </c>
      <c r="Q138" s="442">
        <f>COUNTIF('Hedef Liste'!$A:$A,A138)</f>
        <v>0</v>
      </c>
    </row>
    <row r="139" hidden="1">
      <c r="A139" s="150" t="s">
        <v>56</v>
      </c>
      <c r="B139" s="150" t="s">
        <v>4670</v>
      </c>
      <c r="C139" s="439" t="s">
        <v>4483</v>
      </c>
      <c r="D139" s="150" t="s">
        <v>2696</v>
      </c>
      <c r="E139" s="440">
        <v>4919.0</v>
      </c>
      <c r="F139" s="440">
        <v>31.0</v>
      </c>
      <c r="G139" s="440">
        <v>12.0</v>
      </c>
      <c r="H139" s="440">
        <v>21.0</v>
      </c>
      <c r="I139" s="440">
        <v>33.0</v>
      </c>
      <c r="J139" s="441">
        <v>0.36</v>
      </c>
      <c r="K139" s="150" t="s">
        <v>4671</v>
      </c>
      <c r="L139" s="150">
        <v>2.222212601E9</v>
      </c>
      <c r="M139" s="150" t="s">
        <v>2666</v>
      </c>
      <c r="N139" s="150" t="s">
        <v>2682</v>
      </c>
      <c r="O139" s="150" t="s">
        <v>59</v>
      </c>
      <c r="P139" s="150" t="s">
        <v>4484</v>
      </c>
      <c r="Q139" s="442">
        <f>COUNTIF('Hedef Liste'!$A:$A,A139)</f>
        <v>1</v>
      </c>
    </row>
    <row r="140" hidden="1">
      <c r="A140" s="150" t="s">
        <v>156</v>
      </c>
      <c r="B140" s="150" t="s">
        <v>4672</v>
      </c>
      <c r="C140" s="439" t="s">
        <v>4483</v>
      </c>
      <c r="D140" s="150" t="s">
        <v>2701</v>
      </c>
      <c r="E140" s="440">
        <v>7601.0</v>
      </c>
      <c r="F140" s="440">
        <v>292.0</v>
      </c>
      <c r="G140" s="440">
        <v>8.0</v>
      </c>
      <c r="H140" s="440">
        <v>7.0</v>
      </c>
      <c r="I140" s="440">
        <v>15.0</v>
      </c>
      <c r="J140" s="441">
        <v>0.53</v>
      </c>
      <c r="K140" s="150" t="s">
        <v>4673</v>
      </c>
      <c r="L140" s="150">
        <v>5.444861164E9</v>
      </c>
      <c r="M140" s="150" t="s">
        <v>2666</v>
      </c>
      <c r="N140" s="150" t="s">
        <v>2667</v>
      </c>
      <c r="O140" s="150" t="s">
        <v>159</v>
      </c>
      <c r="P140" s="150" t="s">
        <v>4484</v>
      </c>
      <c r="Q140" s="442">
        <f>COUNTIF('Hedef Liste'!$A:$A,A140)</f>
        <v>1</v>
      </c>
    </row>
    <row r="141" hidden="1">
      <c r="A141" s="150" t="s">
        <v>4674</v>
      </c>
      <c r="B141" s="150" t="s">
        <v>4675</v>
      </c>
      <c r="C141" s="439" t="s">
        <v>4483</v>
      </c>
      <c r="D141" s="150" t="s">
        <v>2773</v>
      </c>
      <c r="E141" s="440">
        <v>3996.0</v>
      </c>
      <c r="F141" s="440">
        <v>48.0</v>
      </c>
      <c r="G141" s="440">
        <v>94.0</v>
      </c>
      <c r="H141" s="440">
        <v>7.0</v>
      </c>
      <c r="I141" s="440">
        <v>101.0</v>
      </c>
      <c r="J141" s="441">
        <v>0.93</v>
      </c>
      <c r="K141" s="150" t="s">
        <v>4567</v>
      </c>
      <c r="L141" s="150">
        <v>5.053880102E9</v>
      </c>
      <c r="M141" s="150" t="s">
        <v>2666</v>
      </c>
      <c r="N141" s="150" t="s">
        <v>3078</v>
      </c>
      <c r="O141" s="150" t="s">
        <v>4676</v>
      </c>
      <c r="P141" s="150" t="s">
        <v>4512</v>
      </c>
      <c r="Q141" s="442">
        <f>COUNTIF('Hedef Liste'!$A:$A,A141)</f>
        <v>0</v>
      </c>
    </row>
    <row r="142" hidden="1">
      <c r="A142" s="150" t="s">
        <v>4160</v>
      </c>
      <c r="B142" s="150" t="s">
        <v>4677</v>
      </c>
      <c r="C142" s="439" t="s">
        <v>4483</v>
      </c>
      <c r="D142" s="150" t="s">
        <v>2867</v>
      </c>
      <c r="E142" s="440">
        <v>445.0</v>
      </c>
      <c r="F142" s="440">
        <v>19.0</v>
      </c>
      <c r="G142" s="440">
        <v>0.0</v>
      </c>
      <c r="H142" s="440">
        <v>102.0</v>
      </c>
      <c r="I142" s="440">
        <v>102.0</v>
      </c>
      <c r="J142" s="441">
        <v>0.0</v>
      </c>
      <c r="K142" s="150" t="s">
        <v>4678</v>
      </c>
      <c r="L142" s="150">
        <v>2.222399988E9</v>
      </c>
      <c r="M142" s="150" t="s">
        <v>1450</v>
      </c>
      <c r="N142" s="150" t="s">
        <v>4514</v>
      </c>
      <c r="O142" s="150" t="s">
        <v>4162</v>
      </c>
      <c r="P142" s="150" t="s">
        <v>4484</v>
      </c>
      <c r="Q142" s="442">
        <f>COUNTIF('Hedef Liste'!$A:$A,A142)</f>
        <v>1</v>
      </c>
    </row>
    <row r="143" hidden="1">
      <c r="A143" s="150" t="s">
        <v>4164</v>
      </c>
      <c r="B143" s="150" t="s">
        <v>4679</v>
      </c>
      <c r="C143" s="439" t="s">
        <v>4483</v>
      </c>
      <c r="D143" s="150" t="s">
        <v>2904</v>
      </c>
      <c r="E143" s="440">
        <v>1324.0</v>
      </c>
      <c r="F143" s="443"/>
      <c r="G143" s="440">
        <v>0.0</v>
      </c>
      <c r="H143" s="440">
        <v>58.0</v>
      </c>
      <c r="I143" s="440">
        <v>58.0</v>
      </c>
      <c r="J143" s="441">
        <v>0.0</v>
      </c>
      <c r="K143" s="150" t="s">
        <v>4678</v>
      </c>
      <c r="L143" s="150">
        <v>5.550980026E9</v>
      </c>
      <c r="M143" s="150" t="s">
        <v>1450</v>
      </c>
      <c r="N143" s="150" t="s">
        <v>4514</v>
      </c>
      <c r="O143" s="150" t="s">
        <v>4162</v>
      </c>
      <c r="P143" s="150" t="s">
        <v>4484</v>
      </c>
      <c r="Q143" s="442">
        <f>COUNTIF('Hedef Liste'!$A:$A,A143)</f>
        <v>1</v>
      </c>
    </row>
    <row r="144" hidden="1">
      <c r="A144" s="150" t="s">
        <v>638</v>
      </c>
      <c r="B144" s="150" t="s">
        <v>639</v>
      </c>
      <c r="C144" s="439" t="s">
        <v>4483</v>
      </c>
      <c r="D144" s="150" t="s">
        <v>2850</v>
      </c>
      <c r="E144" s="440">
        <v>1480.0</v>
      </c>
      <c r="F144" s="440">
        <v>47.0</v>
      </c>
      <c r="G144" s="440">
        <v>5.0</v>
      </c>
      <c r="H144" s="440">
        <v>6.0</v>
      </c>
      <c r="I144" s="440">
        <v>11.0</v>
      </c>
      <c r="J144" s="441">
        <v>0.45</v>
      </c>
      <c r="K144" s="150" t="s">
        <v>4680</v>
      </c>
      <c r="L144" s="150">
        <v>2.222312722E9</v>
      </c>
      <c r="M144" s="150" t="s">
        <v>1450</v>
      </c>
      <c r="N144" s="150" t="s">
        <v>2716</v>
      </c>
      <c r="O144" s="150" t="s">
        <v>641</v>
      </c>
      <c r="P144" s="150" t="s">
        <v>4484</v>
      </c>
      <c r="Q144" s="442">
        <f>COUNTIF('Hedef Liste'!$A:$A,A144)</f>
        <v>1</v>
      </c>
    </row>
    <row r="145" hidden="1">
      <c r="A145" s="150" t="s">
        <v>3338</v>
      </c>
      <c r="B145" s="150" t="s">
        <v>4681</v>
      </c>
      <c r="C145" s="439" t="s">
        <v>4483</v>
      </c>
      <c r="D145" s="150" t="s">
        <v>2672</v>
      </c>
      <c r="E145" s="440">
        <v>39452.0</v>
      </c>
      <c r="F145" s="440">
        <v>1798.0</v>
      </c>
      <c r="G145" s="440">
        <v>1.0</v>
      </c>
      <c r="H145" s="440">
        <v>32.0</v>
      </c>
      <c r="I145" s="440">
        <v>33.0</v>
      </c>
      <c r="J145" s="441">
        <v>0.03</v>
      </c>
      <c r="K145" s="150" t="s">
        <v>3513</v>
      </c>
      <c r="L145" s="150">
        <v>2.225000066E9</v>
      </c>
      <c r="M145" s="150" t="s">
        <v>1450</v>
      </c>
      <c r="N145" s="150" t="s">
        <v>2732</v>
      </c>
      <c r="O145" s="150" t="s">
        <v>3340</v>
      </c>
      <c r="P145" s="150" t="s">
        <v>4484</v>
      </c>
      <c r="Q145" s="442">
        <f>COUNTIF('Hedef Liste'!$A:$A,A145)</f>
        <v>1</v>
      </c>
    </row>
    <row r="146" hidden="1">
      <c r="A146" s="150" t="s">
        <v>3196</v>
      </c>
      <c r="B146" s="150" t="s">
        <v>4682</v>
      </c>
      <c r="C146" s="439" t="s">
        <v>4483</v>
      </c>
      <c r="D146" s="150" t="s">
        <v>2696</v>
      </c>
      <c r="E146" s="440">
        <v>5039.0</v>
      </c>
      <c r="F146" s="440">
        <v>57.0</v>
      </c>
      <c r="G146" s="440">
        <v>8.0</v>
      </c>
      <c r="H146" s="440">
        <v>35.0</v>
      </c>
      <c r="I146" s="440">
        <v>43.0</v>
      </c>
      <c r="J146" s="441">
        <v>0.19</v>
      </c>
      <c r="K146" s="150" t="s">
        <v>4526</v>
      </c>
      <c r="L146" s="150">
        <v>2.223222275E9</v>
      </c>
      <c r="M146" s="150" t="s">
        <v>2666</v>
      </c>
      <c r="N146" s="150" t="s">
        <v>3185</v>
      </c>
      <c r="O146" s="150" t="s">
        <v>3198</v>
      </c>
      <c r="P146" s="150" t="s">
        <v>4484</v>
      </c>
      <c r="Q146" s="442">
        <f>COUNTIF('Hedef Liste'!$A:$A,A146)</f>
        <v>1</v>
      </c>
    </row>
    <row r="147" hidden="1">
      <c r="A147" s="150" t="s">
        <v>160</v>
      </c>
      <c r="B147" s="150" t="s">
        <v>4683</v>
      </c>
      <c r="C147" s="439" t="s">
        <v>4520</v>
      </c>
      <c r="D147" s="150" t="s">
        <v>2773</v>
      </c>
      <c r="E147" s="440">
        <v>217.0</v>
      </c>
      <c r="F147" s="443"/>
      <c r="G147" s="440">
        <v>10.0</v>
      </c>
      <c r="H147" s="440">
        <v>12.0</v>
      </c>
      <c r="I147" s="440">
        <v>22.0</v>
      </c>
      <c r="J147" s="441">
        <v>0.45</v>
      </c>
      <c r="K147" s="150" t="s">
        <v>4684</v>
      </c>
      <c r="L147" s="150">
        <v>2.222258515E9</v>
      </c>
      <c r="M147" s="150" t="s">
        <v>1450</v>
      </c>
      <c r="N147" s="150" t="s">
        <v>2795</v>
      </c>
      <c r="O147" s="150" t="s">
        <v>164</v>
      </c>
      <c r="P147" s="150" t="s">
        <v>4484</v>
      </c>
      <c r="Q147" s="442">
        <f>COUNTIF('Hedef Liste'!$A:$A,A147)</f>
        <v>1</v>
      </c>
    </row>
    <row r="148" hidden="1">
      <c r="A148" s="150" t="s">
        <v>503</v>
      </c>
      <c r="B148" s="150" t="s">
        <v>504</v>
      </c>
      <c r="C148" s="439" t="s">
        <v>4483</v>
      </c>
      <c r="D148" s="150" t="s">
        <v>2696</v>
      </c>
      <c r="E148" s="440">
        <v>1057.0</v>
      </c>
      <c r="F148" s="443"/>
      <c r="G148" s="440">
        <v>15.0</v>
      </c>
      <c r="H148" s="440">
        <v>44.0</v>
      </c>
      <c r="I148" s="440">
        <v>59.0</v>
      </c>
      <c r="J148" s="441">
        <v>0.25</v>
      </c>
      <c r="K148" s="150" t="s">
        <v>4685</v>
      </c>
      <c r="L148" s="150">
        <v>2.222330626E9</v>
      </c>
      <c r="M148" s="150" t="s">
        <v>1450</v>
      </c>
      <c r="N148" s="150" t="s">
        <v>3189</v>
      </c>
      <c r="O148" s="150" t="s">
        <v>507</v>
      </c>
      <c r="P148" s="150" t="s">
        <v>4484</v>
      </c>
      <c r="Q148" s="442">
        <f>COUNTIF('Hedef Liste'!$A:$A,A148)</f>
        <v>1</v>
      </c>
    </row>
    <row r="149" hidden="1">
      <c r="A149" s="150" t="s">
        <v>4342</v>
      </c>
      <c r="B149" s="150" t="s">
        <v>4686</v>
      </c>
      <c r="C149" s="439" t="s">
        <v>4520</v>
      </c>
      <c r="D149" s="150" t="s">
        <v>2664</v>
      </c>
      <c r="E149" s="440">
        <v>809.0</v>
      </c>
      <c r="F149" s="443"/>
      <c r="G149" s="440">
        <v>0.0</v>
      </c>
      <c r="H149" s="440">
        <v>42.0</v>
      </c>
      <c r="I149" s="440">
        <v>42.0</v>
      </c>
      <c r="J149" s="441">
        <v>0.0</v>
      </c>
      <c r="K149" s="150" t="s">
        <v>4687</v>
      </c>
      <c r="L149" s="150">
        <v>5.076588086E9</v>
      </c>
      <c r="M149" s="150" t="s">
        <v>1450</v>
      </c>
      <c r="N149" s="150" t="s">
        <v>2700</v>
      </c>
      <c r="O149" s="150" t="s">
        <v>4344</v>
      </c>
      <c r="P149" s="150" t="s">
        <v>4484</v>
      </c>
      <c r="Q149" s="442">
        <f>COUNTIF('Hedef Liste'!$A:$A,A149)</f>
        <v>1</v>
      </c>
    </row>
    <row r="150" hidden="1">
      <c r="A150" s="150" t="s">
        <v>3210</v>
      </c>
      <c r="B150" s="150" t="s">
        <v>3211</v>
      </c>
      <c r="C150" s="439" t="s">
        <v>4520</v>
      </c>
      <c r="D150" s="150" t="s">
        <v>2684</v>
      </c>
      <c r="E150" s="440">
        <v>32.0</v>
      </c>
      <c r="F150" s="443"/>
      <c r="G150" s="440">
        <v>0.0</v>
      </c>
      <c r="H150" s="440">
        <v>23.0</v>
      </c>
      <c r="I150" s="440">
        <v>23.0</v>
      </c>
      <c r="J150" s="441">
        <v>0.0</v>
      </c>
      <c r="K150" s="150" t="s">
        <v>4688</v>
      </c>
      <c r="L150" s="150">
        <v>5.352628977E9</v>
      </c>
      <c r="M150" s="150" t="s">
        <v>1450</v>
      </c>
      <c r="N150" s="150" t="s">
        <v>2732</v>
      </c>
      <c r="O150" s="150" t="s">
        <v>3212</v>
      </c>
      <c r="P150" s="150" t="s">
        <v>4484</v>
      </c>
      <c r="Q150" s="442">
        <f>COUNTIF('Hedef Liste'!$A:$A,A150)</f>
        <v>1</v>
      </c>
    </row>
    <row r="151" hidden="1">
      <c r="A151" s="150" t="s">
        <v>4689</v>
      </c>
      <c r="B151" s="150" t="s">
        <v>4690</v>
      </c>
      <c r="C151" s="439" t="s">
        <v>4483</v>
      </c>
      <c r="D151" s="150" t="s">
        <v>2773</v>
      </c>
      <c r="E151" s="440">
        <v>1038.0</v>
      </c>
      <c r="F151" s="440">
        <v>97.0</v>
      </c>
      <c r="G151" s="440">
        <v>48.0</v>
      </c>
      <c r="H151" s="440">
        <v>5.0</v>
      </c>
      <c r="I151" s="440">
        <v>53.0</v>
      </c>
      <c r="J151" s="441">
        <v>0.91</v>
      </c>
      <c r="K151" s="150" t="s">
        <v>4567</v>
      </c>
      <c r="L151" s="150">
        <v>2.222203138E9</v>
      </c>
      <c r="M151" s="150" t="s">
        <v>1450</v>
      </c>
      <c r="N151" s="150" t="s">
        <v>3189</v>
      </c>
      <c r="O151" s="150" t="s">
        <v>4691</v>
      </c>
      <c r="P151" s="150" t="s">
        <v>4512</v>
      </c>
      <c r="Q151" s="442">
        <f>COUNTIF('Hedef Liste'!$A:$A,A151)</f>
        <v>0</v>
      </c>
    </row>
    <row r="152" hidden="1">
      <c r="A152" s="150" t="s">
        <v>4389</v>
      </c>
      <c r="B152" s="150" t="s">
        <v>4692</v>
      </c>
      <c r="C152" s="439" t="s">
        <v>4483</v>
      </c>
      <c r="D152" s="150" t="s">
        <v>2658</v>
      </c>
      <c r="E152" s="440">
        <v>2067.0</v>
      </c>
      <c r="F152" s="440">
        <v>67.0</v>
      </c>
      <c r="G152" s="440">
        <v>0.0</v>
      </c>
      <c r="H152" s="440">
        <v>54.0</v>
      </c>
      <c r="I152" s="440">
        <v>54.0</v>
      </c>
      <c r="J152" s="441">
        <v>0.0</v>
      </c>
      <c r="K152" s="150" t="s">
        <v>4693</v>
      </c>
      <c r="L152" s="150">
        <v>5.545965628E9</v>
      </c>
      <c r="M152" s="150" t="s">
        <v>2666</v>
      </c>
      <c r="N152" s="150" t="s">
        <v>2682</v>
      </c>
      <c r="O152" s="150" t="s">
        <v>4694</v>
      </c>
      <c r="P152" s="150" t="s">
        <v>4484</v>
      </c>
      <c r="Q152" s="442">
        <f>COUNTIF('Hedef Liste'!$A:$A,A152)</f>
        <v>1</v>
      </c>
    </row>
    <row r="153" hidden="1">
      <c r="A153" s="150" t="s">
        <v>107</v>
      </c>
      <c r="B153" s="150" t="s">
        <v>108</v>
      </c>
      <c r="C153" s="439" t="s">
        <v>4483</v>
      </c>
      <c r="D153" s="150" t="s">
        <v>2867</v>
      </c>
      <c r="E153" s="440">
        <v>768.0</v>
      </c>
      <c r="F153" s="440">
        <v>13.0</v>
      </c>
      <c r="G153" s="440">
        <v>16.0</v>
      </c>
      <c r="H153" s="440">
        <v>11.0</v>
      </c>
      <c r="I153" s="440">
        <v>27.0</v>
      </c>
      <c r="J153" s="441">
        <v>0.59</v>
      </c>
      <c r="K153" s="150" t="s">
        <v>4695</v>
      </c>
      <c r="L153" s="150">
        <v>5.433429699E9</v>
      </c>
      <c r="M153" s="150" t="s">
        <v>2666</v>
      </c>
      <c r="N153" s="150" t="s">
        <v>2682</v>
      </c>
      <c r="O153" s="150" t="s">
        <v>111</v>
      </c>
      <c r="P153" s="150" t="s">
        <v>4484</v>
      </c>
      <c r="Q153" s="442">
        <f>COUNTIF('Hedef Liste'!$A:$A,A153)</f>
        <v>1</v>
      </c>
    </row>
    <row r="154" hidden="1">
      <c r="A154" s="150" t="s">
        <v>3143</v>
      </c>
      <c r="B154" s="150" t="s">
        <v>3144</v>
      </c>
      <c r="C154" s="439" t="s">
        <v>4520</v>
      </c>
      <c r="D154" s="150" t="s">
        <v>2701</v>
      </c>
      <c r="E154" s="440">
        <v>154.0</v>
      </c>
      <c r="F154" s="443"/>
      <c r="G154" s="440">
        <v>0.0</v>
      </c>
      <c r="H154" s="440">
        <v>96.0</v>
      </c>
      <c r="I154" s="440">
        <v>96.0</v>
      </c>
      <c r="J154" s="441">
        <v>0.0</v>
      </c>
      <c r="K154" s="150" t="s">
        <v>3951</v>
      </c>
      <c r="L154" s="150">
        <v>5.45941353E9</v>
      </c>
      <c r="M154" s="150" t="s">
        <v>2666</v>
      </c>
      <c r="N154" s="150" t="s">
        <v>2682</v>
      </c>
      <c r="O154" s="150" t="s">
        <v>3146</v>
      </c>
      <c r="P154" s="150" t="s">
        <v>4484</v>
      </c>
      <c r="Q154" s="442">
        <f>COUNTIF('Hedef Liste'!$A:$A,A154)</f>
        <v>1</v>
      </c>
    </row>
    <row r="155" hidden="1">
      <c r="A155" s="150" t="s">
        <v>4696</v>
      </c>
      <c r="B155" s="150" t="s">
        <v>4697</v>
      </c>
      <c r="C155" s="439" t="s">
        <v>4483</v>
      </c>
      <c r="D155" s="150" t="s">
        <v>2867</v>
      </c>
      <c r="E155" s="440">
        <v>18253.0</v>
      </c>
      <c r="F155" s="440">
        <v>311.0</v>
      </c>
      <c r="G155" s="440">
        <v>37.0</v>
      </c>
      <c r="H155" s="440">
        <v>19.0</v>
      </c>
      <c r="I155" s="440">
        <v>56.0</v>
      </c>
      <c r="J155" s="441">
        <v>0.66</v>
      </c>
      <c r="K155" s="150" t="s">
        <v>4698</v>
      </c>
      <c r="L155" s="150">
        <v>2.223228484E9</v>
      </c>
      <c r="M155" s="150" t="s">
        <v>2666</v>
      </c>
      <c r="N155" s="150" t="s">
        <v>2721</v>
      </c>
      <c r="O155" s="150" t="s">
        <v>4699</v>
      </c>
      <c r="P155" s="150" t="s">
        <v>4484</v>
      </c>
      <c r="Q155" s="442">
        <f>COUNTIF('Hedef Liste'!$A:$A,A155)</f>
        <v>0</v>
      </c>
    </row>
    <row r="156" hidden="1">
      <c r="A156" s="150" t="s">
        <v>311</v>
      </c>
      <c r="B156" s="150" t="s">
        <v>312</v>
      </c>
      <c r="C156" s="439" t="s">
        <v>4520</v>
      </c>
      <c r="D156" s="150" t="s">
        <v>2696</v>
      </c>
      <c r="E156" s="440">
        <v>1352.0</v>
      </c>
      <c r="F156" s="443"/>
      <c r="G156" s="440">
        <v>15.0</v>
      </c>
      <c r="H156" s="440">
        <v>10.0</v>
      </c>
      <c r="I156" s="440">
        <v>25.0</v>
      </c>
      <c r="J156" s="441">
        <v>0.6</v>
      </c>
      <c r="K156" s="150" t="s">
        <v>4700</v>
      </c>
      <c r="L156" s="150">
        <v>2.223229977E9</v>
      </c>
      <c r="M156" s="150" t="s">
        <v>2666</v>
      </c>
      <c r="N156" s="150" t="s">
        <v>2682</v>
      </c>
      <c r="O156" s="150" t="s">
        <v>316</v>
      </c>
      <c r="P156" s="150" t="s">
        <v>4484</v>
      </c>
      <c r="Q156" s="442">
        <f>COUNTIF('Hedef Liste'!$A:$A,A156)</f>
        <v>1</v>
      </c>
    </row>
    <row r="157" hidden="1">
      <c r="A157" s="150" t="s">
        <v>3502</v>
      </c>
      <c r="B157" s="150" t="s">
        <v>3503</v>
      </c>
      <c r="C157" s="439" t="s">
        <v>4483</v>
      </c>
      <c r="D157" s="150" t="s">
        <v>2696</v>
      </c>
      <c r="E157" s="440">
        <v>2871.0</v>
      </c>
      <c r="F157" s="440">
        <v>34.0</v>
      </c>
      <c r="G157" s="440">
        <v>0.0</v>
      </c>
      <c r="H157" s="440">
        <v>22.0</v>
      </c>
      <c r="I157" s="440">
        <v>22.0</v>
      </c>
      <c r="J157" s="441">
        <v>0.0</v>
      </c>
      <c r="K157" s="150" t="s">
        <v>4701</v>
      </c>
      <c r="L157" s="150">
        <v>5.382311093E9</v>
      </c>
      <c r="M157" s="150" t="s">
        <v>2666</v>
      </c>
      <c r="N157" s="150" t="s">
        <v>2879</v>
      </c>
      <c r="O157" s="150" t="s">
        <v>3504</v>
      </c>
      <c r="P157" s="150" t="s">
        <v>4484</v>
      </c>
      <c r="Q157" s="442">
        <f>COUNTIF('Hedef Liste'!$A:$A,A157)</f>
        <v>1</v>
      </c>
    </row>
    <row r="158" hidden="1">
      <c r="A158" s="150" t="s">
        <v>589</v>
      </c>
      <c r="B158" s="150" t="s">
        <v>590</v>
      </c>
      <c r="C158" s="439" t="s">
        <v>4520</v>
      </c>
      <c r="D158" s="150" t="s">
        <v>2763</v>
      </c>
      <c r="E158" s="440">
        <v>212.0</v>
      </c>
      <c r="F158" s="443"/>
      <c r="G158" s="440">
        <v>9.0</v>
      </c>
      <c r="H158" s="440">
        <v>24.0</v>
      </c>
      <c r="I158" s="440">
        <v>33.0</v>
      </c>
      <c r="J158" s="441">
        <v>0.27</v>
      </c>
      <c r="K158" s="150" t="s">
        <v>4702</v>
      </c>
      <c r="L158" s="150">
        <v>5.542631337E9</v>
      </c>
      <c r="M158" s="150" t="s">
        <v>1450</v>
      </c>
      <c r="N158" s="150" t="s">
        <v>3009</v>
      </c>
      <c r="O158" s="150" t="s">
        <v>592</v>
      </c>
      <c r="P158" s="150" t="s">
        <v>4484</v>
      </c>
      <c r="Q158" s="442">
        <f>COUNTIF('Hedef Liste'!$A:$A,A158)</f>
        <v>1</v>
      </c>
    </row>
    <row r="159" hidden="1">
      <c r="A159" s="150" t="s">
        <v>140</v>
      </c>
      <c r="B159" s="150" t="s">
        <v>4703</v>
      </c>
      <c r="C159" s="439" t="s">
        <v>4483</v>
      </c>
      <c r="D159" s="150" t="s">
        <v>2736</v>
      </c>
      <c r="E159" s="440">
        <v>3962.0</v>
      </c>
      <c r="F159" s="440">
        <v>80.0</v>
      </c>
      <c r="G159" s="440">
        <v>8.0</v>
      </c>
      <c r="H159" s="440">
        <v>6.0</v>
      </c>
      <c r="I159" s="440">
        <v>14.0</v>
      </c>
      <c r="J159" s="441">
        <v>0.57</v>
      </c>
      <c r="K159" s="150" t="s">
        <v>4704</v>
      </c>
      <c r="L159" s="150">
        <v>5.458176074E9</v>
      </c>
      <c r="M159" s="150" t="s">
        <v>1450</v>
      </c>
      <c r="N159" s="150" t="s">
        <v>2700</v>
      </c>
      <c r="O159" s="150" t="s">
        <v>4705</v>
      </c>
      <c r="P159" s="150" t="s">
        <v>4484</v>
      </c>
      <c r="Q159" s="442">
        <f>COUNTIF('Hedef Liste'!$A:$A,A159)</f>
        <v>1</v>
      </c>
    </row>
    <row r="160" hidden="1">
      <c r="A160" s="150" t="s">
        <v>1711</v>
      </c>
      <c r="B160" s="150" t="s">
        <v>1712</v>
      </c>
      <c r="C160" s="439" t="s">
        <v>4483</v>
      </c>
      <c r="D160" s="150" t="s">
        <v>2773</v>
      </c>
      <c r="E160" s="440">
        <v>353.0</v>
      </c>
      <c r="F160" s="440">
        <v>8.0</v>
      </c>
      <c r="G160" s="440">
        <v>8.0</v>
      </c>
      <c r="H160" s="440">
        <v>1.0</v>
      </c>
      <c r="I160" s="440">
        <v>9.0</v>
      </c>
      <c r="J160" s="441">
        <v>0.89</v>
      </c>
      <c r="K160" s="150" t="s">
        <v>4706</v>
      </c>
      <c r="L160" s="150">
        <v>5.386778626E9</v>
      </c>
      <c r="M160" s="150" t="s">
        <v>1450</v>
      </c>
      <c r="N160" s="150" t="s">
        <v>2716</v>
      </c>
      <c r="O160" s="150" t="s">
        <v>1714</v>
      </c>
      <c r="P160" s="150" t="s">
        <v>4484</v>
      </c>
      <c r="Q160" s="442">
        <f>COUNTIF('Hedef Liste'!$A:$A,A160)</f>
        <v>1</v>
      </c>
    </row>
    <row r="161" hidden="1">
      <c r="A161" s="150" t="s">
        <v>750</v>
      </c>
      <c r="B161" s="150" t="s">
        <v>751</v>
      </c>
      <c r="C161" s="439" t="s">
        <v>4483</v>
      </c>
      <c r="D161" s="150" t="s">
        <v>2658</v>
      </c>
      <c r="E161" s="440">
        <v>4664.0</v>
      </c>
      <c r="F161" s="440">
        <v>93.0</v>
      </c>
      <c r="G161" s="440">
        <v>12.0</v>
      </c>
      <c r="H161" s="440">
        <v>7.0</v>
      </c>
      <c r="I161" s="440">
        <v>19.0</v>
      </c>
      <c r="J161" s="441">
        <v>0.63</v>
      </c>
      <c r="K161" s="150" t="s">
        <v>4707</v>
      </c>
      <c r="L161" s="150">
        <v>2.223355045E9</v>
      </c>
      <c r="M161" s="150" t="s">
        <v>2666</v>
      </c>
      <c r="N161" s="150" t="s">
        <v>3084</v>
      </c>
      <c r="O161" s="150" t="s">
        <v>753</v>
      </c>
      <c r="P161" s="150" t="s">
        <v>4484</v>
      </c>
      <c r="Q161" s="442">
        <f>COUNTIF('Hedef Liste'!$A:$A,A161)</f>
        <v>1</v>
      </c>
    </row>
    <row r="162" hidden="1">
      <c r="A162" s="150" t="s">
        <v>4708</v>
      </c>
      <c r="B162" s="150" t="s">
        <v>4709</v>
      </c>
      <c r="C162" s="439" t="s">
        <v>4483</v>
      </c>
      <c r="D162" s="150" t="s">
        <v>2724</v>
      </c>
      <c r="E162" s="440">
        <v>4210.0</v>
      </c>
      <c r="F162" s="440">
        <v>48.0</v>
      </c>
      <c r="G162" s="440">
        <v>100.0</v>
      </c>
      <c r="H162" s="440">
        <v>33.0</v>
      </c>
      <c r="I162" s="440">
        <v>133.0</v>
      </c>
      <c r="J162" s="441">
        <v>0.75</v>
      </c>
      <c r="K162" s="150" t="s">
        <v>4710</v>
      </c>
      <c r="L162" s="150">
        <v>2.225020029E9</v>
      </c>
      <c r="M162" s="150" t="s">
        <v>2666</v>
      </c>
      <c r="N162" s="150" t="s">
        <v>2667</v>
      </c>
      <c r="O162" s="150" t="s">
        <v>4711</v>
      </c>
      <c r="P162" s="150" t="s">
        <v>4484</v>
      </c>
      <c r="Q162" s="442">
        <f>COUNTIF('Hedef Liste'!$A:$A,A162)</f>
        <v>0</v>
      </c>
    </row>
    <row r="163" hidden="1">
      <c r="A163" s="150" t="s">
        <v>677</v>
      </c>
      <c r="B163" s="150" t="s">
        <v>678</v>
      </c>
      <c r="C163" s="439" t="s">
        <v>4483</v>
      </c>
      <c r="D163" s="150" t="s">
        <v>2751</v>
      </c>
      <c r="E163" s="440">
        <v>1973.0</v>
      </c>
      <c r="F163" s="440">
        <v>95.0</v>
      </c>
      <c r="G163" s="440">
        <v>56.0</v>
      </c>
      <c r="H163" s="440">
        <v>22.0</v>
      </c>
      <c r="I163" s="440">
        <v>78.0</v>
      </c>
      <c r="J163" s="441">
        <v>0.72</v>
      </c>
      <c r="K163" s="150" t="s">
        <v>4712</v>
      </c>
      <c r="L163" s="150">
        <v>5.452260237E9</v>
      </c>
      <c r="M163" s="150" t="s">
        <v>1450</v>
      </c>
      <c r="N163" s="150" t="s">
        <v>2716</v>
      </c>
      <c r="O163" s="150" t="s">
        <v>680</v>
      </c>
      <c r="P163" s="150" t="s">
        <v>4484</v>
      </c>
      <c r="Q163" s="442">
        <f>COUNTIF('Hedef Liste'!$A:$A,A163)</f>
        <v>1</v>
      </c>
    </row>
    <row r="164" hidden="1">
      <c r="A164" s="150" t="s">
        <v>4713</v>
      </c>
      <c r="B164" s="150" t="s">
        <v>4714</v>
      </c>
      <c r="C164" s="439" t="s">
        <v>4483</v>
      </c>
      <c r="D164" s="150" t="s">
        <v>2773</v>
      </c>
      <c r="E164" s="440">
        <v>2612.0</v>
      </c>
      <c r="F164" s="440">
        <v>71.0</v>
      </c>
      <c r="G164" s="440">
        <v>72.0</v>
      </c>
      <c r="H164" s="440">
        <v>2.0</v>
      </c>
      <c r="I164" s="440">
        <v>74.0</v>
      </c>
      <c r="J164" s="441">
        <v>0.97</v>
      </c>
      <c r="K164" s="150" t="s">
        <v>4567</v>
      </c>
      <c r="L164" s="150">
        <v>5.324727084E9</v>
      </c>
      <c r="M164" s="150" t="s">
        <v>1450</v>
      </c>
      <c r="N164" s="150" t="s">
        <v>2703</v>
      </c>
      <c r="O164" s="150" t="s">
        <v>4715</v>
      </c>
      <c r="P164" s="150" t="s">
        <v>4512</v>
      </c>
      <c r="Q164" s="442">
        <f>COUNTIF('Hedef Liste'!$A:$A,A164)</f>
        <v>0</v>
      </c>
    </row>
    <row r="165" hidden="1">
      <c r="A165" s="150" t="s">
        <v>900</v>
      </c>
      <c r="B165" s="150" t="s">
        <v>901</v>
      </c>
      <c r="C165" s="439" t="s">
        <v>4483</v>
      </c>
      <c r="D165" s="150" t="s">
        <v>2763</v>
      </c>
      <c r="E165" s="440">
        <v>2971.0</v>
      </c>
      <c r="F165" s="440">
        <v>49.0</v>
      </c>
      <c r="G165" s="440">
        <v>20.0</v>
      </c>
      <c r="H165" s="440">
        <v>58.0</v>
      </c>
      <c r="I165" s="440">
        <v>78.0</v>
      </c>
      <c r="J165" s="441">
        <v>0.26</v>
      </c>
      <c r="K165" s="150" t="s">
        <v>4716</v>
      </c>
      <c r="L165" s="150">
        <v>2.223101212E9</v>
      </c>
      <c r="M165" s="150" t="s">
        <v>2666</v>
      </c>
      <c r="N165" s="150" t="s">
        <v>3000</v>
      </c>
      <c r="O165" s="150" t="s">
        <v>904</v>
      </c>
      <c r="P165" s="150" t="s">
        <v>4484</v>
      </c>
      <c r="Q165" s="442">
        <f>COUNTIF('Hedef Liste'!$A:$A,A165)</f>
        <v>1</v>
      </c>
    </row>
    <row r="166" hidden="1">
      <c r="A166" s="150" t="s">
        <v>551</v>
      </c>
      <c r="B166" s="150" t="s">
        <v>4717</v>
      </c>
      <c r="C166" s="439" t="s">
        <v>4483</v>
      </c>
      <c r="D166" s="150" t="s">
        <v>2706</v>
      </c>
      <c r="E166" s="440">
        <v>2378.0</v>
      </c>
      <c r="F166" s="440">
        <v>90.0</v>
      </c>
      <c r="G166" s="440">
        <v>66.0</v>
      </c>
      <c r="H166" s="440">
        <v>28.0</v>
      </c>
      <c r="I166" s="440">
        <v>94.0</v>
      </c>
      <c r="J166" s="441">
        <v>0.7</v>
      </c>
      <c r="K166" s="150" t="s">
        <v>4718</v>
      </c>
      <c r="L166" s="150">
        <v>2.222217999E9</v>
      </c>
      <c r="M166" s="150" t="s">
        <v>2666</v>
      </c>
      <c r="N166" s="150" t="s">
        <v>2711</v>
      </c>
      <c r="O166" s="150" t="s">
        <v>555</v>
      </c>
      <c r="P166" s="150" t="s">
        <v>4484</v>
      </c>
      <c r="Q166" s="442">
        <f>COUNTIF('Hedef Liste'!$A:$A,A166)</f>
        <v>1</v>
      </c>
    </row>
    <row r="167" hidden="1">
      <c r="A167" s="150" t="s">
        <v>4233</v>
      </c>
      <c r="B167" s="150" t="s">
        <v>4719</v>
      </c>
      <c r="C167" s="439" t="s">
        <v>4520</v>
      </c>
      <c r="D167" s="150" t="s">
        <v>2658</v>
      </c>
      <c r="E167" s="440">
        <v>2405.0</v>
      </c>
      <c r="F167" s="443"/>
      <c r="G167" s="440">
        <v>41.0</v>
      </c>
      <c r="H167" s="440">
        <v>9.0</v>
      </c>
      <c r="I167" s="440">
        <v>50.0</v>
      </c>
      <c r="J167" s="441">
        <v>0.82</v>
      </c>
      <c r="K167" s="150" t="s">
        <v>3064</v>
      </c>
      <c r="L167" s="150">
        <v>5.547101747E9</v>
      </c>
      <c r="M167" s="150" t="s">
        <v>2666</v>
      </c>
      <c r="N167" s="150" t="s">
        <v>2855</v>
      </c>
      <c r="O167" s="150" t="s">
        <v>882</v>
      </c>
      <c r="P167" s="150" t="s">
        <v>4484</v>
      </c>
      <c r="Q167" s="442">
        <f>COUNTIF('Hedef Liste'!$A:$A,A167)</f>
        <v>1</v>
      </c>
    </row>
    <row r="168" hidden="1">
      <c r="A168" s="150" t="s">
        <v>4077</v>
      </c>
      <c r="B168" s="150" t="s">
        <v>4078</v>
      </c>
      <c r="C168" s="439" t="s">
        <v>4483</v>
      </c>
      <c r="D168" s="150" t="s">
        <v>2743</v>
      </c>
      <c r="E168" s="440">
        <v>8913.0</v>
      </c>
      <c r="F168" s="440">
        <v>59.0</v>
      </c>
      <c r="G168" s="440">
        <v>32.0</v>
      </c>
      <c r="H168" s="440">
        <v>33.0</v>
      </c>
      <c r="I168" s="440">
        <v>65.0</v>
      </c>
      <c r="J168" s="441">
        <v>0.49</v>
      </c>
      <c r="K168" s="150" t="s">
        <v>4720</v>
      </c>
      <c r="L168" s="150">
        <v>2.222306356E9</v>
      </c>
      <c r="M168" s="150" t="s">
        <v>1450</v>
      </c>
      <c r="N168" s="150" t="s">
        <v>2716</v>
      </c>
      <c r="O168" s="150" t="s">
        <v>4079</v>
      </c>
      <c r="P168" s="150" t="s">
        <v>4484</v>
      </c>
      <c r="Q168" s="442">
        <f>COUNTIF('Hedef Liste'!$A:$A,A168)</f>
        <v>1</v>
      </c>
    </row>
    <row r="169" hidden="1">
      <c r="A169" s="150" t="s">
        <v>1036</v>
      </c>
      <c r="B169" s="150" t="s">
        <v>1037</v>
      </c>
      <c r="C169" s="439" t="s">
        <v>4483</v>
      </c>
      <c r="D169" s="150" t="s">
        <v>2658</v>
      </c>
      <c r="E169" s="440">
        <v>8436.0</v>
      </c>
      <c r="F169" s="440">
        <v>181.0</v>
      </c>
      <c r="G169" s="440">
        <v>8.0</v>
      </c>
      <c r="H169" s="440">
        <v>11.0</v>
      </c>
      <c r="I169" s="440">
        <v>19.0</v>
      </c>
      <c r="J169" s="441">
        <v>0.42</v>
      </c>
      <c r="K169" s="150" t="s">
        <v>4721</v>
      </c>
      <c r="L169" s="150">
        <v>2.223202038E9</v>
      </c>
      <c r="M169" s="150" t="s">
        <v>2666</v>
      </c>
      <c r="N169" s="150" t="s">
        <v>3084</v>
      </c>
      <c r="O169" s="150" t="s">
        <v>1040</v>
      </c>
      <c r="P169" s="150" t="s">
        <v>4484</v>
      </c>
      <c r="Q169" s="442">
        <f>COUNTIF('Hedef Liste'!$A:$A,A169)</f>
        <v>1</v>
      </c>
    </row>
    <row r="170" hidden="1">
      <c r="A170" s="150" t="s">
        <v>494</v>
      </c>
      <c r="B170" s="150" t="s">
        <v>495</v>
      </c>
      <c r="C170" s="439" t="s">
        <v>4483</v>
      </c>
      <c r="D170" s="150" t="s">
        <v>2701</v>
      </c>
      <c r="E170" s="440">
        <v>1707.0</v>
      </c>
      <c r="F170" s="440">
        <v>43.0</v>
      </c>
      <c r="G170" s="440">
        <v>35.0</v>
      </c>
      <c r="H170" s="440">
        <v>30.0</v>
      </c>
      <c r="I170" s="440">
        <v>65.0</v>
      </c>
      <c r="J170" s="441">
        <v>0.54</v>
      </c>
      <c r="K170" s="150" t="s">
        <v>4722</v>
      </c>
      <c r="L170" s="150">
        <v>5.059018671E9</v>
      </c>
      <c r="M170" s="150" t="s">
        <v>1450</v>
      </c>
      <c r="N170" s="150" t="s">
        <v>2700</v>
      </c>
      <c r="O170" s="150" t="s">
        <v>498</v>
      </c>
      <c r="P170" s="150" t="s">
        <v>4484</v>
      </c>
      <c r="Q170" s="442">
        <f>COUNTIF('Hedef Liste'!$A:$A,A170)</f>
        <v>1</v>
      </c>
    </row>
    <row r="171" hidden="1">
      <c r="A171" s="150" t="s">
        <v>3239</v>
      </c>
      <c r="B171" s="150" t="s">
        <v>3240</v>
      </c>
      <c r="C171" s="439" t="s">
        <v>4483</v>
      </c>
      <c r="D171" s="150" t="s">
        <v>2773</v>
      </c>
      <c r="E171" s="440">
        <v>1220.0</v>
      </c>
      <c r="F171" s="440">
        <v>1.0</v>
      </c>
      <c r="G171" s="440">
        <v>5.0</v>
      </c>
      <c r="H171" s="440">
        <v>7.0</v>
      </c>
      <c r="I171" s="440">
        <v>12.0</v>
      </c>
      <c r="J171" s="441">
        <v>0.42</v>
      </c>
      <c r="K171" s="150" t="s">
        <v>2916</v>
      </c>
      <c r="L171" s="150">
        <v>5.520746065E9</v>
      </c>
      <c r="M171" s="150" t="s">
        <v>2666</v>
      </c>
      <c r="N171" s="150" t="s">
        <v>2711</v>
      </c>
      <c r="O171" s="150" t="s">
        <v>935</v>
      </c>
      <c r="P171" s="150" t="s">
        <v>4484</v>
      </c>
      <c r="Q171" s="442">
        <f>COUNTIF('Hedef Liste'!$A:$A,A171)</f>
        <v>1</v>
      </c>
    </row>
    <row r="172" hidden="1">
      <c r="A172" s="150" t="s">
        <v>330</v>
      </c>
      <c r="B172" s="150" t="s">
        <v>4723</v>
      </c>
      <c r="C172" s="439" t="s">
        <v>4483</v>
      </c>
      <c r="D172" s="150" t="s">
        <v>2696</v>
      </c>
      <c r="E172" s="440">
        <v>2206.0</v>
      </c>
      <c r="F172" s="440">
        <v>20.0</v>
      </c>
      <c r="G172" s="440">
        <v>18.0</v>
      </c>
      <c r="H172" s="440">
        <v>10.0</v>
      </c>
      <c r="I172" s="440">
        <v>28.0</v>
      </c>
      <c r="J172" s="441">
        <v>0.64</v>
      </c>
      <c r="K172" s="150" t="s">
        <v>4724</v>
      </c>
      <c r="L172" s="150">
        <v>5.42220051E9</v>
      </c>
      <c r="M172" s="150" t="s">
        <v>1450</v>
      </c>
      <c r="N172" s="150" t="s">
        <v>2732</v>
      </c>
      <c r="O172" s="150" t="s">
        <v>333</v>
      </c>
      <c r="P172" s="150" t="s">
        <v>4484</v>
      </c>
      <c r="Q172" s="442">
        <f>COUNTIF('Hedef Liste'!$A:$A,A172)</f>
        <v>1</v>
      </c>
    </row>
    <row r="173" hidden="1">
      <c r="A173" s="150" t="s">
        <v>452</v>
      </c>
      <c r="B173" s="150" t="s">
        <v>453</v>
      </c>
      <c r="C173" s="439" t="s">
        <v>4483</v>
      </c>
      <c r="D173" s="150" t="s">
        <v>2978</v>
      </c>
      <c r="E173" s="440">
        <v>7588.0</v>
      </c>
      <c r="F173" s="440">
        <v>316.0</v>
      </c>
      <c r="G173" s="440">
        <v>39.0</v>
      </c>
      <c r="H173" s="440">
        <v>78.0</v>
      </c>
      <c r="I173" s="440">
        <v>117.0</v>
      </c>
      <c r="J173" s="441">
        <v>0.33</v>
      </c>
      <c r="K173" s="150" t="s">
        <v>4688</v>
      </c>
      <c r="L173" s="150">
        <v>5.426713812E9</v>
      </c>
      <c r="M173" s="150" t="s">
        <v>1450</v>
      </c>
      <c r="N173" s="150" t="s">
        <v>2732</v>
      </c>
      <c r="O173" s="150" t="s">
        <v>455</v>
      </c>
      <c r="P173" s="150" t="s">
        <v>4484</v>
      </c>
      <c r="Q173" s="442">
        <f>COUNTIF('Hedef Liste'!$A:$A,A173)</f>
        <v>1</v>
      </c>
    </row>
    <row r="174" hidden="1">
      <c r="A174" s="150" t="s">
        <v>170</v>
      </c>
      <c r="B174" s="150" t="s">
        <v>171</v>
      </c>
      <c r="C174" s="439" t="s">
        <v>4483</v>
      </c>
      <c r="D174" s="150" t="s">
        <v>2696</v>
      </c>
      <c r="E174" s="440">
        <v>5098.0</v>
      </c>
      <c r="F174" s="440">
        <v>483.0</v>
      </c>
      <c r="G174" s="440">
        <v>22.0</v>
      </c>
      <c r="H174" s="440">
        <v>14.0</v>
      </c>
      <c r="I174" s="440">
        <v>36.0</v>
      </c>
      <c r="J174" s="441">
        <v>0.61</v>
      </c>
      <c r="K174" s="150" t="s">
        <v>3366</v>
      </c>
      <c r="L174" s="150">
        <v>2.223100273E9</v>
      </c>
      <c r="M174" s="150" t="s">
        <v>2666</v>
      </c>
      <c r="N174" s="150" t="s">
        <v>2750</v>
      </c>
      <c r="O174" s="150" t="s">
        <v>174</v>
      </c>
      <c r="P174" s="150" t="s">
        <v>4484</v>
      </c>
      <c r="Q174" s="442">
        <f>COUNTIF('Hedef Liste'!$A:$A,A174)</f>
        <v>1</v>
      </c>
    </row>
    <row r="175" hidden="1">
      <c r="A175" s="150" t="s">
        <v>3012</v>
      </c>
      <c r="B175" s="150" t="s">
        <v>3013</v>
      </c>
      <c r="C175" s="439" t="s">
        <v>4483</v>
      </c>
      <c r="D175" s="150" t="s">
        <v>2684</v>
      </c>
      <c r="E175" s="440">
        <v>3295.0</v>
      </c>
      <c r="F175" s="440">
        <v>67.0</v>
      </c>
      <c r="G175" s="440">
        <v>0.0</v>
      </c>
      <c r="H175" s="440">
        <v>11.0</v>
      </c>
      <c r="I175" s="440">
        <v>11.0</v>
      </c>
      <c r="J175" s="441">
        <v>0.0</v>
      </c>
      <c r="K175" s="150" t="s">
        <v>3376</v>
      </c>
      <c r="L175" s="150">
        <v>5.398516626E9</v>
      </c>
      <c r="M175" s="150" t="s">
        <v>1450</v>
      </c>
      <c r="N175" s="150" t="s">
        <v>3009</v>
      </c>
      <c r="O175" s="150" t="s">
        <v>3014</v>
      </c>
      <c r="P175" s="150" t="s">
        <v>4484</v>
      </c>
      <c r="Q175" s="442">
        <f>COUNTIF('Hedef Liste'!$A:$A,A175)</f>
        <v>1</v>
      </c>
    </row>
    <row r="176" hidden="1">
      <c r="A176" s="150" t="s">
        <v>1764</v>
      </c>
      <c r="B176" s="150" t="s">
        <v>1765</v>
      </c>
      <c r="C176" s="439" t="s">
        <v>4483</v>
      </c>
      <c r="D176" s="150" t="s">
        <v>2664</v>
      </c>
      <c r="E176" s="440">
        <v>6095.0</v>
      </c>
      <c r="F176" s="440">
        <v>3.0</v>
      </c>
      <c r="G176" s="440">
        <v>67.0</v>
      </c>
      <c r="H176" s="440">
        <v>12.0</v>
      </c>
      <c r="I176" s="440">
        <v>79.0</v>
      </c>
      <c r="J176" s="441">
        <v>0.85</v>
      </c>
      <c r="K176" s="150" t="s">
        <v>4195</v>
      </c>
      <c r="L176" s="150">
        <v>5.469251906E9</v>
      </c>
      <c r="M176" s="150" t="s">
        <v>2666</v>
      </c>
      <c r="N176" s="150" t="s">
        <v>2801</v>
      </c>
      <c r="O176" s="150" t="s">
        <v>1767</v>
      </c>
      <c r="P176" s="150" t="s">
        <v>4484</v>
      </c>
      <c r="Q176" s="442">
        <f>COUNTIF('Hedef Liste'!$A:$A,A176)</f>
        <v>1</v>
      </c>
    </row>
    <row r="177" hidden="1">
      <c r="A177" s="150" t="s">
        <v>4725</v>
      </c>
      <c r="B177" s="150" t="s">
        <v>4726</v>
      </c>
      <c r="C177" s="439" t="s">
        <v>4483</v>
      </c>
      <c r="D177" s="150" t="s">
        <v>2773</v>
      </c>
      <c r="E177" s="440">
        <v>1600.0</v>
      </c>
      <c r="F177" s="440">
        <v>14.0</v>
      </c>
      <c r="G177" s="440">
        <v>68.0</v>
      </c>
      <c r="H177" s="440">
        <v>5.0</v>
      </c>
      <c r="I177" s="440">
        <v>73.0</v>
      </c>
      <c r="J177" s="441">
        <v>0.93</v>
      </c>
      <c r="K177" s="150" t="s">
        <v>4567</v>
      </c>
      <c r="L177" s="150">
        <v>5.067051674E9</v>
      </c>
      <c r="M177" s="150" t="s">
        <v>2666</v>
      </c>
      <c r="N177" s="150" t="s">
        <v>3131</v>
      </c>
      <c r="O177" s="150" t="s">
        <v>4727</v>
      </c>
      <c r="P177" s="150" t="s">
        <v>4512</v>
      </c>
      <c r="Q177" s="442">
        <f>COUNTIF('Hedef Liste'!$A:$A,A177)</f>
        <v>0</v>
      </c>
    </row>
    <row r="178" hidden="1">
      <c r="A178" s="150" t="s">
        <v>2469</v>
      </c>
      <c r="B178" s="150" t="s">
        <v>2470</v>
      </c>
      <c r="C178" s="439" t="s">
        <v>4483</v>
      </c>
      <c r="D178" s="150" t="s">
        <v>2701</v>
      </c>
      <c r="E178" s="440">
        <v>1925.0</v>
      </c>
      <c r="F178" s="440">
        <v>37.0</v>
      </c>
      <c r="G178" s="440">
        <v>48.0</v>
      </c>
      <c r="H178" s="440">
        <v>14.0</v>
      </c>
      <c r="I178" s="440">
        <v>62.0</v>
      </c>
      <c r="J178" s="441">
        <v>0.77</v>
      </c>
      <c r="K178" s="150" t="s">
        <v>4728</v>
      </c>
      <c r="L178" s="150">
        <v>5.464279595E9</v>
      </c>
      <c r="M178" s="150" t="s">
        <v>1450</v>
      </c>
      <c r="N178" s="150" t="s">
        <v>2732</v>
      </c>
      <c r="O178" s="150" t="s">
        <v>3493</v>
      </c>
      <c r="P178" s="150" t="s">
        <v>4484</v>
      </c>
      <c r="Q178" s="442">
        <f>COUNTIF('Hedef Liste'!$A:$A,A178)</f>
        <v>1</v>
      </c>
    </row>
    <row r="179" hidden="1">
      <c r="A179" s="150" t="s">
        <v>2441</v>
      </c>
      <c r="B179" s="150" t="s">
        <v>2442</v>
      </c>
      <c r="C179" s="439" t="s">
        <v>4483</v>
      </c>
      <c r="D179" s="150" t="s">
        <v>2751</v>
      </c>
      <c r="E179" s="440">
        <v>3748.0</v>
      </c>
      <c r="F179" s="440">
        <v>40.0</v>
      </c>
      <c r="G179" s="440">
        <v>5.0</v>
      </c>
      <c r="H179" s="440">
        <v>1.0</v>
      </c>
      <c r="I179" s="440">
        <v>6.0</v>
      </c>
      <c r="J179" s="441">
        <v>0.83</v>
      </c>
      <c r="K179" s="150" t="s">
        <v>4729</v>
      </c>
      <c r="L179" s="150">
        <v>2.222261326E9</v>
      </c>
      <c r="M179" s="150" t="s">
        <v>1450</v>
      </c>
      <c r="N179" s="150" t="s">
        <v>2700</v>
      </c>
      <c r="O179" s="150" t="s">
        <v>2444</v>
      </c>
      <c r="P179" s="150" t="s">
        <v>4484</v>
      </c>
      <c r="Q179" s="442">
        <f>COUNTIF('Hedef Liste'!$A:$A,A179)</f>
        <v>1</v>
      </c>
    </row>
    <row r="180" hidden="1">
      <c r="A180" s="150" t="s">
        <v>121</v>
      </c>
      <c r="B180" s="150" t="s">
        <v>122</v>
      </c>
      <c r="C180" s="439" t="s">
        <v>4483</v>
      </c>
      <c r="D180" s="150" t="s">
        <v>2672</v>
      </c>
      <c r="E180" s="440">
        <v>5671.0</v>
      </c>
      <c r="F180" s="440">
        <v>371.0</v>
      </c>
      <c r="G180" s="440">
        <v>10.0</v>
      </c>
      <c r="H180" s="440">
        <v>27.0</v>
      </c>
      <c r="I180" s="440">
        <v>37.0</v>
      </c>
      <c r="J180" s="441">
        <v>0.27</v>
      </c>
      <c r="K180" s="150" t="s">
        <v>4730</v>
      </c>
      <c r="L180" s="150">
        <v>2.224057071E9</v>
      </c>
      <c r="M180" s="150" t="s">
        <v>1450</v>
      </c>
      <c r="N180" s="150" t="s">
        <v>2950</v>
      </c>
      <c r="O180" s="150" t="s">
        <v>80</v>
      </c>
      <c r="P180" s="150" t="s">
        <v>4484</v>
      </c>
      <c r="Q180" s="442">
        <f>COUNTIF('Hedef Liste'!$A:$A,A180)</f>
        <v>1</v>
      </c>
    </row>
    <row r="181" hidden="1">
      <c r="A181" s="150" t="s">
        <v>3422</v>
      </c>
      <c r="B181" s="150" t="s">
        <v>3423</v>
      </c>
      <c r="C181" s="439" t="s">
        <v>4483</v>
      </c>
      <c r="D181" s="150" t="s">
        <v>2684</v>
      </c>
      <c r="E181" s="440">
        <v>3893.0</v>
      </c>
      <c r="F181" s="440">
        <v>103.0</v>
      </c>
      <c r="G181" s="440">
        <v>25.0</v>
      </c>
      <c r="H181" s="440">
        <v>6.0</v>
      </c>
      <c r="I181" s="440">
        <v>31.0</v>
      </c>
      <c r="J181" s="441">
        <v>0.81</v>
      </c>
      <c r="K181" s="150" t="s">
        <v>4731</v>
      </c>
      <c r="L181" s="150">
        <v>5.320570294E9</v>
      </c>
      <c r="M181" s="150" t="s">
        <v>2666</v>
      </c>
      <c r="N181" s="150" t="s">
        <v>2721</v>
      </c>
      <c r="O181" s="150" t="s">
        <v>3424</v>
      </c>
      <c r="P181" s="150" t="s">
        <v>4484</v>
      </c>
      <c r="Q181" s="442">
        <f>COUNTIF('Hedef Liste'!$A:$A,A181)</f>
        <v>1</v>
      </c>
    </row>
    <row r="182" hidden="1">
      <c r="A182" s="150" t="s">
        <v>3763</v>
      </c>
      <c r="B182" s="150" t="s">
        <v>1794</v>
      </c>
      <c r="C182" s="439" t="s">
        <v>4483</v>
      </c>
      <c r="D182" s="150" t="s">
        <v>2696</v>
      </c>
      <c r="E182" s="440">
        <v>1351.0</v>
      </c>
      <c r="F182" s="440">
        <v>18.0</v>
      </c>
      <c r="G182" s="440">
        <v>0.0</v>
      </c>
      <c r="H182" s="440">
        <v>40.0</v>
      </c>
      <c r="I182" s="440">
        <v>40.0</v>
      </c>
      <c r="J182" s="441">
        <v>0.0</v>
      </c>
      <c r="K182" s="150" t="s">
        <v>3550</v>
      </c>
      <c r="L182" s="150">
        <v>5.531029147E9</v>
      </c>
      <c r="M182" s="150" t="s">
        <v>1450</v>
      </c>
      <c r="N182" s="150" t="s">
        <v>2732</v>
      </c>
      <c r="O182" s="150" t="s">
        <v>3757</v>
      </c>
      <c r="P182" s="150" t="s">
        <v>4484</v>
      </c>
      <c r="Q182" s="442">
        <f>COUNTIF('Hedef Liste'!$A:$A,A182)</f>
        <v>1</v>
      </c>
    </row>
    <row r="183" hidden="1">
      <c r="A183" s="150" t="s">
        <v>364</v>
      </c>
      <c r="B183" s="150" t="s">
        <v>365</v>
      </c>
      <c r="C183" s="439" t="s">
        <v>4483</v>
      </c>
      <c r="D183" s="150" t="s">
        <v>2850</v>
      </c>
      <c r="E183" s="440">
        <v>10661.0</v>
      </c>
      <c r="F183" s="440">
        <v>383.0</v>
      </c>
      <c r="G183" s="440">
        <v>24.0</v>
      </c>
      <c r="H183" s="440">
        <v>36.0</v>
      </c>
      <c r="I183" s="440">
        <v>60.0</v>
      </c>
      <c r="J183" s="441">
        <v>0.4</v>
      </c>
      <c r="K183" s="150" t="s">
        <v>4732</v>
      </c>
      <c r="L183" s="150">
        <v>2.223224005E9</v>
      </c>
      <c r="M183" s="150" t="s">
        <v>2666</v>
      </c>
      <c r="N183" s="150" t="s">
        <v>2801</v>
      </c>
      <c r="O183" s="150" t="s">
        <v>1327</v>
      </c>
      <c r="P183" s="150" t="s">
        <v>4484</v>
      </c>
      <c r="Q183" s="442">
        <f>COUNTIF('Hedef Liste'!$A:$A,A183)</f>
        <v>1</v>
      </c>
    </row>
    <row r="184" hidden="1">
      <c r="A184" s="150" t="s">
        <v>3417</v>
      </c>
      <c r="B184" s="150" t="s">
        <v>3418</v>
      </c>
      <c r="C184" s="439" t="s">
        <v>4483</v>
      </c>
      <c r="D184" s="150" t="s">
        <v>3419</v>
      </c>
      <c r="E184" s="440">
        <v>3586.0</v>
      </c>
      <c r="F184" s="440">
        <v>162.0</v>
      </c>
      <c r="G184" s="440">
        <v>8.0</v>
      </c>
      <c r="H184" s="440">
        <v>4.0</v>
      </c>
      <c r="I184" s="440">
        <v>12.0</v>
      </c>
      <c r="J184" s="441">
        <v>0.67</v>
      </c>
      <c r="K184" s="150" t="s">
        <v>4731</v>
      </c>
      <c r="L184" s="150">
        <v>5.32204591E9</v>
      </c>
      <c r="M184" s="150" t="s">
        <v>2666</v>
      </c>
      <c r="N184" s="150" t="s">
        <v>2682</v>
      </c>
      <c r="O184" s="150" t="s">
        <v>3420</v>
      </c>
      <c r="P184" s="150" t="s">
        <v>4484</v>
      </c>
      <c r="Q184" s="442">
        <f>COUNTIF('Hedef Liste'!$A:$A,A184)</f>
        <v>1</v>
      </c>
    </row>
    <row r="185" hidden="1">
      <c r="A185" s="150" t="s">
        <v>528</v>
      </c>
      <c r="B185" s="150" t="s">
        <v>529</v>
      </c>
      <c r="C185" s="439" t="s">
        <v>4483</v>
      </c>
      <c r="D185" s="150" t="s">
        <v>2658</v>
      </c>
      <c r="E185" s="440">
        <v>1297.0</v>
      </c>
      <c r="F185" s="440">
        <v>30.0</v>
      </c>
      <c r="G185" s="440">
        <v>8.0</v>
      </c>
      <c r="H185" s="440">
        <v>1.0</v>
      </c>
      <c r="I185" s="440">
        <v>9.0</v>
      </c>
      <c r="J185" s="441">
        <v>0.89</v>
      </c>
      <c r="K185" s="150" t="s">
        <v>4546</v>
      </c>
      <c r="L185" s="150">
        <v>5.35911202E9</v>
      </c>
      <c r="M185" s="150" t="s">
        <v>1450</v>
      </c>
      <c r="N185" s="150" t="s">
        <v>2700</v>
      </c>
      <c r="O185" s="150" t="s">
        <v>531</v>
      </c>
      <c r="P185" s="150" t="s">
        <v>4484</v>
      </c>
      <c r="Q185" s="442">
        <f>COUNTIF('Hedef Liste'!$A:$A,A185)</f>
        <v>1</v>
      </c>
    </row>
    <row r="186" hidden="1">
      <c r="A186" s="150" t="s">
        <v>1097</v>
      </c>
      <c r="B186" s="150" t="s">
        <v>4733</v>
      </c>
      <c r="C186" s="439" t="s">
        <v>4483</v>
      </c>
      <c r="D186" s="150" t="s">
        <v>2658</v>
      </c>
      <c r="E186" s="440">
        <v>31410.0</v>
      </c>
      <c r="F186" s="440">
        <v>1365.0</v>
      </c>
      <c r="G186" s="440">
        <v>8.0</v>
      </c>
      <c r="H186" s="440">
        <v>5.0</v>
      </c>
      <c r="I186" s="440">
        <v>13.0</v>
      </c>
      <c r="J186" s="441">
        <v>0.62</v>
      </c>
      <c r="K186" s="150" t="s">
        <v>4734</v>
      </c>
      <c r="L186" s="150">
        <v>2.22234662E9</v>
      </c>
      <c r="M186" s="150" t="s">
        <v>2666</v>
      </c>
      <c r="N186" s="150" t="s">
        <v>2667</v>
      </c>
      <c r="O186" s="150" t="s">
        <v>1100</v>
      </c>
      <c r="P186" s="150" t="s">
        <v>4484</v>
      </c>
      <c r="Q186" s="442">
        <f>COUNTIF('Hedef Liste'!$A:$A,A186)</f>
        <v>1</v>
      </c>
    </row>
    <row r="187" hidden="1">
      <c r="A187" s="150" t="s">
        <v>3177</v>
      </c>
      <c r="B187" s="150" t="s">
        <v>3178</v>
      </c>
      <c r="C187" s="439" t="s">
        <v>4483</v>
      </c>
      <c r="D187" s="150" t="s">
        <v>2867</v>
      </c>
      <c r="E187" s="440">
        <v>1900.0</v>
      </c>
      <c r="F187" s="440">
        <v>10.0</v>
      </c>
      <c r="G187" s="440">
        <v>0.0</v>
      </c>
      <c r="H187" s="440">
        <v>4.0</v>
      </c>
      <c r="I187" s="440">
        <v>4.0</v>
      </c>
      <c r="J187" s="441">
        <v>0.0</v>
      </c>
      <c r="K187" s="150" t="s">
        <v>4549</v>
      </c>
      <c r="L187" s="150">
        <v>2.22220044E9</v>
      </c>
      <c r="M187" s="150" t="s">
        <v>1450</v>
      </c>
      <c r="N187" s="150" t="s">
        <v>2795</v>
      </c>
      <c r="O187" s="150" t="s">
        <v>3179</v>
      </c>
      <c r="P187" s="150" t="s">
        <v>4484</v>
      </c>
      <c r="Q187" s="442">
        <f>COUNTIF('Hedef Liste'!$A:$A,A187)</f>
        <v>1</v>
      </c>
    </row>
    <row r="188" hidden="1">
      <c r="A188" s="150" t="s">
        <v>990</v>
      </c>
      <c r="B188" s="150" t="s">
        <v>991</v>
      </c>
      <c r="C188" s="439" t="s">
        <v>4483</v>
      </c>
      <c r="D188" s="150" t="s">
        <v>2743</v>
      </c>
      <c r="E188" s="440">
        <v>8262.0</v>
      </c>
      <c r="F188" s="440">
        <v>422.0</v>
      </c>
      <c r="G188" s="440">
        <v>11.0</v>
      </c>
      <c r="H188" s="440">
        <v>38.0</v>
      </c>
      <c r="I188" s="440">
        <v>49.0</v>
      </c>
      <c r="J188" s="441">
        <v>0.22</v>
      </c>
      <c r="K188" s="150" t="s">
        <v>4735</v>
      </c>
      <c r="L188" s="150">
        <v>5.334511829E9</v>
      </c>
      <c r="M188" s="150" t="s">
        <v>1450</v>
      </c>
      <c r="N188" s="150" t="s">
        <v>2700</v>
      </c>
      <c r="O188" s="150" t="s">
        <v>994</v>
      </c>
      <c r="P188" s="150" t="s">
        <v>4484</v>
      </c>
      <c r="Q188" s="442">
        <f>COUNTIF('Hedef Liste'!$A:$A,A188)</f>
        <v>1</v>
      </c>
    </row>
    <row r="189" hidden="1">
      <c r="A189" s="150" t="s">
        <v>4736</v>
      </c>
      <c r="B189" s="150" t="s">
        <v>4737</v>
      </c>
      <c r="C189" s="439" t="s">
        <v>4483</v>
      </c>
      <c r="D189" s="150" t="s">
        <v>4738</v>
      </c>
      <c r="E189" s="440">
        <v>3623.0</v>
      </c>
      <c r="F189" s="440">
        <v>100.0</v>
      </c>
      <c r="G189" s="440">
        <v>113.0</v>
      </c>
      <c r="H189" s="440">
        <v>7.0</v>
      </c>
      <c r="I189" s="440">
        <v>120.0</v>
      </c>
      <c r="J189" s="441">
        <v>0.94</v>
      </c>
      <c r="K189" s="150" t="s">
        <v>3116</v>
      </c>
      <c r="L189" s="150">
        <v>5.370337009E9</v>
      </c>
      <c r="M189" s="150" t="s">
        <v>2666</v>
      </c>
      <c r="N189" s="150" t="s">
        <v>2667</v>
      </c>
      <c r="O189" s="150" t="s">
        <v>4739</v>
      </c>
      <c r="P189" s="150" t="s">
        <v>4512</v>
      </c>
      <c r="Q189" s="442">
        <f>COUNTIF('Hedef Liste'!$A:$A,A189)</f>
        <v>0</v>
      </c>
    </row>
    <row r="190" hidden="1">
      <c r="A190" s="150" t="s">
        <v>4124</v>
      </c>
      <c r="B190" s="150" t="s">
        <v>4125</v>
      </c>
      <c r="C190" s="439" t="s">
        <v>4483</v>
      </c>
      <c r="D190" s="150" t="s">
        <v>2773</v>
      </c>
      <c r="E190" s="440">
        <v>1568.0</v>
      </c>
      <c r="F190" s="440">
        <v>35.0</v>
      </c>
      <c r="G190" s="440">
        <v>6.0</v>
      </c>
      <c r="H190" s="440">
        <v>18.0</v>
      </c>
      <c r="I190" s="440">
        <v>24.0</v>
      </c>
      <c r="J190" s="441">
        <v>0.25</v>
      </c>
      <c r="K190" s="150" t="s">
        <v>4740</v>
      </c>
      <c r="L190" s="150">
        <v>2.222201268E9</v>
      </c>
      <c r="M190" s="150" t="s">
        <v>2666</v>
      </c>
      <c r="N190" s="150" t="s">
        <v>2774</v>
      </c>
      <c r="O190" s="150" t="s">
        <v>4126</v>
      </c>
      <c r="P190" s="150" t="s">
        <v>4484</v>
      </c>
      <c r="Q190" s="442">
        <f>COUNTIF('Hedef Liste'!$A:$A,A190)</f>
        <v>1</v>
      </c>
    </row>
    <row r="191" hidden="1">
      <c r="A191" s="150" t="s">
        <v>1691</v>
      </c>
      <c r="B191" s="150" t="s">
        <v>1692</v>
      </c>
      <c r="C191" s="439" t="s">
        <v>4483</v>
      </c>
      <c r="D191" s="150" t="s">
        <v>2672</v>
      </c>
      <c r="E191" s="440">
        <v>1152.0</v>
      </c>
      <c r="F191" s="440">
        <v>17.0</v>
      </c>
      <c r="G191" s="440">
        <v>25.0</v>
      </c>
      <c r="H191" s="440">
        <v>1.0</v>
      </c>
      <c r="I191" s="440">
        <v>26.0</v>
      </c>
      <c r="J191" s="441">
        <v>0.96</v>
      </c>
      <c r="K191" s="150" t="s">
        <v>4741</v>
      </c>
      <c r="L191" s="150">
        <v>5.528596929E9</v>
      </c>
      <c r="M191" s="150" t="s">
        <v>1450</v>
      </c>
      <c r="N191" s="150" t="s">
        <v>2716</v>
      </c>
      <c r="O191" s="150" t="s">
        <v>1694</v>
      </c>
      <c r="P191" s="150" t="s">
        <v>4484</v>
      </c>
      <c r="Q191" s="442">
        <f>COUNTIF('Hedef Liste'!$A:$A,A191)</f>
        <v>1</v>
      </c>
    </row>
    <row r="192" hidden="1">
      <c r="A192" s="150" t="s">
        <v>3290</v>
      </c>
      <c r="B192" s="150" t="s">
        <v>3291</v>
      </c>
      <c r="C192" s="439" t="s">
        <v>4483</v>
      </c>
      <c r="D192" s="150" t="s">
        <v>2696</v>
      </c>
      <c r="E192" s="440">
        <v>1117.0</v>
      </c>
      <c r="F192" s="440">
        <v>19.0</v>
      </c>
      <c r="G192" s="440">
        <v>0.0</v>
      </c>
      <c r="H192" s="440">
        <v>59.0</v>
      </c>
      <c r="I192" s="440">
        <v>59.0</v>
      </c>
      <c r="J192" s="441">
        <v>0.0</v>
      </c>
      <c r="K192" s="150" t="s">
        <v>2764</v>
      </c>
      <c r="L192" s="150">
        <v>5.537552671E9</v>
      </c>
      <c r="M192" s="150" t="s">
        <v>2666</v>
      </c>
      <c r="N192" s="150" t="s">
        <v>2876</v>
      </c>
      <c r="O192" s="150" t="s">
        <v>3292</v>
      </c>
      <c r="P192" s="150" t="s">
        <v>4484</v>
      </c>
      <c r="Q192" s="442">
        <f>COUNTIF('Hedef Liste'!$A:$A,A192)</f>
        <v>1</v>
      </c>
    </row>
    <row r="193" hidden="1">
      <c r="A193" s="150" t="s">
        <v>131</v>
      </c>
      <c r="B193" s="150" t="s">
        <v>132</v>
      </c>
      <c r="C193" s="439" t="s">
        <v>4483</v>
      </c>
      <c r="D193" s="150" t="s">
        <v>2696</v>
      </c>
      <c r="E193" s="440">
        <v>3069.0</v>
      </c>
      <c r="F193" s="440">
        <v>92.0</v>
      </c>
      <c r="G193" s="440">
        <v>24.0</v>
      </c>
      <c r="H193" s="440">
        <v>7.0</v>
      </c>
      <c r="I193" s="440">
        <v>31.0</v>
      </c>
      <c r="J193" s="441">
        <v>0.77</v>
      </c>
      <c r="K193" s="150" t="s">
        <v>4742</v>
      </c>
      <c r="L193" s="150">
        <v>2.22502505E9</v>
      </c>
      <c r="M193" s="150" t="s">
        <v>2666</v>
      </c>
      <c r="N193" s="150" t="s">
        <v>2682</v>
      </c>
      <c r="O193" s="150" t="s">
        <v>134</v>
      </c>
      <c r="P193" s="150" t="s">
        <v>4484</v>
      </c>
      <c r="Q193" s="442">
        <f>COUNTIF('Hedef Liste'!$A:$A,A193)</f>
        <v>1</v>
      </c>
    </row>
    <row r="194" hidden="1">
      <c r="A194" s="150" t="s">
        <v>241</v>
      </c>
      <c r="B194" s="150" t="s">
        <v>242</v>
      </c>
      <c r="C194" s="439" t="s">
        <v>4483</v>
      </c>
      <c r="D194" s="150" t="s">
        <v>2850</v>
      </c>
      <c r="E194" s="440">
        <v>3423.0</v>
      </c>
      <c r="F194" s="440">
        <v>96.0</v>
      </c>
      <c r="G194" s="440">
        <v>19.0</v>
      </c>
      <c r="H194" s="440">
        <v>18.0</v>
      </c>
      <c r="I194" s="440">
        <v>37.0</v>
      </c>
      <c r="J194" s="441">
        <v>0.51</v>
      </c>
      <c r="K194" s="150" t="s">
        <v>4743</v>
      </c>
      <c r="L194" s="150">
        <v>2.223400111E9</v>
      </c>
      <c r="M194" s="150" t="s">
        <v>2666</v>
      </c>
      <c r="N194" s="150" t="s">
        <v>3000</v>
      </c>
      <c r="O194" s="150" t="s">
        <v>245</v>
      </c>
      <c r="P194" s="150" t="s">
        <v>4484</v>
      </c>
      <c r="Q194" s="442">
        <f>COUNTIF('Hedef Liste'!$A:$A,A194)</f>
        <v>1</v>
      </c>
    </row>
    <row r="195" hidden="1">
      <c r="A195" s="150" t="s">
        <v>778</v>
      </c>
      <c r="B195" s="150" t="s">
        <v>779</v>
      </c>
      <c r="C195" s="439" t="s">
        <v>4483</v>
      </c>
      <c r="D195" s="150" t="s">
        <v>2763</v>
      </c>
      <c r="E195" s="440">
        <v>446.0</v>
      </c>
      <c r="F195" s="440">
        <v>30.0</v>
      </c>
      <c r="G195" s="440">
        <v>9.0</v>
      </c>
      <c r="H195" s="440">
        <v>22.0</v>
      </c>
      <c r="I195" s="440">
        <v>31.0</v>
      </c>
      <c r="J195" s="441">
        <v>0.29</v>
      </c>
      <c r="K195" s="150" t="s">
        <v>4744</v>
      </c>
      <c r="L195" s="150">
        <v>5.41786107E8</v>
      </c>
      <c r="M195" s="150" t="s">
        <v>1450</v>
      </c>
      <c r="N195" s="150" t="s">
        <v>4745</v>
      </c>
      <c r="O195" s="150" t="s">
        <v>782</v>
      </c>
      <c r="P195" s="150" t="s">
        <v>4484</v>
      </c>
      <c r="Q195" s="442">
        <f>COUNTIF('Hedef Liste'!$A:$A,A195)</f>
        <v>1</v>
      </c>
    </row>
    <row r="196" hidden="1">
      <c r="A196" s="150" t="s">
        <v>2812</v>
      </c>
      <c r="B196" s="150" t="s">
        <v>2813</v>
      </c>
      <c r="C196" s="439" t="s">
        <v>4483</v>
      </c>
      <c r="D196" s="150" t="s">
        <v>2773</v>
      </c>
      <c r="E196" s="440">
        <v>4367.0</v>
      </c>
      <c r="F196" s="440">
        <v>127.0</v>
      </c>
      <c r="G196" s="440">
        <v>0.0</v>
      </c>
      <c r="H196" s="440">
        <v>32.0</v>
      </c>
      <c r="I196" s="440">
        <v>32.0</v>
      </c>
      <c r="J196" s="441">
        <v>0.0</v>
      </c>
      <c r="K196" s="150" t="s">
        <v>4746</v>
      </c>
      <c r="L196" s="150">
        <v>2.222211416E9</v>
      </c>
      <c r="M196" s="150" t="s">
        <v>2666</v>
      </c>
      <c r="N196" s="150" t="s">
        <v>2711</v>
      </c>
      <c r="O196" s="150" t="s">
        <v>2814</v>
      </c>
      <c r="P196" s="150" t="s">
        <v>4484</v>
      </c>
      <c r="Q196" s="442">
        <f>COUNTIF('Hedef Liste'!$A:$A,A196)</f>
        <v>1</v>
      </c>
    </row>
    <row r="197" hidden="1">
      <c r="A197" s="150" t="s">
        <v>837</v>
      </c>
      <c r="B197" s="150" t="s">
        <v>838</v>
      </c>
      <c r="C197" s="439" t="s">
        <v>4483</v>
      </c>
      <c r="D197" s="150" t="s">
        <v>2978</v>
      </c>
      <c r="E197" s="440">
        <v>2662.0</v>
      </c>
      <c r="F197" s="440">
        <v>76.0</v>
      </c>
      <c r="G197" s="440">
        <v>11.0</v>
      </c>
      <c r="H197" s="440">
        <v>20.0</v>
      </c>
      <c r="I197" s="440">
        <v>31.0</v>
      </c>
      <c r="J197" s="441">
        <v>0.35</v>
      </c>
      <c r="K197" s="150" t="s">
        <v>4747</v>
      </c>
      <c r="L197" s="150">
        <v>5.309419538E9</v>
      </c>
      <c r="M197" s="150" t="s">
        <v>2666</v>
      </c>
      <c r="N197" s="150" t="s">
        <v>2667</v>
      </c>
      <c r="O197" s="150" t="s">
        <v>840</v>
      </c>
      <c r="P197" s="150" t="s">
        <v>4484</v>
      </c>
      <c r="Q197" s="442">
        <f>COUNTIF('Hedef Liste'!$A:$A,A197)</f>
        <v>1</v>
      </c>
    </row>
    <row r="198" hidden="1">
      <c r="A198" s="150" t="s">
        <v>3892</v>
      </c>
      <c r="B198" s="150" t="s">
        <v>3893</v>
      </c>
      <c r="C198" s="439" t="s">
        <v>4483</v>
      </c>
      <c r="D198" s="150" t="s">
        <v>2773</v>
      </c>
      <c r="E198" s="440">
        <v>1764.0</v>
      </c>
      <c r="F198" s="440">
        <v>171.0</v>
      </c>
      <c r="G198" s="440">
        <v>24.0</v>
      </c>
      <c r="H198" s="440">
        <v>18.0</v>
      </c>
      <c r="I198" s="440">
        <v>42.0</v>
      </c>
      <c r="J198" s="441">
        <v>0.57</v>
      </c>
      <c r="K198" s="150" t="s">
        <v>4748</v>
      </c>
      <c r="L198" s="150">
        <v>5.465462627E9</v>
      </c>
      <c r="M198" s="150" t="s">
        <v>1450</v>
      </c>
      <c r="N198" s="150" t="s">
        <v>2732</v>
      </c>
      <c r="O198" s="150" t="s">
        <v>3894</v>
      </c>
      <c r="P198" s="150" t="s">
        <v>4484</v>
      </c>
      <c r="Q198" s="442">
        <f>COUNTIF('Hedef Liste'!$A:$A,A198)</f>
        <v>1</v>
      </c>
    </row>
    <row r="199" hidden="1">
      <c r="A199" s="150" t="s">
        <v>1124</v>
      </c>
      <c r="B199" s="150" t="s">
        <v>1125</v>
      </c>
      <c r="C199" s="439" t="s">
        <v>4483</v>
      </c>
      <c r="D199" s="150" t="s">
        <v>2658</v>
      </c>
      <c r="E199" s="440">
        <v>918.0</v>
      </c>
      <c r="F199" s="440">
        <v>13.0</v>
      </c>
      <c r="G199" s="440">
        <v>18.0</v>
      </c>
      <c r="H199" s="440">
        <v>8.0</v>
      </c>
      <c r="I199" s="440">
        <v>26.0</v>
      </c>
      <c r="J199" s="441">
        <v>0.69</v>
      </c>
      <c r="K199" s="150" t="s">
        <v>4749</v>
      </c>
      <c r="L199" s="150">
        <v>5.529434015E9</v>
      </c>
      <c r="M199" s="150" t="s">
        <v>2666</v>
      </c>
      <c r="N199" s="150" t="s">
        <v>3084</v>
      </c>
      <c r="O199" s="150" t="s">
        <v>1127</v>
      </c>
      <c r="P199" s="150" t="s">
        <v>4484</v>
      </c>
      <c r="Q199" s="442">
        <f>COUNTIF('Hedef Liste'!$A:$A,A199)</f>
        <v>1</v>
      </c>
    </row>
    <row r="200" hidden="1">
      <c r="A200" s="150" t="s">
        <v>1398</v>
      </c>
      <c r="B200" s="150" t="s">
        <v>1399</v>
      </c>
      <c r="C200" s="439" t="s">
        <v>4483</v>
      </c>
      <c r="D200" s="150" t="s">
        <v>2763</v>
      </c>
      <c r="E200" s="440">
        <v>1823.0</v>
      </c>
      <c r="F200" s="440">
        <v>37.0</v>
      </c>
      <c r="G200" s="440">
        <v>0.0</v>
      </c>
      <c r="H200" s="440">
        <v>19.0</v>
      </c>
      <c r="I200" s="440">
        <v>19.0</v>
      </c>
      <c r="J200" s="441">
        <v>0.0</v>
      </c>
      <c r="K200" s="150" t="s">
        <v>4750</v>
      </c>
      <c r="L200" s="150">
        <v>2.222345258E9</v>
      </c>
      <c r="M200" s="150" t="s">
        <v>1450</v>
      </c>
      <c r="N200" s="150" t="s">
        <v>3189</v>
      </c>
      <c r="O200" s="150" t="s">
        <v>1360</v>
      </c>
      <c r="P200" s="150" t="s">
        <v>4484</v>
      </c>
      <c r="Q200" s="442">
        <f>COUNTIF('Hedef Liste'!$A:$A,A200)</f>
        <v>1</v>
      </c>
    </row>
    <row r="201" hidden="1">
      <c r="A201" s="150" t="s">
        <v>3027</v>
      </c>
      <c r="B201" s="150" t="s">
        <v>4751</v>
      </c>
      <c r="C201" s="439" t="s">
        <v>4483</v>
      </c>
      <c r="D201" s="150" t="s">
        <v>2658</v>
      </c>
      <c r="E201" s="440">
        <v>3916.0</v>
      </c>
      <c r="F201" s="440">
        <v>38.0</v>
      </c>
      <c r="G201" s="440">
        <v>12.0</v>
      </c>
      <c r="H201" s="440">
        <v>1.0</v>
      </c>
      <c r="I201" s="440">
        <v>13.0</v>
      </c>
      <c r="J201" s="441">
        <v>0.92</v>
      </c>
      <c r="K201" s="150" t="s">
        <v>4752</v>
      </c>
      <c r="L201" s="150">
        <v>2.22321253E9</v>
      </c>
      <c r="M201" s="150" t="s">
        <v>2666</v>
      </c>
      <c r="N201" s="150" t="s">
        <v>2809</v>
      </c>
      <c r="O201" s="150" t="s">
        <v>3029</v>
      </c>
      <c r="P201" s="150" t="s">
        <v>4484</v>
      </c>
      <c r="Q201" s="442">
        <f>COUNTIF('Hedef Liste'!$A:$A,A201)</f>
        <v>1</v>
      </c>
    </row>
    <row r="202" hidden="1">
      <c r="A202" s="150" t="s">
        <v>499</v>
      </c>
      <c r="B202" s="150" t="s">
        <v>500</v>
      </c>
      <c r="C202" s="439" t="s">
        <v>4483</v>
      </c>
      <c r="D202" s="150" t="s">
        <v>2658</v>
      </c>
      <c r="E202" s="440">
        <v>2532.0</v>
      </c>
      <c r="F202" s="440">
        <v>18.0</v>
      </c>
      <c r="G202" s="440">
        <v>6.0</v>
      </c>
      <c r="H202" s="440">
        <v>5.0</v>
      </c>
      <c r="I202" s="440">
        <v>11.0</v>
      </c>
      <c r="J202" s="441">
        <v>0.55</v>
      </c>
      <c r="K202" s="150" t="s">
        <v>4753</v>
      </c>
      <c r="L202" s="150">
        <v>2.222331033E9</v>
      </c>
      <c r="M202" s="150" t="s">
        <v>1450</v>
      </c>
      <c r="N202" s="150" t="s">
        <v>2700</v>
      </c>
      <c r="O202" s="150" t="s">
        <v>502</v>
      </c>
      <c r="P202" s="150" t="s">
        <v>4484</v>
      </c>
      <c r="Q202" s="442">
        <f>COUNTIF('Hedef Liste'!$A:$A,A202)</f>
        <v>1</v>
      </c>
    </row>
    <row r="203" hidden="1">
      <c r="A203" s="150" t="s">
        <v>1704</v>
      </c>
      <c r="B203" s="150" t="s">
        <v>1705</v>
      </c>
      <c r="C203" s="439" t="s">
        <v>4483</v>
      </c>
      <c r="D203" s="150" t="s">
        <v>2684</v>
      </c>
      <c r="E203" s="440">
        <v>4180.0</v>
      </c>
      <c r="F203" s="440">
        <v>19.0</v>
      </c>
      <c r="G203" s="440">
        <v>13.0</v>
      </c>
      <c r="H203" s="440">
        <v>10.0</v>
      </c>
      <c r="I203" s="440">
        <v>23.0</v>
      </c>
      <c r="J203" s="441">
        <v>0.57</v>
      </c>
      <c r="K203" s="150" t="s">
        <v>4754</v>
      </c>
      <c r="L203" s="150">
        <v>5.4186026E9</v>
      </c>
      <c r="M203" s="150" t="s">
        <v>1450</v>
      </c>
      <c r="N203" s="150" t="s">
        <v>2700</v>
      </c>
      <c r="O203" s="150" t="s">
        <v>1651</v>
      </c>
      <c r="P203" s="150" t="s">
        <v>4484</v>
      </c>
      <c r="Q203" s="442">
        <f>COUNTIF('Hedef Liste'!$A:$A,A203)</f>
        <v>1</v>
      </c>
    </row>
    <row r="204" hidden="1">
      <c r="A204" s="150" t="s">
        <v>47</v>
      </c>
      <c r="B204" s="150" t="s">
        <v>48</v>
      </c>
      <c r="C204" s="439" t="s">
        <v>4520</v>
      </c>
      <c r="D204" s="150" t="s">
        <v>2672</v>
      </c>
      <c r="E204" s="440">
        <v>5909.0</v>
      </c>
      <c r="F204" s="443"/>
      <c r="G204" s="440">
        <v>7.0</v>
      </c>
      <c r="H204" s="440">
        <v>8.0</v>
      </c>
      <c r="I204" s="440">
        <v>15.0</v>
      </c>
      <c r="J204" s="441">
        <v>0.47</v>
      </c>
      <c r="K204" s="150" t="s">
        <v>4755</v>
      </c>
      <c r="L204" s="150">
        <v>2.222050315E9</v>
      </c>
      <c r="M204" s="150" t="s">
        <v>2666</v>
      </c>
      <c r="N204" s="150" t="s">
        <v>2721</v>
      </c>
      <c r="O204" s="150" t="s">
        <v>50</v>
      </c>
      <c r="P204" s="150" t="s">
        <v>4484</v>
      </c>
      <c r="Q204" s="442">
        <f>COUNTIF('Hedef Liste'!$A:$A,A204)</f>
        <v>1</v>
      </c>
    </row>
    <row r="205" hidden="1">
      <c r="A205" s="150" t="s">
        <v>3971</v>
      </c>
      <c r="B205" s="150" t="s">
        <v>3972</v>
      </c>
      <c r="C205" s="439" t="s">
        <v>4483</v>
      </c>
      <c r="D205" s="150" t="s">
        <v>2672</v>
      </c>
      <c r="E205" s="440">
        <v>623.0</v>
      </c>
      <c r="F205" s="440">
        <v>3.0</v>
      </c>
      <c r="G205" s="440">
        <v>0.0</v>
      </c>
      <c r="H205" s="440">
        <v>9.0</v>
      </c>
      <c r="I205" s="440">
        <v>9.0</v>
      </c>
      <c r="J205" s="441">
        <v>0.0</v>
      </c>
      <c r="K205" s="150" t="s">
        <v>4756</v>
      </c>
      <c r="L205" s="150">
        <v>2.222271646E9</v>
      </c>
      <c r="M205" s="150" t="s">
        <v>1450</v>
      </c>
      <c r="N205" s="150" t="s">
        <v>2703</v>
      </c>
      <c r="O205" s="150" t="s">
        <v>3973</v>
      </c>
      <c r="P205" s="150" t="s">
        <v>4484</v>
      </c>
      <c r="Q205" s="442">
        <f>COUNTIF('Hedef Liste'!$A:$A,A205)</f>
        <v>1</v>
      </c>
    </row>
    <row r="206" hidden="1">
      <c r="A206" s="150" t="s">
        <v>1859</v>
      </c>
      <c r="B206" s="150" t="s">
        <v>1860</v>
      </c>
      <c r="C206" s="439" t="s">
        <v>4483</v>
      </c>
      <c r="D206" s="150" t="s">
        <v>2664</v>
      </c>
      <c r="E206" s="440">
        <v>1333.0</v>
      </c>
      <c r="F206" s="440">
        <v>29.0</v>
      </c>
      <c r="G206" s="440">
        <v>13.0</v>
      </c>
      <c r="H206" s="440">
        <v>6.0</v>
      </c>
      <c r="I206" s="440">
        <v>19.0</v>
      </c>
      <c r="J206" s="441">
        <v>0.68</v>
      </c>
      <c r="K206" s="150" t="s">
        <v>4540</v>
      </c>
      <c r="L206" s="150">
        <v>2.222213326E9</v>
      </c>
      <c r="M206" s="150" t="s">
        <v>1450</v>
      </c>
      <c r="N206" s="150" t="s">
        <v>2716</v>
      </c>
      <c r="O206" s="150" t="s">
        <v>684</v>
      </c>
      <c r="P206" s="150" t="s">
        <v>4484</v>
      </c>
      <c r="Q206" s="442">
        <f>COUNTIF('Hedef Liste'!$A:$A,A206)</f>
        <v>1</v>
      </c>
    </row>
    <row r="207" hidden="1">
      <c r="A207" s="150" t="s">
        <v>547</v>
      </c>
      <c r="B207" s="150" t="s">
        <v>548</v>
      </c>
      <c r="C207" s="439" t="s">
        <v>4520</v>
      </c>
      <c r="D207" s="150" t="s">
        <v>2696</v>
      </c>
      <c r="E207" s="440">
        <v>202.0</v>
      </c>
      <c r="F207" s="443"/>
      <c r="G207" s="440">
        <v>0.0</v>
      </c>
      <c r="H207" s="440">
        <v>48.0</v>
      </c>
      <c r="I207" s="440">
        <v>48.0</v>
      </c>
      <c r="J207" s="441">
        <v>0.0</v>
      </c>
      <c r="K207" s="150" t="s">
        <v>4757</v>
      </c>
      <c r="L207" s="150">
        <v>2.223152315E9</v>
      </c>
      <c r="M207" s="150" t="s">
        <v>2666</v>
      </c>
      <c r="N207" s="150" t="s">
        <v>2685</v>
      </c>
      <c r="O207" s="150" t="s">
        <v>550</v>
      </c>
      <c r="P207" s="150" t="s">
        <v>4484</v>
      </c>
      <c r="Q207" s="442">
        <f>COUNTIF('Hedef Liste'!$A:$A,A207)</f>
        <v>1</v>
      </c>
    </row>
    <row r="208" hidden="1">
      <c r="A208" s="150" t="s">
        <v>626</v>
      </c>
      <c r="B208" s="150" t="s">
        <v>4758</v>
      </c>
      <c r="C208" s="439" t="s">
        <v>4483</v>
      </c>
      <c r="D208" s="150" t="s">
        <v>2658</v>
      </c>
      <c r="E208" s="440">
        <v>2062.0</v>
      </c>
      <c r="F208" s="443"/>
      <c r="G208" s="440">
        <v>12.0</v>
      </c>
      <c r="H208" s="440">
        <v>17.0</v>
      </c>
      <c r="I208" s="440">
        <v>29.0</v>
      </c>
      <c r="J208" s="441">
        <v>0.41</v>
      </c>
      <c r="K208" s="150" t="s">
        <v>4759</v>
      </c>
      <c r="L208" s="150">
        <v>5.511463657E9</v>
      </c>
      <c r="M208" s="150" t="s">
        <v>1450</v>
      </c>
      <c r="N208" s="150" t="s">
        <v>2703</v>
      </c>
      <c r="O208" s="150" t="s">
        <v>629</v>
      </c>
      <c r="P208" s="150" t="s">
        <v>4484</v>
      </c>
      <c r="Q208" s="442">
        <f>COUNTIF('Hedef Liste'!$A:$A,A208)</f>
        <v>1</v>
      </c>
    </row>
    <row r="209" hidden="1">
      <c r="A209" s="150" t="s">
        <v>646</v>
      </c>
      <c r="B209" s="150" t="s">
        <v>647</v>
      </c>
      <c r="C209" s="439" t="s">
        <v>4483</v>
      </c>
      <c r="D209" s="150" t="s">
        <v>2672</v>
      </c>
      <c r="E209" s="440">
        <v>9545.0</v>
      </c>
      <c r="F209" s="440">
        <v>227.0</v>
      </c>
      <c r="G209" s="440">
        <v>14.0</v>
      </c>
      <c r="H209" s="440">
        <v>36.0</v>
      </c>
      <c r="I209" s="440">
        <v>50.0</v>
      </c>
      <c r="J209" s="441">
        <v>0.28</v>
      </c>
      <c r="K209" s="150" t="s">
        <v>4760</v>
      </c>
      <c r="L209" s="150">
        <v>2.22221001E9</v>
      </c>
      <c r="M209" s="150" t="s">
        <v>1450</v>
      </c>
      <c r="N209" s="150" t="s">
        <v>2700</v>
      </c>
      <c r="O209" s="150" t="s">
        <v>649</v>
      </c>
      <c r="P209" s="150" t="s">
        <v>4484</v>
      </c>
      <c r="Q209" s="442">
        <f>COUNTIF('Hedef Liste'!$A:$A,A209)</f>
        <v>1</v>
      </c>
    </row>
    <row r="210" hidden="1">
      <c r="A210" s="150" t="s">
        <v>2330</v>
      </c>
      <c r="B210" s="150" t="s">
        <v>4761</v>
      </c>
      <c r="C210" s="439" t="s">
        <v>4483</v>
      </c>
      <c r="D210" s="150" t="s">
        <v>2684</v>
      </c>
      <c r="E210" s="440">
        <v>6197.0</v>
      </c>
      <c r="F210" s="440">
        <v>121.0</v>
      </c>
      <c r="G210" s="440">
        <v>35.0</v>
      </c>
      <c r="H210" s="440">
        <v>37.0</v>
      </c>
      <c r="I210" s="440">
        <v>72.0</v>
      </c>
      <c r="J210" s="441">
        <v>0.49</v>
      </c>
      <c r="K210" s="150" t="s">
        <v>4183</v>
      </c>
      <c r="L210" s="150">
        <v>5.380933426E9</v>
      </c>
      <c r="M210" s="150" t="s">
        <v>2666</v>
      </c>
      <c r="N210" s="150" t="s">
        <v>2685</v>
      </c>
      <c r="O210" s="150" t="s">
        <v>2333</v>
      </c>
      <c r="P210" s="150" t="s">
        <v>4484</v>
      </c>
      <c r="Q210" s="442">
        <f>COUNTIF('Hedef Liste'!$A:$A,A210)</f>
        <v>1</v>
      </c>
    </row>
    <row r="211" hidden="1">
      <c r="A211" s="150" t="s">
        <v>2396</v>
      </c>
      <c r="B211" s="150" t="s">
        <v>2397</v>
      </c>
      <c r="C211" s="439" t="s">
        <v>4483</v>
      </c>
      <c r="D211" s="150" t="s">
        <v>2658</v>
      </c>
      <c r="E211" s="440">
        <v>1487.0</v>
      </c>
      <c r="F211" s="440">
        <v>32.0</v>
      </c>
      <c r="G211" s="440">
        <v>5.0</v>
      </c>
      <c r="H211" s="440">
        <v>16.0</v>
      </c>
      <c r="I211" s="440">
        <v>21.0</v>
      </c>
      <c r="J211" s="441">
        <v>0.24</v>
      </c>
      <c r="K211" s="150" t="s">
        <v>4762</v>
      </c>
      <c r="L211" s="150">
        <v>5.539140042E9</v>
      </c>
      <c r="M211" s="150" t="s">
        <v>1450</v>
      </c>
      <c r="N211" s="150" t="s">
        <v>2776</v>
      </c>
      <c r="O211" s="150" t="s">
        <v>2400</v>
      </c>
      <c r="P211" s="150" t="s">
        <v>4484</v>
      </c>
      <c r="Q211" s="442">
        <f>COUNTIF('Hedef Liste'!$A:$A,A211)</f>
        <v>1</v>
      </c>
    </row>
    <row r="212" hidden="1">
      <c r="A212" s="150" t="s">
        <v>3363</v>
      </c>
      <c r="B212" s="150" t="s">
        <v>3364</v>
      </c>
      <c r="C212" s="439" t="s">
        <v>4483</v>
      </c>
      <c r="D212" s="150" t="s">
        <v>2904</v>
      </c>
      <c r="E212" s="440">
        <v>9436.0</v>
      </c>
      <c r="F212" s="440">
        <v>238.0</v>
      </c>
      <c r="G212" s="440">
        <v>52.0</v>
      </c>
      <c r="H212" s="440">
        <v>32.0</v>
      </c>
      <c r="I212" s="440">
        <v>84.0</v>
      </c>
      <c r="J212" s="441">
        <v>0.62</v>
      </c>
      <c r="K212" s="150" t="s">
        <v>4763</v>
      </c>
      <c r="L212" s="150">
        <v>2.224082589E9</v>
      </c>
      <c r="M212" s="150" t="s">
        <v>1450</v>
      </c>
      <c r="N212" s="150" t="s">
        <v>2950</v>
      </c>
      <c r="O212" s="150" t="s">
        <v>430</v>
      </c>
      <c r="P212" s="150" t="s">
        <v>4484</v>
      </c>
      <c r="Q212" s="442">
        <f>COUNTIF('Hedef Liste'!$A:$A,A212)</f>
        <v>1</v>
      </c>
    </row>
    <row r="213" hidden="1">
      <c r="A213" s="150" t="s">
        <v>175</v>
      </c>
      <c r="B213" s="150" t="s">
        <v>176</v>
      </c>
      <c r="C213" s="439" t="s">
        <v>4483</v>
      </c>
      <c r="D213" s="150" t="s">
        <v>2751</v>
      </c>
      <c r="E213" s="440">
        <v>1650.0</v>
      </c>
      <c r="F213" s="440">
        <v>15.0</v>
      </c>
      <c r="G213" s="440">
        <v>0.0</v>
      </c>
      <c r="H213" s="440">
        <v>6.0</v>
      </c>
      <c r="I213" s="440">
        <v>6.0</v>
      </c>
      <c r="J213" s="441">
        <v>0.0</v>
      </c>
      <c r="K213" s="150" t="s">
        <v>4764</v>
      </c>
      <c r="L213" s="150">
        <v>2.222335152E9</v>
      </c>
      <c r="M213" s="150" t="s">
        <v>2666</v>
      </c>
      <c r="N213" s="150" t="s">
        <v>2667</v>
      </c>
      <c r="O213" s="150" t="s">
        <v>178</v>
      </c>
      <c r="P213" s="150" t="s">
        <v>4484</v>
      </c>
      <c r="Q213" s="442">
        <f>COUNTIF('Hedef Liste'!$A:$A,A213)</f>
        <v>1</v>
      </c>
    </row>
    <row r="214" hidden="1">
      <c r="A214" s="150" t="s">
        <v>1587</v>
      </c>
      <c r="B214" s="150" t="s">
        <v>1588</v>
      </c>
      <c r="C214" s="439" t="s">
        <v>4483</v>
      </c>
      <c r="D214" s="150" t="s">
        <v>3561</v>
      </c>
      <c r="E214" s="440">
        <v>4061.0</v>
      </c>
      <c r="F214" s="440">
        <v>50.0</v>
      </c>
      <c r="G214" s="440">
        <v>8.0</v>
      </c>
      <c r="H214" s="440">
        <v>4.0</v>
      </c>
      <c r="I214" s="440">
        <v>12.0</v>
      </c>
      <c r="J214" s="441">
        <v>0.67</v>
      </c>
      <c r="K214" s="150" t="s">
        <v>4765</v>
      </c>
      <c r="L214" s="150">
        <v>5.44819611E9</v>
      </c>
      <c r="M214" s="150" t="s">
        <v>2666</v>
      </c>
      <c r="N214" s="150" t="s">
        <v>2667</v>
      </c>
      <c r="O214" s="150" t="s">
        <v>1591</v>
      </c>
      <c r="P214" s="150" t="s">
        <v>4484</v>
      </c>
      <c r="Q214" s="442">
        <f>COUNTIF('Hedef Liste'!$A:$A,A214)</f>
        <v>1</v>
      </c>
    </row>
    <row r="215" hidden="1">
      <c r="A215" s="150" t="s">
        <v>814</v>
      </c>
      <c r="B215" s="150" t="s">
        <v>4766</v>
      </c>
      <c r="C215" s="439" t="s">
        <v>4483</v>
      </c>
      <c r="D215" s="150" t="s">
        <v>2672</v>
      </c>
      <c r="E215" s="440">
        <v>1318.0</v>
      </c>
      <c r="F215" s="440">
        <v>20.0</v>
      </c>
      <c r="G215" s="440">
        <v>12.0</v>
      </c>
      <c r="H215" s="440">
        <v>4.0</v>
      </c>
      <c r="I215" s="440">
        <v>16.0</v>
      </c>
      <c r="J215" s="441">
        <v>0.75</v>
      </c>
      <c r="K215" s="150" t="s">
        <v>4767</v>
      </c>
      <c r="L215" s="150">
        <v>2.222303726E9</v>
      </c>
      <c r="M215" s="150" t="s">
        <v>1450</v>
      </c>
      <c r="N215" s="150" t="s">
        <v>2700</v>
      </c>
      <c r="O215" s="150" t="s">
        <v>817</v>
      </c>
      <c r="P215" s="150" t="s">
        <v>4484</v>
      </c>
      <c r="Q215" s="442">
        <f>COUNTIF('Hedef Liste'!$A:$A,A215)</f>
        <v>1</v>
      </c>
    </row>
    <row r="216" hidden="1">
      <c r="A216" s="150" t="s">
        <v>3163</v>
      </c>
      <c r="B216" s="150" t="s">
        <v>3164</v>
      </c>
      <c r="C216" s="439" t="s">
        <v>4483</v>
      </c>
      <c r="D216" s="150" t="s">
        <v>2724</v>
      </c>
      <c r="E216" s="440">
        <v>940.0</v>
      </c>
      <c r="F216" s="440">
        <v>6.0</v>
      </c>
      <c r="G216" s="440">
        <v>0.0</v>
      </c>
      <c r="H216" s="440">
        <v>41.0</v>
      </c>
      <c r="I216" s="440">
        <v>41.0</v>
      </c>
      <c r="J216" s="444">
        <v>0.0</v>
      </c>
      <c r="K216" s="150" t="s">
        <v>4768</v>
      </c>
      <c r="L216" s="150">
        <v>5.462211307E9</v>
      </c>
      <c r="M216" s="150" t="s">
        <v>1450</v>
      </c>
      <c r="N216" s="150" t="s">
        <v>3165</v>
      </c>
      <c r="O216" s="150" t="s">
        <v>3166</v>
      </c>
      <c r="P216" s="150" t="s">
        <v>4484</v>
      </c>
      <c r="Q216" s="442">
        <f>COUNTIF('Hedef Liste'!$A:$A,A216)</f>
        <v>1</v>
      </c>
    </row>
    <row r="217" hidden="1">
      <c r="A217" s="150" t="s">
        <v>2339</v>
      </c>
      <c r="B217" s="150" t="s">
        <v>2340</v>
      </c>
      <c r="C217" s="439" t="s">
        <v>4483</v>
      </c>
      <c r="D217" s="150" t="s">
        <v>2684</v>
      </c>
      <c r="E217" s="440">
        <v>2866.0</v>
      </c>
      <c r="F217" s="440">
        <v>33.0</v>
      </c>
      <c r="G217" s="440">
        <v>7.0</v>
      </c>
      <c r="H217" s="440">
        <v>32.0</v>
      </c>
      <c r="I217" s="440">
        <v>39.0</v>
      </c>
      <c r="J217" s="441">
        <v>0.18</v>
      </c>
      <c r="K217" s="150" t="s">
        <v>4769</v>
      </c>
      <c r="L217" s="150">
        <v>5.451010626E9</v>
      </c>
      <c r="M217" s="150" t="s">
        <v>2666</v>
      </c>
      <c r="N217" s="150" t="s">
        <v>2685</v>
      </c>
      <c r="O217" s="150" t="s">
        <v>2337</v>
      </c>
      <c r="P217" s="150" t="s">
        <v>4484</v>
      </c>
      <c r="Q217" s="442">
        <f>COUNTIF('Hedef Liste'!$A:$A,A217)</f>
        <v>1</v>
      </c>
    </row>
    <row r="218" hidden="1">
      <c r="A218" s="150" t="s">
        <v>4018</v>
      </c>
      <c r="B218" s="150" t="s">
        <v>4019</v>
      </c>
      <c r="C218" s="439" t="s">
        <v>4483</v>
      </c>
      <c r="D218" s="150" t="s">
        <v>2696</v>
      </c>
      <c r="E218" s="440">
        <v>2922.0</v>
      </c>
      <c r="F218" s="443"/>
      <c r="G218" s="440">
        <v>17.0</v>
      </c>
      <c r="H218" s="440">
        <v>60.0</v>
      </c>
      <c r="I218" s="440">
        <v>77.0</v>
      </c>
      <c r="J218" s="441">
        <v>0.22</v>
      </c>
      <c r="K218" s="150" t="s">
        <v>4770</v>
      </c>
      <c r="L218" s="150">
        <v>2.223201818E9</v>
      </c>
      <c r="M218" s="150" t="s">
        <v>2666</v>
      </c>
      <c r="N218" s="150" t="s">
        <v>2685</v>
      </c>
      <c r="O218" s="150" t="s">
        <v>4020</v>
      </c>
      <c r="P218" s="150" t="s">
        <v>4484</v>
      </c>
      <c r="Q218" s="442">
        <f>COUNTIF('Hedef Liste'!$A:$A,A218)</f>
        <v>1</v>
      </c>
    </row>
    <row r="219" hidden="1">
      <c r="A219" s="150" t="s">
        <v>4307</v>
      </c>
      <c r="B219" s="150" t="s">
        <v>4308</v>
      </c>
      <c r="C219" s="439" t="s">
        <v>4483</v>
      </c>
      <c r="D219" s="150" t="s">
        <v>2684</v>
      </c>
      <c r="E219" s="440">
        <v>5321.0</v>
      </c>
      <c r="F219" s="440">
        <v>164.0</v>
      </c>
      <c r="G219" s="440">
        <v>13.0</v>
      </c>
      <c r="H219" s="440">
        <v>56.0</v>
      </c>
      <c r="I219" s="440">
        <v>69.0</v>
      </c>
      <c r="J219" s="441">
        <v>0.19</v>
      </c>
      <c r="K219" s="150" t="s">
        <v>4179</v>
      </c>
      <c r="L219" s="150">
        <v>5.314722726E9</v>
      </c>
      <c r="M219" s="150" t="s">
        <v>1450</v>
      </c>
      <c r="N219" s="150" t="s">
        <v>2782</v>
      </c>
      <c r="O219" s="150" t="s">
        <v>4180</v>
      </c>
      <c r="P219" s="150" t="s">
        <v>4484</v>
      </c>
      <c r="Q219" s="442">
        <f>COUNTIF('Hedef Liste'!$A:$A,A219)</f>
        <v>1</v>
      </c>
    </row>
    <row r="220" hidden="1">
      <c r="A220" s="150" t="s">
        <v>1731</v>
      </c>
      <c r="B220" s="150" t="s">
        <v>1732</v>
      </c>
      <c r="C220" s="439" t="s">
        <v>4483</v>
      </c>
      <c r="D220" s="150" t="s">
        <v>2706</v>
      </c>
      <c r="E220" s="440">
        <v>2169.0</v>
      </c>
      <c r="F220" s="440">
        <v>132.0</v>
      </c>
      <c r="G220" s="440">
        <v>22.0</v>
      </c>
      <c r="H220" s="440">
        <v>12.0</v>
      </c>
      <c r="I220" s="440">
        <v>34.0</v>
      </c>
      <c r="J220" s="441">
        <v>0.65</v>
      </c>
      <c r="K220" s="150" t="s">
        <v>4524</v>
      </c>
      <c r="L220" s="150">
        <v>2.222398483E9</v>
      </c>
      <c r="M220" s="150" t="s">
        <v>1450</v>
      </c>
      <c r="N220" s="150" t="s">
        <v>2732</v>
      </c>
      <c r="O220" s="150" t="s">
        <v>734</v>
      </c>
      <c r="P220" s="150" t="s">
        <v>4484</v>
      </c>
      <c r="Q220" s="442">
        <f>COUNTIF('Hedef Liste'!$A:$A,A220)</f>
        <v>1</v>
      </c>
    </row>
    <row r="221" hidden="1">
      <c r="A221" s="150" t="s">
        <v>1113</v>
      </c>
      <c r="B221" s="150" t="s">
        <v>2972</v>
      </c>
      <c r="C221" s="439" t="s">
        <v>4483</v>
      </c>
      <c r="D221" s="150" t="s">
        <v>2658</v>
      </c>
      <c r="E221" s="440">
        <v>5631.0</v>
      </c>
      <c r="F221" s="440">
        <v>28.0</v>
      </c>
      <c r="G221" s="440">
        <v>14.0</v>
      </c>
      <c r="H221" s="440">
        <v>2.0</v>
      </c>
      <c r="I221" s="440">
        <v>16.0</v>
      </c>
      <c r="J221" s="441">
        <v>0.88</v>
      </c>
      <c r="K221" s="150" t="s">
        <v>2966</v>
      </c>
      <c r="L221" s="150">
        <v>5.37471696E9</v>
      </c>
      <c r="M221" s="150" t="s">
        <v>2666</v>
      </c>
      <c r="N221" s="150" t="s">
        <v>2682</v>
      </c>
      <c r="O221" s="150" t="s">
        <v>2967</v>
      </c>
      <c r="P221" s="150" t="s">
        <v>4484</v>
      </c>
      <c r="Q221" s="442">
        <f>COUNTIF('Hedef Liste'!$A:$A,A221)</f>
        <v>1</v>
      </c>
    </row>
    <row r="222" hidden="1">
      <c r="A222" s="150" t="s">
        <v>302</v>
      </c>
      <c r="B222" s="150" t="s">
        <v>303</v>
      </c>
      <c r="C222" s="439" t="s">
        <v>4483</v>
      </c>
      <c r="D222" s="150" t="s">
        <v>2736</v>
      </c>
      <c r="E222" s="440">
        <v>219.0</v>
      </c>
      <c r="F222" s="443"/>
      <c r="G222" s="440">
        <v>34.0</v>
      </c>
      <c r="H222" s="440">
        <v>40.0</v>
      </c>
      <c r="I222" s="440">
        <v>74.0</v>
      </c>
      <c r="J222" s="441">
        <v>0.46</v>
      </c>
      <c r="K222" s="150" t="s">
        <v>4771</v>
      </c>
      <c r="L222" s="150">
        <v>2.222309249E9</v>
      </c>
      <c r="M222" s="150" t="s">
        <v>2666</v>
      </c>
      <c r="N222" s="150" t="s">
        <v>2667</v>
      </c>
      <c r="O222" s="150" t="s">
        <v>305</v>
      </c>
      <c r="P222" s="150" t="s">
        <v>4484</v>
      </c>
      <c r="Q222" s="442">
        <f>COUNTIF('Hedef Liste'!$A:$A,A222)</f>
        <v>1</v>
      </c>
    </row>
    <row r="223" hidden="1">
      <c r="A223" s="150" t="s">
        <v>4327</v>
      </c>
      <c r="B223" s="150" t="s">
        <v>4772</v>
      </c>
      <c r="C223" s="439" t="s">
        <v>4483</v>
      </c>
      <c r="D223" s="150" t="s">
        <v>2672</v>
      </c>
      <c r="E223" s="440">
        <v>2375.0</v>
      </c>
      <c r="F223" s="440">
        <v>60.0</v>
      </c>
      <c r="G223" s="440">
        <v>3.0</v>
      </c>
      <c r="H223" s="440">
        <v>9.0</v>
      </c>
      <c r="I223" s="440">
        <v>12.0</v>
      </c>
      <c r="J223" s="441">
        <v>0.25</v>
      </c>
      <c r="K223" s="150" t="s">
        <v>4773</v>
      </c>
      <c r="L223" s="150">
        <v>2.222300303E9</v>
      </c>
      <c r="M223" s="150" t="s">
        <v>1450</v>
      </c>
      <c r="N223" s="150" t="s">
        <v>2700</v>
      </c>
      <c r="O223" s="150" t="s">
        <v>4329</v>
      </c>
      <c r="P223" s="150" t="s">
        <v>4484</v>
      </c>
      <c r="Q223" s="442">
        <f>COUNTIF('Hedef Liste'!$A:$A,A223)</f>
        <v>1</v>
      </c>
    </row>
    <row r="224" hidden="1">
      <c r="A224" s="150" t="s">
        <v>4774</v>
      </c>
      <c r="B224" s="150" t="s">
        <v>4775</v>
      </c>
      <c r="C224" s="439" t="s">
        <v>4483</v>
      </c>
      <c r="D224" s="150" t="s">
        <v>2867</v>
      </c>
      <c r="E224" s="440">
        <v>21655.0</v>
      </c>
      <c r="F224" s="440">
        <v>600.0</v>
      </c>
      <c r="G224" s="440">
        <v>94.0</v>
      </c>
      <c r="H224" s="440">
        <v>1.0</v>
      </c>
      <c r="I224" s="440">
        <v>95.0</v>
      </c>
      <c r="J224" s="441">
        <v>0.99</v>
      </c>
      <c r="K224" s="150" t="s">
        <v>4776</v>
      </c>
      <c r="L224" s="150">
        <v>1.111111111E9</v>
      </c>
      <c r="M224" s="150" t="s">
        <v>2666</v>
      </c>
      <c r="N224" s="150" t="s">
        <v>2721</v>
      </c>
      <c r="O224" s="150" t="s">
        <v>4777</v>
      </c>
      <c r="P224" s="150" t="s">
        <v>4512</v>
      </c>
      <c r="Q224" s="442">
        <f>COUNTIF('Hedef Liste'!$A:$A,A224)</f>
        <v>0</v>
      </c>
    </row>
    <row r="225" hidden="1">
      <c r="A225" s="150" t="s">
        <v>483</v>
      </c>
      <c r="B225" s="150" t="s">
        <v>484</v>
      </c>
      <c r="C225" s="439" t="s">
        <v>4483</v>
      </c>
      <c r="D225" s="150" t="s">
        <v>2978</v>
      </c>
      <c r="E225" s="440">
        <v>4780.0</v>
      </c>
      <c r="F225" s="440">
        <v>148.0</v>
      </c>
      <c r="G225" s="440">
        <v>6.0</v>
      </c>
      <c r="H225" s="440">
        <v>19.0</v>
      </c>
      <c r="I225" s="440">
        <v>25.0</v>
      </c>
      <c r="J225" s="441">
        <v>0.24</v>
      </c>
      <c r="K225" s="150" t="s">
        <v>4778</v>
      </c>
      <c r="L225" s="150">
        <v>2.22234495E9</v>
      </c>
      <c r="M225" s="150" t="s">
        <v>1450</v>
      </c>
      <c r="N225" s="150" t="s">
        <v>2716</v>
      </c>
      <c r="O225" s="150" t="s">
        <v>486</v>
      </c>
      <c r="P225" s="150" t="s">
        <v>4484</v>
      </c>
      <c r="Q225" s="442">
        <f>COUNTIF('Hedef Liste'!$A:$A,A225)</f>
        <v>1</v>
      </c>
    </row>
    <row r="226" hidden="1">
      <c r="A226" s="150" t="s">
        <v>376</v>
      </c>
      <c r="B226" s="150" t="s">
        <v>377</v>
      </c>
      <c r="C226" s="439" t="s">
        <v>4483</v>
      </c>
      <c r="D226" s="150" t="s">
        <v>2664</v>
      </c>
      <c r="E226" s="440">
        <v>15169.0</v>
      </c>
      <c r="F226" s="440">
        <v>578.0</v>
      </c>
      <c r="G226" s="440">
        <v>0.0</v>
      </c>
      <c r="H226" s="440">
        <v>51.0</v>
      </c>
      <c r="I226" s="440">
        <v>51.0</v>
      </c>
      <c r="J226" s="441">
        <v>0.0</v>
      </c>
      <c r="K226" s="150" t="s">
        <v>4779</v>
      </c>
      <c r="L226" s="150">
        <v>5.30034238E9</v>
      </c>
      <c r="M226" s="150" t="s">
        <v>2666</v>
      </c>
      <c r="N226" s="150" t="s">
        <v>2774</v>
      </c>
      <c r="O226" s="150" t="s">
        <v>381</v>
      </c>
      <c r="P226" s="150" t="s">
        <v>4484</v>
      </c>
      <c r="Q226" s="442">
        <f>COUNTIF('Hedef Liste'!$A:$A,A226)</f>
        <v>1</v>
      </c>
    </row>
    <row r="227" hidden="1">
      <c r="A227" s="150" t="s">
        <v>3868</v>
      </c>
      <c r="B227" s="150" t="s">
        <v>3869</v>
      </c>
      <c r="C227" s="439" t="s">
        <v>4483</v>
      </c>
      <c r="D227" s="150" t="s">
        <v>2773</v>
      </c>
      <c r="E227" s="440">
        <v>1796.0</v>
      </c>
      <c r="F227" s="440">
        <v>26.0</v>
      </c>
      <c r="G227" s="440">
        <v>7.0</v>
      </c>
      <c r="H227" s="440">
        <v>14.0</v>
      </c>
      <c r="I227" s="440">
        <v>21.0</v>
      </c>
      <c r="J227" s="441">
        <v>0.33</v>
      </c>
      <c r="K227" s="150" t="s">
        <v>4780</v>
      </c>
      <c r="L227" s="150">
        <v>5.525865451E9</v>
      </c>
      <c r="M227" s="150" t="s">
        <v>2666</v>
      </c>
      <c r="N227" s="150" t="s">
        <v>2685</v>
      </c>
      <c r="O227" s="150" t="s">
        <v>3870</v>
      </c>
      <c r="P227" s="150" t="s">
        <v>4484</v>
      </c>
      <c r="Q227" s="442">
        <f>COUNTIF('Hedef Liste'!$A:$A,A227)</f>
        <v>1</v>
      </c>
    </row>
    <row r="228" hidden="1">
      <c r="A228" s="150" t="s">
        <v>190</v>
      </c>
      <c r="B228" s="150" t="s">
        <v>191</v>
      </c>
      <c r="C228" s="439" t="s">
        <v>4483</v>
      </c>
      <c r="D228" s="150" t="s">
        <v>2904</v>
      </c>
      <c r="E228" s="440">
        <v>3247.0</v>
      </c>
      <c r="F228" s="440">
        <v>209.0</v>
      </c>
      <c r="G228" s="440">
        <v>11.0</v>
      </c>
      <c r="H228" s="440">
        <v>1.0</v>
      </c>
      <c r="I228" s="440">
        <v>12.0</v>
      </c>
      <c r="J228" s="441">
        <v>0.92</v>
      </c>
      <c r="K228" s="150" t="s">
        <v>3831</v>
      </c>
      <c r="L228" s="150">
        <v>5.337134612E9</v>
      </c>
      <c r="M228" s="150" t="s">
        <v>2666</v>
      </c>
      <c r="N228" s="150" t="s">
        <v>3084</v>
      </c>
      <c r="O228" s="150" t="s">
        <v>192</v>
      </c>
      <c r="P228" s="150" t="s">
        <v>4484</v>
      </c>
      <c r="Q228" s="442">
        <f>COUNTIF('Hedef Liste'!$A:$A,A228)</f>
        <v>1</v>
      </c>
    </row>
    <row r="229" hidden="1">
      <c r="A229" s="150" t="s">
        <v>4097</v>
      </c>
      <c r="B229" s="150" t="s">
        <v>4098</v>
      </c>
      <c r="C229" s="439" t="s">
        <v>4520</v>
      </c>
      <c r="D229" s="150" t="s">
        <v>2684</v>
      </c>
      <c r="E229" s="440">
        <v>437.0</v>
      </c>
      <c r="F229" s="443"/>
      <c r="G229" s="440">
        <v>0.0</v>
      </c>
      <c r="H229" s="440">
        <v>78.0</v>
      </c>
      <c r="I229" s="440">
        <v>78.0</v>
      </c>
      <c r="J229" s="441">
        <v>0.0</v>
      </c>
      <c r="K229" s="150" t="s">
        <v>4781</v>
      </c>
      <c r="L229" s="150">
        <v>5.050390158E9</v>
      </c>
      <c r="M229" s="150" t="s">
        <v>2666</v>
      </c>
      <c r="N229" s="150" t="s">
        <v>2667</v>
      </c>
      <c r="O229" s="150" t="s">
        <v>4099</v>
      </c>
      <c r="P229" s="150" t="s">
        <v>4484</v>
      </c>
      <c r="Q229" s="442">
        <f>COUNTIF('Hedef Liste'!$A:$A,A229)</f>
        <v>1</v>
      </c>
    </row>
    <row r="230" hidden="1">
      <c r="A230" s="150" t="s">
        <v>1268</v>
      </c>
      <c r="B230" s="150" t="s">
        <v>1269</v>
      </c>
      <c r="C230" s="439" t="s">
        <v>4520</v>
      </c>
      <c r="D230" s="150" t="s">
        <v>2672</v>
      </c>
      <c r="E230" s="440">
        <v>1841.0</v>
      </c>
      <c r="F230" s="443"/>
      <c r="G230" s="440">
        <v>20.0</v>
      </c>
      <c r="H230" s="440">
        <v>1.0</v>
      </c>
      <c r="I230" s="440">
        <v>21.0</v>
      </c>
      <c r="J230" s="441">
        <v>0.95</v>
      </c>
      <c r="K230" s="150" t="s">
        <v>4782</v>
      </c>
      <c r="L230" s="150">
        <v>2.223220021E9</v>
      </c>
      <c r="M230" s="150" t="s">
        <v>2666</v>
      </c>
      <c r="N230" s="150" t="s">
        <v>2721</v>
      </c>
      <c r="O230" s="150" t="s">
        <v>1271</v>
      </c>
      <c r="P230" s="150" t="s">
        <v>4484</v>
      </c>
      <c r="Q230" s="442">
        <f>COUNTIF('Hedef Liste'!$A:$A,A230)</f>
        <v>1</v>
      </c>
    </row>
    <row r="231" hidden="1">
      <c r="A231" s="150" t="s">
        <v>1769</v>
      </c>
      <c r="B231" s="150" t="s">
        <v>4783</v>
      </c>
      <c r="C231" s="439" t="s">
        <v>4483</v>
      </c>
      <c r="D231" s="150" t="s">
        <v>2664</v>
      </c>
      <c r="E231" s="440">
        <v>4340.0</v>
      </c>
      <c r="F231" s="440">
        <v>6.0</v>
      </c>
      <c r="G231" s="440">
        <v>53.0</v>
      </c>
      <c r="H231" s="440">
        <v>12.0</v>
      </c>
      <c r="I231" s="440">
        <v>65.0</v>
      </c>
      <c r="J231" s="441">
        <v>0.82</v>
      </c>
      <c r="K231" s="150" t="s">
        <v>4195</v>
      </c>
      <c r="L231" s="150">
        <v>5.538879926E9</v>
      </c>
      <c r="M231" s="150" t="s">
        <v>2666</v>
      </c>
      <c r="N231" s="150" t="s">
        <v>2801</v>
      </c>
      <c r="O231" s="150" t="s">
        <v>1767</v>
      </c>
      <c r="P231" s="150" t="s">
        <v>4484</v>
      </c>
      <c r="Q231" s="442">
        <f>COUNTIF('Hedef Liste'!$A:$A,A231)</f>
        <v>1</v>
      </c>
    </row>
    <row r="232" hidden="1">
      <c r="A232" s="150" t="s">
        <v>221</v>
      </c>
      <c r="B232" s="150" t="s">
        <v>4784</v>
      </c>
      <c r="C232" s="439" t="s">
        <v>4483</v>
      </c>
      <c r="D232" s="150" t="s">
        <v>2658</v>
      </c>
      <c r="E232" s="440">
        <v>2967.0</v>
      </c>
      <c r="F232" s="440">
        <v>170.0</v>
      </c>
      <c r="G232" s="440">
        <v>20.0</v>
      </c>
      <c r="H232" s="440">
        <v>22.0</v>
      </c>
      <c r="I232" s="440">
        <v>42.0</v>
      </c>
      <c r="J232" s="441">
        <v>0.48</v>
      </c>
      <c r="K232" s="150" t="s">
        <v>4785</v>
      </c>
      <c r="L232" s="150">
        <v>2.222390393E9</v>
      </c>
      <c r="M232" s="150" t="s">
        <v>1450</v>
      </c>
      <c r="N232" s="150" t="s">
        <v>3688</v>
      </c>
      <c r="O232" s="150" t="s">
        <v>226</v>
      </c>
      <c r="P232" s="150" t="s">
        <v>4484</v>
      </c>
      <c r="Q232" s="442">
        <f>COUNTIF('Hedef Liste'!$A:$A,A232)</f>
        <v>1</v>
      </c>
    </row>
    <row r="233" hidden="1">
      <c r="A233" s="150" t="s">
        <v>4786</v>
      </c>
      <c r="B233" s="150" t="s">
        <v>4787</v>
      </c>
      <c r="C233" s="439" t="s">
        <v>4520</v>
      </c>
      <c r="D233" s="150" t="s">
        <v>3151</v>
      </c>
      <c r="E233" s="443"/>
      <c r="F233" s="443"/>
      <c r="G233" s="440">
        <v>116.0</v>
      </c>
      <c r="H233" s="440">
        <v>2.0</v>
      </c>
      <c r="I233" s="440">
        <v>118.0</v>
      </c>
      <c r="J233" s="441">
        <v>0.98</v>
      </c>
      <c r="K233" s="150" t="s">
        <v>4788</v>
      </c>
      <c r="L233" s="150">
        <v>2.223306284E9</v>
      </c>
      <c r="M233" s="150" t="s">
        <v>2666</v>
      </c>
      <c r="N233" s="150" t="s">
        <v>2667</v>
      </c>
      <c r="O233" s="150" t="s">
        <v>4789</v>
      </c>
      <c r="P233" s="150" t="s">
        <v>4512</v>
      </c>
      <c r="Q233" s="442">
        <f>COUNTIF('Hedef Liste'!$A:$A,A233)</f>
        <v>0</v>
      </c>
    </row>
    <row r="234" hidden="1">
      <c r="A234" s="150" t="s">
        <v>1416</v>
      </c>
      <c r="B234" s="150" t="s">
        <v>1417</v>
      </c>
      <c r="C234" s="439" t="s">
        <v>4483</v>
      </c>
      <c r="D234" s="150" t="s">
        <v>2773</v>
      </c>
      <c r="E234" s="440">
        <v>1559.0</v>
      </c>
      <c r="F234" s="440">
        <v>4.0</v>
      </c>
      <c r="G234" s="440">
        <v>0.0</v>
      </c>
      <c r="H234" s="440">
        <v>29.0</v>
      </c>
      <c r="I234" s="440">
        <v>29.0</v>
      </c>
      <c r="J234" s="441">
        <v>0.0</v>
      </c>
      <c r="K234" s="150" t="s">
        <v>4746</v>
      </c>
      <c r="L234" s="150">
        <v>2.222211416E9</v>
      </c>
      <c r="M234" s="150" t="s">
        <v>2666</v>
      </c>
      <c r="N234" s="150" t="s">
        <v>2721</v>
      </c>
      <c r="O234" s="150" t="s">
        <v>2816</v>
      </c>
      <c r="P234" s="150" t="s">
        <v>4484</v>
      </c>
      <c r="Q234" s="442">
        <f>COUNTIF('Hedef Liste'!$A:$A,A234)</f>
        <v>1</v>
      </c>
    </row>
    <row r="235" hidden="1">
      <c r="A235" s="150" t="s">
        <v>3499</v>
      </c>
      <c r="B235" s="150" t="s">
        <v>3500</v>
      </c>
      <c r="C235" s="439" t="s">
        <v>4483</v>
      </c>
      <c r="D235" s="150" t="s">
        <v>2701</v>
      </c>
      <c r="E235" s="440">
        <v>3646.0</v>
      </c>
      <c r="F235" s="440">
        <v>85.0</v>
      </c>
      <c r="G235" s="440">
        <v>67.0</v>
      </c>
      <c r="H235" s="440">
        <v>29.0</v>
      </c>
      <c r="I235" s="440">
        <v>96.0</v>
      </c>
      <c r="J235" s="441">
        <v>0.7</v>
      </c>
      <c r="K235" s="150" t="s">
        <v>4790</v>
      </c>
      <c r="L235" s="150">
        <v>5.348144324E9</v>
      </c>
      <c r="M235" s="150" t="s">
        <v>1450</v>
      </c>
      <c r="N235" s="150" t="s">
        <v>2782</v>
      </c>
      <c r="O235" s="150" t="s">
        <v>3501</v>
      </c>
      <c r="P235" s="150" t="s">
        <v>4484</v>
      </c>
      <c r="Q235" s="442">
        <f>COUNTIF('Hedef Liste'!$A:$A,A235)</f>
        <v>1</v>
      </c>
    </row>
    <row r="236" hidden="1">
      <c r="A236" s="150" t="s">
        <v>2899</v>
      </c>
      <c r="B236" s="150" t="s">
        <v>2900</v>
      </c>
      <c r="C236" s="439" t="s">
        <v>4520</v>
      </c>
      <c r="D236" s="150" t="s">
        <v>2684</v>
      </c>
      <c r="E236" s="440">
        <v>1.0</v>
      </c>
      <c r="F236" s="443"/>
      <c r="G236" s="440">
        <v>0.0</v>
      </c>
      <c r="H236" s="440">
        <v>37.0</v>
      </c>
      <c r="I236" s="440">
        <v>37.0</v>
      </c>
      <c r="J236" s="441">
        <v>0.0</v>
      </c>
      <c r="K236" s="150" t="s">
        <v>4791</v>
      </c>
      <c r="L236" s="150">
        <v>5.3492553E9</v>
      </c>
      <c r="M236" s="150" t="s">
        <v>2666</v>
      </c>
      <c r="N236" s="150" t="s">
        <v>2682</v>
      </c>
      <c r="O236" s="150" t="s">
        <v>2901</v>
      </c>
      <c r="P236" s="150" t="s">
        <v>4484</v>
      </c>
      <c r="Q236" s="442">
        <f>COUNTIF('Hedef Liste'!$A:$A,A236)</f>
        <v>1</v>
      </c>
    </row>
    <row r="237" hidden="1">
      <c r="A237" s="150" t="s">
        <v>1539</v>
      </c>
      <c r="B237" s="150" t="s">
        <v>1540</v>
      </c>
      <c r="C237" s="439" t="s">
        <v>4520</v>
      </c>
      <c r="D237" s="150" t="s">
        <v>3145</v>
      </c>
      <c r="E237" s="440">
        <v>63.0</v>
      </c>
      <c r="F237" s="443"/>
      <c r="G237" s="440">
        <v>0.0</v>
      </c>
      <c r="H237" s="440">
        <v>84.0</v>
      </c>
      <c r="I237" s="440">
        <v>84.0</v>
      </c>
      <c r="J237" s="441">
        <v>0.0</v>
      </c>
      <c r="K237" s="150" t="s">
        <v>4792</v>
      </c>
      <c r="L237" s="150">
        <v>5.416394979E9</v>
      </c>
      <c r="M237" s="150" t="s">
        <v>1450</v>
      </c>
      <c r="N237" s="150" t="s">
        <v>2795</v>
      </c>
      <c r="O237" s="150" t="s">
        <v>1543</v>
      </c>
      <c r="P237" s="150" t="s">
        <v>4484</v>
      </c>
      <c r="Q237" s="442">
        <f>COUNTIF('Hedef Liste'!$A:$A,A237)</f>
        <v>1</v>
      </c>
    </row>
    <row r="238" hidden="1">
      <c r="A238" s="150" t="s">
        <v>613</v>
      </c>
      <c r="B238" s="150" t="s">
        <v>614</v>
      </c>
      <c r="C238" s="439" t="s">
        <v>4520</v>
      </c>
      <c r="D238" s="150" t="s">
        <v>3145</v>
      </c>
      <c r="E238" s="440">
        <v>1578.0</v>
      </c>
      <c r="F238" s="443"/>
      <c r="G238" s="440">
        <v>3.0</v>
      </c>
      <c r="H238" s="440">
        <v>9.0</v>
      </c>
      <c r="I238" s="440">
        <v>12.0</v>
      </c>
      <c r="J238" s="441">
        <v>0.25</v>
      </c>
      <c r="K238" s="150" t="s">
        <v>4793</v>
      </c>
      <c r="L238" s="150">
        <v>5.347884812E9</v>
      </c>
      <c r="M238" s="150" t="s">
        <v>2666</v>
      </c>
      <c r="N238" s="150" t="s">
        <v>2682</v>
      </c>
      <c r="O238" s="150" t="s">
        <v>617</v>
      </c>
      <c r="P238" s="150" t="s">
        <v>4484</v>
      </c>
      <c r="Q238" s="442">
        <f>COUNTIF('Hedef Liste'!$A:$A,A238)</f>
        <v>1</v>
      </c>
    </row>
    <row r="239" hidden="1">
      <c r="A239" s="150" t="s">
        <v>4794</v>
      </c>
      <c r="B239" s="150" t="s">
        <v>4795</v>
      </c>
      <c r="C239" s="439" t="s">
        <v>4483</v>
      </c>
      <c r="D239" s="150" t="s">
        <v>2773</v>
      </c>
      <c r="E239" s="440">
        <v>1221.0</v>
      </c>
      <c r="F239" s="440">
        <v>35.0</v>
      </c>
      <c r="G239" s="440">
        <v>85.0</v>
      </c>
      <c r="H239" s="440">
        <v>8.0</v>
      </c>
      <c r="I239" s="440">
        <v>93.0</v>
      </c>
      <c r="J239" s="441">
        <v>0.91</v>
      </c>
      <c r="K239" s="150" t="s">
        <v>4567</v>
      </c>
      <c r="L239" s="150">
        <v>5.454332144E9</v>
      </c>
      <c r="M239" s="150" t="s">
        <v>1450</v>
      </c>
      <c r="N239" s="150" t="s">
        <v>2776</v>
      </c>
      <c r="O239" s="150" t="s">
        <v>4796</v>
      </c>
      <c r="P239" s="150" t="s">
        <v>4512</v>
      </c>
      <c r="Q239" s="442">
        <f>COUNTIF('Hedef Liste'!$A:$A,A239)</f>
        <v>0</v>
      </c>
    </row>
    <row r="240" hidden="1">
      <c r="A240" s="150" t="s">
        <v>2869</v>
      </c>
      <c r="B240" s="150" t="s">
        <v>4797</v>
      </c>
      <c r="C240" s="439" t="s">
        <v>4483</v>
      </c>
      <c r="D240" s="150" t="s">
        <v>2684</v>
      </c>
      <c r="E240" s="440">
        <v>1127.0</v>
      </c>
      <c r="F240" s="440">
        <v>31.0</v>
      </c>
      <c r="G240" s="440">
        <v>9.0</v>
      </c>
      <c r="H240" s="440">
        <v>18.0</v>
      </c>
      <c r="I240" s="440">
        <v>27.0</v>
      </c>
      <c r="J240" s="441">
        <v>0.33</v>
      </c>
      <c r="K240" s="150" t="s">
        <v>3226</v>
      </c>
      <c r="L240" s="150">
        <v>2.22323609E9</v>
      </c>
      <c r="M240" s="150" t="s">
        <v>2666</v>
      </c>
      <c r="N240" s="150" t="s">
        <v>2855</v>
      </c>
      <c r="O240" s="150" t="s">
        <v>2073</v>
      </c>
      <c r="P240" s="150" t="s">
        <v>4484</v>
      </c>
      <c r="Q240" s="442">
        <f>COUNTIF('Hedef Liste'!$A:$A,A240)</f>
        <v>1</v>
      </c>
    </row>
    <row r="241" hidden="1">
      <c r="A241" s="150" t="s">
        <v>3987</v>
      </c>
      <c r="B241" s="150" t="s">
        <v>4798</v>
      </c>
      <c r="C241" s="439" t="s">
        <v>4483</v>
      </c>
      <c r="D241" s="150" t="s">
        <v>2696</v>
      </c>
      <c r="E241" s="440">
        <v>3773.0</v>
      </c>
      <c r="F241" s="440">
        <v>107.0</v>
      </c>
      <c r="G241" s="440">
        <v>3.0</v>
      </c>
      <c r="H241" s="440">
        <v>37.0</v>
      </c>
      <c r="I241" s="440">
        <v>40.0</v>
      </c>
      <c r="J241" s="441">
        <v>0.08</v>
      </c>
      <c r="K241" s="150" t="s">
        <v>3994</v>
      </c>
      <c r="L241" s="150">
        <v>2.222308234E9</v>
      </c>
      <c r="M241" s="150" t="s">
        <v>2666</v>
      </c>
      <c r="N241" s="150" t="s">
        <v>2667</v>
      </c>
      <c r="O241" s="150" t="s">
        <v>3989</v>
      </c>
      <c r="P241" s="150" t="s">
        <v>4484</v>
      </c>
      <c r="Q241" s="442">
        <f>COUNTIF('Hedef Liste'!$A:$A,A241)</f>
        <v>1</v>
      </c>
    </row>
    <row r="242" hidden="1">
      <c r="A242" s="150" t="s">
        <v>2184</v>
      </c>
      <c r="B242" s="150" t="s">
        <v>4799</v>
      </c>
      <c r="C242" s="439" t="s">
        <v>4483</v>
      </c>
      <c r="D242" s="150" t="s">
        <v>2763</v>
      </c>
      <c r="E242" s="440">
        <v>25915.0</v>
      </c>
      <c r="F242" s="440">
        <v>755.0</v>
      </c>
      <c r="G242" s="440">
        <v>6.0</v>
      </c>
      <c r="H242" s="440">
        <v>10.0</v>
      </c>
      <c r="I242" s="440">
        <v>16.0</v>
      </c>
      <c r="J242" s="444">
        <v>0.38</v>
      </c>
      <c r="K242" s="150" t="s">
        <v>3492</v>
      </c>
      <c r="L242" s="150">
        <v>2.223214046E9</v>
      </c>
      <c r="M242" s="150" t="s">
        <v>2666</v>
      </c>
      <c r="N242" s="150" t="s">
        <v>2801</v>
      </c>
      <c r="O242" s="150" t="s">
        <v>2183</v>
      </c>
      <c r="P242" s="150" t="s">
        <v>4484</v>
      </c>
      <c r="Q242" s="442">
        <f>COUNTIF('Hedef Liste'!$A:$A,A242)</f>
        <v>1</v>
      </c>
    </row>
    <row r="243" hidden="1">
      <c r="A243" s="150" t="s">
        <v>326</v>
      </c>
      <c r="B243" s="150" t="s">
        <v>4800</v>
      </c>
      <c r="C243" s="439" t="s">
        <v>4483</v>
      </c>
      <c r="D243" s="150" t="s">
        <v>2736</v>
      </c>
      <c r="E243" s="440">
        <v>2624.0</v>
      </c>
      <c r="F243" s="440">
        <v>39.0</v>
      </c>
      <c r="G243" s="440">
        <v>19.0</v>
      </c>
      <c r="H243" s="440">
        <v>3.0</v>
      </c>
      <c r="I243" s="440">
        <v>22.0</v>
      </c>
      <c r="J243" s="441">
        <v>0.86</v>
      </c>
      <c r="K243" s="150" t="s">
        <v>4801</v>
      </c>
      <c r="L243" s="150">
        <v>5.493150045E9</v>
      </c>
      <c r="M243" s="150" t="s">
        <v>2666</v>
      </c>
      <c r="N243" s="150" t="s">
        <v>2667</v>
      </c>
      <c r="O243" s="150" t="s">
        <v>329</v>
      </c>
      <c r="P243" s="150" t="s">
        <v>4484</v>
      </c>
      <c r="Q243" s="442">
        <f>COUNTIF('Hedef Liste'!$A:$A,A243)</f>
        <v>1</v>
      </c>
    </row>
    <row r="244" hidden="1">
      <c r="A244" s="150" t="s">
        <v>3052</v>
      </c>
      <c r="B244" s="150" t="s">
        <v>3053</v>
      </c>
      <c r="C244" s="439" t="s">
        <v>4483</v>
      </c>
      <c r="D244" s="150" t="s">
        <v>2658</v>
      </c>
      <c r="E244" s="440">
        <v>6918.0</v>
      </c>
      <c r="F244" s="440">
        <v>258.0</v>
      </c>
      <c r="G244" s="440">
        <v>0.0</v>
      </c>
      <c r="H244" s="440">
        <v>18.0</v>
      </c>
      <c r="I244" s="440">
        <v>18.0</v>
      </c>
      <c r="J244" s="441">
        <v>0.0</v>
      </c>
      <c r="K244" s="150" t="s">
        <v>3049</v>
      </c>
      <c r="L244" s="150">
        <v>5.4566996E9</v>
      </c>
      <c r="M244" s="150" t="s">
        <v>1450</v>
      </c>
      <c r="N244" s="150" t="s">
        <v>2732</v>
      </c>
      <c r="O244" s="150" t="s">
        <v>3050</v>
      </c>
      <c r="P244" s="150" t="s">
        <v>4484</v>
      </c>
      <c r="Q244" s="442">
        <f>COUNTIF('Hedef Liste'!$A:$A,A244)</f>
        <v>1</v>
      </c>
    </row>
    <row r="245" hidden="1">
      <c r="A245" s="150" t="s">
        <v>865</v>
      </c>
      <c r="B245" s="150" t="s">
        <v>866</v>
      </c>
      <c r="C245" s="439" t="s">
        <v>4483</v>
      </c>
      <c r="D245" s="150" t="s">
        <v>2672</v>
      </c>
      <c r="E245" s="440">
        <v>10966.0</v>
      </c>
      <c r="F245" s="440">
        <v>420.0</v>
      </c>
      <c r="G245" s="440">
        <v>16.0</v>
      </c>
      <c r="H245" s="440">
        <v>24.0</v>
      </c>
      <c r="I245" s="440">
        <v>40.0</v>
      </c>
      <c r="J245" s="441">
        <v>0.4</v>
      </c>
      <c r="K245" s="150" t="s">
        <v>4802</v>
      </c>
      <c r="L245" s="150">
        <v>2.222202062E9</v>
      </c>
      <c r="M245" s="150" t="s">
        <v>2666</v>
      </c>
      <c r="N245" s="150" t="s">
        <v>2667</v>
      </c>
      <c r="O245" s="150" t="s">
        <v>870</v>
      </c>
      <c r="P245" s="150" t="s">
        <v>4484</v>
      </c>
      <c r="Q245" s="442">
        <f>COUNTIF('Hedef Liste'!$A:$A,A245)</f>
        <v>1</v>
      </c>
    </row>
    <row r="246" hidden="1">
      <c r="A246" s="150" t="s">
        <v>1045</v>
      </c>
      <c r="B246" s="150" t="s">
        <v>1046</v>
      </c>
      <c r="C246" s="439" t="s">
        <v>4483</v>
      </c>
      <c r="D246" s="150" t="s">
        <v>2684</v>
      </c>
      <c r="E246" s="440">
        <v>5575.0</v>
      </c>
      <c r="F246" s="443"/>
      <c r="G246" s="440">
        <v>14.0</v>
      </c>
      <c r="H246" s="440">
        <v>45.0</v>
      </c>
      <c r="I246" s="440">
        <v>59.0</v>
      </c>
      <c r="J246" s="441">
        <v>0.24</v>
      </c>
      <c r="K246" s="150" t="s">
        <v>4803</v>
      </c>
      <c r="L246" s="150">
        <v>5.320566815E9</v>
      </c>
      <c r="M246" s="150" t="s">
        <v>2666</v>
      </c>
      <c r="N246" s="150" t="s">
        <v>2721</v>
      </c>
      <c r="O246" s="150" t="s">
        <v>4042</v>
      </c>
      <c r="P246" s="150" t="s">
        <v>4484</v>
      </c>
      <c r="Q246" s="442">
        <f>COUNTIF('Hedef Liste'!$A:$A,A246)</f>
        <v>1</v>
      </c>
    </row>
    <row r="247" hidden="1">
      <c r="A247" s="150" t="s">
        <v>4804</v>
      </c>
      <c r="B247" s="150" t="s">
        <v>4805</v>
      </c>
      <c r="C247" s="439" t="s">
        <v>4483</v>
      </c>
      <c r="D247" s="150" t="s">
        <v>2684</v>
      </c>
      <c r="E247" s="440">
        <v>19756.0</v>
      </c>
      <c r="F247" s="440">
        <v>675.0</v>
      </c>
      <c r="G247" s="440">
        <v>43.0</v>
      </c>
      <c r="H247" s="440">
        <v>38.0</v>
      </c>
      <c r="I247" s="440">
        <v>81.0</v>
      </c>
      <c r="J247" s="441">
        <v>0.53</v>
      </c>
      <c r="K247" s="150" t="s">
        <v>4763</v>
      </c>
      <c r="L247" s="150">
        <v>2.222255959E9</v>
      </c>
      <c r="M247" s="150" t="s">
        <v>1450</v>
      </c>
      <c r="N247" s="150" t="s">
        <v>2795</v>
      </c>
      <c r="O247" s="150" t="s">
        <v>4806</v>
      </c>
      <c r="P247" s="150" t="s">
        <v>4484</v>
      </c>
      <c r="Q247" s="442">
        <f>COUNTIF('Hedef Liste'!$A:$A,A247)</f>
        <v>0</v>
      </c>
    </row>
    <row r="248" hidden="1">
      <c r="A248" s="150" t="s">
        <v>4807</v>
      </c>
      <c r="B248" s="150" t="s">
        <v>4808</v>
      </c>
      <c r="C248" s="439" t="s">
        <v>4520</v>
      </c>
      <c r="D248" s="150" t="s">
        <v>2684</v>
      </c>
      <c r="E248" s="440">
        <v>1787.0</v>
      </c>
      <c r="F248" s="443"/>
      <c r="G248" s="440">
        <v>43.0</v>
      </c>
      <c r="H248" s="440">
        <v>33.0</v>
      </c>
      <c r="I248" s="440">
        <v>76.0</v>
      </c>
      <c r="J248" s="441">
        <v>0.57</v>
      </c>
      <c r="K248" s="150" t="s">
        <v>4809</v>
      </c>
      <c r="L248" s="150">
        <v>2.222317532E9</v>
      </c>
      <c r="M248" s="150" t="s">
        <v>2666</v>
      </c>
      <c r="N248" s="150" t="s">
        <v>2667</v>
      </c>
      <c r="O248" s="150" t="s">
        <v>4810</v>
      </c>
      <c r="P248" s="150" t="s">
        <v>4484</v>
      </c>
      <c r="Q248" s="442">
        <f>COUNTIF('Hedef Liste'!$A:$A,A248)</f>
        <v>0</v>
      </c>
    </row>
    <row r="249" hidden="1">
      <c r="A249" s="150" t="s">
        <v>4811</v>
      </c>
      <c r="B249" s="150" t="s">
        <v>4812</v>
      </c>
      <c r="C249" s="439" t="s">
        <v>4483</v>
      </c>
      <c r="D249" s="150" t="s">
        <v>2684</v>
      </c>
      <c r="E249" s="440">
        <v>2076.0</v>
      </c>
      <c r="F249" s="440">
        <v>149.0</v>
      </c>
      <c r="G249" s="440">
        <v>35.0</v>
      </c>
      <c r="H249" s="440">
        <v>33.0</v>
      </c>
      <c r="I249" s="440">
        <v>68.0</v>
      </c>
      <c r="J249" s="441">
        <v>0.51</v>
      </c>
      <c r="K249" s="150" t="s">
        <v>4813</v>
      </c>
      <c r="L249" s="150">
        <v>2.2240001E9</v>
      </c>
      <c r="M249" s="150" t="s">
        <v>2666</v>
      </c>
      <c r="N249" s="150" t="s">
        <v>2685</v>
      </c>
      <c r="O249" s="150" t="s">
        <v>4814</v>
      </c>
      <c r="P249" s="150" t="s">
        <v>4484</v>
      </c>
      <c r="Q249" s="442">
        <f>COUNTIF('Hedef Liste'!$A:$A,A249)</f>
        <v>0</v>
      </c>
    </row>
    <row r="250" hidden="1">
      <c r="A250" s="150" t="s">
        <v>342</v>
      </c>
      <c r="B250" s="150" t="s">
        <v>343</v>
      </c>
      <c r="C250" s="439" t="s">
        <v>4483</v>
      </c>
      <c r="D250" s="150" t="s">
        <v>2850</v>
      </c>
      <c r="E250" s="440">
        <v>2647.0</v>
      </c>
      <c r="F250" s="440">
        <v>62.0</v>
      </c>
      <c r="G250" s="440">
        <v>13.0</v>
      </c>
      <c r="H250" s="440">
        <v>3.0</v>
      </c>
      <c r="I250" s="440">
        <v>16.0</v>
      </c>
      <c r="J250" s="441">
        <v>0.81</v>
      </c>
      <c r="K250" s="150" t="s">
        <v>4815</v>
      </c>
      <c r="L250" s="150">
        <v>5.54572298E9</v>
      </c>
      <c r="M250" s="150" t="s">
        <v>2666</v>
      </c>
      <c r="N250" s="150" t="s">
        <v>2667</v>
      </c>
      <c r="O250" s="150" t="s">
        <v>3079</v>
      </c>
      <c r="P250" s="150" t="s">
        <v>4484</v>
      </c>
      <c r="Q250" s="442">
        <f>COUNTIF('Hedef Liste'!$A:$A,A250)</f>
        <v>1</v>
      </c>
    </row>
    <row r="251" hidden="1">
      <c r="A251" s="150" t="s">
        <v>272</v>
      </c>
      <c r="B251" s="150" t="s">
        <v>273</v>
      </c>
      <c r="C251" s="439" t="s">
        <v>4483</v>
      </c>
      <c r="D251" s="150" t="s">
        <v>2684</v>
      </c>
      <c r="E251" s="440">
        <v>8313.0</v>
      </c>
      <c r="F251" s="440">
        <v>83.0</v>
      </c>
      <c r="G251" s="440">
        <v>0.0</v>
      </c>
      <c r="H251" s="440">
        <v>7.0</v>
      </c>
      <c r="I251" s="440">
        <v>7.0</v>
      </c>
      <c r="J251" s="441">
        <v>0.0</v>
      </c>
      <c r="K251" s="150" t="s">
        <v>4816</v>
      </c>
      <c r="L251" s="150">
        <v>5.52609623E9</v>
      </c>
      <c r="M251" s="150" t="s">
        <v>1450</v>
      </c>
      <c r="N251" s="150" t="s">
        <v>2732</v>
      </c>
      <c r="O251" s="150" t="s">
        <v>275</v>
      </c>
      <c r="P251" s="150" t="s">
        <v>4484</v>
      </c>
      <c r="Q251" s="442">
        <f>COUNTIF('Hedef Liste'!$A:$A,A251)</f>
        <v>1</v>
      </c>
    </row>
    <row r="252" hidden="1">
      <c r="A252" s="150" t="s">
        <v>1518</v>
      </c>
      <c r="B252" s="150" t="s">
        <v>1519</v>
      </c>
      <c r="C252" s="439" t="s">
        <v>4520</v>
      </c>
      <c r="D252" s="150" t="s">
        <v>2672</v>
      </c>
      <c r="E252" s="440">
        <v>471.0</v>
      </c>
      <c r="F252" s="443"/>
      <c r="G252" s="440">
        <v>9.0</v>
      </c>
      <c r="H252" s="440">
        <v>5.0</v>
      </c>
      <c r="I252" s="440">
        <v>14.0</v>
      </c>
      <c r="J252" s="441">
        <v>0.64</v>
      </c>
      <c r="K252" s="150" t="s">
        <v>4817</v>
      </c>
      <c r="L252" s="150">
        <v>2.222378005E9</v>
      </c>
      <c r="M252" s="150" t="s">
        <v>1450</v>
      </c>
      <c r="N252" s="150" t="s">
        <v>2776</v>
      </c>
      <c r="O252" s="150" t="s">
        <v>1522</v>
      </c>
      <c r="P252" s="150" t="s">
        <v>4484</v>
      </c>
      <c r="Q252" s="442">
        <f>COUNTIF('Hedef Liste'!$A:$A,A252)</f>
        <v>1</v>
      </c>
    </row>
    <row r="253" hidden="1">
      <c r="A253" s="150" t="s">
        <v>4818</v>
      </c>
      <c r="B253" s="150" t="s">
        <v>4819</v>
      </c>
      <c r="C253" s="439" t="s">
        <v>4520</v>
      </c>
      <c r="D253" s="150" t="s">
        <v>3151</v>
      </c>
      <c r="E253" s="440">
        <v>2962.0</v>
      </c>
      <c r="F253" s="443"/>
      <c r="G253" s="440">
        <v>95.0</v>
      </c>
      <c r="H253" s="440">
        <v>2.0</v>
      </c>
      <c r="I253" s="440">
        <v>97.0</v>
      </c>
      <c r="J253" s="441">
        <v>0.98</v>
      </c>
      <c r="K253" s="150" t="s">
        <v>4788</v>
      </c>
      <c r="L253" s="150">
        <v>8.5021217E8</v>
      </c>
      <c r="M253" s="150" t="s">
        <v>2666</v>
      </c>
      <c r="N253" s="150" t="s">
        <v>2667</v>
      </c>
      <c r="O253" s="150" t="s">
        <v>4820</v>
      </c>
      <c r="P253" s="150" t="s">
        <v>4512</v>
      </c>
      <c r="Q253" s="442">
        <f>COUNTIF('Hedef Liste'!$A:$A,A253)</f>
        <v>0</v>
      </c>
    </row>
    <row r="254" hidden="1">
      <c r="A254" s="150" t="s">
        <v>51</v>
      </c>
      <c r="B254" s="150" t="s">
        <v>52</v>
      </c>
      <c r="C254" s="439" t="s">
        <v>4483</v>
      </c>
      <c r="D254" s="150" t="s">
        <v>2664</v>
      </c>
      <c r="E254" s="440">
        <v>6679.0</v>
      </c>
      <c r="F254" s="440">
        <v>315.0</v>
      </c>
      <c r="G254" s="440">
        <v>8.0</v>
      </c>
      <c r="H254" s="440">
        <v>1.0</v>
      </c>
      <c r="I254" s="440">
        <v>9.0</v>
      </c>
      <c r="J254" s="441">
        <v>0.89</v>
      </c>
      <c r="K254" s="150" t="s">
        <v>4821</v>
      </c>
      <c r="L254" s="150">
        <v>5.073695868E9</v>
      </c>
      <c r="M254" s="150" t="s">
        <v>2666</v>
      </c>
      <c r="N254" s="150" t="s">
        <v>2855</v>
      </c>
      <c r="O254" s="150" t="s">
        <v>55</v>
      </c>
      <c r="P254" s="150" t="s">
        <v>4484</v>
      </c>
      <c r="Q254" s="442">
        <f>COUNTIF('Hedef Liste'!$A:$A,A254)</f>
        <v>1</v>
      </c>
    </row>
    <row r="255" hidden="1">
      <c r="A255" s="150" t="s">
        <v>806</v>
      </c>
      <c r="B255" s="150" t="s">
        <v>4822</v>
      </c>
      <c r="C255" s="439" t="s">
        <v>4483</v>
      </c>
      <c r="D255" s="150" t="s">
        <v>2701</v>
      </c>
      <c r="E255" s="440">
        <v>2376.0</v>
      </c>
      <c r="F255" s="440">
        <v>189.0</v>
      </c>
      <c r="G255" s="440">
        <v>22.0</v>
      </c>
      <c r="H255" s="440">
        <v>9.0</v>
      </c>
      <c r="I255" s="440">
        <v>31.0</v>
      </c>
      <c r="J255" s="441">
        <v>0.71</v>
      </c>
      <c r="K255" s="150" t="s">
        <v>4823</v>
      </c>
      <c r="L255" s="150">
        <v>5.072918998E9</v>
      </c>
      <c r="M255" s="150" t="s">
        <v>2666</v>
      </c>
      <c r="N255" s="150" t="s">
        <v>2667</v>
      </c>
      <c r="O255" s="150" t="s">
        <v>809</v>
      </c>
      <c r="P255" s="150" t="s">
        <v>4484</v>
      </c>
      <c r="Q255" s="442">
        <f>COUNTIF('Hedef Liste'!$A:$A,A255)</f>
        <v>1</v>
      </c>
    </row>
    <row r="256" hidden="1">
      <c r="A256" s="150" t="s">
        <v>4361</v>
      </c>
      <c r="B256" s="150" t="s">
        <v>4362</v>
      </c>
      <c r="C256" s="439" t="s">
        <v>4483</v>
      </c>
      <c r="D256" s="150" t="s">
        <v>2904</v>
      </c>
      <c r="E256" s="440">
        <v>2052.0</v>
      </c>
      <c r="F256" s="440">
        <v>69.0</v>
      </c>
      <c r="G256" s="440">
        <v>0.0</v>
      </c>
      <c r="H256" s="440">
        <v>134.0</v>
      </c>
      <c r="I256" s="440">
        <v>134.0</v>
      </c>
      <c r="J256" s="441">
        <v>0.0</v>
      </c>
      <c r="K256" s="150" t="s">
        <v>4824</v>
      </c>
      <c r="L256" s="150">
        <v>2.222269994E9</v>
      </c>
      <c r="M256" s="150" t="s">
        <v>1450</v>
      </c>
      <c r="N256" s="150" t="s">
        <v>2950</v>
      </c>
      <c r="O256" s="150" t="s">
        <v>4363</v>
      </c>
      <c r="P256" s="150" t="s">
        <v>4484</v>
      </c>
      <c r="Q256" s="442">
        <f>COUNTIF('Hedef Liste'!$A:$A,A256)</f>
        <v>1</v>
      </c>
    </row>
    <row r="257" hidden="1">
      <c r="A257" s="150" t="s">
        <v>878</v>
      </c>
      <c r="B257" s="150" t="s">
        <v>879</v>
      </c>
      <c r="C257" s="439" t="s">
        <v>4483</v>
      </c>
      <c r="D257" s="150" t="s">
        <v>2684</v>
      </c>
      <c r="E257" s="440">
        <v>3323.0</v>
      </c>
      <c r="F257" s="440">
        <v>202.0</v>
      </c>
      <c r="G257" s="440">
        <v>33.0</v>
      </c>
      <c r="H257" s="440">
        <v>13.0</v>
      </c>
      <c r="I257" s="440">
        <v>46.0</v>
      </c>
      <c r="J257" s="441">
        <v>0.72</v>
      </c>
      <c r="K257" s="150" t="s">
        <v>4825</v>
      </c>
      <c r="L257" s="150">
        <v>5.547101747E9</v>
      </c>
      <c r="M257" s="150" t="s">
        <v>2666</v>
      </c>
      <c r="N257" s="150" t="s">
        <v>2855</v>
      </c>
      <c r="O257" s="150" t="s">
        <v>882</v>
      </c>
      <c r="P257" s="150" t="s">
        <v>4484</v>
      </c>
      <c r="Q257" s="442">
        <f>COUNTIF('Hedef Liste'!$A:$A,A257)</f>
        <v>1</v>
      </c>
    </row>
    <row r="258" hidden="1">
      <c r="A258" s="150" t="s">
        <v>3367</v>
      </c>
      <c r="B258" s="150" t="s">
        <v>3368</v>
      </c>
      <c r="C258" s="439" t="s">
        <v>4520</v>
      </c>
      <c r="D258" s="150" t="s">
        <v>2658</v>
      </c>
      <c r="F258" s="443"/>
      <c r="G258" s="440">
        <v>0.0</v>
      </c>
      <c r="H258" s="440">
        <v>16.0</v>
      </c>
      <c r="I258" s="440">
        <v>16.0</v>
      </c>
      <c r="J258" s="441">
        <v>0.0</v>
      </c>
      <c r="K258" s="150" t="s">
        <v>4826</v>
      </c>
      <c r="L258" s="150">
        <v>2.222214525E9</v>
      </c>
      <c r="M258" s="150" t="s">
        <v>2666</v>
      </c>
      <c r="N258" s="150" t="s">
        <v>2711</v>
      </c>
      <c r="O258" s="150" t="s">
        <v>3369</v>
      </c>
      <c r="P258" s="150" t="s">
        <v>4484</v>
      </c>
      <c r="Q258" s="442">
        <f>COUNTIF('Hedef Liste'!$A:$A,A258)</f>
        <v>1</v>
      </c>
    </row>
    <row r="259" hidden="1">
      <c r="A259" s="150" t="s">
        <v>3818</v>
      </c>
      <c r="B259" s="150" t="s">
        <v>3819</v>
      </c>
      <c r="C259" s="439" t="s">
        <v>4483</v>
      </c>
      <c r="D259" s="150" t="s">
        <v>2724</v>
      </c>
      <c r="E259" s="440">
        <v>49.0</v>
      </c>
      <c r="F259" s="440">
        <v>4.0</v>
      </c>
      <c r="G259" s="440">
        <v>10.0</v>
      </c>
      <c r="H259" s="440">
        <v>24.0</v>
      </c>
      <c r="I259" s="440">
        <v>34.0</v>
      </c>
      <c r="J259" s="441">
        <v>0.29</v>
      </c>
      <c r="K259" s="150" t="s">
        <v>4827</v>
      </c>
      <c r="L259" s="150">
        <v>2.222209657E9</v>
      </c>
      <c r="M259" s="150" t="s">
        <v>2666</v>
      </c>
      <c r="N259" s="150" t="s">
        <v>3000</v>
      </c>
      <c r="O259" s="150" t="s">
        <v>3820</v>
      </c>
      <c r="P259" s="150" t="s">
        <v>4484</v>
      </c>
      <c r="Q259" s="442">
        <f>COUNTIF('Hedef Liste'!$A:$A,A259)</f>
        <v>1</v>
      </c>
    </row>
    <row r="260" hidden="1">
      <c r="A260" s="150" t="s">
        <v>859</v>
      </c>
      <c r="B260" s="150" t="s">
        <v>860</v>
      </c>
      <c r="C260" s="439" t="s">
        <v>4483</v>
      </c>
      <c r="D260" s="150" t="s">
        <v>2867</v>
      </c>
      <c r="E260" s="440">
        <v>3048.0</v>
      </c>
      <c r="F260" s="440">
        <v>22.0</v>
      </c>
      <c r="G260" s="440">
        <v>25.0</v>
      </c>
      <c r="H260" s="440">
        <v>23.0</v>
      </c>
      <c r="I260" s="440">
        <v>48.0</v>
      </c>
      <c r="J260" s="441">
        <v>0.52</v>
      </c>
      <c r="K260" s="150" t="s">
        <v>4597</v>
      </c>
      <c r="L260" s="150">
        <v>2.229991844E9</v>
      </c>
      <c r="M260" s="150" t="s">
        <v>2666</v>
      </c>
      <c r="N260" s="150" t="s">
        <v>2855</v>
      </c>
      <c r="O260" s="150" t="s">
        <v>862</v>
      </c>
      <c r="P260" s="150" t="s">
        <v>4484</v>
      </c>
      <c r="Q260" s="442">
        <f>COUNTIF('Hedef Liste'!$A:$A,A260)</f>
        <v>1</v>
      </c>
    </row>
    <row r="261" hidden="1">
      <c r="A261" s="150" t="s">
        <v>1017</v>
      </c>
      <c r="B261" s="150" t="s">
        <v>1018</v>
      </c>
      <c r="C261" s="439" t="s">
        <v>4483</v>
      </c>
      <c r="D261" s="150" t="s">
        <v>2701</v>
      </c>
      <c r="E261" s="440">
        <v>1007.0</v>
      </c>
      <c r="F261" s="443"/>
      <c r="G261" s="440">
        <v>19.0</v>
      </c>
      <c r="H261" s="440">
        <v>36.0</v>
      </c>
      <c r="I261" s="440">
        <v>55.0</v>
      </c>
      <c r="J261" s="441">
        <v>0.35</v>
      </c>
      <c r="K261" s="150" t="s">
        <v>4828</v>
      </c>
      <c r="L261" s="150">
        <v>5.416106845E9</v>
      </c>
      <c r="M261" s="150" t="s">
        <v>1450</v>
      </c>
      <c r="N261" s="150" t="s">
        <v>2905</v>
      </c>
      <c r="O261" s="150" t="s">
        <v>1021</v>
      </c>
      <c r="P261" s="150" t="s">
        <v>4484</v>
      </c>
      <c r="Q261" s="442">
        <f>COUNTIF('Hedef Liste'!$A:$A,A261)</f>
        <v>1</v>
      </c>
    </row>
    <row r="262" hidden="1">
      <c r="A262" s="150" t="s">
        <v>3578</v>
      </c>
      <c r="B262" s="150" t="s">
        <v>3579</v>
      </c>
      <c r="C262" s="439" t="s">
        <v>4483</v>
      </c>
      <c r="D262" s="150" t="s">
        <v>2684</v>
      </c>
      <c r="E262" s="440">
        <v>34913.0</v>
      </c>
      <c r="F262" s="440">
        <v>1107.0</v>
      </c>
      <c r="G262" s="440">
        <v>39.0</v>
      </c>
      <c r="H262" s="440">
        <v>2.0</v>
      </c>
      <c r="I262" s="440">
        <v>41.0</v>
      </c>
      <c r="J262" s="441">
        <v>0.95</v>
      </c>
      <c r="K262" s="150" t="s">
        <v>4829</v>
      </c>
      <c r="L262" s="150">
        <v>2.22320432E9</v>
      </c>
      <c r="M262" s="150" t="s">
        <v>2666</v>
      </c>
      <c r="N262" s="150" t="s">
        <v>2721</v>
      </c>
      <c r="O262" s="150" t="s">
        <v>3580</v>
      </c>
      <c r="P262" s="150" t="s">
        <v>4484</v>
      </c>
      <c r="Q262" s="442">
        <f>COUNTIF('Hedef Liste'!$A:$A,A262)</f>
        <v>1</v>
      </c>
    </row>
    <row r="263" hidden="1">
      <c r="A263" s="150" t="s">
        <v>4830</v>
      </c>
      <c r="B263" s="150" t="s">
        <v>4831</v>
      </c>
      <c r="C263" s="439" t="s">
        <v>4483</v>
      </c>
      <c r="D263" s="150" t="s">
        <v>3151</v>
      </c>
      <c r="E263" s="440">
        <v>1995.0</v>
      </c>
      <c r="F263" s="440">
        <v>88.0</v>
      </c>
      <c r="G263" s="440">
        <v>171.0</v>
      </c>
      <c r="H263" s="440">
        <v>0.0</v>
      </c>
      <c r="I263" s="440">
        <v>171.0</v>
      </c>
      <c r="J263" s="441">
        <v>1.0</v>
      </c>
      <c r="K263" s="150" t="s">
        <v>4832</v>
      </c>
      <c r="L263" s="150">
        <v>5.414555636E9</v>
      </c>
      <c r="M263" s="150" t="s">
        <v>2666</v>
      </c>
      <c r="N263" s="150" t="s">
        <v>2682</v>
      </c>
      <c r="O263" s="150" t="s">
        <v>4833</v>
      </c>
      <c r="P263" s="150" t="s">
        <v>4512</v>
      </c>
      <c r="Q263" s="442">
        <f>COUNTIF('Hedef Liste'!$A:$A,A263)</f>
        <v>0</v>
      </c>
    </row>
    <row r="264" hidden="1">
      <c r="A264" s="150" t="s">
        <v>2927</v>
      </c>
      <c r="B264" s="150" t="s">
        <v>2928</v>
      </c>
      <c r="C264" s="439" t="s">
        <v>4483</v>
      </c>
      <c r="D264" s="150" t="s">
        <v>2706</v>
      </c>
      <c r="E264" s="440">
        <v>614.0</v>
      </c>
      <c r="F264" s="440">
        <v>1.0</v>
      </c>
      <c r="G264" s="440">
        <v>0.0</v>
      </c>
      <c r="H264" s="440">
        <v>25.0</v>
      </c>
      <c r="I264" s="440">
        <v>25.0</v>
      </c>
      <c r="J264" s="441">
        <v>0.0</v>
      </c>
      <c r="K264" s="150" t="s">
        <v>4636</v>
      </c>
      <c r="L264" s="150">
        <v>5.398856201E9</v>
      </c>
      <c r="M264" s="150" t="s">
        <v>2666</v>
      </c>
      <c r="N264" s="150" t="s">
        <v>2794</v>
      </c>
      <c r="O264" s="150" t="s">
        <v>2929</v>
      </c>
      <c r="P264" s="150" t="s">
        <v>4484</v>
      </c>
      <c r="Q264" s="442">
        <f>COUNTIF('Hedef Liste'!$A:$A,A264)</f>
        <v>1</v>
      </c>
    </row>
    <row r="265" hidden="1">
      <c r="A265" s="150" t="s">
        <v>1498</v>
      </c>
      <c r="B265" s="150" t="s">
        <v>1499</v>
      </c>
      <c r="C265" s="439" t="s">
        <v>4483</v>
      </c>
      <c r="D265" s="150" t="s">
        <v>2763</v>
      </c>
      <c r="E265" s="440">
        <v>4726.0</v>
      </c>
      <c r="F265" s="440">
        <v>150.0</v>
      </c>
      <c r="G265" s="440">
        <v>0.0</v>
      </c>
      <c r="H265" s="440">
        <v>72.0</v>
      </c>
      <c r="I265" s="440">
        <v>72.0</v>
      </c>
      <c r="J265" s="441">
        <v>0.0</v>
      </c>
      <c r="K265" s="150" t="s">
        <v>4834</v>
      </c>
      <c r="L265" s="150">
        <v>2.222390158E9</v>
      </c>
      <c r="M265" s="150" t="s">
        <v>1450</v>
      </c>
      <c r="N265" s="150" t="s">
        <v>2732</v>
      </c>
      <c r="O265" s="150" t="s">
        <v>1501</v>
      </c>
      <c r="P265" s="150" t="s">
        <v>4484</v>
      </c>
      <c r="Q265" s="442">
        <f>COUNTIF('Hedef Liste'!$A:$A,A265)</f>
        <v>1</v>
      </c>
    </row>
    <row r="266" hidden="1">
      <c r="A266" s="150" t="s">
        <v>1083</v>
      </c>
      <c r="B266" s="150" t="s">
        <v>1084</v>
      </c>
      <c r="C266" s="439" t="s">
        <v>4483</v>
      </c>
      <c r="D266" s="150" t="s">
        <v>2664</v>
      </c>
      <c r="E266" s="440">
        <v>556.0</v>
      </c>
      <c r="F266" s="443"/>
      <c r="G266" s="440">
        <v>24.0</v>
      </c>
      <c r="H266" s="440">
        <v>5.0</v>
      </c>
      <c r="I266" s="440">
        <v>29.0</v>
      </c>
      <c r="J266" s="441">
        <v>0.83</v>
      </c>
      <c r="K266" s="150" t="s">
        <v>4835</v>
      </c>
      <c r="L266" s="150">
        <v>5.468790808E9</v>
      </c>
      <c r="M266" s="150" t="s">
        <v>2666</v>
      </c>
      <c r="N266" s="150" t="s">
        <v>2682</v>
      </c>
      <c r="O266" s="150" t="s">
        <v>3148</v>
      </c>
      <c r="P266" s="150" t="s">
        <v>4484</v>
      </c>
      <c r="Q266" s="442">
        <f>COUNTIF('Hedef Liste'!$A:$A,A266)</f>
        <v>1</v>
      </c>
    </row>
    <row r="267" hidden="1">
      <c r="A267" s="150" t="s">
        <v>2215</v>
      </c>
      <c r="B267" s="150" t="s">
        <v>2216</v>
      </c>
      <c r="C267" s="439" t="s">
        <v>4483</v>
      </c>
      <c r="D267" s="150" t="s">
        <v>2701</v>
      </c>
      <c r="E267" s="440">
        <v>4716.0</v>
      </c>
      <c r="F267" s="440">
        <v>160.0</v>
      </c>
      <c r="G267" s="440">
        <v>6.0</v>
      </c>
      <c r="H267" s="440">
        <v>1.0</v>
      </c>
      <c r="I267" s="440">
        <v>7.0</v>
      </c>
      <c r="J267" s="441">
        <v>0.86</v>
      </c>
      <c r="K267" s="150" t="s">
        <v>4836</v>
      </c>
      <c r="L267" s="150">
        <v>2.223353545E9</v>
      </c>
      <c r="M267" s="150" t="s">
        <v>2666</v>
      </c>
      <c r="N267" s="150" t="s">
        <v>2682</v>
      </c>
      <c r="O267" s="150" t="s">
        <v>4300</v>
      </c>
      <c r="P267" s="150" t="s">
        <v>4484</v>
      </c>
      <c r="Q267" s="442">
        <f>COUNTIF('Hedef Liste'!$A:$A,A267)</f>
        <v>1</v>
      </c>
    </row>
    <row r="268" hidden="1">
      <c r="A268" s="150" t="s">
        <v>3601</v>
      </c>
      <c r="B268" s="150" t="s">
        <v>3602</v>
      </c>
      <c r="C268" s="439" t="s">
        <v>4483</v>
      </c>
      <c r="D268" s="150" t="s">
        <v>3561</v>
      </c>
      <c r="E268" s="440">
        <v>2055.0</v>
      </c>
      <c r="F268" s="443"/>
      <c r="G268" s="440">
        <v>0.0</v>
      </c>
      <c r="H268" s="440">
        <v>17.0</v>
      </c>
      <c r="I268" s="440">
        <v>17.0</v>
      </c>
      <c r="J268" s="441">
        <v>0.0</v>
      </c>
      <c r="K268" s="150" t="s">
        <v>4837</v>
      </c>
      <c r="L268" s="150">
        <v>2.223232851E9</v>
      </c>
      <c r="M268" s="150" t="s">
        <v>2666</v>
      </c>
      <c r="N268" s="150" t="s">
        <v>2809</v>
      </c>
      <c r="O268" s="150" t="s">
        <v>3603</v>
      </c>
      <c r="P268" s="150" t="s">
        <v>4484</v>
      </c>
      <c r="Q268" s="442">
        <f>COUNTIF('Hedef Liste'!$A:$A,A268)</f>
        <v>1</v>
      </c>
    </row>
    <row r="269" hidden="1">
      <c r="A269" s="150" t="s">
        <v>2529</v>
      </c>
      <c r="B269" s="150" t="s">
        <v>4838</v>
      </c>
      <c r="C269" s="439" t="s">
        <v>4483</v>
      </c>
      <c r="D269" s="150" t="s">
        <v>2696</v>
      </c>
      <c r="E269" s="440">
        <v>8208.0</v>
      </c>
      <c r="F269" s="440">
        <v>893.0</v>
      </c>
      <c r="G269" s="440">
        <v>20.0</v>
      </c>
      <c r="H269" s="440">
        <v>68.0</v>
      </c>
      <c r="I269" s="440">
        <v>88.0</v>
      </c>
      <c r="J269" s="441">
        <v>0.23</v>
      </c>
      <c r="K269" s="150" t="s">
        <v>4839</v>
      </c>
      <c r="L269" s="150">
        <v>2.223226252E9</v>
      </c>
      <c r="M269" s="150" t="s">
        <v>2666</v>
      </c>
      <c r="N269" s="150" t="s">
        <v>2801</v>
      </c>
      <c r="O269" s="150" t="s">
        <v>2532</v>
      </c>
      <c r="P269" s="150" t="s">
        <v>4484</v>
      </c>
      <c r="Q269" s="442">
        <f>COUNTIF('Hedef Liste'!$A:$A,A269)</f>
        <v>1</v>
      </c>
    </row>
    <row r="270" hidden="1">
      <c r="A270" s="150" t="s">
        <v>3871</v>
      </c>
      <c r="B270" s="150" t="s">
        <v>3872</v>
      </c>
      <c r="C270" s="439" t="s">
        <v>4483</v>
      </c>
      <c r="D270" s="150" t="s">
        <v>2773</v>
      </c>
      <c r="E270" s="440">
        <v>2376.0</v>
      </c>
      <c r="F270" s="440">
        <v>36.0</v>
      </c>
      <c r="G270" s="440">
        <v>12.0</v>
      </c>
      <c r="H270" s="440">
        <v>9.0</v>
      </c>
      <c r="I270" s="440">
        <v>21.0</v>
      </c>
      <c r="J270" s="441">
        <v>0.57</v>
      </c>
      <c r="K270" s="150" t="s">
        <v>4840</v>
      </c>
      <c r="L270" s="150">
        <v>5.392577096E9</v>
      </c>
      <c r="M270" s="150" t="s">
        <v>1450</v>
      </c>
      <c r="N270" s="150" t="s">
        <v>2674</v>
      </c>
      <c r="O270" s="150" t="s">
        <v>3873</v>
      </c>
      <c r="P270" s="150" t="s">
        <v>4484</v>
      </c>
      <c r="Q270" s="442">
        <f>COUNTIF('Hedef Liste'!$A:$A,A270)</f>
        <v>1</v>
      </c>
    </row>
    <row r="271" hidden="1">
      <c r="A271" s="150" t="s">
        <v>833</v>
      </c>
      <c r="B271" s="150" t="s">
        <v>834</v>
      </c>
      <c r="C271" s="439" t="s">
        <v>4483</v>
      </c>
      <c r="D271" s="150" t="s">
        <v>2763</v>
      </c>
      <c r="E271" s="440">
        <v>3016.0</v>
      </c>
      <c r="F271" s="440">
        <v>48.0</v>
      </c>
      <c r="G271" s="440">
        <v>12.0</v>
      </c>
      <c r="H271" s="440">
        <v>13.0</v>
      </c>
      <c r="I271" s="440">
        <v>25.0</v>
      </c>
      <c r="J271" s="441">
        <v>0.48</v>
      </c>
      <c r="K271" s="150" t="s">
        <v>4841</v>
      </c>
      <c r="L271" s="150">
        <v>2.222338062E9</v>
      </c>
      <c r="M271" s="150" t="s">
        <v>1450</v>
      </c>
      <c r="N271" s="150" t="s">
        <v>2659</v>
      </c>
      <c r="O271" s="150" t="s">
        <v>836</v>
      </c>
      <c r="P271" s="150" t="s">
        <v>4484</v>
      </c>
      <c r="Q271" s="442">
        <f>COUNTIF('Hedef Liste'!$A:$A,A271)</f>
        <v>1</v>
      </c>
    </row>
    <row r="272" hidden="1">
      <c r="A272" s="150" t="s">
        <v>391</v>
      </c>
      <c r="B272" s="150" t="s">
        <v>392</v>
      </c>
      <c r="C272" s="439" t="s">
        <v>4483</v>
      </c>
      <c r="D272" s="150" t="s">
        <v>2658</v>
      </c>
      <c r="E272" s="440">
        <v>10519.0</v>
      </c>
      <c r="F272" s="440">
        <v>515.0</v>
      </c>
      <c r="G272" s="440">
        <v>15.0</v>
      </c>
      <c r="H272" s="440">
        <v>26.0</v>
      </c>
      <c r="I272" s="440">
        <v>41.0</v>
      </c>
      <c r="J272" s="441">
        <v>0.37</v>
      </c>
      <c r="K272" s="150" t="s">
        <v>4842</v>
      </c>
      <c r="L272" s="150">
        <v>2.222397156E9</v>
      </c>
      <c r="M272" s="150" t="s">
        <v>1450</v>
      </c>
      <c r="N272" s="150" t="s">
        <v>2732</v>
      </c>
      <c r="O272" s="150" t="s">
        <v>394</v>
      </c>
      <c r="P272" s="150" t="s">
        <v>4484</v>
      </c>
      <c r="Q272" s="442">
        <f>COUNTIF('Hedef Liste'!$A:$A,A272)</f>
        <v>1</v>
      </c>
    </row>
    <row r="273" hidden="1">
      <c r="A273" s="150" t="s">
        <v>4279</v>
      </c>
      <c r="B273" s="150" t="s">
        <v>4280</v>
      </c>
      <c r="C273" s="439" t="s">
        <v>4483</v>
      </c>
      <c r="D273" s="150" t="s">
        <v>2724</v>
      </c>
      <c r="E273" s="440">
        <v>9030.0</v>
      </c>
      <c r="F273" s="440">
        <v>279.0</v>
      </c>
      <c r="G273" s="440">
        <v>102.0</v>
      </c>
      <c r="H273" s="440">
        <v>2.0</v>
      </c>
      <c r="I273" s="440">
        <v>104.0</v>
      </c>
      <c r="J273" s="441">
        <v>0.98</v>
      </c>
      <c r="K273" s="150" t="s">
        <v>4843</v>
      </c>
      <c r="L273" s="150">
        <v>2.223330177E9</v>
      </c>
      <c r="M273" s="150" t="s">
        <v>1450</v>
      </c>
      <c r="N273" s="150" t="s">
        <v>2950</v>
      </c>
      <c r="O273" s="150" t="s">
        <v>4281</v>
      </c>
      <c r="P273" s="150" t="s">
        <v>4512</v>
      </c>
      <c r="Q273" s="442">
        <f>COUNTIF('Hedef Liste'!$A:$A,A273)</f>
        <v>1</v>
      </c>
    </row>
    <row r="274" hidden="1">
      <c r="A274" s="150" t="s">
        <v>1287</v>
      </c>
      <c r="B274" s="150" t="s">
        <v>1288</v>
      </c>
      <c r="C274" s="439" t="s">
        <v>4483</v>
      </c>
      <c r="D274" s="150" t="s">
        <v>2664</v>
      </c>
      <c r="E274" s="440">
        <v>13424.0</v>
      </c>
      <c r="F274" s="440">
        <v>686.0</v>
      </c>
      <c r="G274" s="440">
        <v>22.0</v>
      </c>
      <c r="H274" s="440">
        <v>2.0</v>
      </c>
      <c r="I274" s="440">
        <v>24.0</v>
      </c>
      <c r="J274" s="441">
        <v>0.92</v>
      </c>
      <c r="K274" s="150" t="s">
        <v>4844</v>
      </c>
      <c r="L274" s="150">
        <v>2.222337023E9</v>
      </c>
      <c r="M274" s="150" t="s">
        <v>2666</v>
      </c>
      <c r="N274" s="150" t="s">
        <v>2667</v>
      </c>
      <c r="O274" s="150" t="s">
        <v>1290</v>
      </c>
      <c r="P274" s="150" t="s">
        <v>4484</v>
      </c>
      <c r="Q274" s="442">
        <f>COUNTIF('Hedef Liste'!$A:$A,A274)</f>
        <v>1</v>
      </c>
    </row>
    <row r="275" hidden="1">
      <c r="A275" s="150" t="s">
        <v>3822</v>
      </c>
      <c r="B275" s="150" t="s">
        <v>3823</v>
      </c>
      <c r="C275" s="439" t="s">
        <v>4483</v>
      </c>
      <c r="D275" s="150" t="s">
        <v>2696</v>
      </c>
      <c r="E275" s="440">
        <v>786.0</v>
      </c>
      <c r="F275" s="440">
        <v>13.0</v>
      </c>
      <c r="G275" s="440">
        <v>17.0</v>
      </c>
      <c r="H275" s="440">
        <v>13.0</v>
      </c>
      <c r="I275" s="440">
        <v>30.0</v>
      </c>
      <c r="J275" s="441">
        <v>0.57</v>
      </c>
      <c r="K275" s="150" t="s">
        <v>4845</v>
      </c>
      <c r="L275" s="150">
        <v>2.22220054E9</v>
      </c>
      <c r="M275" s="150" t="s">
        <v>1450</v>
      </c>
      <c r="N275" s="150" t="s">
        <v>3189</v>
      </c>
      <c r="O275" s="150" t="s">
        <v>3824</v>
      </c>
      <c r="P275" s="150" t="s">
        <v>4484</v>
      </c>
      <c r="Q275" s="442">
        <f>COUNTIF('Hedef Liste'!$A:$A,A275)</f>
        <v>1</v>
      </c>
    </row>
    <row r="276" hidden="1">
      <c r="A276" s="150" t="s">
        <v>3886</v>
      </c>
      <c r="B276" s="150" t="s">
        <v>4846</v>
      </c>
      <c r="C276" s="439" t="s">
        <v>4483</v>
      </c>
      <c r="D276" s="150" t="s">
        <v>2773</v>
      </c>
      <c r="E276" s="440">
        <v>176.0</v>
      </c>
      <c r="F276" s="443"/>
      <c r="G276" s="440">
        <v>11.0</v>
      </c>
      <c r="H276" s="440">
        <v>22.0</v>
      </c>
      <c r="I276" s="440">
        <v>33.0</v>
      </c>
      <c r="J276" s="441">
        <v>0.33</v>
      </c>
      <c r="K276" s="150" t="s">
        <v>4847</v>
      </c>
      <c r="L276" s="150">
        <v>2.223404663E9</v>
      </c>
      <c r="M276" s="150" t="s">
        <v>1450</v>
      </c>
      <c r="N276" s="150" t="s">
        <v>2732</v>
      </c>
      <c r="O276" s="150" t="s">
        <v>4848</v>
      </c>
      <c r="P276" s="150" t="s">
        <v>4484</v>
      </c>
      <c r="Q276" s="442">
        <f>COUNTIF('Hedef Liste'!$A:$A,A276)</f>
        <v>1</v>
      </c>
    </row>
    <row r="277" hidden="1">
      <c r="A277" s="150" t="s">
        <v>3283</v>
      </c>
      <c r="B277" s="150" t="s">
        <v>3284</v>
      </c>
      <c r="C277" s="439" t="s">
        <v>4483</v>
      </c>
      <c r="D277" s="150" t="s">
        <v>2743</v>
      </c>
      <c r="E277" s="440">
        <v>1681.0</v>
      </c>
      <c r="F277" s="443"/>
      <c r="G277" s="440">
        <v>0.0</v>
      </c>
      <c r="H277" s="440">
        <v>28.0</v>
      </c>
      <c r="I277" s="440">
        <v>28.0</v>
      </c>
      <c r="J277" s="441">
        <v>0.0</v>
      </c>
      <c r="K277" s="150" t="s">
        <v>4849</v>
      </c>
      <c r="L277" s="150">
        <v>2.223100201E9</v>
      </c>
      <c r="M277" s="150" t="s">
        <v>2666</v>
      </c>
      <c r="N277" s="150" t="s">
        <v>3078</v>
      </c>
      <c r="O277" s="150" t="s">
        <v>3285</v>
      </c>
      <c r="P277" s="150" t="s">
        <v>4484</v>
      </c>
      <c r="Q277" s="442">
        <f>COUNTIF('Hedef Liste'!$A:$A,A277)</f>
        <v>1</v>
      </c>
    </row>
    <row r="278" hidden="1">
      <c r="A278" s="150" t="s">
        <v>630</v>
      </c>
      <c r="B278" s="150" t="s">
        <v>631</v>
      </c>
      <c r="C278" s="439" t="s">
        <v>4483</v>
      </c>
      <c r="D278" s="150" t="s">
        <v>2658</v>
      </c>
      <c r="E278" s="440">
        <v>2978.0</v>
      </c>
      <c r="F278" s="440">
        <v>69.0</v>
      </c>
      <c r="G278" s="440">
        <v>30.0</v>
      </c>
      <c r="H278" s="440">
        <v>16.0</v>
      </c>
      <c r="I278" s="440">
        <v>46.0</v>
      </c>
      <c r="J278" s="441">
        <v>0.65</v>
      </c>
      <c r="K278" s="150" t="s">
        <v>4850</v>
      </c>
      <c r="L278" s="150">
        <v>2.222501265E9</v>
      </c>
      <c r="M278" s="150" t="s">
        <v>1450</v>
      </c>
      <c r="N278" s="150" t="s">
        <v>2703</v>
      </c>
      <c r="O278" s="150" t="s">
        <v>633</v>
      </c>
      <c r="P278" s="150" t="s">
        <v>4484</v>
      </c>
      <c r="Q278" s="442">
        <f>COUNTIF('Hedef Liste'!$A:$A,A278)</f>
        <v>1</v>
      </c>
    </row>
    <row r="279" hidden="1">
      <c r="A279" s="150" t="s">
        <v>2709</v>
      </c>
      <c r="B279" s="150" t="s">
        <v>2710</v>
      </c>
      <c r="C279" s="439" t="s">
        <v>4483</v>
      </c>
      <c r="D279" s="150" t="s">
        <v>2664</v>
      </c>
      <c r="E279" s="440">
        <v>2738.0</v>
      </c>
      <c r="F279" s="440">
        <v>71.0</v>
      </c>
      <c r="G279" s="440">
        <v>0.0</v>
      </c>
      <c r="H279" s="440">
        <v>83.0</v>
      </c>
      <c r="I279" s="440">
        <v>83.0</v>
      </c>
      <c r="J279" s="441">
        <v>0.0</v>
      </c>
      <c r="K279" s="150" t="s">
        <v>4851</v>
      </c>
      <c r="L279" s="150">
        <v>5.541918811E9</v>
      </c>
      <c r="M279" s="150" t="s">
        <v>2666</v>
      </c>
      <c r="N279" s="150" t="s">
        <v>2711</v>
      </c>
      <c r="O279" s="150" t="s">
        <v>2712</v>
      </c>
      <c r="P279" s="150" t="s">
        <v>4484</v>
      </c>
      <c r="Q279" s="442">
        <f>COUNTIF('Hedef Liste'!$A:$A,A279)</f>
        <v>1</v>
      </c>
    </row>
    <row r="280" hidden="1">
      <c r="A280" s="150" t="s">
        <v>4005</v>
      </c>
      <c r="B280" s="150" t="s">
        <v>4006</v>
      </c>
      <c r="C280" s="439" t="s">
        <v>4483</v>
      </c>
      <c r="D280" s="150" t="s">
        <v>2696</v>
      </c>
      <c r="E280" s="440">
        <v>4825.0</v>
      </c>
      <c r="F280" s="440">
        <v>191.0</v>
      </c>
      <c r="G280" s="440">
        <v>0.0</v>
      </c>
      <c r="H280" s="440">
        <v>36.0</v>
      </c>
      <c r="I280" s="440">
        <v>36.0</v>
      </c>
      <c r="J280" s="441">
        <v>0.0</v>
      </c>
      <c r="K280" s="150" t="s">
        <v>4852</v>
      </c>
      <c r="L280" s="150">
        <v>2.222332126E9</v>
      </c>
      <c r="M280" s="150" t="s">
        <v>2666</v>
      </c>
      <c r="N280" s="150" t="s">
        <v>2667</v>
      </c>
      <c r="O280" s="150" t="s">
        <v>4007</v>
      </c>
      <c r="P280" s="150" t="s">
        <v>4484</v>
      </c>
      <c r="Q280" s="442">
        <f>COUNTIF('Hedef Liste'!$A:$A,A280)</f>
        <v>1</v>
      </c>
    </row>
    <row r="281" hidden="1">
      <c r="A281" s="150" t="s">
        <v>1012</v>
      </c>
      <c r="B281" s="150" t="s">
        <v>4853</v>
      </c>
      <c r="C281" s="439" t="s">
        <v>4483</v>
      </c>
      <c r="D281" s="150" t="s">
        <v>2672</v>
      </c>
      <c r="E281" s="440">
        <v>1177.0</v>
      </c>
      <c r="F281" s="440">
        <v>79.0</v>
      </c>
      <c r="G281" s="440">
        <v>15.0</v>
      </c>
      <c r="H281" s="440">
        <v>5.0</v>
      </c>
      <c r="I281" s="440">
        <v>20.0</v>
      </c>
      <c r="J281" s="441">
        <v>0.75</v>
      </c>
      <c r="K281" s="150" t="s">
        <v>4854</v>
      </c>
      <c r="L281" s="150">
        <v>2.222501436E9</v>
      </c>
      <c r="M281" s="150" t="s">
        <v>1450</v>
      </c>
      <c r="N281" s="150" t="s">
        <v>2703</v>
      </c>
      <c r="O281" s="150" t="s">
        <v>1015</v>
      </c>
      <c r="P281" s="150" t="s">
        <v>4484</v>
      </c>
      <c r="Q281" s="442">
        <f>COUNTIF('Hedef Liste'!$A:$A,A281)</f>
        <v>1</v>
      </c>
    </row>
    <row r="282" hidden="1">
      <c r="A282" s="150" t="s">
        <v>4051</v>
      </c>
      <c r="B282" s="150" t="s">
        <v>4052</v>
      </c>
      <c r="C282" s="439" t="s">
        <v>4483</v>
      </c>
      <c r="D282" s="150" t="s">
        <v>2763</v>
      </c>
      <c r="E282" s="440">
        <v>12321.0</v>
      </c>
      <c r="F282" s="440">
        <v>183.0</v>
      </c>
      <c r="G282" s="440">
        <v>12.0</v>
      </c>
      <c r="H282" s="440">
        <v>3.0</v>
      </c>
      <c r="I282" s="440">
        <v>15.0</v>
      </c>
      <c r="J282" s="441">
        <v>0.8</v>
      </c>
      <c r="K282" s="150" t="s">
        <v>4855</v>
      </c>
      <c r="L282" s="150">
        <v>5.526762526E9</v>
      </c>
      <c r="M282" s="150" t="s">
        <v>2666</v>
      </c>
      <c r="N282" s="150" t="s">
        <v>2682</v>
      </c>
      <c r="O282" s="150" t="s">
        <v>4053</v>
      </c>
      <c r="P282" s="150" t="s">
        <v>4484</v>
      </c>
      <c r="Q282" s="442">
        <f>COUNTIF('Hedef Liste'!$A:$A,A282)</f>
        <v>1</v>
      </c>
    </row>
    <row r="283" hidden="1">
      <c r="A283" s="150" t="s">
        <v>1247</v>
      </c>
      <c r="B283" s="150" t="s">
        <v>1248</v>
      </c>
      <c r="C283" s="439" t="s">
        <v>4483</v>
      </c>
      <c r="D283" s="150" t="s">
        <v>2664</v>
      </c>
      <c r="E283" s="440">
        <v>3498.0</v>
      </c>
      <c r="F283" s="440">
        <v>148.0</v>
      </c>
      <c r="G283" s="440">
        <v>52.0</v>
      </c>
      <c r="H283" s="440">
        <v>4.0</v>
      </c>
      <c r="I283" s="440">
        <v>56.0</v>
      </c>
      <c r="J283" s="441">
        <v>0.93</v>
      </c>
      <c r="K283" s="150" t="s">
        <v>4437</v>
      </c>
      <c r="L283" s="150">
        <v>2.222200045E9</v>
      </c>
      <c r="M283" s="150" t="s">
        <v>1450</v>
      </c>
      <c r="N283" s="150" t="s">
        <v>2716</v>
      </c>
      <c r="O283" s="150" t="s">
        <v>1250</v>
      </c>
      <c r="P283" s="150" t="s">
        <v>4484</v>
      </c>
      <c r="Q283" s="442">
        <f>COUNTIF('Hedef Liste'!$A:$A,A283)</f>
        <v>1</v>
      </c>
    </row>
    <row r="284" hidden="1">
      <c r="A284" s="150" t="s">
        <v>2401</v>
      </c>
      <c r="B284" s="150" t="s">
        <v>2402</v>
      </c>
      <c r="C284" s="439" t="s">
        <v>4483</v>
      </c>
      <c r="D284" s="150" t="s">
        <v>2763</v>
      </c>
      <c r="E284" s="440">
        <v>163.0</v>
      </c>
      <c r="F284" s="440">
        <v>9.0</v>
      </c>
      <c r="G284" s="440">
        <v>0.0</v>
      </c>
      <c r="H284" s="440">
        <v>26.0</v>
      </c>
      <c r="I284" s="440">
        <v>26.0</v>
      </c>
      <c r="J284" s="444">
        <v>0.0</v>
      </c>
      <c r="K284" s="150" t="s">
        <v>4856</v>
      </c>
      <c r="L284" s="150">
        <v>2.222172645E9</v>
      </c>
      <c r="M284" s="150" t="s">
        <v>1450</v>
      </c>
      <c r="N284" s="150" t="s">
        <v>2776</v>
      </c>
      <c r="O284" s="150" t="s">
        <v>2404</v>
      </c>
      <c r="P284" s="150" t="s">
        <v>4484</v>
      </c>
      <c r="Q284" s="442">
        <f>COUNTIF('Hedef Liste'!$A:$A,A284)</f>
        <v>1</v>
      </c>
    </row>
    <row r="285" hidden="1">
      <c r="A285" s="150" t="s">
        <v>2676</v>
      </c>
      <c r="B285" s="150" t="s">
        <v>2677</v>
      </c>
      <c r="C285" s="439" t="s">
        <v>4483</v>
      </c>
      <c r="D285" s="150" t="s">
        <v>2658</v>
      </c>
      <c r="E285" s="440">
        <v>1646.0</v>
      </c>
      <c r="F285" s="443"/>
      <c r="G285" s="440">
        <v>6.0</v>
      </c>
      <c r="H285" s="440">
        <v>15.0</v>
      </c>
      <c r="I285" s="440">
        <v>21.0</v>
      </c>
      <c r="J285" s="441">
        <v>0.29</v>
      </c>
      <c r="K285" s="150" t="s">
        <v>4857</v>
      </c>
      <c r="L285" s="150">
        <v>8.508404512E9</v>
      </c>
      <c r="M285" s="150" t="s">
        <v>2666</v>
      </c>
      <c r="N285" s="150" t="s">
        <v>2667</v>
      </c>
      <c r="O285" s="150" t="s">
        <v>2678</v>
      </c>
      <c r="P285" s="150" t="s">
        <v>4484</v>
      </c>
      <c r="Q285" s="442">
        <f>COUNTIF('Hedef Liste'!$A:$A,A285)</f>
        <v>1</v>
      </c>
    </row>
    <row r="286" hidden="1">
      <c r="A286" s="150" t="s">
        <v>3901</v>
      </c>
      <c r="B286" s="150" t="s">
        <v>3902</v>
      </c>
      <c r="C286" s="439" t="s">
        <v>4483</v>
      </c>
      <c r="D286" s="150" t="s">
        <v>2658</v>
      </c>
      <c r="E286" s="440">
        <v>2465.0</v>
      </c>
      <c r="F286" s="440">
        <v>75.0</v>
      </c>
      <c r="G286" s="440">
        <v>0.0</v>
      </c>
      <c r="H286" s="440">
        <v>23.0</v>
      </c>
      <c r="I286" s="440">
        <v>23.0</v>
      </c>
      <c r="J286" s="441">
        <v>0.0</v>
      </c>
      <c r="K286" s="150" t="s">
        <v>4858</v>
      </c>
      <c r="L286" s="150">
        <v>5.462310037E9</v>
      </c>
      <c r="M286" s="150" t="s">
        <v>2666</v>
      </c>
      <c r="N286" s="150" t="s">
        <v>2667</v>
      </c>
      <c r="O286" s="150" t="s">
        <v>973</v>
      </c>
      <c r="P286" s="150" t="s">
        <v>4484</v>
      </c>
      <c r="Q286" s="442">
        <f>COUNTIF('Hedef Liste'!$A:$A,A286)</f>
        <v>1</v>
      </c>
    </row>
    <row r="287" hidden="1">
      <c r="A287" s="150" t="s">
        <v>974</v>
      </c>
      <c r="B287" s="150" t="s">
        <v>975</v>
      </c>
      <c r="C287" s="439" t="s">
        <v>4483</v>
      </c>
      <c r="D287" s="150" t="s">
        <v>2701</v>
      </c>
      <c r="E287" s="440">
        <v>2717.0</v>
      </c>
      <c r="F287" s="440">
        <v>86.0</v>
      </c>
      <c r="G287" s="440">
        <v>0.0</v>
      </c>
      <c r="H287" s="440">
        <v>44.0</v>
      </c>
      <c r="I287" s="440">
        <v>44.0</v>
      </c>
      <c r="J287" s="441">
        <v>0.0</v>
      </c>
      <c r="K287" s="150" t="s">
        <v>4859</v>
      </c>
      <c r="L287" s="150">
        <v>5.323992666E9</v>
      </c>
      <c r="M287" s="150" t="s">
        <v>1450</v>
      </c>
      <c r="N287" s="150" t="s">
        <v>2795</v>
      </c>
      <c r="O287" s="150" t="s">
        <v>977</v>
      </c>
      <c r="P287" s="150" t="s">
        <v>4484</v>
      </c>
      <c r="Q287" s="442">
        <f>COUNTIF('Hedef Liste'!$A:$A,A287)</f>
        <v>1</v>
      </c>
    </row>
    <row r="288" hidden="1">
      <c r="A288" s="150" t="s">
        <v>1771</v>
      </c>
      <c r="B288" s="150" t="s">
        <v>1772</v>
      </c>
      <c r="C288" s="439" t="s">
        <v>4483</v>
      </c>
      <c r="D288" s="150" t="s">
        <v>2706</v>
      </c>
      <c r="E288" s="440">
        <v>3079.0</v>
      </c>
      <c r="F288" s="440">
        <v>3.0</v>
      </c>
      <c r="G288" s="440">
        <v>26.0</v>
      </c>
      <c r="H288" s="440">
        <v>0.0</v>
      </c>
      <c r="I288" s="440">
        <v>26.0</v>
      </c>
      <c r="J288" s="441">
        <v>1.0</v>
      </c>
      <c r="K288" s="150" t="s">
        <v>4195</v>
      </c>
      <c r="L288" s="150">
        <v>5.469251906E9</v>
      </c>
      <c r="M288" s="150" t="s">
        <v>2666</v>
      </c>
      <c r="N288" s="150" t="s">
        <v>2801</v>
      </c>
      <c r="O288" s="150" t="s">
        <v>3528</v>
      </c>
      <c r="P288" s="150" t="s">
        <v>4484</v>
      </c>
      <c r="Q288" s="442">
        <f>COUNTIF('Hedef Liste'!$A:$A,A288)</f>
        <v>1</v>
      </c>
    </row>
    <row r="289" hidden="1">
      <c r="A289" s="150" t="s">
        <v>828</v>
      </c>
      <c r="B289" s="150" t="s">
        <v>4860</v>
      </c>
      <c r="C289" s="439" t="s">
        <v>4483</v>
      </c>
      <c r="D289" s="150" t="s">
        <v>2658</v>
      </c>
      <c r="E289" s="440">
        <v>9022.0</v>
      </c>
      <c r="F289" s="440">
        <v>31.0</v>
      </c>
      <c r="G289" s="440">
        <v>1.0</v>
      </c>
      <c r="H289" s="440">
        <v>40.0</v>
      </c>
      <c r="I289" s="440">
        <v>41.0</v>
      </c>
      <c r="J289" s="441">
        <v>0.02</v>
      </c>
      <c r="K289" s="150" t="s">
        <v>3635</v>
      </c>
      <c r="L289" s="150">
        <v>2.222400088E9</v>
      </c>
      <c r="M289" s="150" t="s">
        <v>1450</v>
      </c>
      <c r="N289" s="150" t="s">
        <v>2905</v>
      </c>
      <c r="O289" s="150" t="s">
        <v>832</v>
      </c>
      <c r="P289" s="150" t="s">
        <v>4484</v>
      </c>
      <c r="Q289" s="442">
        <f>COUNTIF('Hedef Liste'!$A:$A,A289)</f>
        <v>1</v>
      </c>
    </row>
    <row r="290" hidden="1">
      <c r="A290" s="150" t="s">
        <v>2922</v>
      </c>
      <c r="B290" s="150" t="s">
        <v>4861</v>
      </c>
      <c r="C290" s="439" t="s">
        <v>4520</v>
      </c>
      <c r="D290" s="150" t="s">
        <v>3151</v>
      </c>
      <c r="E290" s="440">
        <v>124.0</v>
      </c>
      <c r="F290" s="443"/>
      <c r="G290" s="440">
        <v>25.0</v>
      </c>
      <c r="H290" s="440">
        <v>20.0</v>
      </c>
      <c r="I290" s="440">
        <v>45.0</v>
      </c>
      <c r="J290" s="441">
        <v>0.56</v>
      </c>
      <c r="K290" s="150" t="s">
        <v>4862</v>
      </c>
      <c r="L290" s="150">
        <v>5.469578285E9</v>
      </c>
      <c r="M290" s="150" t="s">
        <v>2666</v>
      </c>
      <c r="N290" s="150" t="s">
        <v>2682</v>
      </c>
      <c r="O290" s="150" t="s">
        <v>4863</v>
      </c>
      <c r="P290" s="150" t="s">
        <v>4484</v>
      </c>
      <c r="Q290" s="442">
        <f>COUNTIF('Hedef Liste'!$A:$A,A290)</f>
        <v>1</v>
      </c>
    </row>
    <row r="291" hidden="1">
      <c r="A291" s="150" t="s">
        <v>4864</v>
      </c>
      <c r="B291" s="150" t="s">
        <v>4865</v>
      </c>
      <c r="C291" s="439" t="s">
        <v>4483</v>
      </c>
      <c r="D291" s="150" t="s">
        <v>2773</v>
      </c>
      <c r="E291" s="440">
        <v>3227.0</v>
      </c>
      <c r="F291" s="440">
        <v>100.0</v>
      </c>
      <c r="G291" s="440">
        <v>58.0</v>
      </c>
      <c r="H291" s="440">
        <v>6.0</v>
      </c>
      <c r="I291" s="440">
        <v>64.0</v>
      </c>
      <c r="J291" s="441">
        <v>0.91</v>
      </c>
      <c r="K291" s="150" t="s">
        <v>4567</v>
      </c>
      <c r="L291" s="150">
        <v>5.060974626E9</v>
      </c>
      <c r="M291" s="150" t="s">
        <v>1450</v>
      </c>
      <c r="N291" s="150" t="s">
        <v>3189</v>
      </c>
      <c r="O291" s="150" t="s">
        <v>4866</v>
      </c>
      <c r="P291" s="150" t="s">
        <v>4512</v>
      </c>
      <c r="Q291" s="442">
        <f>COUNTIF('Hedef Liste'!$A:$A,A291)</f>
        <v>0</v>
      </c>
    </row>
    <row r="292" hidden="1">
      <c r="A292" s="150" t="s">
        <v>3684</v>
      </c>
      <c r="B292" s="150" t="s">
        <v>3685</v>
      </c>
      <c r="C292" s="439" t="s">
        <v>4483</v>
      </c>
      <c r="D292" s="150" t="s">
        <v>2696</v>
      </c>
      <c r="E292" s="440">
        <v>1071.0</v>
      </c>
      <c r="F292" s="440">
        <v>15.0</v>
      </c>
      <c r="G292" s="440">
        <v>14.0</v>
      </c>
      <c r="H292" s="440">
        <v>16.0</v>
      </c>
      <c r="I292" s="440">
        <v>30.0</v>
      </c>
      <c r="J292" s="441">
        <v>0.47</v>
      </c>
      <c r="K292" s="150" t="s">
        <v>4867</v>
      </c>
      <c r="L292" s="150">
        <v>2.222901549E9</v>
      </c>
      <c r="M292" s="150" t="s">
        <v>1450</v>
      </c>
      <c r="N292" s="150" t="s">
        <v>2732</v>
      </c>
      <c r="O292" s="150" t="s">
        <v>3686</v>
      </c>
      <c r="P292" s="150" t="s">
        <v>4484</v>
      </c>
      <c r="Q292" s="442">
        <f>COUNTIF('Hedef Liste'!$A:$A,A292)</f>
        <v>1</v>
      </c>
    </row>
    <row r="293" hidden="1">
      <c r="A293" s="150" t="s">
        <v>1054</v>
      </c>
      <c r="B293" s="150" t="s">
        <v>1055</v>
      </c>
      <c r="C293" s="439" t="s">
        <v>4483</v>
      </c>
      <c r="D293" s="150" t="s">
        <v>2684</v>
      </c>
      <c r="E293" s="440">
        <v>1793.0</v>
      </c>
      <c r="F293" s="440">
        <v>129.0</v>
      </c>
      <c r="G293" s="440">
        <v>64.0</v>
      </c>
      <c r="H293" s="440">
        <v>14.0</v>
      </c>
      <c r="I293" s="440">
        <v>78.0</v>
      </c>
      <c r="J293" s="441">
        <v>0.82</v>
      </c>
      <c r="K293" s="150" t="s">
        <v>4868</v>
      </c>
      <c r="L293" s="150">
        <v>2.222342929E9</v>
      </c>
      <c r="M293" s="150" t="s">
        <v>1450</v>
      </c>
      <c r="N293" s="150" t="s">
        <v>3189</v>
      </c>
      <c r="O293" s="150" t="s">
        <v>3323</v>
      </c>
      <c r="P293" s="150" t="s">
        <v>4484</v>
      </c>
      <c r="Q293" s="442">
        <f>COUNTIF('Hedef Liste'!$A:$A,A293)</f>
        <v>1</v>
      </c>
    </row>
    <row r="294" hidden="1">
      <c r="A294" s="150" t="s">
        <v>1073</v>
      </c>
      <c r="B294" s="150" t="s">
        <v>1074</v>
      </c>
      <c r="C294" s="439" t="s">
        <v>4483</v>
      </c>
      <c r="D294" s="150" t="s">
        <v>2672</v>
      </c>
      <c r="E294" s="440">
        <v>5550.0</v>
      </c>
      <c r="F294" s="440">
        <v>162.0</v>
      </c>
      <c r="G294" s="440">
        <v>13.0</v>
      </c>
      <c r="H294" s="440">
        <v>49.0</v>
      </c>
      <c r="I294" s="440">
        <v>62.0</v>
      </c>
      <c r="J294" s="441">
        <v>0.21</v>
      </c>
      <c r="K294" s="150" t="s">
        <v>4869</v>
      </c>
      <c r="L294" s="150">
        <v>2.223355035E9</v>
      </c>
      <c r="M294" s="150" t="s">
        <v>2666</v>
      </c>
      <c r="N294" s="150" t="s">
        <v>2750</v>
      </c>
      <c r="O294" s="150" t="s">
        <v>1077</v>
      </c>
      <c r="P294" s="150" t="s">
        <v>4484</v>
      </c>
      <c r="Q294" s="442">
        <f>COUNTIF('Hedef Liste'!$A:$A,A294)</f>
        <v>1</v>
      </c>
    </row>
    <row r="295" hidden="1">
      <c r="A295" s="150" t="s">
        <v>4870</v>
      </c>
      <c r="B295" s="150" t="s">
        <v>4871</v>
      </c>
      <c r="C295" s="439" t="s">
        <v>4483</v>
      </c>
      <c r="D295" s="150" t="s">
        <v>3151</v>
      </c>
      <c r="E295" s="440">
        <v>1162.0</v>
      </c>
      <c r="F295" s="440">
        <v>98.0</v>
      </c>
      <c r="G295" s="440">
        <v>213.0</v>
      </c>
      <c r="H295" s="440">
        <v>2.0</v>
      </c>
      <c r="I295" s="440">
        <v>215.0</v>
      </c>
      <c r="J295" s="441">
        <v>0.99</v>
      </c>
      <c r="K295" s="150" t="s">
        <v>4832</v>
      </c>
      <c r="L295" s="150">
        <v>5.419072061E9</v>
      </c>
      <c r="M295" s="150" t="s">
        <v>2666</v>
      </c>
      <c r="N295" s="150" t="s">
        <v>2667</v>
      </c>
      <c r="O295" s="150" t="s">
        <v>4872</v>
      </c>
      <c r="P295" s="150" t="s">
        <v>4512</v>
      </c>
      <c r="Q295" s="442">
        <f>COUNTIF('Hedef Liste'!$A:$A,A295)</f>
        <v>0</v>
      </c>
    </row>
    <row r="296" hidden="1">
      <c r="A296" s="150" t="s">
        <v>4127</v>
      </c>
      <c r="B296" s="150" t="s">
        <v>4873</v>
      </c>
      <c r="C296" s="439" t="s">
        <v>4483</v>
      </c>
      <c r="D296" s="150" t="s">
        <v>2773</v>
      </c>
      <c r="E296" s="440">
        <v>528.0</v>
      </c>
      <c r="F296" s="443"/>
      <c r="G296" s="440">
        <v>13.0</v>
      </c>
      <c r="H296" s="440">
        <v>22.0</v>
      </c>
      <c r="I296" s="440">
        <v>35.0</v>
      </c>
      <c r="J296" s="441">
        <v>0.37</v>
      </c>
      <c r="K296" s="150" t="s">
        <v>4874</v>
      </c>
      <c r="L296" s="150">
        <v>5.537674001E9</v>
      </c>
      <c r="M296" s="150" t="s">
        <v>2666</v>
      </c>
      <c r="N296" s="150" t="s">
        <v>2750</v>
      </c>
      <c r="O296" s="150" t="s">
        <v>4129</v>
      </c>
      <c r="P296" s="150" t="s">
        <v>4484</v>
      </c>
      <c r="Q296" s="442">
        <f>COUNTIF('Hedef Liste'!$A:$A,A296)</f>
        <v>1</v>
      </c>
    </row>
    <row r="297" hidden="1">
      <c r="A297" s="150" t="s">
        <v>689</v>
      </c>
      <c r="B297" s="150" t="s">
        <v>690</v>
      </c>
      <c r="C297" s="439" t="s">
        <v>4483</v>
      </c>
      <c r="D297" s="150" t="s">
        <v>2904</v>
      </c>
      <c r="E297" s="440">
        <v>3984.0</v>
      </c>
      <c r="F297" s="440">
        <v>73.0</v>
      </c>
      <c r="G297" s="440">
        <v>3.0</v>
      </c>
      <c r="H297" s="440">
        <v>1.0</v>
      </c>
      <c r="I297" s="440">
        <v>4.0</v>
      </c>
      <c r="J297" s="441">
        <v>0.75</v>
      </c>
      <c r="K297" s="150" t="s">
        <v>4875</v>
      </c>
      <c r="L297" s="150">
        <v>2.223211171E9</v>
      </c>
      <c r="M297" s="150" t="s">
        <v>2666</v>
      </c>
      <c r="N297" s="150" t="s">
        <v>2774</v>
      </c>
      <c r="O297" s="150" t="s">
        <v>692</v>
      </c>
      <c r="P297" s="150" t="s">
        <v>4484</v>
      </c>
      <c r="Q297" s="442">
        <f>COUNTIF('Hedef Liste'!$A:$A,A297)</f>
        <v>1</v>
      </c>
    </row>
    <row r="298" hidden="1">
      <c r="A298" s="150" t="s">
        <v>1996</v>
      </c>
      <c r="B298" s="150" t="s">
        <v>1997</v>
      </c>
      <c r="C298" s="439" t="s">
        <v>4483</v>
      </c>
      <c r="D298" s="150" t="s">
        <v>2743</v>
      </c>
      <c r="E298" s="440">
        <v>8661.0</v>
      </c>
      <c r="F298" s="440">
        <v>437.0</v>
      </c>
      <c r="G298" s="440">
        <v>11.0</v>
      </c>
      <c r="H298" s="440">
        <v>10.0</v>
      </c>
      <c r="I298" s="440">
        <v>21.0</v>
      </c>
      <c r="J298" s="441">
        <v>0.52</v>
      </c>
      <c r="K298" s="150" t="s">
        <v>4584</v>
      </c>
      <c r="L298" s="150">
        <v>5.468063614E9</v>
      </c>
      <c r="M298" s="150" t="s">
        <v>2666</v>
      </c>
      <c r="N298" s="150" t="s">
        <v>2711</v>
      </c>
      <c r="O298" s="150" t="s">
        <v>2000</v>
      </c>
      <c r="P298" s="150" t="s">
        <v>4484</v>
      </c>
      <c r="Q298" s="442">
        <f>COUNTIF('Hedef Liste'!$A:$A,A298)</f>
        <v>1</v>
      </c>
    </row>
    <row r="299" hidden="1">
      <c r="A299" s="150" t="s">
        <v>182</v>
      </c>
      <c r="B299" s="150" t="s">
        <v>183</v>
      </c>
      <c r="C299" s="439" t="s">
        <v>4483</v>
      </c>
      <c r="D299" s="150" t="s">
        <v>2696</v>
      </c>
      <c r="E299" s="440">
        <v>689.0</v>
      </c>
      <c r="F299" s="440">
        <v>2.0</v>
      </c>
      <c r="G299" s="440">
        <v>6.0</v>
      </c>
      <c r="H299" s="440">
        <v>5.0</v>
      </c>
      <c r="I299" s="440">
        <v>11.0</v>
      </c>
      <c r="J299" s="441">
        <v>0.55</v>
      </c>
      <c r="K299" s="150" t="s">
        <v>4876</v>
      </c>
      <c r="L299" s="150">
        <v>2.222215047E9</v>
      </c>
      <c r="M299" s="150" t="s">
        <v>2666</v>
      </c>
      <c r="N299" s="150" t="s">
        <v>2667</v>
      </c>
      <c r="O299" s="150" t="s">
        <v>185</v>
      </c>
      <c r="P299" s="150" t="s">
        <v>4484</v>
      </c>
      <c r="Q299" s="442">
        <f>COUNTIF('Hedef Liste'!$A:$A,A299)</f>
        <v>1</v>
      </c>
    </row>
    <row r="300" hidden="1">
      <c r="A300" s="150" t="s">
        <v>3737</v>
      </c>
      <c r="B300" s="150" t="s">
        <v>3738</v>
      </c>
      <c r="C300" s="439" t="s">
        <v>4483</v>
      </c>
      <c r="D300" s="150" t="s">
        <v>2658</v>
      </c>
      <c r="E300" s="440">
        <v>729.0</v>
      </c>
      <c r="F300" s="440">
        <v>26.0</v>
      </c>
      <c r="G300" s="440">
        <v>0.0</v>
      </c>
      <c r="H300" s="440">
        <v>26.0</v>
      </c>
      <c r="I300" s="440">
        <v>26.0</v>
      </c>
      <c r="J300" s="441">
        <v>0.0</v>
      </c>
      <c r="K300" s="150" t="s">
        <v>4528</v>
      </c>
      <c r="L300" s="150">
        <v>2.222330708E9</v>
      </c>
      <c r="M300" s="150" t="s">
        <v>2666</v>
      </c>
      <c r="N300" s="150" t="s">
        <v>4529</v>
      </c>
      <c r="O300" s="150" t="s">
        <v>3739</v>
      </c>
      <c r="P300" s="150" t="s">
        <v>4484</v>
      </c>
      <c r="Q300" s="442">
        <f>COUNTIF('Hedef Liste'!$A:$A,A300)</f>
        <v>1</v>
      </c>
    </row>
    <row r="301" hidden="1">
      <c r="A301" s="150" t="s">
        <v>3306</v>
      </c>
      <c r="B301" s="150" t="s">
        <v>4877</v>
      </c>
      <c r="C301" s="439" t="s">
        <v>4483</v>
      </c>
      <c r="D301" s="150" t="s">
        <v>2867</v>
      </c>
      <c r="E301" s="440">
        <v>3930.0</v>
      </c>
      <c r="F301" s="440">
        <v>125.0</v>
      </c>
      <c r="G301" s="440">
        <v>0.0</v>
      </c>
      <c r="H301" s="440">
        <v>12.0</v>
      </c>
      <c r="I301" s="440">
        <v>12.0</v>
      </c>
      <c r="J301" s="441">
        <v>0.0</v>
      </c>
      <c r="K301" s="150" t="s">
        <v>4878</v>
      </c>
      <c r="L301" s="150">
        <v>2.227000066E9</v>
      </c>
      <c r="M301" s="150" t="s">
        <v>2666</v>
      </c>
      <c r="N301" s="150" t="s">
        <v>2750</v>
      </c>
      <c r="O301" s="150" t="s">
        <v>3308</v>
      </c>
      <c r="P301" s="150" t="s">
        <v>4484</v>
      </c>
      <c r="Q301" s="442">
        <f>COUNTIF('Hedef Liste'!$A:$A,A301)</f>
        <v>1</v>
      </c>
    </row>
    <row r="302" hidden="1">
      <c r="A302" s="150" t="s">
        <v>1424</v>
      </c>
      <c r="B302" s="150" t="s">
        <v>1425</v>
      </c>
      <c r="C302" s="439" t="s">
        <v>4483</v>
      </c>
      <c r="D302" s="150" t="s">
        <v>2763</v>
      </c>
      <c r="E302" s="440">
        <v>1902.0</v>
      </c>
      <c r="F302" s="440">
        <v>87.0</v>
      </c>
      <c r="G302" s="440">
        <v>11.0</v>
      </c>
      <c r="H302" s="440">
        <v>7.0</v>
      </c>
      <c r="I302" s="440">
        <v>18.0</v>
      </c>
      <c r="J302" s="441">
        <v>0.61</v>
      </c>
      <c r="K302" s="150" t="s">
        <v>4879</v>
      </c>
      <c r="L302" s="150">
        <v>5.372058674E9</v>
      </c>
      <c r="M302" s="150" t="s">
        <v>1450</v>
      </c>
      <c r="N302" s="150" t="s">
        <v>2703</v>
      </c>
      <c r="O302" s="150" t="s">
        <v>1427</v>
      </c>
      <c r="P302" s="150" t="s">
        <v>4484</v>
      </c>
      <c r="Q302" s="442">
        <f>COUNTIF('Hedef Liste'!$A:$A,A302)</f>
        <v>1</v>
      </c>
    </row>
    <row r="303" hidden="1">
      <c r="A303" s="150" t="s">
        <v>743</v>
      </c>
      <c r="B303" s="150" t="s">
        <v>744</v>
      </c>
      <c r="C303" s="439" t="s">
        <v>4483</v>
      </c>
      <c r="D303" s="150" t="s">
        <v>2658</v>
      </c>
      <c r="E303" s="440">
        <v>28343.0</v>
      </c>
      <c r="F303" s="440">
        <v>1509.0</v>
      </c>
      <c r="G303" s="440">
        <v>21.0</v>
      </c>
      <c r="H303" s="440">
        <v>16.0</v>
      </c>
      <c r="I303" s="440">
        <v>37.0</v>
      </c>
      <c r="J303" s="441">
        <v>0.57</v>
      </c>
      <c r="K303" s="150" t="s">
        <v>4880</v>
      </c>
      <c r="L303" s="150">
        <v>2.222215042E9</v>
      </c>
      <c r="M303" s="150" t="s">
        <v>2666</v>
      </c>
      <c r="N303" s="150" t="s">
        <v>2897</v>
      </c>
      <c r="O303" s="150" t="s">
        <v>4881</v>
      </c>
      <c r="P303" s="150" t="s">
        <v>4484</v>
      </c>
      <c r="Q303" s="442">
        <f>COUNTIF('Hedef Liste'!$A:$A,A303)</f>
        <v>1</v>
      </c>
    </row>
    <row r="304" hidden="1">
      <c r="A304" s="150" t="s">
        <v>3883</v>
      </c>
      <c r="B304" s="150" t="s">
        <v>3884</v>
      </c>
      <c r="C304" s="439" t="s">
        <v>4483</v>
      </c>
      <c r="D304" s="150" t="s">
        <v>2773</v>
      </c>
      <c r="E304" s="440">
        <v>856.0</v>
      </c>
      <c r="F304" s="440">
        <v>4.0</v>
      </c>
      <c r="G304" s="440">
        <v>13.0</v>
      </c>
      <c r="H304" s="440">
        <v>7.0</v>
      </c>
      <c r="I304" s="440">
        <v>20.0</v>
      </c>
      <c r="J304" s="441">
        <v>0.65</v>
      </c>
      <c r="K304" s="150" t="s">
        <v>4882</v>
      </c>
      <c r="L304" s="150">
        <v>5.334108607E9</v>
      </c>
      <c r="M304" s="150" t="s">
        <v>1450</v>
      </c>
      <c r="N304" s="150" t="s">
        <v>2700</v>
      </c>
      <c r="O304" s="150" t="s">
        <v>3885</v>
      </c>
      <c r="P304" s="150" t="s">
        <v>4484</v>
      </c>
      <c r="Q304" s="442">
        <f>COUNTIF('Hedef Liste'!$A:$A,A304)</f>
        <v>1</v>
      </c>
    </row>
    <row r="305" hidden="1">
      <c r="A305" s="150" t="s">
        <v>4014</v>
      </c>
      <c r="B305" s="150" t="s">
        <v>4015</v>
      </c>
      <c r="C305" s="439" t="s">
        <v>4483</v>
      </c>
      <c r="D305" s="150" t="s">
        <v>2672</v>
      </c>
      <c r="E305" s="440">
        <v>13958.0</v>
      </c>
      <c r="F305" s="440">
        <v>666.0</v>
      </c>
      <c r="G305" s="440">
        <v>0.0</v>
      </c>
      <c r="H305" s="440">
        <v>4.0</v>
      </c>
      <c r="I305" s="440">
        <v>4.0</v>
      </c>
      <c r="J305" s="441">
        <v>0.0</v>
      </c>
      <c r="K305" s="150" t="s">
        <v>4883</v>
      </c>
      <c r="L305" s="150">
        <v>2.225025655E9</v>
      </c>
      <c r="M305" s="150" t="s">
        <v>2666</v>
      </c>
      <c r="N305" s="150" t="s">
        <v>2721</v>
      </c>
      <c r="O305" s="150" t="s">
        <v>4016</v>
      </c>
      <c r="P305" s="150" t="s">
        <v>4512</v>
      </c>
      <c r="Q305" s="442">
        <f>COUNTIF('Hedef Liste'!$A:$A,A305)</f>
        <v>1</v>
      </c>
    </row>
    <row r="306" hidden="1">
      <c r="A306" s="150" t="s">
        <v>3294</v>
      </c>
      <c r="B306" s="150" t="s">
        <v>3295</v>
      </c>
      <c r="C306" s="439" t="s">
        <v>4483</v>
      </c>
      <c r="D306" s="150" t="s">
        <v>2867</v>
      </c>
      <c r="E306" s="440">
        <v>15075.0</v>
      </c>
      <c r="F306" s="440">
        <v>1365.0</v>
      </c>
      <c r="G306" s="440">
        <v>13.0</v>
      </c>
      <c r="H306" s="440">
        <v>4.0</v>
      </c>
      <c r="I306" s="440">
        <v>17.0</v>
      </c>
      <c r="J306" s="441">
        <v>0.76</v>
      </c>
      <c r="K306" s="150" t="s">
        <v>4884</v>
      </c>
      <c r="L306" s="150">
        <v>2.223353333E9</v>
      </c>
      <c r="M306" s="150" t="s">
        <v>2666</v>
      </c>
      <c r="N306" s="150" t="s">
        <v>3185</v>
      </c>
      <c r="O306" s="150" t="s">
        <v>3296</v>
      </c>
      <c r="P306" s="150" t="s">
        <v>4484</v>
      </c>
      <c r="Q306" s="442">
        <f>COUNTIF('Hedef Liste'!$A:$A,A306)</f>
        <v>1</v>
      </c>
    </row>
    <row r="307" hidden="1">
      <c r="A307" s="150" t="s">
        <v>4885</v>
      </c>
      <c r="B307" s="150" t="s">
        <v>4886</v>
      </c>
      <c r="C307" s="439" t="s">
        <v>4483</v>
      </c>
      <c r="D307" s="150" t="s">
        <v>2773</v>
      </c>
      <c r="E307" s="440">
        <v>3410.0</v>
      </c>
      <c r="F307" s="440">
        <v>50.0</v>
      </c>
      <c r="G307" s="440">
        <v>93.0</v>
      </c>
      <c r="H307" s="440">
        <v>8.0</v>
      </c>
      <c r="I307" s="440">
        <v>101.0</v>
      </c>
      <c r="J307" s="441">
        <v>0.92</v>
      </c>
      <c r="K307" s="150" t="s">
        <v>4567</v>
      </c>
      <c r="L307" s="150">
        <v>5.431102426E9</v>
      </c>
      <c r="M307" s="150" t="s">
        <v>2666</v>
      </c>
      <c r="N307" s="150" t="s">
        <v>4887</v>
      </c>
      <c r="O307" s="150" t="s">
        <v>4888</v>
      </c>
      <c r="P307" s="150" t="s">
        <v>4512</v>
      </c>
      <c r="Q307" s="442">
        <f>COUNTIF('Hedef Liste'!$A:$A,A307)</f>
        <v>0</v>
      </c>
    </row>
    <row r="308" hidden="1">
      <c r="A308" s="150" t="s">
        <v>4889</v>
      </c>
      <c r="B308" s="150" t="s">
        <v>4890</v>
      </c>
      <c r="C308" s="439" t="s">
        <v>4483</v>
      </c>
      <c r="D308" s="150" t="s">
        <v>2684</v>
      </c>
      <c r="E308" s="440">
        <v>18559.0</v>
      </c>
      <c r="F308" s="440">
        <v>587.0</v>
      </c>
      <c r="G308" s="440">
        <v>162.0</v>
      </c>
      <c r="H308" s="440">
        <v>0.0</v>
      </c>
      <c r="I308" s="440">
        <v>162.0</v>
      </c>
      <c r="J308" s="441">
        <v>1.0</v>
      </c>
      <c r="K308" s="150" t="s">
        <v>4891</v>
      </c>
      <c r="L308" s="150">
        <v>9.999999999E9</v>
      </c>
      <c r="M308" s="150" t="s">
        <v>1450</v>
      </c>
      <c r="N308" s="150" t="s">
        <v>2795</v>
      </c>
      <c r="O308" s="150" t="s">
        <v>4892</v>
      </c>
      <c r="P308" s="150" t="s">
        <v>4512</v>
      </c>
      <c r="Q308" s="442">
        <f>COUNTIF('Hedef Liste'!$A:$A,A308)</f>
        <v>0</v>
      </c>
    </row>
    <row r="309" hidden="1">
      <c r="A309" s="150" t="s">
        <v>3241</v>
      </c>
      <c r="B309" s="150" t="s">
        <v>3242</v>
      </c>
      <c r="C309" s="439" t="s">
        <v>4483</v>
      </c>
      <c r="D309" s="150" t="s">
        <v>2773</v>
      </c>
      <c r="E309" s="440">
        <v>1631.0</v>
      </c>
      <c r="F309" s="440">
        <v>61.0</v>
      </c>
      <c r="G309" s="440">
        <v>0.0</v>
      </c>
      <c r="H309" s="440">
        <v>15.0</v>
      </c>
      <c r="I309" s="440">
        <v>15.0</v>
      </c>
      <c r="J309" s="441">
        <v>0.0</v>
      </c>
      <c r="K309" s="150" t="s">
        <v>4893</v>
      </c>
      <c r="L309" s="150">
        <v>2.222397156E9</v>
      </c>
      <c r="M309" s="150" t="s">
        <v>1450</v>
      </c>
      <c r="N309" s="150" t="s">
        <v>2732</v>
      </c>
      <c r="O309" s="150" t="s">
        <v>3243</v>
      </c>
      <c r="P309" s="150" t="s">
        <v>4484</v>
      </c>
      <c r="Q309" s="442">
        <f>COUNTIF('Hedef Liste'!$A:$A,A309)</f>
        <v>1</v>
      </c>
    </row>
    <row r="310" hidden="1">
      <c r="A310" s="150" t="s">
        <v>959</v>
      </c>
      <c r="B310" s="150" t="s">
        <v>960</v>
      </c>
      <c r="C310" s="439" t="s">
        <v>4483</v>
      </c>
      <c r="D310" s="150" t="s">
        <v>2672</v>
      </c>
      <c r="E310" s="440">
        <v>28082.0</v>
      </c>
      <c r="F310" s="440">
        <v>774.0</v>
      </c>
      <c r="G310" s="440">
        <v>12.0</v>
      </c>
      <c r="H310" s="440">
        <v>9.0</v>
      </c>
      <c r="I310" s="440">
        <v>21.0</v>
      </c>
      <c r="J310" s="441">
        <v>0.57</v>
      </c>
      <c r="K310" s="150" t="s">
        <v>4894</v>
      </c>
      <c r="L310" s="150">
        <v>5.523293319E9</v>
      </c>
      <c r="M310" s="150" t="s">
        <v>1450</v>
      </c>
      <c r="N310" s="150" t="s">
        <v>4514</v>
      </c>
      <c r="O310" s="150" t="s">
        <v>962</v>
      </c>
      <c r="P310" s="150" t="s">
        <v>4484</v>
      </c>
      <c r="Q310" s="442">
        <f>COUNTIF('Hedef Liste'!$A:$A,A310)</f>
        <v>1</v>
      </c>
    </row>
    <row r="311" hidden="1">
      <c r="A311" s="150" t="s">
        <v>4895</v>
      </c>
      <c r="B311" s="150" t="s">
        <v>4896</v>
      </c>
      <c r="C311" s="439" t="s">
        <v>4483</v>
      </c>
      <c r="D311" s="150" t="s">
        <v>2724</v>
      </c>
      <c r="E311" s="440">
        <v>4819.0</v>
      </c>
      <c r="F311" s="440">
        <v>228.0</v>
      </c>
      <c r="G311" s="440">
        <v>73.0</v>
      </c>
      <c r="H311" s="440">
        <v>24.0</v>
      </c>
      <c r="I311" s="440">
        <v>97.0</v>
      </c>
      <c r="J311" s="441">
        <v>0.75</v>
      </c>
      <c r="K311" s="150" t="s">
        <v>4897</v>
      </c>
      <c r="L311" s="150">
        <v>2.222600026E9</v>
      </c>
      <c r="M311" s="150" t="s">
        <v>1450</v>
      </c>
      <c r="N311" s="150" t="s">
        <v>2703</v>
      </c>
      <c r="O311" s="150" t="s">
        <v>4898</v>
      </c>
      <c r="P311" s="150" t="s">
        <v>4512</v>
      </c>
      <c r="Q311" s="442">
        <f>COUNTIF('Hedef Liste'!$A:$A,A311)</f>
        <v>0</v>
      </c>
    </row>
    <row r="312" hidden="1">
      <c r="A312" s="150" t="s">
        <v>4899</v>
      </c>
      <c r="B312" s="150" t="s">
        <v>4900</v>
      </c>
      <c r="C312" s="439" t="s">
        <v>4483</v>
      </c>
      <c r="D312" s="150" t="s">
        <v>2724</v>
      </c>
      <c r="E312" s="440">
        <v>5022.0</v>
      </c>
      <c r="F312" s="440">
        <v>194.0</v>
      </c>
      <c r="G312" s="440">
        <v>76.0</v>
      </c>
      <c r="H312" s="440">
        <v>16.0</v>
      </c>
      <c r="I312" s="440">
        <v>92.0</v>
      </c>
      <c r="J312" s="441">
        <v>0.83</v>
      </c>
      <c r="K312" s="150" t="s">
        <v>4897</v>
      </c>
      <c r="L312" s="150">
        <v>2.222266636E9</v>
      </c>
      <c r="M312" s="150" t="s">
        <v>1450</v>
      </c>
      <c r="N312" s="150" t="s">
        <v>2795</v>
      </c>
      <c r="O312" s="150" t="s">
        <v>4901</v>
      </c>
      <c r="P312" s="150" t="s">
        <v>4512</v>
      </c>
      <c r="Q312" s="442">
        <f>COUNTIF('Hedef Liste'!$A:$A,A312)</f>
        <v>0</v>
      </c>
    </row>
    <row r="313" hidden="1">
      <c r="A313" s="150" t="s">
        <v>4902</v>
      </c>
      <c r="B313" s="150" t="s">
        <v>4903</v>
      </c>
      <c r="C313" s="439" t="s">
        <v>4483</v>
      </c>
      <c r="D313" s="150" t="s">
        <v>2724</v>
      </c>
      <c r="E313" s="440">
        <v>13444.0</v>
      </c>
      <c r="F313" s="440">
        <v>632.0</v>
      </c>
      <c r="G313" s="440">
        <v>61.0</v>
      </c>
      <c r="H313" s="440">
        <v>10.0</v>
      </c>
      <c r="I313" s="440">
        <v>71.0</v>
      </c>
      <c r="J313" s="441">
        <v>0.86</v>
      </c>
      <c r="K313" s="150" t="s">
        <v>4897</v>
      </c>
      <c r="L313" s="150">
        <v>2.2232101E9</v>
      </c>
      <c r="M313" s="150" t="s">
        <v>2666</v>
      </c>
      <c r="N313" s="150" t="s">
        <v>2682</v>
      </c>
      <c r="O313" s="150" t="s">
        <v>4904</v>
      </c>
      <c r="P313" s="150" t="s">
        <v>4512</v>
      </c>
      <c r="Q313" s="442">
        <f>COUNTIF('Hedef Liste'!$A:$A,A313)</f>
        <v>0</v>
      </c>
    </row>
    <row r="314" hidden="1">
      <c r="A314" s="150" t="s">
        <v>1255</v>
      </c>
      <c r="B314" s="150" t="s">
        <v>1256</v>
      </c>
      <c r="C314" s="439" t="s">
        <v>4483</v>
      </c>
      <c r="D314" s="150" t="s">
        <v>2672</v>
      </c>
      <c r="E314" s="440">
        <v>2782.0</v>
      </c>
      <c r="F314" s="440">
        <v>105.0</v>
      </c>
      <c r="G314" s="440">
        <v>4.0</v>
      </c>
      <c r="H314" s="440">
        <v>1.0</v>
      </c>
      <c r="I314" s="440">
        <v>5.0</v>
      </c>
      <c r="J314" s="441">
        <v>0.8</v>
      </c>
      <c r="K314" s="150" t="s">
        <v>4905</v>
      </c>
      <c r="L314" s="150">
        <v>2.223200885E9</v>
      </c>
      <c r="M314" s="150" t="s">
        <v>2666</v>
      </c>
      <c r="N314" s="150" t="s">
        <v>2750</v>
      </c>
      <c r="O314" s="150" t="s">
        <v>1258</v>
      </c>
      <c r="P314" s="150" t="s">
        <v>4484</v>
      </c>
      <c r="Q314" s="442">
        <f>COUNTIF('Hedef Liste'!$A:$A,A314)</f>
        <v>1</v>
      </c>
    </row>
    <row r="315" hidden="1">
      <c r="A315" s="150" t="s">
        <v>1239</v>
      </c>
      <c r="B315" s="150" t="s">
        <v>1240</v>
      </c>
      <c r="C315" s="439" t="s">
        <v>4483</v>
      </c>
      <c r="D315" s="150" t="s">
        <v>2672</v>
      </c>
      <c r="E315" s="440">
        <v>915.0</v>
      </c>
      <c r="F315" s="440">
        <v>20.0</v>
      </c>
      <c r="G315" s="440">
        <v>12.0</v>
      </c>
      <c r="H315" s="440">
        <v>5.0</v>
      </c>
      <c r="I315" s="440">
        <v>17.0</v>
      </c>
      <c r="J315" s="441">
        <v>0.71</v>
      </c>
      <c r="K315" s="150" t="s">
        <v>4906</v>
      </c>
      <c r="L315" s="150">
        <v>2.222206867E9</v>
      </c>
      <c r="M315" s="150" t="s">
        <v>1450</v>
      </c>
      <c r="N315" s="150" t="s">
        <v>2700</v>
      </c>
      <c r="O315" s="150" t="s">
        <v>1242</v>
      </c>
      <c r="P315" s="150" t="s">
        <v>4484</v>
      </c>
      <c r="Q315" s="442">
        <f>COUNTIF('Hedef Liste'!$A:$A,A315)</f>
        <v>1</v>
      </c>
    </row>
    <row r="316" hidden="1">
      <c r="A316" s="150" t="s">
        <v>1722</v>
      </c>
      <c r="B316" s="150" t="s">
        <v>1723</v>
      </c>
      <c r="C316" s="439" t="s">
        <v>4483</v>
      </c>
      <c r="D316" s="150" t="s">
        <v>2658</v>
      </c>
      <c r="E316" s="440">
        <v>17377.0</v>
      </c>
      <c r="F316" s="440">
        <v>518.0</v>
      </c>
      <c r="G316" s="440">
        <v>7.0</v>
      </c>
      <c r="H316" s="440">
        <v>19.0</v>
      </c>
      <c r="I316" s="440">
        <v>26.0</v>
      </c>
      <c r="J316" s="441">
        <v>0.27</v>
      </c>
      <c r="K316" s="150" t="s">
        <v>4907</v>
      </c>
      <c r="L316" s="150">
        <v>2.222393911E9</v>
      </c>
      <c r="M316" s="150" t="s">
        <v>1450</v>
      </c>
      <c r="N316" s="150" t="s">
        <v>2732</v>
      </c>
      <c r="O316" s="150" t="s">
        <v>4417</v>
      </c>
      <c r="P316" s="150" t="s">
        <v>4484</v>
      </c>
      <c r="Q316" s="442">
        <f>COUNTIF('Hedef Liste'!$A:$A,A316)</f>
        <v>1</v>
      </c>
    </row>
    <row r="317" hidden="1">
      <c r="A317" s="150" t="s">
        <v>693</v>
      </c>
      <c r="B317" s="150" t="s">
        <v>694</v>
      </c>
      <c r="C317" s="439" t="s">
        <v>4483</v>
      </c>
      <c r="D317" s="150" t="s">
        <v>2763</v>
      </c>
      <c r="E317" s="440">
        <v>1043.0</v>
      </c>
      <c r="F317" s="440">
        <v>7.0</v>
      </c>
      <c r="G317" s="440">
        <v>0.0</v>
      </c>
      <c r="H317" s="440">
        <v>16.0</v>
      </c>
      <c r="I317" s="440">
        <v>16.0</v>
      </c>
      <c r="J317" s="441">
        <v>0.0</v>
      </c>
      <c r="K317" s="150" t="s">
        <v>4908</v>
      </c>
      <c r="L317" s="150">
        <v>2.223202737E9</v>
      </c>
      <c r="M317" s="150" t="s">
        <v>2666</v>
      </c>
      <c r="N317" s="150" t="s">
        <v>3084</v>
      </c>
      <c r="O317" s="150" t="s">
        <v>697</v>
      </c>
      <c r="P317" s="150" t="s">
        <v>4484</v>
      </c>
      <c r="Q317" s="442">
        <f>COUNTIF('Hedef Liste'!$A:$A,A317)</f>
        <v>1</v>
      </c>
    </row>
    <row r="318" hidden="1">
      <c r="A318" s="150" t="s">
        <v>1459</v>
      </c>
      <c r="B318" s="150" t="s">
        <v>1460</v>
      </c>
      <c r="C318" s="439" t="s">
        <v>4483</v>
      </c>
      <c r="D318" s="150" t="s">
        <v>2763</v>
      </c>
      <c r="E318" s="440">
        <v>2886.0</v>
      </c>
      <c r="F318" s="440">
        <v>102.0</v>
      </c>
      <c r="G318" s="440">
        <v>0.0</v>
      </c>
      <c r="H318" s="440">
        <v>22.0</v>
      </c>
      <c r="I318" s="440">
        <v>22.0</v>
      </c>
      <c r="J318" s="441">
        <v>0.0</v>
      </c>
      <c r="K318" s="150" t="s">
        <v>4909</v>
      </c>
      <c r="L318" s="150">
        <v>2.222372186E9</v>
      </c>
      <c r="M318" s="150" t="s">
        <v>1450</v>
      </c>
      <c r="N318" s="150" t="s">
        <v>2674</v>
      </c>
      <c r="O318" s="150" t="s">
        <v>1463</v>
      </c>
      <c r="P318" s="150" t="s">
        <v>4484</v>
      </c>
      <c r="Q318" s="442">
        <f>COUNTIF('Hedef Liste'!$A:$A,A318)</f>
        <v>1</v>
      </c>
    </row>
    <row r="319" hidden="1">
      <c r="A319" s="150" t="s">
        <v>4365</v>
      </c>
      <c r="B319" s="150" t="s">
        <v>4366</v>
      </c>
      <c r="C319" s="439" t="s">
        <v>4520</v>
      </c>
      <c r="D319" s="150" t="s">
        <v>2763</v>
      </c>
      <c r="E319" s="440">
        <v>425.0</v>
      </c>
      <c r="F319" s="443"/>
      <c r="G319" s="440">
        <v>0.0</v>
      </c>
      <c r="H319" s="440">
        <v>31.0</v>
      </c>
      <c r="I319" s="440">
        <v>31.0</v>
      </c>
      <c r="J319" s="441">
        <v>0.0</v>
      </c>
      <c r="K319" s="150" t="s">
        <v>4910</v>
      </c>
      <c r="L319" s="150">
        <v>2.224087893E9</v>
      </c>
      <c r="M319" s="150" t="s">
        <v>1450</v>
      </c>
      <c r="N319" s="150" t="s">
        <v>3189</v>
      </c>
      <c r="O319" s="150" t="s">
        <v>4367</v>
      </c>
      <c r="P319" s="150" t="s">
        <v>4484</v>
      </c>
      <c r="Q319" s="442">
        <f>COUNTIF('Hedef Liste'!$A:$A,A319)</f>
        <v>1</v>
      </c>
    </row>
    <row r="320" hidden="1">
      <c r="A320" s="150" t="s">
        <v>703</v>
      </c>
      <c r="B320" s="150" t="s">
        <v>704</v>
      </c>
      <c r="C320" s="439" t="s">
        <v>4483</v>
      </c>
      <c r="D320" s="150" t="s">
        <v>2672</v>
      </c>
      <c r="E320" s="440">
        <v>4777.0</v>
      </c>
      <c r="F320" s="443"/>
      <c r="G320" s="440">
        <v>16.0</v>
      </c>
      <c r="H320" s="440">
        <v>22.0</v>
      </c>
      <c r="I320" s="440">
        <v>38.0</v>
      </c>
      <c r="J320" s="441">
        <v>0.42</v>
      </c>
      <c r="K320" s="150" t="s">
        <v>4911</v>
      </c>
      <c r="L320" s="150">
        <v>2.222371414E9</v>
      </c>
      <c r="M320" s="150" t="s">
        <v>1450</v>
      </c>
      <c r="N320" s="150" t="s">
        <v>2674</v>
      </c>
      <c r="O320" s="150" t="s">
        <v>707</v>
      </c>
      <c r="P320" s="150" t="s">
        <v>4484</v>
      </c>
      <c r="Q320" s="442">
        <f>COUNTIF('Hedef Liste'!$A:$A,A320)</f>
        <v>1</v>
      </c>
    </row>
    <row r="321" hidden="1">
      <c r="A321" s="150" t="s">
        <v>4912</v>
      </c>
      <c r="B321" s="150" t="s">
        <v>4913</v>
      </c>
      <c r="C321" s="439" t="s">
        <v>4483</v>
      </c>
      <c r="D321" s="150" t="s">
        <v>2867</v>
      </c>
      <c r="E321" s="440">
        <v>7094.0</v>
      </c>
      <c r="F321" s="440">
        <v>278.0</v>
      </c>
      <c r="G321" s="440">
        <v>114.0</v>
      </c>
      <c r="H321" s="440">
        <v>0.0</v>
      </c>
      <c r="I321" s="440">
        <v>114.0</v>
      </c>
      <c r="J321" s="441">
        <v>1.0</v>
      </c>
      <c r="K321" s="150" t="s">
        <v>4891</v>
      </c>
      <c r="L321" s="150">
        <v>9.999999999E9</v>
      </c>
      <c r="M321" s="150" t="s">
        <v>2666</v>
      </c>
      <c r="N321" s="150" t="s">
        <v>3000</v>
      </c>
      <c r="O321" s="150" t="s">
        <v>4914</v>
      </c>
      <c r="P321" s="150" t="s">
        <v>4512</v>
      </c>
      <c r="Q321" s="442">
        <f>COUNTIF('Hedef Liste'!$A:$A,A321)</f>
        <v>0</v>
      </c>
    </row>
    <row r="322" hidden="1">
      <c r="A322" s="150" t="s">
        <v>4915</v>
      </c>
      <c r="B322" s="150" t="s">
        <v>4916</v>
      </c>
      <c r="C322" s="439" t="s">
        <v>4483</v>
      </c>
      <c r="D322" s="150" t="s">
        <v>2684</v>
      </c>
      <c r="E322" s="440">
        <v>24416.0</v>
      </c>
      <c r="F322" s="440">
        <v>982.0</v>
      </c>
      <c r="G322" s="440">
        <v>160.0</v>
      </c>
      <c r="H322" s="440">
        <v>0.0</v>
      </c>
      <c r="I322" s="440">
        <v>160.0</v>
      </c>
      <c r="J322" s="441">
        <v>1.0</v>
      </c>
      <c r="K322" s="150" t="s">
        <v>4891</v>
      </c>
      <c r="L322" s="150">
        <v>9.999999999E9</v>
      </c>
      <c r="M322" s="150" t="s">
        <v>2666</v>
      </c>
      <c r="N322" s="150" t="s">
        <v>2682</v>
      </c>
      <c r="O322" s="150" t="s">
        <v>4917</v>
      </c>
      <c r="P322" s="150" t="s">
        <v>4512</v>
      </c>
      <c r="Q322" s="442">
        <f>COUNTIF('Hedef Liste'!$A:$A,A322)</f>
        <v>0</v>
      </c>
    </row>
    <row r="323" hidden="1">
      <c r="A323" s="150" t="s">
        <v>3495</v>
      </c>
      <c r="B323" s="150" t="s">
        <v>3496</v>
      </c>
      <c r="C323" s="439" t="s">
        <v>4483</v>
      </c>
      <c r="D323" s="150" t="s">
        <v>2701</v>
      </c>
      <c r="E323" s="440">
        <v>208.0</v>
      </c>
      <c r="F323" s="440">
        <v>1.0</v>
      </c>
      <c r="G323" s="440">
        <v>21.0</v>
      </c>
      <c r="H323" s="440">
        <v>40.0</v>
      </c>
      <c r="I323" s="440">
        <v>61.0</v>
      </c>
      <c r="J323" s="444">
        <v>0.34</v>
      </c>
      <c r="K323" s="150" t="s">
        <v>4918</v>
      </c>
      <c r="L323" s="150">
        <v>5.367109309E9</v>
      </c>
      <c r="M323" s="150" t="s">
        <v>2666</v>
      </c>
      <c r="N323" s="150" t="s">
        <v>2801</v>
      </c>
      <c r="O323" s="150" t="s">
        <v>3497</v>
      </c>
      <c r="P323" s="150" t="s">
        <v>4484</v>
      </c>
      <c r="Q323" s="442">
        <f>COUNTIF('Hedef Liste'!$A:$A,A323)</f>
        <v>1</v>
      </c>
    </row>
    <row r="324" hidden="1">
      <c r="A324" s="150" t="s">
        <v>65</v>
      </c>
      <c r="B324" s="150" t="s">
        <v>66</v>
      </c>
      <c r="C324" s="439" t="s">
        <v>4483</v>
      </c>
      <c r="D324" s="150" t="s">
        <v>2658</v>
      </c>
      <c r="E324" s="440">
        <v>1515.0</v>
      </c>
      <c r="F324" s="440">
        <v>18.0</v>
      </c>
      <c r="G324" s="440">
        <v>2.0</v>
      </c>
      <c r="H324" s="440">
        <v>5.0</v>
      </c>
      <c r="I324" s="440">
        <v>7.0</v>
      </c>
      <c r="J324" s="441">
        <v>0.29</v>
      </c>
      <c r="K324" s="150" t="s">
        <v>4919</v>
      </c>
      <c r="L324" s="150">
        <v>2.2223201E9</v>
      </c>
      <c r="M324" s="150" t="s">
        <v>1450</v>
      </c>
      <c r="N324" s="150" t="s">
        <v>2659</v>
      </c>
      <c r="O324" s="150" t="s">
        <v>69</v>
      </c>
      <c r="P324" s="150" t="s">
        <v>4484</v>
      </c>
      <c r="Q324" s="442">
        <f>COUNTIF('Hedef Liste'!$A:$A,A324)</f>
        <v>1</v>
      </c>
    </row>
    <row r="325" hidden="1">
      <c r="A325" s="150" t="s">
        <v>4920</v>
      </c>
      <c r="B325" s="150" t="s">
        <v>4921</v>
      </c>
      <c r="C325" s="439" t="s">
        <v>4483</v>
      </c>
      <c r="D325" s="150" t="s">
        <v>2773</v>
      </c>
      <c r="E325" s="440">
        <v>167.0</v>
      </c>
      <c r="F325" s="440">
        <v>10.0</v>
      </c>
      <c r="G325" s="440">
        <v>64.0</v>
      </c>
      <c r="H325" s="440">
        <v>5.0</v>
      </c>
      <c r="I325" s="440">
        <v>69.0</v>
      </c>
      <c r="J325" s="441">
        <v>0.93</v>
      </c>
      <c r="K325" s="150" t="s">
        <v>4567</v>
      </c>
      <c r="L325" s="150">
        <v>5.458789294E9</v>
      </c>
      <c r="M325" s="150" t="s">
        <v>1450</v>
      </c>
      <c r="N325" s="150" t="s">
        <v>2703</v>
      </c>
      <c r="O325" s="150" t="s">
        <v>4922</v>
      </c>
      <c r="P325" s="150" t="s">
        <v>4512</v>
      </c>
      <c r="Q325" s="442">
        <f>COUNTIF('Hedef Liste'!$A:$A,A325)</f>
        <v>0</v>
      </c>
    </row>
    <row r="326" hidden="1">
      <c r="A326" s="150" t="s">
        <v>465</v>
      </c>
      <c r="B326" s="150" t="s">
        <v>466</v>
      </c>
      <c r="C326" s="439" t="s">
        <v>4520</v>
      </c>
      <c r="D326" s="150" t="s">
        <v>2672</v>
      </c>
      <c r="E326" s="440">
        <v>1302.0</v>
      </c>
      <c r="F326" s="443"/>
      <c r="G326" s="440">
        <v>4.0</v>
      </c>
      <c r="H326" s="440">
        <v>3.0</v>
      </c>
      <c r="I326" s="440">
        <v>7.0</v>
      </c>
      <c r="J326" s="441">
        <v>0.57</v>
      </c>
      <c r="K326" s="150" t="s">
        <v>4923</v>
      </c>
      <c r="L326" s="150">
        <v>5.528263826E9</v>
      </c>
      <c r="M326" s="150" t="s">
        <v>1450</v>
      </c>
      <c r="N326" s="150" t="s">
        <v>2732</v>
      </c>
      <c r="O326" s="150" t="s">
        <v>464</v>
      </c>
      <c r="P326" s="150" t="s">
        <v>4484</v>
      </c>
      <c r="Q326" s="442">
        <f>COUNTIF('Hedef Liste'!$A:$A,A326)</f>
        <v>1</v>
      </c>
    </row>
    <row r="327" hidden="1">
      <c r="A327" s="150" t="s">
        <v>4924</v>
      </c>
      <c r="B327" s="150" t="s">
        <v>4925</v>
      </c>
      <c r="C327" s="439" t="s">
        <v>4483</v>
      </c>
      <c r="D327" s="150" t="s">
        <v>2684</v>
      </c>
      <c r="E327" s="440">
        <v>8032.0</v>
      </c>
      <c r="F327" s="440">
        <v>260.0</v>
      </c>
      <c r="G327" s="440">
        <v>148.0</v>
      </c>
      <c r="H327" s="440">
        <v>0.0</v>
      </c>
      <c r="I327" s="440">
        <v>148.0</v>
      </c>
      <c r="J327" s="441">
        <v>1.0</v>
      </c>
      <c r="K327" s="150" t="s">
        <v>4891</v>
      </c>
      <c r="L327" s="150">
        <v>9.999999999E9</v>
      </c>
      <c r="M327" s="150" t="s">
        <v>2666</v>
      </c>
      <c r="N327" s="150" t="s">
        <v>2667</v>
      </c>
      <c r="O327" s="150" t="s">
        <v>4926</v>
      </c>
      <c r="P327" s="150" t="s">
        <v>4512</v>
      </c>
      <c r="Q327" s="442">
        <f>COUNTIF('Hedef Liste'!$A:$A,A327)</f>
        <v>0</v>
      </c>
    </row>
    <row r="328" hidden="1">
      <c r="A328" s="150" t="s">
        <v>479</v>
      </c>
      <c r="B328" s="150" t="s">
        <v>480</v>
      </c>
      <c r="C328" s="439" t="s">
        <v>4483</v>
      </c>
      <c r="D328" s="150" t="s">
        <v>2867</v>
      </c>
      <c r="E328" s="440">
        <v>3257.0</v>
      </c>
      <c r="F328" s="443"/>
      <c r="G328" s="440">
        <v>2.0</v>
      </c>
      <c r="H328" s="440">
        <v>16.0</v>
      </c>
      <c r="I328" s="440">
        <v>18.0</v>
      </c>
      <c r="J328" s="441">
        <v>0.11</v>
      </c>
      <c r="K328" s="150" t="s">
        <v>4927</v>
      </c>
      <c r="L328" s="150">
        <v>5.457269126E9</v>
      </c>
      <c r="M328" s="150" t="s">
        <v>1450</v>
      </c>
      <c r="N328" s="150" t="s">
        <v>2732</v>
      </c>
      <c r="O328" s="150" t="s">
        <v>482</v>
      </c>
      <c r="P328" s="150" t="s">
        <v>4484</v>
      </c>
      <c r="Q328" s="442">
        <f>COUNTIF('Hedef Liste'!$A:$A,A328)</f>
        <v>1</v>
      </c>
    </row>
    <row r="329" hidden="1">
      <c r="A329" s="150" t="s">
        <v>4928</v>
      </c>
      <c r="B329" s="150" t="s">
        <v>4929</v>
      </c>
      <c r="C329" s="439" t="s">
        <v>4483</v>
      </c>
      <c r="D329" s="150" t="s">
        <v>2867</v>
      </c>
      <c r="E329" s="440">
        <v>9518.0</v>
      </c>
      <c r="F329" s="440">
        <v>274.0</v>
      </c>
      <c r="G329" s="440">
        <v>114.0</v>
      </c>
      <c r="H329" s="440">
        <v>0.0</v>
      </c>
      <c r="I329" s="440">
        <v>114.0</v>
      </c>
      <c r="J329" s="441">
        <v>1.0</v>
      </c>
      <c r="K329" s="150" t="s">
        <v>4891</v>
      </c>
      <c r="L329" s="150">
        <v>9.999999999E9</v>
      </c>
      <c r="M329" s="150" t="s">
        <v>2666</v>
      </c>
      <c r="N329" s="150" t="s">
        <v>2667</v>
      </c>
      <c r="O329" s="150" t="s">
        <v>4930</v>
      </c>
      <c r="P329" s="150" t="s">
        <v>4512</v>
      </c>
      <c r="Q329" s="442">
        <f>COUNTIF('Hedef Liste'!$A:$A,A329)</f>
        <v>0</v>
      </c>
    </row>
    <row r="330" hidden="1">
      <c r="A330" s="150" t="s">
        <v>517</v>
      </c>
      <c r="B330" s="150" t="s">
        <v>518</v>
      </c>
      <c r="C330" s="439" t="s">
        <v>4483</v>
      </c>
      <c r="D330" s="150" t="s">
        <v>2978</v>
      </c>
      <c r="E330" s="440">
        <v>454.0</v>
      </c>
      <c r="F330" s="440">
        <v>37.0</v>
      </c>
      <c r="G330" s="440">
        <v>45.0</v>
      </c>
      <c r="H330" s="440">
        <v>0.0</v>
      </c>
      <c r="I330" s="440">
        <v>45.0</v>
      </c>
      <c r="J330" s="441">
        <v>1.0</v>
      </c>
      <c r="K330" s="150" t="s">
        <v>4931</v>
      </c>
      <c r="L330" s="150">
        <v>5.351050035E9</v>
      </c>
      <c r="M330" s="150" t="s">
        <v>2666</v>
      </c>
      <c r="N330" s="150" t="s">
        <v>2667</v>
      </c>
      <c r="O330" s="150" t="s">
        <v>2583</v>
      </c>
      <c r="P330" s="150" t="s">
        <v>4484</v>
      </c>
      <c r="Q330" s="442">
        <f>COUNTIF('Hedef Liste'!$A:$A,A330)</f>
        <v>1</v>
      </c>
    </row>
    <row r="331" hidden="1">
      <c r="A331" s="150" t="s">
        <v>2166</v>
      </c>
      <c r="B331" s="150" t="s">
        <v>1683</v>
      </c>
      <c r="C331" s="439" t="s">
        <v>4483</v>
      </c>
      <c r="D331" s="150" t="s">
        <v>2696</v>
      </c>
      <c r="E331" s="440">
        <v>1199.0</v>
      </c>
      <c r="F331" s="440">
        <v>30.0</v>
      </c>
      <c r="G331" s="440">
        <v>0.0</v>
      </c>
      <c r="H331" s="440">
        <v>37.0</v>
      </c>
      <c r="I331" s="440">
        <v>37.0</v>
      </c>
      <c r="J331" s="441">
        <v>0.0</v>
      </c>
      <c r="K331" s="150" t="s">
        <v>4932</v>
      </c>
      <c r="L331" s="150">
        <v>2.222252002E9</v>
      </c>
      <c r="M331" s="150" t="s">
        <v>1450</v>
      </c>
      <c r="N331" s="150" t="s">
        <v>2707</v>
      </c>
      <c r="O331" s="150" t="s">
        <v>2168</v>
      </c>
      <c r="P331" s="150" t="s">
        <v>4484</v>
      </c>
      <c r="Q331" s="442">
        <f>COUNTIF('Hedef Liste'!$A:$A,A331)</f>
        <v>1</v>
      </c>
    </row>
    <row r="332" hidden="1">
      <c r="A332" s="150" t="s">
        <v>4933</v>
      </c>
      <c r="B332" s="150" t="s">
        <v>4934</v>
      </c>
      <c r="C332" s="439" t="s">
        <v>4483</v>
      </c>
      <c r="D332" s="150" t="s">
        <v>2672</v>
      </c>
      <c r="E332" s="440">
        <v>5336.0</v>
      </c>
      <c r="F332" s="440">
        <v>290.0</v>
      </c>
      <c r="G332" s="440">
        <v>74.0</v>
      </c>
      <c r="H332" s="440">
        <v>0.0</v>
      </c>
      <c r="I332" s="440">
        <v>74.0</v>
      </c>
      <c r="J332" s="441">
        <v>1.0</v>
      </c>
      <c r="K332" s="150" t="s">
        <v>4891</v>
      </c>
      <c r="L332" s="150">
        <v>9.999999999E9</v>
      </c>
      <c r="M332" s="150" t="s">
        <v>2666</v>
      </c>
      <c r="N332" s="150" t="s">
        <v>2667</v>
      </c>
      <c r="O332" s="150" t="s">
        <v>4935</v>
      </c>
      <c r="P332" s="150" t="s">
        <v>4512</v>
      </c>
      <c r="Q332" s="442">
        <f>COUNTIF('Hedef Liste'!$A:$A,A332)</f>
        <v>0</v>
      </c>
    </row>
    <row r="333" hidden="1">
      <c r="A333" s="150" t="s">
        <v>2569</v>
      </c>
      <c r="B333" s="150" t="s">
        <v>2570</v>
      </c>
      <c r="C333" s="439" t="s">
        <v>4483</v>
      </c>
      <c r="D333" s="150" t="s">
        <v>2672</v>
      </c>
      <c r="E333" s="440">
        <v>3875.0</v>
      </c>
      <c r="F333" s="440">
        <v>285.0</v>
      </c>
      <c r="G333" s="440">
        <v>6.0</v>
      </c>
      <c r="H333" s="440">
        <v>3.0</v>
      </c>
      <c r="I333" s="440">
        <v>9.0</v>
      </c>
      <c r="J333" s="441">
        <v>0.67</v>
      </c>
      <c r="K333" s="150" t="s">
        <v>4936</v>
      </c>
      <c r="L333" s="150">
        <v>2.222397267E9</v>
      </c>
      <c r="M333" s="150" t="s">
        <v>1450</v>
      </c>
      <c r="N333" s="150" t="s">
        <v>4514</v>
      </c>
      <c r="O333" s="150" t="s">
        <v>2572</v>
      </c>
      <c r="P333" s="150" t="s">
        <v>4484</v>
      </c>
      <c r="Q333" s="442">
        <f>COUNTIF('Hedef Liste'!$A:$A,A333)</f>
        <v>1</v>
      </c>
    </row>
    <row r="334" hidden="1">
      <c r="A334" s="150" t="s">
        <v>1402</v>
      </c>
      <c r="B334" s="150" t="s">
        <v>1403</v>
      </c>
      <c r="C334" s="439" t="s">
        <v>4483</v>
      </c>
      <c r="D334" s="150" t="s">
        <v>2763</v>
      </c>
      <c r="E334" s="440">
        <v>443.0</v>
      </c>
      <c r="F334" s="440">
        <v>41.0</v>
      </c>
      <c r="G334" s="440">
        <v>0.0</v>
      </c>
      <c r="H334" s="440">
        <v>34.0</v>
      </c>
      <c r="I334" s="440">
        <v>34.0</v>
      </c>
      <c r="J334" s="441">
        <v>0.0</v>
      </c>
      <c r="K334" s="150" t="s">
        <v>4937</v>
      </c>
      <c r="L334" s="150">
        <v>2.22240561E9</v>
      </c>
      <c r="M334" s="150" t="s">
        <v>1450</v>
      </c>
      <c r="N334" s="150" t="s">
        <v>2659</v>
      </c>
      <c r="O334" s="150" t="s">
        <v>1405</v>
      </c>
      <c r="P334" s="150" t="s">
        <v>4484</v>
      </c>
      <c r="Q334" s="442">
        <f>COUNTIF('Hedef Liste'!$A:$A,A334)</f>
        <v>1</v>
      </c>
    </row>
    <row r="335" hidden="1">
      <c r="A335" s="150" t="s">
        <v>1373</v>
      </c>
      <c r="B335" s="150" t="s">
        <v>1374</v>
      </c>
      <c r="C335" s="439" t="s">
        <v>4483</v>
      </c>
      <c r="D335" s="150" t="s">
        <v>2773</v>
      </c>
      <c r="E335" s="440">
        <v>518.0</v>
      </c>
      <c r="F335" s="440">
        <v>25.0</v>
      </c>
      <c r="G335" s="440">
        <v>20.0</v>
      </c>
      <c r="H335" s="440">
        <v>9.0</v>
      </c>
      <c r="I335" s="440">
        <v>29.0</v>
      </c>
      <c r="J335" s="441">
        <v>0.69</v>
      </c>
      <c r="K335" s="150" t="s">
        <v>4938</v>
      </c>
      <c r="L335" s="150">
        <v>5.388881717E9</v>
      </c>
      <c r="M335" s="150" t="s">
        <v>2666</v>
      </c>
      <c r="N335" s="150" t="s">
        <v>4445</v>
      </c>
      <c r="O335" s="150" t="s">
        <v>1377</v>
      </c>
      <c r="P335" s="150" t="s">
        <v>4484</v>
      </c>
      <c r="Q335" s="442">
        <f>COUNTIF('Hedef Liste'!$A:$A,A335)</f>
        <v>1</v>
      </c>
    </row>
    <row r="336" hidden="1">
      <c r="A336" s="150" t="s">
        <v>4334</v>
      </c>
      <c r="B336" s="150" t="s">
        <v>987</v>
      </c>
      <c r="C336" s="439" t="s">
        <v>4483</v>
      </c>
      <c r="D336" s="150" t="s">
        <v>2664</v>
      </c>
      <c r="E336" s="440">
        <v>9825.0</v>
      </c>
      <c r="F336" s="440">
        <v>409.0</v>
      </c>
      <c r="G336" s="440">
        <v>13.0</v>
      </c>
      <c r="H336" s="440">
        <v>15.0</v>
      </c>
      <c r="I336" s="440">
        <v>28.0</v>
      </c>
      <c r="J336" s="441">
        <v>0.46</v>
      </c>
      <c r="K336" s="150" t="s">
        <v>4939</v>
      </c>
      <c r="L336" s="150">
        <v>2.222291836E9</v>
      </c>
      <c r="M336" s="150" t="s">
        <v>1450</v>
      </c>
      <c r="N336" s="150" t="s">
        <v>2732</v>
      </c>
      <c r="O336" s="150" t="s">
        <v>4336</v>
      </c>
      <c r="P336" s="150" t="s">
        <v>4484</v>
      </c>
      <c r="Q336" s="442">
        <f>COUNTIF('Hedef Liste'!$A:$A,A336)</f>
        <v>1</v>
      </c>
    </row>
    <row r="337" hidden="1">
      <c r="A337" s="150" t="s">
        <v>3960</v>
      </c>
      <c r="B337" s="150" t="s">
        <v>3961</v>
      </c>
      <c r="C337" s="439" t="s">
        <v>4483</v>
      </c>
      <c r="D337" s="150" t="s">
        <v>2701</v>
      </c>
      <c r="E337" s="440">
        <v>511.0</v>
      </c>
      <c r="F337" s="440">
        <v>28.0</v>
      </c>
      <c r="G337" s="440">
        <v>34.0</v>
      </c>
      <c r="H337" s="440">
        <v>23.0</v>
      </c>
      <c r="I337" s="440">
        <v>57.0</v>
      </c>
      <c r="J337" s="441">
        <v>0.6</v>
      </c>
      <c r="K337" s="150" t="s">
        <v>4940</v>
      </c>
      <c r="L337" s="150">
        <v>5.063144739E9</v>
      </c>
      <c r="M337" s="150" t="s">
        <v>1450</v>
      </c>
      <c r="N337" s="150" t="s">
        <v>3255</v>
      </c>
      <c r="O337" s="150" t="s">
        <v>3962</v>
      </c>
      <c r="P337" s="150" t="s">
        <v>4484</v>
      </c>
      <c r="Q337" s="442">
        <f>COUNTIF('Hedef Liste'!$A:$A,A337)</f>
        <v>1</v>
      </c>
    </row>
    <row r="338" hidden="1">
      <c r="A338" s="150" t="s">
        <v>386</v>
      </c>
      <c r="B338" s="150" t="s">
        <v>387</v>
      </c>
      <c r="C338" s="439" t="s">
        <v>4483</v>
      </c>
      <c r="D338" s="150" t="s">
        <v>2773</v>
      </c>
      <c r="E338" s="440">
        <v>7668.0</v>
      </c>
      <c r="F338" s="440">
        <v>138.0</v>
      </c>
      <c r="G338" s="440">
        <v>6.0</v>
      </c>
      <c r="H338" s="440">
        <v>17.0</v>
      </c>
      <c r="I338" s="440">
        <v>23.0</v>
      </c>
      <c r="J338" s="441">
        <v>0.26</v>
      </c>
      <c r="K338" s="150" t="s">
        <v>4941</v>
      </c>
      <c r="L338" s="150">
        <v>5.071435857E9</v>
      </c>
      <c r="M338" s="150" t="s">
        <v>2666</v>
      </c>
      <c r="N338" s="150" t="s">
        <v>3131</v>
      </c>
      <c r="O338" s="150" t="s">
        <v>390</v>
      </c>
      <c r="P338" s="150" t="s">
        <v>4484</v>
      </c>
      <c r="Q338" s="442">
        <f>COUNTIF('Hedef Liste'!$A:$A,A338)</f>
        <v>1</v>
      </c>
    </row>
    <row r="339" hidden="1">
      <c r="A339" s="150" t="s">
        <v>4942</v>
      </c>
      <c r="B339" s="150" t="s">
        <v>4943</v>
      </c>
      <c r="C339" s="439" t="s">
        <v>4483</v>
      </c>
      <c r="D339" s="150" t="s">
        <v>2724</v>
      </c>
      <c r="E339" s="440">
        <v>6319.0</v>
      </c>
      <c r="F339" s="440">
        <v>231.0</v>
      </c>
      <c r="G339" s="440">
        <v>39.0</v>
      </c>
      <c r="H339" s="440">
        <v>15.0</v>
      </c>
      <c r="I339" s="440">
        <v>54.0</v>
      </c>
      <c r="J339" s="441">
        <v>0.72</v>
      </c>
      <c r="K339" s="150" t="s">
        <v>4897</v>
      </c>
      <c r="L339" s="150">
        <v>2.22235202E9</v>
      </c>
      <c r="M339" s="150" t="s">
        <v>1450</v>
      </c>
      <c r="N339" s="150" t="s">
        <v>3255</v>
      </c>
      <c r="O339" s="150" t="s">
        <v>4944</v>
      </c>
      <c r="P339" s="150" t="s">
        <v>4512</v>
      </c>
      <c r="Q339" s="442">
        <f>COUNTIF('Hedef Liste'!$A:$A,A339)</f>
        <v>0</v>
      </c>
    </row>
    <row r="340" hidden="1">
      <c r="A340" s="150" t="s">
        <v>4945</v>
      </c>
      <c r="B340" s="150" t="s">
        <v>4946</v>
      </c>
      <c r="C340" s="439" t="s">
        <v>4483</v>
      </c>
      <c r="D340" s="150" t="s">
        <v>2724</v>
      </c>
      <c r="E340" s="440">
        <v>4059.0</v>
      </c>
      <c r="F340" s="440">
        <v>145.0</v>
      </c>
      <c r="G340" s="440">
        <v>70.0</v>
      </c>
      <c r="H340" s="440">
        <v>15.0</v>
      </c>
      <c r="I340" s="440">
        <v>85.0</v>
      </c>
      <c r="J340" s="441">
        <v>0.82</v>
      </c>
      <c r="K340" s="150" t="s">
        <v>4897</v>
      </c>
      <c r="L340" s="150">
        <v>2.2231525E9</v>
      </c>
      <c r="M340" s="150" t="s">
        <v>2666</v>
      </c>
      <c r="N340" s="150" t="s">
        <v>2685</v>
      </c>
      <c r="O340" s="150" t="s">
        <v>4947</v>
      </c>
      <c r="P340" s="150" t="s">
        <v>4512</v>
      </c>
      <c r="Q340" s="442">
        <f>COUNTIF('Hedef Liste'!$A:$A,A340)</f>
        <v>0</v>
      </c>
    </row>
    <row r="341" hidden="1">
      <c r="A341" s="150" t="s">
        <v>731</v>
      </c>
      <c r="B341" s="150" t="s">
        <v>732</v>
      </c>
      <c r="C341" s="439" t="s">
        <v>4483</v>
      </c>
      <c r="D341" s="150" t="s">
        <v>2701</v>
      </c>
      <c r="E341" s="440">
        <v>472.0</v>
      </c>
      <c r="F341" s="440">
        <v>49.0</v>
      </c>
      <c r="G341" s="440">
        <v>11.0</v>
      </c>
      <c r="H341" s="440">
        <v>1.0</v>
      </c>
      <c r="I341" s="440">
        <v>12.0</v>
      </c>
      <c r="J341" s="441">
        <v>0.92</v>
      </c>
      <c r="K341" s="150" t="s">
        <v>4948</v>
      </c>
      <c r="L341" s="150">
        <v>2.222398483E9</v>
      </c>
      <c r="M341" s="150" t="s">
        <v>1450</v>
      </c>
      <c r="N341" s="150" t="s">
        <v>2732</v>
      </c>
      <c r="O341" s="150" t="s">
        <v>734</v>
      </c>
      <c r="P341" s="150" t="s">
        <v>4484</v>
      </c>
      <c r="Q341" s="442">
        <f>COUNTIF('Hedef Liste'!$A:$A,A341)</f>
        <v>1</v>
      </c>
    </row>
    <row r="342" hidden="1">
      <c r="A342" s="150" t="s">
        <v>1482</v>
      </c>
      <c r="B342" s="150" t="s">
        <v>1483</v>
      </c>
      <c r="C342" s="439" t="s">
        <v>4483</v>
      </c>
      <c r="D342" s="150" t="s">
        <v>2696</v>
      </c>
      <c r="E342" s="440">
        <v>489.0</v>
      </c>
      <c r="F342" s="440">
        <v>31.0</v>
      </c>
      <c r="G342" s="440">
        <v>25.0</v>
      </c>
      <c r="H342" s="440">
        <v>46.0</v>
      </c>
      <c r="I342" s="440">
        <v>71.0</v>
      </c>
      <c r="J342" s="441">
        <v>0.35</v>
      </c>
      <c r="K342" s="150" t="s">
        <v>4949</v>
      </c>
      <c r="L342" s="150">
        <v>5.302000027E9</v>
      </c>
      <c r="M342" s="150" t="s">
        <v>1450</v>
      </c>
      <c r="N342" s="150" t="s">
        <v>2905</v>
      </c>
      <c r="O342" s="150" t="s">
        <v>1486</v>
      </c>
      <c r="P342" s="150" t="s">
        <v>4484</v>
      </c>
      <c r="Q342" s="442">
        <f>COUNTIF('Hedef Liste'!$A:$A,A342)</f>
        <v>1</v>
      </c>
    </row>
    <row r="343" hidden="1">
      <c r="A343" s="150" t="s">
        <v>760</v>
      </c>
      <c r="B343" s="150" t="s">
        <v>761</v>
      </c>
      <c r="C343" s="439" t="s">
        <v>4483</v>
      </c>
      <c r="D343" s="150" t="s">
        <v>2763</v>
      </c>
      <c r="E343" s="440">
        <v>902.0</v>
      </c>
      <c r="F343" s="440">
        <v>31.0</v>
      </c>
      <c r="G343" s="440">
        <v>8.0</v>
      </c>
      <c r="H343" s="440">
        <v>6.0</v>
      </c>
      <c r="I343" s="440">
        <v>14.0</v>
      </c>
      <c r="J343" s="441">
        <v>0.57</v>
      </c>
      <c r="K343" s="150" t="s">
        <v>4950</v>
      </c>
      <c r="L343" s="150">
        <v>2.222253661E9</v>
      </c>
      <c r="M343" s="150" t="s">
        <v>1450</v>
      </c>
      <c r="N343" s="150" t="s">
        <v>2795</v>
      </c>
      <c r="O343" s="150" t="s">
        <v>763</v>
      </c>
      <c r="P343" s="150" t="s">
        <v>4484</v>
      </c>
      <c r="Q343" s="442">
        <f>COUNTIF('Hedef Liste'!$A:$A,A343)</f>
        <v>1</v>
      </c>
    </row>
    <row r="344" hidden="1">
      <c r="A344" s="150" t="s">
        <v>4951</v>
      </c>
      <c r="B344" s="150" t="s">
        <v>4952</v>
      </c>
      <c r="C344" s="439" t="s">
        <v>4483</v>
      </c>
      <c r="D344" s="150" t="s">
        <v>2724</v>
      </c>
      <c r="E344" s="440">
        <v>6783.0</v>
      </c>
      <c r="F344" s="440">
        <v>275.0</v>
      </c>
      <c r="G344" s="440">
        <v>70.0</v>
      </c>
      <c r="H344" s="440">
        <v>21.0</v>
      </c>
      <c r="I344" s="440">
        <v>91.0</v>
      </c>
      <c r="J344" s="441">
        <v>0.77</v>
      </c>
      <c r="K344" s="150" t="s">
        <v>4897</v>
      </c>
      <c r="L344" s="150">
        <v>2.223306767E9</v>
      </c>
      <c r="M344" s="150" t="s">
        <v>2666</v>
      </c>
      <c r="N344" s="150" t="s">
        <v>2750</v>
      </c>
      <c r="O344" s="150" t="s">
        <v>4953</v>
      </c>
      <c r="P344" s="150" t="s">
        <v>4512</v>
      </c>
      <c r="Q344" s="442">
        <f>COUNTIF('Hedef Liste'!$A:$A,A344)</f>
        <v>0</v>
      </c>
    </row>
    <row r="345" hidden="1">
      <c r="A345" s="150" t="s">
        <v>4954</v>
      </c>
      <c r="B345" s="150" t="s">
        <v>4955</v>
      </c>
      <c r="C345" s="439" t="s">
        <v>4483</v>
      </c>
      <c r="D345" s="150" t="s">
        <v>2724</v>
      </c>
      <c r="E345" s="440">
        <v>4262.0</v>
      </c>
      <c r="F345" s="440">
        <v>197.0</v>
      </c>
      <c r="G345" s="440">
        <v>69.0</v>
      </c>
      <c r="H345" s="440">
        <v>22.0</v>
      </c>
      <c r="I345" s="440">
        <v>91.0</v>
      </c>
      <c r="J345" s="441">
        <v>0.76</v>
      </c>
      <c r="K345" s="150" t="s">
        <v>4897</v>
      </c>
      <c r="L345" s="150">
        <v>2.222260026E9</v>
      </c>
      <c r="M345" s="150" t="s">
        <v>1450</v>
      </c>
      <c r="N345" s="150" t="s">
        <v>2782</v>
      </c>
      <c r="O345" s="150" t="s">
        <v>4956</v>
      </c>
      <c r="P345" s="150" t="s">
        <v>4512</v>
      </c>
      <c r="Q345" s="442">
        <f>COUNTIF('Hedef Liste'!$A:$A,A345)</f>
        <v>0</v>
      </c>
    </row>
    <row r="346" hidden="1">
      <c r="A346" s="150" t="s">
        <v>2790</v>
      </c>
      <c r="B346" s="150" t="s">
        <v>2791</v>
      </c>
      <c r="C346" s="439" t="s">
        <v>4483</v>
      </c>
      <c r="D346" s="150" t="s">
        <v>2773</v>
      </c>
      <c r="E346" s="440">
        <v>976.0</v>
      </c>
      <c r="F346" s="440">
        <v>4.0</v>
      </c>
      <c r="G346" s="440">
        <v>6.0</v>
      </c>
      <c r="H346" s="440">
        <v>10.0</v>
      </c>
      <c r="I346" s="440">
        <v>16.0</v>
      </c>
      <c r="J346" s="441">
        <v>0.38</v>
      </c>
      <c r="K346" s="150" t="s">
        <v>4957</v>
      </c>
      <c r="L346" s="150">
        <v>5.330373024E9</v>
      </c>
      <c r="M346" s="150" t="s">
        <v>2666</v>
      </c>
      <c r="N346" s="150" t="s">
        <v>2750</v>
      </c>
      <c r="O346" s="150" t="s">
        <v>2792</v>
      </c>
      <c r="P346" s="150" t="s">
        <v>4484</v>
      </c>
      <c r="Q346" s="442">
        <f>COUNTIF('Hedef Liste'!$A:$A,A346)</f>
        <v>1</v>
      </c>
    </row>
    <row r="347" hidden="1">
      <c r="A347" s="150" t="s">
        <v>938</v>
      </c>
      <c r="B347" s="150" t="s">
        <v>939</v>
      </c>
      <c r="C347" s="439" t="s">
        <v>4483</v>
      </c>
      <c r="D347" s="150" t="s">
        <v>2763</v>
      </c>
      <c r="E347" s="440">
        <v>1018.0</v>
      </c>
      <c r="F347" s="440">
        <v>10.0</v>
      </c>
      <c r="G347" s="440">
        <v>7.0</v>
      </c>
      <c r="H347" s="440">
        <v>8.0</v>
      </c>
      <c r="I347" s="440">
        <v>15.0</v>
      </c>
      <c r="J347" s="441">
        <v>0.47</v>
      </c>
      <c r="K347" s="150" t="s">
        <v>4958</v>
      </c>
      <c r="L347" s="150">
        <v>2.222264721E9</v>
      </c>
      <c r="M347" s="150" t="s">
        <v>1450</v>
      </c>
      <c r="N347" s="150" t="s">
        <v>2707</v>
      </c>
      <c r="O347" s="150" t="s">
        <v>942</v>
      </c>
      <c r="P347" s="150" t="s">
        <v>4484</v>
      </c>
      <c r="Q347" s="442">
        <f>COUNTIF('Hedef Liste'!$A:$A,A347)</f>
        <v>1</v>
      </c>
    </row>
    <row r="348" hidden="1">
      <c r="A348" s="150" t="s">
        <v>135</v>
      </c>
      <c r="B348" s="150" t="s">
        <v>136</v>
      </c>
      <c r="C348" s="439" t="s">
        <v>4483</v>
      </c>
      <c r="D348" s="150" t="s">
        <v>2658</v>
      </c>
      <c r="E348" s="440">
        <v>239.0</v>
      </c>
      <c r="F348" s="443"/>
      <c r="G348" s="440">
        <v>3.0</v>
      </c>
      <c r="H348" s="440">
        <v>1.0</v>
      </c>
      <c r="I348" s="440">
        <v>4.0</v>
      </c>
      <c r="J348" s="441">
        <v>0.75</v>
      </c>
      <c r="K348" s="150" t="s">
        <v>4959</v>
      </c>
      <c r="L348" s="150">
        <v>5.359291428E9</v>
      </c>
      <c r="M348" s="150" t="s">
        <v>2666</v>
      </c>
      <c r="N348" s="150" t="s">
        <v>2897</v>
      </c>
      <c r="O348" s="150" t="s">
        <v>139</v>
      </c>
      <c r="P348" s="150" t="s">
        <v>4484</v>
      </c>
      <c r="Q348" s="442">
        <f>COUNTIF('Hedef Liste'!$A:$A,A348)</f>
        <v>1</v>
      </c>
    </row>
    <row r="349" hidden="1">
      <c r="A349" s="150" t="s">
        <v>889</v>
      </c>
      <c r="B349" s="150" t="s">
        <v>1702</v>
      </c>
      <c r="C349" s="439" t="s">
        <v>4483</v>
      </c>
      <c r="D349" s="150" t="s">
        <v>2658</v>
      </c>
      <c r="E349" s="440">
        <v>2972.0</v>
      </c>
      <c r="F349" s="440">
        <v>68.0</v>
      </c>
      <c r="G349" s="440">
        <v>6.0</v>
      </c>
      <c r="H349" s="440">
        <v>24.0</v>
      </c>
      <c r="I349" s="440">
        <v>30.0</v>
      </c>
      <c r="J349" s="441">
        <v>0.2</v>
      </c>
      <c r="K349" s="150" t="s">
        <v>4754</v>
      </c>
      <c r="L349" s="150">
        <v>5.076087642E9</v>
      </c>
      <c r="M349" s="150" t="s">
        <v>1450</v>
      </c>
      <c r="N349" s="150" t="s">
        <v>2700</v>
      </c>
      <c r="O349" s="150" t="s">
        <v>892</v>
      </c>
      <c r="P349" s="150" t="s">
        <v>4484</v>
      </c>
      <c r="Q349" s="442">
        <f>COUNTIF('Hedef Liste'!$A:$A,A349)</f>
        <v>1</v>
      </c>
    </row>
    <row r="350" hidden="1">
      <c r="A350" s="150" t="s">
        <v>1451</v>
      </c>
      <c r="B350" s="150" t="s">
        <v>1452</v>
      </c>
      <c r="C350" s="439" t="s">
        <v>4483</v>
      </c>
      <c r="D350" s="150" t="s">
        <v>2696</v>
      </c>
      <c r="E350" s="440">
        <v>2130.0</v>
      </c>
      <c r="F350" s="440">
        <v>81.0</v>
      </c>
      <c r="G350" s="440">
        <v>0.0</v>
      </c>
      <c r="H350" s="440">
        <v>33.0</v>
      </c>
      <c r="I350" s="440">
        <v>33.0</v>
      </c>
      <c r="J350" s="441">
        <v>0.0</v>
      </c>
      <c r="K350" s="150" t="s">
        <v>4960</v>
      </c>
      <c r="L350" s="150">
        <v>5.393351823E9</v>
      </c>
      <c r="M350" s="150" t="s">
        <v>1450</v>
      </c>
      <c r="N350" s="150" t="s">
        <v>2707</v>
      </c>
      <c r="O350" s="150" t="s">
        <v>1454</v>
      </c>
      <c r="P350" s="150" t="s">
        <v>4484</v>
      </c>
      <c r="Q350" s="442">
        <f>COUNTIF('Hedef Liste'!$A:$A,A350)</f>
        <v>1</v>
      </c>
    </row>
    <row r="351" hidden="1">
      <c r="A351" s="150" t="s">
        <v>4272</v>
      </c>
      <c r="B351" s="150" t="s">
        <v>4273</v>
      </c>
      <c r="C351" s="439" t="s">
        <v>4520</v>
      </c>
      <c r="D351" s="150" t="s">
        <v>2867</v>
      </c>
      <c r="E351" s="440">
        <v>34.0</v>
      </c>
      <c r="F351" s="443"/>
      <c r="G351" s="440">
        <v>0.0</v>
      </c>
      <c r="H351" s="440">
        <v>78.0</v>
      </c>
      <c r="I351" s="440">
        <v>78.0</v>
      </c>
      <c r="J351" s="441">
        <v>0.0</v>
      </c>
      <c r="K351" s="150" t="s">
        <v>4781</v>
      </c>
      <c r="L351" s="150">
        <v>5.050390158E9</v>
      </c>
      <c r="M351" s="150" t="s">
        <v>2666</v>
      </c>
      <c r="N351" s="150" t="s">
        <v>2667</v>
      </c>
      <c r="O351" s="150" t="s">
        <v>4274</v>
      </c>
      <c r="P351" s="150" t="s">
        <v>4484</v>
      </c>
      <c r="Q351" s="442">
        <f>COUNTIF('Hedef Liste'!$A:$A,A351)</f>
        <v>1</v>
      </c>
    </row>
    <row r="352" hidden="1">
      <c r="A352" s="150" t="s">
        <v>4961</v>
      </c>
      <c r="B352" s="150" t="s">
        <v>4962</v>
      </c>
      <c r="C352" s="439" t="s">
        <v>4483</v>
      </c>
      <c r="D352" s="150" t="s">
        <v>2724</v>
      </c>
      <c r="E352" s="440">
        <v>1564.0</v>
      </c>
      <c r="F352" s="440">
        <v>137.0</v>
      </c>
      <c r="G352" s="440">
        <v>73.0</v>
      </c>
      <c r="H352" s="440">
        <v>0.0</v>
      </c>
      <c r="I352" s="440">
        <v>73.0</v>
      </c>
      <c r="J352" s="441">
        <v>1.0</v>
      </c>
      <c r="K352" s="150" t="s">
        <v>4891</v>
      </c>
      <c r="L352" s="150">
        <v>9.999999999E9</v>
      </c>
      <c r="M352" s="150" t="s">
        <v>2666</v>
      </c>
      <c r="N352" s="150" t="s">
        <v>2682</v>
      </c>
      <c r="O352" s="150" t="s">
        <v>4963</v>
      </c>
      <c r="P352" s="150" t="s">
        <v>4512</v>
      </c>
      <c r="Q352" s="442">
        <f>COUNTIF('Hedef Liste'!$A:$A,A352)</f>
        <v>0</v>
      </c>
    </row>
    <row r="353" hidden="1">
      <c r="A353" s="150" t="s">
        <v>3935</v>
      </c>
      <c r="B353" s="150" t="s">
        <v>3936</v>
      </c>
      <c r="C353" s="439" t="s">
        <v>4483</v>
      </c>
      <c r="D353" s="150" t="s">
        <v>2658</v>
      </c>
      <c r="E353" s="440">
        <v>6455.0</v>
      </c>
      <c r="F353" s="440">
        <v>443.0</v>
      </c>
      <c r="G353" s="440">
        <v>25.0</v>
      </c>
      <c r="H353" s="440">
        <v>9.0</v>
      </c>
      <c r="I353" s="440">
        <v>34.0</v>
      </c>
      <c r="J353" s="441">
        <v>0.74</v>
      </c>
      <c r="K353" s="150" t="s">
        <v>4964</v>
      </c>
      <c r="L353" s="150">
        <v>2.22500007E9</v>
      </c>
      <c r="M353" s="150" t="s">
        <v>1450</v>
      </c>
      <c r="N353" s="150" t="s">
        <v>4514</v>
      </c>
      <c r="O353" s="150" t="s">
        <v>3937</v>
      </c>
      <c r="P353" s="150" t="s">
        <v>4484</v>
      </c>
      <c r="Q353" s="442">
        <f>COUNTIF('Hedef Liste'!$A:$A,A353)</f>
        <v>1</v>
      </c>
    </row>
    <row r="354" hidden="1">
      <c r="A354" s="150" t="s">
        <v>3939</v>
      </c>
      <c r="B354" s="150" t="s">
        <v>3940</v>
      </c>
      <c r="C354" s="439" t="s">
        <v>4483</v>
      </c>
      <c r="D354" s="150" t="s">
        <v>2867</v>
      </c>
      <c r="E354" s="440">
        <v>3133.0</v>
      </c>
      <c r="F354" s="440">
        <v>135.0</v>
      </c>
      <c r="G354" s="440">
        <v>29.0</v>
      </c>
      <c r="H354" s="440">
        <v>18.0</v>
      </c>
      <c r="I354" s="440">
        <v>47.0</v>
      </c>
      <c r="J354" s="441">
        <v>0.62</v>
      </c>
      <c r="K354" s="150" t="s">
        <v>4964</v>
      </c>
      <c r="L354" s="150">
        <v>2.223101021E9</v>
      </c>
      <c r="M354" s="150" t="s">
        <v>2666</v>
      </c>
      <c r="N354" s="150" t="s">
        <v>3000</v>
      </c>
      <c r="O354" s="150" t="s">
        <v>3941</v>
      </c>
      <c r="P354" s="150" t="s">
        <v>4484</v>
      </c>
      <c r="Q354" s="442">
        <f>COUNTIF('Hedef Liste'!$A:$A,A354)</f>
        <v>1</v>
      </c>
    </row>
    <row r="355" hidden="1">
      <c r="A355" s="150" t="s">
        <v>318</v>
      </c>
      <c r="B355" s="150" t="s">
        <v>319</v>
      </c>
      <c r="C355" s="439" t="s">
        <v>4483</v>
      </c>
      <c r="D355" s="150" t="s">
        <v>2672</v>
      </c>
      <c r="E355" s="440">
        <v>6923.0</v>
      </c>
      <c r="F355" s="440">
        <v>351.0</v>
      </c>
      <c r="G355" s="440">
        <v>9.0</v>
      </c>
      <c r="H355" s="440">
        <v>12.0</v>
      </c>
      <c r="I355" s="440">
        <v>21.0</v>
      </c>
      <c r="J355" s="441">
        <v>0.43</v>
      </c>
      <c r="K355" s="150" t="s">
        <v>4965</v>
      </c>
      <c r="L355" s="150">
        <v>2.22322505E9</v>
      </c>
      <c r="M355" s="150" t="s">
        <v>2666</v>
      </c>
      <c r="N355" s="150" t="s">
        <v>2721</v>
      </c>
      <c r="O355" s="150" t="s">
        <v>321</v>
      </c>
      <c r="P355" s="150" t="s">
        <v>4484</v>
      </c>
      <c r="Q355" s="442">
        <f>COUNTIF('Hedef Liste'!$A:$A,A355)</f>
        <v>1</v>
      </c>
    </row>
    <row r="356" hidden="1">
      <c r="A356" s="150" t="s">
        <v>4966</v>
      </c>
      <c r="B356" s="150" t="s">
        <v>4967</v>
      </c>
      <c r="C356" s="439" t="s">
        <v>4483</v>
      </c>
      <c r="D356" s="150" t="s">
        <v>2684</v>
      </c>
      <c r="E356" s="440">
        <v>17845.0</v>
      </c>
      <c r="F356" s="440">
        <v>352.0</v>
      </c>
      <c r="G356" s="440">
        <v>43.0</v>
      </c>
      <c r="H356" s="440">
        <v>37.0</v>
      </c>
      <c r="I356" s="440">
        <v>80.0</v>
      </c>
      <c r="J356" s="441">
        <v>0.54</v>
      </c>
      <c r="K356" s="150" t="s">
        <v>4809</v>
      </c>
      <c r="L356" s="150">
        <v>2.222207575E9</v>
      </c>
      <c r="M356" s="150" t="s">
        <v>1450</v>
      </c>
      <c r="N356" s="150" t="s">
        <v>2716</v>
      </c>
      <c r="O356" s="150" t="s">
        <v>4968</v>
      </c>
      <c r="P356" s="150" t="s">
        <v>4484</v>
      </c>
      <c r="Q356" s="442">
        <f>COUNTIF('Hedef Liste'!$A:$A,A356)</f>
        <v>0</v>
      </c>
    </row>
    <row r="357" hidden="1">
      <c r="A357" s="150" t="s">
        <v>1298</v>
      </c>
      <c r="B357" s="150" t="s">
        <v>1299</v>
      </c>
      <c r="C357" s="439" t="s">
        <v>4483</v>
      </c>
      <c r="D357" s="150" t="s">
        <v>2658</v>
      </c>
      <c r="E357" s="440">
        <v>3121.0</v>
      </c>
      <c r="F357" s="440">
        <v>84.0</v>
      </c>
      <c r="G357" s="440">
        <v>9.0</v>
      </c>
      <c r="H357" s="440">
        <v>21.0</v>
      </c>
      <c r="I357" s="440">
        <v>30.0</v>
      </c>
      <c r="J357" s="441">
        <v>0.3</v>
      </c>
      <c r="K357" s="150" t="s">
        <v>2749</v>
      </c>
      <c r="L357" s="150">
        <v>5.4491433E9</v>
      </c>
      <c r="M357" s="150" t="s">
        <v>2666</v>
      </c>
      <c r="N357" s="150" t="s">
        <v>2750</v>
      </c>
      <c r="O357" s="150" t="s">
        <v>1301</v>
      </c>
      <c r="P357" s="150" t="s">
        <v>4484</v>
      </c>
      <c r="Q357" s="442">
        <f>COUNTIF('Hedef Liste'!$A:$A,A357)</f>
        <v>1</v>
      </c>
    </row>
    <row r="358" hidden="1">
      <c r="A358" s="150" t="s">
        <v>1309</v>
      </c>
      <c r="B358" s="150" t="s">
        <v>1310</v>
      </c>
      <c r="C358" s="439" t="s">
        <v>4483</v>
      </c>
      <c r="D358" s="150" t="s">
        <v>2904</v>
      </c>
      <c r="E358" s="440">
        <v>8438.0</v>
      </c>
      <c r="F358" s="440">
        <v>386.0</v>
      </c>
      <c r="G358" s="440">
        <v>0.0</v>
      </c>
      <c r="H358" s="440">
        <v>35.0</v>
      </c>
      <c r="I358" s="440">
        <v>35.0</v>
      </c>
      <c r="J358" s="441">
        <v>0.0</v>
      </c>
      <c r="K358" s="150" t="s">
        <v>4969</v>
      </c>
      <c r="L358" s="150">
        <v>5.312610028E9</v>
      </c>
      <c r="M358" s="150" t="s">
        <v>2666</v>
      </c>
      <c r="N358" s="150" t="s">
        <v>2794</v>
      </c>
      <c r="O358" s="150" t="s">
        <v>1313</v>
      </c>
      <c r="P358" s="150" t="s">
        <v>4484</v>
      </c>
      <c r="Q358" s="442">
        <f>COUNTIF('Hedef Liste'!$A:$A,A358)</f>
        <v>1</v>
      </c>
    </row>
    <row r="359" hidden="1">
      <c r="A359" s="150" t="s">
        <v>1437</v>
      </c>
      <c r="B359" s="150" t="s">
        <v>1438</v>
      </c>
      <c r="C359" s="439" t="s">
        <v>4520</v>
      </c>
      <c r="D359" s="150" t="s">
        <v>2867</v>
      </c>
      <c r="E359" s="440">
        <v>1608.0</v>
      </c>
      <c r="F359" s="443"/>
      <c r="G359" s="440">
        <v>6.0</v>
      </c>
      <c r="H359" s="440">
        <v>10.0</v>
      </c>
      <c r="I359" s="440">
        <v>16.0</v>
      </c>
      <c r="J359" s="441">
        <v>0.38</v>
      </c>
      <c r="K359" s="150" t="s">
        <v>4499</v>
      </c>
      <c r="L359" s="150">
        <v>5.382600431E9</v>
      </c>
      <c r="M359" s="150" t="s">
        <v>2666</v>
      </c>
      <c r="N359" s="150" t="s">
        <v>2721</v>
      </c>
      <c r="O359" s="150" t="s">
        <v>1441</v>
      </c>
      <c r="P359" s="150" t="s">
        <v>4484</v>
      </c>
      <c r="Q359" s="442">
        <f>COUNTIF('Hedef Liste'!$A:$A,A359)</f>
        <v>1</v>
      </c>
    </row>
    <row r="360" hidden="1">
      <c r="A360" s="150" t="s">
        <v>1353</v>
      </c>
      <c r="B360" s="150" t="s">
        <v>1354</v>
      </c>
      <c r="C360" s="439" t="s">
        <v>4483</v>
      </c>
      <c r="D360" s="150" t="s">
        <v>2701</v>
      </c>
      <c r="E360" s="440">
        <v>1249.0</v>
      </c>
      <c r="F360" s="440">
        <v>141.0</v>
      </c>
      <c r="G360" s="440">
        <v>16.0</v>
      </c>
      <c r="H360" s="440">
        <v>15.0</v>
      </c>
      <c r="I360" s="440">
        <v>31.0</v>
      </c>
      <c r="J360" s="441">
        <v>0.52</v>
      </c>
      <c r="K360" s="150" t="s">
        <v>4970</v>
      </c>
      <c r="L360" s="150">
        <v>5.432626772E9</v>
      </c>
      <c r="M360" s="150" t="s">
        <v>1450</v>
      </c>
      <c r="N360" s="150" t="s">
        <v>2716</v>
      </c>
      <c r="O360" s="150" t="s">
        <v>4971</v>
      </c>
      <c r="P360" s="150" t="s">
        <v>4484</v>
      </c>
      <c r="Q360" s="442">
        <f>COUNTIF('Hedef Liste'!$A:$A,A360)</f>
        <v>1</v>
      </c>
    </row>
    <row r="361" hidden="1">
      <c r="A361" s="150" t="s">
        <v>4457</v>
      </c>
      <c r="B361" s="150" t="s">
        <v>4458</v>
      </c>
      <c r="C361" s="439" t="s">
        <v>4483</v>
      </c>
      <c r="D361" s="150" t="s">
        <v>2658</v>
      </c>
      <c r="E361" s="440">
        <v>974.0</v>
      </c>
      <c r="F361" s="440">
        <v>12.0</v>
      </c>
      <c r="G361" s="440">
        <v>0.0</v>
      </c>
      <c r="H361" s="440">
        <v>9.0</v>
      </c>
      <c r="I361" s="440">
        <v>9.0</v>
      </c>
      <c r="J361" s="441">
        <v>0.0</v>
      </c>
      <c r="K361" s="150" t="s">
        <v>4972</v>
      </c>
      <c r="L361" s="150">
        <v>5.335261881E9</v>
      </c>
      <c r="M361" s="150" t="s">
        <v>2666</v>
      </c>
      <c r="N361" s="150" t="s">
        <v>2685</v>
      </c>
      <c r="O361" s="150" t="s">
        <v>4459</v>
      </c>
      <c r="P361" s="150" t="s">
        <v>4484</v>
      </c>
      <c r="Q361" s="442">
        <f>COUNTIF('Hedef Liste'!$A:$A,A361)</f>
        <v>1</v>
      </c>
    </row>
    <row r="362" hidden="1">
      <c r="A362" s="150" t="s">
        <v>1455</v>
      </c>
      <c r="B362" s="150" t="s">
        <v>1456</v>
      </c>
      <c r="C362" s="439" t="s">
        <v>4483</v>
      </c>
      <c r="D362" s="150" t="s">
        <v>2751</v>
      </c>
      <c r="E362" s="440">
        <v>882.0</v>
      </c>
      <c r="F362" s="440">
        <v>113.0</v>
      </c>
      <c r="G362" s="440">
        <v>46.0</v>
      </c>
      <c r="H362" s="440">
        <v>13.0</v>
      </c>
      <c r="I362" s="440">
        <v>59.0</v>
      </c>
      <c r="J362" s="441">
        <v>0.78</v>
      </c>
      <c r="K362" s="150" t="s">
        <v>4940</v>
      </c>
      <c r="L362" s="150">
        <v>5.063144739E9</v>
      </c>
      <c r="M362" s="150" t="s">
        <v>1450</v>
      </c>
      <c r="N362" s="150" t="s">
        <v>2700</v>
      </c>
      <c r="O362" s="150" t="s">
        <v>1458</v>
      </c>
      <c r="P362" s="150" t="s">
        <v>4484</v>
      </c>
      <c r="Q362" s="442">
        <f>COUNTIF('Hedef Liste'!$A:$A,A362)</f>
        <v>1</v>
      </c>
    </row>
    <row r="363" hidden="1">
      <c r="A363" s="150" t="s">
        <v>4973</v>
      </c>
      <c r="B363" s="150" t="s">
        <v>4974</v>
      </c>
      <c r="C363" s="439" t="s">
        <v>4483</v>
      </c>
      <c r="D363" s="150" t="s">
        <v>2672</v>
      </c>
      <c r="E363" s="440">
        <v>2659.0</v>
      </c>
      <c r="F363" s="440">
        <v>100.0</v>
      </c>
      <c r="G363" s="440">
        <v>82.0</v>
      </c>
      <c r="H363" s="440">
        <v>0.0</v>
      </c>
      <c r="I363" s="440">
        <v>82.0</v>
      </c>
      <c r="J363" s="441">
        <v>1.0</v>
      </c>
      <c r="K363" s="150" t="s">
        <v>4891</v>
      </c>
      <c r="L363" s="150">
        <v>9.999999999E9</v>
      </c>
      <c r="M363" s="150" t="s">
        <v>2666</v>
      </c>
      <c r="N363" s="150" t="s">
        <v>3000</v>
      </c>
      <c r="O363" s="150" t="s">
        <v>4975</v>
      </c>
      <c r="P363" s="150" t="s">
        <v>4512</v>
      </c>
      <c r="Q363" s="442">
        <f>COUNTIF('Hedef Liste'!$A:$A,A363)</f>
        <v>0</v>
      </c>
    </row>
    <row r="364" hidden="1">
      <c r="A364" s="150" t="s">
        <v>404</v>
      </c>
      <c r="B364" s="150" t="s">
        <v>405</v>
      </c>
      <c r="C364" s="439" t="s">
        <v>4483</v>
      </c>
      <c r="D364" s="150" t="s">
        <v>2867</v>
      </c>
      <c r="E364" s="440">
        <v>16956.0</v>
      </c>
      <c r="F364" s="440">
        <v>204.0</v>
      </c>
      <c r="G364" s="440">
        <v>51.0</v>
      </c>
      <c r="H364" s="440">
        <v>24.0</v>
      </c>
      <c r="I364" s="440">
        <v>75.0</v>
      </c>
      <c r="J364" s="441">
        <v>0.68</v>
      </c>
      <c r="K364" s="150" t="s">
        <v>2857</v>
      </c>
      <c r="L364" s="150">
        <v>2.2232395E9</v>
      </c>
      <c r="M364" s="150" t="s">
        <v>2666</v>
      </c>
      <c r="N364" s="150" t="s">
        <v>2855</v>
      </c>
      <c r="O364" s="150" t="s">
        <v>407</v>
      </c>
      <c r="P364" s="150" t="s">
        <v>4484</v>
      </c>
      <c r="Q364" s="442">
        <f>COUNTIF('Hedef Liste'!$A:$A,A364)</f>
        <v>1</v>
      </c>
    </row>
    <row r="365" hidden="1">
      <c r="A365" s="150" t="s">
        <v>1279</v>
      </c>
      <c r="B365" s="150" t="s">
        <v>4976</v>
      </c>
      <c r="C365" s="439" t="s">
        <v>4483</v>
      </c>
      <c r="D365" s="150" t="s">
        <v>2672</v>
      </c>
      <c r="E365" s="440">
        <v>3569.0</v>
      </c>
      <c r="F365" s="440">
        <v>187.0</v>
      </c>
      <c r="G365" s="440">
        <v>0.0</v>
      </c>
      <c r="H365" s="440">
        <v>36.0</v>
      </c>
      <c r="I365" s="440">
        <v>36.0</v>
      </c>
      <c r="J365" s="441">
        <v>0.0</v>
      </c>
      <c r="K365" s="150" t="s">
        <v>3064</v>
      </c>
      <c r="L365" s="150">
        <v>5.547101747E9</v>
      </c>
      <c r="M365" s="150" t="s">
        <v>2666</v>
      </c>
      <c r="N365" s="150" t="s">
        <v>2750</v>
      </c>
      <c r="O365" s="150" t="s">
        <v>3065</v>
      </c>
      <c r="P365" s="150" t="s">
        <v>4484</v>
      </c>
      <c r="Q365" s="442">
        <f>COUNTIF('Hedef Liste'!$A:$A,A365)</f>
        <v>1</v>
      </c>
    </row>
    <row r="366" hidden="1">
      <c r="A366" s="150" t="s">
        <v>931</v>
      </c>
      <c r="B366" s="150" t="s">
        <v>932</v>
      </c>
      <c r="C366" s="439" t="s">
        <v>4483</v>
      </c>
      <c r="D366" s="150" t="s">
        <v>2706</v>
      </c>
      <c r="E366" s="440">
        <v>1178.0</v>
      </c>
      <c r="F366" s="440">
        <v>15.0</v>
      </c>
      <c r="G366" s="440">
        <v>11.0</v>
      </c>
      <c r="H366" s="440">
        <v>17.0</v>
      </c>
      <c r="I366" s="440">
        <v>28.0</v>
      </c>
      <c r="J366" s="441">
        <v>0.39</v>
      </c>
      <c r="K366" s="150" t="s">
        <v>2916</v>
      </c>
      <c r="L366" s="150">
        <v>5.520746065E9</v>
      </c>
      <c r="M366" s="150" t="s">
        <v>2666</v>
      </c>
      <c r="N366" s="150" t="s">
        <v>2711</v>
      </c>
      <c r="O366" s="150" t="s">
        <v>935</v>
      </c>
      <c r="P366" s="150" t="s">
        <v>4484</v>
      </c>
      <c r="Q366" s="442">
        <f>COUNTIF('Hedef Liste'!$A:$A,A366)</f>
        <v>1</v>
      </c>
    </row>
    <row r="367" hidden="1">
      <c r="A367" s="150" t="s">
        <v>76</v>
      </c>
      <c r="B367" s="150" t="s">
        <v>77</v>
      </c>
      <c r="C367" s="439" t="s">
        <v>4483</v>
      </c>
      <c r="D367" s="150" t="s">
        <v>2751</v>
      </c>
      <c r="E367" s="440">
        <v>669.0</v>
      </c>
      <c r="F367" s="440">
        <v>17.0</v>
      </c>
      <c r="G367" s="440">
        <v>16.0</v>
      </c>
      <c r="H367" s="440">
        <v>3.0</v>
      </c>
      <c r="I367" s="440">
        <v>19.0</v>
      </c>
      <c r="J367" s="441">
        <v>0.84</v>
      </c>
      <c r="K367" s="150" t="s">
        <v>4977</v>
      </c>
      <c r="L367" s="150">
        <v>2.222331616E9</v>
      </c>
      <c r="M367" s="150" t="s">
        <v>1450</v>
      </c>
      <c r="N367" s="150" t="s">
        <v>2950</v>
      </c>
      <c r="O367" s="150" t="s">
        <v>3414</v>
      </c>
      <c r="P367" s="150" t="s">
        <v>4484</v>
      </c>
      <c r="Q367" s="442">
        <f>COUNTIF('Hedef Liste'!$A:$A,A367)</f>
        <v>1</v>
      </c>
    </row>
    <row r="368" hidden="1">
      <c r="A368" s="150" t="s">
        <v>1987</v>
      </c>
      <c r="B368" s="150" t="s">
        <v>1988</v>
      </c>
      <c r="C368" s="439" t="s">
        <v>4520</v>
      </c>
      <c r="D368" s="150" t="s">
        <v>2701</v>
      </c>
      <c r="E368" s="440">
        <v>1263.0</v>
      </c>
      <c r="F368" s="443"/>
      <c r="G368" s="440">
        <v>27.0</v>
      </c>
      <c r="H368" s="440">
        <v>4.0</v>
      </c>
      <c r="I368" s="440">
        <v>31.0</v>
      </c>
      <c r="J368" s="441">
        <v>0.87</v>
      </c>
      <c r="K368" s="150" t="s">
        <v>4978</v>
      </c>
      <c r="L368" s="150">
        <v>5.558545614E9</v>
      </c>
      <c r="M368" s="150" t="s">
        <v>2666</v>
      </c>
      <c r="N368" s="150" t="s">
        <v>2711</v>
      </c>
      <c r="O368" s="150" t="s">
        <v>1990</v>
      </c>
      <c r="P368" s="150" t="s">
        <v>4484</v>
      </c>
      <c r="Q368" s="442">
        <f>COUNTIF('Hedef Liste'!$A:$A,A368)</f>
        <v>1</v>
      </c>
    </row>
    <row r="369" hidden="1">
      <c r="A369" s="150" t="s">
        <v>1738</v>
      </c>
      <c r="B369" s="150" t="s">
        <v>1739</v>
      </c>
      <c r="C369" s="439" t="s">
        <v>4483</v>
      </c>
      <c r="D369" s="150" t="s">
        <v>2867</v>
      </c>
      <c r="E369" s="440">
        <v>7678.0</v>
      </c>
      <c r="F369" s="440">
        <v>404.0</v>
      </c>
      <c r="G369" s="440">
        <v>25.0</v>
      </c>
      <c r="H369" s="440">
        <v>12.0</v>
      </c>
      <c r="I369" s="440">
        <v>37.0</v>
      </c>
      <c r="J369" s="441">
        <v>0.68</v>
      </c>
      <c r="K369" s="150" t="s">
        <v>4964</v>
      </c>
      <c r="L369" s="150">
        <v>2.223202021E9</v>
      </c>
      <c r="M369" s="150" t="s">
        <v>2666</v>
      </c>
      <c r="N369" s="150" t="s">
        <v>2682</v>
      </c>
      <c r="O369" s="150" t="s">
        <v>3943</v>
      </c>
      <c r="P369" s="150" t="s">
        <v>4484</v>
      </c>
      <c r="Q369" s="442">
        <f>COUNTIF('Hedef Liste'!$A:$A,A369)</f>
        <v>1</v>
      </c>
    </row>
    <row r="370" hidden="1">
      <c r="A370" s="150" t="s">
        <v>3278</v>
      </c>
      <c r="B370" s="150" t="s">
        <v>4979</v>
      </c>
      <c r="C370" s="439" t="s">
        <v>4483</v>
      </c>
      <c r="D370" s="150" t="s">
        <v>2763</v>
      </c>
      <c r="E370" s="440">
        <v>1634.0</v>
      </c>
      <c r="F370" s="440">
        <v>191.0</v>
      </c>
      <c r="G370" s="440">
        <v>0.0</v>
      </c>
      <c r="H370" s="440">
        <v>31.0</v>
      </c>
      <c r="I370" s="440">
        <v>31.0</v>
      </c>
      <c r="J370" s="444">
        <v>0.0</v>
      </c>
      <c r="K370" s="150" t="s">
        <v>4980</v>
      </c>
      <c r="L370" s="150">
        <v>5.545965628E9</v>
      </c>
      <c r="M370" s="150" t="s">
        <v>2666</v>
      </c>
      <c r="N370" s="150" t="s">
        <v>2682</v>
      </c>
      <c r="O370" s="150" t="s">
        <v>3280</v>
      </c>
      <c r="P370" s="150" t="s">
        <v>4484</v>
      </c>
      <c r="Q370" s="442">
        <f>COUNTIF('Hedef Liste'!$A:$A,A370)</f>
        <v>1</v>
      </c>
    </row>
    <row r="371" hidden="1">
      <c r="A371" s="150" t="s">
        <v>1562</v>
      </c>
      <c r="B371" s="150" t="s">
        <v>1563</v>
      </c>
      <c r="C371" s="439" t="s">
        <v>4483</v>
      </c>
      <c r="D371" s="150" t="s">
        <v>3288</v>
      </c>
      <c r="E371" s="440">
        <v>88.0</v>
      </c>
      <c r="F371" s="440">
        <v>8.0</v>
      </c>
      <c r="G371" s="440">
        <v>5.0</v>
      </c>
      <c r="H371" s="440">
        <v>31.0</v>
      </c>
      <c r="I371" s="440">
        <v>36.0</v>
      </c>
      <c r="J371" s="441">
        <v>0.14</v>
      </c>
      <c r="K371" s="150" t="s">
        <v>4981</v>
      </c>
      <c r="L371" s="150">
        <v>5.325001412E9</v>
      </c>
      <c r="M371" s="150" t="s">
        <v>1450</v>
      </c>
      <c r="N371" s="150" t="s">
        <v>2716</v>
      </c>
      <c r="O371" s="150" t="s">
        <v>1565</v>
      </c>
      <c r="P371" s="150" t="s">
        <v>4484</v>
      </c>
      <c r="Q371" s="442">
        <f>COUNTIF('Hedef Liste'!$A:$A,A371)</f>
        <v>1</v>
      </c>
    </row>
    <row r="372" hidden="1">
      <c r="A372" s="150" t="s">
        <v>4982</v>
      </c>
      <c r="B372" s="150" t="s">
        <v>4983</v>
      </c>
      <c r="C372" s="439" t="s">
        <v>4483</v>
      </c>
      <c r="D372" s="150" t="s">
        <v>2672</v>
      </c>
      <c r="E372" s="440">
        <v>2547.0</v>
      </c>
      <c r="F372" s="440">
        <v>138.0</v>
      </c>
      <c r="G372" s="440">
        <v>82.0</v>
      </c>
      <c r="H372" s="440">
        <v>0.0</v>
      </c>
      <c r="I372" s="440">
        <v>82.0</v>
      </c>
      <c r="J372" s="441">
        <v>1.0</v>
      </c>
      <c r="K372" s="150" t="s">
        <v>4891</v>
      </c>
      <c r="L372" s="150">
        <v>9.999999999E9</v>
      </c>
      <c r="M372" s="150" t="s">
        <v>2666</v>
      </c>
      <c r="N372" s="150" t="s">
        <v>2667</v>
      </c>
      <c r="O372" s="150" t="s">
        <v>4984</v>
      </c>
      <c r="P372" s="150" t="s">
        <v>4512</v>
      </c>
      <c r="Q372" s="442">
        <f>COUNTIF('Hedef Liste'!$A:$A,A372)</f>
        <v>0</v>
      </c>
    </row>
    <row r="373" hidden="1">
      <c r="A373" s="150" t="s">
        <v>4985</v>
      </c>
      <c r="B373" s="150" t="s">
        <v>4986</v>
      </c>
      <c r="C373" s="439" t="s">
        <v>4483</v>
      </c>
      <c r="D373" s="150" t="s">
        <v>2701</v>
      </c>
      <c r="E373" s="440">
        <v>1033.0</v>
      </c>
      <c r="F373" s="440">
        <v>101.0</v>
      </c>
      <c r="G373" s="440">
        <v>37.0</v>
      </c>
      <c r="H373" s="440">
        <v>5.0</v>
      </c>
      <c r="I373" s="440">
        <v>42.0</v>
      </c>
      <c r="J373" s="441">
        <v>0.88</v>
      </c>
      <c r="K373" s="150" t="s">
        <v>4987</v>
      </c>
      <c r="L373" s="150">
        <v>5.30765274E9</v>
      </c>
      <c r="M373" s="150" t="s">
        <v>2666</v>
      </c>
      <c r="N373" s="150" t="s">
        <v>2721</v>
      </c>
      <c r="O373" s="150" t="s">
        <v>4988</v>
      </c>
      <c r="P373" s="150" t="s">
        <v>4484</v>
      </c>
      <c r="Q373" s="442">
        <f>COUNTIF('Hedef Liste'!$A:$A,A373)</f>
        <v>0</v>
      </c>
    </row>
    <row r="374" hidden="1">
      <c r="A374" s="150" t="s">
        <v>2730</v>
      </c>
      <c r="B374" s="150" t="s">
        <v>2731</v>
      </c>
      <c r="C374" s="439" t="s">
        <v>4483</v>
      </c>
      <c r="D374" s="150" t="s">
        <v>2672</v>
      </c>
      <c r="E374" s="440">
        <v>2740.0</v>
      </c>
      <c r="F374" s="440">
        <v>91.0</v>
      </c>
      <c r="G374" s="440">
        <v>5.0</v>
      </c>
      <c r="H374" s="440">
        <v>28.0</v>
      </c>
      <c r="I374" s="440">
        <v>33.0</v>
      </c>
      <c r="J374" s="441">
        <v>0.15</v>
      </c>
      <c r="K374" s="150" t="s">
        <v>4842</v>
      </c>
      <c r="L374" s="150">
        <v>2.222397156E9</v>
      </c>
      <c r="M374" s="150" t="s">
        <v>1450</v>
      </c>
      <c r="N374" s="150" t="s">
        <v>2732</v>
      </c>
      <c r="O374" s="150" t="s">
        <v>2733</v>
      </c>
      <c r="P374" s="150" t="s">
        <v>4484</v>
      </c>
      <c r="Q374" s="442">
        <f>COUNTIF('Hedef Liste'!$A:$A,A374)</f>
        <v>1</v>
      </c>
    </row>
    <row r="375" hidden="1">
      <c r="A375" s="150" t="s">
        <v>3355</v>
      </c>
      <c r="B375" s="150" t="s">
        <v>3356</v>
      </c>
      <c r="C375" s="439" t="s">
        <v>4483</v>
      </c>
      <c r="D375" s="150" t="s">
        <v>2684</v>
      </c>
      <c r="E375" s="440">
        <v>3506.0</v>
      </c>
      <c r="F375" s="440">
        <v>85.0</v>
      </c>
      <c r="G375" s="440">
        <v>22.0</v>
      </c>
      <c r="H375" s="440">
        <v>25.0</v>
      </c>
      <c r="I375" s="440">
        <v>47.0</v>
      </c>
      <c r="J375" s="441">
        <v>0.47</v>
      </c>
      <c r="K375" s="150" t="s">
        <v>4989</v>
      </c>
      <c r="L375" s="150">
        <v>2.2232245E9</v>
      </c>
      <c r="M375" s="150" t="s">
        <v>2666</v>
      </c>
      <c r="N375" s="150" t="s">
        <v>2721</v>
      </c>
      <c r="O375" s="150" t="s">
        <v>3357</v>
      </c>
      <c r="P375" s="150" t="s">
        <v>4484</v>
      </c>
      <c r="Q375" s="442">
        <f>COUNTIF('Hedef Liste'!$A:$A,A375)</f>
        <v>1</v>
      </c>
    </row>
    <row r="376" hidden="1">
      <c r="A376" s="150" t="s">
        <v>4264</v>
      </c>
      <c r="B376" s="150" t="s">
        <v>4265</v>
      </c>
      <c r="C376" s="439" t="s">
        <v>4483</v>
      </c>
      <c r="D376" s="150" t="s">
        <v>3419</v>
      </c>
      <c r="E376" s="440">
        <v>1894.0</v>
      </c>
      <c r="F376" s="440">
        <v>96.0</v>
      </c>
      <c r="G376" s="440">
        <v>29.0</v>
      </c>
      <c r="H376" s="440">
        <v>17.0</v>
      </c>
      <c r="I376" s="440">
        <v>46.0</v>
      </c>
      <c r="J376" s="441">
        <v>0.63</v>
      </c>
      <c r="K376" s="150" t="s">
        <v>3795</v>
      </c>
      <c r="L376" s="150">
        <v>2.223228483E9</v>
      </c>
      <c r="M376" s="150" t="s">
        <v>1450</v>
      </c>
      <c r="N376" s="150" t="s">
        <v>2782</v>
      </c>
      <c r="O376" s="150" t="s">
        <v>3796</v>
      </c>
      <c r="P376" s="150" t="s">
        <v>4484</v>
      </c>
      <c r="Q376" s="442">
        <f>COUNTIF('Hedef Liste'!$A:$A,A376)</f>
        <v>1</v>
      </c>
    </row>
    <row r="377" hidden="1">
      <c r="A377" s="150" t="s">
        <v>95</v>
      </c>
      <c r="B377" s="150" t="s">
        <v>96</v>
      </c>
      <c r="C377" s="439" t="s">
        <v>4483</v>
      </c>
      <c r="D377" s="150" t="s">
        <v>2773</v>
      </c>
      <c r="E377" s="440">
        <v>862.0</v>
      </c>
      <c r="F377" s="440">
        <v>21.0</v>
      </c>
      <c r="G377" s="440">
        <v>3.0</v>
      </c>
      <c r="H377" s="440">
        <v>13.0</v>
      </c>
      <c r="I377" s="440">
        <v>16.0</v>
      </c>
      <c r="J377" s="441">
        <v>0.19</v>
      </c>
      <c r="K377" s="150" t="s">
        <v>4990</v>
      </c>
      <c r="L377" s="150">
        <v>5.412208287E9</v>
      </c>
      <c r="M377" s="150" t="s">
        <v>1450</v>
      </c>
      <c r="N377" s="150" t="s">
        <v>2782</v>
      </c>
      <c r="O377" s="150" t="s">
        <v>100</v>
      </c>
      <c r="P377" s="150" t="s">
        <v>4484</v>
      </c>
      <c r="Q377" s="442">
        <f>COUNTIF('Hedef Liste'!$A:$A,A377)</f>
        <v>1</v>
      </c>
    </row>
    <row r="378" hidden="1">
      <c r="A378" s="150" t="s">
        <v>3956</v>
      </c>
      <c r="B378" s="150" t="s">
        <v>3957</v>
      </c>
      <c r="C378" s="439" t="s">
        <v>4483</v>
      </c>
      <c r="D378" s="150" t="s">
        <v>2701</v>
      </c>
      <c r="E378" s="440">
        <v>1169.0</v>
      </c>
      <c r="F378" s="440">
        <v>56.0</v>
      </c>
      <c r="G378" s="440">
        <v>24.0</v>
      </c>
      <c r="H378" s="440">
        <v>17.0</v>
      </c>
      <c r="I378" s="440">
        <v>41.0</v>
      </c>
      <c r="J378" s="441">
        <v>0.59</v>
      </c>
      <c r="K378" s="150" t="s">
        <v>4940</v>
      </c>
      <c r="L378" s="150">
        <v>5.063144739E9</v>
      </c>
      <c r="M378" s="150" t="s">
        <v>1450</v>
      </c>
      <c r="N378" s="150" t="s">
        <v>2795</v>
      </c>
      <c r="O378" s="150" t="s">
        <v>3958</v>
      </c>
      <c r="P378" s="150" t="s">
        <v>4484</v>
      </c>
      <c r="Q378" s="442">
        <f>COUNTIF('Hedef Liste'!$A:$A,A378)</f>
        <v>1</v>
      </c>
    </row>
    <row r="379" hidden="1">
      <c r="A379" s="150" t="s">
        <v>4991</v>
      </c>
      <c r="B379" s="150" t="s">
        <v>4992</v>
      </c>
      <c r="C379" s="439" t="s">
        <v>4483</v>
      </c>
      <c r="D379" s="150" t="s">
        <v>2701</v>
      </c>
      <c r="E379" s="440">
        <v>2062.0</v>
      </c>
      <c r="F379" s="443"/>
      <c r="G379" s="440">
        <v>3.0</v>
      </c>
      <c r="H379" s="440">
        <v>5.0</v>
      </c>
      <c r="I379" s="440">
        <v>8.0</v>
      </c>
      <c r="J379" s="441">
        <v>0.38</v>
      </c>
      <c r="K379" s="150" t="s">
        <v>4374</v>
      </c>
      <c r="L379" s="150">
        <v>2.222262424E9</v>
      </c>
      <c r="M379" s="150" t="s">
        <v>2666</v>
      </c>
      <c r="N379" s="150" t="s">
        <v>2750</v>
      </c>
      <c r="O379" s="150" t="s">
        <v>4993</v>
      </c>
      <c r="P379" s="150" t="s">
        <v>4484</v>
      </c>
      <c r="Q379" s="442">
        <f>COUNTIF('Hedef Liste'!$A:$A,A379)</f>
        <v>0</v>
      </c>
    </row>
    <row r="380" hidden="1">
      <c r="A380" s="150" t="s">
        <v>2944</v>
      </c>
      <c r="B380" s="150" t="s">
        <v>4994</v>
      </c>
      <c r="C380" s="439" t="s">
        <v>4483</v>
      </c>
      <c r="D380" s="150" t="s">
        <v>2664</v>
      </c>
      <c r="E380" s="440">
        <v>3131.0</v>
      </c>
      <c r="F380" s="440">
        <v>172.0</v>
      </c>
      <c r="G380" s="440">
        <v>0.0</v>
      </c>
      <c r="H380" s="440">
        <v>35.0</v>
      </c>
      <c r="I380" s="440">
        <v>35.0</v>
      </c>
      <c r="J380" s="441">
        <v>0.0</v>
      </c>
      <c r="K380" s="150" t="s">
        <v>4631</v>
      </c>
      <c r="L380" s="150">
        <v>5.394822214E9</v>
      </c>
      <c r="M380" s="150" t="s">
        <v>2666</v>
      </c>
      <c r="N380" s="150" t="s">
        <v>2801</v>
      </c>
      <c r="O380" s="150" t="s">
        <v>169</v>
      </c>
      <c r="P380" s="150" t="s">
        <v>4484</v>
      </c>
      <c r="Q380" s="442">
        <f>COUNTIF('Hedef Liste'!$A:$A,A380)</f>
        <v>1</v>
      </c>
    </row>
    <row r="381" hidden="1">
      <c r="A381" s="150" t="s">
        <v>3646</v>
      </c>
      <c r="B381" s="150" t="s">
        <v>3647</v>
      </c>
      <c r="C381" s="439" t="s">
        <v>4483</v>
      </c>
      <c r="D381" s="150" t="s">
        <v>2773</v>
      </c>
      <c r="E381" s="440">
        <v>531.0</v>
      </c>
      <c r="F381" s="440">
        <v>10.0</v>
      </c>
      <c r="G381" s="440">
        <v>14.0</v>
      </c>
      <c r="H381" s="440">
        <v>33.0</v>
      </c>
      <c r="I381" s="440">
        <v>47.0</v>
      </c>
      <c r="J381" s="441">
        <v>0.3</v>
      </c>
      <c r="K381" s="150" t="s">
        <v>4995</v>
      </c>
      <c r="L381" s="150">
        <v>2.226060775E9</v>
      </c>
      <c r="M381" s="150" t="s">
        <v>2666</v>
      </c>
      <c r="N381" s="150" t="s">
        <v>2809</v>
      </c>
      <c r="O381" s="150" t="s">
        <v>3648</v>
      </c>
      <c r="P381" s="150" t="s">
        <v>4484</v>
      </c>
      <c r="Q381" s="442">
        <f>COUNTIF('Hedef Liste'!$A:$A,A381)</f>
        <v>1</v>
      </c>
    </row>
    <row r="382" hidden="1">
      <c r="A382" s="150" t="s">
        <v>4996</v>
      </c>
      <c r="B382" s="150" t="s">
        <v>4997</v>
      </c>
      <c r="C382" s="439" t="s">
        <v>4483</v>
      </c>
      <c r="D382" s="150" t="s">
        <v>2684</v>
      </c>
      <c r="E382" s="440">
        <v>8611.0</v>
      </c>
      <c r="F382" s="440">
        <v>314.0</v>
      </c>
      <c r="G382" s="440">
        <v>164.0</v>
      </c>
      <c r="H382" s="440">
        <v>0.0</v>
      </c>
      <c r="I382" s="440">
        <v>164.0</v>
      </c>
      <c r="J382" s="441">
        <v>1.0</v>
      </c>
      <c r="K382" s="150" t="s">
        <v>4891</v>
      </c>
      <c r="L382" s="150">
        <v>9.999999999E9</v>
      </c>
      <c r="M382" s="150" t="s">
        <v>2666</v>
      </c>
      <c r="N382" s="150" t="s">
        <v>2667</v>
      </c>
      <c r="O382" s="150" t="s">
        <v>4998</v>
      </c>
      <c r="P382" s="150" t="s">
        <v>4512</v>
      </c>
      <c r="Q382" s="442">
        <f>COUNTIF('Hedef Liste'!$A:$A,A382)</f>
        <v>0</v>
      </c>
    </row>
    <row r="383" hidden="1">
      <c r="A383" s="150" t="s">
        <v>2482</v>
      </c>
      <c r="B383" s="150" t="s">
        <v>2483</v>
      </c>
      <c r="C383" s="439" t="s">
        <v>4483</v>
      </c>
      <c r="D383" s="150" t="s">
        <v>2696</v>
      </c>
      <c r="E383" s="440">
        <v>154.0</v>
      </c>
      <c r="F383" s="443"/>
      <c r="G383" s="440">
        <v>0.0</v>
      </c>
      <c r="H383" s="440">
        <v>43.0</v>
      </c>
      <c r="I383" s="440">
        <v>43.0</v>
      </c>
      <c r="J383" s="441">
        <v>0.0</v>
      </c>
      <c r="K383" s="150" t="s">
        <v>4999</v>
      </c>
      <c r="L383" s="150">
        <v>2.223403505E9</v>
      </c>
      <c r="M383" s="150" t="s">
        <v>2666</v>
      </c>
      <c r="N383" s="150" t="s">
        <v>3000</v>
      </c>
      <c r="O383" s="150" t="s">
        <v>2485</v>
      </c>
      <c r="P383" s="150" t="s">
        <v>4484</v>
      </c>
      <c r="Q383" s="442">
        <f>COUNTIF('Hedef Liste'!$A:$A,A383)</f>
        <v>1</v>
      </c>
    </row>
    <row r="384" hidden="1">
      <c r="A384" s="150" t="s">
        <v>1592</v>
      </c>
      <c r="B384" s="150" t="s">
        <v>1593</v>
      </c>
      <c r="C384" s="439" t="s">
        <v>4483</v>
      </c>
      <c r="D384" s="150" t="s">
        <v>2696</v>
      </c>
      <c r="E384" s="440">
        <v>4475.0</v>
      </c>
      <c r="F384" s="440">
        <v>90.0</v>
      </c>
      <c r="G384" s="440">
        <v>0.0</v>
      </c>
      <c r="H384" s="440">
        <v>56.0</v>
      </c>
      <c r="I384" s="440">
        <v>56.0</v>
      </c>
      <c r="J384" s="441">
        <v>0.0</v>
      </c>
      <c r="K384" s="150" t="s">
        <v>5000</v>
      </c>
      <c r="L384" s="150">
        <v>2.22322006E9</v>
      </c>
      <c r="M384" s="150" t="s">
        <v>2666</v>
      </c>
      <c r="N384" s="150" t="s">
        <v>2879</v>
      </c>
      <c r="O384" s="150" t="s">
        <v>1596</v>
      </c>
      <c r="P384" s="150" t="s">
        <v>4484</v>
      </c>
      <c r="Q384" s="442">
        <f>COUNTIF('Hedef Liste'!$A:$A,A384)</f>
        <v>1</v>
      </c>
    </row>
    <row r="385" hidden="1">
      <c r="A385" s="150" t="s">
        <v>5001</v>
      </c>
      <c r="B385" s="150" t="s">
        <v>5002</v>
      </c>
      <c r="C385" s="439" t="s">
        <v>4483</v>
      </c>
      <c r="D385" s="150" t="s">
        <v>2867</v>
      </c>
      <c r="E385" s="440">
        <v>26548.0</v>
      </c>
      <c r="F385" s="440">
        <v>791.0</v>
      </c>
      <c r="G385" s="440">
        <v>92.0</v>
      </c>
      <c r="H385" s="440">
        <v>1.0</v>
      </c>
      <c r="I385" s="440">
        <v>93.0</v>
      </c>
      <c r="J385" s="441">
        <v>0.99</v>
      </c>
      <c r="K385" s="150" t="s">
        <v>4776</v>
      </c>
      <c r="L385" s="150">
        <v>1.111111111E9</v>
      </c>
      <c r="M385" s="150" t="s">
        <v>1450</v>
      </c>
      <c r="N385" s="150" t="s">
        <v>2795</v>
      </c>
      <c r="O385" s="150" t="s">
        <v>5003</v>
      </c>
      <c r="P385" s="150" t="s">
        <v>4512</v>
      </c>
      <c r="Q385" s="442">
        <f>COUNTIF('Hedef Liste'!$A:$A,A385)</f>
        <v>0</v>
      </c>
    </row>
    <row r="386" hidden="1">
      <c r="A386" s="150" t="s">
        <v>4095</v>
      </c>
      <c r="B386" s="150" t="s">
        <v>4096</v>
      </c>
      <c r="C386" s="439" t="s">
        <v>4483</v>
      </c>
      <c r="D386" s="150" t="s">
        <v>2763</v>
      </c>
      <c r="E386" s="440">
        <v>1650.0</v>
      </c>
      <c r="F386" s="440">
        <v>20.0</v>
      </c>
      <c r="G386" s="440">
        <v>0.0</v>
      </c>
      <c r="H386" s="440">
        <v>52.0</v>
      </c>
      <c r="I386" s="440">
        <v>52.0</v>
      </c>
      <c r="J386" s="441">
        <v>0.0</v>
      </c>
      <c r="K386" s="150" t="s">
        <v>3710</v>
      </c>
      <c r="L386" s="150">
        <v>5.306143842E9</v>
      </c>
      <c r="M386" s="150" t="s">
        <v>2666</v>
      </c>
      <c r="N386" s="150" t="s">
        <v>4529</v>
      </c>
      <c r="O386" s="150" t="s">
        <v>3711</v>
      </c>
      <c r="P386" s="150" t="s">
        <v>4484</v>
      </c>
      <c r="Q386" s="442">
        <f>COUNTIF('Hedef Liste'!$A:$A,A386)</f>
        <v>1</v>
      </c>
    </row>
    <row r="387" hidden="1">
      <c r="A387" s="150" t="s">
        <v>1478</v>
      </c>
      <c r="B387" s="150" t="s">
        <v>5004</v>
      </c>
      <c r="C387" s="439" t="s">
        <v>4483</v>
      </c>
      <c r="D387" s="150" t="s">
        <v>2672</v>
      </c>
      <c r="E387" s="440">
        <v>1025.0</v>
      </c>
      <c r="F387" s="440">
        <v>45.0</v>
      </c>
      <c r="G387" s="440">
        <v>8.0</v>
      </c>
      <c r="H387" s="440">
        <v>21.0</v>
      </c>
      <c r="I387" s="440">
        <v>29.0</v>
      </c>
      <c r="J387" s="441">
        <v>0.28</v>
      </c>
      <c r="K387" s="150" t="s">
        <v>5005</v>
      </c>
      <c r="L387" s="150">
        <v>5.432602226E9</v>
      </c>
      <c r="M387" s="150" t="s">
        <v>1450</v>
      </c>
      <c r="N387" s="150" t="s">
        <v>2703</v>
      </c>
      <c r="O387" s="150" t="s">
        <v>1481</v>
      </c>
      <c r="P387" s="150" t="s">
        <v>4484</v>
      </c>
      <c r="Q387" s="442">
        <f>COUNTIF('Hedef Liste'!$A:$A,A387)</f>
        <v>1</v>
      </c>
    </row>
    <row r="388" hidden="1">
      <c r="A388" s="150" t="s">
        <v>5006</v>
      </c>
      <c r="B388" s="150" t="s">
        <v>5007</v>
      </c>
      <c r="C388" s="439" t="s">
        <v>4483</v>
      </c>
      <c r="D388" s="150" t="s">
        <v>2773</v>
      </c>
      <c r="E388" s="440">
        <v>240.0</v>
      </c>
      <c r="F388" s="440">
        <v>127.0</v>
      </c>
      <c r="G388" s="440">
        <v>72.0</v>
      </c>
      <c r="H388" s="440">
        <v>7.0</v>
      </c>
      <c r="I388" s="440">
        <v>79.0</v>
      </c>
      <c r="J388" s="441">
        <v>0.91</v>
      </c>
      <c r="K388" s="150" t="s">
        <v>4567</v>
      </c>
      <c r="L388" s="150">
        <v>5.072786877E9</v>
      </c>
      <c r="M388" s="150" t="s">
        <v>2666</v>
      </c>
      <c r="N388" s="150" t="s">
        <v>3381</v>
      </c>
      <c r="O388" s="150" t="s">
        <v>5008</v>
      </c>
      <c r="P388" s="150" t="s">
        <v>4512</v>
      </c>
      <c r="Q388" s="442">
        <f>COUNTIF('Hedef Liste'!$A:$A,A388)</f>
        <v>0</v>
      </c>
    </row>
    <row r="389" hidden="1">
      <c r="A389" s="150" t="s">
        <v>3923</v>
      </c>
      <c r="B389" s="150" t="s">
        <v>3924</v>
      </c>
      <c r="C389" s="439" t="s">
        <v>4483</v>
      </c>
      <c r="D389" s="150" t="s">
        <v>2696</v>
      </c>
      <c r="E389" s="440">
        <v>33.0</v>
      </c>
      <c r="F389" s="440">
        <v>2.0</v>
      </c>
      <c r="G389" s="440">
        <v>11.0</v>
      </c>
      <c r="H389" s="440">
        <v>5.0</v>
      </c>
      <c r="I389" s="440">
        <v>16.0</v>
      </c>
      <c r="J389" s="441">
        <v>0.69</v>
      </c>
      <c r="K389" s="150" t="s">
        <v>5009</v>
      </c>
      <c r="L389" s="150">
        <v>5.325588556E9</v>
      </c>
      <c r="M389" s="150" t="s">
        <v>1450</v>
      </c>
      <c r="N389" s="150" t="s">
        <v>2950</v>
      </c>
      <c r="O389" s="150" t="s">
        <v>3925</v>
      </c>
      <c r="P389" s="150" t="s">
        <v>4484</v>
      </c>
      <c r="Q389" s="442">
        <f>COUNTIF('Hedef Liste'!$A:$A,A389)</f>
        <v>1</v>
      </c>
    </row>
    <row r="390" hidden="1">
      <c r="A390" s="150" t="s">
        <v>1523</v>
      </c>
      <c r="B390" s="150" t="s">
        <v>1524</v>
      </c>
      <c r="C390" s="439" t="s">
        <v>4483</v>
      </c>
      <c r="D390" s="150" t="s">
        <v>2763</v>
      </c>
      <c r="E390" s="440">
        <v>1951.0</v>
      </c>
      <c r="F390" s="440">
        <v>109.0</v>
      </c>
      <c r="G390" s="440">
        <v>15.0</v>
      </c>
      <c r="H390" s="440">
        <v>57.0</v>
      </c>
      <c r="I390" s="440">
        <v>72.0</v>
      </c>
      <c r="J390" s="441">
        <v>0.21</v>
      </c>
      <c r="K390" s="150" t="s">
        <v>5010</v>
      </c>
      <c r="L390" s="150">
        <v>5.377782121E9</v>
      </c>
      <c r="M390" s="150" t="s">
        <v>1450</v>
      </c>
      <c r="N390" s="150" t="s">
        <v>2782</v>
      </c>
      <c r="O390" s="150" t="s">
        <v>1527</v>
      </c>
      <c r="P390" s="150" t="s">
        <v>4484</v>
      </c>
      <c r="Q390" s="442">
        <f>COUNTIF('Hedef Liste'!$A:$A,A390)</f>
        <v>1</v>
      </c>
    </row>
    <row r="391" hidden="1">
      <c r="A391" s="150" t="s">
        <v>5011</v>
      </c>
      <c r="B391" s="150" t="s">
        <v>5012</v>
      </c>
      <c r="C391" s="439" t="s">
        <v>4483</v>
      </c>
      <c r="D391" s="150" t="s">
        <v>2763</v>
      </c>
      <c r="E391" s="440">
        <v>250.0</v>
      </c>
      <c r="F391" s="440">
        <v>18.0</v>
      </c>
      <c r="G391" s="440">
        <v>58.0</v>
      </c>
      <c r="H391" s="440">
        <v>0.0</v>
      </c>
      <c r="I391" s="440">
        <v>58.0</v>
      </c>
      <c r="J391" s="441">
        <v>1.0</v>
      </c>
      <c r="K391" s="150" t="s">
        <v>4891</v>
      </c>
      <c r="L391" s="150">
        <v>9.999999999E9</v>
      </c>
      <c r="M391" s="150" t="s">
        <v>2666</v>
      </c>
      <c r="N391" s="150" t="s">
        <v>2667</v>
      </c>
      <c r="O391" s="150" t="s">
        <v>5013</v>
      </c>
      <c r="P391" s="150" t="s">
        <v>4512</v>
      </c>
      <c r="Q391" s="442">
        <f>COUNTIF('Hedef Liste'!$A:$A,A391)</f>
        <v>0</v>
      </c>
    </row>
    <row r="392" hidden="1">
      <c r="A392" s="150" t="s">
        <v>3449</v>
      </c>
      <c r="B392" s="150" t="s">
        <v>5014</v>
      </c>
      <c r="C392" s="439" t="s">
        <v>4483</v>
      </c>
      <c r="D392" s="150" t="s">
        <v>2684</v>
      </c>
      <c r="E392" s="440">
        <v>10845.0</v>
      </c>
      <c r="F392" s="440">
        <v>166.0</v>
      </c>
      <c r="G392" s="440">
        <v>0.0</v>
      </c>
      <c r="H392" s="440">
        <v>18.0</v>
      </c>
      <c r="I392" s="440">
        <v>18.0</v>
      </c>
      <c r="J392" s="441">
        <v>0.0</v>
      </c>
      <c r="K392" s="150" t="s">
        <v>3452</v>
      </c>
      <c r="L392" s="150">
        <v>2.222399696E9</v>
      </c>
      <c r="M392" s="150" t="s">
        <v>1450</v>
      </c>
      <c r="N392" s="150" t="s">
        <v>4514</v>
      </c>
      <c r="O392" s="150" t="s">
        <v>5015</v>
      </c>
      <c r="P392" s="150" t="s">
        <v>4484</v>
      </c>
      <c r="Q392" s="442">
        <f>COUNTIF('Hedef Liste'!$A:$A,A392)</f>
        <v>1</v>
      </c>
    </row>
    <row r="393" hidden="1">
      <c r="A393" s="150" t="s">
        <v>4331</v>
      </c>
      <c r="B393" s="150" t="s">
        <v>4332</v>
      </c>
      <c r="C393" s="439" t="s">
        <v>4520</v>
      </c>
      <c r="D393" s="150" t="s">
        <v>2672</v>
      </c>
      <c r="E393" s="440">
        <v>2.0</v>
      </c>
      <c r="F393" s="443"/>
      <c r="G393" s="440">
        <v>0.0</v>
      </c>
      <c r="H393" s="440">
        <v>13.0</v>
      </c>
      <c r="I393" s="440">
        <v>13.0</v>
      </c>
      <c r="J393" s="441">
        <v>0.0</v>
      </c>
      <c r="K393" s="150" t="s">
        <v>5016</v>
      </c>
      <c r="L393" s="150">
        <v>5.324086122E9</v>
      </c>
      <c r="M393" s="150" t="s">
        <v>2666</v>
      </c>
      <c r="N393" s="150" t="s">
        <v>2667</v>
      </c>
      <c r="O393" s="150" t="s">
        <v>4333</v>
      </c>
      <c r="P393" s="150" t="s">
        <v>4484</v>
      </c>
      <c r="Q393" s="442">
        <f>COUNTIF('Hedef Liste'!$A:$A,A393)</f>
        <v>1</v>
      </c>
    </row>
    <row r="394" hidden="1">
      <c r="A394" s="150" t="s">
        <v>2546</v>
      </c>
      <c r="B394" s="150" t="s">
        <v>2547</v>
      </c>
      <c r="C394" s="439" t="s">
        <v>4483</v>
      </c>
      <c r="D394" s="150" t="s">
        <v>2672</v>
      </c>
      <c r="E394" s="440">
        <v>1173.0</v>
      </c>
      <c r="F394" s="440">
        <v>98.0</v>
      </c>
      <c r="G394" s="440">
        <v>9.0</v>
      </c>
      <c r="H394" s="440">
        <v>11.0</v>
      </c>
      <c r="I394" s="440">
        <v>20.0</v>
      </c>
      <c r="J394" s="441">
        <v>0.45</v>
      </c>
      <c r="K394" s="150" t="s">
        <v>3170</v>
      </c>
      <c r="L394" s="150">
        <v>5.378257297E9</v>
      </c>
      <c r="M394" s="150" t="s">
        <v>2666</v>
      </c>
      <c r="N394" s="150" t="s">
        <v>2750</v>
      </c>
      <c r="O394" s="150" t="s">
        <v>2549</v>
      </c>
      <c r="P394" s="150" t="s">
        <v>4484</v>
      </c>
      <c r="Q394" s="442">
        <f>COUNTIF('Hedef Liste'!$A:$A,A394)</f>
        <v>1</v>
      </c>
    </row>
    <row r="395" hidden="1">
      <c r="A395" s="150" t="s">
        <v>1659</v>
      </c>
      <c r="B395" s="150" t="s">
        <v>5017</v>
      </c>
      <c r="C395" s="439" t="s">
        <v>4483</v>
      </c>
      <c r="D395" s="150" t="s">
        <v>2672</v>
      </c>
      <c r="E395" s="440">
        <v>168.0</v>
      </c>
      <c r="F395" s="440">
        <v>2.0</v>
      </c>
      <c r="G395" s="440">
        <v>3.0</v>
      </c>
      <c r="H395" s="440">
        <v>10.0</v>
      </c>
      <c r="I395" s="440">
        <v>13.0</v>
      </c>
      <c r="J395" s="441">
        <v>0.23</v>
      </c>
      <c r="K395" s="150" t="s">
        <v>5018</v>
      </c>
      <c r="L395" s="150">
        <v>5.528245164E9</v>
      </c>
      <c r="M395" s="150" t="s">
        <v>1450</v>
      </c>
      <c r="N395" s="150" t="s">
        <v>2700</v>
      </c>
      <c r="O395" s="150" t="s">
        <v>1663</v>
      </c>
      <c r="P395" s="150" t="s">
        <v>4484</v>
      </c>
      <c r="Q395" s="442">
        <f>COUNTIF('Hedef Liste'!$A:$A,A395)</f>
        <v>1</v>
      </c>
    </row>
    <row r="396" hidden="1">
      <c r="A396" s="150" t="s">
        <v>3108</v>
      </c>
      <c r="B396" s="150" t="s">
        <v>3109</v>
      </c>
      <c r="C396" s="439" t="s">
        <v>4483</v>
      </c>
      <c r="D396" s="150" t="s">
        <v>2684</v>
      </c>
      <c r="E396" s="440">
        <v>8740.0</v>
      </c>
      <c r="F396" s="443"/>
      <c r="G396" s="440">
        <v>0.0</v>
      </c>
      <c r="H396" s="440">
        <v>15.0</v>
      </c>
      <c r="I396" s="440">
        <v>15.0</v>
      </c>
      <c r="J396" s="441">
        <v>0.0</v>
      </c>
      <c r="K396" s="150" t="s">
        <v>5019</v>
      </c>
      <c r="L396" s="150">
        <v>5.465505547E9</v>
      </c>
      <c r="M396" s="150" t="s">
        <v>1450</v>
      </c>
      <c r="N396" s="150" t="s">
        <v>2700</v>
      </c>
      <c r="O396" s="150" t="s">
        <v>3110</v>
      </c>
      <c r="P396" s="150" t="s">
        <v>4484</v>
      </c>
      <c r="Q396" s="442">
        <f>COUNTIF('Hedef Liste'!$A:$A,A396)</f>
        <v>1</v>
      </c>
    </row>
    <row r="397" hidden="1">
      <c r="A397" s="150" t="s">
        <v>5020</v>
      </c>
      <c r="B397" s="150" t="s">
        <v>5021</v>
      </c>
      <c r="C397" s="439" t="s">
        <v>4483</v>
      </c>
      <c r="D397" s="150" t="s">
        <v>2724</v>
      </c>
      <c r="E397" s="440">
        <v>911.0</v>
      </c>
      <c r="F397" s="440">
        <v>86.0</v>
      </c>
      <c r="G397" s="440">
        <v>89.0</v>
      </c>
      <c r="H397" s="440">
        <v>0.0</v>
      </c>
      <c r="I397" s="440">
        <v>89.0</v>
      </c>
      <c r="J397" s="441">
        <v>1.0</v>
      </c>
      <c r="K397" s="150" t="s">
        <v>4891</v>
      </c>
      <c r="L397" s="150">
        <v>9.999999999E9</v>
      </c>
      <c r="M397" s="150" t="s">
        <v>2666</v>
      </c>
      <c r="N397" s="150" t="s">
        <v>2667</v>
      </c>
      <c r="O397" s="150" t="s">
        <v>5013</v>
      </c>
      <c r="P397" s="150" t="s">
        <v>4512</v>
      </c>
      <c r="Q397" s="442">
        <f>COUNTIF('Hedef Liste'!$A:$A,A397)</f>
        <v>0</v>
      </c>
    </row>
    <row r="398" hidden="1">
      <c r="A398" s="150" t="s">
        <v>4355</v>
      </c>
      <c r="B398" s="150" t="s">
        <v>5022</v>
      </c>
      <c r="C398" s="439" t="s">
        <v>4483</v>
      </c>
      <c r="D398" s="150" t="s">
        <v>2706</v>
      </c>
      <c r="E398" s="440">
        <v>368.0</v>
      </c>
      <c r="F398" s="440">
        <v>50.0</v>
      </c>
      <c r="G398" s="440">
        <v>0.0</v>
      </c>
      <c r="H398" s="440">
        <v>237.0</v>
      </c>
      <c r="I398" s="440">
        <v>237.0</v>
      </c>
      <c r="J398" s="441">
        <v>0.0</v>
      </c>
      <c r="K398" s="150" t="s">
        <v>5023</v>
      </c>
      <c r="L398" s="150">
        <v>5.070066166E9</v>
      </c>
      <c r="M398" s="150" t="s">
        <v>2666</v>
      </c>
      <c r="N398" s="150" t="s">
        <v>2682</v>
      </c>
      <c r="O398" s="150" t="s">
        <v>4357</v>
      </c>
      <c r="P398" s="150" t="s">
        <v>4484</v>
      </c>
      <c r="Q398" s="442">
        <f>COUNTIF('Hedef Liste'!$A:$A,A398)</f>
        <v>1</v>
      </c>
    </row>
    <row r="399" hidden="1">
      <c r="A399" s="150" t="s">
        <v>4282</v>
      </c>
      <c r="B399" s="150" t="s">
        <v>4283</v>
      </c>
      <c r="C399" s="439" t="s">
        <v>4483</v>
      </c>
      <c r="D399" s="150" t="s">
        <v>2701</v>
      </c>
      <c r="E399" s="440">
        <v>858.0</v>
      </c>
      <c r="F399" s="440">
        <v>64.0</v>
      </c>
      <c r="G399" s="440">
        <v>17.0</v>
      </c>
      <c r="H399" s="440">
        <v>29.0</v>
      </c>
      <c r="I399" s="440">
        <v>46.0</v>
      </c>
      <c r="J399" s="441">
        <v>0.37</v>
      </c>
      <c r="K399" s="150" t="s">
        <v>5024</v>
      </c>
      <c r="L399" s="150">
        <v>5.366780926E9</v>
      </c>
      <c r="M399" s="150" t="s">
        <v>2666</v>
      </c>
      <c r="N399" s="150" t="s">
        <v>3000</v>
      </c>
      <c r="O399" s="150" t="s">
        <v>4284</v>
      </c>
      <c r="P399" s="150" t="s">
        <v>4484</v>
      </c>
      <c r="Q399" s="442">
        <f>COUNTIF('Hedef Liste'!$A:$A,A399)</f>
        <v>1</v>
      </c>
    </row>
    <row r="400" hidden="1">
      <c r="A400" s="150" t="s">
        <v>603</v>
      </c>
      <c r="B400" s="150" t="s">
        <v>604</v>
      </c>
      <c r="C400" s="439" t="s">
        <v>4483</v>
      </c>
      <c r="D400" s="150" t="s">
        <v>2978</v>
      </c>
      <c r="E400" s="440">
        <v>1091.0</v>
      </c>
      <c r="F400" s="440">
        <v>31.0</v>
      </c>
      <c r="G400" s="440">
        <v>0.0</v>
      </c>
      <c r="H400" s="440">
        <v>20.0</v>
      </c>
      <c r="I400" s="440">
        <v>20.0</v>
      </c>
      <c r="J400" s="441">
        <v>0.0</v>
      </c>
      <c r="K400" s="150" t="s">
        <v>5025</v>
      </c>
      <c r="L400" s="150">
        <v>5.548010704E9</v>
      </c>
      <c r="M400" s="150" t="s">
        <v>1450</v>
      </c>
      <c r="N400" s="150" t="s">
        <v>2716</v>
      </c>
      <c r="O400" s="150" t="s">
        <v>606</v>
      </c>
      <c r="P400" s="150" t="s">
        <v>4484</v>
      </c>
      <c r="Q400" s="442">
        <f>COUNTIF('Hedef Liste'!$A:$A,A400)</f>
        <v>1</v>
      </c>
    </row>
    <row r="401" hidden="1">
      <c r="A401" s="150" t="s">
        <v>1335</v>
      </c>
      <c r="B401" s="150" t="s">
        <v>1336</v>
      </c>
      <c r="C401" s="439" t="s">
        <v>4483</v>
      </c>
      <c r="D401" s="150" t="s">
        <v>2664</v>
      </c>
      <c r="E401" s="440">
        <v>4542.0</v>
      </c>
      <c r="F401" s="440">
        <v>463.0</v>
      </c>
      <c r="G401" s="440">
        <v>5.0</v>
      </c>
      <c r="H401" s="440">
        <v>9.0</v>
      </c>
      <c r="I401" s="440">
        <v>14.0</v>
      </c>
      <c r="J401" s="441">
        <v>0.36</v>
      </c>
      <c r="K401" s="150" t="s">
        <v>5026</v>
      </c>
      <c r="L401" s="150">
        <v>5.394222667E9</v>
      </c>
      <c r="M401" s="150" t="s">
        <v>2666</v>
      </c>
      <c r="N401" s="150" t="s">
        <v>2721</v>
      </c>
      <c r="O401" s="150" t="s">
        <v>5027</v>
      </c>
      <c r="P401" s="150" t="s">
        <v>4484</v>
      </c>
      <c r="Q401" s="442">
        <f>COUNTIF('Hedef Liste'!$A:$A,A401)</f>
        <v>1</v>
      </c>
    </row>
    <row r="402" hidden="1">
      <c r="A402" s="150" t="s">
        <v>1260</v>
      </c>
      <c r="B402" s="150" t="s">
        <v>1261</v>
      </c>
      <c r="C402" s="439" t="s">
        <v>4483</v>
      </c>
      <c r="D402" s="150" t="s">
        <v>2773</v>
      </c>
      <c r="E402" s="440">
        <v>450.0</v>
      </c>
      <c r="F402" s="440">
        <v>1.0</v>
      </c>
      <c r="G402" s="440">
        <v>16.0</v>
      </c>
      <c r="H402" s="440">
        <v>7.0</v>
      </c>
      <c r="I402" s="440">
        <v>23.0</v>
      </c>
      <c r="J402" s="441">
        <v>0.7</v>
      </c>
      <c r="K402" s="150" t="s">
        <v>4995</v>
      </c>
      <c r="L402" s="150">
        <v>2.226060775E9</v>
      </c>
      <c r="M402" s="150" t="s">
        <v>2666</v>
      </c>
      <c r="N402" s="150" t="s">
        <v>2721</v>
      </c>
      <c r="O402" s="150" t="s">
        <v>1263</v>
      </c>
      <c r="P402" s="150" t="s">
        <v>4484</v>
      </c>
      <c r="Q402" s="442">
        <f>COUNTIF('Hedef Liste'!$A:$A,A402)</f>
        <v>1</v>
      </c>
    </row>
    <row r="403" hidden="1">
      <c r="A403" s="150" t="s">
        <v>4310</v>
      </c>
      <c r="B403" s="150" t="s">
        <v>4311</v>
      </c>
      <c r="C403" s="439" t="s">
        <v>4483</v>
      </c>
      <c r="D403" s="150" t="s">
        <v>2684</v>
      </c>
      <c r="E403" s="440">
        <v>4645.0</v>
      </c>
      <c r="F403" s="440">
        <v>145.0</v>
      </c>
      <c r="G403" s="440">
        <v>0.0</v>
      </c>
      <c r="H403" s="440">
        <v>51.0</v>
      </c>
      <c r="I403" s="440">
        <v>51.0</v>
      </c>
      <c r="J403" s="441">
        <v>0.0</v>
      </c>
      <c r="K403" s="150" t="s">
        <v>5028</v>
      </c>
      <c r="L403" s="150">
        <v>5.448342627E9</v>
      </c>
      <c r="M403" s="150" t="s">
        <v>2666</v>
      </c>
      <c r="N403" s="150" t="s">
        <v>3084</v>
      </c>
      <c r="O403" s="150" t="s">
        <v>4312</v>
      </c>
      <c r="P403" s="150" t="s">
        <v>4484</v>
      </c>
      <c r="Q403" s="442">
        <f>COUNTIF('Hedef Liste'!$A:$A,A403)</f>
        <v>1</v>
      </c>
    </row>
    <row r="404" hidden="1">
      <c r="A404" s="150" t="s">
        <v>4404</v>
      </c>
      <c r="B404" s="150" t="s">
        <v>4405</v>
      </c>
      <c r="C404" s="439" t="s">
        <v>4483</v>
      </c>
      <c r="D404" s="150" t="s">
        <v>3151</v>
      </c>
      <c r="E404" s="440">
        <v>278.0</v>
      </c>
      <c r="F404" s="440">
        <v>43.0</v>
      </c>
      <c r="G404" s="440">
        <v>0.0</v>
      </c>
      <c r="H404" s="440">
        <v>27.0</v>
      </c>
      <c r="I404" s="440">
        <v>27.0</v>
      </c>
      <c r="J404" s="441">
        <v>0.0</v>
      </c>
      <c r="K404" s="150" t="s">
        <v>5029</v>
      </c>
      <c r="L404" s="150">
        <v>5.547551178E9</v>
      </c>
      <c r="M404" s="150" t="s">
        <v>1450</v>
      </c>
      <c r="N404" s="150" t="s">
        <v>2795</v>
      </c>
      <c r="O404" s="150" t="s">
        <v>4406</v>
      </c>
      <c r="P404" s="150" t="s">
        <v>4484</v>
      </c>
      <c r="Q404" s="442">
        <f>COUNTIF('Hedef Liste'!$A:$A,A404)</f>
        <v>1</v>
      </c>
    </row>
    <row r="405" hidden="1">
      <c r="A405" s="150" t="s">
        <v>1630</v>
      </c>
      <c r="B405" s="150" t="s">
        <v>1631</v>
      </c>
      <c r="C405" s="439" t="s">
        <v>4483</v>
      </c>
      <c r="D405" s="150" t="s">
        <v>2664</v>
      </c>
      <c r="E405" s="440">
        <v>1080.0</v>
      </c>
      <c r="F405" s="440">
        <v>143.0</v>
      </c>
      <c r="G405" s="440">
        <v>8.0</v>
      </c>
      <c r="H405" s="440">
        <v>61.0</v>
      </c>
      <c r="I405" s="440">
        <v>69.0</v>
      </c>
      <c r="J405" s="441">
        <v>0.12</v>
      </c>
      <c r="K405" s="150" t="s">
        <v>5030</v>
      </c>
      <c r="L405" s="150">
        <v>5.334975761E9</v>
      </c>
      <c r="M405" s="150" t="s">
        <v>1450</v>
      </c>
      <c r="N405" s="150" t="s">
        <v>2659</v>
      </c>
      <c r="O405" s="150" t="s">
        <v>1635</v>
      </c>
      <c r="P405" s="150" t="s">
        <v>4484</v>
      </c>
      <c r="Q405" s="442">
        <f>COUNTIF('Hedef Liste'!$A:$A,A405)</f>
        <v>1</v>
      </c>
    </row>
    <row r="406" hidden="1">
      <c r="A406" s="150" t="s">
        <v>1420</v>
      </c>
      <c r="B406" s="150" t="s">
        <v>1421</v>
      </c>
      <c r="C406" s="439" t="s">
        <v>4483</v>
      </c>
      <c r="D406" s="150" t="s">
        <v>2664</v>
      </c>
      <c r="E406" s="440">
        <v>1830.0</v>
      </c>
      <c r="F406" s="440">
        <v>37.0</v>
      </c>
      <c r="G406" s="440">
        <v>8.0</v>
      </c>
      <c r="H406" s="440">
        <v>9.0</v>
      </c>
      <c r="I406" s="440">
        <v>17.0</v>
      </c>
      <c r="J406" s="441">
        <v>0.47</v>
      </c>
      <c r="K406" s="150" t="s">
        <v>5031</v>
      </c>
      <c r="L406" s="150">
        <v>2.222500421E9</v>
      </c>
      <c r="M406" s="150" t="s">
        <v>1450</v>
      </c>
      <c r="N406" s="150" t="s">
        <v>2703</v>
      </c>
      <c r="O406" s="150" t="s">
        <v>1423</v>
      </c>
      <c r="P406" s="150" t="s">
        <v>4484</v>
      </c>
      <c r="Q406" s="442">
        <f>COUNTIF('Hedef Liste'!$A:$A,A406)</f>
        <v>1</v>
      </c>
    </row>
    <row r="407" hidden="1">
      <c r="A407" s="150" t="s">
        <v>4044</v>
      </c>
      <c r="B407" s="150" t="s">
        <v>4045</v>
      </c>
      <c r="C407" s="439" t="s">
        <v>4483</v>
      </c>
      <c r="D407" s="150" t="s">
        <v>2724</v>
      </c>
      <c r="E407" s="440">
        <v>2409.0</v>
      </c>
      <c r="F407" s="443"/>
      <c r="G407" s="440">
        <v>0.0</v>
      </c>
      <c r="H407" s="440">
        <v>23.0</v>
      </c>
      <c r="I407" s="440">
        <v>23.0</v>
      </c>
      <c r="J407" s="441">
        <v>0.0</v>
      </c>
      <c r="K407" s="150" t="s">
        <v>5032</v>
      </c>
      <c r="L407" s="150">
        <v>2.223305522E9</v>
      </c>
      <c r="M407" s="150" t="s">
        <v>2666</v>
      </c>
      <c r="N407" s="150" t="s">
        <v>2682</v>
      </c>
      <c r="O407" s="150" t="s">
        <v>4046</v>
      </c>
      <c r="P407" s="150" t="s">
        <v>4484</v>
      </c>
      <c r="Q407" s="442">
        <f>COUNTIF('Hedef Liste'!$A:$A,A407)</f>
        <v>1</v>
      </c>
    </row>
    <row r="408" hidden="1">
      <c r="A408" s="150" t="s">
        <v>4314</v>
      </c>
      <c r="B408" s="150" t="s">
        <v>4315</v>
      </c>
      <c r="C408" s="439" t="s">
        <v>4483</v>
      </c>
      <c r="D408" s="150" t="s">
        <v>2684</v>
      </c>
      <c r="E408" s="440">
        <v>4106.0</v>
      </c>
      <c r="F408" s="440">
        <v>118.0</v>
      </c>
      <c r="G408" s="440">
        <v>0.0</v>
      </c>
      <c r="H408" s="440">
        <v>55.0</v>
      </c>
      <c r="I408" s="440">
        <v>55.0</v>
      </c>
      <c r="J408" s="441">
        <v>0.0</v>
      </c>
      <c r="K408" s="150" t="s">
        <v>5033</v>
      </c>
      <c r="L408" s="150">
        <v>5.33262644E9</v>
      </c>
      <c r="M408" s="150" t="s">
        <v>1450</v>
      </c>
      <c r="N408" s="150" t="s">
        <v>2659</v>
      </c>
      <c r="O408" s="150" t="s">
        <v>4316</v>
      </c>
      <c r="P408" s="150" t="s">
        <v>4484</v>
      </c>
      <c r="Q408" s="442">
        <f>COUNTIF('Hedef Liste'!$A:$A,A408)</f>
        <v>1</v>
      </c>
    </row>
    <row r="409" hidden="1">
      <c r="A409" s="150" t="s">
        <v>5034</v>
      </c>
      <c r="B409" s="150" t="s">
        <v>5035</v>
      </c>
      <c r="C409" s="439" t="s">
        <v>4483</v>
      </c>
      <c r="D409" s="150" t="s">
        <v>2763</v>
      </c>
      <c r="E409" s="440">
        <v>898.0</v>
      </c>
      <c r="F409" s="440">
        <v>71.0</v>
      </c>
      <c r="G409" s="440">
        <v>53.0</v>
      </c>
      <c r="H409" s="440">
        <v>0.0</v>
      </c>
      <c r="I409" s="440">
        <v>53.0</v>
      </c>
      <c r="J409" s="441">
        <v>1.0</v>
      </c>
      <c r="K409" s="150" t="s">
        <v>4891</v>
      </c>
      <c r="L409" s="150">
        <v>9.999999999E9</v>
      </c>
      <c r="M409" s="150" t="s">
        <v>2666</v>
      </c>
      <c r="N409" s="150" t="s">
        <v>2721</v>
      </c>
      <c r="O409" s="150" t="s">
        <v>4963</v>
      </c>
      <c r="P409" s="150" t="s">
        <v>4512</v>
      </c>
      <c r="Q409" s="442">
        <f>COUNTIF('Hedef Liste'!$A:$A,A409)</f>
        <v>0</v>
      </c>
    </row>
    <row r="410" hidden="1">
      <c r="A410" s="150" t="s">
        <v>2843</v>
      </c>
      <c r="B410" s="150" t="s">
        <v>2844</v>
      </c>
      <c r="C410" s="439" t="s">
        <v>4483</v>
      </c>
      <c r="D410" s="150" t="s">
        <v>3561</v>
      </c>
      <c r="E410" s="440">
        <v>527.0</v>
      </c>
      <c r="F410" s="440">
        <v>21.0</v>
      </c>
      <c r="G410" s="440">
        <v>0.0</v>
      </c>
      <c r="H410" s="440">
        <v>7.0</v>
      </c>
      <c r="I410" s="440">
        <v>7.0</v>
      </c>
      <c r="J410" s="441">
        <v>0.0</v>
      </c>
      <c r="K410" s="150" t="s">
        <v>5036</v>
      </c>
      <c r="L410" s="150">
        <v>5.372274523E9</v>
      </c>
      <c r="M410" s="150" t="s">
        <v>1450</v>
      </c>
      <c r="N410" s="150" t="s">
        <v>2674</v>
      </c>
      <c r="O410" s="150" t="s">
        <v>2846</v>
      </c>
      <c r="P410" s="150" t="s">
        <v>4484</v>
      </c>
      <c r="Q410" s="442">
        <f>COUNTIF('Hedef Liste'!$A:$A,A410)</f>
        <v>1</v>
      </c>
    </row>
    <row r="411" hidden="1">
      <c r="A411" s="150" t="s">
        <v>4407</v>
      </c>
      <c r="B411" s="150" t="s">
        <v>4408</v>
      </c>
      <c r="C411" s="439" t="s">
        <v>4483</v>
      </c>
      <c r="D411" s="150" t="s">
        <v>2664</v>
      </c>
      <c r="E411" s="440">
        <v>1868.0</v>
      </c>
      <c r="F411" s="440">
        <v>61.0</v>
      </c>
      <c r="G411" s="440">
        <v>0.0</v>
      </c>
      <c r="H411" s="440">
        <v>25.0</v>
      </c>
      <c r="I411" s="440">
        <v>25.0</v>
      </c>
      <c r="J411" s="441">
        <v>0.0</v>
      </c>
      <c r="K411" s="150" t="s">
        <v>5029</v>
      </c>
      <c r="L411" s="150">
        <v>5.547551178E9</v>
      </c>
      <c r="M411" s="150" t="s">
        <v>2666</v>
      </c>
      <c r="N411" s="150" t="s">
        <v>2682</v>
      </c>
      <c r="O411" s="150" t="s">
        <v>4409</v>
      </c>
      <c r="P411" s="150" t="s">
        <v>4484</v>
      </c>
      <c r="Q411" s="442">
        <f>COUNTIF('Hedef Liste'!$A:$A,A411)</f>
        <v>1</v>
      </c>
    </row>
    <row r="412" hidden="1">
      <c r="A412" s="150" t="s">
        <v>4103</v>
      </c>
      <c r="B412" s="150" t="s">
        <v>4104</v>
      </c>
      <c r="C412" s="439" t="s">
        <v>4483</v>
      </c>
      <c r="D412" s="150" t="s">
        <v>2706</v>
      </c>
      <c r="E412" s="440">
        <v>840.0</v>
      </c>
      <c r="F412" s="440">
        <v>12.0</v>
      </c>
      <c r="G412" s="440">
        <v>0.0</v>
      </c>
      <c r="H412" s="440">
        <v>22.0</v>
      </c>
      <c r="I412" s="440">
        <v>22.0</v>
      </c>
      <c r="J412" s="441">
        <v>0.0</v>
      </c>
      <c r="K412" s="150" t="s">
        <v>5037</v>
      </c>
      <c r="L412" s="150">
        <v>2.222255303E9</v>
      </c>
      <c r="M412" s="150" t="s">
        <v>1450</v>
      </c>
      <c r="N412" s="150" t="s">
        <v>2795</v>
      </c>
      <c r="O412" s="150" t="s">
        <v>74</v>
      </c>
      <c r="P412" s="150" t="s">
        <v>4484</v>
      </c>
      <c r="Q412" s="442">
        <f>COUNTIF('Hedef Liste'!$A:$A,A412)</f>
        <v>1</v>
      </c>
    </row>
    <row r="413" hidden="1">
      <c r="A413" s="150" t="s">
        <v>1406</v>
      </c>
      <c r="B413" s="150" t="s">
        <v>1407</v>
      </c>
      <c r="C413" s="439" t="s">
        <v>4483</v>
      </c>
      <c r="D413" s="150" t="s">
        <v>2658</v>
      </c>
      <c r="E413" s="440">
        <v>1280.0</v>
      </c>
      <c r="F413" s="440">
        <v>37.0</v>
      </c>
      <c r="G413" s="440">
        <v>0.0</v>
      </c>
      <c r="H413" s="440">
        <v>55.0</v>
      </c>
      <c r="I413" s="440">
        <v>55.0</v>
      </c>
      <c r="J413" s="441">
        <v>0.0</v>
      </c>
      <c r="K413" s="150" t="s">
        <v>5038</v>
      </c>
      <c r="L413" s="150">
        <v>2.222278613E9</v>
      </c>
      <c r="M413" s="150" t="s">
        <v>1450</v>
      </c>
      <c r="N413" s="150" t="s">
        <v>2905</v>
      </c>
      <c r="O413" s="150" t="s">
        <v>1410</v>
      </c>
      <c r="P413" s="150" t="s">
        <v>4484</v>
      </c>
      <c r="Q413" s="442">
        <f>COUNTIF('Hedef Liste'!$A:$A,A413)</f>
        <v>1</v>
      </c>
    </row>
    <row r="414" hidden="1">
      <c r="A414" s="150" t="s">
        <v>911</v>
      </c>
      <c r="B414" s="150" t="s">
        <v>912</v>
      </c>
      <c r="C414" s="439" t="s">
        <v>4483</v>
      </c>
      <c r="D414" s="150" t="s">
        <v>2763</v>
      </c>
      <c r="E414" s="440">
        <v>7682.0</v>
      </c>
      <c r="F414" s="440">
        <v>89.0</v>
      </c>
      <c r="G414" s="440">
        <v>0.0</v>
      </c>
      <c r="H414" s="440">
        <v>21.0</v>
      </c>
      <c r="I414" s="440">
        <v>21.0</v>
      </c>
      <c r="J414" s="441">
        <v>0.0</v>
      </c>
      <c r="K414" s="150" t="s">
        <v>5039</v>
      </c>
      <c r="L414" s="150">
        <v>2.224092601E9</v>
      </c>
      <c r="M414" s="150" t="s">
        <v>1450</v>
      </c>
      <c r="N414" s="150" t="s">
        <v>2853</v>
      </c>
      <c r="O414" s="150" t="s">
        <v>915</v>
      </c>
      <c r="P414" s="150" t="s">
        <v>4484</v>
      </c>
      <c r="Q414" s="442">
        <f>COUNTIF('Hedef Liste'!$A:$A,A414)</f>
        <v>1</v>
      </c>
    </row>
    <row r="415" hidden="1">
      <c r="A415" s="150" t="s">
        <v>1923</v>
      </c>
      <c r="B415" s="150" t="s">
        <v>5040</v>
      </c>
      <c r="C415" s="439" t="s">
        <v>4483</v>
      </c>
      <c r="D415" s="150" t="s">
        <v>2904</v>
      </c>
      <c r="E415" s="440">
        <v>2273.0</v>
      </c>
      <c r="F415" s="440">
        <v>109.0</v>
      </c>
      <c r="G415" s="440">
        <v>0.0</v>
      </c>
      <c r="H415" s="440">
        <v>28.0</v>
      </c>
      <c r="I415" s="440">
        <v>28.0</v>
      </c>
      <c r="J415" s="441">
        <v>0.0</v>
      </c>
      <c r="K415" s="150" t="s">
        <v>4023</v>
      </c>
      <c r="L415" s="150">
        <v>5.493306699E9</v>
      </c>
      <c r="M415" s="150" t="s">
        <v>2666</v>
      </c>
      <c r="N415" s="150" t="s">
        <v>2809</v>
      </c>
      <c r="O415" s="150" t="s">
        <v>1927</v>
      </c>
      <c r="P415" s="150" t="s">
        <v>4484</v>
      </c>
      <c r="Q415" s="442">
        <f>COUNTIF('Hedef Liste'!$A:$A,A415)</f>
        <v>1</v>
      </c>
    </row>
    <row r="416" hidden="1">
      <c r="A416" s="150" t="s">
        <v>2969</v>
      </c>
      <c r="B416" s="150" t="s">
        <v>2970</v>
      </c>
      <c r="C416" s="439" t="s">
        <v>4483</v>
      </c>
      <c r="D416" s="150" t="s">
        <v>2773</v>
      </c>
      <c r="E416" s="440">
        <v>1291.0</v>
      </c>
      <c r="F416" s="440">
        <v>23.0</v>
      </c>
      <c r="G416" s="440">
        <v>13.0</v>
      </c>
      <c r="H416" s="440">
        <v>5.0</v>
      </c>
      <c r="I416" s="440">
        <v>18.0</v>
      </c>
      <c r="J416" s="441">
        <v>0.72</v>
      </c>
      <c r="K416" s="150" t="s">
        <v>5041</v>
      </c>
      <c r="L416" s="150">
        <v>5.37471696E9</v>
      </c>
      <c r="M416" s="150" t="s">
        <v>2666</v>
      </c>
      <c r="N416" s="150" t="s">
        <v>2682</v>
      </c>
      <c r="O416" s="150" t="s">
        <v>2967</v>
      </c>
      <c r="P416" s="150" t="s">
        <v>4484</v>
      </c>
      <c r="Q416" s="442">
        <f>COUNTIF('Hedef Liste'!$A:$A,A416)</f>
        <v>1</v>
      </c>
    </row>
    <row r="417" hidden="1">
      <c r="A417" s="150" t="s">
        <v>2368</v>
      </c>
      <c r="B417" s="150" t="s">
        <v>2369</v>
      </c>
      <c r="C417" s="439" t="s">
        <v>4483</v>
      </c>
      <c r="D417" s="150" t="s">
        <v>2701</v>
      </c>
      <c r="E417" s="440">
        <v>5716.0</v>
      </c>
      <c r="F417" s="440">
        <v>219.0</v>
      </c>
      <c r="G417" s="440">
        <v>38.0</v>
      </c>
      <c r="H417" s="440">
        <v>3.0</v>
      </c>
      <c r="I417" s="440">
        <v>41.0</v>
      </c>
      <c r="J417" s="441">
        <v>0.93</v>
      </c>
      <c r="K417" s="150" t="s">
        <v>3077</v>
      </c>
      <c r="L417" s="150">
        <v>2.223321011E9</v>
      </c>
      <c r="M417" s="150" t="s">
        <v>2666</v>
      </c>
      <c r="N417" s="150" t="s">
        <v>2667</v>
      </c>
      <c r="O417" s="150" t="s">
        <v>2371</v>
      </c>
      <c r="P417" s="150" t="s">
        <v>4484</v>
      </c>
      <c r="Q417" s="442">
        <f>COUNTIF('Hedef Liste'!$A:$A,A417)</f>
        <v>1</v>
      </c>
    </row>
    <row r="418" hidden="1">
      <c r="A418" s="150" t="s">
        <v>469</v>
      </c>
      <c r="B418" s="150" t="s">
        <v>5042</v>
      </c>
      <c r="C418" s="439" t="s">
        <v>4483</v>
      </c>
      <c r="D418" s="150" t="s">
        <v>2706</v>
      </c>
      <c r="E418" s="440">
        <v>5515.0</v>
      </c>
      <c r="F418" s="443"/>
      <c r="G418" s="440">
        <v>22.0</v>
      </c>
      <c r="H418" s="440">
        <v>48.0</v>
      </c>
      <c r="I418" s="440">
        <v>70.0</v>
      </c>
      <c r="J418" s="441">
        <v>0.31</v>
      </c>
      <c r="K418" s="150" t="s">
        <v>5043</v>
      </c>
      <c r="L418" s="150">
        <v>5.550986023E9</v>
      </c>
      <c r="M418" s="150" t="s">
        <v>2666</v>
      </c>
      <c r="N418" s="150" t="s">
        <v>2682</v>
      </c>
      <c r="O418" s="150" t="s">
        <v>472</v>
      </c>
      <c r="P418" s="150" t="s">
        <v>4484</v>
      </c>
      <c r="Q418" s="442">
        <f>COUNTIF('Hedef Liste'!$A:$A,A418)</f>
        <v>1</v>
      </c>
    </row>
    <row r="419" hidden="1">
      <c r="A419" s="150" t="s">
        <v>3689</v>
      </c>
      <c r="B419" s="150" t="s">
        <v>3690</v>
      </c>
      <c r="C419" s="439" t="s">
        <v>4483</v>
      </c>
      <c r="D419" s="150" t="s">
        <v>2696</v>
      </c>
      <c r="E419" s="440">
        <v>3223.0</v>
      </c>
      <c r="F419" s="440">
        <v>114.0</v>
      </c>
      <c r="G419" s="440">
        <v>0.0</v>
      </c>
      <c r="H419" s="440">
        <v>67.0</v>
      </c>
      <c r="I419" s="440">
        <v>67.0</v>
      </c>
      <c r="J419" s="441">
        <v>0.0</v>
      </c>
      <c r="K419" s="150" t="s">
        <v>5044</v>
      </c>
      <c r="L419" s="150">
        <v>5.068883962E9</v>
      </c>
      <c r="M419" s="150" t="s">
        <v>1450</v>
      </c>
      <c r="N419" s="150" t="s">
        <v>2905</v>
      </c>
      <c r="O419" s="150" t="s">
        <v>3691</v>
      </c>
      <c r="P419" s="150" t="s">
        <v>4484</v>
      </c>
      <c r="Q419" s="442">
        <f>COUNTIF('Hedef Liste'!$A:$A,A419)</f>
        <v>1</v>
      </c>
    </row>
    <row r="420" hidden="1">
      <c r="A420" s="150" t="s">
        <v>3780</v>
      </c>
      <c r="B420" s="150" t="s">
        <v>3781</v>
      </c>
      <c r="C420" s="439" t="s">
        <v>4483</v>
      </c>
      <c r="D420" s="150" t="s">
        <v>2867</v>
      </c>
      <c r="E420" s="440">
        <v>296.0</v>
      </c>
      <c r="F420" s="443"/>
      <c r="G420" s="440">
        <v>19.0</v>
      </c>
      <c r="H420" s="440">
        <v>45.0</v>
      </c>
      <c r="I420" s="440">
        <v>64.0</v>
      </c>
      <c r="J420" s="441">
        <v>0.3</v>
      </c>
      <c r="K420" s="150" t="s">
        <v>4195</v>
      </c>
      <c r="L420" s="150">
        <v>5.538879926E9</v>
      </c>
      <c r="M420" s="150" t="s">
        <v>2666</v>
      </c>
      <c r="N420" s="150" t="s">
        <v>2801</v>
      </c>
      <c r="O420" s="150" t="s">
        <v>1767</v>
      </c>
      <c r="P420" s="150" t="s">
        <v>4484</v>
      </c>
      <c r="Q420" s="442">
        <f>COUNTIF('Hedef Liste'!$A:$A,A420)</f>
        <v>1</v>
      </c>
    </row>
    <row r="421" hidden="1">
      <c r="A421" s="150" t="s">
        <v>2767</v>
      </c>
      <c r="B421" s="150" t="s">
        <v>2768</v>
      </c>
      <c r="C421" s="439" t="s">
        <v>4520</v>
      </c>
      <c r="D421" s="150" t="s">
        <v>2696</v>
      </c>
      <c r="E421" s="440">
        <v>121.0</v>
      </c>
      <c r="F421" s="443"/>
      <c r="G421" s="440">
        <v>0.0</v>
      </c>
      <c r="H421" s="440">
        <v>14.0</v>
      </c>
      <c r="I421" s="440">
        <v>14.0</v>
      </c>
      <c r="J421" s="441">
        <v>0.0</v>
      </c>
      <c r="K421" s="150" t="s">
        <v>5045</v>
      </c>
      <c r="L421" s="150">
        <v>5.358778441E9</v>
      </c>
      <c r="M421" s="150" t="s">
        <v>2666</v>
      </c>
      <c r="N421" s="150" t="s">
        <v>2809</v>
      </c>
      <c r="O421" s="150" t="s">
        <v>2769</v>
      </c>
      <c r="P421" s="150" t="s">
        <v>4484</v>
      </c>
      <c r="Q421" s="442">
        <f>COUNTIF('Hedef Liste'!$A:$A,A421)</f>
        <v>1</v>
      </c>
    </row>
    <row r="422" hidden="1">
      <c r="A422" s="150" t="s">
        <v>2488</v>
      </c>
      <c r="B422" s="150" t="s">
        <v>2489</v>
      </c>
      <c r="C422" s="439" t="s">
        <v>4483</v>
      </c>
      <c r="D422" s="150" t="s">
        <v>2701</v>
      </c>
      <c r="E422" s="440">
        <v>117.0</v>
      </c>
      <c r="F422" s="443"/>
      <c r="G422" s="440">
        <v>21.0</v>
      </c>
      <c r="H422" s="440">
        <v>4.0</v>
      </c>
      <c r="I422" s="440">
        <v>25.0</v>
      </c>
      <c r="J422" s="441">
        <v>0.84</v>
      </c>
      <c r="K422" s="150" t="s">
        <v>5046</v>
      </c>
      <c r="L422" s="150">
        <v>5.39289163E9</v>
      </c>
      <c r="M422" s="150" t="s">
        <v>1450</v>
      </c>
      <c r="N422" s="150" t="s">
        <v>2659</v>
      </c>
      <c r="O422" s="150" t="s">
        <v>2491</v>
      </c>
      <c r="P422" s="150" t="s">
        <v>4484</v>
      </c>
      <c r="Q422" s="442">
        <f>COUNTIF('Hedef Liste'!$A:$A,A422)</f>
        <v>1</v>
      </c>
    </row>
    <row r="423" hidden="1">
      <c r="A423" s="150" t="s">
        <v>4151</v>
      </c>
      <c r="B423" s="150" t="s">
        <v>4152</v>
      </c>
      <c r="C423" s="439" t="s">
        <v>4483</v>
      </c>
      <c r="D423" s="150" t="s">
        <v>2701</v>
      </c>
      <c r="E423" s="440">
        <v>11756.0</v>
      </c>
      <c r="F423" s="440">
        <v>446.0</v>
      </c>
      <c r="G423" s="440">
        <v>0.0</v>
      </c>
      <c r="H423" s="440">
        <v>6.0</v>
      </c>
      <c r="I423" s="440">
        <v>6.0</v>
      </c>
      <c r="J423" s="441">
        <v>0.0</v>
      </c>
      <c r="K423" s="150" t="s">
        <v>5047</v>
      </c>
      <c r="L423" s="150">
        <v>5.337265234E9</v>
      </c>
      <c r="M423" s="150" t="s">
        <v>2666</v>
      </c>
      <c r="N423" s="150" t="s">
        <v>2682</v>
      </c>
      <c r="O423" s="150" t="s">
        <v>4153</v>
      </c>
      <c r="P423" s="150" t="s">
        <v>4484</v>
      </c>
      <c r="Q423" s="442">
        <f>COUNTIF('Hedef Liste'!$A:$A,A423)</f>
        <v>1</v>
      </c>
    </row>
    <row r="424" hidden="1">
      <c r="A424" s="150" t="s">
        <v>2019</v>
      </c>
      <c r="B424" s="150" t="s">
        <v>2020</v>
      </c>
      <c r="C424" s="439" t="s">
        <v>4483</v>
      </c>
      <c r="D424" s="150" t="s">
        <v>2701</v>
      </c>
      <c r="E424" s="440">
        <v>2676.0</v>
      </c>
      <c r="F424" s="440">
        <v>301.0</v>
      </c>
      <c r="G424" s="440">
        <v>58.0</v>
      </c>
      <c r="H424" s="440">
        <v>38.0</v>
      </c>
      <c r="I424" s="440">
        <v>96.0</v>
      </c>
      <c r="J424" s="441">
        <v>0.6</v>
      </c>
      <c r="K424" s="150" t="s">
        <v>5048</v>
      </c>
      <c r="L424" s="150">
        <v>5.516008418E9</v>
      </c>
      <c r="M424" s="150" t="s">
        <v>2666</v>
      </c>
      <c r="N424" s="150" t="s">
        <v>2711</v>
      </c>
      <c r="O424" s="150" t="s">
        <v>2022</v>
      </c>
      <c r="P424" s="150" t="s">
        <v>4484</v>
      </c>
      <c r="Q424" s="442">
        <f>COUNTIF('Hedef Liste'!$A:$A,A424)</f>
        <v>1</v>
      </c>
    </row>
    <row r="425" hidden="1">
      <c r="A425" s="150" t="s">
        <v>842</v>
      </c>
      <c r="B425" s="150" t="s">
        <v>843</v>
      </c>
      <c r="C425" s="439" t="s">
        <v>4483</v>
      </c>
      <c r="D425" s="150" t="s">
        <v>2850</v>
      </c>
      <c r="E425" s="440">
        <v>847.0</v>
      </c>
      <c r="F425" s="440">
        <v>38.0</v>
      </c>
      <c r="G425" s="440">
        <v>4.0</v>
      </c>
      <c r="H425" s="440">
        <v>3.0</v>
      </c>
      <c r="I425" s="440">
        <v>7.0</v>
      </c>
      <c r="J425" s="441">
        <v>0.57</v>
      </c>
      <c r="K425" s="150" t="s">
        <v>5049</v>
      </c>
      <c r="L425" s="150">
        <v>2.222500305E9</v>
      </c>
      <c r="M425" s="150" t="s">
        <v>1450</v>
      </c>
      <c r="N425" s="150" t="s">
        <v>2703</v>
      </c>
      <c r="O425" s="150" t="s">
        <v>846</v>
      </c>
      <c r="P425" s="150" t="s">
        <v>4484</v>
      </c>
      <c r="Q425" s="442">
        <f>COUNTIF('Hedef Liste'!$A:$A,A425)</f>
        <v>1</v>
      </c>
    </row>
    <row r="426" hidden="1">
      <c r="A426" s="150" t="s">
        <v>3889</v>
      </c>
      <c r="B426" s="150" t="s">
        <v>3890</v>
      </c>
      <c r="C426" s="439" t="s">
        <v>4483</v>
      </c>
      <c r="D426" s="150" t="s">
        <v>2773</v>
      </c>
      <c r="E426" s="440">
        <v>844.0</v>
      </c>
      <c r="F426" s="440">
        <v>58.0</v>
      </c>
      <c r="G426" s="440">
        <v>16.0</v>
      </c>
      <c r="H426" s="440">
        <v>15.0</v>
      </c>
      <c r="I426" s="440">
        <v>31.0</v>
      </c>
      <c r="J426" s="444">
        <v>0.52</v>
      </c>
      <c r="K426" s="150" t="s">
        <v>5050</v>
      </c>
      <c r="L426" s="150">
        <v>2.223230026E9</v>
      </c>
      <c r="M426" s="150" t="s">
        <v>2666</v>
      </c>
      <c r="N426" s="150" t="s">
        <v>2721</v>
      </c>
      <c r="O426" s="150" t="s">
        <v>3891</v>
      </c>
      <c r="P426" s="150" t="s">
        <v>4484</v>
      </c>
      <c r="Q426" s="442">
        <f>COUNTIF('Hedef Liste'!$A:$A,A426)</f>
        <v>1</v>
      </c>
    </row>
    <row r="427" hidden="1">
      <c r="A427" s="150" t="s">
        <v>1976</v>
      </c>
      <c r="B427" s="150" t="s">
        <v>1977</v>
      </c>
      <c r="C427" s="439" t="s">
        <v>4483</v>
      </c>
      <c r="D427" s="150" t="s">
        <v>2701</v>
      </c>
      <c r="E427" s="440">
        <v>1335.0</v>
      </c>
      <c r="F427" s="440">
        <v>30.0</v>
      </c>
      <c r="G427" s="440">
        <v>35.0</v>
      </c>
      <c r="H427" s="440">
        <v>22.0</v>
      </c>
      <c r="I427" s="440">
        <v>57.0</v>
      </c>
      <c r="J427" s="441">
        <v>0.61</v>
      </c>
      <c r="K427" s="150" t="s">
        <v>5051</v>
      </c>
      <c r="L427" s="150">
        <v>5.457142627E9</v>
      </c>
      <c r="M427" s="150" t="s">
        <v>2666</v>
      </c>
      <c r="N427" s="150" t="s">
        <v>3000</v>
      </c>
      <c r="O427" s="150" t="s">
        <v>1979</v>
      </c>
      <c r="P427" s="150" t="s">
        <v>4484</v>
      </c>
      <c r="Q427" s="442">
        <f>COUNTIF('Hedef Liste'!$A:$A,A427)</f>
        <v>1</v>
      </c>
    </row>
    <row r="428" hidden="1">
      <c r="A428" s="150" t="s">
        <v>1679</v>
      </c>
      <c r="B428" s="150" t="s">
        <v>1680</v>
      </c>
      <c r="C428" s="439" t="s">
        <v>4483</v>
      </c>
      <c r="D428" s="150" t="s">
        <v>2696</v>
      </c>
      <c r="E428" s="440">
        <v>259.0</v>
      </c>
      <c r="F428" s="440">
        <v>15.0</v>
      </c>
      <c r="G428" s="440">
        <v>7.0</v>
      </c>
      <c r="H428" s="440">
        <v>63.0</v>
      </c>
      <c r="I428" s="440">
        <v>70.0</v>
      </c>
      <c r="J428" s="441">
        <v>0.1</v>
      </c>
      <c r="K428" s="150" t="s">
        <v>5052</v>
      </c>
      <c r="L428" s="150">
        <v>2.222257979E9</v>
      </c>
      <c r="M428" s="150" t="s">
        <v>1450</v>
      </c>
      <c r="N428" s="150" t="s">
        <v>3838</v>
      </c>
      <c r="O428" s="150" t="s">
        <v>2196</v>
      </c>
      <c r="P428" s="150" t="s">
        <v>4484</v>
      </c>
      <c r="Q428" s="442">
        <f>COUNTIF('Hedef Liste'!$A:$A,A428)</f>
        <v>1</v>
      </c>
    </row>
    <row r="429" hidden="1">
      <c r="A429" s="150" t="s">
        <v>1783</v>
      </c>
      <c r="B429" s="150" t="s">
        <v>5053</v>
      </c>
      <c r="C429" s="439" t="s">
        <v>4483</v>
      </c>
      <c r="D429" s="150" t="s">
        <v>2724</v>
      </c>
      <c r="E429" s="440">
        <v>1384.0</v>
      </c>
      <c r="F429" s="440">
        <v>22.0</v>
      </c>
      <c r="G429" s="440">
        <v>0.0</v>
      </c>
      <c r="H429" s="440">
        <v>123.0</v>
      </c>
      <c r="I429" s="440">
        <v>123.0</v>
      </c>
      <c r="J429" s="441">
        <v>0.0</v>
      </c>
      <c r="K429" s="150" t="s">
        <v>5054</v>
      </c>
      <c r="L429" s="150">
        <v>2.222393906E9</v>
      </c>
      <c r="M429" s="150" t="s">
        <v>1450</v>
      </c>
      <c r="N429" s="150" t="s">
        <v>4514</v>
      </c>
      <c r="O429" s="150" t="s">
        <v>5055</v>
      </c>
      <c r="P429" s="150" t="s">
        <v>4484</v>
      </c>
      <c r="Q429" s="442">
        <f>COUNTIF('Hedef Liste'!$A:$A,A429)</f>
        <v>1</v>
      </c>
    </row>
    <row r="430" hidden="1">
      <c r="A430" s="150" t="s">
        <v>61</v>
      </c>
      <c r="B430" s="150" t="s">
        <v>62</v>
      </c>
      <c r="C430" s="439" t="s">
        <v>4483</v>
      </c>
      <c r="D430" s="150" t="s">
        <v>2658</v>
      </c>
      <c r="E430" s="440">
        <v>7570.0</v>
      </c>
      <c r="F430" s="440">
        <v>506.0</v>
      </c>
      <c r="G430" s="440">
        <v>8.0</v>
      </c>
      <c r="H430" s="440">
        <v>3.0</v>
      </c>
      <c r="I430" s="440">
        <v>11.0</v>
      </c>
      <c r="J430" s="441">
        <v>0.73</v>
      </c>
      <c r="K430" s="150" t="s">
        <v>5056</v>
      </c>
      <c r="L430" s="150">
        <v>2.223230565E9</v>
      </c>
      <c r="M430" s="150" t="s">
        <v>2666</v>
      </c>
      <c r="N430" s="150" t="s">
        <v>2682</v>
      </c>
      <c r="O430" s="150" t="s">
        <v>64</v>
      </c>
      <c r="P430" s="150" t="s">
        <v>4484</v>
      </c>
      <c r="Q430" s="442">
        <f>COUNTIF('Hedef Liste'!$A:$A,A430)</f>
        <v>1</v>
      </c>
    </row>
    <row r="431" hidden="1">
      <c r="A431" s="150" t="s">
        <v>3677</v>
      </c>
      <c r="B431" s="150" t="s">
        <v>3678</v>
      </c>
      <c r="C431" s="439" t="s">
        <v>4483</v>
      </c>
      <c r="D431" s="150" t="s">
        <v>2696</v>
      </c>
      <c r="E431" s="440">
        <v>1200.0</v>
      </c>
      <c r="F431" s="440">
        <v>101.0</v>
      </c>
      <c r="G431" s="440">
        <v>10.0</v>
      </c>
      <c r="H431" s="440">
        <v>11.0</v>
      </c>
      <c r="I431" s="440">
        <v>21.0</v>
      </c>
      <c r="J431" s="441">
        <v>0.48</v>
      </c>
      <c r="K431" s="150" t="s">
        <v>5057</v>
      </c>
      <c r="L431" s="150">
        <v>2.222200085E9</v>
      </c>
      <c r="M431" s="150" t="s">
        <v>1450</v>
      </c>
      <c r="N431" s="150" t="s">
        <v>2716</v>
      </c>
      <c r="O431" s="150" t="s">
        <v>3679</v>
      </c>
      <c r="P431" s="150" t="s">
        <v>4484</v>
      </c>
      <c r="Q431" s="442">
        <f>COUNTIF('Hedef Liste'!$A:$A,A431)</f>
        <v>1</v>
      </c>
    </row>
    <row r="432" hidden="1">
      <c r="A432" s="150" t="s">
        <v>2247</v>
      </c>
      <c r="B432" s="150" t="s">
        <v>2248</v>
      </c>
      <c r="C432" s="439" t="s">
        <v>4483</v>
      </c>
      <c r="D432" s="150" t="s">
        <v>2763</v>
      </c>
      <c r="E432" s="440">
        <v>693.0</v>
      </c>
      <c r="F432" s="440">
        <v>47.0</v>
      </c>
      <c r="G432" s="440">
        <v>8.0</v>
      </c>
      <c r="H432" s="440">
        <v>11.0</v>
      </c>
      <c r="I432" s="440">
        <v>19.0</v>
      </c>
      <c r="J432" s="441">
        <v>0.42</v>
      </c>
      <c r="K432" s="150" t="s">
        <v>5058</v>
      </c>
      <c r="L432" s="150">
        <v>5.346474039E9</v>
      </c>
      <c r="M432" s="150" t="s">
        <v>1450</v>
      </c>
      <c r="N432" s="150" t="s">
        <v>2782</v>
      </c>
      <c r="O432" s="150" t="s">
        <v>2251</v>
      </c>
      <c r="P432" s="150" t="s">
        <v>4484</v>
      </c>
      <c r="Q432" s="442">
        <f>COUNTIF('Hedef Liste'!$A:$A,A432)</f>
        <v>1</v>
      </c>
    </row>
    <row r="433" hidden="1">
      <c r="A433" s="150" t="s">
        <v>3245</v>
      </c>
      <c r="B433" s="150" t="s">
        <v>5059</v>
      </c>
      <c r="C433" s="439" t="s">
        <v>4483</v>
      </c>
      <c r="D433" s="150" t="s">
        <v>2773</v>
      </c>
      <c r="E433" s="440">
        <v>182.0</v>
      </c>
      <c r="F433" s="443"/>
      <c r="G433" s="440">
        <v>0.0</v>
      </c>
      <c r="H433" s="440">
        <v>10.0</v>
      </c>
      <c r="I433" s="440">
        <v>10.0</v>
      </c>
      <c r="J433" s="441">
        <v>0.0</v>
      </c>
      <c r="K433" s="150" t="s">
        <v>5060</v>
      </c>
      <c r="L433" s="150">
        <v>5.528562026E9</v>
      </c>
      <c r="M433" s="150" t="s">
        <v>2666</v>
      </c>
      <c r="N433" s="150" t="s">
        <v>2876</v>
      </c>
      <c r="O433" s="150" t="s">
        <v>5061</v>
      </c>
      <c r="P433" s="150" t="s">
        <v>4484</v>
      </c>
      <c r="Q433" s="442">
        <f>COUNTIF('Hedef Liste'!$A:$A,A433)</f>
        <v>1</v>
      </c>
    </row>
    <row r="434" hidden="1">
      <c r="A434" s="150" t="s">
        <v>1966</v>
      </c>
      <c r="B434" s="150" t="s">
        <v>1967</v>
      </c>
      <c r="C434" s="439" t="s">
        <v>4483</v>
      </c>
      <c r="D434" s="150" t="s">
        <v>2773</v>
      </c>
      <c r="E434" s="440">
        <v>1674.0</v>
      </c>
      <c r="F434" s="440">
        <v>154.0</v>
      </c>
      <c r="G434" s="440">
        <v>6.0</v>
      </c>
      <c r="H434" s="440">
        <v>11.0</v>
      </c>
      <c r="I434" s="440">
        <v>17.0</v>
      </c>
      <c r="J434" s="441">
        <v>0.35</v>
      </c>
      <c r="K434" s="150" t="s">
        <v>2825</v>
      </c>
      <c r="L434" s="150">
        <v>5.323210226E9</v>
      </c>
      <c r="M434" s="150" t="s">
        <v>2666</v>
      </c>
      <c r="N434" s="150" t="s">
        <v>2721</v>
      </c>
      <c r="O434" s="150" t="s">
        <v>1970</v>
      </c>
      <c r="P434" s="150" t="s">
        <v>4484</v>
      </c>
      <c r="Q434" s="442">
        <f>COUNTIF('Hedef Liste'!$A:$A,A434)</f>
        <v>1</v>
      </c>
    </row>
    <row r="435" hidden="1">
      <c r="A435" s="150" t="s">
        <v>3613</v>
      </c>
      <c r="B435" s="150" t="s">
        <v>3614</v>
      </c>
      <c r="C435" s="439" t="s">
        <v>4520</v>
      </c>
      <c r="D435" s="150" t="s">
        <v>2773</v>
      </c>
      <c r="E435" s="443"/>
      <c r="F435" s="443"/>
      <c r="G435" s="440">
        <v>0.0</v>
      </c>
      <c r="H435" s="440">
        <v>24.0</v>
      </c>
      <c r="I435" s="440">
        <v>24.0</v>
      </c>
      <c r="J435" s="441">
        <v>0.0</v>
      </c>
      <c r="K435" s="150" t="s">
        <v>5062</v>
      </c>
      <c r="L435" s="150">
        <v>5.524179417E9</v>
      </c>
      <c r="M435" s="150" t="s">
        <v>2666</v>
      </c>
      <c r="N435" s="150" t="s">
        <v>2750</v>
      </c>
      <c r="O435" s="150" t="s">
        <v>3615</v>
      </c>
      <c r="P435" s="150" t="s">
        <v>4484</v>
      </c>
      <c r="Q435" s="442">
        <f>COUNTIF('Hedef Liste'!$A:$A,A435)</f>
        <v>1</v>
      </c>
    </row>
    <row r="436" hidden="1">
      <c r="A436" s="150" t="s">
        <v>5063</v>
      </c>
      <c r="B436" s="150" t="s">
        <v>5064</v>
      </c>
      <c r="C436" s="439" t="s">
        <v>4483</v>
      </c>
      <c r="D436" s="150" t="s">
        <v>2773</v>
      </c>
      <c r="E436" s="443"/>
      <c r="F436" s="443"/>
      <c r="G436" s="440">
        <v>49.0</v>
      </c>
      <c r="H436" s="440">
        <v>3.0</v>
      </c>
      <c r="I436" s="440">
        <v>52.0</v>
      </c>
      <c r="J436" s="441">
        <v>0.94</v>
      </c>
      <c r="K436" s="150" t="s">
        <v>5065</v>
      </c>
      <c r="L436" s="150">
        <v>5.396050026E9</v>
      </c>
      <c r="M436" s="150" t="s">
        <v>1450</v>
      </c>
      <c r="N436" s="150" t="s">
        <v>2776</v>
      </c>
      <c r="O436" s="150" t="s">
        <v>5066</v>
      </c>
      <c r="P436" s="150" t="s">
        <v>4512</v>
      </c>
      <c r="Q436" s="442">
        <f>COUNTIF('Hedef Liste'!$A:$A,A436)</f>
        <v>0</v>
      </c>
    </row>
    <row r="437" hidden="1">
      <c r="A437" s="150" t="s">
        <v>1797</v>
      </c>
      <c r="B437" s="150" t="s">
        <v>5067</v>
      </c>
      <c r="C437" s="439" t="s">
        <v>4483</v>
      </c>
      <c r="D437" s="150" t="s">
        <v>2701</v>
      </c>
      <c r="E437" s="440">
        <v>88.0</v>
      </c>
      <c r="F437" s="440">
        <v>2.0</v>
      </c>
      <c r="G437" s="440">
        <v>43.0</v>
      </c>
      <c r="H437" s="440">
        <v>1.0</v>
      </c>
      <c r="I437" s="440">
        <v>44.0</v>
      </c>
      <c r="J437" s="441">
        <v>0.98</v>
      </c>
      <c r="K437" s="150" t="s">
        <v>4718</v>
      </c>
      <c r="L437" s="150">
        <v>2.222217999E9</v>
      </c>
      <c r="M437" s="150" t="s">
        <v>2666</v>
      </c>
      <c r="N437" s="150" t="s">
        <v>2711</v>
      </c>
      <c r="O437" s="150" t="s">
        <v>555</v>
      </c>
      <c r="P437" s="150" t="s">
        <v>4484</v>
      </c>
      <c r="Q437" s="442">
        <f>COUNTIF('Hedef Liste'!$A:$A,A437)</f>
        <v>1</v>
      </c>
    </row>
    <row r="438" hidden="1">
      <c r="A438" s="150" t="s">
        <v>5068</v>
      </c>
      <c r="B438" s="150" t="s">
        <v>5069</v>
      </c>
      <c r="C438" s="439" t="s">
        <v>4483</v>
      </c>
      <c r="D438" s="150" t="s">
        <v>2696</v>
      </c>
      <c r="E438" s="440">
        <v>650.0</v>
      </c>
      <c r="F438" s="440">
        <v>83.0</v>
      </c>
      <c r="G438" s="440">
        <v>23.0</v>
      </c>
      <c r="H438" s="440">
        <v>14.0</v>
      </c>
      <c r="I438" s="440">
        <v>37.0</v>
      </c>
      <c r="J438" s="441">
        <v>0.62</v>
      </c>
      <c r="K438" s="150" t="s">
        <v>5057</v>
      </c>
      <c r="L438" s="150">
        <v>2.222200085E9</v>
      </c>
      <c r="M438" s="150" t="s">
        <v>1450</v>
      </c>
      <c r="N438" s="150" t="s">
        <v>2716</v>
      </c>
      <c r="O438" s="150" t="s">
        <v>3679</v>
      </c>
      <c r="P438" s="150" t="s">
        <v>4484</v>
      </c>
      <c r="Q438" s="442">
        <f>COUNTIF('Hedef Liste'!$A:$A,A438)</f>
        <v>0</v>
      </c>
    </row>
    <row r="439" hidden="1">
      <c r="A439" s="150" t="s">
        <v>2410</v>
      </c>
      <c r="B439" s="150" t="s">
        <v>2411</v>
      </c>
      <c r="C439" s="439" t="s">
        <v>4483</v>
      </c>
      <c r="D439" s="150" t="s">
        <v>2664</v>
      </c>
      <c r="E439" s="440">
        <v>655.0</v>
      </c>
      <c r="F439" s="440">
        <v>13.0</v>
      </c>
      <c r="G439" s="440">
        <v>0.0</v>
      </c>
      <c r="H439" s="440">
        <v>40.0</v>
      </c>
      <c r="I439" s="440">
        <v>40.0</v>
      </c>
      <c r="J439" s="441">
        <v>0.0</v>
      </c>
      <c r="K439" s="150" t="s">
        <v>5070</v>
      </c>
      <c r="L439" s="150">
        <v>2.222505022E9</v>
      </c>
      <c r="M439" s="150" t="s">
        <v>1450</v>
      </c>
      <c r="N439" s="150" t="s">
        <v>2703</v>
      </c>
      <c r="O439" s="150" t="s">
        <v>2414</v>
      </c>
      <c r="P439" s="150" t="s">
        <v>4484</v>
      </c>
      <c r="Q439" s="442">
        <f>COUNTIF('Hedef Liste'!$A:$A,A439)</f>
        <v>1</v>
      </c>
    </row>
    <row r="440" hidden="1">
      <c r="A440" s="150" t="s">
        <v>1749</v>
      </c>
      <c r="B440" s="150" t="s">
        <v>1750</v>
      </c>
      <c r="C440" s="439" t="s">
        <v>4520</v>
      </c>
      <c r="D440" s="150" t="s">
        <v>2664</v>
      </c>
      <c r="E440" s="440">
        <v>404.0</v>
      </c>
      <c r="F440" s="443"/>
      <c r="G440" s="440">
        <v>17.0</v>
      </c>
      <c r="H440" s="440">
        <v>2.0</v>
      </c>
      <c r="I440" s="440">
        <v>19.0</v>
      </c>
      <c r="J440" s="441">
        <v>0.89</v>
      </c>
      <c r="K440" s="150" t="s">
        <v>5071</v>
      </c>
      <c r="L440" s="150">
        <v>2.226060909E9</v>
      </c>
      <c r="M440" s="150" t="s">
        <v>2666</v>
      </c>
      <c r="N440" s="150" t="s">
        <v>2682</v>
      </c>
      <c r="O440" s="150" t="s">
        <v>1752</v>
      </c>
      <c r="P440" s="150" t="s">
        <v>4484</v>
      </c>
      <c r="Q440" s="442">
        <f>COUNTIF('Hedef Liste'!$A:$A,A440)</f>
        <v>1</v>
      </c>
    </row>
    <row r="441" hidden="1">
      <c r="A441" s="150" t="s">
        <v>5072</v>
      </c>
      <c r="B441" s="150" t="s">
        <v>5073</v>
      </c>
      <c r="C441" s="439" t="s">
        <v>4483</v>
      </c>
      <c r="D441" s="150" t="s">
        <v>2724</v>
      </c>
      <c r="E441" s="440">
        <v>144.0</v>
      </c>
      <c r="F441" s="440">
        <v>2.0</v>
      </c>
      <c r="G441" s="440">
        <v>41.0</v>
      </c>
      <c r="H441" s="440">
        <v>9.0</v>
      </c>
      <c r="I441" s="440">
        <v>50.0</v>
      </c>
      <c r="J441" s="441">
        <v>0.82</v>
      </c>
      <c r="K441" s="150" t="s">
        <v>5074</v>
      </c>
      <c r="L441" s="150">
        <v>5.304942107E9</v>
      </c>
      <c r="M441" s="150" t="s">
        <v>2666</v>
      </c>
      <c r="N441" s="150" t="s">
        <v>2667</v>
      </c>
      <c r="O441" s="150" t="s">
        <v>3801</v>
      </c>
      <c r="P441" s="150" t="s">
        <v>4484</v>
      </c>
      <c r="Q441" s="442">
        <f>COUNTIF('Hedef Liste'!$A:$A,A441)</f>
        <v>0</v>
      </c>
    </row>
    <row r="442" hidden="1">
      <c r="A442" s="150" t="s">
        <v>1825</v>
      </c>
      <c r="B442" s="150" t="s">
        <v>1826</v>
      </c>
      <c r="C442" s="439" t="s">
        <v>4483</v>
      </c>
      <c r="D442" s="150" t="s">
        <v>2701</v>
      </c>
      <c r="E442" s="440">
        <v>386.0</v>
      </c>
      <c r="F442" s="443"/>
      <c r="G442" s="440">
        <v>31.0</v>
      </c>
      <c r="H442" s="440">
        <v>27.0</v>
      </c>
      <c r="I442" s="440">
        <v>58.0</v>
      </c>
      <c r="J442" s="441">
        <v>0.53</v>
      </c>
      <c r="K442" s="150" t="s">
        <v>5075</v>
      </c>
      <c r="L442" s="150">
        <v>5.530448888E9</v>
      </c>
      <c r="M442" s="150" t="s">
        <v>1450</v>
      </c>
      <c r="N442" s="150" t="s">
        <v>2716</v>
      </c>
      <c r="O442" s="150" t="s">
        <v>1828</v>
      </c>
      <c r="P442" s="150" t="s">
        <v>4484</v>
      </c>
      <c r="Q442" s="442">
        <f>COUNTIF('Hedef Liste'!$A:$A,A442)</f>
        <v>1</v>
      </c>
    </row>
    <row r="443" hidden="1">
      <c r="A443" s="150" t="s">
        <v>3836</v>
      </c>
      <c r="B443" s="150" t="s">
        <v>3837</v>
      </c>
      <c r="C443" s="439" t="s">
        <v>4520</v>
      </c>
      <c r="D443" s="150" t="s">
        <v>2867</v>
      </c>
      <c r="E443" s="440">
        <v>120.0</v>
      </c>
      <c r="F443" s="443"/>
      <c r="G443" s="440">
        <v>0.0</v>
      </c>
      <c r="H443" s="440">
        <v>73.0</v>
      </c>
      <c r="I443" s="440">
        <v>73.0</v>
      </c>
      <c r="J443" s="441">
        <v>0.0</v>
      </c>
      <c r="K443" s="150" t="s">
        <v>5076</v>
      </c>
      <c r="L443" s="150">
        <v>2.222262666E9</v>
      </c>
      <c r="M443" s="150" t="s">
        <v>1450</v>
      </c>
      <c r="N443" s="150" t="s">
        <v>3838</v>
      </c>
      <c r="O443" s="150" t="s">
        <v>3839</v>
      </c>
      <c r="P443" s="150" t="s">
        <v>4484</v>
      </c>
      <c r="Q443" s="442">
        <f>COUNTIF('Hedef Liste'!$A:$A,A443)</f>
        <v>1</v>
      </c>
    </row>
    <row r="444" hidden="1">
      <c r="A444" s="150" t="s">
        <v>1644</v>
      </c>
      <c r="B444" s="150" t="s">
        <v>1645</v>
      </c>
      <c r="C444" s="439" t="s">
        <v>4483</v>
      </c>
      <c r="D444" s="150" t="s">
        <v>2696</v>
      </c>
      <c r="E444" s="440">
        <v>7909.0</v>
      </c>
      <c r="F444" s="440">
        <v>729.0</v>
      </c>
      <c r="G444" s="440">
        <v>9.0</v>
      </c>
      <c r="H444" s="440">
        <v>53.0</v>
      </c>
      <c r="I444" s="440">
        <v>62.0</v>
      </c>
      <c r="J444" s="441">
        <v>0.15</v>
      </c>
      <c r="K444" s="150" t="s">
        <v>5077</v>
      </c>
      <c r="L444" s="150">
        <v>5.528584226E9</v>
      </c>
      <c r="M444" s="150" t="s">
        <v>1450</v>
      </c>
      <c r="N444" s="150" t="s">
        <v>2716</v>
      </c>
      <c r="O444" s="150" t="s">
        <v>1647</v>
      </c>
      <c r="P444" s="150" t="s">
        <v>4484</v>
      </c>
      <c r="Q444" s="442">
        <f>COUNTIF('Hedef Liste'!$A:$A,A444)</f>
        <v>1</v>
      </c>
    </row>
    <row r="445" hidden="1">
      <c r="A445" s="150" t="s">
        <v>3681</v>
      </c>
      <c r="B445" s="150" t="s">
        <v>3682</v>
      </c>
      <c r="C445" s="439" t="s">
        <v>4483</v>
      </c>
      <c r="D445" s="150" t="s">
        <v>2664</v>
      </c>
      <c r="E445" s="440">
        <v>5581.0</v>
      </c>
      <c r="F445" s="440">
        <v>526.0</v>
      </c>
      <c r="G445" s="440">
        <v>0.0</v>
      </c>
      <c r="H445" s="440">
        <v>21.0</v>
      </c>
      <c r="I445" s="440">
        <v>21.0</v>
      </c>
      <c r="J445" s="441">
        <v>0.0</v>
      </c>
      <c r="K445" s="150" t="s">
        <v>5078</v>
      </c>
      <c r="L445" s="150">
        <v>5.425373131E9</v>
      </c>
      <c r="M445" s="150" t="s">
        <v>2666</v>
      </c>
      <c r="N445" s="150" t="s">
        <v>2774</v>
      </c>
      <c r="O445" s="150" t="s">
        <v>3683</v>
      </c>
      <c r="P445" s="150" t="s">
        <v>4484</v>
      </c>
      <c r="Q445" s="442">
        <f>COUNTIF('Hedef Liste'!$A:$A,A445)</f>
        <v>1</v>
      </c>
    </row>
    <row r="446" hidden="1">
      <c r="A446" s="150" t="s">
        <v>5079</v>
      </c>
      <c r="B446" s="150" t="s">
        <v>5080</v>
      </c>
      <c r="C446" s="439" t="s">
        <v>4483</v>
      </c>
      <c r="D446" s="150" t="s">
        <v>2684</v>
      </c>
      <c r="E446" s="440">
        <v>3512.0</v>
      </c>
      <c r="F446" s="440">
        <v>164.0</v>
      </c>
      <c r="G446" s="440">
        <v>43.0</v>
      </c>
      <c r="H446" s="440">
        <v>37.0</v>
      </c>
      <c r="I446" s="440">
        <v>80.0</v>
      </c>
      <c r="J446" s="441">
        <v>0.54</v>
      </c>
      <c r="K446" s="150" t="s">
        <v>4809</v>
      </c>
      <c r="L446" s="150">
        <v>2.223210321E9</v>
      </c>
      <c r="M446" s="150" t="s">
        <v>1450</v>
      </c>
      <c r="N446" s="150" t="s">
        <v>2782</v>
      </c>
      <c r="O446" s="150" t="s">
        <v>5081</v>
      </c>
      <c r="P446" s="150" t="s">
        <v>4484</v>
      </c>
      <c r="Q446" s="442">
        <f>COUNTIF('Hedef Liste'!$A:$A,A446)</f>
        <v>0</v>
      </c>
    </row>
    <row r="447" hidden="1">
      <c r="A447" s="150" t="s">
        <v>1808</v>
      </c>
      <c r="B447" s="150" t="s">
        <v>1809</v>
      </c>
      <c r="C447" s="439" t="s">
        <v>4483</v>
      </c>
      <c r="D447" s="150" t="s">
        <v>2696</v>
      </c>
      <c r="E447" s="440">
        <v>746.0</v>
      </c>
      <c r="F447" s="440">
        <v>31.0</v>
      </c>
      <c r="G447" s="440">
        <v>19.0</v>
      </c>
      <c r="H447" s="440">
        <v>45.0</v>
      </c>
      <c r="I447" s="440">
        <v>64.0</v>
      </c>
      <c r="J447" s="441">
        <v>0.3</v>
      </c>
      <c r="K447" s="150" t="s">
        <v>5082</v>
      </c>
      <c r="L447" s="150">
        <v>2.22290186E8</v>
      </c>
      <c r="M447" s="150" t="s">
        <v>1450</v>
      </c>
      <c r="N447" s="150" t="s">
        <v>2659</v>
      </c>
      <c r="O447" s="150" t="s">
        <v>1812</v>
      </c>
      <c r="P447" s="150" t="s">
        <v>4484</v>
      </c>
      <c r="Q447" s="442">
        <f>COUNTIF('Hedef Liste'!$A:$A,A447)</f>
        <v>1</v>
      </c>
    </row>
    <row r="448" hidden="1">
      <c r="A448" s="150" t="s">
        <v>198</v>
      </c>
      <c r="B448" s="150" t="s">
        <v>199</v>
      </c>
      <c r="C448" s="439" t="s">
        <v>4483</v>
      </c>
      <c r="D448" s="150" t="s">
        <v>2664</v>
      </c>
      <c r="E448" s="440">
        <v>14.0</v>
      </c>
      <c r="F448" s="443"/>
      <c r="G448" s="440">
        <v>1.0</v>
      </c>
      <c r="H448" s="440">
        <v>19.0</v>
      </c>
      <c r="I448" s="440">
        <v>20.0</v>
      </c>
      <c r="J448" s="441">
        <v>0.05</v>
      </c>
      <c r="K448" s="150" t="s">
        <v>5083</v>
      </c>
      <c r="L448" s="150">
        <v>5.3331056E9</v>
      </c>
      <c r="M448" s="150" t="s">
        <v>2666</v>
      </c>
      <c r="N448" s="150" t="s">
        <v>2667</v>
      </c>
      <c r="O448" s="150" t="s">
        <v>201</v>
      </c>
      <c r="P448" s="150" t="s">
        <v>4484</v>
      </c>
      <c r="Q448" s="442">
        <f>COUNTIF('Hedef Liste'!$A:$A,A448)</f>
        <v>1</v>
      </c>
    </row>
    <row r="449" hidden="1">
      <c r="A449" s="150" t="s">
        <v>1905</v>
      </c>
      <c r="B449" s="150" t="s">
        <v>1906</v>
      </c>
      <c r="C449" s="439" t="s">
        <v>4483</v>
      </c>
      <c r="D449" s="150" t="s">
        <v>2763</v>
      </c>
      <c r="E449" s="440">
        <v>1413.0</v>
      </c>
      <c r="F449" s="440">
        <v>19.0</v>
      </c>
      <c r="G449" s="440">
        <v>9.0</v>
      </c>
      <c r="H449" s="440">
        <v>25.0</v>
      </c>
      <c r="I449" s="440">
        <v>34.0</v>
      </c>
      <c r="J449" s="441">
        <v>0.26</v>
      </c>
      <c r="K449" s="150" t="s">
        <v>5084</v>
      </c>
      <c r="L449" s="150">
        <v>2.223308939E9</v>
      </c>
      <c r="M449" s="150" t="s">
        <v>2666</v>
      </c>
      <c r="N449" s="150" t="s">
        <v>2750</v>
      </c>
      <c r="O449" s="150" t="s">
        <v>1909</v>
      </c>
      <c r="P449" s="150" t="s">
        <v>4484</v>
      </c>
      <c r="Q449" s="442">
        <f>COUNTIF('Hedef Liste'!$A:$A,A449)</f>
        <v>1</v>
      </c>
    </row>
    <row r="450" hidden="1">
      <c r="A450" s="150" t="s">
        <v>2058</v>
      </c>
      <c r="B450" s="150" t="s">
        <v>2059</v>
      </c>
      <c r="C450" s="439" t="s">
        <v>4483</v>
      </c>
      <c r="D450" s="150" t="s">
        <v>2684</v>
      </c>
      <c r="E450" s="440">
        <v>125.0</v>
      </c>
      <c r="F450" s="440">
        <v>1.0</v>
      </c>
      <c r="G450" s="440">
        <v>0.0</v>
      </c>
      <c r="H450" s="440">
        <v>21.0</v>
      </c>
      <c r="I450" s="440">
        <v>21.0</v>
      </c>
      <c r="J450" s="441">
        <v>0.0</v>
      </c>
      <c r="K450" s="150" t="s">
        <v>2857</v>
      </c>
      <c r="L450" s="150">
        <v>2.2232395E9</v>
      </c>
      <c r="M450" s="150" t="s">
        <v>2666</v>
      </c>
      <c r="N450" s="150" t="s">
        <v>2855</v>
      </c>
      <c r="O450" s="150" t="s">
        <v>2056</v>
      </c>
      <c r="P450" s="150" t="s">
        <v>4484</v>
      </c>
      <c r="Q450" s="442">
        <f>COUNTIF('Hedef Liste'!$A:$A,A450)</f>
        <v>1</v>
      </c>
    </row>
    <row r="451" hidden="1">
      <c r="A451" s="150" t="s">
        <v>2064</v>
      </c>
      <c r="B451" s="150" t="s">
        <v>2065</v>
      </c>
      <c r="C451" s="439" t="s">
        <v>4483</v>
      </c>
      <c r="D451" s="150" t="s">
        <v>2672</v>
      </c>
      <c r="E451" s="440">
        <v>4885.0</v>
      </c>
      <c r="F451" s="443"/>
      <c r="G451" s="440">
        <v>0.0</v>
      </c>
      <c r="H451" s="440">
        <v>6.0</v>
      </c>
      <c r="I451" s="440">
        <v>6.0</v>
      </c>
      <c r="J451" s="441">
        <v>0.0</v>
      </c>
      <c r="K451" s="150" t="s">
        <v>2857</v>
      </c>
      <c r="L451" s="150">
        <v>2.2232395E9</v>
      </c>
      <c r="M451" s="150" t="s">
        <v>2666</v>
      </c>
      <c r="N451" s="150" t="s">
        <v>2855</v>
      </c>
      <c r="O451" s="150" t="s">
        <v>2056</v>
      </c>
      <c r="P451" s="150" t="s">
        <v>4484</v>
      </c>
      <c r="Q451" s="442">
        <f>COUNTIF('Hedef Liste'!$A:$A,A451)</f>
        <v>1</v>
      </c>
    </row>
    <row r="452" hidden="1">
      <c r="A452" s="150" t="s">
        <v>5085</v>
      </c>
      <c r="B452" s="150" t="s">
        <v>5086</v>
      </c>
      <c r="C452" s="439" t="s">
        <v>4483</v>
      </c>
      <c r="D452" s="150" t="s">
        <v>2724</v>
      </c>
      <c r="E452" s="440">
        <v>4955.0</v>
      </c>
      <c r="F452" s="440">
        <v>183.0</v>
      </c>
      <c r="G452" s="440">
        <v>76.0</v>
      </c>
      <c r="H452" s="440">
        <v>16.0</v>
      </c>
      <c r="I452" s="440">
        <v>92.0</v>
      </c>
      <c r="J452" s="441">
        <v>0.83</v>
      </c>
      <c r="K452" s="150" t="s">
        <v>4897</v>
      </c>
      <c r="L452" s="150">
        <v>2.22222028E9</v>
      </c>
      <c r="M452" s="150" t="s">
        <v>1450</v>
      </c>
      <c r="N452" s="150" t="s">
        <v>3189</v>
      </c>
      <c r="O452" s="150" t="s">
        <v>5087</v>
      </c>
      <c r="P452" s="150" t="s">
        <v>4512</v>
      </c>
      <c r="Q452" s="442">
        <f>COUNTIF('Hedef Liste'!$A:$A,A452)</f>
        <v>0</v>
      </c>
    </row>
    <row r="453" hidden="1">
      <c r="A453" s="150" t="s">
        <v>4201</v>
      </c>
      <c r="B453" s="150" t="s">
        <v>4202</v>
      </c>
      <c r="C453" s="439" t="s">
        <v>4483</v>
      </c>
      <c r="D453" s="150" t="s">
        <v>2763</v>
      </c>
      <c r="E453" s="440">
        <v>1569.0</v>
      </c>
      <c r="F453" s="440">
        <v>18.0</v>
      </c>
      <c r="G453" s="440">
        <v>0.0</v>
      </c>
      <c r="H453" s="440">
        <v>22.0</v>
      </c>
      <c r="I453" s="440">
        <v>22.0</v>
      </c>
      <c r="J453" s="441">
        <v>0.0</v>
      </c>
      <c r="K453" s="150" t="s">
        <v>4643</v>
      </c>
      <c r="L453" s="150">
        <v>5.38503325E9</v>
      </c>
      <c r="M453" s="150" t="s">
        <v>2666</v>
      </c>
      <c r="N453" s="150" t="s">
        <v>2807</v>
      </c>
      <c r="O453" s="150" t="s">
        <v>4203</v>
      </c>
      <c r="P453" s="150" t="s">
        <v>4484</v>
      </c>
      <c r="Q453" s="442">
        <f>COUNTIF('Hedef Liste'!$A:$A,A453)</f>
        <v>1</v>
      </c>
    </row>
    <row r="454" hidden="1">
      <c r="A454" s="150" t="s">
        <v>1669</v>
      </c>
      <c r="B454" s="150" t="s">
        <v>1670</v>
      </c>
      <c r="C454" s="439" t="s">
        <v>4520</v>
      </c>
      <c r="D454" s="150" t="s">
        <v>2696</v>
      </c>
      <c r="E454" s="440">
        <v>254.0</v>
      </c>
      <c r="F454" s="443"/>
      <c r="G454" s="440">
        <v>2.0</v>
      </c>
      <c r="H454" s="440">
        <v>17.0</v>
      </c>
      <c r="I454" s="440">
        <v>19.0</v>
      </c>
      <c r="J454" s="441">
        <v>0.11</v>
      </c>
      <c r="K454" s="150" t="s">
        <v>5088</v>
      </c>
      <c r="L454" s="150">
        <v>2.222213454E9</v>
      </c>
      <c r="M454" s="150" t="s">
        <v>1450</v>
      </c>
      <c r="N454" s="150" t="s">
        <v>2659</v>
      </c>
      <c r="O454" s="150" t="s">
        <v>1673</v>
      </c>
      <c r="P454" s="150" t="s">
        <v>4484</v>
      </c>
      <c r="Q454" s="442">
        <f>COUNTIF('Hedef Liste'!$A:$A,A454)</f>
        <v>1</v>
      </c>
    </row>
    <row r="455" hidden="1">
      <c r="A455" s="150" t="s">
        <v>1846</v>
      </c>
      <c r="B455" s="150" t="s">
        <v>1847</v>
      </c>
      <c r="C455" s="439" t="s">
        <v>4483</v>
      </c>
      <c r="D455" s="150" t="s">
        <v>2701</v>
      </c>
      <c r="E455" s="440">
        <v>555.0</v>
      </c>
      <c r="F455" s="440">
        <v>28.0</v>
      </c>
      <c r="G455" s="440">
        <v>34.0</v>
      </c>
      <c r="H455" s="440">
        <v>11.0</v>
      </c>
      <c r="I455" s="440">
        <v>45.0</v>
      </c>
      <c r="J455" s="441">
        <v>0.76</v>
      </c>
      <c r="K455" s="150" t="s">
        <v>5089</v>
      </c>
      <c r="L455" s="150">
        <v>5.445016618E9</v>
      </c>
      <c r="M455" s="150" t="s">
        <v>2666</v>
      </c>
      <c r="N455" s="150" t="s">
        <v>2721</v>
      </c>
      <c r="O455" s="150" t="s">
        <v>1849</v>
      </c>
      <c r="P455" s="150" t="s">
        <v>4484</v>
      </c>
      <c r="Q455" s="442">
        <f>COUNTIF('Hedef Liste'!$A:$A,A455)</f>
        <v>1</v>
      </c>
    </row>
    <row r="456" hidden="1">
      <c r="A456" s="150" t="s">
        <v>1664</v>
      </c>
      <c r="B456" s="150" t="s">
        <v>1665</v>
      </c>
      <c r="C456" s="439" t="s">
        <v>4483</v>
      </c>
      <c r="D456" s="150" t="s">
        <v>2696</v>
      </c>
      <c r="E456" s="440">
        <v>734.0</v>
      </c>
      <c r="F456" s="440">
        <v>68.0</v>
      </c>
      <c r="G456" s="440">
        <v>21.0</v>
      </c>
      <c r="H456" s="440">
        <v>59.0</v>
      </c>
      <c r="I456" s="440">
        <v>80.0</v>
      </c>
      <c r="J456" s="441">
        <v>0.26</v>
      </c>
      <c r="K456" s="150" t="s">
        <v>5090</v>
      </c>
      <c r="L456" s="150">
        <v>2.222343999E9</v>
      </c>
      <c r="M456" s="150" t="s">
        <v>1450</v>
      </c>
      <c r="N456" s="150" t="s">
        <v>2700</v>
      </c>
      <c r="O456" s="150" t="s">
        <v>2960</v>
      </c>
      <c r="P456" s="150" t="s">
        <v>4484</v>
      </c>
      <c r="Q456" s="442">
        <f>COUNTIF('Hedef Liste'!$A:$A,A456)</f>
        <v>1</v>
      </c>
    </row>
    <row r="457" hidden="1">
      <c r="A457" s="150" t="s">
        <v>3139</v>
      </c>
      <c r="B457" s="150" t="s">
        <v>3140</v>
      </c>
      <c r="C457" s="439" t="s">
        <v>4483</v>
      </c>
      <c r="D457" s="150" t="s">
        <v>2867</v>
      </c>
      <c r="E457" s="440">
        <v>15678.0</v>
      </c>
      <c r="F457" s="440">
        <v>1289.0</v>
      </c>
      <c r="G457" s="440">
        <v>5.0</v>
      </c>
      <c r="H457" s="440">
        <v>14.0</v>
      </c>
      <c r="I457" s="440">
        <v>19.0</v>
      </c>
      <c r="J457" s="441">
        <v>0.26</v>
      </c>
      <c r="K457" s="150" t="s">
        <v>3141</v>
      </c>
      <c r="L457" s="150">
        <v>5.523106906E9</v>
      </c>
      <c r="M457" s="150" t="s">
        <v>2666</v>
      </c>
      <c r="N457" s="150" t="s">
        <v>2682</v>
      </c>
      <c r="O457" s="150" t="s">
        <v>3142</v>
      </c>
      <c r="P457" s="150" t="s">
        <v>4484</v>
      </c>
      <c r="Q457" s="442">
        <f>COUNTIF('Hedef Liste'!$A:$A,A457)</f>
        <v>1</v>
      </c>
    </row>
    <row r="458" hidden="1">
      <c r="A458" s="150" t="s">
        <v>408</v>
      </c>
      <c r="B458" s="150" t="s">
        <v>409</v>
      </c>
      <c r="C458" s="439" t="s">
        <v>4483</v>
      </c>
      <c r="D458" s="150" t="s">
        <v>2978</v>
      </c>
      <c r="E458" s="440">
        <v>4561.0</v>
      </c>
      <c r="F458" s="440">
        <v>37.0</v>
      </c>
      <c r="G458" s="440">
        <v>81.0</v>
      </c>
      <c r="H458" s="440">
        <v>16.0</v>
      </c>
      <c r="I458" s="440">
        <v>97.0</v>
      </c>
      <c r="J458" s="441">
        <v>0.84</v>
      </c>
      <c r="K458" s="150" t="s">
        <v>2857</v>
      </c>
      <c r="L458" s="150">
        <v>2.2232395E9</v>
      </c>
      <c r="M458" s="150" t="s">
        <v>2666</v>
      </c>
      <c r="N458" s="150" t="s">
        <v>2855</v>
      </c>
      <c r="O458" s="150" t="s">
        <v>407</v>
      </c>
      <c r="P458" s="150" t="s">
        <v>4484</v>
      </c>
      <c r="Q458" s="442">
        <f>COUNTIF('Hedef Liste'!$A:$A,A458)</f>
        <v>1</v>
      </c>
    </row>
    <row r="459" hidden="1">
      <c r="A459" s="150" t="s">
        <v>2861</v>
      </c>
      <c r="B459" s="150" t="s">
        <v>5091</v>
      </c>
      <c r="C459" s="439" t="s">
        <v>4483</v>
      </c>
      <c r="D459" s="150" t="s">
        <v>2664</v>
      </c>
      <c r="E459" s="440">
        <v>3456.0</v>
      </c>
      <c r="F459" s="440">
        <v>94.0</v>
      </c>
      <c r="G459" s="440">
        <v>0.0</v>
      </c>
      <c r="H459" s="440">
        <v>21.0</v>
      </c>
      <c r="I459" s="440">
        <v>21.0</v>
      </c>
      <c r="J459" s="444">
        <v>0.0</v>
      </c>
      <c r="K459" s="150" t="s">
        <v>5092</v>
      </c>
      <c r="L459" s="150">
        <v>5.526323288E9</v>
      </c>
      <c r="M459" s="150" t="s">
        <v>1450</v>
      </c>
      <c r="N459" s="150" t="s">
        <v>2732</v>
      </c>
      <c r="O459" s="150" t="s">
        <v>2863</v>
      </c>
      <c r="P459" s="150" t="s">
        <v>4484</v>
      </c>
      <c r="Q459" s="442">
        <f>COUNTIF('Hedef Liste'!$A:$A,A459)</f>
        <v>1</v>
      </c>
    </row>
    <row r="460" hidden="1">
      <c r="A460" s="150" t="s">
        <v>1867</v>
      </c>
      <c r="B460" s="150" t="s">
        <v>1868</v>
      </c>
      <c r="C460" s="439" t="s">
        <v>4483</v>
      </c>
      <c r="D460" s="150" t="s">
        <v>2763</v>
      </c>
      <c r="E460" s="440">
        <v>608.0</v>
      </c>
      <c r="F460" s="440">
        <v>111.0</v>
      </c>
      <c r="G460" s="440">
        <v>12.0</v>
      </c>
      <c r="H460" s="440">
        <v>11.0</v>
      </c>
      <c r="I460" s="440">
        <v>23.0</v>
      </c>
      <c r="J460" s="441">
        <v>0.52</v>
      </c>
      <c r="K460" s="150" t="s">
        <v>3897</v>
      </c>
      <c r="L460" s="150">
        <v>2.222258256E9</v>
      </c>
      <c r="M460" s="150" t="s">
        <v>1450</v>
      </c>
      <c r="N460" s="150" t="s">
        <v>2705</v>
      </c>
      <c r="O460" s="150" t="s">
        <v>874</v>
      </c>
      <c r="P460" s="150" t="s">
        <v>4484</v>
      </c>
      <c r="Q460" s="442">
        <f>COUNTIF('Hedef Liste'!$A:$A,A460)</f>
        <v>1</v>
      </c>
    </row>
    <row r="461" hidden="1">
      <c r="A461" s="150" t="s">
        <v>2255</v>
      </c>
      <c r="B461" s="150" t="s">
        <v>2256</v>
      </c>
      <c r="C461" s="439" t="s">
        <v>4483</v>
      </c>
      <c r="D461" s="150" t="s">
        <v>2672</v>
      </c>
      <c r="E461" s="440">
        <v>1686.0</v>
      </c>
      <c r="F461" s="440">
        <v>89.0</v>
      </c>
      <c r="G461" s="440">
        <v>20.0</v>
      </c>
      <c r="H461" s="440">
        <v>8.0</v>
      </c>
      <c r="I461" s="440">
        <v>28.0</v>
      </c>
      <c r="J461" s="441">
        <v>0.71</v>
      </c>
      <c r="K461" s="150" t="s">
        <v>3287</v>
      </c>
      <c r="L461" s="150">
        <v>2.225031111E9</v>
      </c>
      <c r="M461" s="150" t="s">
        <v>1450</v>
      </c>
      <c r="N461" s="150" t="s">
        <v>2782</v>
      </c>
      <c r="O461" s="150" t="s">
        <v>2258</v>
      </c>
      <c r="P461" s="150" t="s">
        <v>4484</v>
      </c>
      <c r="Q461" s="442">
        <f>COUNTIF('Hedef Liste'!$A:$A,A461)</f>
        <v>1</v>
      </c>
    </row>
    <row r="462" hidden="1">
      <c r="A462" s="150" t="s">
        <v>3297</v>
      </c>
      <c r="B462" s="150" t="s">
        <v>3298</v>
      </c>
      <c r="C462" s="439" t="s">
        <v>4483</v>
      </c>
      <c r="D462" s="150" t="s">
        <v>2763</v>
      </c>
      <c r="E462" s="440">
        <v>1339.0</v>
      </c>
      <c r="F462" s="440">
        <v>90.0</v>
      </c>
      <c r="G462" s="440">
        <v>0.0</v>
      </c>
      <c r="H462" s="440">
        <v>45.0</v>
      </c>
      <c r="I462" s="440">
        <v>45.0</v>
      </c>
      <c r="J462" s="441">
        <v>0.0</v>
      </c>
      <c r="K462" s="150" t="s">
        <v>5093</v>
      </c>
      <c r="L462" s="150">
        <v>2.222172717E9</v>
      </c>
      <c r="M462" s="150" t="s">
        <v>1450</v>
      </c>
      <c r="N462" s="150" t="s">
        <v>2674</v>
      </c>
      <c r="O462" s="150" t="s">
        <v>3299</v>
      </c>
      <c r="P462" s="150" t="s">
        <v>4484</v>
      </c>
      <c r="Q462" s="442">
        <f>COUNTIF('Hedef Liste'!$A:$A,A462)</f>
        <v>1</v>
      </c>
    </row>
    <row r="463" hidden="1">
      <c r="A463" s="150" t="s">
        <v>3966</v>
      </c>
      <c r="B463" s="150" t="s">
        <v>3967</v>
      </c>
      <c r="C463" s="439" t="s">
        <v>4483</v>
      </c>
      <c r="D463" s="150" t="s">
        <v>2664</v>
      </c>
      <c r="E463" s="440">
        <v>1089.0</v>
      </c>
      <c r="F463" s="440">
        <v>51.0</v>
      </c>
      <c r="G463" s="440">
        <v>0.0</v>
      </c>
      <c r="H463" s="440">
        <v>10.0</v>
      </c>
      <c r="I463" s="440">
        <v>10.0</v>
      </c>
      <c r="J463" s="441">
        <v>0.0</v>
      </c>
      <c r="K463" s="150" t="s">
        <v>4980</v>
      </c>
      <c r="L463" s="150">
        <v>5.545965628E9</v>
      </c>
      <c r="M463" s="150" t="s">
        <v>2666</v>
      </c>
      <c r="N463" s="150" t="s">
        <v>2682</v>
      </c>
      <c r="O463" s="150" t="s">
        <v>3280</v>
      </c>
      <c r="P463" s="150" t="s">
        <v>4484</v>
      </c>
      <c r="Q463" s="442">
        <f>COUNTIF('Hedef Liste'!$A:$A,A463)</f>
        <v>1</v>
      </c>
    </row>
    <row r="464" hidden="1">
      <c r="A464" s="150" t="s">
        <v>1928</v>
      </c>
      <c r="B464" s="150" t="s">
        <v>1929</v>
      </c>
      <c r="C464" s="439" t="s">
        <v>4483</v>
      </c>
      <c r="D464" s="150" t="s">
        <v>2867</v>
      </c>
      <c r="E464" s="440">
        <v>2095.0</v>
      </c>
      <c r="F464" s="440">
        <v>220.0</v>
      </c>
      <c r="G464" s="440">
        <v>0.0</v>
      </c>
      <c r="H464" s="440">
        <v>42.0</v>
      </c>
      <c r="I464" s="440">
        <v>42.0</v>
      </c>
      <c r="J464" s="441">
        <v>0.0</v>
      </c>
      <c r="K464" s="150" t="s">
        <v>4023</v>
      </c>
      <c r="L464" s="150">
        <v>5.493306699E9</v>
      </c>
      <c r="M464" s="150" t="s">
        <v>2666</v>
      </c>
      <c r="N464" s="150" t="s">
        <v>2809</v>
      </c>
      <c r="O464" s="150" t="s">
        <v>1927</v>
      </c>
      <c r="P464" s="150" t="s">
        <v>4484</v>
      </c>
      <c r="Q464" s="442">
        <f>COUNTIF('Hedef Liste'!$A:$A,A464)</f>
        <v>1</v>
      </c>
    </row>
    <row r="465" hidden="1">
      <c r="A465" s="150" t="s">
        <v>1788</v>
      </c>
      <c r="B465" s="150" t="s">
        <v>1789</v>
      </c>
      <c r="C465" s="439" t="s">
        <v>4483</v>
      </c>
      <c r="D465" s="150" t="s">
        <v>2706</v>
      </c>
      <c r="E465" s="440">
        <v>260.0</v>
      </c>
      <c r="F465" s="440">
        <v>12.0</v>
      </c>
      <c r="G465" s="440">
        <v>0.0</v>
      </c>
      <c r="H465" s="440">
        <v>40.0</v>
      </c>
      <c r="I465" s="440">
        <v>40.0</v>
      </c>
      <c r="J465" s="441">
        <v>0.0</v>
      </c>
      <c r="K465" s="150" t="s">
        <v>5094</v>
      </c>
      <c r="L465" s="150">
        <v>2.222393906E9</v>
      </c>
      <c r="M465" s="150" t="s">
        <v>1450</v>
      </c>
      <c r="N465" s="150" t="s">
        <v>4514</v>
      </c>
      <c r="O465" s="150" t="s">
        <v>5055</v>
      </c>
      <c r="P465" s="150" t="s">
        <v>4484</v>
      </c>
      <c r="Q465" s="442">
        <f>COUNTIF('Hedef Liste'!$A:$A,A465)</f>
        <v>1</v>
      </c>
    </row>
    <row r="466" hidden="1">
      <c r="A466" s="150" t="s">
        <v>5095</v>
      </c>
      <c r="B466" s="150" t="s">
        <v>5096</v>
      </c>
      <c r="C466" s="439" t="s">
        <v>4483</v>
      </c>
      <c r="D466" s="150" t="s">
        <v>2751</v>
      </c>
      <c r="E466" s="440">
        <v>188.0</v>
      </c>
      <c r="F466" s="443"/>
      <c r="G466" s="440">
        <v>0.0</v>
      </c>
      <c r="H466" s="440">
        <v>52.0</v>
      </c>
      <c r="I466" s="440">
        <v>52.0</v>
      </c>
      <c r="J466" s="441">
        <v>0.0</v>
      </c>
      <c r="K466" s="150" t="s">
        <v>5097</v>
      </c>
      <c r="L466" s="150">
        <v>2.222258686E9</v>
      </c>
      <c r="M466" s="150" t="s">
        <v>2666</v>
      </c>
      <c r="N466" s="150" t="s">
        <v>2667</v>
      </c>
      <c r="O466" s="150" t="s">
        <v>5098</v>
      </c>
      <c r="P466" s="150" t="s">
        <v>5099</v>
      </c>
      <c r="Q466" s="442">
        <f>COUNTIF('Hedef Liste'!$A:$A,A466)</f>
        <v>0</v>
      </c>
    </row>
    <row r="467" hidden="1">
      <c r="A467" s="150" t="s">
        <v>3841</v>
      </c>
      <c r="B467" s="150" t="s">
        <v>5100</v>
      </c>
      <c r="C467" s="439" t="s">
        <v>4483</v>
      </c>
      <c r="D467" s="150" t="s">
        <v>2706</v>
      </c>
      <c r="E467" s="440">
        <v>2229.0</v>
      </c>
      <c r="F467" s="440">
        <v>2.0</v>
      </c>
      <c r="G467" s="440">
        <v>34.0</v>
      </c>
      <c r="H467" s="440">
        <v>34.0</v>
      </c>
      <c r="I467" s="440">
        <v>68.0</v>
      </c>
      <c r="J467" s="441">
        <v>0.5</v>
      </c>
      <c r="K467" s="150" t="s">
        <v>4195</v>
      </c>
      <c r="L467" s="150">
        <v>5.469251906E9</v>
      </c>
      <c r="M467" s="150" t="s">
        <v>2666</v>
      </c>
      <c r="N467" s="150" t="s">
        <v>2801</v>
      </c>
      <c r="O467" s="150" t="s">
        <v>1965</v>
      </c>
      <c r="P467" s="150" t="s">
        <v>4484</v>
      </c>
      <c r="Q467" s="442">
        <f>COUNTIF('Hedef Liste'!$A:$A,A467)</f>
        <v>1</v>
      </c>
    </row>
    <row r="468" hidden="1">
      <c r="A468" s="150" t="s">
        <v>4034</v>
      </c>
      <c r="B468" s="150" t="s">
        <v>4035</v>
      </c>
      <c r="C468" s="439" t="s">
        <v>4520</v>
      </c>
      <c r="D468" s="150" t="s">
        <v>2664</v>
      </c>
      <c r="E468" s="440">
        <v>1.0</v>
      </c>
      <c r="F468" s="443"/>
      <c r="G468" s="440">
        <v>0.0</v>
      </c>
      <c r="H468" s="440">
        <v>23.0</v>
      </c>
      <c r="I468" s="440">
        <v>23.0</v>
      </c>
      <c r="J468" s="441">
        <v>0.0</v>
      </c>
      <c r="K468" s="150" t="s">
        <v>4036</v>
      </c>
      <c r="L468" s="150">
        <v>5.34408087E9</v>
      </c>
      <c r="M468" s="150" t="s">
        <v>2666</v>
      </c>
      <c r="N468" s="150" t="s">
        <v>2721</v>
      </c>
      <c r="O468" s="150" t="s">
        <v>4037</v>
      </c>
      <c r="P468" s="150" t="s">
        <v>4484</v>
      </c>
      <c r="Q468" s="442">
        <f>COUNTIF('Hedef Liste'!$A:$A,A468)</f>
        <v>1</v>
      </c>
    </row>
    <row r="469" hidden="1">
      <c r="A469" s="150" t="s">
        <v>2066</v>
      </c>
      <c r="B469" s="150" t="s">
        <v>2067</v>
      </c>
      <c r="C469" s="439" t="s">
        <v>4483</v>
      </c>
      <c r="D469" s="150" t="s">
        <v>2724</v>
      </c>
      <c r="E469" s="440">
        <v>2921.0</v>
      </c>
      <c r="F469" s="440">
        <v>220.0</v>
      </c>
      <c r="G469" s="440">
        <v>12.0</v>
      </c>
      <c r="H469" s="440">
        <v>42.0</v>
      </c>
      <c r="I469" s="440">
        <v>54.0</v>
      </c>
      <c r="J469" s="441">
        <v>0.22</v>
      </c>
      <c r="K469" s="150" t="s">
        <v>2858</v>
      </c>
      <c r="L469" s="150">
        <v>2.226148181E9</v>
      </c>
      <c r="M469" s="150" t="s">
        <v>2666</v>
      </c>
      <c r="N469" s="150" t="s">
        <v>2682</v>
      </c>
      <c r="O469" s="150" t="s">
        <v>2069</v>
      </c>
      <c r="P469" s="150" t="s">
        <v>4484</v>
      </c>
      <c r="Q469" s="442">
        <f>COUNTIF('Hedef Liste'!$A:$A,A469)</f>
        <v>1</v>
      </c>
    </row>
    <row r="470" hidden="1">
      <c r="A470" s="150" t="s">
        <v>2004</v>
      </c>
      <c r="B470" s="150" t="s">
        <v>2005</v>
      </c>
      <c r="C470" s="439" t="s">
        <v>4483</v>
      </c>
      <c r="D470" s="150" t="s">
        <v>2763</v>
      </c>
      <c r="E470" s="440">
        <v>32.0</v>
      </c>
      <c r="F470" s="443"/>
      <c r="G470" s="440">
        <v>0.0</v>
      </c>
      <c r="H470" s="440">
        <v>16.0</v>
      </c>
      <c r="I470" s="440">
        <v>16.0</v>
      </c>
      <c r="J470" s="441">
        <v>0.0</v>
      </c>
      <c r="K470" s="150" t="s">
        <v>3983</v>
      </c>
      <c r="L470" s="150">
        <v>5.433611476E9</v>
      </c>
      <c r="M470" s="150" t="s">
        <v>2666</v>
      </c>
      <c r="N470" s="150" t="s">
        <v>3984</v>
      </c>
      <c r="O470" s="150" t="s">
        <v>2008</v>
      </c>
      <c r="P470" s="150" t="s">
        <v>4484</v>
      </c>
      <c r="Q470" s="442">
        <f>COUNTIF('Hedef Liste'!$A:$A,A470)</f>
        <v>1</v>
      </c>
    </row>
    <row r="471" hidden="1">
      <c r="A471" s="150" t="s">
        <v>1943</v>
      </c>
      <c r="B471" s="150" t="s">
        <v>1944</v>
      </c>
      <c r="C471" s="439" t="s">
        <v>4483</v>
      </c>
      <c r="D471" s="150" t="s">
        <v>2672</v>
      </c>
      <c r="E471" s="440">
        <v>4548.0</v>
      </c>
      <c r="F471" s="440">
        <v>424.0</v>
      </c>
      <c r="G471" s="440">
        <v>8.0</v>
      </c>
      <c r="H471" s="440">
        <v>3.0</v>
      </c>
      <c r="I471" s="440">
        <v>11.0</v>
      </c>
      <c r="J471" s="441">
        <v>0.73</v>
      </c>
      <c r="K471" s="150" t="s">
        <v>3094</v>
      </c>
      <c r="L471" s="150">
        <v>5.395072904E9</v>
      </c>
      <c r="M471" s="150" t="s">
        <v>2666</v>
      </c>
      <c r="N471" s="150" t="s">
        <v>2750</v>
      </c>
      <c r="O471" s="150" t="s">
        <v>1946</v>
      </c>
      <c r="P471" s="150" t="s">
        <v>4484</v>
      </c>
      <c r="Q471" s="442">
        <f>COUNTIF('Hedef Liste'!$A:$A,A471)</f>
        <v>1</v>
      </c>
    </row>
    <row r="472" hidden="1">
      <c r="A472" s="150" t="s">
        <v>1251</v>
      </c>
      <c r="B472" s="150" t="s">
        <v>1252</v>
      </c>
      <c r="C472" s="439" t="s">
        <v>4483</v>
      </c>
      <c r="D472" s="150" t="s">
        <v>2773</v>
      </c>
      <c r="E472" s="440">
        <v>584.0</v>
      </c>
      <c r="F472" s="440">
        <v>32.0</v>
      </c>
      <c r="G472" s="440">
        <v>7.0</v>
      </c>
      <c r="H472" s="440">
        <v>8.0</v>
      </c>
      <c r="I472" s="440">
        <v>15.0</v>
      </c>
      <c r="J472" s="441">
        <v>0.47</v>
      </c>
      <c r="K472" s="150" t="s">
        <v>5101</v>
      </c>
      <c r="L472" s="150">
        <v>5.323824718E9</v>
      </c>
      <c r="M472" s="150" t="s">
        <v>1450</v>
      </c>
      <c r="N472" s="150" t="s">
        <v>2795</v>
      </c>
      <c r="O472" s="150" t="s">
        <v>1254</v>
      </c>
      <c r="P472" s="150" t="s">
        <v>4484</v>
      </c>
      <c r="Q472" s="442">
        <f>COUNTIF('Hedef Liste'!$A:$A,A472)</f>
        <v>1</v>
      </c>
    </row>
    <row r="473" hidden="1">
      <c r="A473" s="150" t="s">
        <v>739</v>
      </c>
      <c r="B473" s="150" t="s">
        <v>740</v>
      </c>
      <c r="C473" s="439" t="s">
        <v>4483</v>
      </c>
      <c r="D473" s="150" t="s">
        <v>2773</v>
      </c>
      <c r="E473" s="440">
        <v>5064.0</v>
      </c>
      <c r="F473" s="440">
        <v>183.0</v>
      </c>
      <c r="G473" s="440">
        <v>9.0</v>
      </c>
      <c r="H473" s="440">
        <v>22.0</v>
      </c>
      <c r="I473" s="440">
        <v>31.0</v>
      </c>
      <c r="J473" s="441">
        <v>0.29</v>
      </c>
      <c r="K473" s="150" t="s">
        <v>4240</v>
      </c>
      <c r="L473" s="150">
        <v>2.222377575E9</v>
      </c>
      <c r="M473" s="150" t="s">
        <v>1450</v>
      </c>
      <c r="N473" s="150" t="s">
        <v>2795</v>
      </c>
      <c r="O473" s="150" t="s">
        <v>742</v>
      </c>
      <c r="P473" s="150" t="s">
        <v>4484</v>
      </c>
      <c r="Q473" s="442">
        <f>COUNTIF('Hedef Liste'!$A:$A,A473)</f>
        <v>1</v>
      </c>
    </row>
    <row r="474" hidden="1">
      <c r="A474" s="150" t="s">
        <v>5102</v>
      </c>
      <c r="B474" s="150" t="s">
        <v>5103</v>
      </c>
      <c r="C474" s="439" t="s">
        <v>4483</v>
      </c>
      <c r="D474" s="150" t="s">
        <v>2867</v>
      </c>
      <c r="E474" s="440">
        <v>12152.0</v>
      </c>
      <c r="F474" s="440">
        <v>786.0</v>
      </c>
      <c r="G474" s="440">
        <v>115.0</v>
      </c>
      <c r="H474" s="440">
        <v>0.0</v>
      </c>
      <c r="I474" s="440">
        <v>115.0</v>
      </c>
      <c r="J474" s="444">
        <v>1.0</v>
      </c>
      <c r="K474" s="150" t="s">
        <v>4891</v>
      </c>
      <c r="L474" s="150">
        <v>9.999999999E9</v>
      </c>
      <c r="M474" s="150" t="s">
        <v>2666</v>
      </c>
      <c r="N474" s="150" t="s">
        <v>2682</v>
      </c>
      <c r="O474" s="150" t="s">
        <v>5104</v>
      </c>
      <c r="P474" s="150" t="s">
        <v>4512</v>
      </c>
      <c r="Q474" s="442">
        <f>COUNTIF('Hedef Liste'!$A:$A,A474)</f>
        <v>0</v>
      </c>
    </row>
    <row r="475" hidden="1">
      <c r="A475" s="150" t="s">
        <v>1349</v>
      </c>
      <c r="B475" s="150" t="s">
        <v>1350</v>
      </c>
      <c r="C475" s="439" t="s">
        <v>4483</v>
      </c>
      <c r="D475" s="150" t="s">
        <v>2751</v>
      </c>
      <c r="E475" s="440">
        <v>256.0</v>
      </c>
      <c r="F475" s="443"/>
      <c r="G475" s="440">
        <v>2.0</v>
      </c>
      <c r="H475" s="440">
        <v>7.0</v>
      </c>
      <c r="I475" s="440">
        <v>9.0</v>
      </c>
      <c r="J475" s="441">
        <v>0.22</v>
      </c>
      <c r="K475" s="150" t="s">
        <v>5105</v>
      </c>
      <c r="L475" s="150">
        <v>2.222220026E9</v>
      </c>
      <c r="M475" s="150" t="s">
        <v>1450</v>
      </c>
      <c r="N475" s="150" t="s">
        <v>2716</v>
      </c>
      <c r="O475" s="150" t="s">
        <v>1352</v>
      </c>
      <c r="P475" s="150" t="s">
        <v>4484</v>
      </c>
      <c r="Q475" s="442">
        <f>COUNTIF('Hedef Liste'!$A:$A,A475)</f>
        <v>1</v>
      </c>
    </row>
    <row r="476" hidden="1">
      <c r="A476" s="150" t="s">
        <v>1755</v>
      </c>
      <c r="B476" s="150" t="s">
        <v>1756</v>
      </c>
      <c r="C476" s="439" t="s">
        <v>4483</v>
      </c>
      <c r="D476" s="150" t="s">
        <v>2701</v>
      </c>
      <c r="E476" s="440">
        <v>1470.0</v>
      </c>
      <c r="F476" s="440">
        <v>309.0</v>
      </c>
      <c r="G476" s="440">
        <v>4.0</v>
      </c>
      <c r="H476" s="440">
        <v>11.0</v>
      </c>
      <c r="I476" s="440">
        <v>15.0</v>
      </c>
      <c r="J476" s="441">
        <v>0.27</v>
      </c>
      <c r="K476" s="150" t="s">
        <v>3746</v>
      </c>
      <c r="L476" s="150">
        <v>5.53429868E9</v>
      </c>
      <c r="M476" s="150" t="s">
        <v>2666</v>
      </c>
      <c r="N476" s="150" t="s">
        <v>2809</v>
      </c>
      <c r="O476" s="150" t="s">
        <v>1758</v>
      </c>
      <c r="P476" s="150" t="s">
        <v>4484</v>
      </c>
      <c r="Q476" s="442">
        <f>COUNTIF('Hedef Liste'!$A:$A,A476)</f>
        <v>1</v>
      </c>
    </row>
    <row r="477" hidden="1">
      <c r="A477" s="150" t="s">
        <v>1615</v>
      </c>
      <c r="B477" s="150" t="s">
        <v>1616</v>
      </c>
      <c r="C477" s="439" t="s">
        <v>4483</v>
      </c>
      <c r="D477" s="150" t="s">
        <v>2763</v>
      </c>
      <c r="E477" s="440">
        <v>2374.0</v>
      </c>
      <c r="F477" s="440">
        <v>531.0</v>
      </c>
      <c r="G477" s="440">
        <v>7.0</v>
      </c>
      <c r="H477" s="440">
        <v>38.0</v>
      </c>
      <c r="I477" s="440">
        <v>45.0</v>
      </c>
      <c r="J477" s="441">
        <v>0.16</v>
      </c>
      <c r="K477" s="150" t="s">
        <v>5106</v>
      </c>
      <c r="L477" s="150">
        <v>5.32360146E9</v>
      </c>
      <c r="M477" s="150" t="s">
        <v>1450</v>
      </c>
      <c r="N477" s="150" t="s">
        <v>3255</v>
      </c>
      <c r="O477" s="150" t="s">
        <v>1619</v>
      </c>
      <c r="P477" s="150" t="s">
        <v>4484</v>
      </c>
      <c r="Q477" s="442">
        <f>COUNTIF('Hedef Liste'!$A:$A,A477)</f>
        <v>1</v>
      </c>
    </row>
    <row r="478" hidden="1">
      <c r="A478" s="150" t="s">
        <v>1894</v>
      </c>
      <c r="B478" s="150" t="s">
        <v>1895</v>
      </c>
      <c r="C478" s="439" t="s">
        <v>4483</v>
      </c>
      <c r="D478" s="150" t="s">
        <v>2664</v>
      </c>
      <c r="E478" s="440">
        <v>730.0</v>
      </c>
      <c r="F478" s="440">
        <v>81.0</v>
      </c>
      <c r="G478" s="440">
        <v>38.0</v>
      </c>
      <c r="H478" s="440">
        <v>61.0</v>
      </c>
      <c r="I478" s="440">
        <v>99.0</v>
      </c>
      <c r="J478" s="441">
        <v>0.38</v>
      </c>
      <c r="K478" s="150" t="s">
        <v>5107</v>
      </c>
      <c r="L478" s="150">
        <v>2.22221705E9</v>
      </c>
      <c r="M478" s="150" t="s">
        <v>2666</v>
      </c>
      <c r="N478" s="150" t="s">
        <v>2667</v>
      </c>
      <c r="O478" s="150" t="s">
        <v>1897</v>
      </c>
      <c r="P478" s="150" t="s">
        <v>4484</v>
      </c>
      <c r="Q478" s="442">
        <f>COUNTIF('Hedef Liste'!$A:$A,A478)</f>
        <v>1</v>
      </c>
    </row>
    <row r="479" hidden="1">
      <c r="A479" s="150" t="s">
        <v>5108</v>
      </c>
      <c r="B479" s="150" t="s">
        <v>5109</v>
      </c>
      <c r="C479" s="439" t="s">
        <v>4483</v>
      </c>
      <c r="D479" s="150" t="s">
        <v>2664</v>
      </c>
      <c r="E479" s="440">
        <v>164.0</v>
      </c>
      <c r="F479" s="440">
        <v>12.0</v>
      </c>
      <c r="G479" s="440">
        <v>34.0</v>
      </c>
      <c r="H479" s="440">
        <v>5.0</v>
      </c>
      <c r="I479" s="440">
        <v>39.0</v>
      </c>
      <c r="J479" s="444">
        <v>0.87</v>
      </c>
      <c r="K479" s="150" t="s">
        <v>5074</v>
      </c>
      <c r="L479" s="150">
        <v>5.304942107E9</v>
      </c>
      <c r="M479" s="150" t="s">
        <v>2666</v>
      </c>
      <c r="N479" s="150" t="s">
        <v>2667</v>
      </c>
      <c r="O479" s="150" t="s">
        <v>3801</v>
      </c>
      <c r="P479" s="150" t="s">
        <v>4484</v>
      </c>
      <c r="Q479" s="442">
        <f>COUNTIF('Hedef Liste'!$A:$A,A479)</f>
        <v>0</v>
      </c>
    </row>
    <row r="480" hidden="1">
      <c r="A480" s="150" t="s">
        <v>2038</v>
      </c>
      <c r="B480" s="150" t="s">
        <v>2039</v>
      </c>
      <c r="C480" s="439" t="s">
        <v>4483</v>
      </c>
      <c r="D480" s="150" t="s">
        <v>2763</v>
      </c>
      <c r="E480" s="440">
        <v>814.0</v>
      </c>
      <c r="F480" s="443"/>
      <c r="G480" s="440">
        <v>0.0</v>
      </c>
      <c r="H480" s="440">
        <v>21.0</v>
      </c>
      <c r="I480" s="440">
        <v>21.0</v>
      </c>
      <c r="J480" s="441">
        <v>0.0</v>
      </c>
      <c r="K480" s="150" t="s">
        <v>5110</v>
      </c>
      <c r="L480" s="150">
        <v>5.456858527E9</v>
      </c>
      <c r="M480" s="150" t="s">
        <v>2666</v>
      </c>
      <c r="N480" s="150" t="s">
        <v>3846</v>
      </c>
      <c r="O480" s="150" t="s">
        <v>2042</v>
      </c>
      <c r="P480" s="150" t="s">
        <v>4484</v>
      </c>
      <c r="Q480" s="442">
        <f>COUNTIF('Hedef Liste'!$A:$A,A480)</f>
        <v>1</v>
      </c>
    </row>
    <row r="481" hidden="1">
      <c r="A481" s="150" t="s">
        <v>2991</v>
      </c>
      <c r="B481" s="150" t="s">
        <v>2992</v>
      </c>
      <c r="C481" s="439" t="s">
        <v>4483</v>
      </c>
      <c r="D481" s="150" t="s">
        <v>2701</v>
      </c>
      <c r="F481" s="443"/>
      <c r="G481" s="440">
        <v>7.0</v>
      </c>
      <c r="H481" s="440">
        <v>7.0</v>
      </c>
      <c r="I481" s="440">
        <v>14.0</v>
      </c>
      <c r="J481" s="441">
        <v>0.5</v>
      </c>
      <c r="K481" s="150" t="s">
        <v>5111</v>
      </c>
      <c r="L481" s="150">
        <v>5.455017595E9</v>
      </c>
      <c r="M481" s="150" t="s">
        <v>2666</v>
      </c>
      <c r="N481" s="150" t="s">
        <v>2774</v>
      </c>
      <c r="O481" s="150" t="s">
        <v>2993</v>
      </c>
      <c r="P481" s="150" t="s">
        <v>4484</v>
      </c>
      <c r="Q481" s="442">
        <f>COUNTIF('Hedef Liste'!$A:$A,A481)</f>
        <v>1</v>
      </c>
    </row>
    <row r="482" hidden="1">
      <c r="A482" s="150" t="s">
        <v>2428</v>
      </c>
      <c r="B482" s="150" t="s">
        <v>5112</v>
      </c>
      <c r="C482" s="439" t="s">
        <v>4483</v>
      </c>
      <c r="D482" s="150" t="s">
        <v>2664</v>
      </c>
      <c r="E482" s="440">
        <v>96.0</v>
      </c>
      <c r="F482" s="440">
        <v>3.0</v>
      </c>
      <c r="G482" s="440">
        <v>0.0</v>
      </c>
      <c r="H482" s="440">
        <v>62.0</v>
      </c>
      <c r="I482" s="440">
        <v>62.0</v>
      </c>
      <c r="J482" s="441">
        <v>0.0</v>
      </c>
      <c r="K482" s="150" t="s">
        <v>5113</v>
      </c>
      <c r="L482" s="150">
        <v>2.222051132E9</v>
      </c>
      <c r="M482" s="150" t="s">
        <v>1450</v>
      </c>
      <c r="N482" s="150" t="s">
        <v>2700</v>
      </c>
      <c r="O482" s="150" t="s">
        <v>2431</v>
      </c>
      <c r="P482" s="150" t="s">
        <v>4484</v>
      </c>
      <c r="Q482" s="442">
        <f>COUNTIF('Hedef Liste'!$A:$A,A482)</f>
        <v>1</v>
      </c>
    </row>
    <row r="483" hidden="1">
      <c r="A483" s="150" t="s">
        <v>3945</v>
      </c>
      <c r="B483" s="150" t="s">
        <v>3946</v>
      </c>
      <c r="C483" s="439" t="s">
        <v>4483</v>
      </c>
      <c r="D483" s="150" t="s">
        <v>2701</v>
      </c>
      <c r="E483" s="440">
        <v>308.0</v>
      </c>
      <c r="F483" s="440">
        <v>34.0</v>
      </c>
      <c r="G483" s="440">
        <v>0.0</v>
      </c>
      <c r="H483" s="440">
        <v>30.0</v>
      </c>
      <c r="I483" s="440">
        <v>30.0</v>
      </c>
      <c r="J483" s="441">
        <v>0.0</v>
      </c>
      <c r="K483" s="150" t="s">
        <v>5114</v>
      </c>
      <c r="L483" s="150">
        <v>5.332312879E9</v>
      </c>
      <c r="M483" s="150" t="s">
        <v>2666</v>
      </c>
      <c r="N483" s="150" t="s">
        <v>2667</v>
      </c>
      <c r="O483" s="150" t="s">
        <v>3947</v>
      </c>
      <c r="P483" s="150" t="s">
        <v>4484</v>
      </c>
      <c r="Q483" s="442">
        <f>COUNTIF('Hedef Liste'!$A:$A,A483)</f>
        <v>1</v>
      </c>
    </row>
    <row r="484" hidden="1">
      <c r="A484" s="150" t="s">
        <v>3766</v>
      </c>
      <c r="B484" s="150" t="s">
        <v>3767</v>
      </c>
      <c r="C484" s="439" t="s">
        <v>4483</v>
      </c>
      <c r="D484" s="150" t="s">
        <v>2867</v>
      </c>
      <c r="E484" s="440">
        <v>3074.0</v>
      </c>
      <c r="F484" s="443"/>
      <c r="G484" s="440">
        <v>0.0</v>
      </c>
      <c r="H484" s="440">
        <v>23.0</v>
      </c>
      <c r="I484" s="440">
        <v>23.0</v>
      </c>
      <c r="J484" s="441">
        <v>0.0</v>
      </c>
      <c r="K484" s="150" t="s">
        <v>5115</v>
      </c>
      <c r="L484" s="150">
        <v>5.322038233E9</v>
      </c>
      <c r="M484" s="150" t="s">
        <v>2666</v>
      </c>
      <c r="N484" s="150" t="s">
        <v>2682</v>
      </c>
      <c r="O484" s="150" t="s">
        <v>3768</v>
      </c>
      <c r="P484" s="150" t="s">
        <v>4484</v>
      </c>
      <c r="Q484" s="442">
        <f>COUNTIF('Hedef Liste'!$A:$A,A484)</f>
        <v>1</v>
      </c>
    </row>
    <row r="485" hidden="1">
      <c r="A485" s="150" t="s">
        <v>3191</v>
      </c>
      <c r="B485" s="150" t="s">
        <v>3192</v>
      </c>
      <c r="C485" s="439" t="s">
        <v>4483</v>
      </c>
      <c r="D485" s="150" t="s">
        <v>2696</v>
      </c>
      <c r="E485" s="440">
        <v>539.0</v>
      </c>
      <c r="F485" s="440">
        <v>62.0</v>
      </c>
      <c r="G485" s="440">
        <v>3.0</v>
      </c>
      <c r="H485" s="440">
        <v>23.0</v>
      </c>
      <c r="I485" s="440">
        <v>26.0</v>
      </c>
      <c r="J485" s="441">
        <v>0.12</v>
      </c>
      <c r="K485" s="150" t="s">
        <v>5116</v>
      </c>
      <c r="L485" s="150">
        <v>2.225020908E9</v>
      </c>
      <c r="M485" s="150" t="s">
        <v>2666</v>
      </c>
      <c r="N485" s="150" t="s">
        <v>2721</v>
      </c>
      <c r="O485" s="150" t="s">
        <v>3193</v>
      </c>
      <c r="P485" s="150" t="s">
        <v>4484</v>
      </c>
      <c r="Q485" s="442">
        <f>COUNTIF('Hedef Liste'!$A:$A,A485)</f>
        <v>1</v>
      </c>
    </row>
    <row r="486" hidden="1">
      <c r="A486" s="150" t="s">
        <v>2060</v>
      </c>
      <c r="B486" s="150" t="s">
        <v>2061</v>
      </c>
      <c r="C486" s="439" t="s">
        <v>4483</v>
      </c>
      <c r="D486" s="150" t="s">
        <v>2706</v>
      </c>
      <c r="E486" s="440">
        <v>370.0</v>
      </c>
      <c r="F486" s="440">
        <v>3.0</v>
      </c>
      <c r="G486" s="440">
        <v>0.0</v>
      </c>
      <c r="H486" s="440">
        <v>26.0</v>
      </c>
      <c r="I486" s="440">
        <v>26.0</v>
      </c>
      <c r="J486" s="441">
        <v>0.0</v>
      </c>
      <c r="K486" s="150" t="s">
        <v>2857</v>
      </c>
      <c r="L486" s="150">
        <v>2.2232395E9</v>
      </c>
      <c r="M486" s="150" t="s">
        <v>2666</v>
      </c>
      <c r="N486" s="150" t="s">
        <v>2855</v>
      </c>
      <c r="O486" s="150" t="s">
        <v>2056</v>
      </c>
      <c r="P486" s="150" t="s">
        <v>4484</v>
      </c>
      <c r="Q486" s="442">
        <f>COUNTIF('Hedef Liste'!$A:$A,A486)</f>
        <v>1</v>
      </c>
    </row>
    <row r="487" hidden="1">
      <c r="A487" s="150" t="s">
        <v>3129</v>
      </c>
      <c r="B487" s="150" t="s">
        <v>3130</v>
      </c>
      <c r="C487" s="439" t="s">
        <v>4483</v>
      </c>
      <c r="D487" s="150" t="s">
        <v>2672</v>
      </c>
      <c r="E487" s="440">
        <v>916.0</v>
      </c>
      <c r="F487" s="443"/>
      <c r="G487" s="440">
        <v>0.0</v>
      </c>
      <c r="H487" s="440">
        <v>10.0</v>
      </c>
      <c r="I487" s="440">
        <v>10.0</v>
      </c>
      <c r="J487" s="441">
        <v>0.0</v>
      </c>
      <c r="K487" s="150" t="s">
        <v>5117</v>
      </c>
      <c r="L487" s="150">
        <v>2.2299914E9</v>
      </c>
      <c r="M487" s="150" t="s">
        <v>2666</v>
      </c>
      <c r="N487" s="150" t="s">
        <v>3131</v>
      </c>
      <c r="O487" s="150" t="s">
        <v>3132</v>
      </c>
      <c r="P487" s="150" t="s">
        <v>4484</v>
      </c>
      <c r="Q487" s="442">
        <f>COUNTIF('Hedef Liste'!$A:$A,A487)</f>
        <v>1</v>
      </c>
    </row>
    <row r="488" hidden="1">
      <c r="A488" s="150" t="s">
        <v>4399</v>
      </c>
      <c r="B488" s="150" t="s">
        <v>4400</v>
      </c>
      <c r="C488" s="439" t="s">
        <v>4520</v>
      </c>
      <c r="D488" s="150" t="s">
        <v>2664</v>
      </c>
      <c r="E488" s="440">
        <v>678.0</v>
      </c>
      <c r="F488" s="443"/>
      <c r="G488" s="440">
        <v>0.0</v>
      </c>
      <c r="H488" s="440">
        <v>61.0</v>
      </c>
      <c r="I488" s="440">
        <v>61.0</v>
      </c>
      <c r="J488" s="441">
        <v>0.0</v>
      </c>
      <c r="K488" s="150" t="s">
        <v>3237</v>
      </c>
      <c r="L488" s="150">
        <v>5.321332484E9</v>
      </c>
      <c r="M488" s="150" t="s">
        <v>1450</v>
      </c>
      <c r="N488" s="150" t="s">
        <v>2716</v>
      </c>
      <c r="O488" s="150" t="s">
        <v>4401</v>
      </c>
      <c r="P488" s="150" t="s">
        <v>4484</v>
      </c>
      <c r="Q488" s="442">
        <f>COUNTIF('Hedef Liste'!$A:$A,A488)</f>
        <v>1</v>
      </c>
    </row>
    <row r="489" hidden="1">
      <c r="A489" s="150" t="s">
        <v>3979</v>
      </c>
      <c r="B489" s="150" t="s">
        <v>3980</v>
      </c>
      <c r="C489" s="439" t="s">
        <v>4483</v>
      </c>
      <c r="D489" s="150" t="s">
        <v>2763</v>
      </c>
      <c r="E489" s="440">
        <v>1295.0</v>
      </c>
      <c r="F489" s="440">
        <v>1.0</v>
      </c>
      <c r="G489" s="440">
        <v>0.0</v>
      </c>
      <c r="H489" s="440">
        <v>21.0</v>
      </c>
      <c r="I489" s="440">
        <v>21.0</v>
      </c>
      <c r="J489" s="441">
        <v>0.0</v>
      </c>
      <c r="K489" s="150" t="s">
        <v>5118</v>
      </c>
      <c r="L489" s="150">
        <v>5.452602661E9</v>
      </c>
      <c r="M489" s="150" t="s">
        <v>2666</v>
      </c>
      <c r="N489" s="150" t="s">
        <v>3000</v>
      </c>
      <c r="O489" s="150" t="s">
        <v>3981</v>
      </c>
      <c r="P489" s="150" t="s">
        <v>4484</v>
      </c>
      <c r="Q489" s="442">
        <f>COUNTIF('Hedef Liste'!$A:$A,A489)</f>
        <v>1</v>
      </c>
    </row>
    <row r="490" hidden="1">
      <c r="A490" s="150" t="s">
        <v>3171</v>
      </c>
      <c r="B490" s="150" t="s">
        <v>3172</v>
      </c>
      <c r="C490" s="439" t="s">
        <v>4483</v>
      </c>
      <c r="D490" s="150" t="s">
        <v>2672</v>
      </c>
      <c r="E490" s="440">
        <v>1996.0</v>
      </c>
      <c r="F490" s="440">
        <v>66.0</v>
      </c>
      <c r="G490" s="440">
        <v>0.0</v>
      </c>
      <c r="H490" s="440">
        <v>17.0</v>
      </c>
      <c r="I490" s="440">
        <v>17.0</v>
      </c>
      <c r="J490" s="441">
        <v>0.0</v>
      </c>
      <c r="K490" s="150" t="s">
        <v>5119</v>
      </c>
      <c r="L490" s="150">
        <v>5.537780296E9</v>
      </c>
      <c r="M490" s="150" t="s">
        <v>1450</v>
      </c>
      <c r="N490" s="150" t="s">
        <v>2732</v>
      </c>
      <c r="O490" s="150" t="s">
        <v>3173</v>
      </c>
      <c r="P490" s="150" t="s">
        <v>4484</v>
      </c>
      <c r="Q490" s="442">
        <f>COUNTIF('Hedef Liste'!$A:$A,A490)</f>
        <v>1</v>
      </c>
    </row>
    <row r="491" hidden="1">
      <c r="A491" s="150" t="s">
        <v>1803</v>
      </c>
      <c r="B491" s="150" t="s">
        <v>1804</v>
      </c>
      <c r="C491" s="439" t="s">
        <v>4483</v>
      </c>
      <c r="D491" s="150" t="s">
        <v>2701</v>
      </c>
      <c r="E491" s="440">
        <v>392.0</v>
      </c>
      <c r="F491" s="440">
        <v>51.0</v>
      </c>
      <c r="G491" s="440">
        <v>17.0</v>
      </c>
      <c r="H491" s="440">
        <v>25.0</v>
      </c>
      <c r="I491" s="440">
        <v>42.0</v>
      </c>
      <c r="J491" s="441">
        <v>0.4</v>
      </c>
      <c r="K491" s="150" t="s">
        <v>4718</v>
      </c>
      <c r="L491" s="150">
        <v>2.222217999E9</v>
      </c>
      <c r="M491" s="150" t="s">
        <v>2666</v>
      </c>
      <c r="N491" s="150" t="s">
        <v>2667</v>
      </c>
      <c r="O491" s="150" t="s">
        <v>555</v>
      </c>
      <c r="P491" s="150" t="s">
        <v>4484</v>
      </c>
      <c r="Q491" s="442">
        <f>COUNTIF('Hedef Liste'!$A:$A,A491)</f>
        <v>1</v>
      </c>
    </row>
    <row r="492" hidden="1">
      <c r="A492" s="150" t="s">
        <v>5120</v>
      </c>
      <c r="B492" s="150" t="s">
        <v>5121</v>
      </c>
      <c r="C492" s="439" t="s">
        <v>4483</v>
      </c>
      <c r="D492" s="150" t="s">
        <v>2773</v>
      </c>
      <c r="E492" s="440">
        <v>137.0</v>
      </c>
      <c r="F492" s="440">
        <v>8.0</v>
      </c>
      <c r="G492" s="440">
        <v>134.0</v>
      </c>
      <c r="H492" s="440">
        <v>12.0</v>
      </c>
      <c r="I492" s="440">
        <v>146.0</v>
      </c>
      <c r="J492" s="441">
        <v>0.92</v>
      </c>
      <c r="K492" s="150" t="s">
        <v>4567</v>
      </c>
      <c r="L492" s="150">
        <v>5.417616211E9</v>
      </c>
      <c r="M492" s="150" t="s">
        <v>1450</v>
      </c>
      <c r="N492" s="150" t="s">
        <v>5122</v>
      </c>
      <c r="O492" s="150" t="s">
        <v>5123</v>
      </c>
      <c r="P492" s="150" t="s">
        <v>4512</v>
      </c>
      <c r="Q492" s="442">
        <f>COUNTIF('Hedef Liste'!$A:$A,A492)</f>
        <v>0</v>
      </c>
    </row>
    <row r="493" hidden="1">
      <c r="A493" s="150" t="s">
        <v>3267</v>
      </c>
      <c r="B493" s="150" t="s">
        <v>3268</v>
      </c>
      <c r="C493" s="439" t="s">
        <v>4483</v>
      </c>
      <c r="D493" s="150" t="s">
        <v>2904</v>
      </c>
      <c r="E493" s="440">
        <v>30.0</v>
      </c>
      <c r="F493" s="443"/>
      <c r="G493" s="440">
        <v>0.0</v>
      </c>
      <c r="H493" s="440">
        <v>20.0</v>
      </c>
      <c r="I493" s="440">
        <v>20.0</v>
      </c>
      <c r="J493" s="441">
        <v>0.0</v>
      </c>
      <c r="K493" s="150" t="s">
        <v>5124</v>
      </c>
      <c r="L493" s="150">
        <v>5.336482379E9</v>
      </c>
      <c r="M493" s="150" t="s">
        <v>2666</v>
      </c>
      <c r="N493" s="150" t="s">
        <v>2685</v>
      </c>
      <c r="O493" s="150" t="s">
        <v>3269</v>
      </c>
      <c r="P493" s="150" t="s">
        <v>4484</v>
      </c>
      <c r="Q493" s="442">
        <f>COUNTIF('Hedef Liste'!$A:$A,A493)</f>
        <v>1</v>
      </c>
    </row>
    <row r="494" hidden="1">
      <c r="A494" s="150" t="s">
        <v>1939</v>
      </c>
      <c r="B494" s="150" t="s">
        <v>1940</v>
      </c>
      <c r="C494" s="439" t="s">
        <v>4483</v>
      </c>
      <c r="D494" s="150" t="s">
        <v>2696</v>
      </c>
      <c r="E494" s="440">
        <v>838.0</v>
      </c>
      <c r="F494" s="440">
        <v>8.0</v>
      </c>
      <c r="G494" s="440">
        <v>6.0</v>
      </c>
      <c r="H494" s="440">
        <v>6.0</v>
      </c>
      <c r="I494" s="440">
        <v>12.0</v>
      </c>
      <c r="J494" s="441">
        <v>0.5</v>
      </c>
      <c r="K494" s="150" t="s">
        <v>5125</v>
      </c>
      <c r="L494" s="150">
        <v>5.461380101E9</v>
      </c>
      <c r="M494" s="150" t="s">
        <v>2666</v>
      </c>
      <c r="N494" s="150" t="s">
        <v>2667</v>
      </c>
      <c r="O494" s="150" t="s">
        <v>4247</v>
      </c>
      <c r="P494" s="150" t="s">
        <v>4484</v>
      </c>
      <c r="Q494" s="442">
        <f>COUNTIF('Hedef Liste'!$A:$A,A494)</f>
        <v>1</v>
      </c>
    </row>
    <row r="495" hidden="1">
      <c r="A495" s="150" t="s">
        <v>1648</v>
      </c>
      <c r="B495" s="150" t="s">
        <v>1649</v>
      </c>
      <c r="C495" s="439" t="s">
        <v>4483</v>
      </c>
      <c r="D495" s="150" t="s">
        <v>2664</v>
      </c>
      <c r="E495" s="440">
        <v>967.0</v>
      </c>
      <c r="F495" s="440">
        <v>17.0</v>
      </c>
      <c r="G495" s="440">
        <v>7.0</v>
      </c>
      <c r="H495" s="440">
        <v>31.0</v>
      </c>
      <c r="I495" s="440">
        <v>38.0</v>
      </c>
      <c r="J495" s="441">
        <v>0.18</v>
      </c>
      <c r="K495" s="150" t="s">
        <v>4754</v>
      </c>
      <c r="L495" s="150">
        <v>5.4186026E9</v>
      </c>
      <c r="M495" s="150" t="s">
        <v>1450</v>
      </c>
      <c r="N495" s="150" t="s">
        <v>2700</v>
      </c>
      <c r="O495" s="150" t="s">
        <v>1651</v>
      </c>
      <c r="P495" s="150" t="s">
        <v>4484</v>
      </c>
      <c r="Q495" s="442">
        <f>COUNTIF('Hedef Liste'!$A:$A,A495)</f>
        <v>1</v>
      </c>
    </row>
    <row r="496" hidden="1">
      <c r="A496" s="150" t="s">
        <v>1778</v>
      </c>
      <c r="B496" s="150" t="s">
        <v>1779</v>
      </c>
      <c r="C496" s="439" t="s">
        <v>4483</v>
      </c>
      <c r="D496" s="150" t="s">
        <v>2850</v>
      </c>
      <c r="E496" s="440">
        <v>607.0</v>
      </c>
      <c r="F496" s="440">
        <v>28.0</v>
      </c>
      <c r="G496" s="440">
        <v>0.0</v>
      </c>
      <c r="H496" s="440">
        <v>38.0</v>
      </c>
      <c r="I496" s="440">
        <v>38.0</v>
      </c>
      <c r="J496" s="441">
        <v>0.0</v>
      </c>
      <c r="K496" s="150" t="s">
        <v>5126</v>
      </c>
      <c r="L496" s="150">
        <v>5.526527226E9</v>
      </c>
      <c r="M496" s="150" t="s">
        <v>1450</v>
      </c>
      <c r="N496" s="150" t="s">
        <v>2732</v>
      </c>
      <c r="O496" s="150" t="s">
        <v>1781</v>
      </c>
      <c r="P496" s="150" t="s">
        <v>4484</v>
      </c>
      <c r="Q496" s="442">
        <f>COUNTIF('Hedef Liste'!$A:$A,A496)</f>
        <v>1</v>
      </c>
    </row>
    <row r="497" hidden="1">
      <c r="A497" s="150" t="s">
        <v>1947</v>
      </c>
      <c r="B497" s="150" t="s">
        <v>1948</v>
      </c>
      <c r="C497" s="439" t="s">
        <v>4483</v>
      </c>
      <c r="D497" s="150" t="s">
        <v>2763</v>
      </c>
      <c r="E497" s="440">
        <v>1319.0</v>
      </c>
      <c r="F497" s="440">
        <v>231.0</v>
      </c>
      <c r="G497" s="440">
        <v>0.0</v>
      </c>
      <c r="H497" s="440">
        <v>57.0</v>
      </c>
      <c r="I497" s="440">
        <v>57.0</v>
      </c>
      <c r="J497" s="441">
        <v>0.0</v>
      </c>
      <c r="K497" s="150" t="s">
        <v>5127</v>
      </c>
      <c r="L497" s="150">
        <v>5.526577926E9</v>
      </c>
      <c r="M497" s="150" t="s">
        <v>2666</v>
      </c>
      <c r="N497" s="150" t="s">
        <v>2801</v>
      </c>
      <c r="O497" s="150" t="s">
        <v>1950</v>
      </c>
      <c r="P497" s="150" t="s">
        <v>4484</v>
      </c>
      <c r="Q497" s="442">
        <f>COUNTIF('Hedef Liste'!$A:$A,A497)</f>
        <v>1</v>
      </c>
    </row>
    <row r="498" hidden="1">
      <c r="A498" s="150" t="s">
        <v>1912</v>
      </c>
      <c r="B498" s="150" t="s">
        <v>1913</v>
      </c>
      <c r="C498" s="439" t="s">
        <v>4483</v>
      </c>
      <c r="D498" s="150" t="s">
        <v>2850</v>
      </c>
      <c r="E498" s="440">
        <v>233.0</v>
      </c>
      <c r="F498" s="443"/>
      <c r="G498" s="440">
        <v>18.0</v>
      </c>
      <c r="H498" s="440">
        <v>6.0</v>
      </c>
      <c r="I498" s="440">
        <v>24.0</v>
      </c>
      <c r="J498" s="441">
        <v>0.75</v>
      </c>
      <c r="K498" s="150" t="s">
        <v>5128</v>
      </c>
      <c r="L498" s="150">
        <v>5.525515026E9</v>
      </c>
      <c r="M498" s="150" t="s">
        <v>2666</v>
      </c>
      <c r="N498" s="150" t="s">
        <v>2801</v>
      </c>
      <c r="O498" s="150" t="s">
        <v>1916</v>
      </c>
      <c r="P498" s="150" t="s">
        <v>4484</v>
      </c>
      <c r="Q498" s="442">
        <f>COUNTIF('Hedef Liste'!$A:$A,A498)</f>
        <v>1</v>
      </c>
    </row>
    <row r="499" hidden="1">
      <c r="A499" s="150" t="s">
        <v>4087</v>
      </c>
      <c r="B499" s="150" t="s">
        <v>4088</v>
      </c>
      <c r="C499" s="439" t="s">
        <v>4483</v>
      </c>
      <c r="D499" s="150" t="s">
        <v>2701</v>
      </c>
      <c r="E499" s="440">
        <v>2319.0</v>
      </c>
      <c r="F499" s="440">
        <v>122.0</v>
      </c>
      <c r="G499" s="440">
        <v>0.0</v>
      </c>
      <c r="H499" s="440">
        <v>5.0</v>
      </c>
      <c r="I499" s="440">
        <v>5.0</v>
      </c>
      <c r="J499" s="441">
        <v>0.0</v>
      </c>
      <c r="K499" s="150" t="s">
        <v>5129</v>
      </c>
      <c r="L499" s="150">
        <v>5.417832414E9</v>
      </c>
      <c r="M499" s="150" t="s">
        <v>2666</v>
      </c>
      <c r="N499" s="150" t="s">
        <v>2667</v>
      </c>
      <c r="O499" s="150" t="s">
        <v>4089</v>
      </c>
      <c r="P499" s="150" t="s">
        <v>4484</v>
      </c>
      <c r="Q499" s="442">
        <f>COUNTIF('Hedef Liste'!$A:$A,A499)</f>
        <v>1</v>
      </c>
    </row>
    <row r="500" hidden="1">
      <c r="A500" s="150" t="s">
        <v>3748</v>
      </c>
      <c r="B500" s="150" t="s">
        <v>3749</v>
      </c>
      <c r="C500" s="439" t="s">
        <v>4520</v>
      </c>
      <c r="D500" s="150" t="s">
        <v>2658</v>
      </c>
      <c r="F500" s="443"/>
      <c r="G500" s="440">
        <v>0.0</v>
      </c>
      <c r="H500" s="440">
        <v>19.0</v>
      </c>
      <c r="I500" s="440">
        <v>19.0</v>
      </c>
      <c r="J500" s="441">
        <v>0.0</v>
      </c>
      <c r="K500" s="150" t="s">
        <v>5130</v>
      </c>
      <c r="L500" s="150">
        <v>5.510835078E9</v>
      </c>
      <c r="M500" s="150" t="s">
        <v>2666</v>
      </c>
      <c r="N500" s="150" t="s">
        <v>2750</v>
      </c>
      <c r="O500" s="150" t="s">
        <v>3750</v>
      </c>
      <c r="P500" s="150" t="s">
        <v>4484</v>
      </c>
      <c r="Q500" s="442">
        <f>COUNTIF('Hedef Liste'!$A:$A,A500)</f>
        <v>1</v>
      </c>
    </row>
    <row r="501" hidden="1">
      <c r="A501" s="150" t="s">
        <v>1935</v>
      </c>
      <c r="B501" s="150" t="s">
        <v>1936</v>
      </c>
      <c r="C501" s="439" t="s">
        <v>4483</v>
      </c>
      <c r="D501" s="150" t="s">
        <v>2701</v>
      </c>
      <c r="E501" s="440">
        <v>1228.0</v>
      </c>
      <c r="F501" s="440">
        <v>91.0</v>
      </c>
      <c r="G501" s="440">
        <v>67.0</v>
      </c>
      <c r="H501" s="440">
        <v>21.0</v>
      </c>
      <c r="I501" s="440">
        <v>88.0</v>
      </c>
      <c r="J501" s="441">
        <v>0.76</v>
      </c>
      <c r="K501" s="150" t="s">
        <v>3266</v>
      </c>
      <c r="L501" s="150">
        <v>5.395462026E9</v>
      </c>
      <c r="M501" s="150" t="s">
        <v>2666</v>
      </c>
      <c r="N501" s="150" t="s">
        <v>2667</v>
      </c>
      <c r="O501" s="150" t="s">
        <v>1938</v>
      </c>
      <c r="P501" s="150" t="s">
        <v>4484</v>
      </c>
      <c r="Q501" s="442">
        <f>COUNTIF('Hedef Liste'!$A:$A,A501)</f>
        <v>1</v>
      </c>
    </row>
    <row r="502" hidden="1">
      <c r="A502" s="150" t="s">
        <v>2138</v>
      </c>
      <c r="B502" s="150" t="s">
        <v>2139</v>
      </c>
      <c r="C502" s="439" t="s">
        <v>4483</v>
      </c>
      <c r="D502" s="150" t="s">
        <v>2672</v>
      </c>
      <c r="E502" s="440">
        <v>170.0</v>
      </c>
      <c r="F502" s="440">
        <v>11.0</v>
      </c>
      <c r="G502" s="440">
        <v>0.0</v>
      </c>
      <c r="H502" s="440">
        <v>16.0</v>
      </c>
      <c r="I502" s="440">
        <v>16.0</v>
      </c>
      <c r="J502" s="441">
        <v>0.0</v>
      </c>
      <c r="K502" s="150" t="s">
        <v>2982</v>
      </c>
      <c r="L502" s="150">
        <v>5.374473225E9</v>
      </c>
      <c r="M502" s="150" t="s">
        <v>1450</v>
      </c>
      <c r="N502" s="150" t="s">
        <v>2703</v>
      </c>
      <c r="O502" s="150" t="s">
        <v>2141</v>
      </c>
      <c r="P502" s="150" t="s">
        <v>4484</v>
      </c>
      <c r="Q502" s="442">
        <f>COUNTIF('Hedef Liste'!$A:$A,A502)</f>
        <v>1</v>
      </c>
    </row>
    <row r="503" hidden="1">
      <c r="A503" s="150" t="s">
        <v>5131</v>
      </c>
      <c r="B503" s="150" t="s">
        <v>5132</v>
      </c>
      <c r="C503" s="439" t="s">
        <v>4483</v>
      </c>
      <c r="D503" s="150" t="s">
        <v>2701</v>
      </c>
      <c r="E503" s="440">
        <v>388.0</v>
      </c>
      <c r="F503" s="440">
        <v>15.0</v>
      </c>
      <c r="G503" s="440">
        <v>44.0</v>
      </c>
      <c r="H503" s="440">
        <v>133.0</v>
      </c>
      <c r="I503" s="440">
        <v>177.0</v>
      </c>
      <c r="J503" s="441">
        <v>0.25</v>
      </c>
      <c r="K503" s="150" t="s">
        <v>5133</v>
      </c>
      <c r="L503" s="150">
        <v>2.222200078E9</v>
      </c>
      <c r="M503" s="150" t="s">
        <v>2666</v>
      </c>
      <c r="N503" s="150" t="s">
        <v>2721</v>
      </c>
      <c r="O503" s="150" t="s">
        <v>5134</v>
      </c>
      <c r="P503" s="150" t="s">
        <v>4512</v>
      </c>
      <c r="Q503" s="442">
        <f>COUNTIF('Hedef Liste'!$A:$A,A503)</f>
        <v>0</v>
      </c>
    </row>
    <row r="504" hidden="1">
      <c r="A504" s="150" t="s">
        <v>3843</v>
      </c>
      <c r="B504" s="150" t="s">
        <v>3844</v>
      </c>
      <c r="C504" s="439" t="s">
        <v>4520</v>
      </c>
      <c r="D504" s="150" t="s">
        <v>2664</v>
      </c>
      <c r="E504" s="440">
        <v>47.0</v>
      </c>
      <c r="F504" s="443"/>
      <c r="G504" s="440">
        <v>0.0</v>
      </c>
      <c r="H504" s="440">
        <v>10.0</v>
      </c>
      <c r="I504" s="440">
        <v>10.0</v>
      </c>
      <c r="J504" s="441">
        <v>0.0</v>
      </c>
      <c r="K504" s="150" t="s">
        <v>3845</v>
      </c>
      <c r="L504" s="150">
        <v>5.347809303E9</v>
      </c>
      <c r="M504" s="150" t="s">
        <v>2666</v>
      </c>
      <c r="N504" s="150" t="s">
        <v>3846</v>
      </c>
      <c r="O504" s="150" t="s">
        <v>3847</v>
      </c>
      <c r="P504" s="150" t="s">
        <v>4484</v>
      </c>
      <c r="Q504" s="442">
        <f>COUNTIF('Hedef Liste'!$A:$A,A504)</f>
        <v>1</v>
      </c>
    </row>
    <row r="505" hidden="1">
      <c r="A505" s="150" t="s">
        <v>2299</v>
      </c>
      <c r="B505" s="150" t="s">
        <v>2300</v>
      </c>
      <c r="C505" s="439" t="s">
        <v>4483</v>
      </c>
      <c r="D505" s="150" t="s">
        <v>2696</v>
      </c>
      <c r="E505" s="440">
        <v>102.0</v>
      </c>
      <c r="F505" s="440">
        <v>32.0</v>
      </c>
      <c r="G505" s="440">
        <v>5.0</v>
      </c>
      <c r="H505" s="440">
        <v>34.0</v>
      </c>
      <c r="I505" s="440">
        <v>39.0</v>
      </c>
      <c r="J505" s="441">
        <v>0.13</v>
      </c>
      <c r="K505" s="150" t="s">
        <v>3586</v>
      </c>
      <c r="L505" s="150">
        <v>5.322165577E9</v>
      </c>
      <c r="M505" s="150" t="s">
        <v>2666</v>
      </c>
      <c r="N505" s="150" t="s">
        <v>3000</v>
      </c>
      <c r="O505" s="150" t="s">
        <v>2302</v>
      </c>
      <c r="P505" s="150" t="s">
        <v>4484</v>
      </c>
      <c r="Q505" s="442">
        <f>COUNTIF('Hedef Liste'!$A:$A,A505)</f>
        <v>1</v>
      </c>
    </row>
    <row r="506" hidden="1">
      <c r="A506" s="150" t="s">
        <v>3022</v>
      </c>
      <c r="B506" s="150" t="s">
        <v>3023</v>
      </c>
      <c r="C506" s="439" t="s">
        <v>4483</v>
      </c>
      <c r="D506" s="150" t="s">
        <v>2664</v>
      </c>
      <c r="E506" s="440">
        <v>67.0</v>
      </c>
      <c r="F506" s="440">
        <v>10.0</v>
      </c>
      <c r="G506" s="440">
        <v>0.0</v>
      </c>
      <c r="H506" s="440">
        <v>68.0</v>
      </c>
      <c r="I506" s="440">
        <v>68.0</v>
      </c>
      <c r="J506" s="441">
        <v>0.0</v>
      </c>
      <c r="K506" s="150" t="s">
        <v>3024</v>
      </c>
      <c r="L506" s="150">
        <v>5.321636998E9</v>
      </c>
      <c r="M506" s="150" t="s">
        <v>1450</v>
      </c>
      <c r="N506" s="150" t="s">
        <v>2707</v>
      </c>
      <c r="O506" s="150" t="s">
        <v>3025</v>
      </c>
      <c r="P506" s="150" t="s">
        <v>4484</v>
      </c>
      <c r="Q506" s="442">
        <f>COUNTIF('Hedef Liste'!$A:$A,A506)</f>
        <v>1</v>
      </c>
    </row>
    <row r="507" hidden="1">
      <c r="A507" s="150" t="s">
        <v>2263</v>
      </c>
      <c r="B507" s="150" t="s">
        <v>2264</v>
      </c>
      <c r="C507" s="439" t="s">
        <v>4483</v>
      </c>
      <c r="D507" s="150" t="s">
        <v>2684</v>
      </c>
      <c r="E507" s="440">
        <v>1359.0</v>
      </c>
      <c r="F507" s="440">
        <v>103.0</v>
      </c>
      <c r="G507" s="440">
        <v>21.0</v>
      </c>
      <c r="H507" s="440">
        <v>28.0</v>
      </c>
      <c r="I507" s="440">
        <v>49.0</v>
      </c>
      <c r="J507" s="441">
        <v>0.43</v>
      </c>
      <c r="K507" s="150" t="s">
        <v>2749</v>
      </c>
      <c r="L507" s="150">
        <v>5.4491433E9</v>
      </c>
      <c r="M507" s="150" t="s">
        <v>2666</v>
      </c>
      <c r="N507" s="150" t="s">
        <v>2750</v>
      </c>
      <c r="O507" s="150" t="s">
        <v>2262</v>
      </c>
      <c r="P507" s="150" t="s">
        <v>4484</v>
      </c>
      <c r="Q507" s="442">
        <f>COUNTIF('Hedef Liste'!$A:$A,A507)</f>
        <v>1</v>
      </c>
    </row>
    <row r="508" hidden="1">
      <c r="A508" s="150" t="s">
        <v>3332</v>
      </c>
      <c r="B508" s="150" t="s">
        <v>3333</v>
      </c>
      <c r="C508" s="439" t="s">
        <v>4483</v>
      </c>
      <c r="D508" s="150" t="s">
        <v>2684</v>
      </c>
      <c r="E508" s="440">
        <v>1308.0</v>
      </c>
      <c r="F508" s="440">
        <v>32.0</v>
      </c>
      <c r="G508" s="440">
        <v>0.0</v>
      </c>
      <c r="H508" s="440">
        <v>84.0</v>
      </c>
      <c r="I508" s="440">
        <v>84.0</v>
      </c>
      <c r="J508" s="441">
        <v>0.0</v>
      </c>
      <c r="K508" s="150" t="s">
        <v>3032</v>
      </c>
      <c r="L508" s="150">
        <v>5.461032626E9</v>
      </c>
      <c r="M508" s="150" t="s">
        <v>2666</v>
      </c>
      <c r="N508" s="150" t="s">
        <v>2801</v>
      </c>
      <c r="O508" s="150" t="s">
        <v>3033</v>
      </c>
      <c r="P508" s="150" t="s">
        <v>4484</v>
      </c>
      <c r="Q508" s="442">
        <f>COUNTIF('Hedef Liste'!$A:$A,A508)</f>
        <v>1</v>
      </c>
    </row>
    <row r="509" hidden="1">
      <c r="A509" s="150" t="s">
        <v>2154</v>
      </c>
      <c r="B509" s="150" t="s">
        <v>2155</v>
      </c>
      <c r="C509" s="439" t="s">
        <v>4483</v>
      </c>
      <c r="D509" s="150" t="s">
        <v>2658</v>
      </c>
      <c r="E509" s="440">
        <v>1416.0</v>
      </c>
      <c r="F509" s="443"/>
      <c r="G509" s="440">
        <v>1.0</v>
      </c>
      <c r="H509" s="440">
        <v>33.0</v>
      </c>
      <c r="I509" s="440">
        <v>34.0</v>
      </c>
      <c r="J509" s="441">
        <v>0.03</v>
      </c>
      <c r="K509" s="150" t="s">
        <v>3326</v>
      </c>
      <c r="L509" s="150">
        <v>5.539075064E9</v>
      </c>
      <c r="M509" s="150" t="s">
        <v>2666</v>
      </c>
      <c r="N509" s="150" t="s">
        <v>4529</v>
      </c>
      <c r="O509" s="150" t="s">
        <v>2158</v>
      </c>
      <c r="P509" s="150" t="s">
        <v>4484</v>
      </c>
      <c r="Q509" s="442">
        <f>COUNTIF('Hedef Liste'!$A:$A,A509)</f>
        <v>1</v>
      </c>
    </row>
    <row r="510" hidden="1">
      <c r="A510" s="150" t="s">
        <v>2171</v>
      </c>
      <c r="B510" s="150" t="s">
        <v>2172</v>
      </c>
      <c r="C510" s="439" t="s">
        <v>4483</v>
      </c>
      <c r="D510" s="150" t="s">
        <v>2664</v>
      </c>
      <c r="E510" s="440">
        <v>164.0</v>
      </c>
      <c r="F510" s="440">
        <v>26.0</v>
      </c>
      <c r="G510" s="440">
        <v>0.0</v>
      </c>
      <c r="H510" s="440">
        <v>17.0</v>
      </c>
      <c r="I510" s="440">
        <v>17.0</v>
      </c>
      <c r="J510" s="441">
        <v>0.0</v>
      </c>
      <c r="K510" s="150" t="s">
        <v>2943</v>
      </c>
      <c r="L510" s="150">
        <v>2.223215419E9</v>
      </c>
      <c r="M510" s="150" t="s">
        <v>2666</v>
      </c>
      <c r="N510" s="150" t="s">
        <v>2682</v>
      </c>
      <c r="O510" s="150" t="s">
        <v>2174</v>
      </c>
      <c r="P510" s="150" t="s">
        <v>4484</v>
      </c>
      <c r="Q510" s="442">
        <f>COUNTIF('Hedef Liste'!$A:$A,A510)</f>
        <v>1</v>
      </c>
    </row>
    <row r="511" hidden="1">
      <c r="A511" s="150" t="s">
        <v>5135</v>
      </c>
      <c r="B511" s="150" t="s">
        <v>5136</v>
      </c>
      <c r="C511" s="439" t="s">
        <v>4483</v>
      </c>
      <c r="D511" s="150" t="s">
        <v>2672</v>
      </c>
      <c r="E511" s="440">
        <v>79.0</v>
      </c>
      <c r="F511" s="440">
        <v>79.0</v>
      </c>
      <c r="G511" s="440">
        <v>57.0</v>
      </c>
      <c r="H511" s="440">
        <v>34.0</v>
      </c>
      <c r="I511" s="440">
        <v>91.0</v>
      </c>
      <c r="J511" s="441">
        <v>0.63</v>
      </c>
      <c r="K511" s="150" t="s">
        <v>5137</v>
      </c>
      <c r="L511" s="150">
        <v>2.223353515E9</v>
      </c>
      <c r="M511" s="150" t="s">
        <v>2666</v>
      </c>
      <c r="N511" s="150" t="s">
        <v>2721</v>
      </c>
      <c r="O511" s="150" t="s">
        <v>5138</v>
      </c>
      <c r="P511" s="150" t="s">
        <v>4512</v>
      </c>
      <c r="Q511" s="442">
        <f>COUNTIF('Hedef Liste'!$A:$A,A511)</f>
        <v>0</v>
      </c>
    </row>
    <row r="512" hidden="1">
      <c r="A512" s="150" t="s">
        <v>3114</v>
      </c>
      <c r="B512" s="150" t="s">
        <v>3115</v>
      </c>
      <c r="C512" s="439" t="s">
        <v>4483</v>
      </c>
      <c r="D512" s="150" t="s">
        <v>2978</v>
      </c>
      <c r="E512" s="440">
        <v>50.0</v>
      </c>
      <c r="F512" s="443"/>
      <c r="G512" s="440">
        <v>0.0</v>
      </c>
      <c r="H512" s="440">
        <v>33.0</v>
      </c>
      <c r="I512" s="440">
        <v>33.0</v>
      </c>
      <c r="J512" s="441">
        <v>0.0</v>
      </c>
      <c r="K512" s="150" t="s">
        <v>3116</v>
      </c>
      <c r="L512" s="150">
        <v>5.316909424E9</v>
      </c>
      <c r="M512" s="150" t="s">
        <v>2666</v>
      </c>
      <c r="N512" s="150" t="s">
        <v>3084</v>
      </c>
      <c r="O512" s="150" t="s">
        <v>3117</v>
      </c>
      <c r="P512" s="150" t="s">
        <v>4484</v>
      </c>
      <c r="Q512" s="442">
        <f>COUNTIF('Hedef Liste'!$A:$A,A512)</f>
        <v>1</v>
      </c>
    </row>
    <row r="513" hidden="1">
      <c r="A513" s="150" t="s">
        <v>2099</v>
      </c>
      <c r="B513" s="150" t="s">
        <v>2100</v>
      </c>
      <c r="C513" s="439" t="s">
        <v>4483</v>
      </c>
      <c r="D513" s="150" t="s">
        <v>2672</v>
      </c>
      <c r="E513" s="440">
        <v>542.0</v>
      </c>
      <c r="F513" s="443"/>
      <c r="G513" s="440">
        <v>6.0</v>
      </c>
      <c r="H513" s="440">
        <v>7.0</v>
      </c>
      <c r="I513" s="440">
        <v>13.0</v>
      </c>
      <c r="J513" s="441">
        <v>0.46</v>
      </c>
      <c r="K513" s="150" t="s">
        <v>3955</v>
      </c>
      <c r="L513" s="150">
        <v>2.222371777E9</v>
      </c>
      <c r="M513" s="150" t="s">
        <v>1450</v>
      </c>
      <c r="N513" s="150" t="s">
        <v>2674</v>
      </c>
      <c r="O513" s="150" t="s">
        <v>2103</v>
      </c>
      <c r="P513" s="150" t="s">
        <v>4484</v>
      </c>
      <c r="Q513" s="442">
        <f>COUNTIF('Hedef Liste'!$A:$A,A513)</f>
        <v>1</v>
      </c>
    </row>
    <row r="514" hidden="1">
      <c r="A514" s="150" t="s">
        <v>2133</v>
      </c>
      <c r="B514" s="150" t="s">
        <v>2134</v>
      </c>
      <c r="C514" s="439" t="s">
        <v>4483</v>
      </c>
      <c r="D514" s="150" t="s">
        <v>2867</v>
      </c>
      <c r="E514" s="440">
        <v>1776.0</v>
      </c>
      <c r="F514" s="443"/>
      <c r="G514" s="440">
        <v>11.0</v>
      </c>
      <c r="H514" s="440">
        <v>7.0</v>
      </c>
      <c r="I514" s="440">
        <v>18.0</v>
      </c>
      <c r="J514" s="441">
        <v>0.61</v>
      </c>
      <c r="K514" s="150" t="s">
        <v>4032</v>
      </c>
      <c r="L514" s="150">
        <v>5.327238459E9</v>
      </c>
      <c r="M514" s="150" t="s">
        <v>1450</v>
      </c>
      <c r="N514" s="150" t="s">
        <v>2732</v>
      </c>
      <c r="O514" s="150" t="s">
        <v>2136</v>
      </c>
      <c r="P514" s="150" t="s">
        <v>4484</v>
      </c>
      <c r="Q514" s="442">
        <f>COUNTIF('Hedef Liste'!$A:$A,A514)</f>
        <v>1</v>
      </c>
    </row>
    <row r="515" hidden="1">
      <c r="A515" s="150" t="s">
        <v>1774</v>
      </c>
      <c r="B515" s="150" t="s">
        <v>1775</v>
      </c>
      <c r="C515" s="439" t="s">
        <v>4520</v>
      </c>
      <c r="D515" s="150" t="s">
        <v>2773</v>
      </c>
      <c r="E515" s="440">
        <v>698.0</v>
      </c>
      <c r="F515" s="440">
        <v>33.0</v>
      </c>
      <c r="G515" s="440">
        <v>9.0</v>
      </c>
      <c r="H515" s="440">
        <v>13.0</v>
      </c>
      <c r="I515" s="440">
        <v>22.0</v>
      </c>
      <c r="J515" s="441">
        <v>0.41</v>
      </c>
      <c r="K515" s="150" t="s">
        <v>5139</v>
      </c>
      <c r="L515" s="150">
        <v>5.063890126E9</v>
      </c>
      <c r="M515" s="150" t="s">
        <v>2666</v>
      </c>
      <c r="N515" s="150" t="s">
        <v>2801</v>
      </c>
      <c r="O515" s="150" t="s">
        <v>1777</v>
      </c>
      <c r="P515" s="150" t="s">
        <v>4484</v>
      </c>
      <c r="Q515" s="442">
        <f>COUNTIF('Hedef Liste'!$A:$A,A515)</f>
        <v>1</v>
      </c>
    </row>
    <row r="516" hidden="1">
      <c r="A516" s="150" t="s">
        <v>3253</v>
      </c>
      <c r="B516" s="150" t="s">
        <v>5140</v>
      </c>
      <c r="C516" s="439" t="s">
        <v>4483</v>
      </c>
      <c r="D516" s="150" t="s">
        <v>2773</v>
      </c>
      <c r="E516" s="440">
        <v>2293.0</v>
      </c>
      <c r="F516" s="440">
        <v>117.0</v>
      </c>
      <c r="G516" s="440">
        <v>42.0</v>
      </c>
      <c r="H516" s="440">
        <v>3.0</v>
      </c>
      <c r="I516" s="440">
        <v>45.0</v>
      </c>
      <c r="J516" s="441">
        <v>0.93</v>
      </c>
      <c r="K516" s="150" t="s">
        <v>5141</v>
      </c>
      <c r="L516" s="150">
        <v>5.309561965E9</v>
      </c>
      <c r="M516" s="150" t="s">
        <v>1450</v>
      </c>
      <c r="N516" s="150" t="s">
        <v>3255</v>
      </c>
      <c r="O516" s="150" t="s">
        <v>3256</v>
      </c>
      <c r="P516" s="150" t="s">
        <v>4512</v>
      </c>
      <c r="Q516" s="442">
        <f>COUNTIF('Hedef Liste'!$A:$A,A516)</f>
        <v>1</v>
      </c>
    </row>
    <row r="517" hidden="1">
      <c r="A517" s="150" t="s">
        <v>1411</v>
      </c>
      <c r="B517" s="150" t="s">
        <v>1412</v>
      </c>
      <c r="C517" s="439" t="s">
        <v>4483</v>
      </c>
      <c r="D517" s="150" t="s">
        <v>2763</v>
      </c>
      <c r="E517" s="440">
        <v>727.0</v>
      </c>
      <c r="F517" s="443"/>
      <c r="G517" s="440">
        <v>9.0</v>
      </c>
      <c r="H517" s="440">
        <v>10.0</v>
      </c>
      <c r="I517" s="440">
        <v>19.0</v>
      </c>
      <c r="J517" s="441">
        <v>0.47</v>
      </c>
      <c r="K517" s="150" t="s">
        <v>5142</v>
      </c>
      <c r="L517" s="150">
        <v>5.07821847E9</v>
      </c>
      <c r="M517" s="150" t="s">
        <v>1450</v>
      </c>
      <c r="N517" s="150" t="s">
        <v>4745</v>
      </c>
      <c r="O517" s="150" t="s">
        <v>1415</v>
      </c>
      <c r="P517" s="150" t="s">
        <v>4484</v>
      </c>
      <c r="Q517" s="442">
        <f>COUNTIF('Hedef Liste'!$A:$A,A517)</f>
        <v>1</v>
      </c>
    </row>
    <row r="518" hidden="1">
      <c r="A518" s="150" t="s">
        <v>4376</v>
      </c>
      <c r="B518" s="150" t="s">
        <v>4377</v>
      </c>
      <c r="C518" s="439" t="s">
        <v>4483</v>
      </c>
      <c r="D518" s="150" t="s">
        <v>2904</v>
      </c>
      <c r="E518" s="440">
        <v>146.0</v>
      </c>
      <c r="F518" s="440">
        <v>8.0</v>
      </c>
      <c r="G518" s="440">
        <v>0.0</v>
      </c>
      <c r="H518" s="440">
        <v>6.0</v>
      </c>
      <c r="I518" s="440">
        <v>6.0</v>
      </c>
      <c r="J518" s="441">
        <v>0.0</v>
      </c>
      <c r="K518" s="150" t="s">
        <v>4378</v>
      </c>
      <c r="L518" s="150">
        <v>2.222902525E9</v>
      </c>
      <c r="M518" s="150" t="s">
        <v>1450</v>
      </c>
      <c r="N518" s="150" t="s">
        <v>2782</v>
      </c>
      <c r="O518" s="150" t="s">
        <v>4379</v>
      </c>
      <c r="P518" s="150" t="s">
        <v>4484</v>
      </c>
      <c r="Q518" s="442">
        <f>COUNTIF('Hedef Liste'!$A:$A,A518)</f>
        <v>1</v>
      </c>
    </row>
    <row r="519" hidden="1">
      <c r="A519" s="150" t="s">
        <v>3310</v>
      </c>
      <c r="B519" s="150" t="s">
        <v>3311</v>
      </c>
      <c r="C519" s="439" t="s">
        <v>4483</v>
      </c>
      <c r="D519" s="150" t="s">
        <v>2672</v>
      </c>
      <c r="E519" s="440">
        <v>2235.0</v>
      </c>
      <c r="F519" s="440">
        <v>208.0</v>
      </c>
      <c r="G519" s="440">
        <v>0.0</v>
      </c>
      <c r="H519" s="440">
        <v>24.0</v>
      </c>
      <c r="I519" s="440">
        <v>24.0</v>
      </c>
      <c r="J519" s="441">
        <v>0.0</v>
      </c>
      <c r="K519" s="150" t="s">
        <v>5143</v>
      </c>
      <c r="L519" s="150">
        <v>2.222331311E9</v>
      </c>
      <c r="M519" s="150" t="s">
        <v>1450</v>
      </c>
      <c r="N519" s="150" t="s">
        <v>3189</v>
      </c>
      <c r="O519" s="150" t="s">
        <v>3313</v>
      </c>
      <c r="P519" s="150" t="s">
        <v>4484</v>
      </c>
      <c r="Q519" s="442">
        <f>COUNTIF('Hedef Liste'!$A:$A,A519)</f>
        <v>1</v>
      </c>
    </row>
    <row r="520" hidden="1">
      <c r="A520" s="150" t="s">
        <v>3201</v>
      </c>
      <c r="B520" s="150" t="s">
        <v>5144</v>
      </c>
      <c r="C520" s="439" t="s">
        <v>4483</v>
      </c>
      <c r="D520" s="150" t="s">
        <v>2724</v>
      </c>
      <c r="E520" s="440">
        <v>372.0</v>
      </c>
      <c r="F520" s="440">
        <v>27.0</v>
      </c>
      <c r="G520" s="440">
        <v>24.0</v>
      </c>
      <c r="H520" s="440">
        <v>28.0</v>
      </c>
      <c r="I520" s="440">
        <v>52.0</v>
      </c>
      <c r="J520" s="441">
        <v>0.46</v>
      </c>
      <c r="K520" s="150" t="s">
        <v>3203</v>
      </c>
      <c r="L520" s="150">
        <v>5.013381616E9</v>
      </c>
      <c r="M520" s="150" t="s">
        <v>2666</v>
      </c>
      <c r="N520" s="150" t="s">
        <v>3000</v>
      </c>
      <c r="O520" s="150" t="s">
        <v>3204</v>
      </c>
      <c r="P520" s="150" t="s">
        <v>4484</v>
      </c>
      <c r="Q520" s="442">
        <f>COUNTIF('Hedef Liste'!$A:$A,A520)</f>
        <v>1</v>
      </c>
    </row>
    <row r="521" hidden="1">
      <c r="A521" s="150" t="s">
        <v>4222</v>
      </c>
      <c r="B521" s="150" t="s">
        <v>4223</v>
      </c>
      <c r="C521" s="439" t="s">
        <v>4483</v>
      </c>
      <c r="D521" s="150" t="s">
        <v>2763</v>
      </c>
      <c r="E521" s="440">
        <v>2420.0</v>
      </c>
      <c r="F521" s="440">
        <v>183.0</v>
      </c>
      <c r="G521" s="440">
        <v>0.0</v>
      </c>
      <c r="H521" s="440">
        <v>66.0</v>
      </c>
      <c r="I521" s="440">
        <v>66.0</v>
      </c>
      <c r="J521" s="441">
        <v>0.0</v>
      </c>
      <c r="K521" s="150" t="s">
        <v>4224</v>
      </c>
      <c r="L521" s="150">
        <v>5.071782278E9</v>
      </c>
      <c r="M521" s="150" t="s">
        <v>2666</v>
      </c>
      <c r="N521" s="150" t="s">
        <v>2809</v>
      </c>
      <c r="O521" s="150" t="s">
        <v>4225</v>
      </c>
      <c r="P521" s="150" t="s">
        <v>4484</v>
      </c>
      <c r="Q521" s="442">
        <f>COUNTIF('Hedef Liste'!$A:$A,A521)</f>
        <v>1</v>
      </c>
    </row>
    <row r="522" hidden="1">
      <c r="A522" s="150" t="s">
        <v>1842</v>
      </c>
      <c r="B522" s="150" t="s">
        <v>1843</v>
      </c>
      <c r="C522" s="439" t="s">
        <v>4520</v>
      </c>
      <c r="D522" s="150" t="s">
        <v>2696</v>
      </c>
      <c r="E522" s="440">
        <v>37.0</v>
      </c>
      <c r="F522" s="443"/>
      <c r="G522" s="440">
        <v>0.0</v>
      </c>
      <c r="H522" s="440">
        <v>10.0</v>
      </c>
      <c r="I522" s="440">
        <v>10.0</v>
      </c>
      <c r="J522" s="441">
        <v>0.0</v>
      </c>
      <c r="K522" s="150" t="s">
        <v>3905</v>
      </c>
      <c r="L522" s="150">
        <v>5.394330126E9</v>
      </c>
      <c r="M522" s="150" t="s">
        <v>2666</v>
      </c>
      <c r="N522" s="150" t="s">
        <v>2682</v>
      </c>
      <c r="O522" s="150" t="s">
        <v>1845</v>
      </c>
      <c r="P522" s="150" t="s">
        <v>4484</v>
      </c>
      <c r="Q522" s="442">
        <f>COUNTIF('Hedef Liste'!$A:$A,A522)</f>
        <v>1</v>
      </c>
    </row>
    <row r="523" hidden="1">
      <c r="A523" s="150" t="s">
        <v>5145</v>
      </c>
      <c r="B523" s="150" t="s">
        <v>5146</v>
      </c>
      <c r="C523" s="439" t="s">
        <v>4483</v>
      </c>
      <c r="D523" s="150" t="s">
        <v>3151</v>
      </c>
      <c r="E523" s="440">
        <v>653.0</v>
      </c>
      <c r="F523" s="440">
        <v>78.0</v>
      </c>
      <c r="G523" s="440">
        <v>209.0</v>
      </c>
      <c r="H523" s="440">
        <v>1.0</v>
      </c>
      <c r="I523" s="440">
        <v>210.0</v>
      </c>
      <c r="J523" s="441">
        <v>1.0</v>
      </c>
      <c r="K523" s="150" t="s">
        <v>4832</v>
      </c>
      <c r="L523" s="150">
        <v>2.222207919E9</v>
      </c>
      <c r="M523" s="150" t="s">
        <v>2666</v>
      </c>
      <c r="N523" s="150" t="s">
        <v>2667</v>
      </c>
      <c r="O523" s="150" t="s">
        <v>5147</v>
      </c>
      <c r="P523" s="150" t="s">
        <v>4512</v>
      </c>
      <c r="Q523" s="442">
        <f>COUNTIF('Hedef Liste'!$A:$A,A523)</f>
        <v>0</v>
      </c>
    </row>
    <row r="524" hidden="1">
      <c r="A524" s="150" t="s">
        <v>1814</v>
      </c>
      <c r="B524" s="150" t="s">
        <v>1815</v>
      </c>
      <c r="C524" s="439" t="s">
        <v>4483</v>
      </c>
      <c r="D524" s="150" t="s">
        <v>2763</v>
      </c>
      <c r="E524" s="440">
        <v>1235.0</v>
      </c>
      <c r="F524" s="440">
        <v>89.0</v>
      </c>
      <c r="G524" s="440">
        <v>6.0</v>
      </c>
      <c r="H524" s="440">
        <v>7.0</v>
      </c>
      <c r="I524" s="440">
        <v>13.0</v>
      </c>
      <c r="J524" s="441">
        <v>0.46</v>
      </c>
      <c r="K524" s="150" t="s">
        <v>3707</v>
      </c>
      <c r="L524" s="150">
        <v>5.348161599E9</v>
      </c>
      <c r="M524" s="150" t="s">
        <v>1450</v>
      </c>
      <c r="N524" s="150" t="s">
        <v>2732</v>
      </c>
      <c r="O524" s="150" t="s">
        <v>1817</v>
      </c>
      <c r="P524" s="150" t="s">
        <v>4484</v>
      </c>
      <c r="Q524" s="442">
        <f>COUNTIF('Hedef Liste'!$A:$A,A524)</f>
        <v>1</v>
      </c>
    </row>
    <row r="525" hidden="1">
      <c r="A525" s="150" t="s">
        <v>3342</v>
      </c>
      <c r="B525" s="150" t="s">
        <v>3343</v>
      </c>
      <c r="C525" s="439" t="s">
        <v>4483</v>
      </c>
      <c r="D525" s="150" t="s">
        <v>2672</v>
      </c>
      <c r="E525" s="440">
        <v>3599.0</v>
      </c>
      <c r="F525" s="440">
        <v>251.0</v>
      </c>
      <c r="G525" s="440">
        <v>0.0</v>
      </c>
      <c r="H525" s="440">
        <v>22.0</v>
      </c>
      <c r="I525" s="440">
        <v>22.0</v>
      </c>
      <c r="J525" s="441">
        <v>0.0</v>
      </c>
      <c r="K525" s="150" t="s">
        <v>3344</v>
      </c>
      <c r="L525" s="150">
        <v>5.497870594E9</v>
      </c>
      <c r="M525" s="150" t="s">
        <v>1450</v>
      </c>
      <c r="N525" s="150" t="s">
        <v>2703</v>
      </c>
      <c r="O525" s="150" t="s">
        <v>3345</v>
      </c>
      <c r="P525" s="150" t="s">
        <v>4484</v>
      </c>
      <c r="Q525" s="442">
        <f>COUNTIF('Hedef Liste'!$A:$A,A525)</f>
        <v>1</v>
      </c>
    </row>
    <row r="526" hidden="1">
      <c r="A526" s="150" t="s">
        <v>1315</v>
      </c>
      <c r="B526" s="150" t="s">
        <v>1316</v>
      </c>
      <c r="C526" s="439" t="s">
        <v>4483</v>
      </c>
      <c r="D526" s="150" t="s">
        <v>2672</v>
      </c>
      <c r="E526" s="440">
        <v>25740.0</v>
      </c>
      <c r="F526" s="440">
        <v>2007.0</v>
      </c>
      <c r="G526" s="440">
        <v>6.0</v>
      </c>
      <c r="H526" s="440">
        <v>13.0</v>
      </c>
      <c r="I526" s="440">
        <v>19.0</v>
      </c>
      <c r="J526" s="441">
        <v>0.32</v>
      </c>
      <c r="K526" s="150" t="s">
        <v>5148</v>
      </c>
      <c r="L526" s="150">
        <v>5.3874726E9</v>
      </c>
      <c r="M526" s="150" t="s">
        <v>2666</v>
      </c>
      <c r="N526" s="150" t="s">
        <v>2809</v>
      </c>
      <c r="O526" s="150" t="s">
        <v>1318</v>
      </c>
      <c r="P526" s="150" t="s">
        <v>4484</v>
      </c>
      <c r="Q526" s="442">
        <f>COUNTIF('Hedef Liste'!$A:$A,A526)</f>
        <v>1</v>
      </c>
    </row>
    <row r="527" hidden="1">
      <c r="A527" s="150" t="s">
        <v>5149</v>
      </c>
      <c r="B527" s="150" t="s">
        <v>5150</v>
      </c>
      <c r="C527" s="439" t="s">
        <v>4483</v>
      </c>
      <c r="D527" s="150" t="s">
        <v>2701</v>
      </c>
      <c r="E527" s="440">
        <v>850.0</v>
      </c>
      <c r="F527" s="440">
        <v>73.0</v>
      </c>
      <c r="G527" s="440">
        <v>12.0</v>
      </c>
      <c r="H527" s="440">
        <v>38.0</v>
      </c>
      <c r="I527" s="440">
        <v>50.0</v>
      </c>
      <c r="J527" s="441">
        <v>0.24</v>
      </c>
      <c r="K527" s="150" t="s">
        <v>3077</v>
      </c>
      <c r="L527" s="150">
        <v>2.223321021E9</v>
      </c>
      <c r="M527" s="150" t="s">
        <v>1450</v>
      </c>
      <c r="N527" s="150" t="s">
        <v>2795</v>
      </c>
      <c r="O527" s="150" t="s">
        <v>5151</v>
      </c>
      <c r="P527" s="150" t="s">
        <v>4484</v>
      </c>
      <c r="Q527" s="442">
        <f>COUNTIF('Hedef Liste'!$A:$A,A527)</f>
        <v>0</v>
      </c>
    </row>
    <row r="528" hidden="1">
      <c r="A528" s="150" t="s">
        <v>3708</v>
      </c>
      <c r="B528" s="150" t="s">
        <v>3709</v>
      </c>
      <c r="C528" s="439" t="s">
        <v>4483</v>
      </c>
      <c r="D528" s="150" t="s">
        <v>2763</v>
      </c>
      <c r="E528" s="440">
        <v>1432.0</v>
      </c>
      <c r="F528" s="440">
        <v>177.0</v>
      </c>
      <c r="G528" s="440">
        <v>0.0</v>
      </c>
      <c r="H528" s="440">
        <v>34.0</v>
      </c>
      <c r="I528" s="440">
        <v>34.0</v>
      </c>
      <c r="J528" s="441">
        <v>0.0</v>
      </c>
      <c r="K528" s="150" t="s">
        <v>3710</v>
      </c>
      <c r="L528" s="150">
        <v>5.306143842E9</v>
      </c>
      <c r="M528" s="150" t="s">
        <v>2666</v>
      </c>
      <c r="N528" s="150" t="s">
        <v>2807</v>
      </c>
      <c r="O528" s="150" t="s">
        <v>3711</v>
      </c>
      <c r="P528" s="150" t="s">
        <v>4484</v>
      </c>
      <c r="Q528" s="442">
        <f>COUNTIF('Hedef Liste'!$A:$A,A528)</f>
        <v>1</v>
      </c>
    </row>
    <row r="529" hidden="1">
      <c r="A529" s="150" t="s">
        <v>1962</v>
      </c>
      <c r="B529" s="150" t="s">
        <v>1963</v>
      </c>
      <c r="C529" s="439" t="s">
        <v>4483</v>
      </c>
      <c r="D529" s="150" t="s">
        <v>2664</v>
      </c>
      <c r="E529" s="440">
        <v>271.0</v>
      </c>
      <c r="F529" s="440">
        <v>1.0</v>
      </c>
      <c r="G529" s="440">
        <v>55.0</v>
      </c>
      <c r="H529" s="440">
        <v>67.0</v>
      </c>
      <c r="I529" s="440">
        <v>122.0</v>
      </c>
      <c r="J529" s="441">
        <v>0.45</v>
      </c>
      <c r="K529" s="150" t="s">
        <v>4195</v>
      </c>
      <c r="L529" s="150">
        <v>5.469251906E9</v>
      </c>
      <c r="M529" s="150" t="s">
        <v>2666</v>
      </c>
      <c r="N529" s="150" t="s">
        <v>2801</v>
      </c>
      <c r="O529" s="150" t="s">
        <v>1965</v>
      </c>
      <c r="P529" s="150" t="s">
        <v>4484</v>
      </c>
      <c r="Q529" s="442">
        <f>COUNTIF('Hedef Liste'!$A:$A,A529)</f>
        <v>1</v>
      </c>
    </row>
    <row r="530" hidden="1">
      <c r="A530" s="150" t="s">
        <v>2295</v>
      </c>
      <c r="B530" s="150" t="s">
        <v>2296</v>
      </c>
      <c r="C530" s="439" t="s">
        <v>4483</v>
      </c>
      <c r="D530" s="150" t="s">
        <v>2672</v>
      </c>
      <c r="E530" s="440">
        <v>874.0</v>
      </c>
      <c r="F530" s="440">
        <v>61.0</v>
      </c>
      <c r="G530" s="440">
        <v>9.0</v>
      </c>
      <c r="H530" s="440">
        <v>4.0</v>
      </c>
      <c r="I530" s="440">
        <v>13.0</v>
      </c>
      <c r="J530" s="441">
        <v>0.69</v>
      </c>
      <c r="K530" s="150" t="s">
        <v>3335</v>
      </c>
      <c r="L530" s="150">
        <v>2.223151111E9</v>
      </c>
      <c r="M530" s="150" t="s">
        <v>2666</v>
      </c>
      <c r="N530" s="150" t="s">
        <v>2685</v>
      </c>
      <c r="O530" s="150" t="s">
        <v>2298</v>
      </c>
      <c r="P530" s="150" t="s">
        <v>4484</v>
      </c>
      <c r="Q530" s="442">
        <f>COUNTIF('Hedef Liste'!$A:$A,A530)</f>
        <v>1</v>
      </c>
    </row>
    <row r="531" hidden="1">
      <c r="A531" s="150" t="s">
        <v>4228</v>
      </c>
      <c r="B531" s="150" t="s">
        <v>4229</v>
      </c>
      <c r="C531" s="439" t="s">
        <v>4483</v>
      </c>
      <c r="D531" s="150" t="s">
        <v>2850</v>
      </c>
      <c r="E531" s="440">
        <v>78.0</v>
      </c>
      <c r="F531" s="440">
        <v>5.0</v>
      </c>
      <c r="G531" s="440">
        <v>0.0</v>
      </c>
      <c r="H531" s="440">
        <v>25.0</v>
      </c>
      <c r="I531" s="440">
        <v>25.0</v>
      </c>
      <c r="J531" s="441">
        <v>0.0</v>
      </c>
      <c r="K531" s="150" t="s">
        <v>4230</v>
      </c>
      <c r="L531" s="150">
        <v>5.335241674E9</v>
      </c>
      <c r="M531" s="150" t="s">
        <v>1450</v>
      </c>
      <c r="N531" s="150" t="s">
        <v>2659</v>
      </c>
      <c r="O531" s="150" t="s">
        <v>4231</v>
      </c>
      <c r="P531" s="150" t="s">
        <v>4484</v>
      </c>
      <c r="Q531" s="442">
        <f>COUNTIF('Hedef Liste'!$A:$A,A531)</f>
        <v>1</v>
      </c>
    </row>
    <row r="532" hidden="1">
      <c r="A532" s="150" t="s">
        <v>3315</v>
      </c>
      <c r="B532" s="150" t="s">
        <v>3316</v>
      </c>
      <c r="C532" s="439" t="s">
        <v>4483</v>
      </c>
      <c r="D532" s="150" t="s">
        <v>2672</v>
      </c>
      <c r="E532" s="440">
        <v>4825.0</v>
      </c>
      <c r="F532" s="440">
        <v>458.0</v>
      </c>
      <c r="G532" s="440">
        <v>0.0</v>
      </c>
      <c r="H532" s="440">
        <v>24.0</v>
      </c>
      <c r="I532" s="440">
        <v>24.0</v>
      </c>
      <c r="J532" s="441">
        <v>0.0</v>
      </c>
      <c r="K532" s="150" t="s">
        <v>5143</v>
      </c>
      <c r="L532" s="150">
        <v>2.222308322E9</v>
      </c>
      <c r="M532" s="150" t="s">
        <v>2666</v>
      </c>
      <c r="N532" s="150" t="s">
        <v>2682</v>
      </c>
      <c r="O532" s="150" t="s">
        <v>3317</v>
      </c>
      <c r="P532" s="150" t="s">
        <v>4484</v>
      </c>
      <c r="Q532" s="442">
        <f>COUNTIF('Hedef Liste'!$A:$A,A532)</f>
        <v>1</v>
      </c>
    </row>
    <row r="533" hidden="1">
      <c r="A533" s="150" t="s">
        <v>2150</v>
      </c>
      <c r="B533" s="150" t="s">
        <v>2151</v>
      </c>
      <c r="C533" s="439" t="s">
        <v>4483</v>
      </c>
      <c r="D533" s="150" t="s">
        <v>2664</v>
      </c>
      <c r="E533" s="440">
        <v>2347.0</v>
      </c>
      <c r="F533" s="440">
        <v>112.0</v>
      </c>
      <c r="G533" s="440">
        <v>24.0</v>
      </c>
      <c r="H533" s="440">
        <v>33.0</v>
      </c>
      <c r="I533" s="440">
        <v>57.0</v>
      </c>
      <c r="J533" s="441">
        <v>0.42</v>
      </c>
      <c r="K533" s="150" t="s">
        <v>4350</v>
      </c>
      <c r="L533" s="150">
        <v>5.360604093E9</v>
      </c>
      <c r="M533" s="150" t="s">
        <v>2666</v>
      </c>
      <c r="N533" s="150" t="s">
        <v>2801</v>
      </c>
      <c r="O533" s="150" t="s">
        <v>2153</v>
      </c>
      <c r="P533" s="150" t="s">
        <v>4484</v>
      </c>
      <c r="Q533" s="442">
        <f>COUNTIF('Hedef Liste'!$A:$A,A533)</f>
        <v>1</v>
      </c>
    </row>
    <row r="534" hidden="1">
      <c r="A534" s="150" t="s">
        <v>2204</v>
      </c>
      <c r="B534" s="150" t="s">
        <v>2205</v>
      </c>
      <c r="C534" s="439" t="s">
        <v>4483</v>
      </c>
      <c r="D534" s="150" t="s">
        <v>2664</v>
      </c>
      <c r="E534" s="440">
        <v>1189.0</v>
      </c>
      <c r="F534" s="440">
        <v>104.0</v>
      </c>
      <c r="G534" s="440">
        <v>6.0</v>
      </c>
      <c r="H534" s="440">
        <v>6.0</v>
      </c>
      <c r="I534" s="440">
        <v>12.0</v>
      </c>
      <c r="J534" s="444">
        <v>0.5</v>
      </c>
      <c r="K534" s="150" t="s">
        <v>2866</v>
      </c>
      <c r="L534" s="150">
        <v>5.435061051E9</v>
      </c>
      <c r="M534" s="150" t="s">
        <v>1450</v>
      </c>
      <c r="N534" s="150" t="s">
        <v>2716</v>
      </c>
      <c r="O534" s="150" t="s">
        <v>2207</v>
      </c>
      <c r="P534" s="150" t="s">
        <v>4484</v>
      </c>
      <c r="Q534" s="442">
        <f>COUNTIF('Hedef Liste'!$A:$A,A534)</f>
        <v>1</v>
      </c>
    </row>
    <row r="535" hidden="1">
      <c r="A535" s="150" t="s">
        <v>4410</v>
      </c>
      <c r="B535" s="150" t="s">
        <v>4411</v>
      </c>
      <c r="C535" s="439" t="s">
        <v>4483</v>
      </c>
      <c r="D535" s="150" t="s">
        <v>2724</v>
      </c>
      <c r="E535" s="440">
        <v>595.0</v>
      </c>
      <c r="F535" s="440">
        <v>49.0</v>
      </c>
      <c r="G535" s="440">
        <v>0.0</v>
      </c>
      <c r="H535" s="440">
        <v>127.0</v>
      </c>
      <c r="I535" s="440">
        <v>127.0</v>
      </c>
      <c r="J535" s="441">
        <v>0.0</v>
      </c>
      <c r="K535" s="150" t="s">
        <v>4412</v>
      </c>
      <c r="L535" s="150">
        <v>2.223220232E9</v>
      </c>
      <c r="M535" s="150" t="s">
        <v>2666</v>
      </c>
      <c r="N535" s="150" t="s">
        <v>2685</v>
      </c>
      <c r="O535" s="150" t="s">
        <v>4413</v>
      </c>
      <c r="P535" s="150" t="s">
        <v>4484</v>
      </c>
      <c r="Q535" s="442">
        <f>COUNTIF('Hedef Liste'!$A:$A,A535)</f>
        <v>1</v>
      </c>
    </row>
    <row r="536" hidden="1">
      <c r="A536" s="150" t="s">
        <v>4442</v>
      </c>
      <c r="B536" s="150" t="s">
        <v>5152</v>
      </c>
      <c r="C536" s="439" t="s">
        <v>4483</v>
      </c>
      <c r="D536" s="150" t="s">
        <v>2684</v>
      </c>
      <c r="E536" s="440">
        <v>591.0</v>
      </c>
      <c r="F536" s="443"/>
      <c r="G536" s="440">
        <v>1.0</v>
      </c>
      <c r="H536" s="440">
        <v>17.0</v>
      </c>
      <c r="I536" s="440">
        <v>18.0</v>
      </c>
      <c r="J536" s="441">
        <v>0.06</v>
      </c>
      <c r="K536" s="150" t="s">
        <v>3237</v>
      </c>
      <c r="L536" s="150">
        <v>5.545042525E9</v>
      </c>
      <c r="M536" s="150" t="s">
        <v>1450</v>
      </c>
      <c r="N536" s="150" t="s">
        <v>2716</v>
      </c>
      <c r="O536" s="150" t="s">
        <v>4401</v>
      </c>
      <c r="P536" s="150" t="s">
        <v>4484</v>
      </c>
      <c r="Q536" s="442">
        <f>COUNTIF('Hedef Liste'!$A:$A,A536)</f>
        <v>1</v>
      </c>
    </row>
    <row r="537" hidden="1">
      <c r="A537" s="150" t="s">
        <v>3481</v>
      </c>
      <c r="B537" s="150" t="s">
        <v>3482</v>
      </c>
      <c r="C537" s="439" t="s">
        <v>4483</v>
      </c>
      <c r="D537" s="150" t="s">
        <v>2701</v>
      </c>
      <c r="E537" s="440">
        <v>75.0</v>
      </c>
      <c r="F537" s="440">
        <v>11.0</v>
      </c>
      <c r="G537" s="440">
        <v>0.0</v>
      </c>
      <c r="H537" s="440">
        <v>10.0</v>
      </c>
      <c r="I537" s="440">
        <v>10.0</v>
      </c>
      <c r="J537" s="444">
        <v>0.0</v>
      </c>
      <c r="K537" s="150" t="s">
        <v>2775</v>
      </c>
      <c r="L537" s="150">
        <v>5.456606594E9</v>
      </c>
      <c r="M537" s="150" t="s">
        <v>1450</v>
      </c>
      <c r="N537" s="150" t="s">
        <v>2776</v>
      </c>
      <c r="O537" s="150" t="s">
        <v>2395</v>
      </c>
      <c r="P537" s="150" t="s">
        <v>4484</v>
      </c>
      <c r="Q537" s="442">
        <f>COUNTIF('Hedef Liste'!$A:$A,A537)</f>
        <v>1</v>
      </c>
    </row>
    <row r="538" hidden="1">
      <c r="A538" s="150" t="s">
        <v>5153</v>
      </c>
      <c r="B538" s="150" t="s">
        <v>5154</v>
      </c>
      <c r="C538" s="439" t="s">
        <v>4483</v>
      </c>
      <c r="D538" s="150" t="s">
        <v>2701</v>
      </c>
      <c r="E538" s="440">
        <v>385.0</v>
      </c>
      <c r="F538" s="440">
        <v>45.0</v>
      </c>
      <c r="G538" s="440">
        <v>28.0</v>
      </c>
      <c r="H538" s="440">
        <v>27.0</v>
      </c>
      <c r="I538" s="440">
        <v>55.0</v>
      </c>
      <c r="J538" s="441">
        <v>0.51</v>
      </c>
      <c r="K538" s="150" t="s">
        <v>4940</v>
      </c>
      <c r="L538" s="150">
        <v>5.063144739E9</v>
      </c>
      <c r="M538" s="150" t="s">
        <v>2666</v>
      </c>
      <c r="N538" s="150" t="s">
        <v>3084</v>
      </c>
      <c r="O538" s="150" t="s">
        <v>5155</v>
      </c>
      <c r="P538" s="150" t="s">
        <v>4484</v>
      </c>
      <c r="Q538" s="442">
        <f>COUNTIF('Hedef Liste'!$A:$A,A538)</f>
        <v>0</v>
      </c>
    </row>
    <row r="539" hidden="1">
      <c r="A539" s="150" t="s">
        <v>2094</v>
      </c>
      <c r="B539" s="150" t="s">
        <v>2095</v>
      </c>
      <c r="C539" s="439" t="s">
        <v>4483</v>
      </c>
      <c r="D539" s="150" t="s">
        <v>2751</v>
      </c>
      <c r="E539" s="440">
        <v>389.0</v>
      </c>
      <c r="F539" s="440">
        <v>69.0</v>
      </c>
      <c r="G539" s="440">
        <v>21.0</v>
      </c>
      <c r="H539" s="440">
        <v>65.0</v>
      </c>
      <c r="I539" s="440">
        <v>86.0</v>
      </c>
      <c r="J539" s="441">
        <v>0.24</v>
      </c>
      <c r="K539" s="150" t="s">
        <v>3779</v>
      </c>
      <c r="L539" s="150">
        <v>5.389415379E9</v>
      </c>
      <c r="M539" s="150" t="s">
        <v>1450</v>
      </c>
      <c r="N539" s="150" t="s">
        <v>2905</v>
      </c>
      <c r="O539" s="150" t="s">
        <v>2098</v>
      </c>
      <c r="P539" s="150" t="s">
        <v>4484</v>
      </c>
      <c r="Q539" s="442">
        <f>COUNTIF('Hedef Liste'!$A:$A,A539)</f>
        <v>1</v>
      </c>
    </row>
    <row r="540" hidden="1">
      <c r="A540" s="150" t="s">
        <v>3526</v>
      </c>
      <c r="B540" s="150" t="s">
        <v>3527</v>
      </c>
      <c r="C540" s="439" t="s">
        <v>4483</v>
      </c>
      <c r="D540" s="150" t="s">
        <v>2751</v>
      </c>
      <c r="E540" s="440">
        <v>923.0</v>
      </c>
      <c r="F540" s="440">
        <v>227.0</v>
      </c>
      <c r="G540" s="440">
        <v>0.0</v>
      </c>
      <c r="H540" s="440">
        <v>40.0</v>
      </c>
      <c r="I540" s="440">
        <v>40.0</v>
      </c>
      <c r="J540" s="441">
        <v>0.0</v>
      </c>
      <c r="K540" s="150" t="s">
        <v>3032</v>
      </c>
      <c r="L540" s="150">
        <v>5.461032626E9</v>
      </c>
      <c r="M540" s="150" t="s">
        <v>2666</v>
      </c>
      <c r="N540" s="150" t="s">
        <v>2801</v>
      </c>
      <c r="O540" s="150" t="s">
        <v>3033</v>
      </c>
      <c r="P540" s="150" t="s">
        <v>4484</v>
      </c>
      <c r="Q540" s="442">
        <f>COUNTIF('Hedef Liste'!$A:$A,A540)</f>
        <v>1</v>
      </c>
    </row>
    <row r="541" hidden="1">
      <c r="A541" s="150" t="s">
        <v>2932</v>
      </c>
      <c r="B541" s="150" t="s">
        <v>2933</v>
      </c>
      <c r="C541" s="439" t="s">
        <v>4483</v>
      </c>
      <c r="D541" s="150" t="s">
        <v>2684</v>
      </c>
      <c r="E541" s="440">
        <v>3318.0</v>
      </c>
      <c r="F541" s="440">
        <v>310.0</v>
      </c>
      <c r="G541" s="440">
        <v>0.0</v>
      </c>
      <c r="H541" s="440">
        <v>18.0</v>
      </c>
      <c r="I541" s="440">
        <v>18.0</v>
      </c>
      <c r="J541" s="441">
        <v>0.0</v>
      </c>
      <c r="K541" s="150" t="s">
        <v>2934</v>
      </c>
      <c r="L541" s="150">
        <v>5.345962747E9</v>
      </c>
      <c r="M541" s="150" t="s">
        <v>2666</v>
      </c>
      <c r="N541" s="150" t="s">
        <v>2801</v>
      </c>
      <c r="O541" s="150" t="s">
        <v>2935</v>
      </c>
      <c r="P541" s="150" t="s">
        <v>4484</v>
      </c>
      <c r="Q541" s="442">
        <f>COUNTIF('Hedef Liste'!$A:$A,A541)</f>
        <v>1</v>
      </c>
    </row>
    <row r="542" hidden="1">
      <c r="A542" s="150" t="s">
        <v>2314</v>
      </c>
      <c r="B542" s="150" t="s">
        <v>2315</v>
      </c>
      <c r="C542" s="439" t="s">
        <v>4483</v>
      </c>
      <c r="D542" s="150" t="s">
        <v>2672</v>
      </c>
      <c r="E542" s="440">
        <v>1266.0</v>
      </c>
      <c r="F542" s="440">
        <v>71.0</v>
      </c>
      <c r="G542" s="440">
        <v>9.0</v>
      </c>
      <c r="H542" s="440">
        <v>11.0</v>
      </c>
      <c r="I542" s="440">
        <v>20.0</v>
      </c>
      <c r="J542" s="441">
        <v>0.45</v>
      </c>
      <c r="K542" s="150" t="s">
        <v>3593</v>
      </c>
      <c r="L542" s="150">
        <v>2.222315121E9</v>
      </c>
      <c r="M542" s="150" t="s">
        <v>2666</v>
      </c>
      <c r="N542" s="150" t="s">
        <v>2682</v>
      </c>
      <c r="O542" s="150" t="s">
        <v>2318</v>
      </c>
      <c r="P542" s="150" t="s">
        <v>4484</v>
      </c>
      <c r="Q542" s="442">
        <f>COUNTIF('Hedef Liste'!$A:$A,A542)</f>
        <v>1</v>
      </c>
    </row>
    <row r="543" hidden="1">
      <c r="A543" s="150" t="s">
        <v>854</v>
      </c>
      <c r="B543" s="150" t="s">
        <v>855</v>
      </c>
      <c r="C543" s="439" t="s">
        <v>4483</v>
      </c>
      <c r="D543" s="150" t="s">
        <v>2904</v>
      </c>
      <c r="E543" s="440">
        <v>2030.0</v>
      </c>
      <c r="F543" s="440">
        <v>82.0</v>
      </c>
      <c r="G543" s="440">
        <v>3.0</v>
      </c>
      <c r="H543" s="440">
        <v>1.0</v>
      </c>
      <c r="I543" s="440">
        <v>4.0</v>
      </c>
      <c r="J543" s="441">
        <v>0.75</v>
      </c>
      <c r="K543" s="150" t="s">
        <v>5156</v>
      </c>
      <c r="L543" s="150">
        <v>2.222332952E9</v>
      </c>
      <c r="M543" s="150" t="s">
        <v>2666</v>
      </c>
      <c r="N543" s="150" t="s">
        <v>2667</v>
      </c>
      <c r="O543" s="150" t="s">
        <v>858</v>
      </c>
      <c r="P543" s="150" t="s">
        <v>4484</v>
      </c>
      <c r="Q543" s="442">
        <f>COUNTIF('Hedef Liste'!$A:$A,A543)</f>
        <v>1</v>
      </c>
    </row>
    <row r="544" hidden="1">
      <c r="A544" s="150" t="s">
        <v>3427</v>
      </c>
      <c r="B544" s="150" t="s">
        <v>3428</v>
      </c>
      <c r="C544" s="439" t="s">
        <v>4483</v>
      </c>
      <c r="D544" s="150" t="s">
        <v>2724</v>
      </c>
      <c r="E544" s="440">
        <v>14537.0</v>
      </c>
      <c r="F544" s="440">
        <v>502.0</v>
      </c>
      <c r="G544" s="440">
        <v>0.0</v>
      </c>
      <c r="H544" s="440">
        <v>44.0</v>
      </c>
      <c r="I544" s="440">
        <v>44.0</v>
      </c>
      <c r="J544" s="441">
        <v>0.0</v>
      </c>
      <c r="K544" s="150" t="s">
        <v>5157</v>
      </c>
      <c r="L544" s="150">
        <v>2.2223399E9</v>
      </c>
      <c r="M544" s="150" t="s">
        <v>1450</v>
      </c>
      <c r="N544" s="150" t="s">
        <v>2732</v>
      </c>
      <c r="O544" s="150" t="s">
        <v>5158</v>
      </c>
      <c r="P544" s="150" t="s">
        <v>4484</v>
      </c>
      <c r="Q544" s="442">
        <f>COUNTIF('Hedef Liste'!$A:$A,A544)</f>
        <v>1</v>
      </c>
    </row>
    <row r="545" hidden="1">
      <c r="A545" s="150" t="s">
        <v>3622</v>
      </c>
      <c r="B545" s="150" t="s">
        <v>3623</v>
      </c>
      <c r="C545" s="439" t="s">
        <v>4483</v>
      </c>
      <c r="D545" s="150" t="s">
        <v>2664</v>
      </c>
      <c r="E545" s="440">
        <v>722.0</v>
      </c>
      <c r="F545" s="443"/>
      <c r="G545" s="440">
        <v>0.0</v>
      </c>
      <c r="H545" s="440">
        <v>20.0</v>
      </c>
      <c r="I545" s="440">
        <v>20.0</v>
      </c>
      <c r="J545" s="441">
        <v>0.0</v>
      </c>
      <c r="K545" s="150" t="s">
        <v>3624</v>
      </c>
      <c r="L545" s="150">
        <v>5.46878194E9</v>
      </c>
      <c r="M545" s="150" t="s">
        <v>2666</v>
      </c>
      <c r="N545" s="150" t="s">
        <v>2801</v>
      </c>
      <c r="O545" s="150" t="s">
        <v>2148</v>
      </c>
      <c r="P545" s="150" t="s">
        <v>4484</v>
      </c>
      <c r="Q545" s="442">
        <f>COUNTIF('Hedef Liste'!$A:$A,A545)</f>
        <v>1</v>
      </c>
    </row>
    <row r="546" hidden="1">
      <c r="A546" s="150" t="s">
        <v>4275</v>
      </c>
      <c r="B546" s="150" t="s">
        <v>4276</v>
      </c>
      <c r="C546" s="439" t="s">
        <v>4483</v>
      </c>
      <c r="D546" s="150" t="s">
        <v>2672</v>
      </c>
      <c r="E546" s="440">
        <v>279.0</v>
      </c>
      <c r="F546" s="440">
        <v>15.0</v>
      </c>
      <c r="G546" s="440">
        <v>0.0</v>
      </c>
      <c r="H546" s="440">
        <v>6.0</v>
      </c>
      <c r="I546" s="440">
        <v>6.0</v>
      </c>
      <c r="J546" s="441">
        <v>0.0</v>
      </c>
      <c r="K546" s="150" t="s">
        <v>4277</v>
      </c>
      <c r="L546" s="150">
        <v>2.223357036E9</v>
      </c>
      <c r="M546" s="150" t="s">
        <v>2666</v>
      </c>
      <c r="N546" s="150" t="s">
        <v>2750</v>
      </c>
      <c r="O546" s="150" t="s">
        <v>4278</v>
      </c>
      <c r="P546" s="150" t="s">
        <v>4484</v>
      </c>
      <c r="Q546" s="442">
        <f>COUNTIF('Hedef Liste'!$A:$A,A546)</f>
        <v>1</v>
      </c>
    </row>
    <row r="547" hidden="1">
      <c r="A547" s="150" t="s">
        <v>3616</v>
      </c>
      <c r="B547" s="150" t="s">
        <v>3617</v>
      </c>
      <c r="C547" s="439" t="s">
        <v>4483</v>
      </c>
      <c r="D547" s="150" t="s">
        <v>2664</v>
      </c>
      <c r="E547" s="440">
        <v>856.0</v>
      </c>
      <c r="F547" s="440">
        <v>61.0</v>
      </c>
      <c r="G547" s="440">
        <v>0.0</v>
      </c>
      <c r="H547" s="440">
        <v>71.0</v>
      </c>
      <c r="I547" s="440">
        <v>71.0</v>
      </c>
      <c r="J547" s="441">
        <v>0.0</v>
      </c>
      <c r="K547" s="150" t="s">
        <v>3618</v>
      </c>
      <c r="L547" s="150">
        <v>2.222310214E9</v>
      </c>
      <c r="M547" s="150" t="s">
        <v>1450</v>
      </c>
      <c r="N547" s="150" t="s">
        <v>2700</v>
      </c>
      <c r="O547" s="150" t="s">
        <v>3619</v>
      </c>
      <c r="P547" s="150" t="s">
        <v>4484</v>
      </c>
      <c r="Q547" s="442">
        <f>COUNTIF('Hedef Liste'!$A:$A,A547)</f>
        <v>1</v>
      </c>
    </row>
    <row r="548" hidden="1">
      <c r="A548" s="150" t="s">
        <v>3548</v>
      </c>
      <c r="B548" s="150" t="s">
        <v>3549</v>
      </c>
      <c r="C548" s="439" t="s">
        <v>4483</v>
      </c>
      <c r="D548" s="150" t="s">
        <v>2763</v>
      </c>
      <c r="E548" s="440">
        <v>245.0</v>
      </c>
      <c r="F548" s="440">
        <v>8.0</v>
      </c>
      <c r="G548" s="440">
        <v>0.0</v>
      </c>
      <c r="H548" s="440">
        <v>24.0</v>
      </c>
      <c r="I548" s="440">
        <v>24.0</v>
      </c>
      <c r="J548" s="441">
        <v>0.0</v>
      </c>
      <c r="K548" s="150" t="s">
        <v>3550</v>
      </c>
      <c r="L548" s="150">
        <v>5.531029147E9</v>
      </c>
      <c r="M548" s="150" t="s">
        <v>1450</v>
      </c>
      <c r="N548" s="150" t="s">
        <v>2732</v>
      </c>
      <c r="O548" s="150" t="s">
        <v>3551</v>
      </c>
      <c r="P548" s="150" t="s">
        <v>4484</v>
      </c>
      <c r="Q548" s="442">
        <f>COUNTIF('Hedef Liste'!$A:$A,A548)</f>
        <v>1</v>
      </c>
    </row>
    <row r="549" hidden="1">
      <c r="A549" s="150" t="s">
        <v>4054</v>
      </c>
      <c r="B549" s="150" t="s">
        <v>4055</v>
      </c>
      <c r="C549" s="439" t="s">
        <v>4483</v>
      </c>
      <c r="D549" s="150" t="s">
        <v>2850</v>
      </c>
      <c r="E549" s="440">
        <v>721.0</v>
      </c>
      <c r="F549" s="440">
        <v>88.0</v>
      </c>
      <c r="G549" s="440">
        <v>0.0</v>
      </c>
      <c r="H549" s="440">
        <v>21.0</v>
      </c>
      <c r="I549" s="440">
        <v>21.0</v>
      </c>
      <c r="J549" s="441">
        <v>0.0</v>
      </c>
      <c r="K549" s="150" t="s">
        <v>4056</v>
      </c>
      <c r="L549" s="150">
        <v>2.223220045E9</v>
      </c>
      <c r="M549" s="150" t="s">
        <v>2666</v>
      </c>
      <c r="N549" s="150" t="s">
        <v>2721</v>
      </c>
      <c r="O549" s="150" t="s">
        <v>4057</v>
      </c>
      <c r="P549" s="150" t="s">
        <v>4484</v>
      </c>
      <c r="Q549" s="442">
        <f>COUNTIF('Hedef Liste'!$A:$A,A549)</f>
        <v>1</v>
      </c>
    </row>
    <row r="550" hidden="1">
      <c r="A550" s="150" t="s">
        <v>4091</v>
      </c>
      <c r="B550" s="150" t="s">
        <v>4092</v>
      </c>
      <c r="C550" s="439" t="s">
        <v>4483</v>
      </c>
      <c r="D550" s="150" t="s">
        <v>2724</v>
      </c>
      <c r="E550" s="440">
        <v>2449.0</v>
      </c>
      <c r="F550" s="440">
        <v>283.0</v>
      </c>
      <c r="G550" s="440">
        <v>0.0</v>
      </c>
      <c r="H550" s="440">
        <v>104.0</v>
      </c>
      <c r="I550" s="440">
        <v>104.0</v>
      </c>
      <c r="J550" s="441">
        <v>0.0</v>
      </c>
      <c r="K550" s="150" t="s">
        <v>3125</v>
      </c>
      <c r="L550" s="150">
        <v>5.061435585E9</v>
      </c>
      <c r="M550" s="150" t="s">
        <v>2666</v>
      </c>
      <c r="N550" s="150" t="s">
        <v>2682</v>
      </c>
      <c r="O550" s="150" t="s">
        <v>3126</v>
      </c>
      <c r="P550" s="150" t="s">
        <v>4484</v>
      </c>
      <c r="Q550" s="442">
        <f>COUNTIF('Hedef Liste'!$A:$A,A550)</f>
        <v>1</v>
      </c>
    </row>
    <row r="551" hidden="1">
      <c r="A551" s="150" t="s">
        <v>4214</v>
      </c>
      <c r="B551" s="150" t="s">
        <v>4215</v>
      </c>
      <c r="C551" s="439" t="s">
        <v>4483</v>
      </c>
      <c r="D551" s="150" t="s">
        <v>2867</v>
      </c>
      <c r="E551" s="440">
        <v>102.0</v>
      </c>
      <c r="F551" s="443"/>
      <c r="G551" s="440">
        <v>0.0</v>
      </c>
      <c r="H551" s="440">
        <v>29.0</v>
      </c>
      <c r="I551" s="440">
        <v>29.0</v>
      </c>
      <c r="J551" s="441">
        <v>0.0</v>
      </c>
      <c r="K551" s="150" t="s">
        <v>4216</v>
      </c>
      <c r="L551" s="150">
        <v>5.526483098E9</v>
      </c>
      <c r="M551" s="150" t="s">
        <v>2666</v>
      </c>
      <c r="N551" s="150" t="s">
        <v>2750</v>
      </c>
      <c r="O551" s="150" t="s">
        <v>1961</v>
      </c>
      <c r="P551" s="150" t="s">
        <v>4484</v>
      </c>
      <c r="Q551" s="442">
        <f>COUNTIF('Hedef Liste'!$A:$A,A551)</f>
        <v>1</v>
      </c>
    </row>
    <row r="552" hidden="1">
      <c r="A552" s="150" t="s">
        <v>3803</v>
      </c>
      <c r="B552" s="150" t="s">
        <v>3804</v>
      </c>
      <c r="C552" s="439" t="s">
        <v>4483</v>
      </c>
      <c r="D552" s="150" t="s">
        <v>2684</v>
      </c>
      <c r="E552" s="440">
        <v>285.0</v>
      </c>
      <c r="F552" s="443"/>
      <c r="G552" s="440">
        <v>0.0</v>
      </c>
      <c r="H552" s="440">
        <v>10.0</v>
      </c>
      <c r="I552" s="440">
        <v>10.0</v>
      </c>
      <c r="J552" s="441">
        <v>0.0</v>
      </c>
      <c r="K552" s="150" t="s">
        <v>3805</v>
      </c>
      <c r="L552" s="150">
        <v>5.495890222E9</v>
      </c>
      <c r="M552" s="150" t="s">
        <v>2666</v>
      </c>
      <c r="N552" s="150" t="s">
        <v>2774</v>
      </c>
      <c r="O552" s="150" t="s">
        <v>3806</v>
      </c>
      <c r="P552" s="150" t="s">
        <v>4484</v>
      </c>
      <c r="Q552" s="442">
        <f>COUNTIF('Hedef Liste'!$A:$A,A552)</f>
        <v>1</v>
      </c>
    </row>
    <row r="553" hidden="1">
      <c r="A553" s="150" t="s">
        <v>3440</v>
      </c>
      <c r="B553" s="150" t="s">
        <v>5159</v>
      </c>
      <c r="C553" s="439" t="s">
        <v>4483</v>
      </c>
      <c r="D553" s="150" t="s">
        <v>2684</v>
      </c>
      <c r="E553" s="440">
        <v>919.0</v>
      </c>
      <c r="F553" s="440">
        <v>91.0</v>
      </c>
      <c r="G553" s="440">
        <v>6.0</v>
      </c>
      <c r="H553" s="440">
        <v>29.0</v>
      </c>
      <c r="I553" s="440">
        <v>35.0</v>
      </c>
      <c r="J553" s="441">
        <v>0.17</v>
      </c>
      <c r="K553" s="150" t="s">
        <v>3203</v>
      </c>
      <c r="L553" s="150">
        <v>5.013482626E9</v>
      </c>
      <c r="M553" s="150" t="s">
        <v>2666</v>
      </c>
      <c r="N553" s="150" t="s">
        <v>2801</v>
      </c>
      <c r="O553" s="150" t="s">
        <v>3208</v>
      </c>
      <c r="P553" s="150" t="s">
        <v>4484</v>
      </c>
      <c r="Q553" s="442">
        <f>COUNTIF('Hedef Liste'!$A:$A,A553)</f>
        <v>1</v>
      </c>
    </row>
    <row r="554" hidden="1">
      <c r="A554" s="150" t="s">
        <v>3206</v>
      </c>
      <c r="B554" s="150" t="s">
        <v>5160</v>
      </c>
      <c r="C554" s="439" t="s">
        <v>4483</v>
      </c>
      <c r="D554" s="150" t="s">
        <v>2724</v>
      </c>
      <c r="E554" s="440">
        <v>1617.0</v>
      </c>
      <c r="F554" s="440">
        <v>292.0</v>
      </c>
      <c r="G554" s="440">
        <v>26.0</v>
      </c>
      <c r="H554" s="440">
        <v>26.0</v>
      </c>
      <c r="I554" s="440">
        <v>52.0</v>
      </c>
      <c r="J554" s="441">
        <v>0.5</v>
      </c>
      <c r="K554" s="150" t="s">
        <v>3203</v>
      </c>
      <c r="L554" s="150">
        <v>5.013381616E9</v>
      </c>
      <c r="M554" s="150" t="s">
        <v>2666</v>
      </c>
      <c r="N554" s="150" t="s">
        <v>2801</v>
      </c>
      <c r="O554" s="150" t="s">
        <v>3208</v>
      </c>
      <c r="P554" s="150" t="s">
        <v>4484</v>
      </c>
      <c r="Q554" s="442">
        <f>COUNTIF('Hedef Liste'!$A:$A,A554)</f>
        <v>1</v>
      </c>
    </row>
    <row r="555" hidden="1">
      <c r="A555" s="150" t="s">
        <v>3319</v>
      </c>
      <c r="B555" s="150" t="s">
        <v>3320</v>
      </c>
      <c r="C555" s="439" t="s">
        <v>4483</v>
      </c>
      <c r="D555" s="150" t="s">
        <v>2672</v>
      </c>
      <c r="E555" s="440">
        <v>2092.0</v>
      </c>
      <c r="F555" s="440">
        <v>160.0</v>
      </c>
      <c r="G555" s="440">
        <v>0.0</v>
      </c>
      <c r="H555" s="440">
        <v>25.0</v>
      </c>
      <c r="I555" s="440">
        <v>25.0</v>
      </c>
      <c r="J555" s="441">
        <v>0.0</v>
      </c>
      <c r="K555" s="150" t="s">
        <v>5143</v>
      </c>
      <c r="L555" s="150">
        <v>2.222202877E9</v>
      </c>
      <c r="M555" s="150" t="s">
        <v>1450</v>
      </c>
      <c r="N555" s="150" t="s">
        <v>2700</v>
      </c>
      <c r="O555" s="150" t="s">
        <v>3321</v>
      </c>
      <c r="P555" s="150" t="s">
        <v>4484</v>
      </c>
      <c r="Q555" s="442">
        <f>COUNTIF('Hedef Liste'!$A:$A,A555)</f>
        <v>1</v>
      </c>
    </row>
    <row r="556" hidden="1">
      <c r="A556" s="150" t="s">
        <v>3627</v>
      </c>
      <c r="B556" s="150" t="s">
        <v>3628</v>
      </c>
      <c r="C556" s="439" t="s">
        <v>4483</v>
      </c>
      <c r="D556" s="150" t="s">
        <v>3561</v>
      </c>
      <c r="E556" s="440">
        <v>266.0</v>
      </c>
      <c r="F556" s="440">
        <v>51.0</v>
      </c>
      <c r="G556" s="440">
        <v>0.0</v>
      </c>
      <c r="H556" s="440">
        <v>19.0</v>
      </c>
      <c r="I556" s="440">
        <v>19.0</v>
      </c>
      <c r="J556" s="441">
        <v>0.0</v>
      </c>
      <c r="K556" s="150" t="s">
        <v>3629</v>
      </c>
      <c r="L556" s="150">
        <v>2.222392537E9</v>
      </c>
      <c r="M556" s="150" t="s">
        <v>1450</v>
      </c>
      <c r="N556" s="150" t="s">
        <v>2732</v>
      </c>
      <c r="O556" s="150" t="s">
        <v>398</v>
      </c>
      <c r="P556" s="150" t="s">
        <v>4484</v>
      </c>
      <c r="Q556" s="442">
        <f>COUNTIF('Hedef Liste'!$A:$A,A556)</f>
        <v>1</v>
      </c>
    </row>
    <row r="557" hidden="1">
      <c r="A557" s="150" t="s">
        <v>3857</v>
      </c>
      <c r="B557" s="150" t="s">
        <v>3858</v>
      </c>
      <c r="C557" s="439" t="s">
        <v>4483</v>
      </c>
      <c r="D557" s="150" t="s">
        <v>2684</v>
      </c>
      <c r="E557" s="440">
        <v>1667.0</v>
      </c>
      <c r="F557" s="440">
        <v>224.0</v>
      </c>
      <c r="G557" s="440">
        <v>0.0</v>
      </c>
      <c r="H557" s="440">
        <v>8.0</v>
      </c>
      <c r="I557" s="440">
        <v>8.0</v>
      </c>
      <c r="J557" s="441">
        <v>0.0</v>
      </c>
      <c r="K557" s="150" t="s">
        <v>3859</v>
      </c>
      <c r="L557" s="150">
        <v>5.516828333E9</v>
      </c>
      <c r="M557" s="150" t="s">
        <v>1450</v>
      </c>
      <c r="N557" s="150" t="s">
        <v>2732</v>
      </c>
      <c r="O557" s="150" t="s">
        <v>5161</v>
      </c>
      <c r="P557" s="150" t="s">
        <v>4484</v>
      </c>
      <c r="Q557" s="442">
        <f>COUNTIF('Hedef Liste'!$A:$A,A557)</f>
        <v>1</v>
      </c>
    </row>
    <row r="558" hidden="1">
      <c r="A558" s="150" t="s">
        <v>2239</v>
      </c>
      <c r="B558" s="150" t="s">
        <v>2240</v>
      </c>
      <c r="C558" s="439" t="s">
        <v>4483</v>
      </c>
      <c r="D558" s="150" t="s">
        <v>2706</v>
      </c>
      <c r="E558" s="440">
        <v>1955.0</v>
      </c>
      <c r="F558" s="440">
        <v>107.0</v>
      </c>
      <c r="G558" s="440">
        <v>8.0</v>
      </c>
      <c r="H558" s="440">
        <v>6.0</v>
      </c>
      <c r="I558" s="440">
        <v>14.0</v>
      </c>
      <c r="J558" s="441">
        <v>0.57</v>
      </c>
      <c r="K558" s="150" t="s">
        <v>5162</v>
      </c>
      <c r="L558" s="150">
        <v>2.222330112E9</v>
      </c>
      <c r="M558" s="150" t="s">
        <v>2666</v>
      </c>
      <c r="N558" s="150" t="s">
        <v>3084</v>
      </c>
      <c r="O558" s="150" t="s">
        <v>2242</v>
      </c>
      <c r="P558" s="150" t="s">
        <v>4484</v>
      </c>
      <c r="Q558" s="442">
        <f>COUNTIF('Hedef Liste'!$A:$A,A558)</f>
        <v>1</v>
      </c>
    </row>
    <row r="559" hidden="1">
      <c r="A559" s="150" t="s">
        <v>3407</v>
      </c>
      <c r="B559" s="150" t="s">
        <v>3408</v>
      </c>
      <c r="C559" s="439" t="s">
        <v>4483</v>
      </c>
      <c r="D559" s="150" t="s">
        <v>2904</v>
      </c>
      <c r="E559" s="440">
        <v>5.0</v>
      </c>
      <c r="F559" s="440">
        <v>1.0</v>
      </c>
      <c r="G559" s="440">
        <v>0.0</v>
      </c>
      <c r="H559" s="440">
        <v>24.0</v>
      </c>
      <c r="I559" s="440">
        <v>24.0</v>
      </c>
      <c r="J559" s="441">
        <v>0.0</v>
      </c>
      <c r="K559" s="150" t="s">
        <v>3024</v>
      </c>
      <c r="L559" s="150">
        <v>5.321636998E9</v>
      </c>
      <c r="M559" s="150" t="s">
        <v>1450</v>
      </c>
      <c r="N559" s="150" t="s">
        <v>2707</v>
      </c>
      <c r="O559" s="150" t="s">
        <v>3025</v>
      </c>
      <c r="P559" s="150" t="s">
        <v>4484</v>
      </c>
      <c r="Q559" s="442">
        <f>COUNTIF('Hedef Liste'!$A:$A,A559)</f>
        <v>1</v>
      </c>
    </row>
    <row r="560" hidden="1">
      <c r="A560" s="150" t="s">
        <v>2044</v>
      </c>
      <c r="B560" s="150" t="s">
        <v>5163</v>
      </c>
      <c r="C560" s="439" t="s">
        <v>4483</v>
      </c>
      <c r="D560" s="150" t="s">
        <v>2773</v>
      </c>
      <c r="E560" s="440">
        <v>1220.0</v>
      </c>
      <c r="F560" s="443"/>
      <c r="G560" s="440">
        <v>8.0</v>
      </c>
      <c r="H560" s="440">
        <v>8.0</v>
      </c>
      <c r="I560" s="440">
        <v>16.0</v>
      </c>
      <c r="J560" s="441">
        <v>0.5</v>
      </c>
      <c r="K560" s="150" t="s">
        <v>4941</v>
      </c>
      <c r="L560" s="150">
        <v>5.071435857E9</v>
      </c>
      <c r="M560" s="150" t="s">
        <v>2666</v>
      </c>
      <c r="N560" s="150" t="s">
        <v>3131</v>
      </c>
      <c r="O560" s="150" t="s">
        <v>390</v>
      </c>
      <c r="P560" s="150" t="s">
        <v>4484</v>
      </c>
      <c r="Q560" s="442">
        <f>COUNTIF('Hedef Liste'!$A:$A,A560)</f>
        <v>1</v>
      </c>
    </row>
    <row r="561" hidden="1">
      <c r="A561" s="150" t="s">
        <v>1491</v>
      </c>
      <c r="B561" s="150" t="s">
        <v>1492</v>
      </c>
      <c r="C561" s="439" t="s">
        <v>4483</v>
      </c>
      <c r="D561" s="150" t="s">
        <v>2763</v>
      </c>
      <c r="E561" s="440">
        <v>437.0</v>
      </c>
      <c r="F561" s="440">
        <v>58.0</v>
      </c>
      <c r="G561" s="440">
        <v>4.0</v>
      </c>
      <c r="H561" s="440">
        <v>23.0</v>
      </c>
      <c r="I561" s="440">
        <v>27.0</v>
      </c>
      <c r="J561" s="441">
        <v>0.15</v>
      </c>
      <c r="K561" s="150" t="s">
        <v>5164</v>
      </c>
      <c r="L561" s="150">
        <v>2.222371296E9</v>
      </c>
      <c r="M561" s="150" t="s">
        <v>1450</v>
      </c>
      <c r="N561" s="150" t="s">
        <v>2905</v>
      </c>
      <c r="O561" s="150" t="s">
        <v>1495</v>
      </c>
      <c r="P561" s="150" t="s">
        <v>4484</v>
      </c>
      <c r="Q561" s="442">
        <f>COUNTIF('Hedef Liste'!$A:$A,A561)</f>
        <v>1</v>
      </c>
    </row>
    <row r="562" hidden="1">
      <c r="A562" s="150" t="s">
        <v>2304</v>
      </c>
      <c r="B562" s="150" t="s">
        <v>2305</v>
      </c>
      <c r="C562" s="439" t="s">
        <v>4483</v>
      </c>
      <c r="D562" s="150" t="s">
        <v>2773</v>
      </c>
      <c r="E562" s="440">
        <v>542.0</v>
      </c>
      <c r="F562" s="440">
        <v>27.0</v>
      </c>
      <c r="G562" s="440">
        <v>0.0</v>
      </c>
      <c r="H562" s="440">
        <v>16.0</v>
      </c>
      <c r="I562" s="440">
        <v>16.0</v>
      </c>
      <c r="J562" s="441">
        <v>0.0</v>
      </c>
      <c r="K562" s="150" t="s">
        <v>5165</v>
      </c>
      <c r="L562" s="150">
        <v>5.379480226E9</v>
      </c>
      <c r="M562" s="150" t="s">
        <v>2666</v>
      </c>
      <c r="N562" s="150" t="s">
        <v>2685</v>
      </c>
      <c r="O562" s="150" t="s">
        <v>2308</v>
      </c>
      <c r="P562" s="150" t="s">
        <v>4484</v>
      </c>
      <c r="Q562" s="442">
        <f>COUNTIF('Hedef Liste'!$A:$A,A562)</f>
        <v>1</v>
      </c>
    </row>
    <row r="563" hidden="1">
      <c r="A563" s="150" t="s">
        <v>3004</v>
      </c>
      <c r="B563" s="150" t="s">
        <v>3005</v>
      </c>
      <c r="C563" s="439" t="s">
        <v>4483</v>
      </c>
      <c r="D563" s="150" t="s">
        <v>2664</v>
      </c>
      <c r="E563" s="440">
        <v>2030.0</v>
      </c>
      <c r="F563" s="440">
        <v>218.0</v>
      </c>
      <c r="G563" s="440">
        <v>0.0</v>
      </c>
      <c r="H563" s="440">
        <v>18.0</v>
      </c>
      <c r="I563" s="440">
        <v>18.0</v>
      </c>
      <c r="J563" s="441">
        <v>0.0</v>
      </c>
      <c r="K563" s="150" t="s">
        <v>3006</v>
      </c>
      <c r="L563" s="150">
        <v>5.435322506E9</v>
      </c>
      <c r="M563" s="150" t="s">
        <v>2666</v>
      </c>
      <c r="N563" s="150" t="s">
        <v>2721</v>
      </c>
      <c r="O563" s="150" t="s">
        <v>3007</v>
      </c>
      <c r="P563" s="150" t="s">
        <v>4484</v>
      </c>
      <c r="Q563" s="442">
        <f>COUNTIF('Hedef Liste'!$A:$A,A563)</f>
        <v>1</v>
      </c>
    </row>
    <row r="564" hidden="1">
      <c r="A564" s="150" t="s">
        <v>2995</v>
      </c>
      <c r="B564" s="150" t="s">
        <v>2996</v>
      </c>
      <c r="C564" s="439" t="s">
        <v>4483</v>
      </c>
      <c r="D564" s="150" t="s">
        <v>2696</v>
      </c>
      <c r="E564" s="440">
        <v>344.0</v>
      </c>
      <c r="F564" s="440">
        <v>38.0</v>
      </c>
      <c r="G564" s="440">
        <v>0.0</v>
      </c>
      <c r="H564" s="440">
        <v>25.0</v>
      </c>
      <c r="I564" s="440">
        <v>25.0</v>
      </c>
      <c r="J564" s="441">
        <v>0.0</v>
      </c>
      <c r="K564" s="150" t="s">
        <v>2997</v>
      </c>
      <c r="L564" s="150">
        <v>5.524809173E9</v>
      </c>
      <c r="M564" s="150" t="s">
        <v>1450</v>
      </c>
      <c r="N564" s="150" t="s">
        <v>2716</v>
      </c>
      <c r="O564" s="150" t="s">
        <v>2998</v>
      </c>
      <c r="P564" s="150" t="s">
        <v>4484</v>
      </c>
      <c r="Q564" s="442">
        <f>COUNTIF('Hedef Liste'!$A:$A,A564)</f>
        <v>1</v>
      </c>
    </row>
    <row r="565" hidden="1">
      <c r="A565" s="150" t="s">
        <v>3649</v>
      </c>
      <c r="B565" s="150" t="s">
        <v>3650</v>
      </c>
      <c r="C565" s="439" t="s">
        <v>4483</v>
      </c>
      <c r="D565" s="150" t="s">
        <v>2706</v>
      </c>
      <c r="E565" s="440">
        <v>1461.0</v>
      </c>
      <c r="F565" s="440">
        <v>95.0</v>
      </c>
      <c r="G565" s="440">
        <v>0.0</v>
      </c>
      <c r="H565" s="440">
        <v>48.0</v>
      </c>
      <c r="I565" s="440">
        <v>48.0</v>
      </c>
      <c r="J565" s="441">
        <v>0.0</v>
      </c>
      <c r="K565" s="150" t="s">
        <v>3651</v>
      </c>
      <c r="L565" s="150">
        <v>2.22335352E9</v>
      </c>
      <c r="M565" s="150" t="s">
        <v>2666</v>
      </c>
      <c r="N565" s="150" t="s">
        <v>4529</v>
      </c>
      <c r="O565" s="150" t="s">
        <v>572</v>
      </c>
      <c r="P565" s="150" t="s">
        <v>4484</v>
      </c>
      <c r="Q565" s="442">
        <f>COUNTIF('Hedef Liste'!$A:$A,A565)</f>
        <v>1</v>
      </c>
    </row>
    <row r="566" hidden="1">
      <c r="A566" s="150" t="s">
        <v>3089</v>
      </c>
      <c r="B566" s="150" t="s">
        <v>3090</v>
      </c>
      <c r="C566" s="439" t="s">
        <v>4483</v>
      </c>
      <c r="D566" s="150" t="s">
        <v>2684</v>
      </c>
      <c r="E566" s="440">
        <v>1983.0</v>
      </c>
      <c r="F566" s="440">
        <v>312.0</v>
      </c>
      <c r="G566" s="440">
        <v>0.0</v>
      </c>
      <c r="H566" s="440">
        <v>19.0</v>
      </c>
      <c r="I566" s="440">
        <v>19.0</v>
      </c>
      <c r="J566" s="444">
        <v>0.0</v>
      </c>
      <c r="K566" s="150" t="s">
        <v>3091</v>
      </c>
      <c r="L566" s="150">
        <v>5.464886074E9</v>
      </c>
      <c r="M566" s="150" t="s">
        <v>1450</v>
      </c>
      <c r="N566" s="150" t="s">
        <v>2732</v>
      </c>
      <c r="O566" s="150" t="s">
        <v>3092</v>
      </c>
      <c r="P566" s="150" t="s">
        <v>4484</v>
      </c>
      <c r="Q566" s="442">
        <f>COUNTIF('Hedef Liste'!$A:$A,A566)</f>
        <v>1</v>
      </c>
    </row>
    <row r="567" hidden="1">
      <c r="A567" s="150" t="s">
        <v>5166</v>
      </c>
      <c r="B567" s="150" t="s">
        <v>5167</v>
      </c>
      <c r="C567" s="439" t="s">
        <v>4483</v>
      </c>
      <c r="D567" s="150" t="s">
        <v>2773</v>
      </c>
      <c r="E567" s="440">
        <v>442.0</v>
      </c>
      <c r="F567" s="440">
        <v>35.0</v>
      </c>
      <c r="G567" s="440">
        <v>12.0</v>
      </c>
      <c r="H567" s="440">
        <v>11.0</v>
      </c>
      <c r="I567" s="440">
        <v>23.0</v>
      </c>
      <c r="J567" s="441">
        <v>0.52</v>
      </c>
      <c r="K567" s="150" t="s">
        <v>5168</v>
      </c>
      <c r="L567" s="150">
        <v>5.524411868E9</v>
      </c>
      <c r="M567" s="150" t="s">
        <v>2666</v>
      </c>
      <c r="N567" s="150" t="s">
        <v>2750</v>
      </c>
      <c r="O567" s="150" t="s">
        <v>5169</v>
      </c>
      <c r="P567" s="150" t="s">
        <v>4484</v>
      </c>
      <c r="Q567" s="442">
        <f>COUNTIF('Hedef Liste'!$A:$A,A567)</f>
        <v>0</v>
      </c>
    </row>
    <row r="568" hidden="1">
      <c r="A568" s="150" t="s">
        <v>3799</v>
      </c>
      <c r="B568" s="150" t="s">
        <v>5170</v>
      </c>
      <c r="C568" s="439" t="s">
        <v>4483</v>
      </c>
      <c r="D568" s="150" t="s">
        <v>2701</v>
      </c>
      <c r="E568" s="440">
        <v>172.0</v>
      </c>
      <c r="F568" s="440">
        <v>2.0</v>
      </c>
      <c r="G568" s="440">
        <v>11.0</v>
      </c>
      <c r="H568" s="440">
        <v>5.0</v>
      </c>
      <c r="I568" s="440">
        <v>16.0</v>
      </c>
      <c r="J568" s="441">
        <v>0.69</v>
      </c>
      <c r="K568" s="150" t="s">
        <v>5074</v>
      </c>
      <c r="L568" s="150">
        <v>5.304942107E9</v>
      </c>
      <c r="M568" s="150" t="s">
        <v>2666</v>
      </c>
      <c r="N568" s="150" t="s">
        <v>2667</v>
      </c>
      <c r="O568" s="150" t="s">
        <v>3801</v>
      </c>
      <c r="P568" s="150" t="s">
        <v>4484</v>
      </c>
      <c r="Q568" s="442">
        <f>COUNTIF('Hedef Liste'!$A:$A,A568)</f>
        <v>1</v>
      </c>
    </row>
    <row r="569" hidden="1">
      <c r="A569" s="150" t="s">
        <v>4208</v>
      </c>
      <c r="B569" s="150" t="s">
        <v>4209</v>
      </c>
      <c r="C569" s="439" t="s">
        <v>4483</v>
      </c>
      <c r="D569" s="150" t="s">
        <v>2672</v>
      </c>
      <c r="E569" s="440">
        <v>4056.0</v>
      </c>
      <c r="F569" s="440">
        <v>465.0</v>
      </c>
      <c r="G569" s="440">
        <v>0.0</v>
      </c>
      <c r="H569" s="440">
        <v>9.0</v>
      </c>
      <c r="I569" s="440">
        <v>9.0</v>
      </c>
      <c r="J569" s="441">
        <v>0.0</v>
      </c>
      <c r="K569" s="150" t="s">
        <v>4936</v>
      </c>
      <c r="L569" s="150">
        <v>2.222397267E9</v>
      </c>
      <c r="M569" s="150" t="s">
        <v>1450</v>
      </c>
      <c r="N569" s="150" t="s">
        <v>4514</v>
      </c>
      <c r="O569" s="150" t="s">
        <v>2572</v>
      </c>
      <c r="P569" s="150" t="s">
        <v>4484</v>
      </c>
      <c r="Q569" s="442">
        <f>COUNTIF('Hedef Liste'!$A:$A,A569)</f>
        <v>1</v>
      </c>
    </row>
    <row r="570" hidden="1">
      <c r="A570" s="150" t="s">
        <v>2363</v>
      </c>
      <c r="B570" s="150" t="s">
        <v>2364</v>
      </c>
      <c r="C570" s="439" t="s">
        <v>4483</v>
      </c>
      <c r="D570" s="150" t="s">
        <v>2763</v>
      </c>
      <c r="E570" s="440">
        <v>1675.0</v>
      </c>
      <c r="F570" s="440">
        <v>146.0</v>
      </c>
      <c r="G570" s="440">
        <v>0.0</v>
      </c>
      <c r="H570" s="440">
        <v>28.0</v>
      </c>
      <c r="I570" s="440">
        <v>28.0</v>
      </c>
      <c r="J570" s="441">
        <v>0.0</v>
      </c>
      <c r="K570" s="150" t="s">
        <v>3385</v>
      </c>
      <c r="L570" s="150">
        <v>5.520101461E9</v>
      </c>
      <c r="M570" s="150" t="s">
        <v>2666</v>
      </c>
      <c r="N570" s="150" t="s">
        <v>2794</v>
      </c>
      <c r="O570" s="150" t="s">
        <v>2366</v>
      </c>
      <c r="P570" s="150" t="s">
        <v>4484</v>
      </c>
      <c r="Q570" s="442">
        <f>COUNTIF('Hedef Liste'!$A:$A,A570)</f>
        <v>1</v>
      </c>
    </row>
    <row r="571" hidden="1">
      <c r="A571" s="150" t="s">
        <v>1918</v>
      </c>
      <c r="B571" s="150" t="s">
        <v>5171</v>
      </c>
      <c r="C571" s="439" t="s">
        <v>4483</v>
      </c>
      <c r="D571" s="150" t="s">
        <v>2763</v>
      </c>
      <c r="E571" s="440">
        <v>1562.0</v>
      </c>
      <c r="F571" s="440">
        <v>80.0</v>
      </c>
      <c r="G571" s="440">
        <v>9.0</v>
      </c>
      <c r="H571" s="440">
        <v>9.0</v>
      </c>
      <c r="I571" s="440">
        <v>18.0</v>
      </c>
      <c r="J571" s="441">
        <v>0.5</v>
      </c>
      <c r="K571" s="150" t="s">
        <v>5172</v>
      </c>
      <c r="L571" s="150">
        <v>5.376746287E9</v>
      </c>
      <c r="M571" s="150" t="s">
        <v>2666</v>
      </c>
      <c r="N571" s="150" t="s">
        <v>2809</v>
      </c>
      <c r="O571" s="150" t="s">
        <v>1922</v>
      </c>
      <c r="P571" s="150" t="s">
        <v>4484</v>
      </c>
      <c r="Q571" s="442">
        <f>COUNTIF('Hedef Liste'!$A:$A,A571)</f>
        <v>1</v>
      </c>
    </row>
    <row r="572" hidden="1">
      <c r="A572" s="150" t="s">
        <v>4048</v>
      </c>
      <c r="B572" s="150" t="s">
        <v>4049</v>
      </c>
      <c r="C572" s="439" t="s">
        <v>4483</v>
      </c>
      <c r="D572" s="150" t="s">
        <v>2763</v>
      </c>
      <c r="E572" s="440">
        <v>9.0</v>
      </c>
      <c r="F572" s="443"/>
      <c r="G572" s="440">
        <v>0.0</v>
      </c>
      <c r="H572" s="440">
        <v>15.0</v>
      </c>
      <c r="I572" s="440">
        <v>15.0</v>
      </c>
      <c r="J572" s="441">
        <v>0.0</v>
      </c>
      <c r="K572" s="150" t="s">
        <v>3715</v>
      </c>
      <c r="L572" s="150">
        <v>5.413662656E9</v>
      </c>
      <c r="M572" s="150" t="s">
        <v>2666</v>
      </c>
      <c r="N572" s="150" t="s">
        <v>2750</v>
      </c>
      <c r="O572" s="150" t="s">
        <v>3716</v>
      </c>
      <c r="P572" s="150" t="s">
        <v>4484</v>
      </c>
      <c r="Q572" s="442">
        <f>COUNTIF('Hedef Liste'!$A:$A,A572)</f>
        <v>1</v>
      </c>
    </row>
    <row r="573" hidden="1">
      <c r="A573" s="150" t="s">
        <v>3656</v>
      </c>
      <c r="B573" s="150" t="s">
        <v>5173</v>
      </c>
      <c r="C573" s="439" t="s">
        <v>4483</v>
      </c>
      <c r="D573" s="150" t="s">
        <v>2867</v>
      </c>
      <c r="E573" s="440">
        <v>942.0</v>
      </c>
      <c r="F573" s="443"/>
      <c r="G573" s="440">
        <v>0.0</v>
      </c>
      <c r="H573" s="440">
        <v>7.0</v>
      </c>
      <c r="I573" s="440">
        <v>7.0</v>
      </c>
      <c r="J573" s="441">
        <v>0.0</v>
      </c>
      <c r="K573" s="150" t="s">
        <v>5174</v>
      </c>
      <c r="L573" s="150">
        <v>5.4148926E9</v>
      </c>
      <c r="M573" s="150" t="s">
        <v>1450</v>
      </c>
      <c r="N573" s="150" t="s">
        <v>2795</v>
      </c>
      <c r="O573" s="150" t="s">
        <v>719</v>
      </c>
      <c r="P573" s="150" t="s">
        <v>4484</v>
      </c>
      <c r="Q573" s="442">
        <f>COUNTIF('Hedef Liste'!$A:$A,A573)</f>
        <v>1</v>
      </c>
    </row>
    <row r="574" hidden="1">
      <c r="A574" s="150" t="s">
        <v>3713</v>
      </c>
      <c r="B574" s="150" t="s">
        <v>3714</v>
      </c>
      <c r="C574" s="439" t="s">
        <v>4483</v>
      </c>
      <c r="D574" s="150" t="s">
        <v>2763</v>
      </c>
      <c r="E574" s="440">
        <v>18.0</v>
      </c>
      <c r="F574" s="443"/>
      <c r="G574" s="440">
        <v>0.0</v>
      </c>
      <c r="H574" s="440">
        <v>19.0</v>
      </c>
      <c r="I574" s="440">
        <v>19.0</v>
      </c>
      <c r="J574" s="441">
        <v>0.0</v>
      </c>
      <c r="K574" s="150" t="s">
        <v>3715</v>
      </c>
      <c r="L574" s="150">
        <v>5.413662656E9</v>
      </c>
      <c r="M574" s="150" t="s">
        <v>2666</v>
      </c>
      <c r="N574" s="150" t="s">
        <v>2750</v>
      </c>
      <c r="O574" s="150" t="s">
        <v>3716</v>
      </c>
      <c r="P574" s="150" t="s">
        <v>4484</v>
      </c>
      <c r="Q574" s="442">
        <f>COUNTIF('Hedef Liste'!$A:$A,A574)</f>
        <v>1</v>
      </c>
    </row>
    <row r="575" hidden="1">
      <c r="A575" s="150" t="s">
        <v>2266</v>
      </c>
      <c r="B575" s="150" t="s">
        <v>2267</v>
      </c>
      <c r="C575" s="439" t="s">
        <v>4483</v>
      </c>
      <c r="D575" s="150" t="s">
        <v>2672</v>
      </c>
      <c r="E575" s="440">
        <v>879.0</v>
      </c>
      <c r="F575" s="443"/>
      <c r="G575" s="440">
        <v>24.0</v>
      </c>
      <c r="H575" s="440">
        <v>7.0</v>
      </c>
      <c r="I575" s="440">
        <v>31.0</v>
      </c>
      <c r="J575" s="441">
        <v>0.77</v>
      </c>
      <c r="K575" s="150" t="s">
        <v>4243</v>
      </c>
      <c r="L575" s="150">
        <v>2.223303525E9</v>
      </c>
      <c r="M575" s="150" t="s">
        <v>2666</v>
      </c>
      <c r="N575" s="150" t="s">
        <v>2750</v>
      </c>
      <c r="O575" s="150" t="s">
        <v>2269</v>
      </c>
      <c r="P575" s="150" t="s">
        <v>4484</v>
      </c>
      <c r="Q575" s="442">
        <f>COUNTIF('Hedef Liste'!$A:$A,A575)</f>
        <v>1</v>
      </c>
    </row>
    <row r="576" hidden="1">
      <c r="A576" s="150" t="s">
        <v>3160</v>
      </c>
      <c r="B576" s="150" t="s">
        <v>1770</v>
      </c>
      <c r="C576" s="439" t="s">
        <v>4483</v>
      </c>
      <c r="D576" s="150" t="s">
        <v>2751</v>
      </c>
      <c r="E576" s="440">
        <v>427.0</v>
      </c>
      <c r="F576" s="440">
        <v>104.0</v>
      </c>
      <c r="G576" s="440">
        <v>0.0</v>
      </c>
      <c r="H576" s="440">
        <v>36.0</v>
      </c>
      <c r="I576" s="440">
        <v>36.0</v>
      </c>
      <c r="J576" s="441">
        <v>0.0</v>
      </c>
      <c r="K576" s="150" t="s">
        <v>3032</v>
      </c>
      <c r="L576" s="150">
        <v>5.461032626E9</v>
      </c>
      <c r="M576" s="150" t="s">
        <v>2666</v>
      </c>
      <c r="N576" s="150" t="s">
        <v>2801</v>
      </c>
      <c r="O576" s="150" t="s">
        <v>3033</v>
      </c>
      <c r="P576" s="150" t="s">
        <v>4484</v>
      </c>
      <c r="Q576" s="442">
        <f>COUNTIF('Hedef Liste'!$A:$A,A576)</f>
        <v>1</v>
      </c>
    </row>
    <row r="577" hidden="1">
      <c r="A577" s="150" t="s">
        <v>3038</v>
      </c>
      <c r="B577" s="150" t="s">
        <v>3039</v>
      </c>
      <c r="C577" s="439" t="s">
        <v>4483</v>
      </c>
      <c r="D577" s="150" t="s">
        <v>2658</v>
      </c>
      <c r="E577" s="440">
        <v>349.0</v>
      </c>
      <c r="F577" s="440">
        <v>20.0</v>
      </c>
      <c r="G577" s="440">
        <v>0.0</v>
      </c>
      <c r="H577" s="440">
        <v>20.0</v>
      </c>
      <c r="I577" s="440">
        <v>20.0</v>
      </c>
      <c r="J577" s="441">
        <v>0.0</v>
      </c>
      <c r="K577" s="150" t="s">
        <v>3040</v>
      </c>
      <c r="L577" s="150">
        <v>2.222267007E9</v>
      </c>
      <c r="M577" s="150" t="s">
        <v>1450</v>
      </c>
      <c r="N577" s="150" t="s">
        <v>2732</v>
      </c>
      <c r="O577" s="150" t="s">
        <v>3041</v>
      </c>
      <c r="P577" s="150" t="s">
        <v>4484</v>
      </c>
      <c r="Q577" s="442">
        <f>COUNTIF('Hedef Liste'!$A:$A,A577)</f>
        <v>1</v>
      </c>
    </row>
    <row r="578" hidden="1">
      <c r="A578" s="150" t="s">
        <v>2259</v>
      </c>
      <c r="B578" s="150" t="s">
        <v>2260</v>
      </c>
      <c r="C578" s="439" t="s">
        <v>4483</v>
      </c>
      <c r="D578" s="150" t="s">
        <v>2664</v>
      </c>
      <c r="E578" s="440">
        <v>613.0</v>
      </c>
      <c r="F578" s="440">
        <v>85.0</v>
      </c>
      <c r="G578" s="440">
        <v>29.0</v>
      </c>
      <c r="H578" s="440">
        <v>37.0</v>
      </c>
      <c r="I578" s="440">
        <v>66.0</v>
      </c>
      <c r="J578" s="441">
        <v>0.44</v>
      </c>
      <c r="K578" s="150" t="s">
        <v>2749</v>
      </c>
      <c r="L578" s="150">
        <v>5.4491433E9</v>
      </c>
      <c r="M578" s="150" t="s">
        <v>2666</v>
      </c>
      <c r="N578" s="150" t="s">
        <v>2750</v>
      </c>
      <c r="O578" s="150" t="s">
        <v>2262</v>
      </c>
      <c r="P578" s="150" t="s">
        <v>4484</v>
      </c>
      <c r="Q578" s="442">
        <f>COUNTIF('Hedef Liste'!$A:$A,A578)</f>
        <v>1</v>
      </c>
    </row>
    <row r="579" hidden="1">
      <c r="A579" s="150" t="s">
        <v>2281</v>
      </c>
      <c r="B579" s="150" t="s">
        <v>2282</v>
      </c>
      <c r="C579" s="439" t="s">
        <v>4483</v>
      </c>
      <c r="D579" s="150" t="s">
        <v>2701</v>
      </c>
      <c r="E579" s="440">
        <v>117.0</v>
      </c>
      <c r="F579" s="440">
        <v>7.0</v>
      </c>
      <c r="G579" s="440">
        <v>4.0</v>
      </c>
      <c r="H579" s="440">
        <v>0.0</v>
      </c>
      <c r="I579" s="440">
        <v>4.0</v>
      </c>
      <c r="J579" s="441">
        <v>1.0</v>
      </c>
      <c r="K579" s="150" t="s">
        <v>3094</v>
      </c>
      <c r="L579" s="150">
        <v>5.395072904E9</v>
      </c>
      <c r="M579" s="150" t="s">
        <v>2666</v>
      </c>
      <c r="N579" s="150" t="s">
        <v>2750</v>
      </c>
      <c r="O579" s="150" t="s">
        <v>1946</v>
      </c>
      <c r="P579" s="150" t="s">
        <v>4484</v>
      </c>
      <c r="Q579" s="442">
        <f>COUNTIF('Hedef Liste'!$A:$A,A579)</f>
        <v>1</v>
      </c>
    </row>
    <row r="580" hidden="1">
      <c r="A580" s="150" t="s">
        <v>3949</v>
      </c>
      <c r="B580" s="150" t="s">
        <v>3950</v>
      </c>
      <c r="C580" s="439" t="s">
        <v>4483</v>
      </c>
      <c r="D580" s="150" t="s">
        <v>2664</v>
      </c>
      <c r="E580" s="440">
        <v>6.0</v>
      </c>
      <c r="F580" s="440">
        <v>1.0</v>
      </c>
      <c r="G580" s="440">
        <v>0.0</v>
      </c>
      <c r="H580" s="440">
        <v>29.0</v>
      </c>
      <c r="I580" s="440">
        <v>29.0</v>
      </c>
      <c r="J580" s="441">
        <v>0.0</v>
      </c>
      <c r="K580" s="150" t="s">
        <v>3951</v>
      </c>
      <c r="L580" s="150">
        <v>5.45941353E9</v>
      </c>
      <c r="M580" s="150" t="s">
        <v>2666</v>
      </c>
      <c r="N580" s="150" t="s">
        <v>2667</v>
      </c>
      <c r="O580" s="150" t="s">
        <v>3952</v>
      </c>
      <c r="P580" s="150" t="s">
        <v>4484</v>
      </c>
      <c r="Q580" s="442">
        <f>COUNTIF('Hedef Liste'!$A:$A,A580)</f>
        <v>1</v>
      </c>
    </row>
    <row r="581" hidden="1">
      <c r="A581" s="150" t="s">
        <v>2345</v>
      </c>
      <c r="B581" s="150" t="s">
        <v>2346</v>
      </c>
      <c r="C581" s="439" t="s">
        <v>4483</v>
      </c>
      <c r="D581" s="150" t="s">
        <v>2701</v>
      </c>
      <c r="E581" s="440">
        <v>1640.0</v>
      </c>
      <c r="F581" s="440">
        <v>220.0</v>
      </c>
      <c r="G581" s="440">
        <v>45.0</v>
      </c>
      <c r="H581" s="440">
        <v>7.0</v>
      </c>
      <c r="I581" s="440">
        <v>52.0</v>
      </c>
      <c r="J581" s="441">
        <v>0.87</v>
      </c>
      <c r="K581" s="150" t="s">
        <v>4393</v>
      </c>
      <c r="L581" s="150">
        <v>2.222240407E9</v>
      </c>
      <c r="M581" s="150" t="s">
        <v>1450</v>
      </c>
      <c r="N581" s="150" t="s">
        <v>2795</v>
      </c>
      <c r="O581" s="150" t="s">
        <v>2348</v>
      </c>
      <c r="P581" s="150" t="s">
        <v>4484</v>
      </c>
      <c r="Q581" s="442">
        <f>COUNTIF('Hedef Liste'!$A:$A,A581)</f>
        <v>1</v>
      </c>
    </row>
    <row r="582" hidden="1">
      <c r="A582" s="150" t="s">
        <v>3995</v>
      </c>
      <c r="B582" s="150" t="s">
        <v>3996</v>
      </c>
      <c r="C582" s="439" t="s">
        <v>4483</v>
      </c>
      <c r="D582" s="150" t="s">
        <v>2664</v>
      </c>
      <c r="E582" s="440">
        <v>304.0</v>
      </c>
      <c r="F582" s="443"/>
      <c r="G582" s="440">
        <v>0.0</v>
      </c>
      <c r="H582" s="440">
        <v>26.0</v>
      </c>
      <c r="I582" s="440">
        <v>26.0</v>
      </c>
      <c r="J582" s="441">
        <v>0.0</v>
      </c>
      <c r="K582" s="150" t="s">
        <v>5175</v>
      </c>
      <c r="L582" s="150">
        <v>2.222342565E9</v>
      </c>
      <c r="M582" s="150" t="s">
        <v>2666</v>
      </c>
      <c r="N582" s="150" t="s">
        <v>3084</v>
      </c>
      <c r="O582" s="150" t="s">
        <v>3997</v>
      </c>
      <c r="P582" s="150" t="s">
        <v>4484</v>
      </c>
      <c r="Q582" s="442">
        <f>COUNTIF('Hedef Liste'!$A:$A,A582)</f>
        <v>1</v>
      </c>
    </row>
    <row r="583" hidden="1">
      <c r="A583" s="150" t="s">
        <v>2826</v>
      </c>
      <c r="B583" s="150" t="s">
        <v>2827</v>
      </c>
      <c r="C583" s="439" t="s">
        <v>4483</v>
      </c>
      <c r="D583" s="150" t="s">
        <v>2773</v>
      </c>
      <c r="E583" s="440">
        <v>297.0</v>
      </c>
      <c r="F583" s="440">
        <v>3.0</v>
      </c>
      <c r="G583" s="440">
        <v>0.0</v>
      </c>
      <c r="H583" s="440">
        <v>13.0</v>
      </c>
      <c r="I583" s="440">
        <v>13.0</v>
      </c>
      <c r="J583" s="441">
        <v>0.0</v>
      </c>
      <c r="K583" s="150" t="s">
        <v>2916</v>
      </c>
      <c r="L583" s="150">
        <v>5.323806601E9</v>
      </c>
      <c r="M583" s="150" t="s">
        <v>2666</v>
      </c>
      <c r="N583" s="150" t="s">
        <v>2711</v>
      </c>
      <c r="O583" s="150" t="s">
        <v>2828</v>
      </c>
      <c r="P583" s="150" t="s">
        <v>4484</v>
      </c>
      <c r="Q583" s="442">
        <f>COUNTIF('Hedef Liste'!$A:$A,A583)</f>
        <v>1</v>
      </c>
    </row>
    <row r="584" hidden="1">
      <c r="A584" s="150" t="s">
        <v>4211</v>
      </c>
      <c r="B584" s="150" t="s">
        <v>4212</v>
      </c>
      <c r="C584" s="439" t="s">
        <v>4483</v>
      </c>
      <c r="D584" s="150" t="s">
        <v>2763</v>
      </c>
      <c r="E584" s="440">
        <v>1160.0</v>
      </c>
      <c r="F584" s="440">
        <v>56.0</v>
      </c>
      <c r="G584" s="440">
        <v>0.0</v>
      </c>
      <c r="H584" s="440">
        <v>22.0</v>
      </c>
      <c r="I584" s="440">
        <v>22.0</v>
      </c>
      <c r="J584" s="441">
        <v>0.0</v>
      </c>
      <c r="K584" s="150" t="s">
        <v>2875</v>
      </c>
      <c r="L584" s="150">
        <v>5.528775383E9</v>
      </c>
      <c r="M584" s="150" t="s">
        <v>2666</v>
      </c>
      <c r="N584" s="150" t="s">
        <v>2876</v>
      </c>
      <c r="O584" s="150" t="s">
        <v>2877</v>
      </c>
      <c r="P584" s="150" t="s">
        <v>4484</v>
      </c>
      <c r="Q584" s="442">
        <f>COUNTIF('Hedef Liste'!$A:$A,A584)</f>
        <v>1</v>
      </c>
    </row>
    <row r="585" hidden="1">
      <c r="A585" s="150" t="s">
        <v>2873</v>
      </c>
      <c r="B585" s="150" t="s">
        <v>2874</v>
      </c>
      <c r="C585" s="439" t="s">
        <v>4483</v>
      </c>
      <c r="D585" s="150" t="s">
        <v>2763</v>
      </c>
      <c r="E585" s="440">
        <v>386.0</v>
      </c>
      <c r="F585" s="440">
        <v>34.0</v>
      </c>
      <c r="G585" s="440">
        <v>0.0</v>
      </c>
      <c r="H585" s="440">
        <v>17.0</v>
      </c>
      <c r="I585" s="440">
        <v>17.0</v>
      </c>
      <c r="J585" s="441">
        <v>0.0</v>
      </c>
      <c r="K585" s="150" t="s">
        <v>2875</v>
      </c>
      <c r="L585" s="150">
        <v>5.528775383E9</v>
      </c>
      <c r="M585" s="150" t="s">
        <v>2666</v>
      </c>
      <c r="N585" s="150" t="s">
        <v>2876</v>
      </c>
      <c r="O585" s="150" t="s">
        <v>2877</v>
      </c>
      <c r="P585" s="150" t="s">
        <v>4484</v>
      </c>
      <c r="Q585" s="442">
        <f>COUNTIF('Hedef Liste'!$A:$A,A585)</f>
        <v>1</v>
      </c>
    </row>
    <row r="586" hidden="1">
      <c r="A586" s="150" t="s">
        <v>4073</v>
      </c>
      <c r="B586" s="150" t="s">
        <v>5176</v>
      </c>
      <c r="C586" s="439" t="s">
        <v>4483</v>
      </c>
      <c r="D586" s="150" t="s">
        <v>2867</v>
      </c>
      <c r="E586" s="440">
        <v>281.0</v>
      </c>
      <c r="F586" s="443"/>
      <c r="G586" s="440">
        <v>0.0</v>
      </c>
      <c r="H586" s="440">
        <v>19.0</v>
      </c>
      <c r="I586" s="440">
        <v>19.0</v>
      </c>
      <c r="J586" s="441">
        <v>0.0</v>
      </c>
      <c r="K586" s="150" t="s">
        <v>5026</v>
      </c>
      <c r="L586" s="150">
        <v>5.394222667E9</v>
      </c>
      <c r="M586" s="150" t="s">
        <v>2666</v>
      </c>
      <c r="N586" s="150" t="s">
        <v>2721</v>
      </c>
      <c r="O586" s="150" t="s">
        <v>2837</v>
      </c>
      <c r="P586" s="150" t="s">
        <v>4484</v>
      </c>
      <c r="Q586" s="442">
        <f>COUNTIF('Hedef Liste'!$A:$A,A586)</f>
        <v>1</v>
      </c>
    </row>
    <row r="587" hidden="1">
      <c r="A587" s="150" t="s">
        <v>1972</v>
      </c>
      <c r="B587" s="150" t="s">
        <v>1973</v>
      </c>
      <c r="C587" s="439" t="s">
        <v>4483</v>
      </c>
      <c r="D587" s="150" t="s">
        <v>2850</v>
      </c>
      <c r="E587" s="440">
        <v>438.0</v>
      </c>
      <c r="F587" s="440">
        <v>16.0</v>
      </c>
      <c r="G587" s="440">
        <v>14.0</v>
      </c>
      <c r="H587" s="440">
        <v>16.0</v>
      </c>
      <c r="I587" s="440">
        <v>30.0</v>
      </c>
      <c r="J587" s="444">
        <v>0.47</v>
      </c>
      <c r="K587" s="150" t="s">
        <v>3697</v>
      </c>
      <c r="L587" s="150">
        <v>5.528265326E9</v>
      </c>
      <c r="M587" s="150" t="s">
        <v>2666</v>
      </c>
      <c r="N587" s="150" t="s">
        <v>2667</v>
      </c>
      <c r="O587" s="150" t="s">
        <v>1975</v>
      </c>
      <c r="P587" s="150" t="s">
        <v>4484</v>
      </c>
      <c r="Q587" s="442">
        <f>COUNTIF('Hedef Liste'!$A:$A,A587)</f>
        <v>1</v>
      </c>
    </row>
    <row r="588" hidden="1">
      <c r="A588" s="150" t="s">
        <v>5177</v>
      </c>
      <c r="B588" s="150" t="s">
        <v>5178</v>
      </c>
      <c r="C588" s="439" t="s">
        <v>4483</v>
      </c>
      <c r="D588" s="150" t="s">
        <v>4738</v>
      </c>
      <c r="E588" s="440">
        <v>1673.0</v>
      </c>
      <c r="F588" s="440">
        <v>34.0</v>
      </c>
      <c r="G588" s="440">
        <v>143.0</v>
      </c>
      <c r="H588" s="440">
        <v>10.0</v>
      </c>
      <c r="I588" s="440">
        <v>153.0</v>
      </c>
      <c r="J588" s="441">
        <v>0.93</v>
      </c>
      <c r="K588" s="150" t="s">
        <v>3116</v>
      </c>
      <c r="L588" s="150">
        <v>5.330008787E9</v>
      </c>
      <c r="M588" s="150" t="s">
        <v>2666</v>
      </c>
      <c r="N588" s="150" t="s">
        <v>2667</v>
      </c>
      <c r="O588" s="150" t="s">
        <v>4739</v>
      </c>
      <c r="P588" s="150" t="s">
        <v>4512</v>
      </c>
      <c r="Q588" s="442">
        <f>COUNTIF('Hedef Liste'!$A:$A,A588)</f>
        <v>0</v>
      </c>
    </row>
    <row r="589" hidden="1">
      <c r="A589" s="150" t="s">
        <v>2198</v>
      </c>
      <c r="B589" s="150" t="s">
        <v>2199</v>
      </c>
      <c r="C589" s="439" t="s">
        <v>4483</v>
      </c>
      <c r="D589" s="150" t="s">
        <v>2658</v>
      </c>
      <c r="E589" s="440">
        <v>311.0</v>
      </c>
      <c r="F589" s="440">
        <v>2.0</v>
      </c>
      <c r="G589" s="440">
        <v>0.0</v>
      </c>
      <c r="H589" s="440">
        <v>27.0</v>
      </c>
      <c r="I589" s="440">
        <v>27.0</v>
      </c>
      <c r="J589" s="441">
        <v>0.0</v>
      </c>
      <c r="K589" s="150" t="s">
        <v>5179</v>
      </c>
      <c r="L589" s="150">
        <v>5.013281226E9</v>
      </c>
      <c r="M589" s="150" t="s">
        <v>1450</v>
      </c>
      <c r="N589" s="150" t="s">
        <v>2707</v>
      </c>
      <c r="O589" s="150" t="s">
        <v>2201</v>
      </c>
      <c r="P589" s="150" t="s">
        <v>4484</v>
      </c>
      <c r="Q589" s="442">
        <f>COUNTIF('Hedef Liste'!$A:$A,A589)</f>
        <v>1</v>
      </c>
    </row>
    <row r="590" hidden="1">
      <c r="A590" s="150" t="s">
        <v>2273</v>
      </c>
      <c r="B590" s="150" t="s">
        <v>2274</v>
      </c>
      <c r="C590" s="439" t="s">
        <v>4483</v>
      </c>
      <c r="D590" s="150" t="s">
        <v>2904</v>
      </c>
      <c r="E590" s="440">
        <v>34.0</v>
      </c>
      <c r="F590" s="443"/>
      <c r="G590" s="440">
        <v>0.0</v>
      </c>
      <c r="H590" s="440">
        <v>52.0</v>
      </c>
      <c r="I590" s="440">
        <v>52.0</v>
      </c>
      <c r="J590" s="441">
        <v>0.0</v>
      </c>
      <c r="K590" s="150" t="s">
        <v>4255</v>
      </c>
      <c r="L590" s="150">
        <v>5.068207704E9</v>
      </c>
      <c r="M590" s="150" t="s">
        <v>1450</v>
      </c>
      <c r="N590" s="150" t="s">
        <v>3189</v>
      </c>
      <c r="O590" s="150" t="s">
        <v>2276</v>
      </c>
      <c r="P590" s="150" t="s">
        <v>4484</v>
      </c>
      <c r="Q590" s="442">
        <f>COUNTIF('Hedef Liste'!$A:$A,A590)</f>
        <v>1</v>
      </c>
    </row>
    <row r="591" hidden="1">
      <c r="A591" s="150" t="s">
        <v>2406</v>
      </c>
      <c r="B591" s="150" t="s">
        <v>2407</v>
      </c>
      <c r="C591" s="439" t="s">
        <v>4483</v>
      </c>
      <c r="D591" s="150" t="s">
        <v>2701</v>
      </c>
      <c r="E591" s="440">
        <v>47.0</v>
      </c>
      <c r="F591" s="443"/>
      <c r="G591" s="440">
        <v>11.0</v>
      </c>
      <c r="H591" s="440">
        <v>5.0</v>
      </c>
      <c r="I591" s="440">
        <v>16.0</v>
      </c>
      <c r="J591" s="441">
        <v>0.69</v>
      </c>
      <c r="K591" s="150" t="s">
        <v>2702</v>
      </c>
      <c r="L591" s="150">
        <v>5.458789294E9</v>
      </c>
      <c r="M591" s="150" t="s">
        <v>1450</v>
      </c>
      <c r="N591" s="150" t="s">
        <v>2703</v>
      </c>
      <c r="O591" s="150" t="s">
        <v>2409</v>
      </c>
      <c r="P591" s="150" t="s">
        <v>4484</v>
      </c>
      <c r="Q591" s="442">
        <f>COUNTIF('Hedef Liste'!$A:$A,A591)</f>
        <v>1</v>
      </c>
    </row>
    <row r="592" hidden="1">
      <c r="A592" s="150" t="s">
        <v>4003</v>
      </c>
      <c r="B592" s="150" t="s">
        <v>4004</v>
      </c>
      <c r="C592" s="439" t="s">
        <v>4483</v>
      </c>
      <c r="D592" s="150" t="s">
        <v>2867</v>
      </c>
      <c r="E592" s="440">
        <v>972.0</v>
      </c>
      <c r="F592" s="440">
        <v>164.0</v>
      </c>
      <c r="G592" s="440">
        <v>19.0</v>
      </c>
      <c r="H592" s="440">
        <v>88.0</v>
      </c>
      <c r="I592" s="440">
        <v>107.0</v>
      </c>
      <c r="J592" s="441">
        <v>0.18</v>
      </c>
      <c r="K592" s="150" t="s">
        <v>3032</v>
      </c>
      <c r="L592" s="150">
        <v>5.461032626E9</v>
      </c>
      <c r="M592" s="150" t="s">
        <v>2666</v>
      </c>
      <c r="N592" s="150" t="s">
        <v>2801</v>
      </c>
      <c r="O592" s="150" t="s">
        <v>3033</v>
      </c>
      <c r="P592" s="150" t="s">
        <v>4484</v>
      </c>
      <c r="Q592" s="442">
        <f>COUNTIF('Hedef Liste'!$A:$A,A592)</f>
        <v>1</v>
      </c>
    </row>
    <row r="593" hidden="1">
      <c r="A593" s="150" t="s">
        <v>3030</v>
      </c>
      <c r="B593" s="150" t="s">
        <v>3031</v>
      </c>
      <c r="C593" s="439" t="s">
        <v>4483</v>
      </c>
      <c r="D593" s="150" t="s">
        <v>2867</v>
      </c>
      <c r="E593" s="440">
        <v>2820.0</v>
      </c>
      <c r="F593" s="440">
        <v>143.0</v>
      </c>
      <c r="G593" s="440">
        <v>0.0</v>
      </c>
      <c r="H593" s="440">
        <v>74.0</v>
      </c>
      <c r="I593" s="440">
        <v>74.0</v>
      </c>
      <c r="J593" s="441">
        <v>0.0</v>
      </c>
      <c r="K593" s="150" t="s">
        <v>3032</v>
      </c>
      <c r="L593" s="150">
        <v>5.461032626E9</v>
      </c>
      <c r="M593" s="150" t="s">
        <v>2666</v>
      </c>
      <c r="N593" s="150" t="s">
        <v>2801</v>
      </c>
      <c r="O593" s="150" t="s">
        <v>3033</v>
      </c>
      <c r="P593" s="150" t="s">
        <v>4484</v>
      </c>
      <c r="Q593" s="442">
        <f>COUNTIF('Hedef Liste'!$A:$A,A593)</f>
        <v>1</v>
      </c>
    </row>
    <row r="594" hidden="1">
      <c r="A594" s="150" t="s">
        <v>2062</v>
      </c>
      <c r="B594" s="150" t="s">
        <v>2063</v>
      </c>
      <c r="C594" s="439" t="s">
        <v>4483</v>
      </c>
      <c r="D594" s="150" t="s">
        <v>2867</v>
      </c>
      <c r="E594" s="440">
        <v>655.0</v>
      </c>
      <c r="F594" s="440">
        <v>16.0</v>
      </c>
      <c r="G594" s="440">
        <v>0.0</v>
      </c>
      <c r="H594" s="440">
        <v>64.0</v>
      </c>
      <c r="I594" s="440">
        <v>64.0</v>
      </c>
      <c r="J594" s="441">
        <v>0.0</v>
      </c>
      <c r="K594" s="150" t="s">
        <v>2857</v>
      </c>
      <c r="L594" s="150">
        <v>2.2232395E9</v>
      </c>
      <c r="M594" s="150" t="s">
        <v>2666</v>
      </c>
      <c r="N594" s="150" t="s">
        <v>2855</v>
      </c>
      <c r="O594" s="150" t="s">
        <v>2056</v>
      </c>
      <c r="P594" s="150" t="s">
        <v>4484</v>
      </c>
      <c r="Q594" s="442">
        <f>COUNTIF('Hedef Liste'!$A:$A,A594)</f>
        <v>1</v>
      </c>
    </row>
    <row r="595" hidden="1">
      <c r="A595" s="150" t="s">
        <v>2032</v>
      </c>
      <c r="B595" s="150" t="s">
        <v>2033</v>
      </c>
      <c r="C595" s="439" t="s">
        <v>4483</v>
      </c>
      <c r="D595" s="150" t="s">
        <v>2773</v>
      </c>
      <c r="E595" s="440">
        <v>1711.0</v>
      </c>
      <c r="F595" s="440">
        <v>69.0</v>
      </c>
      <c r="G595" s="440">
        <v>0.0</v>
      </c>
      <c r="H595" s="440">
        <v>15.0</v>
      </c>
      <c r="I595" s="440">
        <v>15.0</v>
      </c>
      <c r="J595" s="441">
        <v>0.0</v>
      </c>
      <c r="K595" s="150" t="s">
        <v>5180</v>
      </c>
      <c r="L595" s="150">
        <v>5.447844222E9</v>
      </c>
      <c r="M595" s="150" t="s">
        <v>2666</v>
      </c>
      <c r="N595" s="150" t="s">
        <v>2794</v>
      </c>
      <c r="O595" s="150" t="s">
        <v>2036</v>
      </c>
      <c r="P595" s="150" t="s">
        <v>4484</v>
      </c>
      <c r="Q595" s="442">
        <f>COUNTIF('Hedef Liste'!$A:$A,A595)</f>
        <v>1</v>
      </c>
    </row>
    <row r="596" hidden="1">
      <c r="A596" s="150" t="s">
        <v>2373</v>
      </c>
      <c r="B596" s="150" t="s">
        <v>2374</v>
      </c>
      <c r="C596" s="439" t="s">
        <v>4520</v>
      </c>
      <c r="D596" s="150" t="s">
        <v>2664</v>
      </c>
      <c r="F596" s="443"/>
      <c r="G596" s="440">
        <v>0.0</v>
      </c>
      <c r="H596" s="440">
        <v>16.0</v>
      </c>
      <c r="I596" s="440">
        <v>16.0</v>
      </c>
      <c r="J596" s="441">
        <v>0.0</v>
      </c>
      <c r="K596" s="150" t="s">
        <v>2665</v>
      </c>
      <c r="L596" s="150">
        <v>5.523763838E9</v>
      </c>
      <c r="M596" s="150" t="s">
        <v>2666</v>
      </c>
      <c r="N596" s="150" t="s">
        <v>2667</v>
      </c>
      <c r="O596" s="150" t="s">
        <v>2377</v>
      </c>
      <c r="P596" s="150" t="s">
        <v>4484</v>
      </c>
      <c r="Q596" s="442">
        <f>COUNTIF('Hedef Liste'!$A:$A,A596)</f>
        <v>1</v>
      </c>
    </row>
    <row r="597" hidden="1">
      <c r="A597" s="150" t="s">
        <v>5181</v>
      </c>
      <c r="B597" s="150" t="s">
        <v>5182</v>
      </c>
      <c r="C597" s="439" t="s">
        <v>4483</v>
      </c>
      <c r="D597" s="150" t="s">
        <v>2773</v>
      </c>
      <c r="E597" s="440">
        <v>338.0</v>
      </c>
      <c r="F597" s="440">
        <v>58.0</v>
      </c>
      <c r="G597" s="440">
        <v>120.0</v>
      </c>
      <c r="H597" s="440">
        <v>8.0</v>
      </c>
      <c r="I597" s="440">
        <v>128.0</v>
      </c>
      <c r="J597" s="441">
        <v>0.94</v>
      </c>
      <c r="K597" s="150" t="s">
        <v>4567</v>
      </c>
      <c r="L597" s="150">
        <v>5.431011998E9</v>
      </c>
      <c r="M597" s="150" t="s">
        <v>1450</v>
      </c>
      <c r="N597" s="150" t="s">
        <v>2707</v>
      </c>
      <c r="O597" s="150" t="s">
        <v>5183</v>
      </c>
      <c r="P597" s="150" t="s">
        <v>4512</v>
      </c>
      <c r="Q597" s="442">
        <f>COUNTIF('Hedef Liste'!$A:$A,A597)</f>
        <v>0</v>
      </c>
    </row>
    <row r="598" hidden="1">
      <c r="A598" s="150" t="s">
        <v>5184</v>
      </c>
      <c r="B598" s="150" t="s">
        <v>5185</v>
      </c>
      <c r="C598" s="439" t="s">
        <v>4483</v>
      </c>
      <c r="D598" s="150" t="s">
        <v>2701</v>
      </c>
      <c r="E598" s="440">
        <v>607.0</v>
      </c>
      <c r="F598" s="440">
        <v>76.0</v>
      </c>
      <c r="G598" s="440">
        <v>22.0</v>
      </c>
      <c r="H598" s="440">
        <v>20.0</v>
      </c>
      <c r="I598" s="440">
        <v>42.0</v>
      </c>
      <c r="J598" s="441">
        <v>0.52</v>
      </c>
      <c r="K598" s="150" t="s">
        <v>5186</v>
      </c>
      <c r="L598" s="150">
        <v>5.397213154E9</v>
      </c>
      <c r="M598" s="150" t="s">
        <v>1450</v>
      </c>
      <c r="N598" s="150" t="s">
        <v>2732</v>
      </c>
      <c r="O598" s="150" t="s">
        <v>5187</v>
      </c>
      <c r="P598" s="150" t="s">
        <v>4484</v>
      </c>
      <c r="Q598" s="442">
        <f>COUNTIF('Hedef Liste'!$A:$A,A598)</f>
        <v>0</v>
      </c>
    </row>
    <row r="599" hidden="1">
      <c r="A599" s="150" t="s">
        <v>5188</v>
      </c>
      <c r="B599" s="150" t="s">
        <v>5189</v>
      </c>
      <c r="C599" s="439" t="s">
        <v>4520</v>
      </c>
      <c r="D599" s="150" t="s">
        <v>2706</v>
      </c>
      <c r="E599" s="443"/>
      <c r="F599" s="443"/>
      <c r="G599" s="440">
        <v>0.0</v>
      </c>
      <c r="H599" s="440">
        <v>38.0</v>
      </c>
      <c r="I599" s="440">
        <v>38.0</v>
      </c>
      <c r="J599" s="441">
        <v>0.0</v>
      </c>
      <c r="K599" s="150" t="s">
        <v>5190</v>
      </c>
      <c r="L599" s="150">
        <v>5.33543561E9</v>
      </c>
      <c r="M599" s="150" t="s">
        <v>1450</v>
      </c>
      <c r="N599" s="150" t="s">
        <v>3838</v>
      </c>
      <c r="O599" s="150" t="s">
        <v>5191</v>
      </c>
      <c r="P599" s="150" t="s">
        <v>4484</v>
      </c>
      <c r="Q599" s="442">
        <f>COUNTIF('Hedef Liste'!$A:$A,A599)</f>
        <v>0</v>
      </c>
    </row>
    <row r="600" hidden="1">
      <c r="A600" s="150" t="s">
        <v>5192</v>
      </c>
      <c r="B600" s="150" t="s">
        <v>5193</v>
      </c>
      <c r="C600" s="439" t="s">
        <v>4483</v>
      </c>
      <c r="D600" s="150" t="s">
        <v>2751</v>
      </c>
      <c r="E600" s="440">
        <v>465.0</v>
      </c>
      <c r="F600" s="440">
        <v>5.0</v>
      </c>
      <c r="G600" s="440">
        <v>41.0</v>
      </c>
      <c r="H600" s="440">
        <v>13.0</v>
      </c>
      <c r="I600" s="440">
        <v>54.0</v>
      </c>
      <c r="J600" s="441">
        <v>0.76</v>
      </c>
      <c r="K600" s="150" t="s">
        <v>5194</v>
      </c>
      <c r="L600" s="150">
        <v>5.057915465E9</v>
      </c>
      <c r="M600" s="150" t="s">
        <v>1450</v>
      </c>
      <c r="N600" s="150" t="s">
        <v>2782</v>
      </c>
      <c r="O600" s="150" t="s">
        <v>5195</v>
      </c>
      <c r="P600" s="150" t="s">
        <v>4512</v>
      </c>
      <c r="Q600" s="442">
        <f>COUNTIF('Hedef Liste'!$A:$A,A600)</f>
        <v>0</v>
      </c>
    </row>
    <row r="601" hidden="1">
      <c r="A601" s="150" t="s">
        <v>4420</v>
      </c>
      <c r="B601" s="150" t="s">
        <v>4421</v>
      </c>
      <c r="C601" s="439" t="s">
        <v>4483</v>
      </c>
      <c r="D601" s="150" t="s">
        <v>2672</v>
      </c>
      <c r="E601" s="440">
        <v>155.0</v>
      </c>
      <c r="F601" s="440">
        <v>30.0</v>
      </c>
      <c r="G601" s="440">
        <v>0.0</v>
      </c>
      <c r="H601" s="440">
        <v>22.0</v>
      </c>
      <c r="I601" s="440">
        <v>22.0</v>
      </c>
      <c r="J601" s="441">
        <v>0.0</v>
      </c>
      <c r="K601" s="150" t="s">
        <v>4422</v>
      </c>
      <c r="L601" s="150">
        <v>2.22340011E9</v>
      </c>
      <c r="M601" s="150" t="s">
        <v>2666</v>
      </c>
      <c r="N601" s="150" t="s">
        <v>3000</v>
      </c>
      <c r="O601" s="150" t="s">
        <v>4423</v>
      </c>
      <c r="P601" s="150" t="s">
        <v>4484</v>
      </c>
      <c r="Q601" s="442">
        <f>COUNTIF('Hedef Liste'!$A:$A,A601)</f>
        <v>1</v>
      </c>
    </row>
    <row r="602" hidden="1">
      <c r="A602" s="150" t="s">
        <v>3235</v>
      </c>
      <c r="B602" s="150" t="s">
        <v>3236</v>
      </c>
      <c r="C602" s="439" t="s">
        <v>4483</v>
      </c>
      <c r="D602" s="150" t="s">
        <v>2773</v>
      </c>
      <c r="E602" s="443"/>
      <c r="F602" s="443"/>
      <c r="G602" s="440">
        <v>0.0</v>
      </c>
      <c r="H602" s="440">
        <v>14.0</v>
      </c>
      <c r="I602" s="440">
        <v>14.0</v>
      </c>
      <c r="J602" s="441">
        <v>0.0</v>
      </c>
      <c r="K602" s="150" t="s">
        <v>3237</v>
      </c>
      <c r="L602" s="150">
        <v>5.36676439E9</v>
      </c>
      <c r="M602" s="150" t="s">
        <v>2666</v>
      </c>
      <c r="N602" s="150" t="s">
        <v>2879</v>
      </c>
      <c r="O602" s="150" t="s">
        <v>3238</v>
      </c>
      <c r="P602" s="150" t="s">
        <v>4484</v>
      </c>
      <c r="Q602" s="442">
        <f>COUNTIF('Hedef Liste'!$A:$A,A602)</f>
        <v>1</v>
      </c>
    </row>
    <row r="603" hidden="1">
      <c r="A603" s="150" t="s">
        <v>3149</v>
      </c>
      <c r="B603" s="150" t="s">
        <v>3150</v>
      </c>
      <c r="C603" s="439" t="s">
        <v>4483</v>
      </c>
      <c r="D603" s="150" t="s">
        <v>3151</v>
      </c>
      <c r="E603" s="440">
        <v>22.0</v>
      </c>
      <c r="F603" s="440">
        <v>6.0</v>
      </c>
      <c r="G603" s="440">
        <v>0.0</v>
      </c>
      <c r="H603" s="440">
        <v>55.0</v>
      </c>
      <c r="I603" s="440">
        <v>55.0</v>
      </c>
      <c r="J603" s="441">
        <v>0.0</v>
      </c>
      <c r="K603" s="150" t="s">
        <v>3152</v>
      </c>
      <c r="L603" s="150">
        <v>5.058790808E9</v>
      </c>
      <c r="M603" s="150" t="s">
        <v>2666</v>
      </c>
      <c r="N603" s="150" t="s">
        <v>2682</v>
      </c>
      <c r="O603" s="150" t="s">
        <v>3153</v>
      </c>
      <c r="P603" s="150" t="s">
        <v>4484</v>
      </c>
      <c r="Q603" s="442">
        <f>COUNTIF('Hedef Liste'!$A:$A,A603)</f>
        <v>1</v>
      </c>
    </row>
    <row r="604" hidden="1">
      <c r="A604" s="150" t="s">
        <v>3080</v>
      </c>
      <c r="B604" s="150" t="s">
        <v>3081</v>
      </c>
      <c r="C604" s="439" t="s">
        <v>4483</v>
      </c>
      <c r="D604" s="150" t="s">
        <v>2672</v>
      </c>
      <c r="E604" s="440">
        <v>439.0</v>
      </c>
      <c r="F604" s="440">
        <v>11.0</v>
      </c>
      <c r="G604" s="440">
        <v>0.0</v>
      </c>
      <c r="H604" s="440">
        <v>15.0</v>
      </c>
      <c r="I604" s="440">
        <v>15.0</v>
      </c>
      <c r="J604" s="441">
        <v>0.0</v>
      </c>
      <c r="K604" s="150" t="s">
        <v>3082</v>
      </c>
      <c r="L604" s="150">
        <v>2.225028686E9</v>
      </c>
      <c r="M604" s="150" t="s">
        <v>2666</v>
      </c>
      <c r="N604" s="150" t="s">
        <v>2721</v>
      </c>
      <c r="O604" s="150" t="s">
        <v>668</v>
      </c>
      <c r="P604" s="150" t="s">
        <v>4484</v>
      </c>
      <c r="Q604" s="442">
        <f>COUNTIF('Hedef Liste'!$A:$A,A604)</f>
        <v>1</v>
      </c>
    </row>
    <row r="605" hidden="1">
      <c r="A605" s="150" t="s">
        <v>5196</v>
      </c>
      <c r="B605" s="150" t="s">
        <v>5197</v>
      </c>
      <c r="C605" s="439" t="s">
        <v>4483</v>
      </c>
      <c r="D605" s="150" t="s">
        <v>2684</v>
      </c>
      <c r="E605" s="440">
        <v>429.0</v>
      </c>
      <c r="F605" s="440">
        <v>73.0</v>
      </c>
      <c r="G605" s="440">
        <v>9.0</v>
      </c>
      <c r="H605" s="440">
        <v>26.0</v>
      </c>
      <c r="I605" s="440">
        <v>35.0</v>
      </c>
      <c r="J605" s="441">
        <v>0.26</v>
      </c>
      <c r="K605" s="150" t="s">
        <v>3203</v>
      </c>
      <c r="L605" s="150">
        <v>5.013482626E9</v>
      </c>
      <c r="M605" s="150" t="s">
        <v>1450</v>
      </c>
      <c r="N605" s="150" t="s">
        <v>4514</v>
      </c>
      <c r="O605" s="150" t="s">
        <v>5198</v>
      </c>
      <c r="P605" s="150" t="s">
        <v>4484</v>
      </c>
      <c r="Q605" s="442">
        <f>COUNTIF('Hedef Liste'!$A:$A,A605)</f>
        <v>0</v>
      </c>
    </row>
    <row r="606" hidden="1">
      <c r="A606" s="150" t="s">
        <v>2446</v>
      </c>
      <c r="B606" s="150" t="s">
        <v>2447</v>
      </c>
      <c r="C606" s="439" t="s">
        <v>4520</v>
      </c>
      <c r="D606" s="150" t="s">
        <v>2696</v>
      </c>
      <c r="E606" s="440">
        <v>21.0</v>
      </c>
      <c r="F606" s="443"/>
      <c r="G606" s="440">
        <v>12.0</v>
      </c>
      <c r="H606" s="440">
        <v>6.0</v>
      </c>
      <c r="I606" s="440">
        <v>18.0</v>
      </c>
      <c r="J606" s="441">
        <v>0.67</v>
      </c>
      <c r="K606" s="150" t="s">
        <v>4227</v>
      </c>
      <c r="L606" s="150">
        <v>2.222218176E9</v>
      </c>
      <c r="M606" s="150" t="s">
        <v>2666</v>
      </c>
      <c r="N606" s="150" t="s">
        <v>2897</v>
      </c>
      <c r="O606" s="150" t="s">
        <v>2450</v>
      </c>
      <c r="P606" s="150" t="s">
        <v>4484</v>
      </c>
      <c r="Q606" s="442">
        <f>COUNTIF('Hedef Liste'!$A:$A,A606)</f>
        <v>1</v>
      </c>
    </row>
    <row r="607" hidden="1">
      <c r="A607" s="150" t="s">
        <v>2533</v>
      </c>
      <c r="B607" s="150" t="s">
        <v>2534</v>
      </c>
      <c r="C607" s="439" t="s">
        <v>4483</v>
      </c>
      <c r="D607" s="150" t="s">
        <v>2664</v>
      </c>
      <c r="E607" s="440">
        <v>856.0</v>
      </c>
      <c r="F607" s="440">
        <v>160.0</v>
      </c>
      <c r="G607" s="440">
        <v>0.0</v>
      </c>
      <c r="H607" s="440">
        <v>25.0</v>
      </c>
      <c r="I607" s="440">
        <v>25.0</v>
      </c>
      <c r="J607" s="441">
        <v>0.0</v>
      </c>
      <c r="K607" s="150" t="s">
        <v>4081</v>
      </c>
      <c r="L607" s="150">
        <v>5.38615034E9</v>
      </c>
      <c r="M607" s="150" t="s">
        <v>2666</v>
      </c>
      <c r="N607" s="150" t="s">
        <v>2721</v>
      </c>
      <c r="O607" s="150" t="s">
        <v>2536</v>
      </c>
      <c r="P607" s="150" t="s">
        <v>4484</v>
      </c>
      <c r="Q607" s="442">
        <f>COUNTIF('Hedef Liste'!$A:$A,A607)</f>
        <v>1</v>
      </c>
    </row>
    <row r="608" hidden="1">
      <c r="A608" s="150" t="s">
        <v>1718</v>
      </c>
      <c r="B608" s="150" t="s">
        <v>1719</v>
      </c>
      <c r="C608" s="439" t="s">
        <v>4520</v>
      </c>
      <c r="D608" s="150" t="s">
        <v>2658</v>
      </c>
      <c r="E608" s="440">
        <v>357.0</v>
      </c>
      <c r="F608" s="443"/>
      <c r="G608" s="440">
        <v>5.0</v>
      </c>
      <c r="H608" s="440">
        <v>2.0</v>
      </c>
      <c r="I608" s="440">
        <v>7.0</v>
      </c>
      <c r="J608" s="441">
        <v>0.71</v>
      </c>
      <c r="K608" s="150" t="s">
        <v>5199</v>
      </c>
      <c r="L608" s="150">
        <v>2.222292E9</v>
      </c>
      <c r="M608" s="150" t="s">
        <v>1450</v>
      </c>
      <c r="N608" s="150" t="s">
        <v>2732</v>
      </c>
      <c r="O608" s="150" t="s">
        <v>1721</v>
      </c>
      <c r="P608" s="150" t="s">
        <v>4484</v>
      </c>
      <c r="Q608" s="442">
        <f>COUNTIF('Hedef Liste'!$A:$A,A608)</f>
        <v>1</v>
      </c>
    </row>
    <row r="609" hidden="1">
      <c r="A609" s="150" t="s">
        <v>3224</v>
      </c>
      <c r="B609" s="150" t="s">
        <v>3225</v>
      </c>
      <c r="C609" s="439" t="s">
        <v>4483</v>
      </c>
      <c r="D609" s="150" t="s">
        <v>2867</v>
      </c>
      <c r="E609" s="440">
        <v>219.0</v>
      </c>
      <c r="F609" s="440">
        <v>75.0</v>
      </c>
      <c r="G609" s="440">
        <v>0.0</v>
      </c>
      <c r="H609" s="440">
        <v>21.0</v>
      </c>
      <c r="I609" s="440">
        <v>21.0</v>
      </c>
      <c r="J609" s="441">
        <v>0.0</v>
      </c>
      <c r="K609" s="150" t="s">
        <v>3226</v>
      </c>
      <c r="L609" s="150">
        <v>2.22323609E9</v>
      </c>
      <c r="M609" s="150" t="s">
        <v>2666</v>
      </c>
      <c r="N609" s="150" t="s">
        <v>2855</v>
      </c>
      <c r="O609" s="150" t="s">
        <v>2073</v>
      </c>
      <c r="P609" s="150" t="s">
        <v>4484</v>
      </c>
      <c r="Q609" s="442">
        <f>COUNTIF('Hedef Liste'!$A:$A,A609)</f>
        <v>1</v>
      </c>
    </row>
    <row r="610" hidden="1">
      <c r="A610" s="150" t="s">
        <v>2028</v>
      </c>
      <c r="B610" s="150" t="s">
        <v>2029</v>
      </c>
      <c r="C610" s="439" t="s">
        <v>4483</v>
      </c>
      <c r="D610" s="150" t="s">
        <v>2706</v>
      </c>
      <c r="E610" s="440">
        <v>10.0</v>
      </c>
      <c r="F610" s="440">
        <v>2.0</v>
      </c>
      <c r="G610" s="440">
        <v>12.0</v>
      </c>
      <c r="H610" s="440">
        <v>12.0</v>
      </c>
      <c r="I610" s="440">
        <v>24.0</v>
      </c>
      <c r="J610" s="441">
        <v>0.5</v>
      </c>
      <c r="K610" s="150" t="s">
        <v>3637</v>
      </c>
      <c r="L610" s="150">
        <v>5.557527221E9</v>
      </c>
      <c r="M610" s="150" t="s">
        <v>2666</v>
      </c>
      <c r="N610" s="150" t="s">
        <v>2711</v>
      </c>
      <c r="O610" s="150" t="s">
        <v>2031</v>
      </c>
      <c r="P610" s="150" t="s">
        <v>4484</v>
      </c>
      <c r="Q610" s="442">
        <f>COUNTIF('Hedef Liste'!$A:$A,A610)</f>
        <v>1</v>
      </c>
    </row>
    <row r="611" hidden="1">
      <c r="A611" s="150" t="s">
        <v>3604</v>
      </c>
      <c r="B611" s="150" t="s">
        <v>3605</v>
      </c>
      <c r="C611" s="439" t="s">
        <v>4483</v>
      </c>
      <c r="D611" s="150" t="s">
        <v>2672</v>
      </c>
      <c r="E611" s="440">
        <v>271.0</v>
      </c>
      <c r="F611" s="440">
        <v>16.0</v>
      </c>
      <c r="G611" s="440">
        <v>0.0</v>
      </c>
      <c r="H611" s="440">
        <v>25.0</v>
      </c>
      <c r="I611" s="440">
        <v>25.0</v>
      </c>
      <c r="J611" s="441">
        <v>0.0</v>
      </c>
      <c r="K611" s="150" t="s">
        <v>3606</v>
      </c>
      <c r="L611" s="150">
        <v>5.326667723E9</v>
      </c>
      <c r="M611" s="150" t="s">
        <v>2666</v>
      </c>
      <c r="N611" s="150" t="s">
        <v>2667</v>
      </c>
      <c r="O611" s="150" t="s">
        <v>3607</v>
      </c>
      <c r="P611" s="150" t="s">
        <v>4484</v>
      </c>
      <c r="Q611" s="442">
        <f>COUNTIF('Hedef Liste'!$A:$A,A611)</f>
        <v>1</v>
      </c>
    </row>
    <row r="612" hidden="1">
      <c r="A612" s="150" t="s">
        <v>4138</v>
      </c>
      <c r="B612" s="150" t="s">
        <v>4139</v>
      </c>
      <c r="C612" s="439" t="s">
        <v>4483</v>
      </c>
      <c r="D612" s="150" t="s">
        <v>2672</v>
      </c>
      <c r="E612" s="440">
        <v>1284.0</v>
      </c>
      <c r="F612" s="440">
        <v>7.0</v>
      </c>
      <c r="G612" s="440">
        <v>0.0</v>
      </c>
      <c r="H612" s="440">
        <v>14.0</v>
      </c>
      <c r="I612" s="440">
        <v>14.0</v>
      </c>
      <c r="J612" s="444">
        <v>0.0</v>
      </c>
      <c r="K612" s="150" t="s">
        <v>5200</v>
      </c>
      <c r="L612" s="150">
        <v>5.555854872E9</v>
      </c>
      <c r="M612" s="150" t="s">
        <v>1450</v>
      </c>
      <c r="N612" s="150" t="s">
        <v>3189</v>
      </c>
      <c r="O612" s="150" t="s">
        <v>4140</v>
      </c>
      <c r="P612" s="150" t="s">
        <v>4484</v>
      </c>
      <c r="Q612" s="442">
        <f>COUNTIF('Hedef Liste'!$A:$A,A612)</f>
        <v>1</v>
      </c>
    </row>
    <row r="613" hidden="1">
      <c r="A613" s="150" t="s">
        <v>4346</v>
      </c>
      <c r="B613" s="150" t="s">
        <v>4347</v>
      </c>
      <c r="C613" s="439" t="s">
        <v>4483</v>
      </c>
      <c r="D613" s="150" t="s">
        <v>2664</v>
      </c>
      <c r="E613" s="440">
        <v>10486.0</v>
      </c>
      <c r="F613" s="440">
        <v>370.0</v>
      </c>
      <c r="G613" s="440">
        <v>28.0</v>
      </c>
      <c r="H613" s="440">
        <v>8.0</v>
      </c>
      <c r="I613" s="440">
        <v>36.0</v>
      </c>
      <c r="J613" s="441">
        <v>0.78</v>
      </c>
      <c r="K613" s="150" t="s">
        <v>4654</v>
      </c>
      <c r="L613" s="150">
        <v>2.223228678E9</v>
      </c>
      <c r="M613" s="150" t="s">
        <v>2666</v>
      </c>
      <c r="N613" s="150" t="s">
        <v>2682</v>
      </c>
      <c r="O613" s="150" t="s">
        <v>4348</v>
      </c>
      <c r="P613" s="150" t="s">
        <v>4484</v>
      </c>
      <c r="Q613" s="442">
        <f>COUNTIF('Hedef Liste'!$A:$A,A613)</f>
        <v>1</v>
      </c>
    </row>
    <row r="614" hidden="1">
      <c r="A614" s="150" t="s">
        <v>3786</v>
      </c>
      <c r="B614" s="150" t="s">
        <v>3787</v>
      </c>
      <c r="C614" s="439" t="s">
        <v>4483</v>
      </c>
      <c r="D614" s="150" t="s">
        <v>2706</v>
      </c>
      <c r="E614" s="440">
        <v>300.0</v>
      </c>
      <c r="F614" s="443"/>
      <c r="G614" s="440">
        <v>17.0</v>
      </c>
      <c r="H614" s="440">
        <v>14.0</v>
      </c>
      <c r="I614" s="440">
        <v>31.0</v>
      </c>
      <c r="J614" s="441">
        <v>0.55</v>
      </c>
      <c r="K614" s="150" t="s">
        <v>4195</v>
      </c>
      <c r="L614" s="150">
        <v>5.469251906E9</v>
      </c>
      <c r="M614" s="150" t="s">
        <v>2666</v>
      </c>
      <c r="N614" s="150" t="s">
        <v>2801</v>
      </c>
      <c r="O614" s="150" t="s">
        <v>1767</v>
      </c>
      <c r="P614" s="150" t="s">
        <v>4484</v>
      </c>
      <c r="Q614" s="442">
        <f>COUNTIF('Hedef Liste'!$A:$A,A614)</f>
        <v>1</v>
      </c>
    </row>
    <row r="615" hidden="1">
      <c r="A615" s="150" t="s">
        <v>3755</v>
      </c>
      <c r="B615" s="150" t="s">
        <v>3756</v>
      </c>
      <c r="C615" s="439" t="s">
        <v>4483</v>
      </c>
      <c r="D615" s="150" t="s">
        <v>2743</v>
      </c>
      <c r="E615" s="440">
        <v>922.0</v>
      </c>
      <c r="F615" s="440">
        <v>69.0</v>
      </c>
      <c r="G615" s="440">
        <v>0.0</v>
      </c>
      <c r="H615" s="440">
        <v>40.0</v>
      </c>
      <c r="I615" s="440">
        <v>40.0</v>
      </c>
      <c r="J615" s="441">
        <v>0.0</v>
      </c>
      <c r="K615" s="150" t="s">
        <v>3550</v>
      </c>
      <c r="L615" s="150">
        <v>5.531029147E9</v>
      </c>
      <c r="M615" s="150" t="s">
        <v>1450</v>
      </c>
      <c r="N615" s="150" t="s">
        <v>2732</v>
      </c>
      <c r="O615" s="150" t="s">
        <v>3757</v>
      </c>
      <c r="P615" s="150" t="s">
        <v>4484</v>
      </c>
      <c r="Q615" s="442">
        <f>COUNTIF('Hedef Liste'!$A:$A,A615)</f>
        <v>1</v>
      </c>
    </row>
    <row r="616" hidden="1">
      <c r="A616" s="150" t="s">
        <v>3227</v>
      </c>
      <c r="B616" s="150" t="s">
        <v>5201</v>
      </c>
      <c r="C616" s="439" t="s">
        <v>4483</v>
      </c>
      <c r="D616" s="150" t="s">
        <v>2706</v>
      </c>
      <c r="E616" s="440">
        <v>2.0</v>
      </c>
      <c r="F616" s="443"/>
      <c r="G616" s="440">
        <v>0.0</v>
      </c>
      <c r="H616" s="440">
        <v>45.0</v>
      </c>
      <c r="I616" s="440">
        <v>45.0</v>
      </c>
      <c r="J616" s="441">
        <v>0.0</v>
      </c>
      <c r="K616" s="150" t="s">
        <v>3229</v>
      </c>
      <c r="L616" s="150">
        <v>5.302278282E9</v>
      </c>
      <c r="M616" s="150" t="s">
        <v>1450</v>
      </c>
      <c r="N616" s="150" t="s">
        <v>2700</v>
      </c>
      <c r="O616" s="150" t="s">
        <v>3230</v>
      </c>
      <c r="P616" s="150" t="s">
        <v>4484</v>
      </c>
      <c r="Q616" s="442">
        <f>COUNTIF('Hedef Liste'!$A:$A,A616)</f>
        <v>1</v>
      </c>
    </row>
    <row r="617" hidden="1">
      <c r="A617" s="150" t="s">
        <v>3523</v>
      </c>
      <c r="B617" s="150" t="s">
        <v>3524</v>
      </c>
      <c r="C617" s="439" t="s">
        <v>4483</v>
      </c>
      <c r="D617" s="150" t="s">
        <v>2672</v>
      </c>
      <c r="E617" s="440">
        <v>1580.0</v>
      </c>
      <c r="F617" s="440">
        <v>485.0</v>
      </c>
      <c r="G617" s="440">
        <v>0.0</v>
      </c>
      <c r="H617" s="440">
        <v>29.0</v>
      </c>
      <c r="I617" s="440">
        <v>29.0</v>
      </c>
      <c r="J617" s="441">
        <v>0.0</v>
      </c>
      <c r="K617" s="150" t="s">
        <v>3184</v>
      </c>
      <c r="L617" s="150">
        <v>5.413470202E9</v>
      </c>
      <c r="M617" s="150" t="s">
        <v>2666</v>
      </c>
      <c r="N617" s="150" t="s">
        <v>3185</v>
      </c>
      <c r="O617" s="150" t="s">
        <v>3186</v>
      </c>
      <c r="P617" s="150" t="s">
        <v>4484</v>
      </c>
      <c r="Q617" s="442">
        <f>COUNTIF('Hedef Liste'!$A:$A,A617)</f>
        <v>1</v>
      </c>
    </row>
    <row r="618" hidden="1">
      <c r="A618" s="150" t="s">
        <v>4249</v>
      </c>
      <c r="B618" s="150" t="s">
        <v>4250</v>
      </c>
      <c r="C618" s="439" t="s">
        <v>4483</v>
      </c>
      <c r="D618" s="150" t="s">
        <v>2672</v>
      </c>
      <c r="E618" s="440">
        <v>42.0</v>
      </c>
      <c r="F618" s="440">
        <v>42.0</v>
      </c>
      <c r="G618" s="440">
        <v>17.0</v>
      </c>
      <c r="H618" s="440">
        <v>20.0</v>
      </c>
      <c r="I618" s="440">
        <v>37.0</v>
      </c>
      <c r="J618" s="441">
        <v>0.46</v>
      </c>
      <c r="K618" s="150" t="s">
        <v>4251</v>
      </c>
      <c r="L618" s="150">
        <v>5.324408584E9</v>
      </c>
      <c r="M618" s="150" t="s">
        <v>1450</v>
      </c>
      <c r="N618" s="150" t="s">
        <v>2716</v>
      </c>
      <c r="O618" s="150" t="s">
        <v>4252</v>
      </c>
      <c r="P618" s="150" t="s">
        <v>4484</v>
      </c>
      <c r="Q618" s="442">
        <f>COUNTIF('Hedef Liste'!$A:$A,A618)</f>
        <v>1</v>
      </c>
    </row>
    <row r="619" hidden="1">
      <c r="A619" s="150" t="s">
        <v>3387</v>
      </c>
      <c r="B619" s="150" t="s">
        <v>5202</v>
      </c>
      <c r="C619" s="439" t="s">
        <v>4483</v>
      </c>
      <c r="D619" s="150" t="s">
        <v>2773</v>
      </c>
      <c r="E619" s="440">
        <v>23.0</v>
      </c>
      <c r="F619" s="440">
        <v>5.0</v>
      </c>
      <c r="G619" s="440">
        <v>0.0</v>
      </c>
      <c r="H619" s="440">
        <v>12.0</v>
      </c>
      <c r="I619" s="440">
        <v>12.0</v>
      </c>
      <c r="J619" s="441">
        <v>0.0</v>
      </c>
      <c r="K619" s="150" t="s">
        <v>3389</v>
      </c>
      <c r="L619" s="150">
        <v>5.523322646E9</v>
      </c>
      <c r="M619" s="150" t="s">
        <v>2666</v>
      </c>
      <c r="N619" s="150" t="s">
        <v>3000</v>
      </c>
      <c r="O619" s="150" t="s">
        <v>3390</v>
      </c>
      <c r="P619" s="150" t="s">
        <v>4484</v>
      </c>
      <c r="Q619" s="442">
        <f>COUNTIF('Hedef Liste'!$A:$A,A619)</f>
        <v>1</v>
      </c>
    </row>
    <row r="620" hidden="1">
      <c r="A620" s="150" t="s">
        <v>2670</v>
      </c>
      <c r="B620" s="150" t="s">
        <v>2671</v>
      </c>
      <c r="C620" s="439" t="s">
        <v>4483</v>
      </c>
      <c r="D620" s="150" t="s">
        <v>2672</v>
      </c>
      <c r="E620" s="443"/>
      <c r="F620" s="443"/>
      <c r="G620" s="440">
        <v>0.0</v>
      </c>
      <c r="H620" s="440">
        <v>11.0</v>
      </c>
      <c r="I620" s="440">
        <v>11.0</v>
      </c>
      <c r="J620" s="441">
        <v>0.0</v>
      </c>
      <c r="K620" s="150" t="s">
        <v>2673</v>
      </c>
      <c r="L620" s="150">
        <v>5.441602676E9</v>
      </c>
      <c r="M620" s="150" t="s">
        <v>1450</v>
      </c>
      <c r="N620" s="150" t="s">
        <v>2674</v>
      </c>
      <c r="O620" s="150" t="s">
        <v>2675</v>
      </c>
      <c r="P620" s="150" t="s">
        <v>4484</v>
      </c>
      <c r="Q620" s="442">
        <f>COUNTIF('Hedef Liste'!$A:$A,A620)</f>
        <v>1</v>
      </c>
    </row>
    <row r="621" hidden="1">
      <c r="A621" s="150" t="s">
        <v>2823</v>
      </c>
      <c r="B621" s="150" t="s">
        <v>2824</v>
      </c>
      <c r="C621" s="439" t="s">
        <v>4483</v>
      </c>
      <c r="D621" s="150" t="s">
        <v>2773</v>
      </c>
      <c r="E621" s="440">
        <v>220.0</v>
      </c>
      <c r="F621" s="440">
        <v>104.0</v>
      </c>
      <c r="G621" s="440">
        <v>0.0</v>
      </c>
      <c r="H621" s="440">
        <v>13.0</v>
      </c>
      <c r="I621" s="440">
        <v>13.0</v>
      </c>
      <c r="J621" s="441">
        <v>0.0</v>
      </c>
      <c r="K621" s="150" t="s">
        <v>2825</v>
      </c>
      <c r="L621" s="150">
        <v>5.323210226E9</v>
      </c>
      <c r="M621" s="150" t="s">
        <v>2666</v>
      </c>
      <c r="N621" s="150" t="s">
        <v>2721</v>
      </c>
      <c r="O621" s="150" t="s">
        <v>1970</v>
      </c>
      <c r="P621" s="150" t="s">
        <v>4484</v>
      </c>
      <c r="Q621" s="442">
        <f>COUNTIF('Hedef Liste'!$A:$A,A621)</f>
        <v>1</v>
      </c>
    </row>
    <row r="622" hidden="1">
      <c r="A622" s="150" t="s">
        <v>3454</v>
      </c>
      <c r="B622" s="150" t="s">
        <v>3455</v>
      </c>
      <c r="C622" s="439" t="s">
        <v>4483</v>
      </c>
      <c r="D622" s="150" t="s">
        <v>2664</v>
      </c>
      <c r="E622" s="440">
        <v>537.0</v>
      </c>
      <c r="F622" s="440">
        <v>71.0</v>
      </c>
      <c r="G622" s="440">
        <v>0.0</v>
      </c>
      <c r="H622" s="440">
        <v>20.0</v>
      </c>
      <c r="I622" s="440">
        <v>20.0</v>
      </c>
      <c r="J622" s="441">
        <v>0.0</v>
      </c>
      <c r="K622" s="150" t="s">
        <v>3456</v>
      </c>
      <c r="L622" s="150">
        <v>2.22221001E9</v>
      </c>
      <c r="M622" s="150" t="s">
        <v>1450</v>
      </c>
      <c r="N622" s="150" t="s">
        <v>2700</v>
      </c>
      <c r="O622" s="150" t="s">
        <v>649</v>
      </c>
      <c r="P622" s="150" t="s">
        <v>4484</v>
      </c>
      <c r="Q622" s="442">
        <f>COUNTIF('Hedef Liste'!$A:$A,A622)</f>
        <v>1</v>
      </c>
    </row>
    <row r="623" hidden="1">
      <c r="A623" s="150" t="s">
        <v>4267</v>
      </c>
      <c r="B623" s="150" t="s">
        <v>4268</v>
      </c>
      <c r="C623" s="439" t="s">
        <v>4483</v>
      </c>
      <c r="D623" s="150" t="s">
        <v>2867</v>
      </c>
      <c r="E623" s="440">
        <v>296.0</v>
      </c>
      <c r="F623" s="440">
        <v>44.0</v>
      </c>
      <c r="G623" s="440">
        <v>2.0</v>
      </c>
      <c r="H623" s="440">
        <v>19.0</v>
      </c>
      <c r="I623" s="440">
        <v>21.0</v>
      </c>
      <c r="J623" s="441">
        <v>0.1</v>
      </c>
      <c r="K623" s="150" t="s">
        <v>2997</v>
      </c>
      <c r="L623" s="150">
        <v>5.524809173E9</v>
      </c>
      <c r="M623" s="150" t="s">
        <v>1450</v>
      </c>
      <c r="N623" s="150" t="s">
        <v>2716</v>
      </c>
      <c r="O623" s="150" t="s">
        <v>2998</v>
      </c>
      <c r="P623" s="150" t="s">
        <v>4484</v>
      </c>
      <c r="Q623" s="442">
        <f>COUNTIF('Hedef Liste'!$A:$A,A623)</f>
        <v>1</v>
      </c>
    </row>
    <row r="624" hidden="1">
      <c r="A624" s="150" t="s">
        <v>5203</v>
      </c>
      <c r="B624" s="150" t="s">
        <v>2211</v>
      </c>
      <c r="C624" s="439" t="s">
        <v>4483</v>
      </c>
      <c r="D624" s="150" t="s">
        <v>2664</v>
      </c>
      <c r="E624" s="440">
        <v>203.0</v>
      </c>
      <c r="F624" s="440">
        <v>16.0</v>
      </c>
      <c r="G624" s="440">
        <v>6.0</v>
      </c>
      <c r="H624" s="440">
        <v>14.0</v>
      </c>
      <c r="I624" s="440">
        <v>20.0</v>
      </c>
      <c r="J624" s="441">
        <v>0.3</v>
      </c>
      <c r="K624" s="150" t="s">
        <v>5204</v>
      </c>
      <c r="L624" s="150">
        <v>5.445246409E9</v>
      </c>
      <c r="M624" s="150" t="s">
        <v>2666</v>
      </c>
      <c r="N624" s="150" t="s">
        <v>2801</v>
      </c>
      <c r="O624" s="150" t="s">
        <v>2213</v>
      </c>
      <c r="P624" s="150" t="s">
        <v>4484</v>
      </c>
      <c r="Q624" s="442">
        <f>COUNTIF('Hedef Liste'!$A:$A,A624)</f>
        <v>0</v>
      </c>
    </row>
    <row r="625" hidden="1">
      <c r="A625" s="150" t="s">
        <v>4259</v>
      </c>
      <c r="B625" s="150" t="s">
        <v>4260</v>
      </c>
      <c r="C625" s="439" t="s">
        <v>4483</v>
      </c>
      <c r="D625" s="150" t="s">
        <v>2904</v>
      </c>
      <c r="E625" s="440">
        <v>829.0</v>
      </c>
      <c r="F625" s="443"/>
      <c r="G625" s="440">
        <v>0.0</v>
      </c>
      <c r="H625" s="440">
        <v>22.0</v>
      </c>
      <c r="I625" s="440">
        <v>22.0</v>
      </c>
      <c r="J625" s="441">
        <v>0.0</v>
      </c>
      <c r="K625" s="150" t="s">
        <v>5205</v>
      </c>
      <c r="L625" s="150">
        <v>2.222347524E9</v>
      </c>
      <c r="M625" s="150" t="s">
        <v>1450</v>
      </c>
      <c r="N625" s="150" t="s">
        <v>2716</v>
      </c>
      <c r="O625" s="150" t="s">
        <v>4261</v>
      </c>
      <c r="P625" s="150" t="s">
        <v>4484</v>
      </c>
      <c r="Q625" s="442">
        <f>COUNTIF('Hedef Liste'!$A:$A,A625)</f>
        <v>1</v>
      </c>
    </row>
    <row r="626" hidden="1">
      <c r="A626" s="150" t="s">
        <v>1653</v>
      </c>
      <c r="B626" s="150" t="s">
        <v>1654</v>
      </c>
      <c r="C626" s="439" t="s">
        <v>4483</v>
      </c>
      <c r="D626" s="150" t="s">
        <v>2773</v>
      </c>
      <c r="E626" s="440">
        <v>27.0</v>
      </c>
      <c r="F626" s="443"/>
      <c r="G626" s="440">
        <v>0.0</v>
      </c>
      <c r="H626" s="440">
        <v>6.0</v>
      </c>
      <c r="I626" s="440">
        <v>6.0</v>
      </c>
      <c r="J626" s="441">
        <v>0.0</v>
      </c>
      <c r="K626" s="150" t="s">
        <v>5206</v>
      </c>
      <c r="L626" s="150">
        <v>5.337645044E9</v>
      </c>
      <c r="M626" s="150" t="s">
        <v>1450</v>
      </c>
      <c r="N626" s="150" t="s">
        <v>3251</v>
      </c>
      <c r="O626" s="150" t="s">
        <v>1657</v>
      </c>
      <c r="P626" s="150" t="s">
        <v>4484</v>
      </c>
      <c r="Q626" s="442">
        <f>COUNTIF('Hedef Liste'!$A:$A,A626)</f>
        <v>1</v>
      </c>
    </row>
    <row r="627" hidden="1">
      <c r="A627" s="150" t="s">
        <v>3352</v>
      </c>
      <c r="B627" s="150" t="s">
        <v>3353</v>
      </c>
      <c r="C627" s="439" t="s">
        <v>4483</v>
      </c>
      <c r="D627" s="150" t="s">
        <v>2724</v>
      </c>
      <c r="E627" s="440">
        <v>35.0</v>
      </c>
      <c r="F627" s="440">
        <v>2.0</v>
      </c>
      <c r="G627" s="440">
        <v>16.0</v>
      </c>
      <c r="H627" s="440">
        <v>12.0</v>
      </c>
      <c r="I627" s="440">
        <v>28.0</v>
      </c>
      <c r="J627" s="441">
        <v>0.57</v>
      </c>
      <c r="K627" s="150" t="s">
        <v>5207</v>
      </c>
      <c r="L627" s="150">
        <v>2.222211414E9</v>
      </c>
      <c r="M627" s="150" t="s">
        <v>2666</v>
      </c>
      <c r="N627" s="150" t="s">
        <v>2667</v>
      </c>
      <c r="O627" s="150" t="s">
        <v>3354</v>
      </c>
      <c r="P627" s="150" t="s">
        <v>4484</v>
      </c>
      <c r="Q627" s="442">
        <f>COUNTIF('Hedef Liste'!$A:$A,A627)</f>
        <v>1</v>
      </c>
    </row>
    <row r="628" hidden="1">
      <c r="A628" s="150" t="s">
        <v>1957</v>
      </c>
      <c r="B628" s="150" t="s">
        <v>1958</v>
      </c>
      <c r="C628" s="439" t="s">
        <v>4483</v>
      </c>
      <c r="D628" s="150" t="s">
        <v>2867</v>
      </c>
      <c r="E628" s="440">
        <v>388.0</v>
      </c>
      <c r="F628" s="443"/>
      <c r="G628" s="440">
        <v>2.0</v>
      </c>
      <c r="H628" s="440">
        <v>1.0</v>
      </c>
      <c r="I628" s="440">
        <v>3.0</v>
      </c>
      <c r="J628" s="441">
        <v>0.67</v>
      </c>
      <c r="K628" s="150" t="s">
        <v>4216</v>
      </c>
      <c r="L628" s="150">
        <v>5.526483098E9</v>
      </c>
      <c r="M628" s="150" t="s">
        <v>2666</v>
      </c>
      <c r="N628" s="150" t="s">
        <v>2750</v>
      </c>
      <c r="O628" s="150" t="s">
        <v>1961</v>
      </c>
      <c r="P628" s="150" t="s">
        <v>4484</v>
      </c>
      <c r="Q628" s="442">
        <f>COUNTIF('Hedef Liste'!$A:$A,A628)</f>
        <v>1</v>
      </c>
    </row>
    <row r="629" hidden="1">
      <c r="A629" s="150" t="s">
        <v>5208</v>
      </c>
      <c r="B629" s="150" t="s">
        <v>5209</v>
      </c>
      <c r="C629" s="439" t="s">
        <v>4483</v>
      </c>
      <c r="D629" s="150" t="s">
        <v>2751</v>
      </c>
      <c r="E629" s="440">
        <v>3663.0</v>
      </c>
      <c r="F629" s="440">
        <v>400.0</v>
      </c>
      <c r="G629" s="440">
        <v>39.0</v>
      </c>
      <c r="H629" s="440">
        <v>3.0</v>
      </c>
      <c r="I629" s="440">
        <v>42.0</v>
      </c>
      <c r="J629" s="441">
        <v>0.93</v>
      </c>
      <c r="K629" s="150" t="s">
        <v>5194</v>
      </c>
      <c r="L629" s="150">
        <v>2.222050494E9</v>
      </c>
      <c r="M629" s="150" t="s">
        <v>2666</v>
      </c>
      <c r="N629" s="150" t="s">
        <v>2667</v>
      </c>
      <c r="O629" s="150" t="s">
        <v>5210</v>
      </c>
      <c r="P629" s="150" t="s">
        <v>4512</v>
      </c>
      <c r="Q629" s="442">
        <f>COUNTIF('Hedef Liste'!$A:$A,A629)</f>
        <v>0</v>
      </c>
    </row>
    <row r="630" hidden="1">
      <c r="A630" s="150" t="s">
        <v>1552</v>
      </c>
      <c r="B630" s="150" t="s">
        <v>5211</v>
      </c>
      <c r="C630" s="439" t="s">
        <v>4483</v>
      </c>
      <c r="D630" s="150" t="s">
        <v>2867</v>
      </c>
      <c r="E630" s="440">
        <v>2928.0</v>
      </c>
      <c r="F630" s="440">
        <v>195.0</v>
      </c>
      <c r="G630" s="440">
        <v>34.0</v>
      </c>
      <c r="H630" s="440">
        <v>18.0</v>
      </c>
      <c r="I630" s="440">
        <v>52.0</v>
      </c>
      <c r="J630" s="441">
        <v>0.65</v>
      </c>
      <c r="K630" s="150" t="s">
        <v>3100</v>
      </c>
      <c r="L630" s="150">
        <v>2.224056148E9</v>
      </c>
      <c r="M630" s="150" t="s">
        <v>1450</v>
      </c>
      <c r="N630" s="150" t="s">
        <v>2716</v>
      </c>
      <c r="O630" s="150" t="s">
        <v>1555</v>
      </c>
      <c r="P630" s="150" t="s">
        <v>4484</v>
      </c>
      <c r="Q630" s="442">
        <f>COUNTIF('Hedef Liste'!$A:$A,A630)</f>
        <v>1</v>
      </c>
    </row>
    <row r="631" hidden="1">
      <c r="A631" s="150" t="s">
        <v>2553</v>
      </c>
      <c r="B631" s="150" t="s">
        <v>2554</v>
      </c>
      <c r="C631" s="439" t="s">
        <v>4483</v>
      </c>
      <c r="D631" s="150" t="s">
        <v>2664</v>
      </c>
      <c r="E631" s="440">
        <v>116.0</v>
      </c>
      <c r="F631" s="440">
        <v>26.0</v>
      </c>
      <c r="G631" s="440">
        <v>6.0</v>
      </c>
      <c r="H631" s="440">
        <v>30.0</v>
      </c>
      <c r="I631" s="440">
        <v>36.0</v>
      </c>
      <c r="J631" s="441">
        <v>0.17</v>
      </c>
      <c r="K631" s="150" t="s">
        <v>3575</v>
      </c>
      <c r="L631" s="150">
        <v>5.366661E9</v>
      </c>
      <c r="M631" s="150" t="s">
        <v>2666</v>
      </c>
      <c r="N631" s="150" t="s">
        <v>2685</v>
      </c>
      <c r="O631" s="150" t="s">
        <v>2557</v>
      </c>
      <c r="P631" s="150" t="s">
        <v>4484</v>
      </c>
      <c r="Q631" s="442">
        <f>COUNTIF('Hedef Liste'!$A:$A,A631)</f>
        <v>1</v>
      </c>
    </row>
    <row r="632" hidden="1">
      <c r="A632" s="150" t="s">
        <v>5212</v>
      </c>
      <c r="B632" s="150" t="s">
        <v>5213</v>
      </c>
      <c r="C632" s="439" t="s">
        <v>4483</v>
      </c>
      <c r="D632" s="150" t="s">
        <v>2724</v>
      </c>
      <c r="E632" s="440">
        <v>564.0</v>
      </c>
      <c r="F632" s="440">
        <v>126.0</v>
      </c>
      <c r="G632" s="440">
        <v>26.0</v>
      </c>
      <c r="H632" s="440">
        <v>25.0</v>
      </c>
      <c r="I632" s="440">
        <v>51.0</v>
      </c>
      <c r="J632" s="441">
        <v>0.51</v>
      </c>
      <c r="K632" s="150" t="s">
        <v>3203</v>
      </c>
      <c r="L632" s="150">
        <v>5.013381616E9</v>
      </c>
      <c r="M632" s="150" t="s">
        <v>1450</v>
      </c>
      <c r="N632" s="150" t="s">
        <v>4514</v>
      </c>
      <c r="O632" s="150" t="s">
        <v>5198</v>
      </c>
      <c r="P632" s="150" t="s">
        <v>4484</v>
      </c>
      <c r="Q632" s="442">
        <f>COUNTIF('Hedef Liste'!$A:$A,A632)</f>
        <v>0</v>
      </c>
    </row>
    <row r="633" hidden="1">
      <c r="A633" s="150" t="s">
        <v>2122</v>
      </c>
      <c r="B633" s="150" t="s">
        <v>2123</v>
      </c>
      <c r="C633" s="439" t="s">
        <v>4483</v>
      </c>
      <c r="D633" s="150" t="s">
        <v>2664</v>
      </c>
      <c r="E633" s="440">
        <v>159.0</v>
      </c>
      <c r="F633" s="440">
        <v>22.0</v>
      </c>
      <c r="G633" s="440">
        <v>0.0</v>
      </c>
      <c r="H633" s="440">
        <v>22.0</v>
      </c>
      <c r="I633" s="440">
        <v>22.0</v>
      </c>
      <c r="J633" s="441">
        <v>0.0</v>
      </c>
      <c r="K633" s="150" t="s">
        <v>3214</v>
      </c>
      <c r="L633" s="150">
        <v>5.388958809E9</v>
      </c>
      <c r="M633" s="150" t="s">
        <v>1450</v>
      </c>
      <c r="N633" s="150" t="s">
        <v>2950</v>
      </c>
      <c r="O633" s="150" t="s">
        <v>2126</v>
      </c>
      <c r="P633" s="150" t="s">
        <v>4484</v>
      </c>
      <c r="Q633" s="442">
        <f>COUNTIF('Hedef Liste'!$A:$A,A633)</f>
        <v>1</v>
      </c>
    </row>
    <row r="634" hidden="1">
      <c r="A634" s="150" t="s">
        <v>3638</v>
      </c>
      <c r="B634" s="150" t="s">
        <v>3639</v>
      </c>
      <c r="C634" s="439" t="s">
        <v>4483</v>
      </c>
      <c r="D634" s="150" t="s">
        <v>2696</v>
      </c>
      <c r="E634" s="440">
        <v>349.0</v>
      </c>
      <c r="F634" s="440">
        <v>46.0</v>
      </c>
      <c r="G634" s="440">
        <v>0.0</v>
      </c>
      <c r="H634" s="440">
        <v>8.0</v>
      </c>
      <c r="I634" s="440">
        <v>8.0</v>
      </c>
      <c r="J634" s="441">
        <v>0.0</v>
      </c>
      <c r="K634" s="150" t="s">
        <v>3640</v>
      </c>
      <c r="L634" s="150">
        <v>5.316725626E9</v>
      </c>
      <c r="M634" s="150" t="s">
        <v>2666</v>
      </c>
      <c r="N634" s="150" t="s">
        <v>3000</v>
      </c>
      <c r="O634" s="150" t="s">
        <v>3641</v>
      </c>
      <c r="P634" s="150" t="s">
        <v>4484</v>
      </c>
      <c r="Q634" s="442">
        <f>COUNTIF('Hedef Liste'!$A:$A,A634)</f>
        <v>1</v>
      </c>
    </row>
    <row r="635" hidden="1">
      <c r="A635" s="150" t="s">
        <v>2162</v>
      </c>
      <c r="B635" s="150" t="s">
        <v>2163</v>
      </c>
      <c r="C635" s="439" t="s">
        <v>4483</v>
      </c>
      <c r="D635" s="150" t="s">
        <v>2773</v>
      </c>
      <c r="E635" s="440">
        <v>138.0</v>
      </c>
      <c r="F635" s="440">
        <v>15.0</v>
      </c>
      <c r="G635" s="440">
        <v>7.0</v>
      </c>
      <c r="H635" s="440">
        <v>3.0</v>
      </c>
      <c r="I635" s="440">
        <v>10.0</v>
      </c>
      <c r="J635" s="441">
        <v>0.7</v>
      </c>
      <c r="K635" s="150" t="s">
        <v>4263</v>
      </c>
      <c r="L635" s="150">
        <v>5.446316829E9</v>
      </c>
      <c r="M635" s="150" t="s">
        <v>1450</v>
      </c>
      <c r="N635" s="150" t="s">
        <v>2716</v>
      </c>
      <c r="O635" s="150" t="s">
        <v>2165</v>
      </c>
      <c r="P635" s="150" t="s">
        <v>4484</v>
      </c>
      <c r="Q635" s="442">
        <f>COUNTIF('Hedef Liste'!$A:$A,A635)</f>
        <v>1</v>
      </c>
    </row>
    <row r="636" hidden="1">
      <c r="A636" s="150" t="s">
        <v>3068</v>
      </c>
      <c r="B636" s="150" t="s">
        <v>3069</v>
      </c>
      <c r="C636" s="439" t="s">
        <v>4483</v>
      </c>
      <c r="D636" s="150" t="s">
        <v>2763</v>
      </c>
      <c r="E636" s="440">
        <v>827.0</v>
      </c>
      <c r="F636" s="440">
        <v>14.0</v>
      </c>
      <c r="G636" s="440">
        <v>0.0</v>
      </c>
      <c r="H636" s="440">
        <v>14.0</v>
      </c>
      <c r="I636" s="440">
        <v>14.0</v>
      </c>
      <c r="J636" s="441">
        <v>0.0</v>
      </c>
      <c r="K636" s="150" t="s">
        <v>2740</v>
      </c>
      <c r="L636" s="150">
        <v>5.437640523E9</v>
      </c>
      <c r="M636" s="150" t="s">
        <v>1450</v>
      </c>
      <c r="N636" s="150" t="s">
        <v>2700</v>
      </c>
      <c r="O636" s="150" t="s">
        <v>2741</v>
      </c>
      <c r="P636" s="150" t="s">
        <v>4484</v>
      </c>
      <c r="Q636" s="442">
        <f>COUNTIF('Hedef Liste'!$A:$A,A636)</f>
        <v>1</v>
      </c>
    </row>
    <row r="637" hidden="1">
      <c r="A637" s="150" t="s">
        <v>2145</v>
      </c>
      <c r="B637" s="150" t="s">
        <v>2146</v>
      </c>
      <c r="C637" s="439" t="s">
        <v>4483</v>
      </c>
      <c r="D637" s="150" t="s">
        <v>2672</v>
      </c>
      <c r="E637" s="440">
        <v>1596.0</v>
      </c>
      <c r="F637" s="443"/>
      <c r="G637" s="440">
        <v>16.0</v>
      </c>
      <c r="H637" s="440">
        <v>16.0</v>
      </c>
      <c r="I637" s="440">
        <v>32.0</v>
      </c>
      <c r="J637" s="441">
        <v>0.5</v>
      </c>
      <c r="K637" s="150" t="s">
        <v>3624</v>
      </c>
      <c r="L637" s="150">
        <v>5.013233526E9</v>
      </c>
      <c r="M637" s="150" t="s">
        <v>2666</v>
      </c>
      <c r="N637" s="150" t="s">
        <v>2801</v>
      </c>
      <c r="O637" s="150" t="s">
        <v>2148</v>
      </c>
      <c r="P637" s="150" t="s">
        <v>4484</v>
      </c>
      <c r="Q637" s="442">
        <f>COUNTIF('Hedef Liste'!$A:$A,A637)</f>
        <v>1</v>
      </c>
    </row>
    <row r="638" hidden="1">
      <c r="A638" s="150" t="s">
        <v>2391</v>
      </c>
      <c r="B638" s="150" t="s">
        <v>2392</v>
      </c>
      <c r="C638" s="439" t="s">
        <v>4483</v>
      </c>
      <c r="D638" s="150" t="s">
        <v>2773</v>
      </c>
      <c r="E638" s="440">
        <v>39.0</v>
      </c>
      <c r="F638" s="440">
        <v>6.0</v>
      </c>
      <c r="G638" s="440">
        <v>5.0</v>
      </c>
      <c r="H638" s="440">
        <v>0.0</v>
      </c>
      <c r="I638" s="440">
        <v>5.0</v>
      </c>
      <c r="J638" s="441">
        <v>1.0</v>
      </c>
      <c r="K638" s="150" t="s">
        <v>2775</v>
      </c>
      <c r="L638" s="150">
        <v>5.456606594E9</v>
      </c>
      <c r="M638" s="150" t="s">
        <v>1450</v>
      </c>
      <c r="N638" s="150" t="s">
        <v>2776</v>
      </c>
      <c r="O638" s="150" t="s">
        <v>2395</v>
      </c>
      <c r="P638" s="150" t="s">
        <v>4484</v>
      </c>
      <c r="Q638" s="442">
        <f>COUNTIF('Hedef Liste'!$A:$A,A638)</f>
        <v>1</v>
      </c>
    </row>
    <row r="639" hidden="1">
      <c r="A639" s="150" t="s">
        <v>2784</v>
      </c>
      <c r="B639" s="150" t="s">
        <v>2785</v>
      </c>
      <c r="C639" s="439" t="s">
        <v>4483</v>
      </c>
      <c r="D639" s="150" t="s">
        <v>2773</v>
      </c>
      <c r="E639" s="440">
        <v>333.0</v>
      </c>
      <c r="F639" s="440">
        <v>137.0</v>
      </c>
      <c r="G639" s="440">
        <v>0.0</v>
      </c>
      <c r="H639" s="440">
        <v>23.0</v>
      </c>
      <c r="I639" s="440">
        <v>23.0</v>
      </c>
      <c r="J639" s="441">
        <v>0.0</v>
      </c>
      <c r="K639" s="150" t="s">
        <v>2786</v>
      </c>
      <c r="L639" s="150">
        <v>5.346520726E9</v>
      </c>
      <c r="M639" s="150" t="s">
        <v>1450</v>
      </c>
      <c r="N639" s="150" t="s">
        <v>2732</v>
      </c>
      <c r="O639" s="150" t="s">
        <v>2787</v>
      </c>
      <c r="P639" s="150" t="s">
        <v>4484</v>
      </c>
      <c r="Q639" s="442">
        <f>COUNTIF('Hedef Liste'!$A:$A,A639)</f>
        <v>1</v>
      </c>
    </row>
    <row r="640" hidden="1">
      <c r="A640" s="150" t="s">
        <v>5214</v>
      </c>
      <c r="B640" s="150" t="s">
        <v>5215</v>
      </c>
      <c r="C640" s="439" t="s">
        <v>4483</v>
      </c>
      <c r="D640" s="150" t="s">
        <v>2724</v>
      </c>
      <c r="E640" s="440">
        <v>219.0</v>
      </c>
      <c r="F640" s="440">
        <v>100.0</v>
      </c>
      <c r="G640" s="440">
        <v>103.0</v>
      </c>
      <c r="H640" s="440">
        <v>3.0</v>
      </c>
      <c r="I640" s="440">
        <v>106.0</v>
      </c>
      <c r="J640" s="441">
        <v>0.97</v>
      </c>
      <c r="K640" s="150" t="s">
        <v>4843</v>
      </c>
      <c r="L640" s="150">
        <v>5.543492026E9</v>
      </c>
      <c r="M640" s="150" t="s">
        <v>2666</v>
      </c>
      <c r="N640" s="150" t="s">
        <v>2685</v>
      </c>
      <c r="O640" s="150" t="s">
        <v>5216</v>
      </c>
      <c r="P640" s="150" t="s">
        <v>4512</v>
      </c>
      <c r="Q640" s="442">
        <f>COUNTIF('Hedef Liste'!$A:$A,A640)</f>
        <v>0</v>
      </c>
    </row>
    <row r="641" hidden="1">
      <c r="A641" s="150" t="s">
        <v>5217</v>
      </c>
      <c r="B641" s="150" t="s">
        <v>5218</v>
      </c>
      <c r="C641" s="439" t="s">
        <v>4483</v>
      </c>
      <c r="D641" s="150" t="s">
        <v>2867</v>
      </c>
      <c r="E641" s="440">
        <v>2006.0</v>
      </c>
      <c r="F641" s="440">
        <v>248.0</v>
      </c>
      <c r="G641" s="440">
        <v>94.0</v>
      </c>
      <c r="H641" s="440">
        <v>1.0</v>
      </c>
      <c r="I641" s="440">
        <v>95.0</v>
      </c>
      <c r="J641" s="441">
        <v>0.99</v>
      </c>
      <c r="K641" s="150" t="s">
        <v>4776</v>
      </c>
      <c r="L641" s="150">
        <v>1.111111111E9</v>
      </c>
      <c r="M641" s="150" t="s">
        <v>1450</v>
      </c>
      <c r="N641" s="150" t="s">
        <v>2700</v>
      </c>
      <c r="O641" s="150" t="s">
        <v>5219</v>
      </c>
      <c r="P641" s="150" t="s">
        <v>4512</v>
      </c>
      <c r="Q641" s="442">
        <f>COUNTIF('Hedef Liste'!$A:$A,A641)</f>
        <v>0</v>
      </c>
    </row>
    <row r="642" hidden="1">
      <c r="A642" s="150" t="s">
        <v>3999</v>
      </c>
      <c r="B642" s="150" t="s">
        <v>4000</v>
      </c>
      <c r="C642" s="439" t="s">
        <v>4483</v>
      </c>
      <c r="D642" s="150" t="s">
        <v>2664</v>
      </c>
      <c r="E642" s="440">
        <v>318.0</v>
      </c>
      <c r="F642" s="440">
        <v>32.0</v>
      </c>
      <c r="G642" s="440">
        <v>3.0</v>
      </c>
      <c r="H642" s="440">
        <v>5.0</v>
      </c>
      <c r="I642" s="440">
        <v>8.0</v>
      </c>
      <c r="J642" s="441">
        <v>0.38</v>
      </c>
      <c r="K642" s="150" t="s">
        <v>4001</v>
      </c>
      <c r="L642" s="150">
        <v>5.068879452E9</v>
      </c>
      <c r="M642" s="150" t="s">
        <v>2666</v>
      </c>
      <c r="N642" s="150" t="s">
        <v>2667</v>
      </c>
      <c r="O642" s="150" t="s">
        <v>4002</v>
      </c>
      <c r="P642" s="150" t="s">
        <v>4484</v>
      </c>
      <c r="Q642" s="442">
        <f>COUNTIF('Hedef Liste'!$A:$A,A642)</f>
        <v>1</v>
      </c>
    </row>
    <row r="643" hidden="1">
      <c r="A643" s="150" t="s">
        <v>3917</v>
      </c>
      <c r="B643" s="150" t="s">
        <v>3918</v>
      </c>
      <c r="C643" s="439" t="s">
        <v>4483</v>
      </c>
      <c r="D643" s="150" t="s">
        <v>2664</v>
      </c>
      <c r="E643" s="440">
        <v>1114.0</v>
      </c>
      <c r="F643" s="440">
        <v>154.0</v>
      </c>
      <c r="G643" s="440">
        <v>0.0</v>
      </c>
      <c r="H643" s="440">
        <v>23.0</v>
      </c>
      <c r="I643" s="440">
        <v>23.0</v>
      </c>
      <c r="J643" s="441">
        <v>0.0</v>
      </c>
      <c r="K643" s="150" t="s">
        <v>3040</v>
      </c>
      <c r="L643" s="150">
        <v>2.222267007E9</v>
      </c>
      <c r="M643" s="150" t="s">
        <v>1450</v>
      </c>
      <c r="N643" s="150" t="s">
        <v>2732</v>
      </c>
      <c r="O643" s="150" t="s">
        <v>3041</v>
      </c>
      <c r="P643" s="150" t="s">
        <v>4484</v>
      </c>
      <c r="Q643" s="442">
        <f>COUNTIF('Hedef Liste'!$A:$A,A643)</f>
        <v>1</v>
      </c>
    </row>
    <row r="644" hidden="1">
      <c r="A644" s="150" t="s">
        <v>2417</v>
      </c>
      <c r="B644" s="150" t="s">
        <v>2418</v>
      </c>
      <c r="C644" s="439" t="s">
        <v>4483</v>
      </c>
      <c r="D644" s="150" t="s">
        <v>2867</v>
      </c>
      <c r="E644" s="440">
        <v>1347.0</v>
      </c>
      <c r="F644" s="440">
        <v>218.0</v>
      </c>
      <c r="G644" s="440">
        <v>0.0</v>
      </c>
      <c r="H644" s="440">
        <v>55.0</v>
      </c>
      <c r="I644" s="440">
        <v>55.0</v>
      </c>
      <c r="J644" s="441">
        <v>0.0</v>
      </c>
      <c r="K644" s="150" t="s">
        <v>3915</v>
      </c>
      <c r="L644" s="150">
        <v>2.222334672E9</v>
      </c>
      <c r="M644" s="150" t="s">
        <v>1450</v>
      </c>
      <c r="N644" s="150" t="s">
        <v>2732</v>
      </c>
      <c r="O644" s="150" t="s">
        <v>2421</v>
      </c>
      <c r="P644" s="150" t="s">
        <v>4484</v>
      </c>
      <c r="Q644" s="442">
        <f>COUNTIF('Hedef Liste'!$A:$A,A644)</f>
        <v>1</v>
      </c>
    </row>
    <row r="645" hidden="1">
      <c r="A645" s="150" t="s">
        <v>2460</v>
      </c>
      <c r="B645" s="150" t="s">
        <v>5220</v>
      </c>
      <c r="C645" s="439" t="s">
        <v>4483</v>
      </c>
      <c r="D645" s="150" t="s">
        <v>2664</v>
      </c>
      <c r="E645" s="440">
        <v>28.0</v>
      </c>
      <c r="F645" s="440">
        <v>14.0</v>
      </c>
      <c r="G645" s="440">
        <v>7.0</v>
      </c>
      <c r="H645" s="440">
        <v>37.0</v>
      </c>
      <c r="I645" s="440">
        <v>44.0</v>
      </c>
      <c r="J645" s="441">
        <v>0.16</v>
      </c>
      <c r="K645" s="150" t="s">
        <v>3653</v>
      </c>
      <c r="L645" s="150">
        <v>5.332382867E9</v>
      </c>
      <c r="M645" s="150" t="s">
        <v>1450</v>
      </c>
      <c r="N645" s="150" t="s">
        <v>4514</v>
      </c>
      <c r="O645" s="150" t="s">
        <v>2463</v>
      </c>
      <c r="P645" s="150" t="s">
        <v>4484</v>
      </c>
      <c r="Q645" s="442">
        <f>COUNTIF('Hedef Liste'!$A:$A,A645)</f>
        <v>1</v>
      </c>
    </row>
    <row r="646" hidden="1">
      <c r="A646" s="150" t="s">
        <v>3907</v>
      </c>
      <c r="B646" s="150" t="s">
        <v>3908</v>
      </c>
      <c r="C646" s="439" t="s">
        <v>4483</v>
      </c>
      <c r="D646" s="150" t="s">
        <v>2664</v>
      </c>
      <c r="E646" s="440">
        <v>34.0</v>
      </c>
      <c r="F646" s="440">
        <v>11.0</v>
      </c>
      <c r="G646" s="440">
        <v>0.0</v>
      </c>
      <c r="H646" s="440">
        <v>44.0</v>
      </c>
      <c r="I646" s="440">
        <v>44.0</v>
      </c>
      <c r="J646" s="441">
        <v>0.0</v>
      </c>
      <c r="K646" s="150" t="s">
        <v>3909</v>
      </c>
      <c r="L646" s="150">
        <v>5.337630379E9</v>
      </c>
      <c r="M646" s="150" t="s">
        <v>1450</v>
      </c>
      <c r="N646" s="150" t="s">
        <v>2795</v>
      </c>
      <c r="O646" s="150" t="s">
        <v>3910</v>
      </c>
      <c r="P646" s="150" t="s">
        <v>4484</v>
      </c>
      <c r="Q646" s="442">
        <f>COUNTIF('Hedef Liste'!$A:$A,A646)</f>
        <v>1</v>
      </c>
    </row>
    <row r="647" hidden="1">
      <c r="A647" s="150" t="s">
        <v>2754</v>
      </c>
      <c r="B647" s="150" t="s">
        <v>2755</v>
      </c>
      <c r="C647" s="439" t="s">
        <v>4483</v>
      </c>
      <c r="D647" s="150" t="s">
        <v>2672</v>
      </c>
      <c r="E647" s="440">
        <v>790.0</v>
      </c>
      <c r="F647" s="440">
        <v>70.0</v>
      </c>
      <c r="G647" s="440">
        <v>0.0</v>
      </c>
      <c r="H647" s="440">
        <v>19.0</v>
      </c>
      <c r="I647" s="440">
        <v>19.0</v>
      </c>
      <c r="J647" s="441">
        <v>0.0</v>
      </c>
      <c r="K647" s="150" t="s">
        <v>2756</v>
      </c>
      <c r="L647" s="150">
        <v>5.324867178E9</v>
      </c>
      <c r="M647" s="150" t="s">
        <v>2666</v>
      </c>
      <c r="N647" s="150" t="s">
        <v>2682</v>
      </c>
      <c r="O647" s="150" t="s">
        <v>2758</v>
      </c>
      <c r="P647" s="150" t="s">
        <v>4484</v>
      </c>
      <c r="Q647" s="442">
        <f>COUNTIF('Hedef Liste'!$A:$A,A647)</f>
        <v>1</v>
      </c>
    </row>
    <row r="648" hidden="1">
      <c r="A648" s="150" t="s">
        <v>3784</v>
      </c>
      <c r="B648" s="150" t="s">
        <v>3785</v>
      </c>
      <c r="C648" s="439" t="s">
        <v>4483</v>
      </c>
      <c r="D648" s="150" t="s">
        <v>2664</v>
      </c>
      <c r="E648" s="440">
        <v>264.0</v>
      </c>
      <c r="F648" s="443"/>
      <c r="G648" s="440">
        <v>0.0</v>
      </c>
      <c r="H648" s="440">
        <v>25.0</v>
      </c>
      <c r="I648" s="440">
        <v>25.0</v>
      </c>
      <c r="J648" s="441">
        <v>0.0</v>
      </c>
      <c r="K648" s="150" t="s">
        <v>3326</v>
      </c>
      <c r="L648" s="150">
        <v>5.539075064E9</v>
      </c>
      <c r="M648" s="150" t="s">
        <v>2666</v>
      </c>
      <c r="N648" s="150" t="s">
        <v>4529</v>
      </c>
      <c r="O648" s="150" t="s">
        <v>2158</v>
      </c>
      <c r="P648" s="150" t="s">
        <v>4484</v>
      </c>
      <c r="Q648" s="442">
        <f>COUNTIF('Hedef Liste'!$A:$A,A648)</f>
        <v>1</v>
      </c>
    </row>
    <row r="649" hidden="1">
      <c r="A649" s="150" t="s">
        <v>2856</v>
      </c>
      <c r="B649" s="150" t="s">
        <v>2053</v>
      </c>
      <c r="C649" s="439" t="s">
        <v>4483</v>
      </c>
      <c r="D649" s="150" t="s">
        <v>2664</v>
      </c>
      <c r="E649" s="440">
        <v>15.0</v>
      </c>
      <c r="F649" s="443"/>
      <c r="G649" s="440">
        <v>0.0</v>
      </c>
      <c r="H649" s="440">
        <v>7.0</v>
      </c>
      <c r="I649" s="440">
        <v>7.0</v>
      </c>
      <c r="J649" s="441">
        <v>0.0</v>
      </c>
      <c r="K649" s="150" t="s">
        <v>2857</v>
      </c>
      <c r="L649" s="150">
        <v>2.2232395E9</v>
      </c>
      <c r="M649" s="150" t="s">
        <v>2666</v>
      </c>
      <c r="N649" s="150" t="s">
        <v>2855</v>
      </c>
      <c r="O649" s="150" t="s">
        <v>2056</v>
      </c>
      <c r="P649" s="150" t="s">
        <v>4484</v>
      </c>
      <c r="Q649" s="442">
        <f>COUNTIF('Hedef Liste'!$A:$A,A649)</f>
        <v>1</v>
      </c>
    </row>
    <row r="650" hidden="1">
      <c r="A650" s="150" t="s">
        <v>3879</v>
      </c>
      <c r="B650" s="150" t="s">
        <v>3880</v>
      </c>
      <c r="C650" s="439" t="s">
        <v>4483</v>
      </c>
      <c r="D650" s="150" t="s">
        <v>2773</v>
      </c>
      <c r="E650" s="440">
        <v>145.0</v>
      </c>
      <c r="F650" s="440">
        <v>3.0</v>
      </c>
      <c r="G650" s="440">
        <v>0.0</v>
      </c>
      <c r="H650" s="440">
        <v>33.0</v>
      </c>
      <c r="I650" s="440">
        <v>33.0</v>
      </c>
      <c r="J650" s="441">
        <v>0.0</v>
      </c>
      <c r="K650" s="150" t="s">
        <v>3881</v>
      </c>
      <c r="L650" s="150">
        <v>5.319502317E9</v>
      </c>
      <c r="M650" s="150" t="s">
        <v>2666</v>
      </c>
      <c r="N650" s="150" t="s">
        <v>3000</v>
      </c>
      <c r="O650" s="150" t="s">
        <v>3882</v>
      </c>
      <c r="P650" s="150" t="s">
        <v>4484</v>
      </c>
      <c r="Q650" s="442">
        <f>COUNTIF('Hedef Liste'!$A:$A,A650)</f>
        <v>1</v>
      </c>
    </row>
    <row r="651" hidden="1">
      <c r="A651" s="150" t="s">
        <v>3874</v>
      </c>
      <c r="B651" s="150" t="s">
        <v>3875</v>
      </c>
      <c r="C651" s="439" t="s">
        <v>4483</v>
      </c>
      <c r="D651" s="150" t="s">
        <v>2773</v>
      </c>
      <c r="E651" s="440">
        <v>199.0</v>
      </c>
      <c r="F651" s="440">
        <v>3.0</v>
      </c>
      <c r="G651" s="440">
        <v>7.0</v>
      </c>
      <c r="H651" s="440">
        <v>27.0</v>
      </c>
      <c r="I651" s="440">
        <v>34.0</v>
      </c>
      <c r="J651" s="441">
        <v>0.21</v>
      </c>
      <c r="K651" s="150" t="s">
        <v>3876</v>
      </c>
      <c r="L651" s="150">
        <v>5.528863026E9</v>
      </c>
      <c r="M651" s="150" t="s">
        <v>1450</v>
      </c>
      <c r="N651" s="150" t="s">
        <v>3877</v>
      </c>
      <c r="O651" s="150" t="s">
        <v>3878</v>
      </c>
      <c r="P651" s="150" t="s">
        <v>4484</v>
      </c>
      <c r="Q651" s="442">
        <f>COUNTIF('Hedef Liste'!$A:$A,A651)</f>
        <v>1</v>
      </c>
    </row>
    <row r="652" hidden="1">
      <c r="A652" s="150" t="s">
        <v>2494</v>
      </c>
      <c r="B652" s="150" t="s">
        <v>2495</v>
      </c>
      <c r="C652" s="439" t="s">
        <v>4483</v>
      </c>
      <c r="D652" s="150" t="s">
        <v>2763</v>
      </c>
      <c r="E652" s="440">
        <v>850.0</v>
      </c>
      <c r="F652" s="440">
        <v>148.0</v>
      </c>
      <c r="G652" s="440">
        <v>12.0</v>
      </c>
      <c r="H652" s="440">
        <v>44.0</v>
      </c>
      <c r="I652" s="440">
        <v>56.0</v>
      </c>
      <c r="J652" s="441">
        <v>0.21</v>
      </c>
      <c r="K652" s="150" t="s">
        <v>4397</v>
      </c>
      <c r="L652" s="150">
        <v>5.550980026E9</v>
      </c>
      <c r="M652" s="150" t="s">
        <v>1450</v>
      </c>
      <c r="N652" s="150" t="s">
        <v>3251</v>
      </c>
      <c r="O652" s="150" t="s">
        <v>2498</v>
      </c>
      <c r="P652" s="150" t="s">
        <v>4484</v>
      </c>
      <c r="Q652" s="442">
        <f>COUNTIF('Hedef Liste'!$A:$A,A652)</f>
        <v>1</v>
      </c>
    </row>
    <row r="653" hidden="1">
      <c r="A653" s="150" t="s">
        <v>3740</v>
      </c>
      <c r="B653" s="150" t="s">
        <v>3741</v>
      </c>
      <c r="C653" s="439" t="s">
        <v>4483</v>
      </c>
      <c r="D653" s="150" t="s">
        <v>2664</v>
      </c>
      <c r="E653" s="440">
        <v>301.0</v>
      </c>
      <c r="F653" s="443"/>
      <c r="G653" s="440">
        <v>0.0</v>
      </c>
      <c r="H653" s="440">
        <v>24.0</v>
      </c>
      <c r="I653" s="440">
        <v>24.0</v>
      </c>
      <c r="J653" s="441">
        <v>0.0</v>
      </c>
      <c r="K653" s="150" t="s">
        <v>3742</v>
      </c>
      <c r="L653" s="150">
        <v>2.225027626E9</v>
      </c>
      <c r="M653" s="150" t="s">
        <v>2666</v>
      </c>
      <c r="N653" s="150" t="s">
        <v>2721</v>
      </c>
      <c r="O653" s="150" t="s">
        <v>354</v>
      </c>
      <c r="P653" s="150" t="s">
        <v>4484</v>
      </c>
      <c r="Q653" s="442">
        <f>COUNTIF('Hedef Liste'!$A:$A,A653)</f>
        <v>1</v>
      </c>
    </row>
    <row r="654" hidden="1">
      <c r="A654" s="150" t="s">
        <v>2507</v>
      </c>
      <c r="B654" s="150" t="s">
        <v>2508</v>
      </c>
      <c r="C654" s="439" t="s">
        <v>4483</v>
      </c>
      <c r="D654" s="150" t="s">
        <v>2672</v>
      </c>
      <c r="E654" s="440">
        <v>94.0</v>
      </c>
      <c r="F654" s="440">
        <v>9.0</v>
      </c>
      <c r="G654" s="440">
        <v>6.0</v>
      </c>
      <c r="H654" s="440">
        <v>18.0</v>
      </c>
      <c r="I654" s="440">
        <v>24.0</v>
      </c>
      <c r="J654" s="441">
        <v>0.25</v>
      </c>
      <c r="K654" s="150" t="s">
        <v>3336</v>
      </c>
      <c r="L654" s="150">
        <v>2.223202938E9</v>
      </c>
      <c r="M654" s="150" t="s">
        <v>2666</v>
      </c>
      <c r="N654" s="150" t="s">
        <v>4529</v>
      </c>
      <c r="O654" s="150" t="s">
        <v>2510</v>
      </c>
      <c r="P654" s="150" t="s">
        <v>4484</v>
      </c>
      <c r="Q654" s="442">
        <f>COUNTIF('Hedef Liste'!$A:$A,A654)</f>
        <v>1</v>
      </c>
    </row>
    <row r="655" hidden="1">
      <c r="A655" s="150" t="s">
        <v>3437</v>
      </c>
      <c r="B655" s="150" t="s">
        <v>3438</v>
      </c>
      <c r="C655" s="439" t="s">
        <v>4483</v>
      </c>
      <c r="D655" s="150" t="s">
        <v>2684</v>
      </c>
      <c r="E655" s="440">
        <v>209.0</v>
      </c>
      <c r="F655" s="440">
        <v>27.0</v>
      </c>
      <c r="G655" s="440">
        <v>9.0</v>
      </c>
      <c r="H655" s="440">
        <v>27.0</v>
      </c>
      <c r="I655" s="440">
        <v>36.0</v>
      </c>
      <c r="J655" s="441">
        <v>0.25</v>
      </c>
      <c r="K655" s="150" t="s">
        <v>3203</v>
      </c>
      <c r="L655" s="150">
        <v>5.013482626E9</v>
      </c>
      <c r="M655" s="150" t="s">
        <v>2666</v>
      </c>
      <c r="N655" s="150" t="s">
        <v>3000</v>
      </c>
      <c r="O655" s="150" t="s">
        <v>3439</v>
      </c>
      <c r="P655" s="150" t="s">
        <v>4484</v>
      </c>
      <c r="Q655" s="442">
        <f>COUNTIF('Hedef Liste'!$A:$A,A655)</f>
        <v>1</v>
      </c>
    </row>
    <row r="656" hidden="1">
      <c r="A656" s="150" t="s">
        <v>5221</v>
      </c>
      <c r="B656" s="150" t="s">
        <v>5222</v>
      </c>
      <c r="C656" s="439" t="s">
        <v>4520</v>
      </c>
      <c r="D656" s="150" t="s">
        <v>3561</v>
      </c>
      <c r="F656" s="443"/>
      <c r="G656" s="440">
        <v>0.0</v>
      </c>
      <c r="H656" s="440">
        <v>38.0</v>
      </c>
      <c r="I656" s="440">
        <v>38.0</v>
      </c>
      <c r="J656" s="441">
        <v>0.0</v>
      </c>
      <c r="K656" s="150" t="s">
        <v>4562</v>
      </c>
      <c r="L656" s="150">
        <v>5.534740931E9</v>
      </c>
      <c r="M656" s="150" t="s">
        <v>2666</v>
      </c>
      <c r="N656" s="150" t="s">
        <v>2667</v>
      </c>
      <c r="O656" s="150" t="s">
        <v>5223</v>
      </c>
      <c r="P656" s="150" t="s">
        <v>4484</v>
      </c>
      <c r="Q656" s="442">
        <f>COUNTIF('Hedef Liste'!$A:$A,A656)</f>
        <v>0</v>
      </c>
    </row>
    <row r="657" hidden="1">
      <c r="A657" s="150" t="s">
        <v>4352</v>
      </c>
      <c r="B657" s="150" t="s">
        <v>4353</v>
      </c>
      <c r="C657" s="439" t="s">
        <v>4483</v>
      </c>
      <c r="D657" s="150" t="s">
        <v>2664</v>
      </c>
      <c r="F657" s="443"/>
      <c r="G657" s="440">
        <v>0.0</v>
      </c>
      <c r="H657" s="440">
        <v>29.0</v>
      </c>
      <c r="I657" s="440">
        <v>29.0</v>
      </c>
      <c r="J657" s="441">
        <v>0.0</v>
      </c>
      <c r="K657" s="150" t="s">
        <v>4354</v>
      </c>
      <c r="L657" s="150">
        <v>2.225000066E9</v>
      </c>
      <c r="M657" s="150" t="s">
        <v>1450</v>
      </c>
      <c r="N657" s="150" t="s">
        <v>2732</v>
      </c>
      <c r="O657" s="150" t="s">
        <v>3340</v>
      </c>
      <c r="P657" s="150" t="s">
        <v>4484</v>
      </c>
      <c r="Q657" s="442">
        <f>COUNTIF('Hedef Liste'!$A:$A,A657)</f>
        <v>1</v>
      </c>
    </row>
    <row r="658" hidden="1">
      <c r="A658" s="150" t="s">
        <v>2938</v>
      </c>
      <c r="B658" s="150" t="s">
        <v>2939</v>
      </c>
      <c r="C658" s="439" t="s">
        <v>4483</v>
      </c>
      <c r="D658" s="150" t="s">
        <v>2904</v>
      </c>
      <c r="E658" s="443"/>
      <c r="F658" s="443"/>
      <c r="G658" s="440">
        <v>0.0</v>
      </c>
      <c r="H658" s="440">
        <v>24.0</v>
      </c>
      <c r="I658" s="440">
        <v>24.0</v>
      </c>
      <c r="J658" s="441">
        <v>0.0</v>
      </c>
      <c r="K658" s="150" t="s">
        <v>2940</v>
      </c>
      <c r="L658" s="150">
        <v>5.335822307E9</v>
      </c>
      <c r="M658" s="150" t="s">
        <v>2666</v>
      </c>
      <c r="N658" s="150" t="s">
        <v>2667</v>
      </c>
      <c r="O658" s="150" t="s">
        <v>1570</v>
      </c>
      <c r="P658" s="150" t="s">
        <v>4484</v>
      </c>
      <c r="Q658" s="442">
        <f>COUNTIF('Hedef Liste'!$A:$A,A658)</f>
        <v>1</v>
      </c>
    </row>
    <row r="659" hidden="1">
      <c r="A659" s="150" t="s">
        <v>4385</v>
      </c>
      <c r="B659" s="150" t="s">
        <v>4386</v>
      </c>
      <c r="C659" s="439" t="s">
        <v>4483</v>
      </c>
      <c r="D659" s="150" t="s">
        <v>2672</v>
      </c>
      <c r="E659" s="440">
        <v>5.0</v>
      </c>
      <c r="F659" s="440">
        <v>3.0</v>
      </c>
      <c r="G659" s="440">
        <v>0.0</v>
      </c>
      <c r="H659" s="440">
        <v>11.0</v>
      </c>
      <c r="I659" s="440">
        <v>11.0</v>
      </c>
      <c r="J659" s="441">
        <v>0.0</v>
      </c>
      <c r="K659" s="150" t="s">
        <v>4387</v>
      </c>
      <c r="L659" s="150">
        <v>5.398540105E9</v>
      </c>
      <c r="M659" s="150" t="s">
        <v>1450</v>
      </c>
      <c r="N659" s="150" t="s">
        <v>2659</v>
      </c>
      <c r="O659" s="150" t="s">
        <v>4388</v>
      </c>
      <c r="P659" s="150" t="s">
        <v>4484</v>
      </c>
      <c r="Q659" s="442">
        <f>COUNTIF('Hedef Liste'!$A:$A,A659)</f>
        <v>1</v>
      </c>
    </row>
    <row r="660" hidden="1">
      <c r="A660" s="150" t="s">
        <v>3774</v>
      </c>
      <c r="B660" s="150" t="s">
        <v>3775</v>
      </c>
      <c r="C660" s="439" t="s">
        <v>4483</v>
      </c>
      <c r="D660" s="150" t="s">
        <v>2684</v>
      </c>
      <c r="E660" s="440">
        <v>65.0</v>
      </c>
      <c r="F660" s="440">
        <v>58.0</v>
      </c>
      <c r="G660" s="440">
        <v>0.0</v>
      </c>
      <c r="H660" s="440">
        <v>19.0</v>
      </c>
      <c r="I660" s="440">
        <v>19.0</v>
      </c>
      <c r="J660" s="441">
        <v>0.0</v>
      </c>
      <c r="K660" s="150" t="s">
        <v>3776</v>
      </c>
      <c r="L660" s="150">
        <v>5.300188135E9</v>
      </c>
      <c r="M660" s="150" t="s">
        <v>2666</v>
      </c>
      <c r="N660" s="150" t="s">
        <v>2685</v>
      </c>
      <c r="O660" s="150" t="s">
        <v>3777</v>
      </c>
      <c r="P660" s="150" t="s">
        <v>4484</v>
      </c>
      <c r="Q660" s="442">
        <f>COUNTIF('Hedef Liste'!$A:$A,A660)</f>
        <v>1</v>
      </c>
    </row>
    <row r="661" hidden="1">
      <c r="A661" s="150" t="s">
        <v>5224</v>
      </c>
      <c r="B661" s="150" t="s">
        <v>5225</v>
      </c>
      <c r="C661" s="439" t="s">
        <v>4483</v>
      </c>
      <c r="D661" s="150" t="s">
        <v>2672</v>
      </c>
      <c r="E661" s="440">
        <v>701.0</v>
      </c>
      <c r="F661" s="440">
        <v>279.0</v>
      </c>
      <c r="G661" s="440">
        <v>47.0</v>
      </c>
      <c r="H661" s="440">
        <v>7.0</v>
      </c>
      <c r="I661" s="440">
        <v>54.0</v>
      </c>
      <c r="J661" s="441">
        <v>0.87</v>
      </c>
      <c r="K661" s="150" t="s">
        <v>5226</v>
      </c>
      <c r="L661" s="150">
        <v>5.322941186E9</v>
      </c>
      <c r="M661" s="150" t="s">
        <v>2666</v>
      </c>
      <c r="N661" s="150" t="s">
        <v>2682</v>
      </c>
      <c r="O661" s="150" t="s">
        <v>5227</v>
      </c>
      <c r="P661" s="150" t="s">
        <v>4512</v>
      </c>
      <c r="Q661" s="442">
        <f>COUNTIF('Hedef Liste'!$A:$A,A661)</f>
        <v>0</v>
      </c>
    </row>
    <row r="662" hidden="1">
      <c r="A662" s="150" t="s">
        <v>2987</v>
      </c>
      <c r="B662" s="150" t="s">
        <v>2988</v>
      </c>
      <c r="C662" s="439" t="s">
        <v>4483</v>
      </c>
      <c r="D662" s="150" t="s">
        <v>2701</v>
      </c>
      <c r="E662" s="440">
        <v>5.0</v>
      </c>
      <c r="F662" s="440">
        <v>5.0</v>
      </c>
      <c r="G662" s="440">
        <v>0.0</v>
      </c>
      <c r="H662" s="440">
        <v>53.0</v>
      </c>
      <c r="I662" s="440">
        <v>53.0</v>
      </c>
      <c r="J662" s="441">
        <v>0.0</v>
      </c>
      <c r="K662" s="150" t="s">
        <v>2989</v>
      </c>
      <c r="L662" s="150">
        <v>5.516925599E9</v>
      </c>
      <c r="M662" s="150" t="s">
        <v>1450</v>
      </c>
      <c r="N662" s="150" t="s">
        <v>2703</v>
      </c>
      <c r="O662" s="150" t="s">
        <v>2990</v>
      </c>
      <c r="P662" s="150" t="s">
        <v>4484</v>
      </c>
      <c r="Q662" s="442">
        <f>COUNTIF('Hedef Liste'!$A:$A,A662)</f>
        <v>1</v>
      </c>
    </row>
    <row r="663">
      <c r="A663" s="150" t="s">
        <v>4010</v>
      </c>
      <c r="B663" s="150" t="s">
        <v>4011</v>
      </c>
      <c r="C663" s="439" t="s">
        <v>4483</v>
      </c>
      <c r="D663" s="150" t="s">
        <v>2701</v>
      </c>
      <c r="E663" s="440">
        <v>17.0</v>
      </c>
      <c r="F663" s="440">
        <v>17.0</v>
      </c>
      <c r="G663" s="440">
        <v>0.0</v>
      </c>
      <c r="H663" s="440">
        <v>70.0</v>
      </c>
      <c r="I663" s="440">
        <v>70.0</v>
      </c>
      <c r="J663" s="441">
        <v>0.0</v>
      </c>
      <c r="K663" s="150" t="s">
        <v>4012</v>
      </c>
      <c r="L663" s="150">
        <v>5.538932618E9</v>
      </c>
      <c r="M663" s="150" t="s">
        <v>2666</v>
      </c>
      <c r="N663" s="150" t="s">
        <v>2711</v>
      </c>
      <c r="O663" s="150" t="s">
        <v>4013</v>
      </c>
      <c r="P663" s="150" t="s">
        <v>4484</v>
      </c>
      <c r="Q663" s="442">
        <f>COUNTIF('Hedef Liste'!$A:$A,A663)</f>
        <v>1</v>
      </c>
    </row>
    <row r="664" hidden="1">
      <c r="A664" s="150" t="s">
        <v>2310</v>
      </c>
      <c r="B664" s="150" t="s">
        <v>2311</v>
      </c>
      <c r="C664" s="439" t="s">
        <v>4483</v>
      </c>
      <c r="D664" s="150" t="s">
        <v>2850</v>
      </c>
      <c r="E664" s="440">
        <v>586.0</v>
      </c>
      <c r="F664" s="440">
        <v>29.0</v>
      </c>
      <c r="G664" s="440">
        <v>30.0</v>
      </c>
      <c r="H664" s="440">
        <v>1.0</v>
      </c>
      <c r="I664" s="440">
        <v>31.0</v>
      </c>
      <c r="J664" s="441">
        <v>0.97</v>
      </c>
      <c r="K664" s="150" t="s">
        <v>3442</v>
      </c>
      <c r="L664" s="150">
        <v>5.525663126E9</v>
      </c>
      <c r="M664" s="150" t="s">
        <v>2666</v>
      </c>
      <c r="N664" s="150" t="s">
        <v>2682</v>
      </c>
      <c r="O664" s="150" t="s">
        <v>2313</v>
      </c>
      <c r="P664" s="150" t="s">
        <v>4484</v>
      </c>
      <c r="Q664" s="442">
        <f>COUNTIF('Hedef Liste'!$A:$A,A664)</f>
        <v>1</v>
      </c>
    </row>
    <row r="665" hidden="1">
      <c r="A665" s="150" t="s">
        <v>414</v>
      </c>
      <c r="B665" s="150" t="s">
        <v>415</v>
      </c>
      <c r="C665" s="439" t="s">
        <v>4483</v>
      </c>
      <c r="D665" s="150" t="s">
        <v>2867</v>
      </c>
      <c r="E665" s="440">
        <v>1192.0</v>
      </c>
      <c r="F665" s="440">
        <v>2.0</v>
      </c>
      <c r="G665" s="440">
        <v>0.0</v>
      </c>
      <c r="H665" s="440">
        <v>19.0</v>
      </c>
      <c r="I665" s="440">
        <v>19.0</v>
      </c>
      <c r="J665" s="441">
        <v>0.0</v>
      </c>
      <c r="K665" s="150" t="s">
        <v>4575</v>
      </c>
      <c r="L665" s="150">
        <v>2.2232395E9</v>
      </c>
      <c r="M665" s="150" t="s">
        <v>2666</v>
      </c>
      <c r="N665" s="150" t="s">
        <v>2855</v>
      </c>
      <c r="O665" s="150" t="s">
        <v>413</v>
      </c>
      <c r="P665" s="150" t="s">
        <v>4484</v>
      </c>
      <c r="Q665" s="442">
        <f>COUNTIF('Hedef Liste'!$A:$A,A665)</f>
        <v>1</v>
      </c>
    </row>
    <row r="666" hidden="1">
      <c r="A666" s="150" t="s">
        <v>5228</v>
      </c>
      <c r="B666" s="150" t="s">
        <v>5229</v>
      </c>
      <c r="C666" s="439" t="s">
        <v>4483</v>
      </c>
      <c r="D666" s="150" t="s">
        <v>2664</v>
      </c>
      <c r="E666" s="440">
        <v>1458.0</v>
      </c>
      <c r="F666" s="440">
        <v>182.0</v>
      </c>
      <c r="G666" s="440">
        <v>29.0</v>
      </c>
      <c r="H666" s="440">
        <v>135.0</v>
      </c>
      <c r="I666" s="440">
        <v>164.0</v>
      </c>
      <c r="J666" s="441">
        <v>0.18</v>
      </c>
      <c r="K666" s="150" t="s">
        <v>5230</v>
      </c>
      <c r="L666" s="150">
        <v>5.525282426E9</v>
      </c>
      <c r="M666" s="150" t="s">
        <v>1450</v>
      </c>
      <c r="N666" s="150" t="s">
        <v>2732</v>
      </c>
      <c r="O666" s="150" t="s">
        <v>5231</v>
      </c>
      <c r="P666" s="150" t="s">
        <v>4484</v>
      </c>
      <c r="Q666" s="442">
        <f>COUNTIF('Hedef Liste'!$A:$A,A666)</f>
        <v>0</v>
      </c>
    </row>
    <row r="667" hidden="1">
      <c r="A667" s="150" t="s">
        <v>5232</v>
      </c>
      <c r="B667" s="150" t="s">
        <v>5233</v>
      </c>
      <c r="C667" s="439" t="s">
        <v>4483</v>
      </c>
      <c r="D667" s="150" t="s">
        <v>2724</v>
      </c>
      <c r="E667" s="440">
        <v>132.0</v>
      </c>
      <c r="F667" s="440">
        <v>52.0</v>
      </c>
      <c r="G667" s="440">
        <v>108.0</v>
      </c>
      <c r="H667" s="440">
        <v>3.0</v>
      </c>
      <c r="I667" s="440">
        <v>111.0</v>
      </c>
      <c r="J667" s="441">
        <v>0.97</v>
      </c>
      <c r="K667" s="150" t="s">
        <v>4843</v>
      </c>
      <c r="L667" s="150">
        <v>5.066476431E9</v>
      </c>
      <c r="M667" s="150" t="s">
        <v>1450</v>
      </c>
      <c r="N667" s="150" t="s">
        <v>2703</v>
      </c>
      <c r="O667" s="150" t="s">
        <v>5234</v>
      </c>
      <c r="P667" s="150" t="s">
        <v>4512</v>
      </c>
      <c r="Q667" s="442">
        <f>COUNTIF('Hedef Liste'!$A:$A,A667)</f>
        <v>0</v>
      </c>
    </row>
    <row r="668" hidden="1">
      <c r="A668" s="150" t="s">
        <v>3098</v>
      </c>
      <c r="B668" s="150" t="s">
        <v>3099</v>
      </c>
      <c r="C668" s="439" t="s">
        <v>4483</v>
      </c>
      <c r="D668" s="150" t="s">
        <v>2867</v>
      </c>
      <c r="E668" s="440">
        <v>187.0</v>
      </c>
      <c r="F668" s="440">
        <v>30.0</v>
      </c>
      <c r="G668" s="440">
        <v>34.0</v>
      </c>
      <c r="H668" s="440">
        <v>18.0</v>
      </c>
      <c r="I668" s="440">
        <v>52.0</v>
      </c>
      <c r="J668" s="441">
        <v>0.65</v>
      </c>
      <c r="K668" s="150" t="s">
        <v>3100</v>
      </c>
      <c r="L668" s="150">
        <v>5.536962626E9</v>
      </c>
      <c r="M668" s="150" t="s">
        <v>1450</v>
      </c>
      <c r="N668" s="150" t="s">
        <v>2700</v>
      </c>
      <c r="O668" s="150" t="s">
        <v>3101</v>
      </c>
      <c r="P668" s="150" t="s">
        <v>4484</v>
      </c>
      <c r="Q668" s="442">
        <f>COUNTIF('Hedef Liste'!$A:$A,A668)</f>
        <v>1</v>
      </c>
    </row>
    <row r="669" hidden="1">
      <c r="A669" s="150" t="s">
        <v>5235</v>
      </c>
      <c r="B669" s="150" t="s">
        <v>5236</v>
      </c>
      <c r="C669" s="439" t="s">
        <v>4483</v>
      </c>
      <c r="D669" s="150" t="s">
        <v>2672</v>
      </c>
      <c r="E669" s="440">
        <v>626.0</v>
      </c>
      <c r="F669" s="440">
        <v>26.0</v>
      </c>
      <c r="G669" s="440">
        <v>59.0</v>
      </c>
      <c r="H669" s="440">
        <v>6.0</v>
      </c>
      <c r="I669" s="440">
        <v>65.0</v>
      </c>
      <c r="J669" s="441">
        <v>0.91</v>
      </c>
      <c r="K669" s="150" t="s">
        <v>5237</v>
      </c>
      <c r="L669" s="150">
        <v>2.225030002E9</v>
      </c>
      <c r="M669" s="150" t="s">
        <v>1450</v>
      </c>
      <c r="N669" s="150" t="s">
        <v>2782</v>
      </c>
      <c r="O669" s="150" t="s">
        <v>5238</v>
      </c>
      <c r="P669" s="150" t="s">
        <v>4484</v>
      </c>
      <c r="Q669" s="442">
        <f>COUNTIF('Hedef Liste'!$A:$A,A669)</f>
        <v>0</v>
      </c>
    </row>
    <row r="670" hidden="1">
      <c r="A670" s="150" t="s">
        <v>3018</v>
      </c>
      <c r="B670" s="150" t="s">
        <v>3019</v>
      </c>
      <c r="C670" s="439" t="s">
        <v>4483</v>
      </c>
      <c r="D670" s="150" t="s">
        <v>2763</v>
      </c>
      <c r="E670" s="440">
        <v>44.0</v>
      </c>
      <c r="F670" s="440">
        <v>11.0</v>
      </c>
      <c r="G670" s="440">
        <v>0.0</v>
      </c>
      <c r="H670" s="440">
        <v>13.0</v>
      </c>
      <c r="I670" s="440">
        <v>13.0</v>
      </c>
      <c r="J670" s="441">
        <v>0.0</v>
      </c>
      <c r="K670" s="150" t="s">
        <v>3020</v>
      </c>
      <c r="L670" s="150">
        <v>5.378872014E9</v>
      </c>
      <c r="M670" s="150" t="s">
        <v>1450</v>
      </c>
      <c r="N670" s="150" t="s">
        <v>2703</v>
      </c>
      <c r="O670" s="150" t="s">
        <v>3021</v>
      </c>
      <c r="P670" s="150" t="s">
        <v>4484</v>
      </c>
      <c r="Q670" s="442">
        <f>COUNTIF('Hedef Liste'!$A:$A,A670)</f>
        <v>1</v>
      </c>
    </row>
    <row r="671" hidden="1">
      <c r="A671" s="150" t="s">
        <v>2180</v>
      </c>
      <c r="B671" s="150" t="s">
        <v>2181</v>
      </c>
      <c r="C671" s="439" t="s">
        <v>4483</v>
      </c>
      <c r="D671" s="150" t="s">
        <v>2696</v>
      </c>
      <c r="E671" s="440">
        <v>360.0</v>
      </c>
      <c r="F671" s="443"/>
      <c r="G671" s="440">
        <v>9.0</v>
      </c>
      <c r="H671" s="440">
        <v>9.0</v>
      </c>
      <c r="I671" s="440">
        <v>18.0</v>
      </c>
      <c r="J671" s="444">
        <v>0.5</v>
      </c>
      <c r="K671" s="150" t="s">
        <v>3492</v>
      </c>
      <c r="L671" s="150">
        <v>2.223214046E9</v>
      </c>
      <c r="M671" s="150" t="s">
        <v>2666</v>
      </c>
      <c r="N671" s="150" t="s">
        <v>3131</v>
      </c>
      <c r="O671" s="150" t="s">
        <v>2183</v>
      </c>
      <c r="P671" s="150" t="s">
        <v>4484</v>
      </c>
      <c r="Q671" s="442">
        <f>COUNTIF('Hedef Liste'!$A:$A,A671)</f>
        <v>1</v>
      </c>
    </row>
    <row r="672" hidden="1">
      <c r="A672" s="150" t="s">
        <v>905</v>
      </c>
      <c r="B672" s="150" t="s">
        <v>906</v>
      </c>
      <c r="C672" s="439" t="s">
        <v>4520</v>
      </c>
      <c r="D672" s="150" t="s">
        <v>2672</v>
      </c>
      <c r="E672" s="440">
        <v>184.0</v>
      </c>
      <c r="F672" s="443"/>
      <c r="G672" s="440">
        <v>9.0</v>
      </c>
      <c r="H672" s="440">
        <v>10.0</v>
      </c>
      <c r="I672" s="440">
        <v>19.0</v>
      </c>
      <c r="J672" s="441">
        <v>0.47</v>
      </c>
      <c r="K672" s="150" t="s">
        <v>5239</v>
      </c>
      <c r="L672" s="150">
        <v>5.465422296E9</v>
      </c>
      <c r="M672" s="150" t="s">
        <v>2666</v>
      </c>
      <c r="N672" s="150" t="s">
        <v>4529</v>
      </c>
      <c r="O672" s="150" t="s">
        <v>909</v>
      </c>
      <c r="P672" s="150" t="s">
        <v>4484</v>
      </c>
      <c r="Q672" s="442">
        <f>COUNTIF('Hedef Liste'!$A:$A,A672)</f>
        <v>1</v>
      </c>
    </row>
    <row r="673" hidden="1">
      <c r="A673" s="150" t="s">
        <v>2511</v>
      </c>
      <c r="B673" s="150" t="s">
        <v>2512</v>
      </c>
      <c r="C673" s="439" t="s">
        <v>4483</v>
      </c>
      <c r="D673" s="150" t="s">
        <v>2664</v>
      </c>
      <c r="E673" s="440">
        <v>276.0</v>
      </c>
      <c r="F673" s="440">
        <v>60.0</v>
      </c>
      <c r="G673" s="440">
        <v>9.0</v>
      </c>
      <c r="H673" s="440">
        <v>17.0</v>
      </c>
      <c r="I673" s="440">
        <v>26.0</v>
      </c>
      <c r="J673" s="441">
        <v>0.35</v>
      </c>
      <c r="K673" s="150" t="s">
        <v>3336</v>
      </c>
      <c r="L673" s="150">
        <v>2.223202938E9</v>
      </c>
      <c r="M673" s="150" t="s">
        <v>2666</v>
      </c>
      <c r="N673" s="150" t="s">
        <v>4529</v>
      </c>
      <c r="O673" s="150" t="s">
        <v>2510</v>
      </c>
      <c r="P673" s="150" t="s">
        <v>4484</v>
      </c>
      <c r="Q673" s="442">
        <f>COUNTIF('Hedef Liste'!$A:$A,A673)</f>
        <v>1</v>
      </c>
    </row>
    <row r="674" hidden="1">
      <c r="A674" s="150" t="s">
        <v>2379</v>
      </c>
      <c r="B674" s="150" t="s">
        <v>2380</v>
      </c>
      <c r="C674" s="439" t="s">
        <v>4483</v>
      </c>
      <c r="D674" s="150" t="s">
        <v>2701</v>
      </c>
      <c r="E674" s="440">
        <v>195.0</v>
      </c>
      <c r="F674" s="440">
        <v>62.0</v>
      </c>
      <c r="G674" s="440">
        <v>28.0</v>
      </c>
      <c r="H674" s="440">
        <v>9.0</v>
      </c>
      <c r="I674" s="440">
        <v>37.0</v>
      </c>
      <c r="J674" s="441">
        <v>0.76</v>
      </c>
      <c r="K674" s="150" t="s">
        <v>2704</v>
      </c>
      <c r="L674" s="150">
        <v>5.461962025E9</v>
      </c>
      <c r="M674" s="150" t="s">
        <v>1450</v>
      </c>
      <c r="N674" s="150" t="s">
        <v>4745</v>
      </c>
      <c r="O674" s="150" t="s">
        <v>2383</v>
      </c>
      <c r="P674" s="150" t="s">
        <v>4484</v>
      </c>
      <c r="Q674" s="442">
        <f>COUNTIF('Hedef Liste'!$A:$A,A674)</f>
        <v>1</v>
      </c>
    </row>
    <row r="675" hidden="1">
      <c r="A675" s="150" t="s">
        <v>2326</v>
      </c>
      <c r="B675" s="150" t="s">
        <v>2327</v>
      </c>
      <c r="C675" s="439" t="s">
        <v>4483</v>
      </c>
      <c r="D675" s="150" t="s">
        <v>2763</v>
      </c>
      <c r="E675" s="440">
        <v>169.0</v>
      </c>
      <c r="F675" s="440">
        <v>10.0</v>
      </c>
      <c r="G675" s="440">
        <v>0.0</v>
      </c>
      <c r="H675" s="440">
        <v>18.0</v>
      </c>
      <c r="I675" s="440">
        <v>18.0</v>
      </c>
      <c r="J675" s="441">
        <v>0.0</v>
      </c>
      <c r="K675" s="150" t="s">
        <v>3547</v>
      </c>
      <c r="L675" s="150">
        <v>5.616117277E9</v>
      </c>
      <c r="M675" s="150" t="s">
        <v>2666</v>
      </c>
      <c r="N675" s="150" t="s">
        <v>3084</v>
      </c>
      <c r="O675" s="150" t="s">
        <v>2324</v>
      </c>
      <c r="P675" s="150" t="s">
        <v>4484</v>
      </c>
      <c r="Q675" s="442">
        <f>COUNTIF('Hedef Liste'!$A:$A,A675)</f>
        <v>1</v>
      </c>
    </row>
    <row r="676" hidden="1">
      <c r="A676" s="150" t="s">
        <v>2542</v>
      </c>
      <c r="B676" s="150" t="s">
        <v>2543</v>
      </c>
      <c r="C676" s="439" t="s">
        <v>4483</v>
      </c>
      <c r="D676" s="150" t="s">
        <v>2696</v>
      </c>
      <c r="E676" s="440">
        <v>674.0</v>
      </c>
      <c r="F676" s="440">
        <v>80.0</v>
      </c>
      <c r="G676" s="440">
        <v>6.0</v>
      </c>
      <c r="H676" s="440">
        <v>24.0</v>
      </c>
      <c r="I676" s="440">
        <v>30.0</v>
      </c>
      <c r="J676" s="441">
        <v>0.2</v>
      </c>
      <c r="K676" s="150" t="s">
        <v>3458</v>
      </c>
      <c r="L676" s="150">
        <v>2.223232321E9</v>
      </c>
      <c r="M676" s="150" t="s">
        <v>2666</v>
      </c>
      <c r="N676" s="150" t="s">
        <v>2774</v>
      </c>
      <c r="O676" s="150" t="s">
        <v>2545</v>
      </c>
      <c r="P676" s="150" t="s">
        <v>4484</v>
      </c>
      <c r="Q676" s="442">
        <f>COUNTIF('Hedef Liste'!$A:$A,A676)</f>
        <v>1</v>
      </c>
    </row>
    <row r="677" hidden="1">
      <c r="A677" s="150" t="s">
        <v>3374</v>
      </c>
      <c r="B677" s="150" t="s">
        <v>3375</v>
      </c>
      <c r="C677" s="439" t="s">
        <v>4483</v>
      </c>
      <c r="D677" s="150" t="s">
        <v>2664</v>
      </c>
      <c r="E677" s="440">
        <v>35.0</v>
      </c>
      <c r="F677" s="443"/>
      <c r="G677" s="440">
        <v>0.0</v>
      </c>
      <c r="H677" s="440">
        <v>4.0</v>
      </c>
      <c r="I677" s="440">
        <v>4.0</v>
      </c>
      <c r="J677" s="444">
        <v>0.0</v>
      </c>
      <c r="K677" s="150" t="s">
        <v>3376</v>
      </c>
      <c r="L677" s="150">
        <v>5.079653821E9</v>
      </c>
      <c r="M677" s="150" t="s">
        <v>1450</v>
      </c>
      <c r="N677" s="150" t="s">
        <v>3009</v>
      </c>
      <c r="O677" s="150" t="s">
        <v>3014</v>
      </c>
      <c r="P677" s="150" t="s">
        <v>4484</v>
      </c>
      <c r="Q677" s="442">
        <f>COUNTIF('Hedef Liste'!$A:$A,A677)</f>
        <v>1</v>
      </c>
    </row>
    <row r="678" hidden="1">
      <c r="A678" s="150" t="s">
        <v>2984</v>
      </c>
      <c r="B678" s="150" t="s">
        <v>2985</v>
      </c>
      <c r="C678" s="439" t="s">
        <v>4483</v>
      </c>
      <c r="D678" s="150" t="s">
        <v>2701</v>
      </c>
      <c r="E678" s="440">
        <v>2076.0</v>
      </c>
      <c r="F678" s="440">
        <v>51.0</v>
      </c>
      <c r="G678" s="440">
        <v>10.0</v>
      </c>
      <c r="H678" s="440">
        <v>5.0</v>
      </c>
      <c r="I678" s="440">
        <v>15.0</v>
      </c>
      <c r="J678" s="441">
        <v>0.67</v>
      </c>
      <c r="K678" s="150" t="s">
        <v>5240</v>
      </c>
      <c r="L678" s="150">
        <v>8.508880592E9</v>
      </c>
      <c r="M678" s="150" t="s">
        <v>2666</v>
      </c>
      <c r="N678" s="150" t="s">
        <v>2667</v>
      </c>
      <c r="O678" s="150" t="s">
        <v>2986</v>
      </c>
      <c r="P678" s="150" t="s">
        <v>4484</v>
      </c>
      <c r="Q678" s="442">
        <f>COUNTIF('Hedef Liste'!$A:$A,A678)</f>
        <v>1</v>
      </c>
    </row>
    <row r="679" hidden="1">
      <c r="A679" s="150" t="s">
        <v>5241</v>
      </c>
      <c r="B679" s="150" t="s">
        <v>5242</v>
      </c>
      <c r="C679" s="439" t="s">
        <v>4483</v>
      </c>
      <c r="D679" s="150" t="s">
        <v>2773</v>
      </c>
      <c r="E679" s="440">
        <v>773.0</v>
      </c>
      <c r="F679" s="440">
        <v>129.0</v>
      </c>
      <c r="G679" s="440">
        <v>73.0</v>
      </c>
      <c r="H679" s="440">
        <v>8.0</v>
      </c>
      <c r="I679" s="440">
        <v>81.0</v>
      </c>
      <c r="J679" s="441">
        <v>0.9</v>
      </c>
      <c r="K679" s="150" t="s">
        <v>4567</v>
      </c>
      <c r="L679" s="150">
        <v>5.392736669E9</v>
      </c>
      <c r="M679" s="150" t="s">
        <v>2666</v>
      </c>
      <c r="N679" s="150" t="s">
        <v>2809</v>
      </c>
      <c r="O679" s="150" t="s">
        <v>5243</v>
      </c>
      <c r="P679" s="150" t="s">
        <v>4512</v>
      </c>
      <c r="Q679" s="442">
        <f>COUNTIF('Hedef Liste'!$A:$A,A679)</f>
        <v>0</v>
      </c>
    </row>
    <row r="680" hidden="1">
      <c r="A680" s="150" t="s">
        <v>4238</v>
      </c>
      <c r="B680" s="150" t="s">
        <v>4239</v>
      </c>
      <c r="C680" s="439" t="s">
        <v>4483</v>
      </c>
      <c r="D680" s="150" t="s">
        <v>2773</v>
      </c>
      <c r="E680" s="440">
        <v>255.0</v>
      </c>
      <c r="F680" s="440">
        <v>36.0</v>
      </c>
      <c r="G680" s="440">
        <v>0.0</v>
      </c>
      <c r="H680" s="440">
        <v>33.0</v>
      </c>
      <c r="I680" s="440">
        <v>33.0</v>
      </c>
      <c r="J680" s="444">
        <v>0.0</v>
      </c>
      <c r="K680" s="150" t="s">
        <v>4240</v>
      </c>
      <c r="L680" s="150">
        <v>5.389565418E9</v>
      </c>
      <c r="M680" s="150" t="s">
        <v>1450</v>
      </c>
      <c r="N680" s="150" t="s">
        <v>2795</v>
      </c>
      <c r="O680" s="150" t="s">
        <v>4241</v>
      </c>
      <c r="P680" s="150" t="s">
        <v>4484</v>
      </c>
      <c r="Q680" s="442">
        <f>COUNTIF('Hedef Liste'!$A:$A,A680)</f>
        <v>1</v>
      </c>
    </row>
    <row r="681" hidden="1">
      <c r="A681" s="150" t="s">
        <v>5244</v>
      </c>
      <c r="B681" s="150" t="s">
        <v>5245</v>
      </c>
      <c r="C681" s="439" t="s">
        <v>4483</v>
      </c>
      <c r="D681" s="150" t="s">
        <v>2684</v>
      </c>
      <c r="E681" s="440">
        <v>17438.0</v>
      </c>
      <c r="F681" s="440">
        <v>494.0</v>
      </c>
      <c r="G681" s="440">
        <v>95.0</v>
      </c>
      <c r="H681" s="440">
        <v>0.0</v>
      </c>
      <c r="I681" s="440">
        <v>95.0</v>
      </c>
      <c r="J681" s="441">
        <v>1.0</v>
      </c>
      <c r="K681" s="150" t="s">
        <v>4554</v>
      </c>
      <c r="L681" s="150">
        <v>2.123363575E9</v>
      </c>
      <c r="M681" s="150" t="s">
        <v>2666</v>
      </c>
      <c r="N681" s="150" t="s">
        <v>2667</v>
      </c>
      <c r="O681" s="150" t="s">
        <v>5246</v>
      </c>
      <c r="P681" s="150" t="s">
        <v>4512</v>
      </c>
      <c r="Q681" s="442">
        <f>COUNTIF('Hedef Liste'!$A:$A,A681)</f>
        <v>0</v>
      </c>
    </row>
    <row r="682" hidden="1">
      <c r="A682" s="150" t="s">
        <v>5247</v>
      </c>
      <c r="B682" s="150" t="s">
        <v>5248</v>
      </c>
      <c r="C682" s="439" t="s">
        <v>4483</v>
      </c>
      <c r="D682" s="150" t="s">
        <v>3151</v>
      </c>
      <c r="E682" s="440">
        <v>13758.0</v>
      </c>
      <c r="F682" s="440">
        <v>468.0</v>
      </c>
      <c r="G682" s="440">
        <v>83.0</v>
      </c>
      <c r="H682" s="440">
        <v>2.0</v>
      </c>
      <c r="I682" s="440">
        <v>85.0</v>
      </c>
      <c r="J682" s="441">
        <v>0.98</v>
      </c>
      <c r="K682" s="150" t="s">
        <v>4788</v>
      </c>
      <c r="L682" s="150">
        <v>8.509552231E9</v>
      </c>
      <c r="M682" s="150" t="s">
        <v>1450</v>
      </c>
      <c r="N682" s="150" t="s">
        <v>2795</v>
      </c>
      <c r="O682" s="150" t="s">
        <v>5249</v>
      </c>
      <c r="P682" s="150" t="s">
        <v>4512</v>
      </c>
      <c r="Q682" s="442">
        <f>COUNTIF('Hedef Liste'!$A:$A,A682)</f>
        <v>0</v>
      </c>
    </row>
    <row r="683" hidden="1">
      <c r="A683" s="150" t="s">
        <v>3667</v>
      </c>
      <c r="B683" s="150" t="s">
        <v>3668</v>
      </c>
      <c r="C683" s="439" t="s">
        <v>4483</v>
      </c>
      <c r="D683" s="150" t="s">
        <v>2701</v>
      </c>
      <c r="E683" s="440">
        <v>2053.0</v>
      </c>
      <c r="F683" s="440">
        <v>63.0</v>
      </c>
      <c r="G683" s="440">
        <v>5.0</v>
      </c>
      <c r="H683" s="440">
        <v>0.0</v>
      </c>
      <c r="I683" s="440">
        <v>5.0</v>
      </c>
      <c r="J683" s="441">
        <v>1.0</v>
      </c>
      <c r="K683" s="150" t="s">
        <v>5250</v>
      </c>
      <c r="L683" s="150">
        <v>2.222215645E9</v>
      </c>
      <c r="M683" s="150" t="s">
        <v>1450</v>
      </c>
      <c r="N683" s="150" t="s">
        <v>3189</v>
      </c>
      <c r="O683" s="150" t="s">
        <v>3669</v>
      </c>
      <c r="P683" s="150" t="s">
        <v>4484</v>
      </c>
      <c r="Q683" s="442">
        <f>COUNTIF('Hedef Liste'!$A:$A,A683)</f>
        <v>1</v>
      </c>
    </row>
    <row r="684" hidden="1">
      <c r="A684" s="150" t="s">
        <v>3861</v>
      </c>
      <c r="B684" s="150" t="s">
        <v>3862</v>
      </c>
      <c r="C684" s="439" t="s">
        <v>4483</v>
      </c>
      <c r="D684" s="150" t="s">
        <v>2773</v>
      </c>
      <c r="E684" s="440">
        <v>157.0</v>
      </c>
      <c r="F684" s="440">
        <v>14.0</v>
      </c>
      <c r="G684" s="440">
        <v>0.0</v>
      </c>
      <c r="H684" s="440">
        <v>14.0</v>
      </c>
      <c r="I684" s="440">
        <v>14.0</v>
      </c>
      <c r="J684" s="441">
        <v>0.0</v>
      </c>
      <c r="K684" s="150" t="s">
        <v>5251</v>
      </c>
      <c r="L684" s="150">
        <v>5.365772644E9</v>
      </c>
      <c r="M684" s="150" t="s">
        <v>2666</v>
      </c>
      <c r="N684" s="150" t="s">
        <v>2897</v>
      </c>
      <c r="O684" s="150" t="s">
        <v>3863</v>
      </c>
      <c r="P684" s="150" t="s">
        <v>4484</v>
      </c>
      <c r="Q684" s="442">
        <f>COUNTIF('Hedef Liste'!$A:$A,A684)</f>
        <v>1</v>
      </c>
    </row>
    <row r="685" hidden="1">
      <c r="A685" s="150" t="s">
        <v>2229</v>
      </c>
      <c r="B685" s="150" t="s">
        <v>2230</v>
      </c>
      <c r="C685" s="439" t="s">
        <v>4483</v>
      </c>
      <c r="D685" s="150" t="s">
        <v>2664</v>
      </c>
      <c r="E685" s="440">
        <v>302.0</v>
      </c>
      <c r="F685" s="440">
        <v>57.0</v>
      </c>
      <c r="G685" s="440">
        <v>14.0</v>
      </c>
      <c r="H685" s="440">
        <v>7.0</v>
      </c>
      <c r="I685" s="440">
        <v>21.0</v>
      </c>
      <c r="J685" s="441">
        <v>0.67</v>
      </c>
      <c r="K685" s="150" t="s">
        <v>5252</v>
      </c>
      <c r="L685" s="150">
        <v>2.222398828E9</v>
      </c>
      <c r="M685" s="150" t="s">
        <v>1450</v>
      </c>
      <c r="N685" s="150" t="s">
        <v>4514</v>
      </c>
      <c r="O685" s="150" t="s">
        <v>2232</v>
      </c>
      <c r="P685" s="150" t="s">
        <v>4484</v>
      </c>
      <c r="Q685" s="442">
        <f>COUNTIF('Hedef Liste'!$A:$A,A685)</f>
        <v>1</v>
      </c>
    </row>
    <row r="686" hidden="1">
      <c r="A686" s="150" t="s">
        <v>2888</v>
      </c>
      <c r="B686" s="150" t="s">
        <v>5253</v>
      </c>
      <c r="C686" s="439" t="s">
        <v>4483</v>
      </c>
      <c r="D686" s="150" t="s">
        <v>2701</v>
      </c>
      <c r="E686" s="440">
        <v>673.0</v>
      </c>
      <c r="F686" s="440">
        <v>147.0</v>
      </c>
      <c r="G686" s="440">
        <v>26.0</v>
      </c>
      <c r="H686" s="440">
        <v>20.0</v>
      </c>
      <c r="I686" s="440">
        <v>46.0</v>
      </c>
      <c r="J686" s="441">
        <v>0.57</v>
      </c>
      <c r="K686" s="150" t="s">
        <v>2890</v>
      </c>
      <c r="L686" s="150">
        <v>5.444477754E9</v>
      </c>
      <c r="M686" s="150" t="s">
        <v>1450</v>
      </c>
      <c r="N686" s="150" t="s">
        <v>2703</v>
      </c>
      <c r="O686" s="150" t="s">
        <v>2891</v>
      </c>
      <c r="P686" s="150" t="s">
        <v>4484</v>
      </c>
      <c r="Q686" s="442">
        <f>COUNTIF('Hedef Liste'!$A:$A,A686)</f>
        <v>1</v>
      </c>
    </row>
    <row r="687" hidden="1">
      <c r="A687" s="150" t="s">
        <v>3043</v>
      </c>
      <c r="B687" s="150" t="s">
        <v>3044</v>
      </c>
      <c r="C687" s="439" t="s">
        <v>4483</v>
      </c>
      <c r="D687" s="150" t="s">
        <v>2773</v>
      </c>
      <c r="E687" s="440">
        <v>376.0</v>
      </c>
      <c r="F687" s="440">
        <v>40.0</v>
      </c>
      <c r="G687" s="440">
        <v>7.0</v>
      </c>
      <c r="H687" s="440">
        <v>8.0</v>
      </c>
      <c r="I687" s="440">
        <v>15.0</v>
      </c>
      <c r="J687" s="441">
        <v>0.47</v>
      </c>
      <c r="K687" s="150" t="s">
        <v>5101</v>
      </c>
      <c r="L687" s="150">
        <v>5.323824718E9</v>
      </c>
      <c r="M687" s="150" t="s">
        <v>1450</v>
      </c>
      <c r="N687" s="150" t="s">
        <v>2700</v>
      </c>
      <c r="O687" s="150" t="s">
        <v>3045</v>
      </c>
      <c r="P687" s="150" t="s">
        <v>4484</v>
      </c>
      <c r="Q687" s="442">
        <f>COUNTIF('Hedef Liste'!$A:$A,A687)</f>
        <v>1</v>
      </c>
    </row>
    <row r="688" hidden="1">
      <c r="A688" s="150" t="s">
        <v>3359</v>
      </c>
      <c r="B688" s="150" t="s">
        <v>3360</v>
      </c>
      <c r="C688" s="439" t="s">
        <v>4483</v>
      </c>
      <c r="D688" s="150" t="s">
        <v>2904</v>
      </c>
      <c r="E688" s="440">
        <v>16.0</v>
      </c>
      <c r="F688" s="440">
        <v>16.0</v>
      </c>
      <c r="G688" s="440">
        <v>0.0</v>
      </c>
      <c r="H688" s="440">
        <v>33.0</v>
      </c>
      <c r="I688" s="440">
        <v>33.0</v>
      </c>
      <c r="J688" s="441">
        <v>0.0</v>
      </c>
      <c r="K688" s="150" t="s">
        <v>3361</v>
      </c>
      <c r="L688" s="150">
        <v>5.352488282E9</v>
      </c>
      <c r="M688" s="150" t="s">
        <v>2666</v>
      </c>
      <c r="N688" s="150" t="s">
        <v>2721</v>
      </c>
      <c r="O688" s="150" t="s">
        <v>3362</v>
      </c>
      <c r="P688" s="150" t="s">
        <v>4484</v>
      </c>
      <c r="Q688" s="442">
        <f>COUNTIF('Hedef Liste'!$A:$A,A688)</f>
        <v>1</v>
      </c>
    </row>
    <row r="689" hidden="1">
      <c r="A689" s="150" t="s">
        <v>1626</v>
      </c>
      <c r="B689" s="150" t="s">
        <v>5254</v>
      </c>
      <c r="C689" s="439" t="s">
        <v>4483</v>
      </c>
      <c r="D689" s="150" t="s">
        <v>2684</v>
      </c>
      <c r="E689" s="440">
        <v>7.0</v>
      </c>
      <c r="F689" s="443"/>
      <c r="G689" s="440">
        <v>0.0</v>
      </c>
      <c r="H689" s="440">
        <v>10.0</v>
      </c>
      <c r="I689" s="440">
        <v>10.0</v>
      </c>
      <c r="J689" s="441">
        <v>0.0</v>
      </c>
      <c r="K689" s="150" t="s">
        <v>5255</v>
      </c>
      <c r="L689" s="150">
        <v>5.453532606E9</v>
      </c>
      <c r="M689" s="150" t="s">
        <v>1450</v>
      </c>
      <c r="N689" s="150" t="s">
        <v>2716</v>
      </c>
      <c r="O689" s="150" t="s">
        <v>5256</v>
      </c>
      <c r="P689" s="150" t="s">
        <v>4484</v>
      </c>
      <c r="Q689" s="442">
        <f>COUNTIF('Hedef Liste'!$A:$A,A689)</f>
        <v>1</v>
      </c>
    </row>
    <row r="690" hidden="1">
      <c r="A690" s="150" t="s">
        <v>5257</v>
      </c>
      <c r="B690" s="150" t="s">
        <v>5258</v>
      </c>
      <c r="C690" s="439" t="s">
        <v>4483</v>
      </c>
      <c r="D690" s="150" t="s">
        <v>2773</v>
      </c>
      <c r="E690" s="440">
        <v>472.0</v>
      </c>
      <c r="F690" s="440">
        <v>141.0</v>
      </c>
      <c r="G690" s="440">
        <v>47.0</v>
      </c>
      <c r="H690" s="440">
        <v>6.0</v>
      </c>
      <c r="I690" s="440">
        <v>53.0</v>
      </c>
      <c r="J690" s="441">
        <v>0.89</v>
      </c>
      <c r="K690" s="150" t="s">
        <v>4567</v>
      </c>
      <c r="L690" s="150">
        <v>5.41438422E9</v>
      </c>
      <c r="M690" s="150" t="s">
        <v>2666</v>
      </c>
      <c r="N690" s="150" t="s">
        <v>3131</v>
      </c>
      <c r="O690" s="150" t="s">
        <v>5259</v>
      </c>
      <c r="P690" s="150" t="s">
        <v>4512</v>
      </c>
      <c r="Q690" s="442">
        <f>COUNTIF('Hedef Liste'!$A:$A,A690)</f>
        <v>0</v>
      </c>
    </row>
    <row r="691" hidden="1">
      <c r="A691" s="150" t="s">
        <v>3071</v>
      </c>
      <c r="B691" s="150" t="s">
        <v>3072</v>
      </c>
      <c r="C691" s="439" t="s">
        <v>4483</v>
      </c>
      <c r="D691" s="150" t="s">
        <v>2751</v>
      </c>
      <c r="E691" s="440">
        <v>399.0</v>
      </c>
      <c r="F691" s="440">
        <v>112.0</v>
      </c>
      <c r="G691" s="440">
        <v>0.0</v>
      </c>
      <c r="H691" s="440">
        <v>38.0</v>
      </c>
      <c r="I691" s="440">
        <v>38.0</v>
      </c>
      <c r="J691" s="441">
        <v>0.0</v>
      </c>
      <c r="K691" s="150" t="s">
        <v>3032</v>
      </c>
      <c r="L691" s="150">
        <v>5.461032626E9</v>
      </c>
      <c r="M691" s="150" t="s">
        <v>2666</v>
      </c>
      <c r="N691" s="150" t="s">
        <v>2801</v>
      </c>
      <c r="O691" s="150" t="s">
        <v>3033</v>
      </c>
      <c r="P691" s="150" t="s">
        <v>4484</v>
      </c>
      <c r="Q691" s="442">
        <f>COUNTIF('Hedef Liste'!$A:$A,A691)</f>
        <v>1</v>
      </c>
    </row>
    <row r="692" hidden="1">
      <c r="A692" s="150" t="s">
        <v>2577</v>
      </c>
      <c r="B692" s="150" t="s">
        <v>2091</v>
      </c>
      <c r="C692" s="439" t="s">
        <v>4483</v>
      </c>
      <c r="D692" s="150" t="s">
        <v>2763</v>
      </c>
      <c r="E692" s="440">
        <v>1605.0</v>
      </c>
      <c r="F692" s="440">
        <v>635.0</v>
      </c>
      <c r="G692" s="440">
        <v>0.0</v>
      </c>
      <c r="H692" s="440">
        <v>83.0</v>
      </c>
      <c r="I692" s="440">
        <v>83.0</v>
      </c>
      <c r="J692" s="441">
        <v>0.0</v>
      </c>
      <c r="K692" s="150" t="s">
        <v>3433</v>
      </c>
      <c r="L692" s="150">
        <v>2.222393926E9</v>
      </c>
      <c r="M692" s="150" t="s">
        <v>1450</v>
      </c>
      <c r="N692" s="150" t="s">
        <v>2732</v>
      </c>
      <c r="O692" s="150" t="s">
        <v>2579</v>
      </c>
      <c r="P692" s="150" t="s">
        <v>4484</v>
      </c>
      <c r="Q692" s="442">
        <f>COUNTIF('Hedef Liste'!$A:$A,A692)</f>
        <v>1</v>
      </c>
    </row>
    <row r="693" hidden="1">
      <c r="A693" s="150" t="s">
        <v>5260</v>
      </c>
      <c r="B693" s="150" t="s">
        <v>5261</v>
      </c>
      <c r="C693" s="439" t="s">
        <v>4483</v>
      </c>
      <c r="D693" s="150" t="s">
        <v>2751</v>
      </c>
      <c r="E693" s="440">
        <v>201.0</v>
      </c>
      <c r="F693" s="440">
        <v>57.0</v>
      </c>
      <c r="G693" s="440">
        <v>0.0</v>
      </c>
      <c r="H693" s="440">
        <v>59.0</v>
      </c>
      <c r="I693" s="440">
        <v>59.0</v>
      </c>
      <c r="J693" s="441">
        <v>0.0</v>
      </c>
      <c r="K693" s="150" t="s">
        <v>5097</v>
      </c>
      <c r="L693" s="150">
        <v>5.528838776E9</v>
      </c>
      <c r="M693" s="150" t="s">
        <v>1450</v>
      </c>
      <c r="N693" s="150" t="s">
        <v>4514</v>
      </c>
      <c r="O693" s="150" t="s">
        <v>5262</v>
      </c>
      <c r="P693" s="150" t="s">
        <v>5099</v>
      </c>
      <c r="Q693" s="442">
        <f>COUNTIF('Hedef Liste'!$A:$A,A693)</f>
        <v>0</v>
      </c>
    </row>
    <row r="694" hidden="1">
      <c r="A694" s="150" t="s">
        <v>2777</v>
      </c>
      <c r="B694" s="150" t="s">
        <v>2778</v>
      </c>
      <c r="C694" s="439" t="s">
        <v>4483</v>
      </c>
      <c r="D694" s="150" t="s">
        <v>2773</v>
      </c>
      <c r="E694" s="440">
        <v>13.0</v>
      </c>
      <c r="F694" s="440">
        <v>1.0</v>
      </c>
      <c r="G694" s="440">
        <v>0.0</v>
      </c>
      <c r="H694" s="440">
        <v>22.0</v>
      </c>
      <c r="I694" s="440">
        <v>22.0</v>
      </c>
      <c r="J694" s="441">
        <v>0.0</v>
      </c>
      <c r="K694" s="150" t="s">
        <v>2779</v>
      </c>
      <c r="L694" s="150">
        <v>5.432761694E9</v>
      </c>
      <c r="M694" s="150" t="s">
        <v>1450</v>
      </c>
      <c r="N694" s="150" t="s">
        <v>2703</v>
      </c>
      <c r="O694" s="150" t="s">
        <v>2780</v>
      </c>
      <c r="P694" s="150" t="s">
        <v>4484</v>
      </c>
      <c r="Q694" s="442">
        <f>COUNTIF('Hedef Liste'!$A:$A,A694)</f>
        <v>1</v>
      </c>
    </row>
    <row r="695" hidden="1">
      <c r="A695" s="150" t="s">
        <v>3047</v>
      </c>
      <c r="B695" s="150" t="s">
        <v>3048</v>
      </c>
      <c r="C695" s="439" t="s">
        <v>4483</v>
      </c>
      <c r="D695" s="150" t="s">
        <v>2701</v>
      </c>
      <c r="F695" s="443"/>
      <c r="G695" s="440">
        <v>0.0</v>
      </c>
      <c r="H695" s="440">
        <v>56.0</v>
      </c>
      <c r="I695" s="440">
        <v>56.0</v>
      </c>
      <c r="J695" s="441">
        <v>0.0</v>
      </c>
      <c r="K695" s="150" t="s">
        <v>3049</v>
      </c>
      <c r="L695" s="150">
        <v>2.2223989E9</v>
      </c>
      <c r="M695" s="150" t="s">
        <v>1450</v>
      </c>
      <c r="N695" s="150" t="s">
        <v>2732</v>
      </c>
      <c r="O695" s="150" t="s">
        <v>3050</v>
      </c>
      <c r="P695" s="150" t="s">
        <v>4484</v>
      </c>
      <c r="Q695" s="442">
        <f>COUNTIF('Hedef Liste'!$A:$A,A695)</f>
        <v>1</v>
      </c>
    </row>
    <row r="696" hidden="1">
      <c r="A696" s="150" t="s">
        <v>5263</v>
      </c>
      <c r="B696" s="150" t="s">
        <v>5264</v>
      </c>
      <c r="C696" s="439" t="s">
        <v>4483</v>
      </c>
      <c r="D696" s="150" t="s">
        <v>2724</v>
      </c>
      <c r="E696" s="440">
        <v>140.0</v>
      </c>
      <c r="F696" s="440">
        <v>73.0</v>
      </c>
      <c r="G696" s="440">
        <v>64.0</v>
      </c>
      <c r="H696" s="440">
        <v>64.0</v>
      </c>
      <c r="I696" s="440">
        <v>128.0</v>
      </c>
      <c r="J696" s="441">
        <v>0.5</v>
      </c>
      <c r="K696" s="150" t="s">
        <v>5265</v>
      </c>
      <c r="L696" s="150">
        <v>2.222352525E9</v>
      </c>
      <c r="M696" s="150" t="s">
        <v>2666</v>
      </c>
      <c r="N696" s="150" t="s">
        <v>2667</v>
      </c>
      <c r="O696" s="150" t="s">
        <v>5266</v>
      </c>
      <c r="P696" s="150" t="s">
        <v>4512</v>
      </c>
      <c r="Q696" s="442">
        <f>COUNTIF('Hedef Liste'!$A:$A,A696)</f>
        <v>0</v>
      </c>
    </row>
    <row r="697" hidden="1">
      <c r="A697" s="150" t="s">
        <v>3035</v>
      </c>
      <c r="B697" s="150" t="s">
        <v>1235</v>
      </c>
      <c r="C697" s="439" t="s">
        <v>4483</v>
      </c>
      <c r="D697" s="150" t="s">
        <v>2684</v>
      </c>
      <c r="E697" s="443"/>
      <c r="F697" s="443"/>
      <c r="G697" s="440">
        <v>0.0</v>
      </c>
      <c r="H697" s="440">
        <v>75.0</v>
      </c>
      <c r="I697" s="440">
        <v>75.0</v>
      </c>
      <c r="J697" s="444">
        <v>0.0</v>
      </c>
      <c r="K697" s="150" t="s">
        <v>3036</v>
      </c>
      <c r="L697" s="150">
        <v>5.462265526E9</v>
      </c>
      <c r="M697" s="150" t="s">
        <v>2666</v>
      </c>
      <c r="N697" s="150" t="s">
        <v>2685</v>
      </c>
      <c r="O697" s="150" t="s">
        <v>3037</v>
      </c>
      <c r="P697" s="150" t="s">
        <v>4484</v>
      </c>
      <c r="Q697" s="442">
        <f>COUNTIF('Hedef Liste'!$A:$A,A697)</f>
        <v>1</v>
      </c>
    </row>
    <row r="698" hidden="1">
      <c r="A698" s="150" t="s">
        <v>4172</v>
      </c>
      <c r="B698" s="150" t="s">
        <v>4173</v>
      </c>
      <c r="C698" s="439" t="s">
        <v>4483</v>
      </c>
      <c r="D698" s="150" t="s">
        <v>2664</v>
      </c>
      <c r="E698" s="440">
        <v>485.0</v>
      </c>
      <c r="F698" s="440">
        <v>238.0</v>
      </c>
      <c r="G698" s="440">
        <v>0.0</v>
      </c>
      <c r="H698" s="440">
        <v>46.0</v>
      </c>
      <c r="I698" s="440">
        <v>46.0</v>
      </c>
      <c r="J698" s="441">
        <v>0.0</v>
      </c>
      <c r="K698" s="150" t="s">
        <v>4174</v>
      </c>
      <c r="L698" s="150">
        <v>5.050895007E9</v>
      </c>
      <c r="M698" s="150" t="s">
        <v>1450</v>
      </c>
      <c r="N698" s="150" t="s">
        <v>2732</v>
      </c>
      <c r="O698" s="150" t="s">
        <v>1736</v>
      </c>
      <c r="P698" s="150" t="s">
        <v>4484</v>
      </c>
      <c r="Q698" s="442">
        <f>COUNTIF('Hedef Liste'!$A:$A,A698)</f>
        <v>1</v>
      </c>
    </row>
    <row r="699" hidden="1">
      <c r="A699" s="150" t="s">
        <v>5267</v>
      </c>
      <c r="B699" s="150" t="s">
        <v>5268</v>
      </c>
      <c r="C699" s="439" t="s">
        <v>4483</v>
      </c>
      <c r="D699" s="150" t="s">
        <v>2773</v>
      </c>
      <c r="E699" s="440">
        <v>542.0</v>
      </c>
      <c r="F699" s="440">
        <v>63.0</v>
      </c>
      <c r="G699" s="440">
        <v>48.0</v>
      </c>
      <c r="H699" s="440">
        <v>7.0</v>
      </c>
      <c r="I699" s="440">
        <v>55.0</v>
      </c>
      <c r="J699" s="441">
        <v>0.87</v>
      </c>
      <c r="K699" s="150" t="s">
        <v>4567</v>
      </c>
      <c r="L699" s="150">
        <v>5.072204555E9</v>
      </c>
      <c r="M699" s="150" t="s">
        <v>1450</v>
      </c>
      <c r="N699" s="150" t="s">
        <v>2700</v>
      </c>
      <c r="O699" s="150" t="s">
        <v>5269</v>
      </c>
      <c r="P699" s="150" t="s">
        <v>4512</v>
      </c>
      <c r="Q699" s="442">
        <f>COUNTIF('Hedef Liste'!$A:$A,A699)</f>
        <v>0</v>
      </c>
    </row>
    <row r="700" hidden="1">
      <c r="A700" s="150" t="s">
        <v>3217</v>
      </c>
      <c r="B700" s="150" t="s">
        <v>3218</v>
      </c>
      <c r="C700" s="439" t="s">
        <v>4483</v>
      </c>
      <c r="D700" s="150" t="s">
        <v>2684</v>
      </c>
      <c r="E700" s="440">
        <v>352.0</v>
      </c>
      <c r="F700" s="440">
        <v>173.0</v>
      </c>
      <c r="G700" s="440">
        <v>0.0</v>
      </c>
      <c r="H700" s="440">
        <v>62.0</v>
      </c>
      <c r="I700" s="440">
        <v>62.0</v>
      </c>
      <c r="J700" s="441">
        <v>0.0</v>
      </c>
      <c r="K700" s="150" t="s">
        <v>3219</v>
      </c>
      <c r="L700" s="150">
        <v>5.461550049E9</v>
      </c>
      <c r="M700" s="150" t="s">
        <v>2666</v>
      </c>
      <c r="N700" s="150" t="s">
        <v>2682</v>
      </c>
      <c r="O700" s="150" t="s">
        <v>3220</v>
      </c>
      <c r="P700" s="150" t="s">
        <v>4484</v>
      </c>
      <c r="Q700" s="442">
        <f>COUNTIF('Hedef Liste'!$A:$A,A700)</f>
        <v>1</v>
      </c>
    </row>
    <row r="701" hidden="1">
      <c r="A701" s="150" t="s">
        <v>5270</v>
      </c>
      <c r="B701" s="150" t="s">
        <v>5271</v>
      </c>
      <c r="C701" s="439" t="s">
        <v>4483</v>
      </c>
      <c r="D701" s="150" t="s">
        <v>2664</v>
      </c>
      <c r="E701" s="440">
        <v>127.0</v>
      </c>
      <c r="F701" s="440">
        <v>98.0</v>
      </c>
      <c r="G701" s="440">
        <v>6.0</v>
      </c>
      <c r="H701" s="440">
        <v>8.0</v>
      </c>
      <c r="I701" s="440">
        <v>14.0</v>
      </c>
      <c r="J701" s="441">
        <v>0.43</v>
      </c>
      <c r="K701" s="150" t="s">
        <v>5272</v>
      </c>
      <c r="L701" s="150">
        <v>5.317341868E9</v>
      </c>
      <c r="M701" s="150" t="s">
        <v>2666</v>
      </c>
      <c r="N701" s="150" t="s">
        <v>2682</v>
      </c>
      <c r="O701" s="150" t="s">
        <v>1207</v>
      </c>
      <c r="P701" s="150" t="s">
        <v>4484</v>
      </c>
      <c r="Q701" s="442">
        <f>COUNTIF('Hedef Liste'!$A:$A,A701)</f>
        <v>0</v>
      </c>
    </row>
    <row r="702" hidden="1">
      <c r="A702" s="150" t="s">
        <v>5273</v>
      </c>
      <c r="B702" s="150" t="s">
        <v>5274</v>
      </c>
      <c r="C702" s="439" t="s">
        <v>4483</v>
      </c>
      <c r="D702" s="150" t="s">
        <v>2773</v>
      </c>
      <c r="E702" s="443"/>
      <c r="F702" s="443"/>
      <c r="G702" s="440">
        <v>8.0</v>
      </c>
      <c r="H702" s="440">
        <v>18.0</v>
      </c>
      <c r="I702" s="440">
        <v>26.0</v>
      </c>
      <c r="J702" s="444">
        <v>0.31</v>
      </c>
      <c r="K702" s="150" t="s">
        <v>5186</v>
      </c>
      <c r="L702" s="150">
        <v>5.397213154E9</v>
      </c>
      <c r="M702" s="150" t="s">
        <v>1450</v>
      </c>
      <c r="N702" s="150" t="s">
        <v>2732</v>
      </c>
      <c r="O702" s="150" t="s">
        <v>5187</v>
      </c>
      <c r="P702" s="150" t="s">
        <v>4484</v>
      </c>
      <c r="Q702" s="442">
        <f>COUNTIF('Hedef Liste'!$A:$A,A702)</f>
        <v>0</v>
      </c>
    </row>
    <row r="703" hidden="1">
      <c r="A703" s="150" t="s">
        <v>2953</v>
      </c>
      <c r="B703" s="150" t="s">
        <v>2954</v>
      </c>
      <c r="C703" s="439" t="s">
        <v>4483</v>
      </c>
      <c r="D703" s="150" t="s">
        <v>2664</v>
      </c>
      <c r="E703" s="440">
        <v>1.0</v>
      </c>
      <c r="F703" s="440">
        <v>1.0</v>
      </c>
      <c r="G703" s="440">
        <v>0.0</v>
      </c>
      <c r="H703" s="440">
        <v>18.0</v>
      </c>
      <c r="I703" s="440">
        <v>18.0</v>
      </c>
      <c r="J703" s="441">
        <v>0.0</v>
      </c>
      <c r="K703" s="150" t="s">
        <v>2955</v>
      </c>
      <c r="L703" s="150">
        <v>5.356512602E9</v>
      </c>
      <c r="M703" s="150" t="s">
        <v>2666</v>
      </c>
      <c r="N703" s="150" t="s">
        <v>2801</v>
      </c>
      <c r="O703" s="150" t="s">
        <v>2956</v>
      </c>
      <c r="P703" s="150" t="s">
        <v>4484</v>
      </c>
      <c r="Q703" s="442">
        <f>COUNTIF('Hedef Liste'!$A:$A,A703)</f>
        <v>1</v>
      </c>
    </row>
    <row r="704" hidden="1">
      <c r="A704" s="150" t="s">
        <v>3963</v>
      </c>
      <c r="B704" s="150" t="s">
        <v>3964</v>
      </c>
      <c r="C704" s="439" t="s">
        <v>4483</v>
      </c>
      <c r="D704" s="150" t="s">
        <v>2664</v>
      </c>
      <c r="E704" s="440">
        <v>11.0</v>
      </c>
      <c r="F704" s="443"/>
      <c r="G704" s="440">
        <v>0.0</v>
      </c>
      <c r="H704" s="440">
        <v>15.0</v>
      </c>
      <c r="I704" s="440">
        <v>15.0</v>
      </c>
      <c r="J704" s="441">
        <v>0.0</v>
      </c>
      <c r="K704" s="150" t="s">
        <v>3237</v>
      </c>
      <c r="L704" s="150">
        <v>5.36676439E9</v>
      </c>
      <c r="M704" s="150" t="s">
        <v>2666</v>
      </c>
      <c r="N704" s="150" t="s">
        <v>2879</v>
      </c>
      <c r="O704" s="150" t="s">
        <v>3238</v>
      </c>
      <c r="P704" s="150" t="s">
        <v>4484</v>
      </c>
      <c r="Q704" s="442">
        <f>COUNTIF('Hedef Liste'!$A:$A,A704)</f>
        <v>1</v>
      </c>
    </row>
    <row r="705" hidden="1">
      <c r="A705" s="150" t="s">
        <v>5275</v>
      </c>
      <c r="B705" s="150" t="s">
        <v>5276</v>
      </c>
      <c r="C705" s="439" t="s">
        <v>4483</v>
      </c>
      <c r="D705" s="150" t="s">
        <v>2724</v>
      </c>
      <c r="E705" s="440">
        <v>419.0</v>
      </c>
      <c r="F705" s="440">
        <v>199.0</v>
      </c>
      <c r="G705" s="440">
        <v>103.0</v>
      </c>
      <c r="H705" s="440">
        <v>3.0</v>
      </c>
      <c r="I705" s="440">
        <v>106.0</v>
      </c>
      <c r="J705" s="444">
        <v>0.97</v>
      </c>
      <c r="K705" s="150" t="s">
        <v>4843</v>
      </c>
      <c r="L705" s="150">
        <v>5.543482026E9</v>
      </c>
      <c r="M705" s="150" t="s">
        <v>2666</v>
      </c>
      <c r="N705" s="150" t="s">
        <v>2876</v>
      </c>
      <c r="O705" s="150" t="s">
        <v>5277</v>
      </c>
      <c r="P705" s="150" t="s">
        <v>4512</v>
      </c>
      <c r="Q705" s="442">
        <f>COUNTIF('Hedef Liste'!$A:$A,A705)</f>
        <v>0</v>
      </c>
    </row>
    <row r="706" hidden="1">
      <c r="A706" s="150" t="s">
        <v>3826</v>
      </c>
      <c r="B706" s="150" t="s">
        <v>3827</v>
      </c>
      <c r="C706" s="439" t="s">
        <v>4483</v>
      </c>
      <c r="D706" s="150" t="s">
        <v>2724</v>
      </c>
      <c r="E706" s="440">
        <v>19.0</v>
      </c>
      <c r="F706" s="440">
        <v>1.0</v>
      </c>
      <c r="G706" s="440">
        <v>0.0</v>
      </c>
      <c r="H706" s="440">
        <v>25.0</v>
      </c>
      <c r="I706" s="440">
        <v>25.0</v>
      </c>
      <c r="J706" s="441">
        <v>0.0</v>
      </c>
      <c r="K706" s="150" t="s">
        <v>3828</v>
      </c>
      <c r="L706" s="150">
        <v>2.222313508E9</v>
      </c>
      <c r="M706" s="150" t="s">
        <v>1450</v>
      </c>
      <c r="N706" s="150" t="s">
        <v>2700</v>
      </c>
      <c r="O706" s="150" t="s">
        <v>3829</v>
      </c>
      <c r="P706" s="150" t="s">
        <v>4484</v>
      </c>
      <c r="Q706" s="442">
        <f>COUNTIF('Hedef Liste'!$A:$A,A706)</f>
        <v>1</v>
      </c>
    </row>
    <row r="707" hidden="1">
      <c r="A707" s="150" t="s">
        <v>3062</v>
      </c>
      <c r="B707" s="150" t="s">
        <v>3063</v>
      </c>
      <c r="C707" s="439" t="s">
        <v>4483</v>
      </c>
      <c r="D707" s="150" t="s">
        <v>2684</v>
      </c>
      <c r="E707" s="440">
        <v>1.0</v>
      </c>
      <c r="F707" s="443"/>
      <c r="G707" s="440">
        <v>0.0</v>
      </c>
      <c r="H707" s="440">
        <v>50.0</v>
      </c>
      <c r="I707" s="440">
        <v>50.0</v>
      </c>
      <c r="J707" s="441">
        <v>0.0</v>
      </c>
      <c r="K707" s="150" t="s">
        <v>3064</v>
      </c>
      <c r="L707" s="150">
        <v>5.547101747E9</v>
      </c>
      <c r="M707" s="150" t="s">
        <v>2666</v>
      </c>
      <c r="N707" s="150" t="s">
        <v>2750</v>
      </c>
      <c r="O707" s="150" t="s">
        <v>3065</v>
      </c>
      <c r="P707" s="150" t="s">
        <v>4484</v>
      </c>
      <c r="Q707" s="442">
        <f>COUNTIF('Hedef Liste'!$A:$A,A707)</f>
        <v>1</v>
      </c>
    </row>
    <row r="708" hidden="1">
      <c r="A708" s="150" t="s">
        <v>5278</v>
      </c>
      <c r="B708" s="150" t="s">
        <v>5279</v>
      </c>
      <c r="C708" s="439" t="s">
        <v>4520</v>
      </c>
      <c r="D708" s="150" t="s">
        <v>2701</v>
      </c>
      <c r="F708" s="443"/>
      <c r="G708" s="440">
        <v>24.0</v>
      </c>
      <c r="H708" s="440">
        <v>14.0</v>
      </c>
      <c r="I708" s="440">
        <v>38.0</v>
      </c>
      <c r="J708" s="441">
        <v>0.63</v>
      </c>
      <c r="K708" s="150" t="s">
        <v>4823</v>
      </c>
      <c r="L708" s="150">
        <v>5.072918998E9</v>
      </c>
      <c r="M708" s="150" t="s">
        <v>1450</v>
      </c>
      <c r="N708" s="150" t="s">
        <v>2782</v>
      </c>
      <c r="O708" s="150" t="s">
        <v>5280</v>
      </c>
      <c r="P708" s="150" t="s">
        <v>4484</v>
      </c>
      <c r="Q708" s="442">
        <f>COUNTIF('Hedef Liste'!$A:$A,A708)</f>
        <v>0</v>
      </c>
    </row>
    <row r="709" hidden="1">
      <c r="A709" s="150" t="s">
        <v>3926</v>
      </c>
      <c r="B709" s="150" t="s">
        <v>3927</v>
      </c>
      <c r="C709" s="439" t="s">
        <v>4483</v>
      </c>
      <c r="D709" s="150" t="s">
        <v>2664</v>
      </c>
      <c r="E709" s="440">
        <v>1669.0</v>
      </c>
      <c r="F709" s="440">
        <v>280.0</v>
      </c>
      <c r="G709" s="440">
        <v>0.0</v>
      </c>
      <c r="H709" s="440">
        <v>59.0</v>
      </c>
      <c r="I709" s="440">
        <v>59.0</v>
      </c>
      <c r="J709" s="441">
        <v>0.0</v>
      </c>
      <c r="K709" s="150" t="s">
        <v>3928</v>
      </c>
      <c r="L709" s="150">
        <v>5.333752639E9</v>
      </c>
      <c r="M709" s="150" t="s">
        <v>1450</v>
      </c>
      <c r="N709" s="150" t="s">
        <v>2700</v>
      </c>
      <c r="O709" s="150" t="s">
        <v>2851</v>
      </c>
      <c r="P709" s="150" t="s">
        <v>4484</v>
      </c>
      <c r="Q709" s="442">
        <f>COUNTIF('Hedef Liste'!$A:$A,A709)</f>
        <v>1</v>
      </c>
    </row>
    <row r="710" hidden="1">
      <c r="A710" s="150" t="s">
        <v>2796</v>
      </c>
      <c r="B710" s="150" t="s">
        <v>2797</v>
      </c>
      <c r="C710" s="439" t="s">
        <v>4483</v>
      </c>
      <c r="D710" s="150" t="s">
        <v>2773</v>
      </c>
      <c r="E710" s="443"/>
      <c r="F710" s="443"/>
      <c r="G710" s="440">
        <v>0.0</v>
      </c>
      <c r="H710" s="440">
        <v>10.0</v>
      </c>
      <c r="I710" s="440">
        <v>10.0</v>
      </c>
      <c r="J710" s="441">
        <v>0.0</v>
      </c>
      <c r="K710" s="150" t="s">
        <v>2798</v>
      </c>
      <c r="L710" s="150">
        <v>5.424645278E9</v>
      </c>
      <c r="M710" s="150" t="s">
        <v>2666</v>
      </c>
      <c r="N710" s="150" t="s">
        <v>2685</v>
      </c>
      <c r="O710" s="150" t="s">
        <v>2799</v>
      </c>
      <c r="P710" s="150" t="s">
        <v>4484</v>
      </c>
      <c r="Q710" s="442">
        <f>COUNTIF('Hedef Liste'!$A:$A,A710)</f>
        <v>1</v>
      </c>
    </row>
    <row r="711" hidden="1">
      <c r="A711" s="150" t="s">
        <v>3431</v>
      </c>
      <c r="B711" s="150" t="s">
        <v>3432</v>
      </c>
      <c r="C711" s="439" t="s">
        <v>4483</v>
      </c>
      <c r="D711" s="150" t="s">
        <v>2696</v>
      </c>
      <c r="E711" s="440">
        <v>31.0</v>
      </c>
      <c r="F711" s="440">
        <v>11.0</v>
      </c>
      <c r="G711" s="440">
        <v>0.0</v>
      </c>
      <c r="H711" s="440">
        <v>39.0</v>
      </c>
      <c r="I711" s="440">
        <v>39.0</v>
      </c>
      <c r="J711" s="441">
        <v>0.0</v>
      </c>
      <c r="K711" s="150" t="s">
        <v>3433</v>
      </c>
      <c r="L711" s="150">
        <v>5.327266945E9</v>
      </c>
      <c r="M711" s="150" t="s">
        <v>1450</v>
      </c>
      <c r="N711" s="150" t="s">
        <v>2732</v>
      </c>
      <c r="O711" s="150" t="s">
        <v>2579</v>
      </c>
      <c r="P711" s="150" t="s">
        <v>4484</v>
      </c>
      <c r="Q711" s="442">
        <f>COUNTIF('Hedef Liste'!$A:$A,A711)</f>
        <v>1</v>
      </c>
    </row>
    <row r="712" hidden="1">
      <c r="A712" s="150" t="s">
        <v>4269</v>
      </c>
      <c r="B712" s="150" t="s">
        <v>4270</v>
      </c>
      <c r="C712" s="439" t="s">
        <v>4483</v>
      </c>
      <c r="D712" s="150" t="s">
        <v>2867</v>
      </c>
      <c r="E712" s="440">
        <v>1071.0</v>
      </c>
      <c r="F712" s="440">
        <v>264.0</v>
      </c>
      <c r="G712" s="440">
        <v>0.0</v>
      </c>
      <c r="H712" s="440">
        <v>52.0</v>
      </c>
      <c r="I712" s="440">
        <v>52.0</v>
      </c>
      <c r="J712" s="441">
        <v>0.0</v>
      </c>
      <c r="K712" s="150" t="s">
        <v>3032</v>
      </c>
      <c r="L712" s="150">
        <v>5.461032626E9</v>
      </c>
      <c r="M712" s="150" t="s">
        <v>2666</v>
      </c>
      <c r="N712" s="150" t="s">
        <v>2801</v>
      </c>
      <c r="O712" s="150" t="s">
        <v>3033</v>
      </c>
      <c r="P712" s="150" t="s">
        <v>4484</v>
      </c>
      <c r="Q712" s="442">
        <f>COUNTIF('Hedef Liste'!$A:$A,A712)</f>
        <v>1</v>
      </c>
    </row>
    <row r="713" hidden="1">
      <c r="A713" s="150" t="s">
        <v>3511</v>
      </c>
      <c r="B713" s="150" t="s">
        <v>3512</v>
      </c>
      <c r="C713" s="439" t="s">
        <v>4483</v>
      </c>
      <c r="D713" s="150" t="s">
        <v>2684</v>
      </c>
      <c r="E713" s="440">
        <v>7.0</v>
      </c>
      <c r="F713" s="440">
        <v>4.0</v>
      </c>
      <c r="G713" s="440">
        <v>0.0</v>
      </c>
      <c r="H713" s="440">
        <v>23.0</v>
      </c>
      <c r="I713" s="440">
        <v>23.0</v>
      </c>
      <c r="J713" s="441">
        <v>0.0</v>
      </c>
      <c r="K713" s="150" t="s">
        <v>3513</v>
      </c>
      <c r="L713" s="150">
        <v>2.225000066E9</v>
      </c>
      <c r="M713" s="150" t="s">
        <v>1450</v>
      </c>
      <c r="N713" s="150" t="s">
        <v>2732</v>
      </c>
      <c r="O713" s="150" t="s">
        <v>3340</v>
      </c>
      <c r="P713" s="150" t="s">
        <v>4484</v>
      </c>
      <c r="Q713" s="442">
        <f>COUNTIF('Hedef Liste'!$A:$A,A713)</f>
        <v>1</v>
      </c>
    </row>
    <row r="714" hidden="1">
      <c r="A714" s="150" t="s">
        <v>2602</v>
      </c>
      <c r="B714" s="150" t="s">
        <v>2603</v>
      </c>
      <c r="C714" s="439" t="s">
        <v>4483</v>
      </c>
      <c r="D714" s="150" t="s">
        <v>2664</v>
      </c>
      <c r="E714" s="440">
        <v>221.0</v>
      </c>
      <c r="F714" s="440">
        <v>57.0</v>
      </c>
      <c r="G714" s="440">
        <v>0.0</v>
      </c>
      <c r="H714" s="440">
        <v>35.0</v>
      </c>
      <c r="I714" s="440">
        <v>35.0</v>
      </c>
      <c r="J714" s="441">
        <v>0.0</v>
      </c>
      <c r="K714" s="150" t="s">
        <v>3384</v>
      </c>
      <c r="L714" s="150">
        <v>2.224000006E9</v>
      </c>
      <c r="M714" s="150" t="s">
        <v>2666</v>
      </c>
      <c r="N714" s="150" t="s">
        <v>2774</v>
      </c>
      <c r="O714" s="150" t="s">
        <v>2605</v>
      </c>
      <c r="P714" s="150" t="s">
        <v>4484</v>
      </c>
      <c r="Q714" s="442">
        <f>COUNTIF('Hedef Liste'!$A:$A,A714)</f>
        <v>1</v>
      </c>
    </row>
    <row r="715" hidden="1">
      <c r="A715" s="150" t="s">
        <v>5281</v>
      </c>
      <c r="B715" s="150" t="s">
        <v>5282</v>
      </c>
      <c r="C715" s="439" t="s">
        <v>4483</v>
      </c>
      <c r="D715" s="150" t="s">
        <v>2701</v>
      </c>
      <c r="E715" s="440">
        <v>16.0</v>
      </c>
      <c r="F715" s="440">
        <v>2.0</v>
      </c>
      <c r="G715" s="440">
        <v>67.0</v>
      </c>
      <c r="H715" s="440">
        <v>21.0</v>
      </c>
      <c r="I715" s="440">
        <v>88.0</v>
      </c>
      <c r="J715" s="441">
        <v>0.76</v>
      </c>
      <c r="K715" s="150" t="s">
        <v>3266</v>
      </c>
      <c r="L715" s="150">
        <v>5.395462026E9</v>
      </c>
      <c r="M715" s="150" t="s">
        <v>1450</v>
      </c>
      <c r="N715" s="150" t="s">
        <v>2700</v>
      </c>
      <c r="O715" s="150" t="s">
        <v>5283</v>
      </c>
      <c r="P715" s="150" t="s">
        <v>4484</v>
      </c>
      <c r="Q715" s="442">
        <f>COUNTIF('Hedef Liste'!$A:$A,A715)</f>
        <v>0</v>
      </c>
    </row>
    <row r="716" hidden="1">
      <c r="A716" s="150" t="s">
        <v>4372</v>
      </c>
      <c r="B716" s="150" t="s">
        <v>4373</v>
      </c>
      <c r="C716" s="439" t="s">
        <v>4483</v>
      </c>
      <c r="D716" s="150" t="s">
        <v>2701</v>
      </c>
      <c r="F716" s="443"/>
      <c r="G716" s="440">
        <v>0.0</v>
      </c>
      <c r="H716" s="440">
        <v>42.0</v>
      </c>
      <c r="I716" s="440">
        <v>42.0</v>
      </c>
      <c r="J716" s="444">
        <v>0.0</v>
      </c>
      <c r="K716" s="150" t="s">
        <v>4374</v>
      </c>
      <c r="L716" s="150">
        <v>5.465485545E9</v>
      </c>
      <c r="M716" s="150" t="s">
        <v>2666</v>
      </c>
      <c r="N716" s="150" t="s">
        <v>2667</v>
      </c>
      <c r="O716" s="150" t="s">
        <v>4375</v>
      </c>
      <c r="P716" s="150" t="s">
        <v>4484</v>
      </c>
      <c r="Q716" s="442">
        <f>COUNTIF('Hedef Liste'!$A:$A,A716)</f>
        <v>1</v>
      </c>
    </row>
    <row r="717" hidden="1">
      <c r="A717" s="150" t="s">
        <v>3484</v>
      </c>
      <c r="B717" s="150" t="s">
        <v>3485</v>
      </c>
      <c r="C717" s="439" t="s">
        <v>4483</v>
      </c>
      <c r="D717" s="150" t="s">
        <v>2763</v>
      </c>
      <c r="E717" s="440">
        <v>132.0</v>
      </c>
      <c r="F717" s="440">
        <v>28.0</v>
      </c>
      <c r="G717" s="440">
        <v>0.0</v>
      </c>
      <c r="H717" s="440">
        <v>14.0</v>
      </c>
      <c r="I717" s="440">
        <v>14.0</v>
      </c>
      <c r="J717" s="441">
        <v>0.0</v>
      </c>
      <c r="K717" s="150" t="s">
        <v>3486</v>
      </c>
      <c r="L717" s="150">
        <v>5.353859212E9</v>
      </c>
      <c r="M717" s="150" t="s">
        <v>1450</v>
      </c>
      <c r="N717" s="150" t="s">
        <v>2703</v>
      </c>
      <c r="O717" s="150" t="s">
        <v>3487</v>
      </c>
      <c r="P717" s="150" t="s">
        <v>4484</v>
      </c>
      <c r="Q717" s="442">
        <f>COUNTIF('Hedef Liste'!$A:$A,A717)</f>
        <v>1</v>
      </c>
    </row>
    <row r="718" hidden="1">
      <c r="A718" s="150" t="s">
        <v>4435</v>
      </c>
      <c r="B718" s="150" t="s">
        <v>4436</v>
      </c>
      <c r="C718" s="439" t="s">
        <v>4483</v>
      </c>
      <c r="D718" s="150" t="s">
        <v>2751</v>
      </c>
      <c r="E718" s="440">
        <v>86.0</v>
      </c>
      <c r="F718" s="440">
        <v>30.0</v>
      </c>
      <c r="G718" s="440">
        <v>0.0</v>
      </c>
      <c r="H718" s="440">
        <v>40.0</v>
      </c>
      <c r="I718" s="440">
        <v>40.0</v>
      </c>
      <c r="J718" s="441">
        <v>0.0</v>
      </c>
      <c r="K718" s="150" t="s">
        <v>4437</v>
      </c>
      <c r="L718" s="150">
        <v>5.320616628E9</v>
      </c>
      <c r="M718" s="150" t="s">
        <v>1450</v>
      </c>
      <c r="N718" s="150" t="s">
        <v>2732</v>
      </c>
      <c r="O718" s="150" t="s">
        <v>4438</v>
      </c>
      <c r="P718" s="150" t="s">
        <v>4484</v>
      </c>
      <c r="Q718" s="442">
        <f>COUNTIF('Hedef Liste'!$A:$A,A718)</f>
        <v>1</v>
      </c>
    </row>
    <row r="719" hidden="1">
      <c r="A719" s="150" t="s">
        <v>5284</v>
      </c>
      <c r="B719" s="150" t="s">
        <v>194</v>
      </c>
      <c r="C719" s="439" t="s">
        <v>4483</v>
      </c>
      <c r="D719" s="150" t="s">
        <v>2763</v>
      </c>
      <c r="E719" s="440">
        <v>80.0</v>
      </c>
      <c r="F719" s="440">
        <v>38.0</v>
      </c>
      <c r="G719" s="440">
        <v>7.0</v>
      </c>
      <c r="H719" s="440">
        <v>16.0</v>
      </c>
      <c r="I719" s="440">
        <v>23.0</v>
      </c>
      <c r="J719" s="441">
        <v>0.3</v>
      </c>
      <c r="K719" s="150" t="s">
        <v>5285</v>
      </c>
      <c r="L719" s="150">
        <v>5.436269225E9</v>
      </c>
      <c r="M719" s="150" t="s">
        <v>1450</v>
      </c>
      <c r="N719" s="150" t="s">
        <v>2703</v>
      </c>
      <c r="O719" s="150" t="s">
        <v>197</v>
      </c>
      <c r="P719" s="150" t="s">
        <v>4484</v>
      </c>
      <c r="Q719" s="442">
        <f>COUNTIF('Hedef Liste'!$A:$A,A719)</f>
        <v>0</v>
      </c>
    </row>
    <row r="720" hidden="1">
      <c r="A720" s="150" t="s">
        <v>5286</v>
      </c>
      <c r="B720" s="150" t="s">
        <v>5287</v>
      </c>
      <c r="C720" s="439" t="s">
        <v>4483</v>
      </c>
      <c r="D720" s="150" t="s">
        <v>2672</v>
      </c>
      <c r="E720" s="440">
        <v>209.0</v>
      </c>
      <c r="F720" s="440">
        <v>29.0</v>
      </c>
      <c r="G720" s="440">
        <v>3.0</v>
      </c>
      <c r="H720" s="440">
        <v>2.0</v>
      </c>
      <c r="I720" s="440">
        <v>5.0</v>
      </c>
      <c r="J720" s="441">
        <v>0.6</v>
      </c>
      <c r="K720" s="150" t="s">
        <v>2775</v>
      </c>
      <c r="L720" s="150">
        <v>5.456606594E9</v>
      </c>
      <c r="M720" s="150" t="s">
        <v>1450</v>
      </c>
      <c r="N720" s="150" t="s">
        <v>2776</v>
      </c>
      <c r="O720" s="150" t="s">
        <v>2395</v>
      </c>
      <c r="P720" s="150" t="s">
        <v>4484</v>
      </c>
      <c r="Q720" s="442">
        <f>COUNTIF('Hedef Liste'!$A:$A,A720)</f>
        <v>0</v>
      </c>
    </row>
    <row r="721" hidden="1">
      <c r="A721" s="150" t="s">
        <v>5288</v>
      </c>
      <c r="B721" s="150" t="s">
        <v>5289</v>
      </c>
      <c r="C721" s="439" t="s">
        <v>4483</v>
      </c>
      <c r="D721" s="150" t="s">
        <v>2763</v>
      </c>
      <c r="E721" s="440">
        <v>3716.0</v>
      </c>
      <c r="F721" s="440">
        <v>67.0</v>
      </c>
      <c r="G721" s="440">
        <v>23.0</v>
      </c>
      <c r="H721" s="440">
        <v>0.0</v>
      </c>
      <c r="I721" s="440">
        <v>23.0</v>
      </c>
      <c r="J721" s="444">
        <v>1.0</v>
      </c>
      <c r="K721" s="150" t="s">
        <v>5290</v>
      </c>
      <c r="L721" s="150">
        <v>2.22310111E9</v>
      </c>
      <c r="M721" s="150" t="s">
        <v>2666</v>
      </c>
      <c r="N721" s="150" t="s">
        <v>3000</v>
      </c>
      <c r="O721" s="150" t="s">
        <v>5291</v>
      </c>
      <c r="P721" s="150" t="s">
        <v>4512</v>
      </c>
      <c r="Q721" s="442">
        <f>COUNTIF('Hedef Liste'!$A:$A,A721)</f>
        <v>0</v>
      </c>
    </row>
    <row r="722" hidden="1">
      <c r="A722" s="150" t="s">
        <v>3123</v>
      </c>
      <c r="B722" s="150" t="s">
        <v>3124</v>
      </c>
      <c r="C722" s="439" t="s">
        <v>4483</v>
      </c>
      <c r="D722" s="150" t="s">
        <v>2684</v>
      </c>
      <c r="E722" s="440">
        <v>1633.0</v>
      </c>
      <c r="F722" s="440">
        <v>166.0</v>
      </c>
      <c r="G722" s="440">
        <v>0.0</v>
      </c>
      <c r="H722" s="440">
        <v>34.0</v>
      </c>
      <c r="I722" s="440">
        <v>34.0</v>
      </c>
      <c r="J722" s="441">
        <v>0.0</v>
      </c>
      <c r="K722" s="150" t="s">
        <v>3125</v>
      </c>
      <c r="L722" s="150">
        <v>5.061435585E9</v>
      </c>
      <c r="M722" s="150" t="s">
        <v>2666</v>
      </c>
      <c r="N722" s="150" t="s">
        <v>2682</v>
      </c>
      <c r="O722" s="150" t="s">
        <v>3126</v>
      </c>
      <c r="P722" s="150" t="s">
        <v>4484</v>
      </c>
      <c r="Q722" s="442">
        <f>COUNTIF('Hedef Liste'!$A:$A,A722)</f>
        <v>1</v>
      </c>
    </row>
    <row r="723" hidden="1">
      <c r="A723" s="150" t="s">
        <v>4142</v>
      </c>
      <c r="B723" s="150" t="s">
        <v>5292</v>
      </c>
      <c r="C723" s="439" t="s">
        <v>4520</v>
      </c>
      <c r="D723" s="150" t="s">
        <v>2672</v>
      </c>
      <c r="E723" s="440">
        <v>5340.0</v>
      </c>
      <c r="F723" s="443"/>
      <c r="G723" s="440">
        <v>0.0</v>
      </c>
      <c r="H723" s="440">
        <v>16.0</v>
      </c>
      <c r="I723" s="440">
        <v>16.0</v>
      </c>
      <c r="J723" s="441">
        <v>0.0</v>
      </c>
      <c r="K723" s="150" t="s">
        <v>5293</v>
      </c>
      <c r="L723" s="150">
        <v>2.223358888E9</v>
      </c>
      <c r="M723" s="150" t="s">
        <v>2666</v>
      </c>
      <c r="N723" s="150" t="s">
        <v>3078</v>
      </c>
      <c r="O723" s="150" t="s">
        <v>4144</v>
      </c>
      <c r="P723" s="150" t="s">
        <v>4484</v>
      </c>
      <c r="Q723" s="442">
        <f>COUNTIF('Hedef Liste'!$A:$A,A723)</f>
        <v>1</v>
      </c>
    </row>
    <row r="724" hidden="1">
      <c r="A724" s="150" t="s">
        <v>217</v>
      </c>
      <c r="B724" s="150" t="s">
        <v>218</v>
      </c>
      <c r="C724" s="439" t="s">
        <v>4520</v>
      </c>
      <c r="D724" s="150" t="s">
        <v>2701</v>
      </c>
      <c r="E724" s="440">
        <v>332.0</v>
      </c>
      <c r="F724" s="443"/>
      <c r="G724" s="440">
        <v>5.0</v>
      </c>
      <c r="H724" s="440">
        <v>3.0</v>
      </c>
      <c r="I724" s="440">
        <v>8.0</v>
      </c>
      <c r="J724" s="441">
        <v>0.63</v>
      </c>
      <c r="K724" s="150" t="s">
        <v>5294</v>
      </c>
      <c r="L724" s="150">
        <v>2.222241957E9</v>
      </c>
      <c r="M724" s="150" t="s">
        <v>1450</v>
      </c>
      <c r="N724" s="150" t="s">
        <v>2795</v>
      </c>
      <c r="O724" s="150" t="s">
        <v>220</v>
      </c>
      <c r="P724" s="150" t="s">
        <v>4484</v>
      </c>
      <c r="Q724" s="442">
        <f>COUNTIF('Hedef Liste'!$A:$A,A724)</f>
        <v>1</v>
      </c>
    </row>
    <row r="725" hidden="1">
      <c r="A725" s="150" t="s">
        <v>4134</v>
      </c>
      <c r="B725" s="150" t="s">
        <v>4135</v>
      </c>
      <c r="C725" s="439" t="s">
        <v>4483</v>
      </c>
      <c r="D725" s="150" t="s">
        <v>2696</v>
      </c>
      <c r="E725" s="440">
        <v>33.0</v>
      </c>
      <c r="F725" s="440">
        <v>29.0</v>
      </c>
      <c r="G725" s="440">
        <v>0.0</v>
      </c>
      <c r="H725" s="440">
        <v>64.0</v>
      </c>
      <c r="I725" s="440">
        <v>64.0</v>
      </c>
      <c r="J725" s="441">
        <v>0.0</v>
      </c>
      <c r="K725" s="150" t="s">
        <v>4136</v>
      </c>
      <c r="L725" s="150">
        <v>5.337268826E9</v>
      </c>
      <c r="M725" s="150" t="s">
        <v>1450</v>
      </c>
      <c r="N725" s="150" t="s">
        <v>2732</v>
      </c>
      <c r="O725" s="150" t="s">
        <v>4137</v>
      </c>
      <c r="P725" s="150" t="s">
        <v>4484</v>
      </c>
      <c r="Q725" s="442">
        <f>COUNTIF('Hedef Liste'!$A:$A,A725)</f>
        <v>1</v>
      </c>
    </row>
    <row r="726" hidden="1">
      <c r="A726" s="150" t="s">
        <v>4452</v>
      </c>
      <c r="B726" s="150" t="s">
        <v>4453</v>
      </c>
      <c r="C726" s="439" t="s">
        <v>4483</v>
      </c>
      <c r="D726" s="150" t="s">
        <v>2978</v>
      </c>
      <c r="F726" s="443"/>
      <c r="G726" s="440">
        <v>0.0</v>
      </c>
      <c r="H726" s="440">
        <v>13.0</v>
      </c>
      <c r="I726" s="440">
        <v>13.0</v>
      </c>
      <c r="J726" s="441">
        <v>0.0</v>
      </c>
      <c r="K726" s="150" t="s">
        <v>4454</v>
      </c>
      <c r="L726" s="150">
        <v>5.451269208E9</v>
      </c>
      <c r="M726" s="150" t="s">
        <v>2666</v>
      </c>
      <c r="N726" s="150" t="s">
        <v>4455</v>
      </c>
      <c r="O726" s="150" t="s">
        <v>4456</v>
      </c>
      <c r="P726" s="150" t="s">
        <v>4484</v>
      </c>
      <c r="Q726" s="442">
        <f>COUNTIF('Hedef Liste'!$A:$A,A726)</f>
        <v>1</v>
      </c>
    </row>
    <row r="727" hidden="1">
      <c r="A727" s="150" t="s">
        <v>5295</v>
      </c>
      <c r="B727" s="150" t="s">
        <v>5296</v>
      </c>
      <c r="C727" s="439" t="s">
        <v>4483</v>
      </c>
      <c r="D727" s="150" t="s">
        <v>2867</v>
      </c>
      <c r="E727" s="440">
        <v>8170.0</v>
      </c>
      <c r="F727" s="440">
        <v>204.0</v>
      </c>
      <c r="G727" s="440">
        <v>53.0</v>
      </c>
      <c r="H727" s="440">
        <v>0.0</v>
      </c>
      <c r="I727" s="440">
        <v>53.0</v>
      </c>
      <c r="J727" s="441">
        <v>1.0</v>
      </c>
      <c r="K727" s="150" t="s">
        <v>5297</v>
      </c>
      <c r="L727" s="150">
        <v>5.314502646E9</v>
      </c>
      <c r="M727" s="150" t="s">
        <v>2666</v>
      </c>
      <c r="N727" s="150" t="s">
        <v>2682</v>
      </c>
      <c r="O727" s="150" t="s">
        <v>5298</v>
      </c>
      <c r="P727" s="150" t="s">
        <v>4512</v>
      </c>
      <c r="Q727" s="442">
        <f>COUNTIF('Hedef Liste'!$A:$A,A727)</f>
        <v>0</v>
      </c>
    </row>
    <row r="728">
      <c r="A728" s="150" t="s">
        <v>3537</v>
      </c>
      <c r="B728" s="150" t="s">
        <v>3538</v>
      </c>
      <c r="C728" s="439" t="s">
        <v>4483</v>
      </c>
      <c r="D728" s="150" t="s">
        <v>2850</v>
      </c>
      <c r="E728" s="440">
        <v>1.0</v>
      </c>
      <c r="F728" s="440">
        <v>1.0</v>
      </c>
      <c r="G728" s="440">
        <v>0.0</v>
      </c>
      <c r="H728" s="440">
        <v>21.0</v>
      </c>
      <c r="I728" s="440">
        <v>21.0</v>
      </c>
      <c r="J728" s="441">
        <v>0.0</v>
      </c>
      <c r="K728" s="150" t="s">
        <v>3539</v>
      </c>
      <c r="L728" s="150">
        <v>2.22503304E9</v>
      </c>
      <c r="M728" s="150" t="s">
        <v>2666</v>
      </c>
      <c r="N728" s="150" t="s">
        <v>2809</v>
      </c>
      <c r="O728" s="150" t="s">
        <v>3540</v>
      </c>
      <c r="P728" s="150" t="s">
        <v>4484</v>
      </c>
      <c r="Q728" s="442">
        <f>COUNTIF('Hedef Liste'!$A:$A,A728)</f>
        <v>1</v>
      </c>
    </row>
    <row r="729" hidden="1">
      <c r="A729" s="150" t="s">
        <v>3793</v>
      </c>
      <c r="B729" s="150" t="s">
        <v>3794</v>
      </c>
      <c r="C729" s="439" t="s">
        <v>4483</v>
      </c>
      <c r="D729" s="150" t="s">
        <v>2664</v>
      </c>
      <c r="E729" s="440">
        <v>111.0</v>
      </c>
      <c r="F729" s="440">
        <v>17.0</v>
      </c>
      <c r="G729" s="440">
        <v>2.0</v>
      </c>
      <c r="H729" s="440">
        <v>17.0</v>
      </c>
      <c r="I729" s="440">
        <v>19.0</v>
      </c>
      <c r="J729" s="441">
        <v>0.11</v>
      </c>
      <c r="K729" s="150" t="s">
        <v>3795</v>
      </c>
      <c r="L729" s="150">
        <v>2.223228483E9</v>
      </c>
      <c r="M729" s="150" t="s">
        <v>1450</v>
      </c>
      <c r="N729" s="150" t="s">
        <v>2782</v>
      </c>
      <c r="O729" s="150" t="s">
        <v>3796</v>
      </c>
      <c r="P729" s="150" t="s">
        <v>4484</v>
      </c>
      <c r="Q729" s="442">
        <f>COUNTIF('Hedef Liste'!$A:$A,A729)</f>
        <v>1</v>
      </c>
    </row>
    <row r="730" hidden="1">
      <c r="A730" s="150" t="s">
        <v>5299</v>
      </c>
      <c r="B730" s="150" t="s">
        <v>5300</v>
      </c>
      <c r="C730" s="439" t="s">
        <v>4483</v>
      </c>
      <c r="D730" s="150" t="s">
        <v>2867</v>
      </c>
      <c r="E730" s="440">
        <v>318.0</v>
      </c>
      <c r="F730" s="440">
        <v>53.0</v>
      </c>
      <c r="G730" s="440">
        <v>52.0</v>
      </c>
      <c r="H730" s="440">
        <v>0.0</v>
      </c>
      <c r="I730" s="440">
        <v>52.0</v>
      </c>
      <c r="J730" s="441">
        <v>1.0</v>
      </c>
      <c r="K730" s="150" t="s">
        <v>5301</v>
      </c>
      <c r="L730" s="150">
        <v>5.454430049E9</v>
      </c>
      <c r="M730" s="150" t="s">
        <v>2666</v>
      </c>
      <c r="N730" s="150" t="s">
        <v>3000</v>
      </c>
      <c r="O730" s="150" t="s">
        <v>5302</v>
      </c>
      <c r="P730" s="150" t="s">
        <v>4512</v>
      </c>
      <c r="Q730" s="442">
        <f>COUNTIF('Hedef Liste'!$A:$A,A730)</f>
        <v>0</v>
      </c>
    </row>
    <row r="731">
      <c r="A731" s="150" t="s">
        <v>3103</v>
      </c>
      <c r="B731" s="150" t="s">
        <v>3104</v>
      </c>
      <c r="C731" s="439" t="s">
        <v>4483</v>
      </c>
      <c r="D731" s="150" t="s">
        <v>2658</v>
      </c>
      <c r="E731" s="440">
        <v>1.0</v>
      </c>
      <c r="F731" s="440">
        <v>1.0</v>
      </c>
      <c r="G731" s="440">
        <v>0.0</v>
      </c>
      <c r="H731" s="440">
        <v>32.0</v>
      </c>
      <c r="I731" s="440">
        <v>32.0</v>
      </c>
      <c r="J731" s="441">
        <v>0.0</v>
      </c>
      <c r="K731" s="150" t="s">
        <v>3105</v>
      </c>
      <c r="L731" s="150">
        <v>5.537697542E9</v>
      </c>
      <c r="M731" s="150" t="s">
        <v>2666</v>
      </c>
      <c r="N731" s="150" t="s">
        <v>2667</v>
      </c>
      <c r="O731" s="150" t="s">
        <v>3106</v>
      </c>
      <c r="P731" s="150" t="s">
        <v>4484</v>
      </c>
      <c r="Q731" s="442">
        <f>COUNTIF('Hedef Liste'!$A:$A,A731)</f>
        <v>1</v>
      </c>
    </row>
    <row r="732">
      <c r="A732" s="150" t="s">
        <v>4369</v>
      </c>
      <c r="B732" s="150" t="s">
        <v>1899</v>
      </c>
      <c r="C732" s="439" t="s">
        <v>4483</v>
      </c>
      <c r="D732" s="150" t="s">
        <v>2701</v>
      </c>
      <c r="F732" s="443"/>
      <c r="G732" s="440">
        <v>0.0</v>
      </c>
      <c r="H732" s="440">
        <v>24.0</v>
      </c>
      <c r="I732" s="440">
        <v>24.0</v>
      </c>
      <c r="J732" s="441">
        <v>0.0</v>
      </c>
      <c r="K732" s="150" t="s">
        <v>4370</v>
      </c>
      <c r="L732" s="150">
        <v>5.412057525E9</v>
      </c>
      <c r="M732" s="150" t="s">
        <v>2666</v>
      </c>
      <c r="N732" s="150" t="s">
        <v>2750</v>
      </c>
      <c r="O732" s="150" t="s">
        <v>4371</v>
      </c>
      <c r="P732" s="150" t="s">
        <v>4484</v>
      </c>
      <c r="Q732" s="442">
        <f>COUNTIF('Hedef Liste'!$A:$A,A732)</f>
        <v>1</v>
      </c>
    </row>
    <row r="733">
      <c r="A733" s="150" t="s">
        <v>4177</v>
      </c>
      <c r="B733" s="150" t="s">
        <v>4178</v>
      </c>
      <c r="C733" s="439" t="s">
        <v>4483</v>
      </c>
      <c r="D733" s="150" t="s">
        <v>2684</v>
      </c>
      <c r="E733" s="440">
        <v>4.0</v>
      </c>
      <c r="F733" s="440">
        <v>4.0</v>
      </c>
      <c r="G733" s="440">
        <v>0.0</v>
      </c>
      <c r="H733" s="440">
        <v>40.0</v>
      </c>
      <c r="I733" s="440">
        <v>40.0</v>
      </c>
      <c r="J733" s="441">
        <v>0.0</v>
      </c>
      <c r="K733" s="150" t="s">
        <v>4179</v>
      </c>
      <c r="L733" s="150">
        <v>5.314722726E9</v>
      </c>
      <c r="M733" s="150" t="s">
        <v>1450</v>
      </c>
      <c r="N733" s="150" t="s">
        <v>2782</v>
      </c>
      <c r="O733" s="150" t="s">
        <v>4180</v>
      </c>
      <c r="P733" s="150" t="s">
        <v>4484</v>
      </c>
      <c r="Q733" s="442">
        <f>COUNTIF('Hedef Liste'!$A:$A,A733)</f>
        <v>1</v>
      </c>
    </row>
    <row r="734">
      <c r="A734" s="150" t="s">
        <v>3553</v>
      </c>
      <c r="B734" s="150" t="s">
        <v>3554</v>
      </c>
      <c r="C734" s="439" t="s">
        <v>4483</v>
      </c>
      <c r="D734" s="150" t="s">
        <v>2724</v>
      </c>
      <c r="E734" s="440">
        <v>2.0</v>
      </c>
      <c r="F734" s="440">
        <v>2.0</v>
      </c>
      <c r="G734" s="440">
        <v>0.0</v>
      </c>
      <c r="H734" s="440">
        <v>27.0</v>
      </c>
      <c r="I734" s="440">
        <v>27.0</v>
      </c>
      <c r="J734" s="441">
        <v>0.0</v>
      </c>
      <c r="K734" s="150" t="s">
        <v>3555</v>
      </c>
      <c r="L734" s="150">
        <v>5.448313732E9</v>
      </c>
      <c r="M734" s="150" t="s">
        <v>1450</v>
      </c>
      <c r="N734" s="150" t="s">
        <v>2705</v>
      </c>
      <c r="O734" s="150" t="s">
        <v>3556</v>
      </c>
      <c r="P734" s="150" t="s">
        <v>4484</v>
      </c>
      <c r="Q734" s="442">
        <f>COUNTIF('Hedef Liste'!$A:$A,A734)</f>
        <v>1</v>
      </c>
    </row>
    <row r="735">
      <c r="A735" s="150" t="s">
        <v>4106</v>
      </c>
      <c r="B735" s="150" t="s">
        <v>4107</v>
      </c>
      <c r="C735" s="439" t="s">
        <v>4483</v>
      </c>
      <c r="D735" s="150" t="s">
        <v>2763</v>
      </c>
      <c r="E735" s="440">
        <v>8.0</v>
      </c>
      <c r="F735" s="440">
        <v>8.0</v>
      </c>
      <c r="G735" s="440">
        <v>0.0</v>
      </c>
      <c r="H735" s="440">
        <v>24.0</v>
      </c>
      <c r="I735" s="440">
        <v>24.0</v>
      </c>
      <c r="J735" s="441">
        <v>0.0</v>
      </c>
      <c r="K735" s="150" t="s">
        <v>4108</v>
      </c>
      <c r="L735" s="150">
        <v>5.44768978E9</v>
      </c>
      <c r="M735" s="150" t="s">
        <v>1450</v>
      </c>
      <c r="N735" s="150" t="s">
        <v>2776</v>
      </c>
      <c r="O735" s="150" t="s">
        <v>4109</v>
      </c>
      <c r="P735" s="150" t="s">
        <v>4484</v>
      </c>
      <c r="Q735" s="442">
        <f>COUNTIF('Hedef Liste'!$A:$A,A735)</f>
        <v>1</v>
      </c>
    </row>
    <row r="736">
      <c r="A736" s="150" t="s">
        <v>2804</v>
      </c>
      <c r="B736" s="150" t="s">
        <v>2805</v>
      </c>
      <c r="C736" s="439" t="s">
        <v>4483</v>
      </c>
      <c r="D736" s="150" t="s">
        <v>2773</v>
      </c>
      <c r="E736" s="440">
        <v>4.0</v>
      </c>
      <c r="F736" s="440">
        <v>4.0</v>
      </c>
      <c r="G736" s="440">
        <v>0.0</v>
      </c>
      <c r="H736" s="440">
        <v>31.0</v>
      </c>
      <c r="I736" s="440">
        <v>31.0</v>
      </c>
      <c r="J736" s="441">
        <v>0.0</v>
      </c>
      <c r="K736" s="150" t="s">
        <v>2806</v>
      </c>
      <c r="L736" s="150">
        <v>5.305530718E9</v>
      </c>
      <c r="M736" s="150" t="s">
        <v>2666</v>
      </c>
      <c r="N736" s="150" t="s">
        <v>2807</v>
      </c>
      <c r="O736" s="150" t="s">
        <v>2808</v>
      </c>
      <c r="P736" s="150" t="s">
        <v>4484</v>
      </c>
      <c r="Q736" s="442">
        <f>COUNTIF('Hedef Liste'!$A:$A,A736)</f>
        <v>1</v>
      </c>
    </row>
    <row r="737" hidden="1">
      <c r="A737" s="150" t="s">
        <v>2909</v>
      </c>
      <c r="B737" s="150" t="s">
        <v>5303</v>
      </c>
      <c r="C737" s="439" t="s">
        <v>4483</v>
      </c>
      <c r="D737" s="150" t="s">
        <v>2763</v>
      </c>
      <c r="E737" s="440">
        <v>684.0</v>
      </c>
      <c r="F737" s="440">
        <v>19.0</v>
      </c>
      <c r="G737" s="440">
        <v>0.0</v>
      </c>
      <c r="H737" s="440">
        <v>15.0</v>
      </c>
      <c r="I737" s="440">
        <v>15.0</v>
      </c>
      <c r="J737" s="441">
        <v>0.0</v>
      </c>
      <c r="K737" s="150" t="s">
        <v>5304</v>
      </c>
      <c r="L737" s="150">
        <v>2.222266309E9</v>
      </c>
      <c r="M737" s="150" t="s">
        <v>1450</v>
      </c>
      <c r="N737" s="150" t="s">
        <v>2707</v>
      </c>
      <c r="O737" s="150" t="s">
        <v>2911</v>
      </c>
      <c r="P737" s="150" t="s">
        <v>4484</v>
      </c>
      <c r="Q737" s="442">
        <f>COUNTIF('Hedef Liste'!$A:$A,A737)</f>
        <v>1</v>
      </c>
    </row>
    <row r="738" hidden="1">
      <c r="A738" s="150" t="s">
        <v>3808</v>
      </c>
      <c r="B738" s="150" t="s">
        <v>3809</v>
      </c>
      <c r="C738" s="439" t="s">
        <v>4483</v>
      </c>
      <c r="D738" s="150" t="s">
        <v>2701</v>
      </c>
      <c r="E738" s="440">
        <v>7596.0</v>
      </c>
      <c r="F738" s="440">
        <v>126.0</v>
      </c>
      <c r="G738" s="440">
        <v>5.0</v>
      </c>
      <c r="H738" s="440">
        <v>4.0</v>
      </c>
      <c r="I738" s="440">
        <v>9.0</v>
      </c>
      <c r="J738" s="441">
        <v>0.56</v>
      </c>
      <c r="K738" s="150" t="s">
        <v>5305</v>
      </c>
      <c r="L738" s="150">
        <v>5.495890222E9</v>
      </c>
      <c r="M738" s="150" t="s">
        <v>2666</v>
      </c>
      <c r="N738" s="150" t="s">
        <v>2721</v>
      </c>
      <c r="O738" s="150" t="s">
        <v>5306</v>
      </c>
      <c r="P738" s="150" t="s">
        <v>4484</v>
      </c>
      <c r="Q738" s="442">
        <f>COUNTIF('Hedef Liste'!$A:$A,A738)</f>
        <v>1</v>
      </c>
    </row>
    <row r="739" hidden="1">
      <c r="A739" s="150" t="s">
        <v>3703</v>
      </c>
      <c r="B739" s="150" t="s">
        <v>3704</v>
      </c>
      <c r="C739" s="439" t="s">
        <v>4483</v>
      </c>
      <c r="D739" s="150" t="s">
        <v>2743</v>
      </c>
      <c r="E739" s="440">
        <v>41.0</v>
      </c>
      <c r="F739" s="440">
        <v>21.0</v>
      </c>
      <c r="G739" s="440">
        <v>0.0</v>
      </c>
      <c r="H739" s="440">
        <v>22.0</v>
      </c>
      <c r="I739" s="440">
        <v>22.0</v>
      </c>
      <c r="J739" s="441">
        <v>0.0</v>
      </c>
      <c r="K739" s="150" t="s">
        <v>3705</v>
      </c>
      <c r="L739" s="150">
        <v>5.07439698E9</v>
      </c>
      <c r="M739" s="150" t="s">
        <v>1450</v>
      </c>
      <c r="N739" s="150" t="s">
        <v>2659</v>
      </c>
      <c r="O739" s="150" t="s">
        <v>3706</v>
      </c>
      <c r="P739" s="150" t="s">
        <v>4484</v>
      </c>
      <c r="Q739" s="442">
        <f>COUNTIF('Hedef Liste'!$A:$A,A739)</f>
        <v>1</v>
      </c>
    </row>
    <row r="740" hidden="1">
      <c r="A740" s="150" t="s">
        <v>5307</v>
      </c>
      <c r="B740" s="150" t="s">
        <v>5308</v>
      </c>
      <c r="C740" s="439" t="s">
        <v>4483</v>
      </c>
      <c r="D740" s="150" t="s">
        <v>2724</v>
      </c>
      <c r="E740" s="440">
        <v>22371.0</v>
      </c>
      <c r="F740" s="440">
        <v>971.0</v>
      </c>
      <c r="G740" s="440">
        <v>123.0</v>
      </c>
      <c r="H740" s="440">
        <v>16.0</v>
      </c>
      <c r="I740" s="440">
        <v>139.0</v>
      </c>
      <c r="J740" s="444">
        <v>0.88</v>
      </c>
      <c r="K740" s="150" t="s">
        <v>5309</v>
      </c>
      <c r="L740" s="150">
        <v>5.536662277E9</v>
      </c>
      <c r="M740" s="150" t="s">
        <v>2666</v>
      </c>
      <c r="N740" s="150" t="s">
        <v>2809</v>
      </c>
      <c r="O740" s="150" t="s">
        <v>5310</v>
      </c>
      <c r="P740" s="150" t="s">
        <v>4512</v>
      </c>
      <c r="Q740" s="442">
        <f>COUNTIF('Hedef Liste'!$A:$A,A740)</f>
        <v>0</v>
      </c>
    </row>
    <row r="741" hidden="1">
      <c r="A741" s="150" t="s">
        <v>5311</v>
      </c>
      <c r="B741" s="150" t="s">
        <v>5312</v>
      </c>
      <c r="C741" s="439" t="s">
        <v>4483</v>
      </c>
      <c r="D741" s="150" t="s">
        <v>2724</v>
      </c>
      <c r="E741" s="440">
        <v>6434.0</v>
      </c>
      <c r="F741" s="440">
        <v>171.0</v>
      </c>
      <c r="G741" s="440">
        <v>137.0</v>
      </c>
      <c r="H741" s="440">
        <v>16.0</v>
      </c>
      <c r="I741" s="440">
        <v>153.0</v>
      </c>
      <c r="J741" s="444">
        <v>0.9</v>
      </c>
      <c r="K741" s="150" t="s">
        <v>5309</v>
      </c>
      <c r="L741" s="150">
        <v>2.225027576E9</v>
      </c>
      <c r="M741" s="150" t="s">
        <v>2666</v>
      </c>
      <c r="N741" s="150" t="s">
        <v>2685</v>
      </c>
      <c r="O741" s="150" t="s">
        <v>5313</v>
      </c>
      <c r="P741" s="150" t="s">
        <v>4512</v>
      </c>
      <c r="Q741" s="442">
        <f>COUNTIF('Hedef Liste'!$A:$A,A741)</f>
        <v>0</v>
      </c>
    </row>
    <row r="742" hidden="1">
      <c r="A742" s="150" t="s">
        <v>2744</v>
      </c>
      <c r="B742" s="150" t="s">
        <v>2745</v>
      </c>
      <c r="C742" s="439" t="s">
        <v>4483</v>
      </c>
      <c r="D742" s="150" t="s">
        <v>2658</v>
      </c>
      <c r="E742" s="440">
        <v>955.0</v>
      </c>
      <c r="F742" s="440">
        <v>241.0</v>
      </c>
      <c r="G742" s="440">
        <v>0.0</v>
      </c>
      <c r="H742" s="440">
        <v>19.0</v>
      </c>
      <c r="I742" s="440">
        <v>19.0</v>
      </c>
      <c r="J742" s="441">
        <v>0.0</v>
      </c>
      <c r="K742" s="150" t="s">
        <v>2746</v>
      </c>
      <c r="L742" s="150">
        <v>5.461232521E9</v>
      </c>
      <c r="M742" s="150" t="s">
        <v>1450</v>
      </c>
      <c r="N742" s="150" t="s">
        <v>2700</v>
      </c>
      <c r="O742" s="150" t="s">
        <v>2747</v>
      </c>
      <c r="P742" s="150" t="s">
        <v>4484</v>
      </c>
      <c r="Q742" s="442">
        <f>COUNTIF('Hedef Liste'!$A:$A,A742)</f>
        <v>1</v>
      </c>
    </row>
    <row r="743" hidden="1">
      <c r="A743" s="150" t="s">
        <v>2341</v>
      </c>
      <c r="B743" s="150" t="s">
        <v>2342</v>
      </c>
      <c r="C743" s="439" t="s">
        <v>4483</v>
      </c>
      <c r="D743" s="150" t="s">
        <v>2664</v>
      </c>
      <c r="E743" s="440">
        <v>342.0</v>
      </c>
      <c r="F743" s="440">
        <v>1.0</v>
      </c>
      <c r="G743" s="440">
        <v>0.0</v>
      </c>
      <c r="H743" s="440">
        <v>31.0</v>
      </c>
      <c r="I743" s="440">
        <v>31.0</v>
      </c>
      <c r="J743" s="441">
        <v>0.0</v>
      </c>
      <c r="K743" s="150" t="s">
        <v>3635</v>
      </c>
      <c r="L743" s="150">
        <v>2.222400088E9</v>
      </c>
      <c r="M743" s="150" t="s">
        <v>1450</v>
      </c>
      <c r="N743" s="150" t="s">
        <v>2905</v>
      </c>
      <c r="O743" s="150" t="s">
        <v>2344</v>
      </c>
      <c r="P743" s="150" t="s">
        <v>4484</v>
      </c>
      <c r="Q743" s="442">
        <f>COUNTIF('Hedef Liste'!$A:$A,A743)</f>
        <v>1</v>
      </c>
    </row>
    <row r="744" hidden="1">
      <c r="A744" s="150" t="s">
        <v>2586</v>
      </c>
      <c r="B744" s="150" t="s">
        <v>2587</v>
      </c>
      <c r="C744" s="439" t="s">
        <v>4483</v>
      </c>
      <c r="D744" s="150" t="s">
        <v>2701</v>
      </c>
      <c r="E744" s="440">
        <v>503.0</v>
      </c>
      <c r="F744" s="440">
        <v>186.0</v>
      </c>
      <c r="G744" s="440">
        <v>0.0</v>
      </c>
      <c r="H744" s="440">
        <v>30.0</v>
      </c>
      <c r="I744" s="440">
        <v>30.0</v>
      </c>
      <c r="J744" s="441">
        <v>0.0</v>
      </c>
      <c r="K744" s="150" t="s">
        <v>4403</v>
      </c>
      <c r="L744" s="150">
        <v>5.308955526E9</v>
      </c>
      <c r="M744" s="150" t="s">
        <v>1450</v>
      </c>
      <c r="N744" s="150" t="s">
        <v>3255</v>
      </c>
      <c r="O744" s="150" t="s">
        <v>2590</v>
      </c>
      <c r="P744" s="150" t="s">
        <v>4484</v>
      </c>
      <c r="Q744" s="442">
        <f>COUNTIF('Hedef Liste'!$A:$A,A744)</f>
        <v>1</v>
      </c>
    </row>
    <row r="745">
      <c r="A745" s="150" t="s">
        <v>3717</v>
      </c>
      <c r="B745" s="150" t="s">
        <v>3718</v>
      </c>
      <c r="C745" s="439" t="s">
        <v>4483</v>
      </c>
      <c r="D745" s="150" t="s">
        <v>2763</v>
      </c>
      <c r="E745" s="440">
        <v>12.0</v>
      </c>
      <c r="F745" s="440">
        <v>12.0</v>
      </c>
      <c r="G745" s="440">
        <v>0.0</v>
      </c>
      <c r="H745" s="440">
        <v>12.0</v>
      </c>
      <c r="I745" s="440">
        <v>12.0</v>
      </c>
      <c r="J745" s="441">
        <v>0.0</v>
      </c>
      <c r="K745" s="150" t="s">
        <v>3719</v>
      </c>
      <c r="L745" s="150">
        <v>2.2223125E9</v>
      </c>
      <c r="M745" s="150" t="s">
        <v>1450</v>
      </c>
      <c r="N745" s="150" t="s">
        <v>2659</v>
      </c>
      <c r="O745" s="150" t="s">
        <v>3720</v>
      </c>
      <c r="P745" s="150" t="s">
        <v>4484</v>
      </c>
      <c r="Q745" s="442">
        <f>COUNTIF('Hedef Liste'!$A:$A,A745)</f>
        <v>1</v>
      </c>
    </row>
    <row r="746">
      <c r="A746" s="150" t="s">
        <v>2859</v>
      </c>
      <c r="B746" s="150" t="s">
        <v>2860</v>
      </c>
      <c r="C746" s="439" t="s">
        <v>4483</v>
      </c>
      <c r="D746" s="150" t="s">
        <v>2724</v>
      </c>
      <c r="E746" s="443"/>
      <c r="F746" s="443"/>
      <c r="G746" s="440">
        <v>0.0</v>
      </c>
      <c r="H746" s="440">
        <v>82.0</v>
      </c>
      <c r="I746" s="440">
        <v>82.0</v>
      </c>
      <c r="J746" s="441">
        <v>0.0</v>
      </c>
      <c r="K746" s="150" t="s">
        <v>2857</v>
      </c>
      <c r="L746" s="150">
        <v>2.2232395E9</v>
      </c>
      <c r="M746" s="150" t="s">
        <v>2666</v>
      </c>
      <c r="N746" s="150" t="s">
        <v>2855</v>
      </c>
      <c r="O746" s="150" t="s">
        <v>2056</v>
      </c>
      <c r="P746" s="150" t="s">
        <v>4484</v>
      </c>
      <c r="Q746" s="442">
        <f>COUNTIF('Hedef Liste'!$A:$A,A746)</f>
        <v>1</v>
      </c>
    </row>
    <row r="747">
      <c r="A747" s="150" t="s">
        <v>3443</v>
      </c>
      <c r="B747" s="150" t="s">
        <v>3444</v>
      </c>
      <c r="C747" s="439" t="s">
        <v>4483</v>
      </c>
      <c r="D747" s="150" t="s">
        <v>2867</v>
      </c>
      <c r="E747" s="440">
        <v>4.0</v>
      </c>
      <c r="F747" s="440">
        <v>4.0</v>
      </c>
      <c r="G747" s="440">
        <v>0.0</v>
      </c>
      <c r="H747" s="440">
        <v>34.0</v>
      </c>
      <c r="I747" s="440">
        <v>34.0</v>
      </c>
      <c r="J747" s="441">
        <v>0.0</v>
      </c>
      <c r="K747" s="150" t="s">
        <v>2857</v>
      </c>
      <c r="L747" s="150">
        <v>2.2232395E9</v>
      </c>
      <c r="M747" s="150" t="s">
        <v>2666</v>
      </c>
      <c r="N747" s="150" t="s">
        <v>2855</v>
      </c>
      <c r="O747" s="150" t="s">
        <v>2056</v>
      </c>
      <c r="P747" s="150" t="s">
        <v>4484</v>
      </c>
      <c r="Q747" s="442">
        <f>COUNTIF('Hedef Liste'!$A:$A,A747)</f>
        <v>1</v>
      </c>
    </row>
    <row r="748" hidden="1">
      <c r="A748" s="150" t="s">
        <v>2334</v>
      </c>
      <c r="B748" s="150" t="s">
        <v>2335</v>
      </c>
      <c r="C748" s="439" t="s">
        <v>4483</v>
      </c>
      <c r="D748" s="150" t="s">
        <v>2664</v>
      </c>
      <c r="E748" s="440">
        <v>670.0</v>
      </c>
      <c r="F748" s="440">
        <v>74.0</v>
      </c>
      <c r="G748" s="440">
        <v>19.0</v>
      </c>
      <c r="H748" s="440">
        <v>23.0</v>
      </c>
      <c r="I748" s="440">
        <v>42.0</v>
      </c>
      <c r="J748" s="441">
        <v>0.45</v>
      </c>
      <c r="K748" s="150" t="s">
        <v>4769</v>
      </c>
      <c r="L748" s="150">
        <v>5.320664262E9</v>
      </c>
      <c r="M748" s="150" t="s">
        <v>2666</v>
      </c>
      <c r="N748" s="150" t="s">
        <v>2685</v>
      </c>
      <c r="O748" s="150" t="s">
        <v>2337</v>
      </c>
      <c r="P748" s="150" t="s">
        <v>4484</v>
      </c>
      <c r="Q748" s="442">
        <f>COUNTIF('Hedef Liste'!$A:$A,A748)</f>
        <v>1</v>
      </c>
    </row>
    <row r="749" hidden="1">
      <c r="A749" s="150" t="s">
        <v>2010</v>
      </c>
      <c r="B749" s="150" t="s">
        <v>2011</v>
      </c>
      <c r="C749" s="439" t="s">
        <v>4483</v>
      </c>
      <c r="D749" s="150" t="s">
        <v>2664</v>
      </c>
      <c r="E749" s="440">
        <v>129.0</v>
      </c>
      <c r="F749" s="443"/>
      <c r="G749" s="440">
        <v>19.0</v>
      </c>
      <c r="H749" s="440">
        <v>14.0</v>
      </c>
      <c r="I749" s="440">
        <v>33.0</v>
      </c>
      <c r="J749" s="441">
        <v>0.58</v>
      </c>
      <c r="K749" s="150" t="s">
        <v>5314</v>
      </c>
      <c r="L749" s="150">
        <v>2.223235633E9</v>
      </c>
      <c r="M749" s="150" t="s">
        <v>2666</v>
      </c>
      <c r="N749" s="150" t="s">
        <v>2774</v>
      </c>
      <c r="O749" s="150" t="s">
        <v>2014</v>
      </c>
      <c r="P749" s="150" t="s">
        <v>4484</v>
      </c>
      <c r="Q749" s="442">
        <f>COUNTIF('Hedef Liste'!$A:$A,A749)</f>
        <v>1</v>
      </c>
    </row>
    <row r="750" hidden="1">
      <c r="A750" s="150" t="s">
        <v>735</v>
      </c>
      <c r="B750" s="150" t="s">
        <v>5315</v>
      </c>
      <c r="C750" s="439" t="s">
        <v>4483</v>
      </c>
      <c r="D750" s="150" t="s">
        <v>2701</v>
      </c>
      <c r="E750" s="440">
        <v>3889.0</v>
      </c>
      <c r="F750" s="440">
        <v>74.0</v>
      </c>
      <c r="G750" s="440">
        <v>35.0</v>
      </c>
      <c r="H750" s="440">
        <v>34.0</v>
      </c>
      <c r="I750" s="440">
        <v>69.0</v>
      </c>
      <c r="J750" s="441">
        <v>0.51</v>
      </c>
      <c r="K750" s="150" t="s">
        <v>5316</v>
      </c>
      <c r="L750" s="150">
        <v>2.222207123E9</v>
      </c>
      <c r="M750" s="150" t="s">
        <v>1450</v>
      </c>
      <c r="N750" s="150" t="s">
        <v>2700</v>
      </c>
      <c r="O750" s="150" t="s">
        <v>738</v>
      </c>
      <c r="P750" s="150" t="s">
        <v>4484</v>
      </c>
      <c r="Q750" s="442">
        <f>COUNTIF('Hedef Liste'!$A:$A,A750)</f>
        <v>1</v>
      </c>
    </row>
    <row r="751" hidden="1">
      <c r="A751" s="150" t="s">
        <v>3488</v>
      </c>
      <c r="B751" s="150" t="s">
        <v>3489</v>
      </c>
      <c r="C751" s="439" t="s">
        <v>4483</v>
      </c>
      <c r="D751" s="150" t="s">
        <v>2701</v>
      </c>
      <c r="E751" s="440">
        <v>18.0</v>
      </c>
      <c r="F751" s="440">
        <v>3.0</v>
      </c>
      <c r="G751" s="440">
        <v>0.0</v>
      </c>
      <c r="H751" s="440">
        <v>20.0</v>
      </c>
      <c r="I751" s="440">
        <v>20.0</v>
      </c>
      <c r="J751" s="441">
        <v>0.0</v>
      </c>
      <c r="K751" s="150" t="s">
        <v>3490</v>
      </c>
      <c r="L751" s="150">
        <v>5.307070937E9</v>
      </c>
      <c r="M751" s="150" t="s">
        <v>2666</v>
      </c>
      <c r="N751" s="150" t="s">
        <v>2879</v>
      </c>
      <c r="O751" s="150" t="s">
        <v>3491</v>
      </c>
      <c r="P751" s="150" t="s">
        <v>4484</v>
      </c>
      <c r="Q751" s="442">
        <f>COUNTIF('Hedef Liste'!$A:$A,A751)</f>
        <v>1</v>
      </c>
    </row>
    <row r="752" hidden="1">
      <c r="A752" s="150" t="s">
        <v>543</v>
      </c>
      <c r="B752" s="150" t="s">
        <v>544</v>
      </c>
      <c r="C752" s="439" t="s">
        <v>4483</v>
      </c>
      <c r="D752" s="150" t="s">
        <v>2684</v>
      </c>
      <c r="E752" s="440">
        <v>1512.0</v>
      </c>
      <c r="F752" s="440">
        <v>66.0</v>
      </c>
      <c r="G752" s="440">
        <v>0.0</v>
      </c>
      <c r="H752" s="440">
        <v>35.0</v>
      </c>
      <c r="I752" s="440">
        <v>35.0</v>
      </c>
      <c r="J752" s="441">
        <v>0.0</v>
      </c>
      <c r="K752" s="150" t="s">
        <v>5317</v>
      </c>
      <c r="L752" s="150">
        <v>2.22502707E9</v>
      </c>
      <c r="M752" s="150" t="s">
        <v>2666</v>
      </c>
      <c r="N752" s="150" t="s">
        <v>2711</v>
      </c>
      <c r="O752" s="150" t="s">
        <v>546</v>
      </c>
      <c r="P752" s="150" t="s">
        <v>4484</v>
      </c>
      <c r="Q752" s="442">
        <f>COUNTIF('Hedef Liste'!$A:$A,A752)</f>
        <v>1</v>
      </c>
    </row>
    <row r="753" hidden="1">
      <c r="A753" s="150" t="s">
        <v>5318</v>
      </c>
      <c r="B753" s="150" t="s">
        <v>5319</v>
      </c>
      <c r="C753" s="439" t="s">
        <v>4483</v>
      </c>
      <c r="D753" s="150" t="s">
        <v>3151</v>
      </c>
      <c r="E753" s="440">
        <v>7603.0</v>
      </c>
      <c r="F753" s="440">
        <v>281.0</v>
      </c>
      <c r="G753" s="440">
        <v>83.0</v>
      </c>
      <c r="H753" s="440">
        <v>2.0</v>
      </c>
      <c r="I753" s="440">
        <v>85.0</v>
      </c>
      <c r="J753" s="441">
        <v>0.98</v>
      </c>
      <c r="K753" s="150" t="s">
        <v>4788</v>
      </c>
      <c r="L753" s="150">
        <v>2.222200019E9</v>
      </c>
      <c r="M753" s="150" t="s">
        <v>1450</v>
      </c>
      <c r="N753" s="150" t="s">
        <v>2700</v>
      </c>
      <c r="O753" s="150" t="s">
        <v>5320</v>
      </c>
      <c r="P753" s="150" t="s">
        <v>4512</v>
      </c>
      <c r="Q753" s="442">
        <f>COUNTIF('Hedef Liste'!$A:$A,A753)</f>
        <v>0</v>
      </c>
    </row>
    <row r="754" hidden="1">
      <c r="A754" s="150" t="s">
        <v>2084</v>
      </c>
      <c r="B754" s="150" t="s">
        <v>2085</v>
      </c>
      <c r="C754" s="439" t="s">
        <v>4483</v>
      </c>
      <c r="D754" s="150" t="s">
        <v>2706</v>
      </c>
      <c r="E754" s="440">
        <v>591.0</v>
      </c>
      <c r="F754" s="440">
        <v>88.0</v>
      </c>
      <c r="G754" s="440">
        <v>17.0</v>
      </c>
      <c r="H754" s="440">
        <v>4.0</v>
      </c>
      <c r="I754" s="440">
        <v>21.0</v>
      </c>
      <c r="J754" s="441">
        <v>0.81</v>
      </c>
      <c r="K754" s="150" t="s">
        <v>3200</v>
      </c>
      <c r="L754" s="150">
        <v>5.539876E9</v>
      </c>
      <c r="M754" s="150" t="s">
        <v>1450</v>
      </c>
      <c r="N754" s="150" t="s">
        <v>2716</v>
      </c>
      <c r="O754" s="150" t="s">
        <v>2087</v>
      </c>
      <c r="P754" s="150" t="s">
        <v>4484</v>
      </c>
      <c r="Q754" s="442">
        <f>COUNTIF('Hedef Liste'!$A:$A,A754)</f>
        <v>1</v>
      </c>
    </row>
    <row r="755" hidden="1">
      <c r="A755" s="150" t="s">
        <v>2048</v>
      </c>
      <c r="B755" s="150" t="s">
        <v>2049</v>
      </c>
      <c r="C755" s="439" t="s">
        <v>4483</v>
      </c>
      <c r="D755" s="150" t="s">
        <v>2701</v>
      </c>
      <c r="E755" s="440">
        <v>978.0</v>
      </c>
      <c r="F755" s="440">
        <v>129.0</v>
      </c>
      <c r="G755" s="440">
        <v>20.0</v>
      </c>
      <c r="H755" s="440">
        <v>26.0</v>
      </c>
      <c r="I755" s="440">
        <v>46.0</v>
      </c>
      <c r="J755" s="441">
        <v>0.43</v>
      </c>
      <c r="K755" s="150" t="s">
        <v>2882</v>
      </c>
      <c r="L755" s="150">
        <v>2.222100005E9</v>
      </c>
      <c r="M755" s="150" t="s">
        <v>2666</v>
      </c>
      <c r="N755" s="150" t="s">
        <v>2667</v>
      </c>
      <c r="O755" s="150" t="s">
        <v>2051</v>
      </c>
      <c r="P755" s="150" t="s">
        <v>4484</v>
      </c>
      <c r="Q755" s="442">
        <f>COUNTIF('Hedef Liste'!$A:$A,A755)</f>
        <v>1</v>
      </c>
    </row>
    <row r="756" hidden="1">
      <c r="A756" s="150" t="s">
        <v>2519</v>
      </c>
      <c r="B756" s="150" t="s">
        <v>2520</v>
      </c>
      <c r="C756" s="439" t="s">
        <v>4483</v>
      </c>
      <c r="D756" s="150" t="s">
        <v>2664</v>
      </c>
      <c r="E756" s="440">
        <v>244.0</v>
      </c>
      <c r="F756" s="440">
        <v>67.0</v>
      </c>
      <c r="G756" s="440">
        <v>20.0</v>
      </c>
      <c r="H756" s="440">
        <v>17.0</v>
      </c>
      <c r="I756" s="440">
        <v>37.0</v>
      </c>
      <c r="J756" s="444">
        <v>0.54</v>
      </c>
      <c r="K756" s="150" t="s">
        <v>3986</v>
      </c>
      <c r="L756" s="150">
        <v>5.423102168E9</v>
      </c>
      <c r="M756" s="150" t="s">
        <v>1450</v>
      </c>
      <c r="N756" s="150" t="s">
        <v>2795</v>
      </c>
      <c r="O756" s="150" t="s">
        <v>2523</v>
      </c>
      <c r="P756" s="150" t="s">
        <v>4484</v>
      </c>
      <c r="Q756" s="442">
        <f>COUNTIF('Hedef Liste'!$A:$A,A756)</f>
        <v>1</v>
      </c>
    </row>
    <row r="757" hidden="1">
      <c r="A757" s="150" t="s">
        <v>2513</v>
      </c>
      <c r="B757" s="150" t="s">
        <v>2514</v>
      </c>
      <c r="C757" s="439" t="s">
        <v>4483</v>
      </c>
      <c r="D757" s="150" t="s">
        <v>2701</v>
      </c>
      <c r="E757" s="440">
        <v>82.0</v>
      </c>
      <c r="F757" s="440">
        <v>37.0</v>
      </c>
      <c r="G757" s="440">
        <v>29.0</v>
      </c>
      <c r="H757" s="440">
        <v>4.0</v>
      </c>
      <c r="I757" s="440">
        <v>33.0</v>
      </c>
      <c r="J757" s="441">
        <v>0.88</v>
      </c>
      <c r="K757" s="150" t="s">
        <v>3655</v>
      </c>
      <c r="L757" s="150">
        <v>2.222392646E9</v>
      </c>
      <c r="M757" s="150" t="s">
        <v>1450</v>
      </c>
      <c r="N757" s="150" t="s">
        <v>2732</v>
      </c>
      <c r="O757" s="150" t="s">
        <v>2516</v>
      </c>
      <c r="P757" s="150" t="s">
        <v>4484</v>
      </c>
      <c r="Q757" s="442">
        <f>COUNTIF('Hedef Liste'!$A:$A,A757)</f>
        <v>1</v>
      </c>
    </row>
    <row r="758" hidden="1">
      <c r="A758" s="150" t="s">
        <v>5321</v>
      </c>
      <c r="B758" s="150" t="s">
        <v>5322</v>
      </c>
      <c r="C758" s="439" t="s">
        <v>4483</v>
      </c>
      <c r="D758" s="150" t="s">
        <v>2978</v>
      </c>
      <c r="E758" s="440">
        <v>229.0</v>
      </c>
      <c r="F758" s="440">
        <v>70.0</v>
      </c>
      <c r="G758" s="440">
        <v>46.0</v>
      </c>
      <c r="H758" s="440">
        <v>21.0</v>
      </c>
      <c r="I758" s="440">
        <v>67.0</v>
      </c>
      <c r="J758" s="441">
        <v>0.69</v>
      </c>
      <c r="K758" s="150" t="s">
        <v>5323</v>
      </c>
      <c r="L758" s="150">
        <v>5.374697517E9</v>
      </c>
      <c r="M758" s="150" t="s">
        <v>2666</v>
      </c>
      <c r="N758" s="150" t="s">
        <v>2667</v>
      </c>
      <c r="O758" s="150" t="s">
        <v>5324</v>
      </c>
      <c r="P758" s="150" t="s">
        <v>5099</v>
      </c>
      <c r="Q758" s="442">
        <f>COUNTIF('Hedef Liste'!$A:$A,A758)</f>
        <v>0</v>
      </c>
    </row>
    <row r="759" hidden="1">
      <c r="A759" s="150" t="s">
        <v>5325</v>
      </c>
      <c r="B759" s="150" t="s">
        <v>5326</v>
      </c>
      <c r="C759" s="439" t="s">
        <v>4483</v>
      </c>
      <c r="D759" s="150" t="s">
        <v>2850</v>
      </c>
      <c r="E759" s="440">
        <v>367.0</v>
      </c>
      <c r="F759" s="440">
        <v>26.0</v>
      </c>
      <c r="G759" s="440">
        <v>22.0</v>
      </c>
      <c r="H759" s="440">
        <v>6.0</v>
      </c>
      <c r="I759" s="440">
        <v>28.0</v>
      </c>
      <c r="J759" s="441">
        <v>0.79</v>
      </c>
      <c r="K759" s="150" t="s">
        <v>3442</v>
      </c>
      <c r="L759" s="150">
        <v>5.525663126E9</v>
      </c>
      <c r="M759" s="150" t="s">
        <v>2666</v>
      </c>
      <c r="N759" s="150" t="s">
        <v>2721</v>
      </c>
      <c r="O759" s="150" t="s">
        <v>5327</v>
      </c>
      <c r="P759" s="150" t="s">
        <v>4484</v>
      </c>
      <c r="Q759" s="442">
        <f>COUNTIF('Hedef Liste'!$A:$A,A759)</f>
        <v>0</v>
      </c>
    </row>
    <row r="760" hidden="1">
      <c r="A760" s="150" t="s">
        <v>5328</v>
      </c>
      <c r="B760" s="150" t="s">
        <v>5329</v>
      </c>
      <c r="C760" s="439" t="s">
        <v>4520</v>
      </c>
      <c r="D760" s="150" t="s">
        <v>2763</v>
      </c>
      <c r="E760" s="443"/>
      <c r="F760" s="443"/>
      <c r="G760" s="440">
        <v>18.0</v>
      </c>
      <c r="H760" s="440">
        <v>0.0</v>
      </c>
      <c r="I760" s="440">
        <v>18.0</v>
      </c>
      <c r="J760" s="441">
        <v>1.0</v>
      </c>
      <c r="K760" s="150" t="s">
        <v>5330</v>
      </c>
      <c r="L760" s="150">
        <v>2.22230508E9</v>
      </c>
      <c r="M760" s="150" t="s">
        <v>2666</v>
      </c>
      <c r="N760" s="150" t="s">
        <v>2667</v>
      </c>
      <c r="O760" s="150" t="s">
        <v>5331</v>
      </c>
      <c r="P760" s="150" t="s">
        <v>4512</v>
      </c>
      <c r="Q760" s="442">
        <f>COUNTIF('Hedef Liste'!$A:$A,A760)</f>
        <v>0</v>
      </c>
    </row>
    <row r="761" hidden="1">
      <c r="A761" s="150" t="s">
        <v>5332</v>
      </c>
      <c r="B761" s="150" t="s">
        <v>5333</v>
      </c>
      <c r="C761" s="439" t="s">
        <v>4520</v>
      </c>
      <c r="D761" s="150" t="s">
        <v>2763</v>
      </c>
      <c r="E761" s="443"/>
      <c r="F761" s="443"/>
      <c r="G761" s="440">
        <v>0.0</v>
      </c>
      <c r="H761" s="440">
        <v>53.0</v>
      </c>
      <c r="I761" s="440">
        <v>53.0</v>
      </c>
      <c r="J761" s="444">
        <v>0.0</v>
      </c>
      <c r="K761" s="150" t="s">
        <v>5334</v>
      </c>
      <c r="L761" s="150">
        <v>5.442348866E9</v>
      </c>
      <c r="M761" s="150" t="s">
        <v>1450</v>
      </c>
      <c r="N761" s="150" t="s">
        <v>2716</v>
      </c>
      <c r="O761" s="150" t="s">
        <v>5335</v>
      </c>
      <c r="P761" s="150" t="s">
        <v>4484</v>
      </c>
      <c r="Q761" s="442">
        <f>COUNTIF('Hedef Liste'!$A:$A,A761)</f>
        <v>0</v>
      </c>
    </row>
    <row r="762" hidden="1">
      <c r="A762" s="150" t="s">
        <v>4062</v>
      </c>
      <c r="B762" s="150" t="s">
        <v>5336</v>
      </c>
      <c r="C762" s="439" t="s">
        <v>4483</v>
      </c>
      <c r="D762" s="150" t="s">
        <v>2850</v>
      </c>
      <c r="E762" s="440">
        <v>21899.0</v>
      </c>
      <c r="F762" s="440">
        <v>955.0</v>
      </c>
      <c r="G762" s="440">
        <v>1.0</v>
      </c>
      <c r="H762" s="440">
        <v>53.0</v>
      </c>
      <c r="I762" s="440">
        <v>54.0</v>
      </c>
      <c r="J762" s="441">
        <v>0.02</v>
      </c>
      <c r="K762" s="150" t="s">
        <v>5337</v>
      </c>
      <c r="L762" s="150">
        <v>5.377679777E9</v>
      </c>
      <c r="M762" s="150" t="s">
        <v>2666</v>
      </c>
      <c r="N762" s="150" t="s">
        <v>2682</v>
      </c>
      <c r="O762" s="150" t="s">
        <v>4064</v>
      </c>
      <c r="P762" s="150" t="s">
        <v>4484</v>
      </c>
      <c r="Q762" s="442">
        <f>COUNTIF('Hedef Liste'!$A:$A,A762)</f>
        <v>1</v>
      </c>
    </row>
    <row r="763" hidden="1">
      <c r="A763" s="150" t="s">
        <v>1886</v>
      </c>
      <c r="B763" s="150" t="s">
        <v>1887</v>
      </c>
      <c r="C763" s="439" t="s">
        <v>4483</v>
      </c>
      <c r="D763" s="150" t="s">
        <v>2701</v>
      </c>
      <c r="E763" s="440">
        <v>1328.0</v>
      </c>
      <c r="F763" s="440">
        <v>65.0</v>
      </c>
      <c r="G763" s="440">
        <v>16.0</v>
      </c>
      <c r="H763" s="440">
        <v>9.0</v>
      </c>
      <c r="I763" s="440">
        <v>25.0</v>
      </c>
      <c r="J763" s="444">
        <v>0.64</v>
      </c>
      <c r="K763" s="150" t="s">
        <v>5338</v>
      </c>
      <c r="L763" s="150">
        <v>5.342999496E9</v>
      </c>
      <c r="M763" s="150" t="s">
        <v>2666</v>
      </c>
      <c r="N763" s="150" t="s">
        <v>2667</v>
      </c>
      <c r="O763" s="150" t="s">
        <v>1889</v>
      </c>
      <c r="P763" s="150" t="s">
        <v>4484</v>
      </c>
      <c r="Q763" s="442">
        <f>COUNTIF('Hedef Liste'!$A:$A,A763)</f>
        <v>1</v>
      </c>
    </row>
    <row r="764" hidden="1">
      <c r="A764" s="150" t="s">
        <v>5339</v>
      </c>
      <c r="B764" s="150" t="s">
        <v>5340</v>
      </c>
      <c r="C764" s="439" t="s">
        <v>4483</v>
      </c>
      <c r="D764" s="150" t="s">
        <v>2696</v>
      </c>
      <c r="E764" s="440">
        <v>1532.0</v>
      </c>
      <c r="F764" s="440">
        <v>122.0</v>
      </c>
      <c r="G764" s="440">
        <v>15.0</v>
      </c>
      <c r="H764" s="440">
        <v>0.0</v>
      </c>
      <c r="I764" s="440">
        <v>15.0</v>
      </c>
      <c r="J764" s="444">
        <v>1.0</v>
      </c>
      <c r="K764" s="150" t="s">
        <v>5341</v>
      </c>
      <c r="L764" s="150">
        <v>2.223330306E9</v>
      </c>
      <c r="M764" s="150" t="s">
        <v>2666</v>
      </c>
      <c r="N764" s="150" t="s">
        <v>2682</v>
      </c>
      <c r="O764" s="150" t="s">
        <v>5342</v>
      </c>
      <c r="P764" s="150" t="s">
        <v>4512</v>
      </c>
      <c r="Q764" s="442">
        <f>COUNTIF('Hedef Liste'!$A:$A,A764)</f>
        <v>0</v>
      </c>
    </row>
    <row r="765" hidden="1">
      <c r="A765" s="150" t="s">
        <v>5343</v>
      </c>
      <c r="B765" s="150" t="s">
        <v>5344</v>
      </c>
      <c r="C765" s="439" t="s">
        <v>4483</v>
      </c>
      <c r="D765" s="150" t="s">
        <v>2978</v>
      </c>
      <c r="E765" s="440">
        <v>118.0</v>
      </c>
      <c r="F765" s="440">
        <v>35.0</v>
      </c>
      <c r="G765" s="440">
        <v>22.0</v>
      </c>
      <c r="H765" s="440">
        <v>0.0</v>
      </c>
      <c r="I765" s="440">
        <v>22.0</v>
      </c>
      <c r="J765" s="441">
        <v>1.0</v>
      </c>
      <c r="K765" s="150" t="s">
        <v>5345</v>
      </c>
      <c r="L765" s="150">
        <v>2.222200646E9</v>
      </c>
      <c r="M765" s="150" t="s">
        <v>1450</v>
      </c>
      <c r="N765" s="150" t="s">
        <v>5346</v>
      </c>
      <c r="O765" s="150" t="s">
        <v>5347</v>
      </c>
      <c r="P765" s="150" t="s">
        <v>4484</v>
      </c>
      <c r="Q765" s="442">
        <f>COUNTIF('Hedef Liste'!$A:$A,A765)</f>
        <v>0</v>
      </c>
    </row>
    <row r="766">
      <c r="A766" s="150" t="s">
        <v>4155</v>
      </c>
      <c r="B766" s="150" t="s">
        <v>4156</v>
      </c>
      <c r="C766" s="439" t="s">
        <v>4483</v>
      </c>
      <c r="D766" s="150" t="s">
        <v>2701</v>
      </c>
      <c r="E766" s="440">
        <v>43.0</v>
      </c>
      <c r="F766" s="440">
        <v>43.0</v>
      </c>
      <c r="G766" s="440">
        <v>0.0</v>
      </c>
      <c r="H766" s="440">
        <v>5.0</v>
      </c>
      <c r="I766" s="440">
        <v>5.0</v>
      </c>
      <c r="J766" s="441">
        <v>0.0</v>
      </c>
      <c r="K766" s="150" t="s">
        <v>4157</v>
      </c>
      <c r="L766" s="150">
        <v>2.223221232E9</v>
      </c>
      <c r="M766" s="150" t="s">
        <v>2666</v>
      </c>
      <c r="N766" s="150" t="s">
        <v>2721</v>
      </c>
      <c r="O766" s="150" t="s">
        <v>4158</v>
      </c>
      <c r="P766" s="150" t="s">
        <v>4484</v>
      </c>
      <c r="Q766" s="442">
        <f>COUNTIF('Hedef Liste'!$A:$A,A766)</f>
        <v>1</v>
      </c>
    </row>
    <row r="767" hidden="1">
      <c r="A767" s="150" t="s">
        <v>2503</v>
      </c>
      <c r="B767" s="150" t="s">
        <v>5348</v>
      </c>
      <c r="C767" s="439" t="s">
        <v>4483</v>
      </c>
      <c r="D767" s="150" t="s">
        <v>2658</v>
      </c>
      <c r="E767" s="440">
        <v>430.0</v>
      </c>
      <c r="F767" s="440">
        <v>103.0</v>
      </c>
      <c r="G767" s="440">
        <v>3.0</v>
      </c>
      <c r="H767" s="440">
        <v>6.0</v>
      </c>
      <c r="I767" s="440">
        <v>9.0</v>
      </c>
      <c r="J767" s="441">
        <v>0.33</v>
      </c>
      <c r="K767" s="150" t="s">
        <v>3831</v>
      </c>
      <c r="L767" s="150">
        <v>5.337134612E9</v>
      </c>
      <c r="M767" s="150" t="s">
        <v>2666</v>
      </c>
      <c r="N767" s="150" t="s">
        <v>3084</v>
      </c>
      <c r="O767" s="150" t="s">
        <v>2506</v>
      </c>
      <c r="P767" s="150" t="s">
        <v>4484</v>
      </c>
      <c r="Q767" s="442">
        <f>COUNTIF('Hedef Liste'!$A:$A,A767)</f>
        <v>1</v>
      </c>
    </row>
    <row r="768" hidden="1">
      <c r="A768" s="150" t="s">
        <v>3271</v>
      </c>
      <c r="B768" s="150" t="s">
        <v>3272</v>
      </c>
      <c r="C768" s="439" t="s">
        <v>4483</v>
      </c>
      <c r="D768" s="150" t="s">
        <v>2672</v>
      </c>
      <c r="E768" s="440">
        <v>158.0</v>
      </c>
      <c r="F768" s="440">
        <v>27.0</v>
      </c>
      <c r="G768" s="440">
        <v>0.0</v>
      </c>
      <c r="H768" s="440">
        <v>9.0</v>
      </c>
      <c r="I768" s="440">
        <v>9.0</v>
      </c>
      <c r="J768" s="441">
        <v>0.0</v>
      </c>
      <c r="K768" s="150" t="s">
        <v>3273</v>
      </c>
      <c r="L768" s="150">
        <v>5.366404019E9</v>
      </c>
      <c r="M768" s="150" t="s">
        <v>2666</v>
      </c>
      <c r="N768" s="150" t="s">
        <v>3000</v>
      </c>
      <c r="O768" s="150" t="s">
        <v>3274</v>
      </c>
      <c r="P768" s="150" t="s">
        <v>4484</v>
      </c>
      <c r="Q768" s="442">
        <f>COUNTIF('Hedef Liste'!$A:$A,A768)</f>
        <v>1</v>
      </c>
    </row>
    <row r="769" hidden="1">
      <c r="A769" s="150" t="s">
        <v>5349</v>
      </c>
      <c r="B769" s="150" t="s">
        <v>5350</v>
      </c>
      <c r="C769" s="439" t="s">
        <v>4520</v>
      </c>
      <c r="D769" s="150" t="s">
        <v>2684</v>
      </c>
      <c r="E769" s="443"/>
      <c r="F769" s="443"/>
      <c r="G769" s="440">
        <v>0.0</v>
      </c>
      <c r="H769" s="440">
        <v>57.0</v>
      </c>
      <c r="I769" s="440">
        <v>57.0</v>
      </c>
      <c r="J769" s="441">
        <v>0.0</v>
      </c>
      <c r="K769" s="150" t="s">
        <v>5351</v>
      </c>
      <c r="L769" s="150">
        <v>5.437382726E9</v>
      </c>
      <c r="M769" s="150" t="s">
        <v>1450</v>
      </c>
      <c r="N769" s="150" t="s">
        <v>2700</v>
      </c>
      <c r="O769" s="150" t="s">
        <v>5352</v>
      </c>
      <c r="P769" s="150" t="s">
        <v>4484</v>
      </c>
      <c r="Q769" s="442">
        <f>COUNTIF('Hedef Liste'!$A:$A,A769)</f>
        <v>0</v>
      </c>
    </row>
    <row r="770" hidden="1">
      <c r="A770" s="150" t="s">
        <v>3507</v>
      </c>
      <c r="B770" s="150" t="s">
        <v>3508</v>
      </c>
      <c r="C770" s="439" t="s">
        <v>4483</v>
      </c>
      <c r="D770" s="150" t="s">
        <v>2664</v>
      </c>
      <c r="F770" s="443"/>
      <c r="G770" s="440">
        <v>0.0</v>
      </c>
      <c r="H770" s="440">
        <v>16.0</v>
      </c>
      <c r="I770" s="440">
        <v>16.0</v>
      </c>
      <c r="J770" s="441">
        <v>0.0</v>
      </c>
      <c r="K770" s="150" t="s">
        <v>3509</v>
      </c>
      <c r="L770" s="150">
        <v>5.531846576E9</v>
      </c>
      <c r="M770" s="150" t="s">
        <v>2666</v>
      </c>
      <c r="N770" s="150" t="s">
        <v>2711</v>
      </c>
      <c r="O770" s="150" t="s">
        <v>3510</v>
      </c>
      <c r="P770" s="150" t="s">
        <v>4484</v>
      </c>
      <c r="Q770" s="442">
        <f>COUNTIF('Hedef Liste'!$A:$A,A770)</f>
        <v>1</v>
      </c>
    </row>
    <row r="771">
      <c r="A771" s="150" t="s">
        <v>3992</v>
      </c>
      <c r="B771" s="150" t="s">
        <v>3993</v>
      </c>
      <c r="C771" s="439" t="s">
        <v>4483</v>
      </c>
      <c r="D771" s="150" t="s">
        <v>2672</v>
      </c>
      <c r="E771" s="440">
        <v>1.0</v>
      </c>
      <c r="F771" s="440">
        <v>1.0</v>
      </c>
      <c r="G771" s="440">
        <v>0.0</v>
      </c>
      <c r="H771" s="440">
        <v>70.0</v>
      </c>
      <c r="I771" s="440">
        <v>70.0</v>
      </c>
      <c r="J771" s="444">
        <v>0.0</v>
      </c>
      <c r="K771" s="150" t="s">
        <v>3994</v>
      </c>
      <c r="L771" s="150">
        <v>2.222308234E9</v>
      </c>
      <c r="M771" s="150" t="s">
        <v>2666</v>
      </c>
      <c r="N771" s="150" t="s">
        <v>2667</v>
      </c>
      <c r="O771" s="150" t="s">
        <v>3989</v>
      </c>
      <c r="P771" s="150" t="s">
        <v>4484</v>
      </c>
      <c r="Q771" s="442">
        <f>COUNTIF('Hedef Liste'!$A:$A,A771)</f>
        <v>1</v>
      </c>
    </row>
    <row r="772">
      <c r="A772" s="150" t="s">
        <v>4181</v>
      </c>
      <c r="B772" s="150" t="s">
        <v>4182</v>
      </c>
      <c r="C772" s="439" t="s">
        <v>4483</v>
      </c>
      <c r="D772" s="150" t="s">
        <v>2684</v>
      </c>
      <c r="E772" s="440">
        <v>3.0</v>
      </c>
      <c r="F772" s="440">
        <v>3.0</v>
      </c>
      <c r="G772" s="440">
        <v>0.0</v>
      </c>
      <c r="H772" s="440">
        <v>38.0</v>
      </c>
      <c r="I772" s="440">
        <v>38.0</v>
      </c>
      <c r="J772" s="441">
        <v>0.0</v>
      </c>
      <c r="K772" s="150" t="s">
        <v>4183</v>
      </c>
      <c r="L772" s="150">
        <v>5.380933426E9</v>
      </c>
      <c r="M772" s="150" t="s">
        <v>2666</v>
      </c>
      <c r="N772" s="150" t="s">
        <v>2685</v>
      </c>
      <c r="O772" s="150" t="s">
        <v>2333</v>
      </c>
      <c r="P772" s="150" t="s">
        <v>4484</v>
      </c>
      <c r="Q772" s="442">
        <f>COUNTIF('Hedef Liste'!$A:$A,A772)</f>
        <v>1</v>
      </c>
    </row>
    <row r="773" hidden="1">
      <c r="A773" s="150" t="s">
        <v>2129</v>
      </c>
      <c r="B773" s="150" t="s">
        <v>2130</v>
      </c>
      <c r="C773" s="439" t="s">
        <v>4483</v>
      </c>
      <c r="D773" s="150" t="s">
        <v>2664</v>
      </c>
      <c r="E773" s="440">
        <v>58.0</v>
      </c>
      <c r="F773" s="440">
        <v>5.0</v>
      </c>
      <c r="G773" s="440">
        <v>20.0</v>
      </c>
      <c r="H773" s="440">
        <v>24.0</v>
      </c>
      <c r="I773" s="440">
        <v>44.0</v>
      </c>
      <c r="J773" s="441">
        <v>0.45</v>
      </c>
      <c r="K773" s="150" t="s">
        <v>3546</v>
      </c>
      <c r="L773" s="150">
        <v>5.510785383E9</v>
      </c>
      <c r="M773" s="150" t="s">
        <v>1450</v>
      </c>
      <c r="N773" s="150" t="s">
        <v>2700</v>
      </c>
      <c r="O773" s="150" t="s">
        <v>2132</v>
      </c>
      <c r="P773" s="150" t="s">
        <v>4484</v>
      </c>
      <c r="Q773" s="442">
        <f>COUNTIF('Hedef Liste'!$A:$A,A773)</f>
        <v>1</v>
      </c>
    </row>
    <row r="774" hidden="1">
      <c r="A774" s="150" t="s">
        <v>797</v>
      </c>
      <c r="B774" s="150" t="s">
        <v>5353</v>
      </c>
      <c r="C774" s="439" t="s">
        <v>4483</v>
      </c>
      <c r="D774" s="150" t="s">
        <v>2672</v>
      </c>
      <c r="E774" s="440">
        <v>2093.0</v>
      </c>
      <c r="F774" s="440">
        <v>63.0</v>
      </c>
      <c r="G774" s="440">
        <v>26.0</v>
      </c>
      <c r="H774" s="440">
        <v>4.0</v>
      </c>
      <c r="I774" s="440">
        <v>30.0</v>
      </c>
      <c r="J774" s="441">
        <v>0.87</v>
      </c>
      <c r="K774" s="150" t="s">
        <v>5354</v>
      </c>
      <c r="L774" s="150">
        <v>2.222314433E9</v>
      </c>
      <c r="M774" s="150" t="s">
        <v>1450</v>
      </c>
      <c r="N774" s="150" t="s">
        <v>2716</v>
      </c>
      <c r="O774" s="150" t="s">
        <v>1806</v>
      </c>
      <c r="P774" s="150" t="s">
        <v>4484</v>
      </c>
      <c r="Q774" s="442">
        <f>COUNTIF('Hedef Liste'!$A:$A,A774)</f>
        <v>1</v>
      </c>
    </row>
    <row r="775" hidden="1">
      <c r="A775" s="150" t="s">
        <v>5355</v>
      </c>
      <c r="B775" s="150" t="s">
        <v>5356</v>
      </c>
      <c r="C775" s="439" t="s">
        <v>4483</v>
      </c>
      <c r="D775" s="150" t="s">
        <v>3151</v>
      </c>
      <c r="E775" s="440">
        <v>3897.0</v>
      </c>
      <c r="F775" s="440">
        <v>251.0</v>
      </c>
      <c r="G775" s="440">
        <v>71.0</v>
      </c>
      <c r="H775" s="440">
        <v>0.0</v>
      </c>
      <c r="I775" s="440">
        <v>71.0</v>
      </c>
      <c r="J775" s="444">
        <v>1.0</v>
      </c>
      <c r="K775" s="150" t="s">
        <v>4788</v>
      </c>
      <c r="L775" s="150">
        <v>2.222902271E9</v>
      </c>
      <c r="M775" s="150" t="s">
        <v>2666</v>
      </c>
      <c r="N775" s="150" t="s">
        <v>2667</v>
      </c>
      <c r="O775" s="150" t="s">
        <v>5357</v>
      </c>
      <c r="P775" s="150" t="s">
        <v>4512</v>
      </c>
      <c r="Q775" s="442">
        <f>COUNTIF('Hedef Liste'!$A:$A,A775)</f>
        <v>0</v>
      </c>
    </row>
    <row r="776" hidden="1">
      <c r="A776" s="150" t="s">
        <v>5358</v>
      </c>
      <c r="B776" s="150" t="s">
        <v>5359</v>
      </c>
      <c r="C776" s="439" t="s">
        <v>4483</v>
      </c>
      <c r="D776" s="150" t="s">
        <v>3151</v>
      </c>
      <c r="E776" s="440">
        <v>6522.0</v>
      </c>
      <c r="F776" s="440">
        <v>421.0</v>
      </c>
      <c r="G776" s="440">
        <v>79.0</v>
      </c>
      <c r="H776" s="440">
        <v>0.0</v>
      </c>
      <c r="I776" s="440">
        <v>79.0</v>
      </c>
      <c r="J776" s="444">
        <v>1.0</v>
      </c>
      <c r="K776" s="150" t="s">
        <v>4788</v>
      </c>
      <c r="L776" s="150">
        <v>8.50955223E9</v>
      </c>
      <c r="M776" s="150" t="s">
        <v>2666</v>
      </c>
      <c r="N776" s="150" t="s">
        <v>3185</v>
      </c>
      <c r="O776" s="150" t="s">
        <v>5360</v>
      </c>
      <c r="P776" s="150" t="s">
        <v>4512</v>
      </c>
      <c r="Q776" s="442">
        <f>COUNTIF('Hedef Liste'!$A:$A,A776)</f>
        <v>0</v>
      </c>
    </row>
    <row r="777" hidden="1">
      <c r="A777" s="150" t="s">
        <v>2976</v>
      </c>
      <c r="B777" s="150" t="s">
        <v>5361</v>
      </c>
      <c r="C777" s="439" t="s">
        <v>4483</v>
      </c>
      <c r="D777" s="150" t="s">
        <v>2978</v>
      </c>
      <c r="E777" s="440">
        <v>17207.0</v>
      </c>
      <c r="F777" s="440">
        <v>569.0</v>
      </c>
      <c r="G777" s="440">
        <v>0.0</v>
      </c>
      <c r="H777" s="440">
        <v>60.0</v>
      </c>
      <c r="I777" s="440">
        <v>60.0</v>
      </c>
      <c r="J777" s="441">
        <v>0.0</v>
      </c>
      <c r="K777" s="150" t="s">
        <v>5362</v>
      </c>
      <c r="L777" s="150">
        <v>5.432626248E9</v>
      </c>
      <c r="M777" s="150" t="s">
        <v>2666</v>
      </c>
      <c r="N777" s="150" t="s">
        <v>2682</v>
      </c>
      <c r="O777" s="150" t="s">
        <v>2979</v>
      </c>
      <c r="P777" s="150" t="s">
        <v>4484</v>
      </c>
      <c r="Q777" s="442">
        <f>COUNTIF('Hedef Liste'!$A:$A,A777)</f>
        <v>1</v>
      </c>
    </row>
    <row r="778" hidden="1">
      <c r="A778" s="150" t="s">
        <v>2558</v>
      </c>
      <c r="B778" s="150" t="s">
        <v>2559</v>
      </c>
      <c r="C778" s="439" t="s">
        <v>4483</v>
      </c>
      <c r="D778" s="150" t="s">
        <v>2850</v>
      </c>
      <c r="E778" s="440">
        <v>155.0</v>
      </c>
      <c r="F778" s="440">
        <v>56.0</v>
      </c>
      <c r="G778" s="440">
        <v>12.0</v>
      </c>
      <c r="H778" s="440">
        <v>9.0</v>
      </c>
      <c r="I778" s="440">
        <v>21.0</v>
      </c>
      <c r="J778" s="441">
        <v>0.57</v>
      </c>
      <c r="K778" s="150" t="s">
        <v>3954</v>
      </c>
      <c r="L778" s="150">
        <v>5.365809299E9</v>
      </c>
      <c r="M778" s="150" t="s">
        <v>1450</v>
      </c>
      <c r="N778" s="150" t="s">
        <v>2716</v>
      </c>
      <c r="O778" s="150" t="s">
        <v>2561</v>
      </c>
      <c r="P778" s="150" t="s">
        <v>4484</v>
      </c>
      <c r="Q778" s="442">
        <f>COUNTIF('Hedef Liste'!$A:$A,A778)</f>
        <v>1</v>
      </c>
    </row>
    <row r="779" hidden="1">
      <c r="A779" s="150" t="s">
        <v>4286</v>
      </c>
      <c r="B779" s="150" t="s">
        <v>4287</v>
      </c>
      <c r="C779" s="439" t="s">
        <v>4483</v>
      </c>
      <c r="D779" s="150" t="s">
        <v>3151</v>
      </c>
      <c r="E779" s="443"/>
      <c r="F779" s="443"/>
      <c r="G779" s="440">
        <v>0.0</v>
      </c>
      <c r="H779" s="440">
        <v>93.0</v>
      </c>
      <c r="I779" s="440">
        <v>93.0</v>
      </c>
      <c r="J779" s="441">
        <v>0.0</v>
      </c>
      <c r="K779" s="150" t="s">
        <v>4288</v>
      </c>
      <c r="L779" s="150">
        <v>5.38612909E9</v>
      </c>
      <c r="M779" s="150" t="s">
        <v>2666</v>
      </c>
      <c r="N779" s="150" t="s">
        <v>2721</v>
      </c>
      <c r="O779" s="150" t="s">
        <v>4289</v>
      </c>
      <c r="P779" s="150" t="s">
        <v>4484</v>
      </c>
      <c r="Q779" s="442">
        <f>COUNTIF('Hedef Liste'!$A:$A,A779)</f>
        <v>1</v>
      </c>
    </row>
    <row r="780" hidden="1">
      <c r="A780" s="150" t="s">
        <v>5363</v>
      </c>
      <c r="B780" s="150" t="s">
        <v>5364</v>
      </c>
      <c r="C780" s="439" t="s">
        <v>4483</v>
      </c>
      <c r="D780" s="150" t="s">
        <v>2773</v>
      </c>
      <c r="E780" s="440">
        <v>382.0</v>
      </c>
      <c r="F780" s="440">
        <v>52.0</v>
      </c>
      <c r="G780" s="440">
        <v>83.0</v>
      </c>
      <c r="H780" s="440">
        <v>8.0</v>
      </c>
      <c r="I780" s="440">
        <v>91.0</v>
      </c>
      <c r="J780" s="441">
        <v>0.91</v>
      </c>
      <c r="K780" s="150" t="s">
        <v>4567</v>
      </c>
      <c r="L780" s="150">
        <v>5.436939874E9</v>
      </c>
      <c r="M780" s="150" t="s">
        <v>1450</v>
      </c>
      <c r="N780" s="150" t="s">
        <v>2950</v>
      </c>
      <c r="O780" s="150" t="s">
        <v>5365</v>
      </c>
      <c r="P780" s="150" t="s">
        <v>4512</v>
      </c>
      <c r="Q780" s="442">
        <f>COUNTIF('Hedef Liste'!$A:$A,A780)</f>
        <v>0</v>
      </c>
    </row>
    <row r="781" hidden="1">
      <c r="A781" s="150" t="s">
        <v>4131</v>
      </c>
      <c r="B781" s="150" t="s">
        <v>4132</v>
      </c>
      <c r="C781" s="439" t="s">
        <v>4483</v>
      </c>
      <c r="D781" s="150" t="s">
        <v>2664</v>
      </c>
      <c r="E781" s="440">
        <v>51.0</v>
      </c>
      <c r="F781" s="440">
        <v>25.0</v>
      </c>
      <c r="G781" s="440">
        <v>0.0</v>
      </c>
      <c r="H781" s="440">
        <v>20.0</v>
      </c>
      <c r="I781" s="440">
        <v>20.0</v>
      </c>
      <c r="J781" s="441">
        <v>0.0</v>
      </c>
      <c r="K781" s="150" t="s">
        <v>3032</v>
      </c>
      <c r="L781" s="150">
        <v>5.461032626E9</v>
      </c>
      <c r="M781" s="150" t="s">
        <v>2666</v>
      </c>
      <c r="N781" s="150" t="s">
        <v>2801</v>
      </c>
      <c r="O781" s="150" t="s">
        <v>3033</v>
      </c>
      <c r="P781" s="150" t="s">
        <v>4484</v>
      </c>
      <c r="Q781" s="442">
        <f>COUNTIF('Hedef Liste'!$A:$A,A781)</f>
        <v>1</v>
      </c>
    </row>
    <row r="782" hidden="1">
      <c r="A782" s="150" t="s">
        <v>5366</v>
      </c>
      <c r="B782" s="150" t="s">
        <v>5367</v>
      </c>
      <c r="C782" s="439" t="s">
        <v>4483</v>
      </c>
      <c r="D782" s="150" t="s">
        <v>2672</v>
      </c>
      <c r="E782" s="440">
        <v>5513.0</v>
      </c>
      <c r="F782" s="440">
        <v>318.0</v>
      </c>
      <c r="G782" s="440">
        <v>0.0</v>
      </c>
      <c r="H782" s="440">
        <v>6.0</v>
      </c>
      <c r="I782" s="440">
        <v>6.0</v>
      </c>
      <c r="J782" s="441">
        <v>0.0</v>
      </c>
      <c r="K782" s="150" t="s">
        <v>5368</v>
      </c>
      <c r="L782" s="150">
        <v>2.225021252E9</v>
      </c>
      <c r="M782" s="150" t="s">
        <v>1450</v>
      </c>
      <c r="N782" s="150" t="s">
        <v>4514</v>
      </c>
      <c r="O782" s="150" t="s">
        <v>5369</v>
      </c>
      <c r="P782" s="150" t="s">
        <v>4512</v>
      </c>
      <c r="Q782" s="442">
        <f>COUNTIF('Hedef Liste'!$A:$A,A782)</f>
        <v>0</v>
      </c>
    </row>
    <row r="783" hidden="1">
      <c r="A783" s="150" t="s">
        <v>4205</v>
      </c>
      <c r="B783" s="150" t="s">
        <v>5370</v>
      </c>
      <c r="C783" s="439" t="s">
        <v>4483</v>
      </c>
      <c r="D783" s="150" t="s">
        <v>2763</v>
      </c>
      <c r="E783" s="440">
        <v>266.0</v>
      </c>
      <c r="F783" s="440">
        <v>18.0</v>
      </c>
      <c r="G783" s="440">
        <v>0.0</v>
      </c>
      <c r="H783" s="440">
        <v>31.0</v>
      </c>
      <c r="I783" s="440">
        <v>31.0</v>
      </c>
      <c r="J783" s="441">
        <v>0.0</v>
      </c>
      <c r="K783" s="150" t="s">
        <v>3550</v>
      </c>
      <c r="L783" s="150">
        <v>5.531029147E9</v>
      </c>
      <c r="M783" s="150" t="s">
        <v>1450</v>
      </c>
      <c r="N783" s="150" t="s">
        <v>2732</v>
      </c>
      <c r="O783" s="150" t="s">
        <v>3551</v>
      </c>
      <c r="P783" s="150" t="s">
        <v>4484</v>
      </c>
      <c r="Q783" s="442">
        <f>COUNTIF('Hedef Liste'!$A:$A,A783)</f>
        <v>1</v>
      </c>
    </row>
    <row r="784" hidden="1">
      <c r="A784" s="150" t="s">
        <v>3175</v>
      </c>
      <c r="B784" s="150" t="s">
        <v>5371</v>
      </c>
      <c r="C784" s="439" t="s">
        <v>4483</v>
      </c>
      <c r="D784" s="150" t="s">
        <v>2867</v>
      </c>
      <c r="E784" s="440">
        <v>826.0</v>
      </c>
      <c r="F784" s="443"/>
      <c r="G784" s="440">
        <v>0.0</v>
      </c>
      <c r="H784" s="440">
        <v>20.0</v>
      </c>
      <c r="I784" s="440">
        <v>20.0</v>
      </c>
      <c r="J784" s="441">
        <v>0.0</v>
      </c>
      <c r="K784" s="150" t="s">
        <v>4631</v>
      </c>
      <c r="L784" s="150">
        <v>5.394822214E9</v>
      </c>
      <c r="M784" s="150" t="s">
        <v>2666</v>
      </c>
      <c r="N784" s="150" t="s">
        <v>2801</v>
      </c>
      <c r="O784" s="150" t="s">
        <v>169</v>
      </c>
      <c r="P784" s="150" t="s">
        <v>4484</v>
      </c>
      <c r="Q784" s="442">
        <f>COUNTIF('Hedef Liste'!$A:$A,A784)</f>
        <v>1</v>
      </c>
    </row>
    <row r="785" hidden="1">
      <c r="A785" s="150" t="s">
        <v>2291</v>
      </c>
      <c r="B785" s="150" t="s">
        <v>2292</v>
      </c>
      <c r="C785" s="439" t="s">
        <v>4483</v>
      </c>
      <c r="D785" s="150" t="s">
        <v>2701</v>
      </c>
      <c r="E785" s="440">
        <v>261.0</v>
      </c>
      <c r="F785" s="440">
        <v>25.0</v>
      </c>
      <c r="G785" s="440">
        <v>9.0</v>
      </c>
      <c r="H785" s="440">
        <v>1.0</v>
      </c>
      <c r="I785" s="440">
        <v>10.0</v>
      </c>
      <c r="J785" s="441">
        <v>0.9</v>
      </c>
      <c r="K785" s="150" t="s">
        <v>2775</v>
      </c>
      <c r="L785" s="150">
        <v>2.222399522E9</v>
      </c>
      <c r="M785" s="150" t="s">
        <v>1450</v>
      </c>
      <c r="N785" s="150" t="s">
        <v>2732</v>
      </c>
      <c r="O785" s="150" t="s">
        <v>1222</v>
      </c>
      <c r="P785" s="150" t="s">
        <v>4484</v>
      </c>
      <c r="Q785" s="442">
        <f>COUNTIF('Hedef Liste'!$A:$A,A785)</f>
        <v>1</v>
      </c>
    </row>
    <row r="786" hidden="1">
      <c r="A786" s="150" t="s">
        <v>2761</v>
      </c>
      <c r="B786" s="150" t="s">
        <v>2762</v>
      </c>
      <c r="C786" s="439" t="s">
        <v>4483</v>
      </c>
      <c r="D786" s="150" t="s">
        <v>2763</v>
      </c>
      <c r="E786" s="440">
        <v>197.0</v>
      </c>
      <c r="F786" s="440">
        <v>24.0</v>
      </c>
      <c r="G786" s="440">
        <v>0.0</v>
      </c>
      <c r="H786" s="440">
        <v>21.0</v>
      </c>
      <c r="I786" s="440">
        <v>21.0</v>
      </c>
      <c r="J786" s="441">
        <v>0.0</v>
      </c>
      <c r="K786" s="150" t="s">
        <v>2764</v>
      </c>
      <c r="L786" s="150">
        <v>5.525007171E9</v>
      </c>
      <c r="M786" s="150" t="s">
        <v>2666</v>
      </c>
      <c r="N786" s="150" t="s">
        <v>2667</v>
      </c>
      <c r="O786" s="150" t="s">
        <v>2765</v>
      </c>
      <c r="P786" s="150" t="s">
        <v>4484</v>
      </c>
      <c r="Q786" s="442">
        <f>COUNTIF('Hedef Liste'!$A:$A,A786)</f>
        <v>1</v>
      </c>
    </row>
    <row r="787" hidden="1">
      <c r="A787" s="150" t="s">
        <v>2357</v>
      </c>
      <c r="B787" s="150" t="s">
        <v>2358</v>
      </c>
      <c r="C787" s="439" t="s">
        <v>4483</v>
      </c>
      <c r="D787" s="150" t="s">
        <v>2684</v>
      </c>
      <c r="E787" s="443"/>
      <c r="F787" s="443"/>
      <c r="G787" s="440">
        <v>8.0</v>
      </c>
      <c r="H787" s="440">
        <v>9.0</v>
      </c>
      <c r="I787" s="440">
        <v>17.0</v>
      </c>
      <c r="J787" s="441">
        <v>0.47</v>
      </c>
      <c r="K787" s="150" t="s">
        <v>3588</v>
      </c>
      <c r="L787" s="150">
        <v>5.301083583E9</v>
      </c>
      <c r="M787" s="150" t="s">
        <v>2666</v>
      </c>
      <c r="N787" s="150" t="s">
        <v>2721</v>
      </c>
      <c r="O787" s="150" t="s">
        <v>2360</v>
      </c>
      <c r="P787" s="150" t="s">
        <v>4484</v>
      </c>
      <c r="Q787" s="442">
        <f>COUNTIF('Hedef Liste'!$A:$A,A787)</f>
        <v>1</v>
      </c>
    </row>
    <row r="788" hidden="1">
      <c r="A788" s="150" t="s">
        <v>3324</v>
      </c>
      <c r="B788" s="150" t="s">
        <v>3325</v>
      </c>
      <c r="C788" s="439" t="s">
        <v>4483</v>
      </c>
      <c r="D788" s="150" t="s">
        <v>2664</v>
      </c>
      <c r="E788" s="440">
        <v>45.0</v>
      </c>
      <c r="F788" s="443"/>
      <c r="G788" s="440">
        <v>0.0</v>
      </c>
      <c r="H788" s="440">
        <v>22.0</v>
      </c>
      <c r="I788" s="440">
        <v>22.0</v>
      </c>
      <c r="J788" s="441">
        <v>0.0</v>
      </c>
      <c r="K788" s="150" t="s">
        <v>3326</v>
      </c>
      <c r="L788" s="150">
        <v>5.451780026E9</v>
      </c>
      <c r="M788" s="150" t="s">
        <v>2666</v>
      </c>
      <c r="N788" s="150" t="s">
        <v>2794</v>
      </c>
      <c r="O788" s="150" t="s">
        <v>2158</v>
      </c>
      <c r="P788" s="150" t="s">
        <v>4484</v>
      </c>
      <c r="Q788" s="442">
        <f>COUNTIF('Hedef Liste'!$A:$A,A788)</f>
        <v>1</v>
      </c>
    </row>
    <row r="789" hidden="1">
      <c r="A789" s="150" t="s">
        <v>3347</v>
      </c>
      <c r="B789" s="150" t="s">
        <v>3348</v>
      </c>
      <c r="C789" s="439" t="s">
        <v>4483</v>
      </c>
      <c r="D789" s="150" t="s">
        <v>2701</v>
      </c>
      <c r="E789" s="440">
        <v>1008.0</v>
      </c>
      <c r="F789" s="440">
        <v>193.0</v>
      </c>
      <c r="G789" s="440">
        <v>29.0</v>
      </c>
      <c r="H789" s="440">
        <v>25.0</v>
      </c>
      <c r="I789" s="440">
        <v>54.0</v>
      </c>
      <c r="J789" s="441">
        <v>0.54</v>
      </c>
      <c r="K789" s="150" t="s">
        <v>3349</v>
      </c>
      <c r="L789" s="150">
        <v>5.337117866E9</v>
      </c>
      <c r="M789" s="150" t="s">
        <v>1450</v>
      </c>
      <c r="N789" s="150" t="s">
        <v>2795</v>
      </c>
      <c r="O789" s="150" t="s">
        <v>3350</v>
      </c>
      <c r="P789" s="150" t="s">
        <v>4484</v>
      </c>
      <c r="Q789" s="442">
        <f>COUNTIF('Hedef Liste'!$A:$A,A789)</f>
        <v>1</v>
      </c>
    </row>
    <row r="790">
      <c r="A790" s="150" t="s">
        <v>3168</v>
      </c>
      <c r="B790" s="150" t="s">
        <v>3169</v>
      </c>
      <c r="C790" s="439" t="s">
        <v>4483</v>
      </c>
      <c r="D790" s="150" t="s">
        <v>2672</v>
      </c>
      <c r="E790" s="443"/>
      <c r="F790" s="443"/>
      <c r="G790" s="440">
        <v>0.0</v>
      </c>
      <c r="H790" s="440">
        <v>36.0</v>
      </c>
      <c r="I790" s="440">
        <v>36.0</v>
      </c>
      <c r="J790" s="441">
        <v>0.0</v>
      </c>
      <c r="K790" s="150" t="s">
        <v>3170</v>
      </c>
      <c r="L790" s="150">
        <v>5.378257297E9</v>
      </c>
      <c r="M790" s="150" t="s">
        <v>2666</v>
      </c>
      <c r="N790" s="150" t="s">
        <v>2750</v>
      </c>
      <c r="O790" s="150" t="s">
        <v>1082</v>
      </c>
      <c r="P790" s="150" t="s">
        <v>4484</v>
      </c>
      <c r="Q790" s="442">
        <f>COUNTIF('Hedef Liste'!$A:$A,A790)</f>
        <v>1</v>
      </c>
    </row>
    <row r="791">
      <c r="A791" s="150" t="s">
        <v>2892</v>
      </c>
      <c r="B791" s="150" t="s">
        <v>2893</v>
      </c>
      <c r="C791" s="439" t="s">
        <v>4483</v>
      </c>
      <c r="D791" s="150" t="s">
        <v>2701</v>
      </c>
      <c r="F791" s="443"/>
      <c r="G791" s="440">
        <v>0.0</v>
      </c>
      <c r="H791" s="440">
        <v>65.0</v>
      </c>
      <c r="I791" s="440">
        <v>65.0</v>
      </c>
      <c r="J791" s="441">
        <v>0.0</v>
      </c>
      <c r="K791" s="150" t="s">
        <v>2894</v>
      </c>
      <c r="L791" s="150">
        <v>5.428999053E9</v>
      </c>
      <c r="M791" s="150" t="s">
        <v>2666</v>
      </c>
      <c r="N791" s="150" t="s">
        <v>2685</v>
      </c>
      <c r="O791" s="150" t="s">
        <v>2895</v>
      </c>
      <c r="P791" s="150" t="s">
        <v>4484</v>
      </c>
      <c r="Q791" s="442">
        <f>COUNTIF('Hedef Liste'!$A:$A,A791)</f>
        <v>1</v>
      </c>
    </row>
    <row r="792" hidden="1">
      <c r="A792" s="150" t="s">
        <v>2433</v>
      </c>
      <c r="B792" s="150" t="s">
        <v>2434</v>
      </c>
      <c r="C792" s="439" t="s">
        <v>4483</v>
      </c>
      <c r="D792" s="150" t="s">
        <v>2763</v>
      </c>
      <c r="E792" s="440">
        <v>3749.0</v>
      </c>
      <c r="F792" s="440">
        <v>189.0</v>
      </c>
      <c r="G792" s="440">
        <v>0.0</v>
      </c>
      <c r="H792" s="440">
        <v>23.0</v>
      </c>
      <c r="I792" s="440">
        <v>23.0</v>
      </c>
      <c r="J792" s="441">
        <v>0.0</v>
      </c>
      <c r="K792" s="150" t="s">
        <v>5372</v>
      </c>
      <c r="L792" s="150">
        <v>5.369880074E9</v>
      </c>
      <c r="M792" s="150" t="s">
        <v>1450</v>
      </c>
      <c r="N792" s="150" t="s">
        <v>2659</v>
      </c>
      <c r="O792" s="150" t="s">
        <v>2437</v>
      </c>
      <c r="P792" s="150" t="s">
        <v>4484</v>
      </c>
      <c r="Q792" s="442">
        <f>COUNTIF('Hedef Liste'!$A:$A,A792)</f>
        <v>1</v>
      </c>
    </row>
    <row r="793" hidden="1">
      <c r="A793" s="150" t="s">
        <v>4339</v>
      </c>
      <c r="B793" s="150" t="s">
        <v>4340</v>
      </c>
      <c r="C793" s="439" t="s">
        <v>4483</v>
      </c>
      <c r="D793" s="150" t="s">
        <v>2664</v>
      </c>
      <c r="E793" s="440">
        <v>230.0</v>
      </c>
      <c r="F793" s="440">
        <v>28.0</v>
      </c>
      <c r="G793" s="440">
        <v>0.0</v>
      </c>
      <c r="H793" s="440">
        <v>13.0</v>
      </c>
      <c r="I793" s="440">
        <v>13.0</v>
      </c>
      <c r="J793" s="441">
        <v>0.0</v>
      </c>
      <c r="K793" s="150" t="s">
        <v>5111</v>
      </c>
      <c r="L793" s="150">
        <v>5.455017595E9</v>
      </c>
      <c r="M793" s="150" t="s">
        <v>2666</v>
      </c>
      <c r="N793" s="150" t="s">
        <v>2774</v>
      </c>
      <c r="O793" s="150" t="s">
        <v>2993</v>
      </c>
      <c r="P793" s="150" t="s">
        <v>4484</v>
      </c>
      <c r="Q793" s="442">
        <f>COUNTIF('Hedef Liste'!$A:$A,A793)</f>
        <v>1</v>
      </c>
    </row>
    <row r="794" hidden="1">
      <c r="A794" s="150" t="s">
        <v>2423</v>
      </c>
      <c r="B794" s="150" t="s">
        <v>2424</v>
      </c>
      <c r="C794" s="439" t="s">
        <v>4483</v>
      </c>
      <c r="D794" s="150" t="s">
        <v>2672</v>
      </c>
      <c r="E794" s="440">
        <v>3820.0</v>
      </c>
      <c r="F794" s="440">
        <v>49.0</v>
      </c>
      <c r="G794" s="440">
        <v>7.0</v>
      </c>
      <c r="H794" s="440">
        <v>8.0</v>
      </c>
      <c r="I794" s="440">
        <v>15.0</v>
      </c>
      <c r="J794" s="441">
        <v>0.47</v>
      </c>
      <c r="K794" s="150" t="s">
        <v>5373</v>
      </c>
      <c r="L794" s="150">
        <v>2.22250506E9</v>
      </c>
      <c r="M794" s="150" t="s">
        <v>1450</v>
      </c>
      <c r="N794" s="150" t="s">
        <v>2703</v>
      </c>
      <c r="O794" s="150" t="s">
        <v>2426</v>
      </c>
      <c r="P794" s="150" t="s">
        <v>4484</v>
      </c>
      <c r="Q794" s="442">
        <f>COUNTIF('Hedef Liste'!$A:$A,A794)</f>
        <v>1</v>
      </c>
    </row>
    <row r="795" hidden="1">
      <c r="A795" s="150" t="s">
        <v>5374</v>
      </c>
      <c r="B795" s="150" t="s">
        <v>5375</v>
      </c>
      <c r="C795" s="439" t="s">
        <v>4483</v>
      </c>
      <c r="D795" s="150" t="s">
        <v>2763</v>
      </c>
      <c r="E795" s="440">
        <v>5037.0</v>
      </c>
      <c r="F795" s="440">
        <v>232.0</v>
      </c>
      <c r="G795" s="440">
        <v>23.0</v>
      </c>
      <c r="H795" s="440">
        <v>0.0</v>
      </c>
      <c r="I795" s="440">
        <v>23.0</v>
      </c>
      <c r="J795" s="441">
        <v>1.0</v>
      </c>
      <c r="K795" s="150" t="s">
        <v>5376</v>
      </c>
      <c r="L795" s="150">
        <v>5.525062206E9</v>
      </c>
      <c r="M795" s="150" t="s">
        <v>2666</v>
      </c>
      <c r="N795" s="150" t="s">
        <v>2721</v>
      </c>
      <c r="O795" s="150" t="s">
        <v>5377</v>
      </c>
      <c r="P795" s="150" t="s">
        <v>4512</v>
      </c>
      <c r="Q795" s="442">
        <f>COUNTIF('Hedef Liste'!$A:$A,A795)</f>
        <v>0</v>
      </c>
    </row>
    <row r="796" hidden="1">
      <c r="A796" s="150" t="s">
        <v>654</v>
      </c>
      <c r="B796" s="150" t="s">
        <v>655</v>
      </c>
      <c r="C796" s="439" t="s">
        <v>4483</v>
      </c>
      <c r="D796" s="150" t="s">
        <v>2850</v>
      </c>
      <c r="E796" s="440">
        <v>2883.0</v>
      </c>
      <c r="F796" s="440">
        <v>91.0</v>
      </c>
      <c r="G796" s="440">
        <v>24.0</v>
      </c>
      <c r="H796" s="440">
        <v>8.0</v>
      </c>
      <c r="I796" s="440">
        <v>32.0</v>
      </c>
      <c r="J796" s="444">
        <v>0.75</v>
      </c>
      <c r="K796" s="150" t="s">
        <v>5378</v>
      </c>
      <c r="L796" s="150">
        <v>2.222301544E9</v>
      </c>
      <c r="M796" s="150" t="s">
        <v>1450</v>
      </c>
      <c r="N796" s="150" t="s">
        <v>2716</v>
      </c>
      <c r="O796" s="150" t="s">
        <v>5379</v>
      </c>
      <c r="P796" s="150" t="s">
        <v>4484</v>
      </c>
      <c r="Q796" s="442">
        <f>COUNTIF('Hedef Liste'!$A:$A,A796)</f>
        <v>1</v>
      </c>
    </row>
    <row r="797" hidden="1">
      <c r="A797" s="150" t="s">
        <v>5380</v>
      </c>
      <c r="B797" s="150" t="s">
        <v>5381</v>
      </c>
      <c r="C797" s="439" t="s">
        <v>4483</v>
      </c>
      <c r="D797" s="150" t="s">
        <v>2850</v>
      </c>
      <c r="E797" s="440">
        <v>892.0</v>
      </c>
      <c r="F797" s="440">
        <v>84.0</v>
      </c>
      <c r="G797" s="440">
        <v>13.0</v>
      </c>
      <c r="H797" s="440">
        <v>13.0</v>
      </c>
      <c r="I797" s="440">
        <v>26.0</v>
      </c>
      <c r="J797" s="441">
        <v>0.5</v>
      </c>
      <c r="K797" s="150" t="s">
        <v>5378</v>
      </c>
      <c r="L797" s="150">
        <v>5.336164426E9</v>
      </c>
      <c r="M797" s="150" t="s">
        <v>2666</v>
      </c>
      <c r="N797" s="150" t="s">
        <v>2667</v>
      </c>
      <c r="O797" s="150" t="s">
        <v>5382</v>
      </c>
      <c r="P797" s="150" t="s">
        <v>4484</v>
      </c>
      <c r="Q797" s="442">
        <f>COUNTIF('Hedef Liste'!$A:$A,A797)</f>
        <v>0</v>
      </c>
    </row>
    <row r="798" hidden="1">
      <c r="A798" s="150" t="s">
        <v>207</v>
      </c>
      <c r="B798" s="150" t="s">
        <v>208</v>
      </c>
      <c r="C798" s="439" t="s">
        <v>4483</v>
      </c>
      <c r="D798" s="150" t="s">
        <v>2658</v>
      </c>
      <c r="E798" s="440">
        <v>502.0</v>
      </c>
      <c r="F798" s="443"/>
      <c r="G798" s="440">
        <v>7.0</v>
      </c>
      <c r="H798" s="440">
        <v>14.0</v>
      </c>
      <c r="I798" s="440">
        <v>21.0</v>
      </c>
      <c r="J798" s="441">
        <v>0.33</v>
      </c>
      <c r="K798" s="150" t="s">
        <v>5383</v>
      </c>
      <c r="L798" s="150">
        <v>2.222200221E9</v>
      </c>
      <c r="M798" s="150" t="s">
        <v>2666</v>
      </c>
      <c r="N798" s="150" t="s">
        <v>2667</v>
      </c>
      <c r="O798" s="150" t="s">
        <v>211</v>
      </c>
      <c r="P798" s="150" t="s">
        <v>4484</v>
      </c>
      <c r="Q798" s="442">
        <f>COUNTIF('Hedef Liste'!$A:$A,A798)</f>
        <v>1</v>
      </c>
    </row>
    <row r="799">
      <c r="A799" s="150" t="s">
        <v>3182</v>
      </c>
      <c r="B799" s="150" t="s">
        <v>3183</v>
      </c>
      <c r="C799" s="439" t="s">
        <v>4483</v>
      </c>
      <c r="D799" s="150" t="s">
        <v>2672</v>
      </c>
      <c r="E799" s="443"/>
      <c r="F799" s="443"/>
      <c r="G799" s="440">
        <v>0.0</v>
      </c>
      <c r="H799" s="440">
        <v>21.0</v>
      </c>
      <c r="I799" s="440">
        <v>21.0</v>
      </c>
      <c r="J799" s="441">
        <v>0.0</v>
      </c>
      <c r="K799" s="150" t="s">
        <v>3184</v>
      </c>
      <c r="L799" s="150">
        <v>5.413470202E9</v>
      </c>
      <c r="M799" s="150" t="s">
        <v>2666</v>
      </c>
      <c r="N799" s="150" t="s">
        <v>3185</v>
      </c>
      <c r="O799" s="150" t="s">
        <v>3186</v>
      </c>
      <c r="P799" s="150" t="s">
        <v>4484</v>
      </c>
      <c r="Q799" s="442">
        <f>COUNTIF('Hedef Liste'!$A:$A,A799)</f>
        <v>1</v>
      </c>
    </row>
    <row r="800" hidden="1">
      <c r="A800" s="150" t="s">
        <v>4235</v>
      </c>
      <c r="B800" s="150" t="s">
        <v>4236</v>
      </c>
      <c r="C800" s="439" t="s">
        <v>4483</v>
      </c>
      <c r="D800" s="150" t="s">
        <v>2658</v>
      </c>
      <c r="E800" s="440">
        <v>27902.0</v>
      </c>
      <c r="F800" s="440">
        <v>972.0</v>
      </c>
      <c r="G800" s="440">
        <v>13.0</v>
      </c>
      <c r="H800" s="440">
        <v>1.0</v>
      </c>
      <c r="I800" s="440">
        <v>14.0</v>
      </c>
      <c r="J800" s="441">
        <v>0.93</v>
      </c>
      <c r="K800" s="150" t="s">
        <v>5384</v>
      </c>
      <c r="L800" s="150">
        <v>2.223209988E9</v>
      </c>
      <c r="M800" s="150" t="s">
        <v>2666</v>
      </c>
      <c r="N800" s="150" t="s">
        <v>2721</v>
      </c>
      <c r="O800" s="150" t="s">
        <v>4237</v>
      </c>
      <c r="P800" s="150" t="s">
        <v>4484</v>
      </c>
      <c r="Q800" s="442">
        <f>COUNTIF('Hedef Liste'!$A:$A,A800)</f>
        <v>1</v>
      </c>
    </row>
    <row r="801" hidden="1">
      <c r="A801" s="150" t="s">
        <v>355</v>
      </c>
      <c r="B801" s="150" t="s">
        <v>356</v>
      </c>
      <c r="C801" s="439" t="s">
        <v>4483</v>
      </c>
      <c r="D801" s="150" t="s">
        <v>2867</v>
      </c>
      <c r="E801" s="440">
        <v>211.0</v>
      </c>
      <c r="F801" s="443"/>
      <c r="G801" s="440">
        <v>5.0</v>
      </c>
      <c r="H801" s="440">
        <v>21.0</v>
      </c>
      <c r="I801" s="440">
        <v>26.0</v>
      </c>
      <c r="J801" s="441">
        <v>0.19</v>
      </c>
      <c r="K801" s="150" t="s">
        <v>5385</v>
      </c>
      <c r="L801" s="150">
        <v>5.458720149E9</v>
      </c>
      <c r="M801" s="150" t="s">
        <v>2666</v>
      </c>
      <c r="N801" s="150" t="s">
        <v>2685</v>
      </c>
      <c r="O801" s="150" t="s">
        <v>358</v>
      </c>
      <c r="P801" s="150" t="s">
        <v>4484</v>
      </c>
      <c r="Q801" s="442">
        <f>COUNTIF('Hedef Liste'!$A:$A,A801)</f>
        <v>1</v>
      </c>
    </row>
    <row r="802" hidden="1">
      <c r="A802" s="150" t="s">
        <v>3301</v>
      </c>
      <c r="B802" s="150" t="s">
        <v>3302</v>
      </c>
      <c r="C802" s="439" t="s">
        <v>4483</v>
      </c>
      <c r="D802" s="150" t="s">
        <v>2867</v>
      </c>
      <c r="E802" s="440">
        <v>79.0</v>
      </c>
      <c r="F802" s="440">
        <v>17.0</v>
      </c>
      <c r="G802" s="440">
        <v>0.0</v>
      </c>
      <c r="H802" s="440">
        <v>13.0</v>
      </c>
      <c r="I802" s="440">
        <v>13.0</v>
      </c>
      <c r="J802" s="441">
        <v>0.0</v>
      </c>
      <c r="K802" s="150" t="s">
        <v>3303</v>
      </c>
      <c r="L802" s="150">
        <v>5.446350026E9</v>
      </c>
      <c r="M802" s="150" t="s">
        <v>1450</v>
      </c>
      <c r="N802" s="150" t="s">
        <v>3304</v>
      </c>
      <c r="O802" s="150" t="s">
        <v>3305</v>
      </c>
      <c r="P802" s="150" t="s">
        <v>4484</v>
      </c>
      <c r="Q802" s="442">
        <f>COUNTIF('Hedef Liste'!$A:$A,A802)</f>
        <v>1</v>
      </c>
    </row>
    <row r="803" hidden="1">
      <c r="A803" s="150" t="s">
        <v>277</v>
      </c>
      <c r="B803" s="150" t="s">
        <v>278</v>
      </c>
      <c r="C803" s="439" t="s">
        <v>4483</v>
      </c>
      <c r="D803" s="150" t="s">
        <v>2658</v>
      </c>
      <c r="E803" s="440">
        <v>4032.0</v>
      </c>
      <c r="F803" s="440">
        <v>97.0</v>
      </c>
      <c r="G803" s="440">
        <v>1.0</v>
      </c>
      <c r="H803" s="440">
        <v>11.0</v>
      </c>
      <c r="I803" s="440">
        <v>12.0</v>
      </c>
      <c r="J803" s="441">
        <v>0.08</v>
      </c>
      <c r="K803" s="150" t="s">
        <v>5386</v>
      </c>
      <c r="L803" s="150">
        <v>5.526283031E9</v>
      </c>
      <c r="M803" s="150" t="s">
        <v>1450</v>
      </c>
      <c r="N803" s="150" t="s">
        <v>2732</v>
      </c>
      <c r="O803" s="150" t="s">
        <v>280</v>
      </c>
      <c r="P803" s="150" t="s">
        <v>4484</v>
      </c>
      <c r="Q803" s="442">
        <f>COUNTIF('Hedef Liste'!$A:$A,A803)</f>
        <v>1</v>
      </c>
    </row>
    <row r="804" hidden="1">
      <c r="A804" s="150" t="s">
        <v>1835</v>
      </c>
      <c r="B804" s="150" t="s">
        <v>1836</v>
      </c>
      <c r="C804" s="439" t="s">
        <v>4520</v>
      </c>
      <c r="D804" s="150" t="s">
        <v>2684</v>
      </c>
      <c r="E804" s="440">
        <v>1279.0</v>
      </c>
      <c r="F804" s="443"/>
      <c r="G804" s="440">
        <v>8.0</v>
      </c>
      <c r="H804" s="440">
        <v>6.0</v>
      </c>
      <c r="I804" s="440">
        <v>14.0</v>
      </c>
      <c r="J804" s="441">
        <v>0.57</v>
      </c>
      <c r="K804" s="150" t="s">
        <v>3128</v>
      </c>
      <c r="L804" s="150">
        <v>5.327875414E9</v>
      </c>
      <c r="M804" s="150" t="s">
        <v>2666</v>
      </c>
      <c r="N804" s="150" t="s">
        <v>2682</v>
      </c>
      <c r="O804" s="150" t="s">
        <v>1838</v>
      </c>
      <c r="P804" s="150" t="s">
        <v>4484</v>
      </c>
      <c r="Q804" s="442">
        <f>COUNTIF('Hedef Liste'!$A:$A,A804)</f>
        <v>1</v>
      </c>
    </row>
    <row r="805" hidden="1">
      <c r="A805" s="150" t="s">
        <v>1219</v>
      </c>
      <c r="B805" s="150" t="s">
        <v>5387</v>
      </c>
      <c r="C805" s="439" t="s">
        <v>4483</v>
      </c>
      <c r="D805" s="150" t="s">
        <v>5388</v>
      </c>
      <c r="E805" s="440">
        <v>1758.0</v>
      </c>
      <c r="F805" s="440">
        <v>6.0</v>
      </c>
      <c r="G805" s="440">
        <v>3.0</v>
      </c>
      <c r="H805" s="440">
        <v>2.0</v>
      </c>
      <c r="I805" s="440">
        <v>5.0</v>
      </c>
      <c r="J805" s="441">
        <v>0.6</v>
      </c>
      <c r="K805" s="150" t="s">
        <v>2775</v>
      </c>
      <c r="L805" s="150">
        <v>5.456606594E9</v>
      </c>
      <c r="M805" s="150" t="s">
        <v>1450</v>
      </c>
      <c r="N805" s="150" t="s">
        <v>2732</v>
      </c>
      <c r="O805" s="150" t="s">
        <v>1222</v>
      </c>
      <c r="P805" s="150" t="s">
        <v>4484</v>
      </c>
      <c r="Q805" s="442">
        <f>COUNTIF('Hedef Liste'!$A:$A,A805)</f>
        <v>1</v>
      </c>
    </row>
    <row r="806" hidden="1">
      <c r="A806" s="150" t="s">
        <v>2024</v>
      </c>
      <c r="B806" s="150" t="s">
        <v>2025</v>
      </c>
      <c r="C806" s="439" t="s">
        <v>4483</v>
      </c>
      <c r="D806" s="150" t="s">
        <v>2773</v>
      </c>
      <c r="E806" s="440">
        <v>1342.0</v>
      </c>
      <c r="F806" s="440">
        <v>10.0</v>
      </c>
      <c r="G806" s="440">
        <v>5.0</v>
      </c>
      <c r="H806" s="440">
        <v>4.0</v>
      </c>
      <c r="I806" s="440">
        <v>9.0</v>
      </c>
      <c r="J806" s="441">
        <v>0.56</v>
      </c>
      <c r="K806" s="150" t="s">
        <v>3250</v>
      </c>
      <c r="L806" s="150">
        <v>5.4612701E9</v>
      </c>
      <c r="M806" s="150" t="s">
        <v>2666</v>
      </c>
      <c r="N806" s="150" t="s">
        <v>2721</v>
      </c>
      <c r="O806" s="150" t="s">
        <v>2027</v>
      </c>
      <c r="P806" s="150" t="s">
        <v>4484</v>
      </c>
      <c r="Q806" s="442">
        <f>COUNTIF('Hedef Liste'!$A:$A,A806)</f>
        <v>1</v>
      </c>
    </row>
    <row r="807" hidden="1">
      <c r="A807" s="150" t="s">
        <v>4066</v>
      </c>
      <c r="B807" s="150" t="s">
        <v>4067</v>
      </c>
      <c r="C807" s="439" t="s">
        <v>4483</v>
      </c>
      <c r="D807" s="150" t="s">
        <v>2664</v>
      </c>
      <c r="E807" s="440">
        <v>36.0</v>
      </c>
      <c r="F807" s="443"/>
      <c r="G807" s="440">
        <v>0.0</v>
      </c>
      <c r="H807" s="440">
        <v>14.0</v>
      </c>
      <c r="I807" s="440">
        <v>14.0</v>
      </c>
      <c r="J807" s="441">
        <v>0.0</v>
      </c>
      <c r="K807" s="150" t="s">
        <v>4068</v>
      </c>
      <c r="L807" s="150">
        <v>5.372088183E9</v>
      </c>
      <c r="M807" s="150" t="s">
        <v>2666</v>
      </c>
      <c r="N807" s="150" t="s">
        <v>2682</v>
      </c>
      <c r="O807" s="150" t="s">
        <v>4026</v>
      </c>
      <c r="P807" s="150" t="s">
        <v>4484</v>
      </c>
      <c r="Q807" s="442">
        <f>COUNTIF('Hedef Liste'!$A:$A,A807)</f>
        <v>1</v>
      </c>
    </row>
    <row r="808" hidden="1">
      <c r="A808" s="150" t="s">
        <v>2818</v>
      </c>
      <c r="B808" s="150" t="s">
        <v>2819</v>
      </c>
      <c r="C808" s="439" t="s">
        <v>4483</v>
      </c>
      <c r="D808" s="150" t="s">
        <v>2773</v>
      </c>
      <c r="E808" s="440">
        <v>38.0</v>
      </c>
      <c r="F808" s="440">
        <v>8.0</v>
      </c>
      <c r="G808" s="440">
        <v>0.0</v>
      </c>
      <c r="H808" s="440">
        <v>7.0</v>
      </c>
      <c r="I808" s="440">
        <v>7.0</v>
      </c>
      <c r="J808" s="441">
        <v>0.0</v>
      </c>
      <c r="K808" s="150" t="s">
        <v>2820</v>
      </c>
      <c r="L808" s="150">
        <v>5.4514526E9</v>
      </c>
      <c r="M808" s="150" t="s">
        <v>1450</v>
      </c>
      <c r="N808" s="150" t="s">
        <v>2795</v>
      </c>
      <c r="O808" s="150" t="s">
        <v>2821</v>
      </c>
      <c r="P808" s="150" t="s">
        <v>4484</v>
      </c>
      <c r="Q808" s="442">
        <f>COUNTIF('Hedef Liste'!$A:$A,A808)</f>
        <v>1</v>
      </c>
    </row>
    <row r="809" hidden="1">
      <c r="A809" s="150" t="s">
        <v>2465</v>
      </c>
      <c r="B809" s="150" t="s">
        <v>2466</v>
      </c>
      <c r="C809" s="439" t="s">
        <v>4483</v>
      </c>
      <c r="D809" s="150" t="s">
        <v>2672</v>
      </c>
      <c r="E809" s="440">
        <v>2480.0</v>
      </c>
      <c r="F809" s="440">
        <v>387.0</v>
      </c>
      <c r="G809" s="440">
        <v>0.0</v>
      </c>
      <c r="H809" s="440">
        <v>10.0</v>
      </c>
      <c r="I809" s="440">
        <v>10.0</v>
      </c>
      <c r="J809" s="441">
        <v>0.0</v>
      </c>
      <c r="K809" s="150" t="s">
        <v>4246</v>
      </c>
      <c r="L809" s="150">
        <v>2.222399449E9</v>
      </c>
      <c r="M809" s="150" t="s">
        <v>1450</v>
      </c>
      <c r="N809" s="150" t="s">
        <v>3688</v>
      </c>
      <c r="O809" s="150" t="s">
        <v>2468</v>
      </c>
      <c r="P809" s="150" t="s">
        <v>4484</v>
      </c>
      <c r="Q809" s="442">
        <f>COUNTIF('Hedef Liste'!$A:$A,A809)</f>
        <v>1</v>
      </c>
    </row>
    <row r="810" hidden="1">
      <c r="A810" s="150" t="s">
        <v>2550</v>
      </c>
      <c r="B810" s="150" t="s">
        <v>2551</v>
      </c>
      <c r="C810" s="439" t="s">
        <v>4483</v>
      </c>
      <c r="D810" s="150" t="s">
        <v>2672</v>
      </c>
      <c r="E810" s="440">
        <v>97.0</v>
      </c>
      <c r="F810" s="440">
        <v>53.0</v>
      </c>
      <c r="G810" s="440">
        <v>2.0</v>
      </c>
      <c r="H810" s="440">
        <v>31.0</v>
      </c>
      <c r="I810" s="440">
        <v>33.0</v>
      </c>
      <c r="J810" s="441">
        <v>0.06</v>
      </c>
      <c r="K810" s="150" t="s">
        <v>3366</v>
      </c>
      <c r="L810" s="150">
        <v>2.223100273E9</v>
      </c>
      <c r="M810" s="150" t="s">
        <v>2666</v>
      </c>
      <c r="N810" s="150" t="s">
        <v>2750</v>
      </c>
      <c r="O810" s="150" t="s">
        <v>174</v>
      </c>
      <c r="P810" s="150" t="s">
        <v>4484</v>
      </c>
      <c r="Q810" s="442">
        <f>COUNTIF('Hedef Liste'!$A:$A,A810)</f>
        <v>1</v>
      </c>
    </row>
    <row r="811" hidden="1">
      <c r="A811" s="150" t="s">
        <v>2385</v>
      </c>
      <c r="B811" s="150" t="s">
        <v>2386</v>
      </c>
      <c r="C811" s="439" t="s">
        <v>4520</v>
      </c>
      <c r="D811" s="150" t="s">
        <v>2672</v>
      </c>
      <c r="E811" s="440">
        <v>64.0</v>
      </c>
      <c r="F811" s="443"/>
      <c r="G811" s="440">
        <v>10.0</v>
      </c>
      <c r="H811" s="440">
        <v>3.0</v>
      </c>
      <c r="I811" s="440">
        <v>13.0</v>
      </c>
      <c r="J811" s="441">
        <v>0.77</v>
      </c>
      <c r="K811" s="150" t="s">
        <v>3259</v>
      </c>
      <c r="L811" s="150">
        <v>5.078201051E9</v>
      </c>
      <c r="M811" s="150" t="s">
        <v>1450</v>
      </c>
      <c r="N811" s="150" t="s">
        <v>2716</v>
      </c>
      <c r="O811" s="150" t="s">
        <v>2389</v>
      </c>
      <c r="P811" s="150" t="s">
        <v>4484</v>
      </c>
      <c r="Q811" s="442">
        <f>COUNTIF('Hedef Liste'!$A:$A,A811)</f>
        <v>1</v>
      </c>
    </row>
    <row r="812" hidden="1">
      <c r="A812" s="150" t="s">
        <v>3744</v>
      </c>
      <c r="B812" s="150" t="s">
        <v>3745</v>
      </c>
      <c r="C812" s="439" t="s">
        <v>4483</v>
      </c>
      <c r="D812" s="150" t="s">
        <v>2701</v>
      </c>
      <c r="E812" s="440">
        <v>104.0</v>
      </c>
      <c r="F812" s="443"/>
      <c r="G812" s="440">
        <v>0.0</v>
      </c>
      <c r="H812" s="440">
        <v>10.0</v>
      </c>
      <c r="I812" s="440">
        <v>10.0</v>
      </c>
      <c r="J812" s="441">
        <v>0.0</v>
      </c>
      <c r="K812" s="150" t="s">
        <v>3746</v>
      </c>
      <c r="L812" s="150">
        <v>5.53429868E9</v>
      </c>
      <c r="M812" s="150" t="s">
        <v>2666</v>
      </c>
      <c r="N812" s="150" t="s">
        <v>2809</v>
      </c>
      <c r="O812" s="150" t="s">
        <v>1758</v>
      </c>
      <c r="P812" s="150" t="s">
        <v>4484</v>
      </c>
      <c r="Q812" s="442">
        <f>COUNTIF('Hedef Liste'!$A:$A,A812)</f>
        <v>1</v>
      </c>
    </row>
    <row r="813" hidden="1">
      <c r="A813" s="150" t="s">
        <v>2613</v>
      </c>
      <c r="B813" s="150" t="s">
        <v>2614</v>
      </c>
      <c r="C813" s="439" t="s">
        <v>4483</v>
      </c>
      <c r="D813" s="150" t="s">
        <v>2701</v>
      </c>
      <c r="E813" s="440">
        <v>368.0</v>
      </c>
      <c r="F813" s="440">
        <v>136.0</v>
      </c>
      <c r="G813" s="440">
        <v>1.0</v>
      </c>
      <c r="H813" s="440">
        <v>7.0</v>
      </c>
      <c r="I813" s="440">
        <v>8.0</v>
      </c>
      <c r="J813" s="441">
        <v>0.13</v>
      </c>
      <c r="K813" s="150" t="s">
        <v>3965</v>
      </c>
      <c r="L813" s="150">
        <v>5.364576969E9</v>
      </c>
      <c r="M813" s="150" t="s">
        <v>2666</v>
      </c>
      <c r="N813" s="150" t="s">
        <v>2809</v>
      </c>
      <c r="O813" s="150" t="s">
        <v>2616</v>
      </c>
      <c r="P813" s="150" t="s">
        <v>4484</v>
      </c>
      <c r="Q813" s="442">
        <f>COUNTIF('Hedef Liste'!$A:$A,A813)</f>
        <v>1</v>
      </c>
    </row>
    <row r="814" hidden="1">
      <c r="A814" s="150" t="s">
        <v>4027</v>
      </c>
      <c r="B814" s="150" t="s">
        <v>4028</v>
      </c>
      <c r="C814" s="439" t="s">
        <v>4483</v>
      </c>
      <c r="D814" s="150" t="s">
        <v>2672</v>
      </c>
      <c r="E814" s="440">
        <v>225.0</v>
      </c>
      <c r="F814" s="440">
        <v>89.0</v>
      </c>
      <c r="G814" s="440">
        <v>0.0</v>
      </c>
      <c r="H814" s="440">
        <v>11.0</v>
      </c>
      <c r="I814" s="440">
        <v>11.0</v>
      </c>
      <c r="J814" s="441">
        <v>0.0</v>
      </c>
      <c r="K814" s="150" t="s">
        <v>4029</v>
      </c>
      <c r="L814" s="150">
        <v>5.372136686E9</v>
      </c>
      <c r="M814" s="150" t="s">
        <v>1450</v>
      </c>
      <c r="N814" s="150" t="s">
        <v>2703</v>
      </c>
      <c r="O814" s="150" t="s">
        <v>4030</v>
      </c>
      <c r="P814" s="150" t="s">
        <v>4484</v>
      </c>
      <c r="Q814" s="442">
        <f>COUNTIF('Hedef Liste'!$A:$A,A814)</f>
        <v>1</v>
      </c>
    </row>
    <row r="815" hidden="1">
      <c r="A815" s="150" t="s">
        <v>2596</v>
      </c>
      <c r="B815" s="150" t="s">
        <v>2597</v>
      </c>
      <c r="C815" s="439" t="s">
        <v>4483</v>
      </c>
      <c r="D815" s="150" t="s">
        <v>2684</v>
      </c>
      <c r="E815" s="440">
        <v>17.0</v>
      </c>
      <c r="F815" s="440">
        <v>7.0</v>
      </c>
      <c r="G815" s="440">
        <v>0.0</v>
      </c>
      <c r="H815" s="440">
        <v>17.0</v>
      </c>
      <c r="I815" s="440">
        <v>17.0</v>
      </c>
      <c r="J815" s="441">
        <v>0.0</v>
      </c>
      <c r="K815" s="150" t="s">
        <v>4324</v>
      </c>
      <c r="L815" s="150">
        <v>5.51194916E9</v>
      </c>
      <c r="M815" s="150" t="s">
        <v>2666</v>
      </c>
      <c r="N815" s="150" t="s">
        <v>2774</v>
      </c>
      <c r="O815" s="150" t="s">
        <v>2600</v>
      </c>
      <c r="P815" s="150" t="s">
        <v>4484</v>
      </c>
      <c r="Q815" s="442">
        <f>COUNTIF('Hedef Liste'!$A:$A,A815)</f>
        <v>1</v>
      </c>
    </row>
    <row r="816" hidden="1">
      <c r="A816" s="150" t="s">
        <v>1727</v>
      </c>
      <c r="B816" s="150" t="s">
        <v>1728</v>
      </c>
      <c r="C816" s="439" t="s">
        <v>4483</v>
      </c>
      <c r="D816" s="150" t="s">
        <v>2684</v>
      </c>
      <c r="E816" s="440">
        <v>1065.0</v>
      </c>
      <c r="F816" s="440">
        <v>152.0</v>
      </c>
      <c r="G816" s="440">
        <v>11.0</v>
      </c>
      <c r="H816" s="440">
        <v>10.0</v>
      </c>
      <c r="I816" s="440">
        <v>21.0</v>
      </c>
      <c r="J816" s="444">
        <v>0.52</v>
      </c>
      <c r="K816" s="150" t="s">
        <v>4948</v>
      </c>
      <c r="L816" s="150">
        <v>2.222398483E9</v>
      </c>
      <c r="M816" s="150" t="s">
        <v>1450</v>
      </c>
      <c r="N816" s="150" t="s">
        <v>2732</v>
      </c>
      <c r="O816" s="150" t="s">
        <v>734</v>
      </c>
      <c r="P816" s="150" t="s">
        <v>4484</v>
      </c>
      <c r="Q816" s="442">
        <f>COUNTIF('Hedef Liste'!$A:$A,A816)</f>
        <v>1</v>
      </c>
    </row>
    <row r="817" hidden="1">
      <c r="A817" s="150" t="s">
        <v>2451</v>
      </c>
      <c r="B817" s="150" t="s">
        <v>2452</v>
      </c>
      <c r="C817" s="439" t="s">
        <v>4483</v>
      </c>
      <c r="D817" s="150" t="s">
        <v>2672</v>
      </c>
      <c r="E817" s="440">
        <v>626.0</v>
      </c>
      <c r="F817" s="440">
        <v>43.0</v>
      </c>
      <c r="G817" s="440">
        <v>8.0</v>
      </c>
      <c r="H817" s="440">
        <v>8.0</v>
      </c>
      <c r="I817" s="440">
        <v>16.0</v>
      </c>
      <c r="J817" s="444">
        <v>0.5</v>
      </c>
      <c r="K817" s="150" t="s">
        <v>4193</v>
      </c>
      <c r="L817" s="150">
        <v>5.013682633E9</v>
      </c>
      <c r="M817" s="150" t="s">
        <v>2666</v>
      </c>
      <c r="N817" s="150" t="s">
        <v>2774</v>
      </c>
      <c r="O817" s="150" t="s">
        <v>2454</v>
      </c>
      <c r="P817" s="150" t="s">
        <v>4484</v>
      </c>
      <c r="Q817" s="442">
        <f>COUNTIF('Hedef Liste'!$A:$A,A817)</f>
        <v>1</v>
      </c>
    </row>
    <row r="818" hidden="1">
      <c r="A818" s="150" t="s">
        <v>5389</v>
      </c>
      <c r="B818" s="150" t="s">
        <v>5390</v>
      </c>
      <c r="C818" s="439" t="s">
        <v>4483</v>
      </c>
      <c r="D818" s="150" t="s">
        <v>3151</v>
      </c>
      <c r="E818" s="440">
        <v>211.0</v>
      </c>
      <c r="F818" s="440">
        <v>44.0</v>
      </c>
      <c r="G818" s="440">
        <v>26.0</v>
      </c>
      <c r="H818" s="440">
        <v>11.0</v>
      </c>
      <c r="I818" s="440">
        <v>37.0</v>
      </c>
      <c r="J818" s="441">
        <v>0.7</v>
      </c>
      <c r="K818" s="150" t="s">
        <v>5391</v>
      </c>
      <c r="L818" s="150">
        <v>2.222216615E9</v>
      </c>
      <c r="M818" s="150" t="s">
        <v>2666</v>
      </c>
      <c r="N818" s="150" t="s">
        <v>2667</v>
      </c>
      <c r="O818" s="150" t="s">
        <v>5392</v>
      </c>
      <c r="P818" s="150" t="s">
        <v>5099</v>
      </c>
      <c r="Q818" s="442">
        <f>COUNTIF('Hedef Liste'!$A:$A,A818)</f>
        <v>0</v>
      </c>
    </row>
    <row r="819" hidden="1">
      <c r="A819" s="150" t="s">
        <v>427</v>
      </c>
      <c r="B819" s="150" t="s">
        <v>5393</v>
      </c>
      <c r="C819" s="439" t="s">
        <v>4483</v>
      </c>
      <c r="D819" s="150" t="s">
        <v>2658</v>
      </c>
      <c r="E819" s="440">
        <v>256.0</v>
      </c>
      <c r="F819" s="443"/>
      <c r="G819" s="440">
        <v>0.0</v>
      </c>
      <c r="H819" s="440">
        <v>6.0</v>
      </c>
      <c r="I819" s="440">
        <v>6.0</v>
      </c>
      <c r="J819" s="441">
        <v>0.0</v>
      </c>
      <c r="K819" s="150" t="s">
        <v>5130</v>
      </c>
      <c r="L819" s="150">
        <v>5.43334896E9</v>
      </c>
      <c r="M819" s="150" t="s">
        <v>1450</v>
      </c>
      <c r="N819" s="150" t="s">
        <v>2950</v>
      </c>
      <c r="O819" s="150" t="s">
        <v>2951</v>
      </c>
      <c r="P819" s="150" t="s">
        <v>4484</v>
      </c>
      <c r="Q819" s="442">
        <f>COUNTIF('Hedef Liste'!$A:$A,A819)</f>
        <v>1</v>
      </c>
    </row>
    <row r="820" hidden="1">
      <c r="A820" s="150" t="s">
        <v>1861</v>
      </c>
      <c r="B820" s="150" t="s">
        <v>5394</v>
      </c>
      <c r="C820" s="439" t="s">
        <v>4483</v>
      </c>
      <c r="D820" s="150" t="s">
        <v>2904</v>
      </c>
      <c r="E820" s="440">
        <v>669.0</v>
      </c>
      <c r="F820" s="440">
        <v>22.0</v>
      </c>
      <c r="G820" s="440">
        <v>4.0</v>
      </c>
      <c r="H820" s="440">
        <v>2.0</v>
      </c>
      <c r="I820" s="440">
        <v>6.0</v>
      </c>
      <c r="J820" s="441">
        <v>0.67</v>
      </c>
      <c r="K820" s="150" t="s">
        <v>5395</v>
      </c>
      <c r="L820" s="150">
        <v>2.222211221E9</v>
      </c>
      <c r="M820" s="150" t="s">
        <v>1450</v>
      </c>
      <c r="N820" s="150" t="s">
        <v>2716</v>
      </c>
      <c r="O820" s="150" t="s">
        <v>1864</v>
      </c>
      <c r="P820" s="150" t="s">
        <v>4484</v>
      </c>
      <c r="Q820" s="442">
        <f>COUNTIF('Hedef Liste'!$A:$A,A820)</f>
        <v>1</v>
      </c>
    </row>
    <row r="821" hidden="1">
      <c r="A821" s="150" t="s">
        <v>1566</v>
      </c>
      <c r="B821" s="150" t="s">
        <v>1567</v>
      </c>
      <c r="C821" s="439" t="s">
        <v>4483</v>
      </c>
      <c r="D821" s="150" t="s">
        <v>2664</v>
      </c>
      <c r="E821" s="440">
        <v>2351.0</v>
      </c>
      <c r="F821" s="443"/>
      <c r="G821" s="440">
        <v>6.0</v>
      </c>
      <c r="H821" s="440">
        <v>14.0</v>
      </c>
      <c r="I821" s="440">
        <v>20.0</v>
      </c>
      <c r="J821" s="441">
        <v>0.3</v>
      </c>
      <c r="K821" s="150" t="s">
        <v>2940</v>
      </c>
      <c r="L821" s="150">
        <v>5.335822307E9</v>
      </c>
      <c r="M821" s="150" t="s">
        <v>2666</v>
      </c>
      <c r="N821" s="150" t="s">
        <v>2667</v>
      </c>
      <c r="O821" s="150" t="s">
        <v>1570</v>
      </c>
      <c r="P821" s="150" t="s">
        <v>4484</v>
      </c>
      <c r="Q821" s="442">
        <f>COUNTIF('Hedef Liste'!$A:$A,A821)</f>
        <v>1</v>
      </c>
    </row>
    <row r="822" hidden="1">
      <c r="A822" s="150" t="s">
        <v>3515</v>
      </c>
      <c r="B822" s="150" t="s">
        <v>3516</v>
      </c>
      <c r="C822" s="439" t="s">
        <v>4483</v>
      </c>
      <c r="D822" s="150" t="s">
        <v>2684</v>
      </c>
      <c r="E822" s="443"/>
      <c r="F822" s="443"/>
      <c r="G822" s="440">
        <v>0.0</v>
      </c>
      <c r="H822" s="440">
        <v>24.0</v>
      </c>
      <c r="I822" s="440">
        <v>24.0</v>
      </c>
      <c r="J822" s="441">
        <v>0.0</v>
      </c>
      <c r="K822" s="150" t="s">
        <v>3344</v>
      </c>
      <c r="L822" s="150">
        <v>5.497870594E9</v>
      </c>
      <c r="M822" s="150" t="s">
        <v>1450</v>
      </c>
      <c r="N822" s="150" t="s">
        <v>2703</v>
      </c>
      <c r="O822" s="150" t="s">
        <v>3345</v>
      </c>
      <c r="P822" s="150" t="s">
        <v>4484</v>
      </c>
      <c r="Q822" s="442">
        <f>COUNTIF('Hedef Liste'!$A:$A,A822)</f>
        <v>1</v>
      </c>
    </row>
    <row r="823" hidden="1">
      <c r="A823" s="150" t="s">
        <v>4083</v>
      </c>
      <c r="B823" s="150" t="s">
        <v>5396</v>
      </c>
      <c r="C823" s="439" t="s">
        <v>4483</v>
      </c>
      <c r="D823" s="150" t="s">
        <v>2684</v>
      </c>
      <c r="E823" s="443"/>
      <c r="F823" s="443"/>
      <c r="G823" s="440">
        <v>0.0</v>
      </c>
      <c r="H823" s="440">
        <v>17.0</v>
      </c>
      <c r="I823" s="440">
        <v>17.0</v>
      </c>
      <c r="J823" s="441">
        <v>0.0</v>
      </c>
      <c r="K823" s="150" t="s">
        <v>3384</v>
      </c>
      <c r="L823" s="150">
        <v>2.224000006E9</v>
      </c>
      <c r="M823" s="150" t="s">
        <v>2666</v>
      </c>
      <c r="N823" s="150" t="s">
        <v>2774</v>
      </c>
      <c r="O823" s="150" t="s">
        <v>2605</v>
      </c>
      <c r="P823" s="150" t="s">
        <v>4484</v>
      </c>
      <c r="Q823" s="442">
        <f>COUNTIF('Hedef Liste'!$A:$A,A823)</f>
        <v>1</v>
      </c>
    </row>
    <row r="824" hidden="1">
      <c r="A824" s="150" t="s">
        <v>2592</v>
      </c>
      <c r="B824" s="150" t="s">
        <v>2593</v>
      </c>
      <c r="C824" s="439" t="s">
        <v>4483</v>
      </c>
      <c r="D824" s="150" t="s">
        <v>2684</v>
      </c>
      <c r="E824" s="440">
        <v>674.0</v>
      </c>
      <c r="F824" s="443"/>
      <c r="G824" s="440">
        <v>7.0</v>
      </c>
      <c r="H824" s="440">
        <v>21.0</v>
      </c>
      <c r="I824" s="440">
        <v>28.0</v>
      </c>
      <c r="J824" s="441">
        <v>0.25</v>
      </c>
      <c r="K824" s="150" t="s">
        <v>3583</v>
      </c>
      <c r="L824" s="150">
        <v>5.013745406E9</v>
      </c>
      <c r="M824" s="150" t="s">
        <v>1450</v>
      </c>
      <c r="N824" s="150" t="s">
        <v>2795</v>
      </c>
      <c r="O824" s="150" t="s">
        <v>2595</v>
      </c>
      <c r="P824" s="150" t="s">
        <v>4484</v>
      </c>
      <c r="Q824" s="442">
        <f>COUNTIF('Hedef Liste'!$A:$A,A824)</f>
        <v>1</v>
      </c>
    </row>
    <row r="825" hidden="1">
      <c r="A825" s="150" t="s">
        <v>2964</v>
      </c>
      <c r="B825" s="150" t="s">
        <v>5397</v>
      </c>
      <c r="C825" s="439" t="s">
        <v>4483</v>
      </c>
      <c r="D825" s="150" t="s">
        <v>2664</v>
      </c>
      <c r="E825" s="440">
        <v>30.0</v>
      </c>
      <c r="F825" s="440">
        <v>6.0</v>
      </c>
      <c r="G825" s="440">
        <v>0.0</v>
      </c>
      <c r="H825" s="440">
        <v>9.0</v>
      </c>
      <c r="I825" s="440">
        <v>9.0</v>
      </c>
      <c r="J825" s="441">
        <v>0.0</v>
      </c>
      <c r="K825" s="150" t="s">
        <v>2966</v>
      </c>
      <c r="L825" s="150">
        <v>5.37471696E9</v>
      </c>
      <c r="M825" s="150" t="s">
        <v>2666</v>
      </c>
      <c r="N825" s="150" t="s">
        <v>2682</v>
      </c>
      <c r="O825" s="150" t="s">
        <v>2967</v>
      </c>
      <c r="P825" s="150" t="s">
        <v>4484</v>
      </c>
      <c r="Q825" s="442">
        <f>COUNTIF('Hedef Liste'!$A:$A,A825)</f>
        <v>1</v>
      </c>
    </row>
    <row r="826" hidden="1">
      <c r="A826" s="150" t="s">
        <v>3400</v>
      </c>
      <c r="B826" s="150" t="s">
        <v>1519</v>
      </c>
      <c r="C826" s="439" t="s">
        <v>4483</v>
      </c>
      <c r="D826" s="150" t="s">
        <v>2672</v>
      </c>
      <c r="E826" s="440">
        <v>52.0</v>
      </c>
      <c r="F826" s="440">
        <v>18.0</v>
      </c>
      <c r="G826" s="440">
        <v>0.0</v>
      </c>
      <c r="H826" s="440">
        <v>20.0</v>
      </c>
      <c r="I826" s="440">
        <v>20.0</v>
      </c>
      <c r="J826" s="441">
        <v>0.0</v>
      </c>
      <c r="K826" s="150" t="s">
        <v>3401</v>
      </c>
      <c r="L826" s="150">
        <v>2.222378005E9</v>
      </c>
      <c r="M826" s="150" t="s">
        <v>1450</v>
      </c>
      <c r="N826" s="150" t="s">
        <v>2776</v>
      </c>
      <c r="O826" s="150" t="s">
        <v>3402</v>
      </c>
      <c r="P826" s="150" t="s">
        <v>4484</v>
      </c>
      <c r="Q826" s="442">
        <f>COUNTIF('Hedef Liste'!$A:$A,A826)</f>
        <v>1</v>
      </c>
    </row>
    <row r="827">
      <c r="A827" s="150" t="s">
        <v>2914</v>
      </c>
      <c r="B827" s="150" t="s">
        <v>2915</v>
      </c>
      <c r="C827" s="439" t="s">
        <v>4483</v>
      </c>
      <c r="D827" s="150" t="s">
        <v>2701</v>
      </c>
      <c r="E827" s="440">
        <v>2.0</v>
      </c>
      <c r="F827" s="440">
        <v>2.0</v>
      </c>
      <c r="G827" s="440">
        <v>0.0</v>
      </c>
      <c r="H827" s="440">
        <v>30.0</v>
      </c>
      <c r="I827" s="440">
        <v>30.0</v>
      </c>
      <c r="J827" s="441">
        <v>0.0</v>
      </c>
      <c r="K827" s="150" t="s">
        <v>2916</v>
      </c>
      <c r="L827" s="150">
        <v>5.323806601E9</v>
      </c>
      <c r="M827" s="150" t="s">
        <v>2666</v>
      </c>
      <c r="N827" s="150" t="s">
        <v>2711</v>
      </c>
      <c r="O827" s="150" t="s">
        <v>2828</v>
      </c>
      <c r="P827" s="150" t="s">
        <v>4484</v>
      </c>
      <c r="Q827" s="442">
        <f>COUNTIF('Hedef Liste'!$A:$A,A827)</f>
        <v>1</v>
      </c>
    </row>
    <row r="828">
      <c r="A828" s="150" t="s">
        <v>3328</v>
      </c>
      <c r="B828" s="150" t="s">
        <v>3329</v>
      </c>
      <c r="C828" s="439" t="s">
        <v>4483</v>
      </c>
      <c r="D828" s="150" t="s">
        <v>2672</v>
      </c>
      <c r="E828" s="443"/>
      <c r="F828" s="443"/>
      <c r="G828" s="440">
        <v>0.0</v>
      </c>
      <c r="H828" s="440">
        <v>9.0</v>
      </c>
      <c r="I828" s="440">
        <v>9.0</v>
      </c>
      <c r="J828" s="441">
        <v>0.0</v>
      </c>
      <c r="K828" s="150" t="s">
        <v>3330</v>
      </c>
      <c r="L828" s="150">
        <v>5.356604615E9</v>
      </c>
      <c r="M828" s="150" t="s">
        <v>2666</v>
      </c>
      <c r="N828" s="150" t="s">
        <v>2897</v>
      </c>
      <c r="O828" s="150" t="s">
        <v>3331</v>
      </c>
      <c r="P828" s="150" t="s">
        <v>4484</v>
      </c>
      <c r="Q828" s="442">
        <f>COUNTIF('Hedef Liste'!$A:$A,A828)</f>
        <v>1</v>
      </c>
    </row>
    <row r="829" hidden="1">
      <c r="A829" s="150" t="s">
        <v>5398</v>
      </c>
      <c r="B829" s="150" t="s">
        <v>5399</v>
      </c>
      <c r="C829" s="439" t="s">
        <v>4483</v>
      </c>
      <c r="D829" s="150" t="s">
        <v>2696</v>
      </c>
      <c r="E829" s="440">
        <v>124.0</v>
      </c>
      <c r="F829" s="440">
        <v>35.0</v>
      </c>
      <c r="G829" s="440">
        <v>15.0</v>
      </c>
      <c r="H829" s="440">
        <v>0.0</v>
      </c>
      <c r="I829" s="440">
        <v>15.0</v>
      </c>
      <c r="J829" s="441">
        <v>1.0</v>
      </c>
      <c r="K829" s="150" t="s">
        <v>5341</v>
      </c>
      <c r="L829" s="150">
        <v>5.439712514E9</v>
      </c>
      <c r="M829" s="150" t="s">
        <v>2666</v>
      </c>
      <c r="N829" s="150" t="s">
        <v>3000</v>
      </c>
      <c r="O829" s="150" t="s">
        <v>4914</v>
      </c>
      <c r="P829" s="150" t="s">
        <v>4512</v>
      </c>
      <c r="Q829" s="442">
        <f>COUNTIF('Hedef Liste'!$A:$A,A829)</f>
        <v>0</v>
      </c>
    </row>
    <row r="830" hidden="1">
      <c r="A830" s="150" t="s">
        <v>2525</v>
      </c>
      <c r="B830" s="150" t="s">
        <v>2526</v>
      </c>
      <c r="C830" s="439" t="s">
        <v>4483</v>
      </c>
      <c r="D830" s="150" t="s">
        <v>2684</v>
      </c>
      <c r="E830" s="440">
        <v>76.0</v>
      </c>
      <c r="F830" s="440">
        <v>24.0</v>
      </c>
      <c r="G830" s="440">
        <v>1.0</v>
      </c>
      <c r="H830" s="440">
        <v>14.0</v>
      </c>
      <c r="I830" s="440">
        <v>15.0</v>
      </c>
      <c r="J830" s="441">
        <v>0.07</v>
      </c>
      <c r="K830" s="150" t="s">
        <v>3452</v>
      </c>
      <c r="L830" s="150">
        <v>5.367094081E9</v>
      </c>
      <c r="M830" s="150" t="s">
        <v>2666</v>
      </c>
      <c r="N830" s="150" t="s">
        <v>2682</v>
      </c>
      <c r="O830" s="150" t="s">
        <v>2528</v>
      </c>
      <c r="P830" s="150" t="s">
        <v>4484</v>
      </c>
      <c r="Q830" s="442">
        <f>COUNTIF('Hedef Liste'!$A:$A,A830)</f>
        <v>1</v>
      </c>
    </row>
    <row r="831">
      <c r="A831" s="150" t="s">
        <v>3671</v>
      </c>
      <c r="B831" s="150" t="s">
        <v>3672</v>
      </c>
      <c r="C831" s="439" t="s">
        <v>4483</v>
      </c>
      <c r="D831" s="150" t="s">
        <v>2672</v>
      </c>
      <c r="E831" s="443"/>
      <c r="F831" s="443"/>
      <c r="G831" s="440">
        <v>0.0</v>
      </c>
      <c r="H831" s="440">
        <v>47.0</v>
      </c>
      <c r="I831" s="440">
        <v>47.0</v>
      </c>
      <c r="J831" s="441">
        <v>0.0</v>
      </c>
      <c r="K831" s="150" t="s">
        <v>3673</v>
      </c>
      <c r="L831" s="150">
        <v>5.459098866E9</v>
      </c>
      <c r="M831" s="150" t="s">
        <v>2666</v>
      </c>
      <c r="N831" s="150" t="s">
        <v>3000</v>
      </c>
      <c r="O831" s="150" t="s">
        <v>3674</v>
      </c>
      <c r="P831" s="150" t="s">
        <v>4484</v>
      </c>
      <c r="Q831" s="442">
        <f>COUNTIF('Hedef Liste'!$A:$A,A831)</f>
        <v>1</v>
      </c>
    </row>
    <row r="832" hidden="1">
      <c r="A832" s="150" t="s">
        <v>2455</v>
      </c>
      <c r="B832" s="150" t="s">
        <v>2456</v>
      </c>
      <c r="C832" s="439" t="s">
        <v>4483</v>
      </c>
      <c r="D832" s="150" t="s">
        <v>2672</v>
      </c>
      <c r="E832" s="440">
        <v>2364.0</v>
      </c>
      <c r="F832" s="440">
        <v>302.0</v>
      </c>
      <c r="G832" s="440">
        <v>4.0</v>
      </c>
      <c r="H832" s="440">
        <v>24.0</v>
      </c>
      <c r="I832" s="440">
        <v>28.0</v>
      </c>
      <c r="J832" s="441">
        <v>0.14</v>
      </c>
      <c r="K832" s="150" t="s">
        <v>3832</v>
      </c>
      <c r="L832" s="150">
        <v>2.223227744E9</v>
      </c>
      <c r="M832" s="150" t="s">
        <v>2666</v>
      </c>
      <c r="N832" s="150" t="s">
        <v>2801</v>
      </c>
      <c r="O832" s="150" t="s">
        <v>2459</v>
      </c>
      <c r="P832" s="150" t="s">
        <v>4484</v>
      </c>
      <c r="Q832" s="442">
        <f>COUNTIF('Hedef Liste'!$A:$A,A832)</f>
        <v>1</v>
      </c>
    </row>
    <row r="833" hidden="1">
      <c r="A833" s="150" t="s">
        <v>2607</v>
      </c>
      <c r="B833" s="150" t="s">
        <v>2608</v>
      </c>
      <c r="C833" s="439" t="s">
        <v>4483</v>
      </c>
      <c r="D833" s="150" t="s">
        <v>2658</v>
      </c>
      <c r="E833" s="440">
        <v>78.0</v>
      </c>
      <c r="F833" s="440">
        <v>42.0</v>
      </c>
      <c r="G833" s="440">
        <v>0.0</v>
      </c>
      <c r="H833" s="440">
        <v>3.0</v>
      </c>
      <c r="I833" s="440">
        <v>3.0</v>
      </c>
      <c r="J833" s="441">
        <v>0.0</v>
      </c>
      <c r="K833" s="150" t="s">
        <v>4429</v>
      </c>
      <c r="L833" s="150">
        <v>5.342653842E9</v>
      </c>
      <c r="M833" s="150" t="s">
        <v>2666</v>
      </c>
      <c r="N833" s="150" t="s">
        <v>2667</v>
      </c>
      <c r="O833" s="150" t="s">
        <v>2610</v>
      </c>
      <c r="P833" s="150" t="s">
        <v>4484</v>
      </c>
      <c r="Q833" s="442">
        <f>COUNTIF('Hedef Liste'!$A:$A,A833)</f>
        <v>1</v>
      </c>
    </row>
    <row r="834" hidden="1">
      <c r="A834" s="150" t="s">
        <v>3631</v>
      </c>
      <c r="B834" s="150" t="s">
        <v>3632</v>
      </c>
      <c r="C834" s="439" t="s">
        <v>4483</v>
      </c>
      <c r="D834" s="150" t="s">
        <v>2751</v>
      </c>
      <c r="E834" s="440">
        <v>76.0</v>
      </c>
      <c r="F834" s="440">
        <v>46.0</v>
      </c>
      <c r="G834" s="440">
        <v>0.0</v>
      </c>
      <c r="H834" s="440">
        <v>48.0</v>
      </c>
      <c r="I834" s="440">
        <v>48.0</v>
      </c>
      <c r="J834" s="441">
        <v>0.0</v>
      </c>
      <c r="K834" s="150" t="s">
        <v>3633</v>
      </c>
      <c r="L834" s="150">
        <v>5.013359526E9</v>
      </c>
      <c r="M834" s="150" t="s">
        <v>2666</v>
      </c>
      <c r="N834" s="150" t="s">
        <v>3000</v>
      </c>
      <c r="O834" s="150" t="s">
        <v>3634</v>
      </c>
      <c r="P834" s="150" t="s">
        <v>4484</v>
      </c>
      <c r="Q834" s="442">
        <f>COUNTIF('Hedef Liste'!$A:$A,A834)</f>
        <v>1</v>
      </c>
    </row>
    <row r="835" hidden="1">
      <c r="A835" s="150" t="s">
        <v>1745</v>
      </c>
      <c r="B835" s="150" t="s">
        <v>1746</v>
      </c>
      <c r="C835" s="439" t="s">
        <v>4483</v>
      </c>
      <c r="D835" s="150" t="s">
        <v>2664</v>
      </c>
      <c r="E835" s="440">
        <v>7138.0</v>
      </c>
      <c r="F835" s="440">
        <v>532.0</v>
      </c>
      <c r="G835" s="440">
        <v>6.0</v>
      </c>
      <c r="H835" s="440">
        <v>8.0</v>
      </c>
      <c r="I835" s="440">
        <v>14.0</v>
      </c>
      <c r="J835" s="441">
        <v>0.43</v>
      </c>
      <c r="K835" s="150" t="s">
        <v>5272</v>
      </c>
      <c r="L835" s="150">
        <v>5.317341868E9</v>
      </c>
      <c r="M835" s="150" t="s">
        <v>2666</v>
      </c>
      <c r="N835" s="150" t="s">
        <v>2682</v>
      </c>
      <c r="O835" s="150" t="s">
        <v>1207</v>
      </c>
      <c r="P835" s="150" t="s">
        <v>4484</v>
      </c>
      <c r="Q835" s="442">
        <f>COUNTIF('Hedef Liste'!$A:$A,A835)</f>
        <v>1</v>
      </c>
    </row>
    <row r="836" hidden="1">
      <c r="A836" s="150" t="s">
        <v>1344</v>
      </c>
      <c r="B836" s="150" t="s">
        <v>1345</v>
      </c>
      <c r="C836" s="439" t="s">
        <v>4483</v>
      </c>
      <c r="D836" s="150" t="s">
        <v>2773</v>
      </c>
      <c r="E836" s="440">
        <v>1090.0</v>
      </c>
      <c r="F836" s="440">
        <v>48.0</v>
      </c>
      <c r="G836" s="440">
        <v>0.0</v>
      </c>
      <c r="H836" s="440">
        <v>24.0</v>
      </c>
      <c r="I836" s="440">
        <v>24.0</v>
      </c>
      <c r="J836" s="441">
        <v>0.0</v>
      </c>
      <c r="K836" s="150" t="s">
        <v>5400</v>
      </c>
      <c r="L836" s="150">
        <v>5.462345628E9</v>
      </c>
      <c r="M836" s="150" t="s">
        <v>1450</v>
      </c>
      <c r="N836" s="150" t="s">
        <v>2716</v>
      </c>
      <c r="O836" s="150" t="s">
        <v>1347</v>
      </c>
      <c r="P836" s="150" t="s">
        <v>4484</v>
      </c>
      <c r="Q836" s="442">
        <f>COUNTIF('Hedef Liste'!$A:$A,A836)</f>
        <v>1</v>
      </c>
    </row>
    <row r="837" hidden="1">
      <c r="A837" s="150" t="s">
        <v>3119</v>
      </c>
      <c r="B837" s="150" t="s">
        <v>3120</v>
      </c>
      <c r="C837" s="439" t="s">
        <v>4483</v>
      </c>
      <c r="D837" s="150" t="s">
        <v>2684</v>
      </c>
      <c r="E837" s="440">
        <v>7316.0</v>
      </c>
      <c r="F837" s="440">
        <v>392.0</v>
      </c>
      <c r="G837" s="440">
        <v>39.0</v>
      </c>
      <c r="H837" s="440">
        <v>2.0</v>
      </c>
      <c r="I837" s="440">
        <v>41.0</v>
      </c>
      <c r="J837" s="441">
        <v>0.95</v>
      </c>
      <c r="K837" s="150" t="s">
        <v>5401</v>
      </c>
      <c r="L837" s="150">
        <v>5.538437827E9</v>
      </c>
      <c r="M837" s="150" t="s">
        <v>2666</v>
      </c>
      <c r="N837" s="150" t="s">
        <v>2667</v>
      </c>
      <c r="O837" s="150" t="s">
        <v>3121</v>
      </c>
      <c r="P837" s="150" t="s">
        <v>4484</v>
      </c>
      <c r="Q837" s="442">
        <f>COUNTIF('Hedef Liste'!$A:$A,A837)</f>
        <v>1</v>
      </c>
    </row>
    <row r="838" hidden="1">
      <c r="A838" s="150" t="s">
        <v>3187</v>
      </c>
      <c r="B838" s="150" t="s">
        <v>1612</v>
      </c>
      <c r="C838" s="439" t="s">
        <v>4520</v>
      </c>
      <c r="D838" s="150" t="s">
        <v>2763</v>
      </c>
      <c r="E838" s="440">
        <v>182.0</v>
      </c>
      <c r="F838" s="443"/>
      <c r="G838" s="440">
        <v>0.0</v>
      </c>
      <c r="H838" s="440">
        <v>13.0</v>
      </c>
      <c r="I838" s="440">
        <v>13.0</v>
      </c>
      <c r="J838" s="441">
        <v>0.0</v>
      </c>
      <c r="K838" s="150" t="s">
        <v>3188</v>
      </c>
      <c r="L838" s="150">
        <v>5.306012326E9</v>
      </c>
      <c r="M838" s="150" t="s">
        <v>1450</v>
      </c>
      <c r="N838" s="150" t="s">
        <v>3189</v>
      </c>
      <c r="O838" s="150" t="s">
        <v>1360</v>
      </c>
      <c r="P838" s="150" t="s">
        <v>4484</v>
      </c>
      <c r="Q838" s="442">
        <f>COUNTIF('Hedef Liste'!$A:$A,A838)</f>
        <v>1</v>
      </c>
    </row>
    <row r="839" hidden="1">
      <c r="A839" s="150" t="s">
        <v>4381</v>
      </c>
      <c r="B839" s="150" t="s">
        <v>4382</v>
      </c>
      <c r="C839" s="439" t="s">
        <v>4483</v>
      </c>
      <c r="D839" s="150" t="s">
        <v>2904</v>
      </c>
      <c r="E839" s="440">
        <v>208.0</v>
      </c>
      <c r="F839" s="440">
        <v>5.0</v>
      </c>
      <c r="G839" s="440">
        <v>0.0</v>
      </c>
      <c r="H839" s="440">
        <v>9.0</v>
      </c>
      <c r="I839" s="440">
        <v>9.0</v>
      </c>
      <c r="J839" s="441">
        <v>0.0</v>
      </c>
      <c r="K839" s="150" t="s">
        <v>4378</v>
      </c>
      <c r="L839" s="150">
        <v>5.439706808E9</v>
      </c>
      <c r="M839" s="150" t="s">
        <v>2666</v>
      </c>
      <c r="N839" s="150" t="s">
        <v>3084</v>
      </c>
      <c r="O839" s="150" t="s">
        <v>4383</v>
      </c>
      <c r="P839" s="150" t="s">
        <v>4484</v>
      </c>
      <c r="Q839" s="442">
        <f>COUNTIF('Hedef Liste'!$A:$A,A839)</f>
        <v>1</v>
      </c>
    </row>
    <row r="840" hidden="1">
      <c r="A840" s="150" t="s">
        <v>416</v>
      </c>
      <c r="B840" s="150" t="s">
        <v>417</v>
      </c>
      <c r="C840" s="439" t="s">
        <v>4483</v>
      </c>
      <c r="D840" s="150" t="s">
        <v>2658</v>
      </c>
      <c r="E840" s="440">
        <v>8990.0</v>
      </c>
      <c r="F840" s="440">
        <v>5.0</v>
      </c>
      <c r="G840" s="440">
        <v>0.0</v>
      </c>
      <c r="H840" s="440">
        <v>9.0</v>
      </c>
      <c r="I840" s="440">
        <v>9.0</v>
      </c>
      <c r="J840" s="441">
        <v>0.0</v>
      </c>
      <c r="K840" s="150" t="s">
        <v>5402</v>
      </c>
      <c r="L840" s="150">
        <v>2.2232295E9</v>
      </c>
      <c r="M840" s="150" t="s">
        <v>2666</v>
      </c>
      <c r="N840" s="150" t="s">
        <v>2855</v>
      </c>
      <c r="O840" s="150" t="s">
        <v>407</v>
      </c>
      <c r="P840" s="150" t="s">
        <v>4484</v>
      </c>
      <c r="Q840" s="442">
        <f>COUNTIF('Hedef Liste'!$A:$A,A840)</f>
        <v>1</v>
      </c>
    </row>
    <row r="841" hidden="1">
      <c r="A841" s="150" t="s">
        <v>3460</v>
      </c>
      <c r="B841" s="150" t="s">
        <v>5403</v>
      </c>
      <c r="C841" s="439" t="s">
        <v>4483</v>
      </c>
      <c r="D841" s="150" t="s">
        <v>2763</v>
      </c>
      <c r="E841" s="440">
        <v>445.0</v>
      </c>
      <c r="F841" s="443"/>
      <c r="G841" s="440">
        <v>0.0</v>
      </c>
      <c r="H841" s="440">
        <v>12.0</v>
      </c>
      <c r="I841" s="440">
        <v>12.0</v>
      </c>
      <c r="J841" s="441">
        <v>0.0</v>
      </c>
      <c r="K841" s="150" t="s">
        <v>5404</v>
      </c>
      <c r="L841" s="150">
        <v>5.43334896E9</v>
      </c>
      <c r="M841" s="150" t="s">
        <v>1450</v>
      </c>
      <c r="N841" s="150" t="s">
        <v>2950</v>
      </c>
      <c r="O841" s="150" t="s">
        <v>2951</v>
      </c>
      <c r="P841" s="150" t="s">
        <v>4484</v>
      </c>
      <c r="Q841" s="442">
        <f>COUNTIF('Hedef Liste'!$A:$A,A841)</f>
        <v>1</v>
      </c>
    </row>
    <row r="842" hidden="1">
      <c r="A842" s="150" t="s">
        <v>3698</v>
      </c>
      <c r="B842" s="150" t="s">
        <v>3699</v>
      </c>
      <c r="C842" s="439" t="s">
        <v>4483</v>
      </c>
      <c r="D842" s="150" t="s">
        <v>2658</v>
      </c>
      <c r="E842" s="440">
        <v>554.0</v>
      </c>
      <c r="F842" s="440">
        <v>17.0</v>
      </c>
      <c r="G842" s="440">
        <v>0.0</v>
      </c>
      <c r="H842" s="440">
        <v>9.0</v>
      </c>
      <c r="I842" s="440">
        <v>9.0</v>
      </c>
      <c r="J842" s="441">
        <v>0.0</v>
      </c>
      <c r="K842" s="150" t="s">
        <v>5405</v>
      </c>
      <c r="L842" s="150">
        <v>5.4614426E9</v>
      </c>
      <c r="M842" s="150" t="s">
        <v>2666</v>
      </c>
      <c r="N842" s="150" t="s">
        <v>3000</v>
      </c>
      <c r="O842" s="150" t="s">
        <v>3700</v>
      </c>
      <c r="P842" s="150" t="s">
        <v>4484</v>
      </c>
      <c r="Q842" s="442">
        <f>COUNTIF('Hedef Liste'!$A:$A,A842)</f>
        <v>1</v>
      </c>
    </row>
    <row r="843" hidden="1">
      <c r="A843" s="150" t="s">
        <v>3759</v>
      </c>
      <c r="B843" s="150" t="s">
        <v>3760</v>
      </c>
      <c r="C843" s="439" t="s">
        <v>4483</v>
      </c>
      <c r="D843" s="150" t="s">
        <v>2658</v>
      </c>
      <c r="E843" s="440">
        <v>1983.0</v>
      </c>
      <c r="F843" s="440">
        <v>25.0</v>
      </c>
      <c r="G843" s="440">
        <v>0.0</v>
      </c>
      <c r="H843" s="440">
        <v>12.0</v>
      </c>
      <c r="I843" s="440">
        <v>12.0</v>
      </c>
      <c r="J843" s="441">
        <v>0.0</v>
      </c>
      <c r="K843" s="150" t="s">
        <v>5174</v>
      </c>
      <c r="L843" s="150">
        <v>5.4148926E9</v>
      </c>
      <c r="M843" s="150" t="s">
        <v>1450</v>
      </c>
      <c r="N843" s="150" t="s">
        <v>2795</v>
      </c>
      <c r="O843" s="150" t="s">
        <v>719</v>
      </c>
      <c r="P843" s="150" t="s">
        <v>4484</v>
      </c>
      <c r="Q843" s="442">
        <f>COUNTIF('Hedef Liste'!$A:$A,A843)</f>
        <v>1</v>
      </c>
    </row>
    <row r="844" hidden="1">
      <c r="A844" s="150" t="s">
        <v>2883</v>
      </c>
      <c r="B844" s="150" t="s">
        <v>2884</v>
      </c>
      <c r="C844" s="439" t="s">
        <v>4520</v>
      </c>
      <c r="D844" s="150" t="s">
        <v>2672</v>
      </c>
      <c r="E844" s="440">
        <v>60.0</v>
      </c>
      <c r="F844" s="443"/>
      <c r="G844" s="440">
        <v>0.0</v>
      </c>
      <c r="H844" s="440">
        <v>6.0</v>
      </c>
      <c r="I844" s="440">
        <v>6.0</v>
      </c>
      <c r="J844" s="441">
        <v>0.0</v>
      </c>
      <c r="K844" s="150" t="s">
        <v>2885</v>
      </c>
      <c r="L844" s="150">
        <v>5.456190898E9</v>
      </c>
      <c r="M844" s="150" t="s">
        <v>2666</v>
      </c>
      <c r="N844" s="150" t="s">
        <v>2809</v>
      </c>
      <c r="O844" s="150" t="s">
        <v>2886</v>
      </c>
      <c r="P844" s="150" t="s">
        <v>4484</v>
      </c>
      <c r="Q844" s="442">
        <f>COUNTIF('Hedef Liste'!$A:$A,A844)</f>
        <v>1</v>
      </c>
    </row>
    <row r="845" hidden="1">
      <c r="A845" s="150" t="s">
        <v>4058</v>
      </c>
      <c r="B845" s="150" t="s">
        <v>4059</v>
      </c>
      <c r="C845" s="439" t="s">
        <v>4483</v>
      </c>
      <c r="D845" s="150" t="s">
        <v>2850</v>
      </c>
      <c r="E845" s="440">
        <v>754.0</v>
      </c>
      <c r="F845" s="440">
        <v>309.0</v>
      </c>
      <c r="G845" s="440">
        <v>0.0</v>
      </c>
      <c r="H845" s="440">
        <v>21.0</v>
      </c>
      <c r="I845" s="440">
        <v>21.0</v>
      </c>
      <c r="J845" s="441">
        <v>0.0</v>
      </c>
      <c r="K845" s="150" t="s">
        <v>4060</v>
      </c>
      <c r="L845" s="150">
        <v>5.382743426E9</v>
      </c>
      <c r="M845" s="150" t="s">
        <v>1450</v>
      </c>
      <c r="N845" s="150" t="s">
        <v>2732</v>
      </c>
      <c r="O845" s="150" t="s">
        <v>3644</v>
      </c>
      <c r="P845" s="150" t="s">
        <v>4484</v>
      </c>
      <c r="Q845" s="442">
        <f>COUNTIF('Hedef Liste'!$A:$A,A845)</f>
        <v>1</v>
      </c>
    </row>
    <row r="846" hidden="1">
      <c r="A846" s="150" t="s">
        <v>1117</v>
      </c>
      <c r="B846" s="150" t="s">
        <v>1118</v>
      </c>
      <c r="C846" s="439" t="s">
        <v>4483</v>
      </c>
      <c r="D846" s="150" t="s">
        <v>3145</v>
      </c>
      <c r="E846" s="440">
        <v>438.0</v>
      </c>
      <c r="F846" s="443"/>
      <c r="G846" s="440">
        <v>3.0</v>
      </c>
      <c r="H846" s="440">
        <v>4.0</v>
      </c>
      <c r="I846" s="440">
        <v>7.0</v>
      </c>
      <c r="J846" s="441">
        <v>0.43</v>
      </c>
      <c r="K846" s="150" t="s">
        <v>5406</v>
      </c>
      <c r="L846" s="150">
        <v>5.449348018E9</v>
      </c>
      <c r="M846" s="150" t="s">
        <v>2666</v>
      </c>
      <c r="N846" s="150" t="s">
        <v>2721</v>
      </c>
      <c r="O846" s="150" t="s">
        <v>4009</v>
      </c>
      <c r="P846" s="150" t="s">
        <v>4484</v>
      </c>
      <c r="Q846" s="442">
        <f>COUNTIF('Hedef Liste'!$A:$A,A846)</f>
        <v>1</v>
      </c>
    </row>
    <row r="847" hidden="1">
      <c r="A847" s="150" t="s">
        <v>534</v>
      </c>
      <c r="B847" s="150" t="s">
        <v>535</v>
      </c>
      <c r="C847" s="439" t="s">
        <v>4483</v>
      </c>
      <c r="D847" s="150" t="s">
        <v>2658</v>
      </c>
      <c r="E847" s="440">
        <v>1217.0</v>
      </c>
      <c r="F847" s="440">
        <v>175.0</v>
      </c>
      <c r="G847" s="440">
        <v>3.0</v>
      </c>
      <c r="H847" s="440">
        <v>4.0</v>
      </c>
      <c r="I847" s="440">
        <v>7.0</v>
      </c>
      <c r="J847" s="441">
        <v>0.43</v>
      </c>
      <c r="K847" s="150" t="s">
        <v>4607</v>
      </c>
      <c r="L847" s="150">
        <v>2.222502101E9</v>
      </c>
      <c r="M847" s="150" t="s">
        <v>1450</v>
      </c>
      <c r="N847" s="150" t="s">
        <v>2703</v>
      </c>
      <c r="O847" s="150" t="s">
        <v>538</v>
      </c>
      <c r="P847" s="150" t="s">
        <v>4484</v>
      </c>
      <c r="Q847" s="442">
        <f>COUNTIF('Hedef Liste'!$A:$A,A847)</f>
        <v>1</v>
      </c>
    </row>
    <row r="848" hidden="1">
      <c r="A848" s="150" t="s">
        <v>524</v>
      </c>
      <c r="B848" s="150" t="s">
        <v>525</v>
      </c>
      <c r="C848" s="439" t="s">
        <v>4483</v>
      </c>
      <c r="D848" s="150" t="s">
        <v>2850</v>
      </c>
      <c r="E848" s="440">
        <v>1130.0</v>
      </c>
      <c r="F848" s="440">
        <v>6.0</v>
      </c>
      <c r="G848" s="440">
        <v>0.0</v>
      </c>
      <c r="H848" s="440">
        <v>11.0</v>
      </c>
      <c r="I848" s="440">
        <v>11.0</v>
      </c>
      <c r="J848" s="441">
        <v>0.0</v>
      </c>
      <c r="K848" s="150" t="s">
        <v>5407</v>
      </c>
      <c r="L848" s="150">
        <v>2.22239058E9</v>
      </c>
      <c r="M848" s="150" t="s">
        <v>1450</v>
      </c>
      <c r="N848" s="150" t="s">
        <v>4514</v>
      </c>
      <c r="O848" s="150" t="s">
        <v>527</v>
      </c>
      <c r="P848" s="150" t="s">
        <v>4484</v>
      </c>
      <c r="Q848" s="442">
        <f>COUNTIF('Hedef Liste'!$A:$A,A848)</f>
        <v>1</v>
      </c>
    </row>
    <row r="849" hidden="1">
      <c r="A849" s="150" t="s">
        <v>3378</v>
      </c>
      <c r="B849" s="150" t="s">
        <v>3379</v>
      </c>
      <c r="C849" s="439" t="s">
        <v>4483</v>
      </c>
      <c r="D849" s="150" t="s">
        <v>2763</v>
      </c>
      <c r="E849" s="440">
        <v>2.0</v>
      </c>
      <c r="F849" s="443"/>
      <c r="G849" s="440">
        <v>0.0</v>
      </c>
      <c r="H849" s="440">
        <v>9.0</v>
      </c>
      <c r="I849" s="440">
        <v>9.0</v>
      </c>
      <c r="J849" s="441">
        <v>0.0</v>
      </c>
      <c r="K849" s="150" t="s">
        <v>3380</v>
      </c>
      <c r="L849" s="150">
        <v>5.538525057E9</v>
      </c>
      <c r="M849" s="150" t="s">
        <v>2666</v>
      </c>
      <c r="N849" s="150" t="s">
        <v>3381</v>
      </c>
      <c r="O849" s="150" t="s">
        <v>3382</v>
      </c>
      <c r="P849" s="150" t="s">
        <v>4484</v>
      </c>
      <c r="Q849" s="442">
        <f>COUNTIF('Hedef Liste'!$A:$A,A849)</f>
        <v>1</v>
      </c>
    </row>
    <row r="850" hidden="1">
      <c r="A850" s="150" t="s">
        <v>2573</v>
      </c>
      <c r="B850" s="150" t="s">
        <v>2574</v>
      </c>
      <c r="C850" s="439" t="s">
        <v>4483</v>
      </c>
      <c r="D850" s="150" t="s">
        <v>2701</v>
      </c>
      <c r="E850" s="440">
        <v>288.0</v>
      </c>
      <c r="F850" s="440">
        <v>88.0</v>
      </c>
      <c r="G850" s="440">
        <v>3.0</v>
      </c>
      <c r="H850" s="440">
        <v>2.0</v>
      </c>
      <c r="I850" s="440">
        <v>5.0</v>
      </c>
      <c r="J850" s="441">
        <v>0.6</v>
      </c>
      <c r="K850" s="150" t="s">
        <v>3914</v>
      </c>
      <c r="L850" s="150">
        <v>5.459468643E9</v>
      </c>
      <c r="M850" s="150" t="s">
        <v>1450</v>
      </c>
      <c r="N850" s="150" t="s">
        <v>2732</v>
      </c>
      <c r="O850" s="150" t="s">
        <v>2576</v>
      </c>
      <c r="P850" s="150" t="s">
        <v>4484</v>
      </c>
      <c r="Q850" s="442">
        <f>COUNTIF('Hedef Liste'!$A:$A,A850)</f>
        <v>1</v>
      </c>
    </row>
    <row r="851" hidden="1">
      <c r="A851" s="150" t="s">
        <v>4447</v>
      </c>
      <c r="B851" s="150" t="s">
        <v>4448</v>
      </c>
      <c r="C851" s="439" t="s">
        <v>4483</v>
      </c>
      <c r="D851" s="150" t="s">
        <v>2672</v>
      </c>
      <c r="E851" s="440">
        <v>15.0</v>
      </c>
      <c r="F851" s="440">
        <v>2.0</v>
      </c>
      <c r="G851" s="440">
        <v>0.0</v>
      </c>
      <c r="H851" s="440">
        <v>11.0</v>
      </c>
      <c r="I851" s="440">
        <v>11.0</v>
      </c>
      <c r="J851" s="441">
        <v>0.0</v>
      </c>
      <c r="K851" s="150" t="s">
        <v>4449</v>
      </c>
      <c r="L851" s="150">
        <v>5.52234555E9</v>
      </c>
      <c r="M851" s="150" t="s">
        <v>1450</v>
      </c>
      <c r="N851" s="150" t="s">
        <v>2674</v>
      </c>
      <c r="O851" s="150" t="s">
        <v>4450</v>
      </c>
      <c r="P851" s="150" t="s">
        <v>4484</v>
      </c>
      <c r="Q851" s="442">
        <f>COUNTIF('Hedef Liste'!$A:$A,A851)</f>
        <v>1</v>
      </c>
    </row>
    <row r="852">
      <c r="A852" s="150" t="s">
        <v>4430</v>
      </c>
      <c r="B852" s="150" t="s">
        <v>4431</v>
      </c>
      <c r="C852" s="439" t="s">
        <v>4483</v>
      </c>
      <c r="D852" s="150" t="s">
        <v>2867</v>
      </c>
      <c r="E852" s="440">
        <v>6.0</v>
      </c>
      <c r="F852" s="440">
        <v>6.0</v>
      </c>
      <c r="G852" s="440">
        <v>0.0</v>
      </c>
      <c r="H852" s="440">
        <v>15.0</v>
      </c>
      <c r="I852" s="440">
        <v>15.0</v>
      </c>
      <c r="J852" s="441">
        <v>0.0</v>
      </c>
      <c r="K852" s="150" t="s">
        <v>4432</v>
      </c>
      <c r="L852" s="150">
        <v>5.548529011E9</v>
      </c>
      <c r="M852" s="150" t="s">
        <v>1450</v>
      </c>
      <c r="N852" s="150" t="s">
        <v>2950</v>
      </c>
      <c r="O852" s="150" t="s">
        <v>4433</v>
      </c>
      <c r="P852" s="150" t="s">
        <v>4484</v>
      </c>
      <c r="Q852" s="442">
        <f>COUNTIF('Hedef Liste'!$A:$A,A852)</f>
        <v>1</v>
      </c>
    </row>
    <row r="853" hidden="1">
      <c r="A853" s="150" t="s">
        <v>3541</v>
      </c>
      <c r="B853" s="150" t="s">
        <v>3542</v>
      </c>
      <c r="C853" s="439" t="s">
        <v>4483</v>
      </c>
      <c r="D853" s="150" t="s">
        <v>2773</v>
      </c>
      <c r="E853" s="440">
        <v>40.0</v>
      </c>
      <c r="F853" s="440">
        <v>10.0</v>
      </c>
      <c r="G853" s="440">
        <v>0.0</v>
      </c>
      <c r="H853" s="440">
        <v>10.0</v>
      </c>
      <c r="I853" s="440">
        <v>10.0</v>
      </c>
      <c r="J853" s="441">
        <v>0.0</v>
      </c>
      <c r="K853" s="150" t="s">
        <v>3543</v>
      </c>
      <c r="L853" s="150">
        <v>5.350712764E9</v>
      </c>
      <c r="M853" s="150" t="s">
        <v>2666</v>
      </c>
      <c r="N853" s="150" t="s">
        <v>3000</v>
      </c>
      <c r="O853" s="150" t="s">
        <v>3544</v>
      </c>
      <c r="P853" s="150" t="s">
        <v>4484</v>
      </c>
      <c r="Q853" s="442">
        <f>COUNTIF('Hedef Liste'!$A:$A,A853)</f>
        <v>1</v>
      </c>
    </row>
    <row r="854" hidden="1">
      <c r="A854" s="150" t="s">
        <v>2285</v>
      </c>
      <c r="B854" s="150" t="s">
        <v>2286</v>
      </c>
      <c r="C854" s="439" t="s">
        <v>4483</v>
      </c>
      <c r="D854" s="150" t="s">
        <v>2672</v>
      </c>
      <c r="E854" s="440">
        <v>3017.0</v>
      </c>
      <c r="F854" s="440">
        <v>1283.0</v>
      </c>
      <c r="G854" s="440">
        <v>3.0</v>
      </c>
      <c r="H854" s="440">
        <v>16.0</v>
      </c>
      <c r="I854" s="440">
        <v>19.0</v>
      </c>
      <c r="J854" s="441">
        <v>0.16</v>
      </c>
      <c r="K854" s="150" t="s">
        <v>3064</v>
      </c>
      <c r="L854" s="150">
        <v>2.223353516E9</v>
      </c>
      <c r="M854" s="150" t="s">
        <v>2666</v>
      </c>
      <c r="N854" s="150" t="s">
        <v>2750</v>
      </c>
      <c r="O854" s="150" t="s">
        <v>772</v>
      </c>
      <c r="P854" s="150" t="s">
        <v>4484</v>
      </c>
      <c r="Q854" s="442">
        <f>COUNTIF('Hedef Liste'!$A:$A,A854)</f>
        <v>1</v>
      </c>
    </row>
    <row r="855" hidden="1">
      <c r="A855" s="150" t="s">
        <v>1831</v>
      </c>
      <c r="B855" s="150" t="s">
        <v>1832</v>
      </c>
      <c r="C855" s="439" t="s">
        <v>4483</v>
      </c>
      <c r="D855" s="150" t="s">
        <v>2701</v>
      </c>
      <c r="E855" s="440">
        <v>56.0</v>
      </c>
      <c r="F855" s="440">
        <v>5.0</v>
      </c>
      <c r="G855" s="440">
        <v>12.0</v>
      </c>
      <c r="H855" s="440">
        <v>1.0</v>
      </c>
      <c r="I855" s="440">
        <v>13.0</v>
      </c>
      <c r="J855" s="441">
        <v>0.92</v>
      </c>
      <c r="K855" s="150" t="s">
        <v>4298</v>
      </c>
      <c r="L855" s="150">
        <v>5.382769447E9</v>
      </c>
      <c r="M855" s="150" t="s">
        <v>2666</v>
      </c>
      <c r="N855" s="150" t="s">
        <v>2682</v>
      </c>
      <c r="O855" s="150" t="s">
        <v>1834</v>
      </c>
      <c r="P855" s="150" t="s">
        <v>4484</v>
      </c>
      <c r="Q855" s="442">
        <f>COUNTIF('Hedef Liste'!$A:$A,A855)</f>
        <v>1</v>
      </c>
    </row>
    <row r="856">
      <c r="A856" s="150" t="s">
        <v>3911</v>
      </c>
      <c r="B856" s="150" t="s">
        <v>3912</v>
      </c>
      <c r="C856" s="439" t="s">
        <v>4483</v>
      </c>
      <c r="D856" s="150" t="s">
        <v>2672</v>
      </c>
      <c r="E856" s="443"/>
      <c r="F856" s="443"/>
      <c r="G856" s="440">
        <v>0.0</v>
      </c>
      <c r="H856" s="440">
        <v>7.0</v>
      </c>
      <c r="I856" s="440">
        <v>7.0</v>
      </c>
      <c r="J856" s="441">
        <v>0.0</v>
      </c>
      <c r="K856" s="150" t="s">
        <v>3719</v>
      </c>
      <c r="L856" s="150">
        <v>2.2223442E9</v>
      </c>
      <c r="M856" s="150" t="s">
        <v>1450</v>
      </c>
      <c r="N856" s="150" t="s">
        <v>2659</v>
      </c>
      <c r="O856" s="150" t="s">
        <v>3913</v>
      </c>
      <c r="P856" s="150" t="s">
        <v>4484</v>
      </c>
      <c r="Q856" s="442">
        <f>COUNTIF('Hedef Liste'!$A:$A,A856)</f>
        <v>1</v>
      </c>
    </row>
    <row r="857" hidden="1">
      <c r="A857" s="150" t="s">
        <v>2113</v>
      </c>
      <c r="B857" s="150" t="s">
        <v>5408</v>
      </c>
      <c r="C857" s="439" t="s">
        <v>4483</v>
      </c>
      <c r="D857" s="150" t="s">
        <v>2664</v>
      </c>
      <c r="E857" s="440">
        <v>545.0</v>
      </c>
      <c r="F857" s="440">
        <v>31.0</v>
      </c>
      <c r="G857" s="440">
        <v>6.0</v>
      </c>
      <c r="H857" s="440">
        <v>0.0</v>
      </c>
      <c r="I857" s="440">
        <v>6.0</v>
      </c>
      <c r="J857" s="441">
        <v>1.0</v>
      </c>
      <c r="K857" s="150" t="s">
        <v>4240</v>
      </c>
      <c r="L857" s="150">
        <v>2.222377575E9</v>
      </c>
      <c r="M857" s="150" t="s">
        <v>1450</v>
      </c>
      <c r="N857" s="150" t="s">
        <v>2795</v>
      </c>
      <c r="O857" s="150" t="s">
        <v>2116</v>
      </c>
      <c r="P857" s="150" t="s">
        <v>4484</v>
      </c>
      <c r="Q857" s="442">
        <f>COUNTIF('Hedef Liste'!$A:$A,A857)</f>
        <v>1</v>
      </c>
    </row>
    <row r="858" hidden="1">
      <c r="A858" s="150" t="s">
        <v>2738</v>
      </c>
      <c r="B858" s="150" t="s">
        <v>2739</v>
      </c>
      <c r="C858" s="439" t="s">
        <v>4483</v>
      </c>
      <c r="D858" s="150" t="s">
        <v>2658</v>
      </c>
      <c r="E858" s="440">
        <v>2.0</v>
      </c>
      <c r="F858" s="443"/>
      <c r="G858" s="440">
        <v>0.0</v>
      </c>
      <c r="H858" s="440">
        <v>4.0</v>
      </c>
      <c r="I858" s="440">
        <v>4.0</v>
      </c>
      <c r="J858" s="441">
        <v>0.0</v>
      </c>
      <c r="K858" s="150" t="s">
        <v>2740</v>
      </c>
      <c r="L858" s="150">
        <v>5.437640523E9</v>
      </c>
      <c r="M858" s="150" t="s">
        <v>1450</v>
      </c>
      <c r="N858" s="150" t="s">
        <v>2700</v>
      </c>
      <c r="O858" s="150" t="s">
        <v>2741</v>
      </c>
      <c r="P858" s="150" t="s">
        <v>4484</v>
      </c>
      <c r="Q858" s="442">
        <f>COUNTIF('Hedef Liste'!$A:$A,A858)</f>
        <v>1</v>
      </c>
    </row>
    <row r="859" hidden="1">
      <c r="A859" s="150" t="s">
        <v>70</v>
      </c>
      <c r="B859" s="150" t="s">
        <v>71</v>
      </c>
      <c r="C859" s="439" t="s">
        <v>4483</v>
      </c>
      <c r="D859" s="150" t="s">
        <v>2658</v>
      </c>
      <c r="E859" s="440">
        <v>9926.0</v>
      </c>
      <c r="F859" s="440">
        <v>169.0</v>
      </c>
      <c r="G859" s="440">
        <v>0.0</v>
      </c>
      <c r="H859" s="440">
        <v>6.0</v>
      </c>
      <c r="I859" s="440">
        <v>6.0</v>
      </c>
      <c r="J859" s="441">
        <v>0.0</v>
      </c>
      <c r="K859" s="150" t="s">
        <v>5037</v>
      </c>
      <c r="L859" s="150">
        <v>2.222255303E9</v>
      </c>
      <c r="M859" s="150" t="s">
        <v>1450</v>
      </c>
      <c r="N859" s="150" t="s">
        <v>2795</v>
      </c>
      <c r="O859" s="150" t="s">
        <v>74</v>
      </c>
      <c r="P859" s="150" t="s">
        <v>4484</v>
      </c>
      <c r="Q859" s="442">
        <f>COUNTIF('Hedef Liste'!$A:$A,A859)</f>
        <v>1</v>
      </c>
    </row>
    <row r="860" hidden="1">
      <c r="A860" s="150" t="s">
        <v>2680</v>
      </c>
      <c r="B860" s="150" t="s">
        <v>5409</v>
      </c>
      <c r="C860" s="439" t="s">
        <v>4483</v>
      </c>
      <c r="D860" s="150" t="s">
        <v>2658</v>
      </c>
      <c r="E860" s="440">
        <v>5391.0</v>
      </c>
      <c r="F860" s="440">
        <v>157.0</v>
      </c>
      <c r="G860" s="440">
        <v>6.0</v>
      </c>
      <c r="H860" s="440">
        <v>1.0</v>
      </c>
      <c r="I860" s="440">
        <v>7.0</v>
      </c>
      <c r="J860" s="441">
        <v>0.86</v>
      </c>
      <c r="K860" s="150" t="s">
        <v>5410</v>
      </c>
      <c r="L860" s="150">
        <v>5.44262614E9</v>
      </c>
      <c r="M860" s="150" t="s">
        <v>2666</v>
      </c>
      <c r="N860" s="150" t="s">
        <v>2682</v>
      </c>
      <c r="O860" s="150" t="s">
        <v>2683</v>
      </c>
      <c r="P860" s="150" t="s">
        <v>4484</v>
      </c>
      <c r="Q860" s="442">
        <f>COUNTIF('Hedef Liste'!$A:$A,A860)</f>
        <v>1</v>
      </c>
    </row>
    <row r="861" hidden="1">
      <c r="A861" s="150" t="s">
        <v>5411</v>
      </c>
      <c r="B861" s="150" t="s">
        <v>709</v>
      </c>
      <c r="C861" s="439" t="s">
        <v>4520</v>
      </c>
      <c r="D861" s="150" t="s">
        <v>2672</v>
      </c>
      <c r="E861" s="443"/>
      <c r="F861" s="443"/>
      <c r="G861" s="440">
        <v>0.0</v>
      </c>
      <c r="H861" s="440">
        <v>6.0</v>
      </c>
      <c r="I861" s="440">
        <v>6.0</v>
      </c>
      <c r="J861" s="441">
        <v>0.0</v>
      </c>
      <c r="K861" s="150" t="s">
        <v>4919</v>
      </c>
      <c r="L861" s="150">
        <v>2.2224001E9</v>
      </c>
      <c r="M861" s="150" t="s">
        <v>1450</v>
      </c>
      <c r="N861" s="150" t="s">
        <v>2659</v>
      </c>
      <c r="O861" s="150" t="s">
        <v>5412</v>
      </c>
      <c r="P861" s="150" t="s">
        <v>4484</v>
      </c>
      <c r="Q861" s="442">
        <f>COUNTIF('Hedef Liste'!$A:$A,A861)</f>
        <v>0</v>
      </c>
    </row>
    <row r="862" hidden="1">
      <c r="A862" s="150" t="s">
        <v>1602</v>
      </c>
      <c r="B862" s="150" t="s">
        <v>1603</v>
      </c>
      <c r="C862" s="439" t="s">
        <v>4520</v>
      </c>
      <c r="D862" s="150" t="s">
        <v>2701</v>
      </c>
      <c r="E862" s="440">
        <v>297.0</v>
      </c>
      <c r="F862" s="443"/>
      <c r="G862" s="440">
        <v>0.0</v>
      </c>
      <c r="H862" s="440">
        <v>10.0</v>
      </c>
      <c r="I862" s="440">
        <v>10.0</v>
      </c>
      <c r="J862" s="441">
        <v>0.0</v>
      </c>
      <c r="K862" s="150" t="s">
        <v>5413</v>
      </c>
      <c r="L862" s="150">
        <v>5.511074107E9</v>
      </c>
      <c r="M862" s="150" t="s">
        <v>2666</v>
      </c>
      <c r="N862" s="150" t="s">
        <v>2711</v>
      </c>
      <c r="O862" s="150" t="s">
        <v>1605</v>
      </c>
      <c r="P862" s="150" t="s">
        <v>4484</v>
      </c>
      <c r="Q862" s="442">
        <f>COUNTIF('Hedef Liste'!$A:$A,A862)</f>
        <v>1</v>
      </c>
    </row>
    <row r="863" hidden="1">
      <c r="A863" s="150" t="s">
        <v>2104</v>
      </c>
      <c r="B863" s="150" t="s">
        <v>2105</v>
      </c>
      <c r="C863" s="439" t="s">
        <v>4483</v>
      </c>
      <c r="D863" s="150" t="s">
        <v>2701</v>
      </c>
      <c r="E863" s="440">
        <v>132.0</v>
      </c>
      <c r="F863" s="443"/>
      <c r="G863" s="440">
        <v>0.0</v>
      </c>
      <c r="H863" s="440">
        <v>8.0</v>
      </c>
      <c r="I863" s="440">
        <v>8.0</v>
      </c>
      <c r="J863" s="441">
        <v>0.0</v>
      </c>
      <c r="K863" s="150" t="s">
        <v>3666</v>
      </c>
      <c r="L863" s="150">
        <v>5.516763032E9</v>
      </c>
      <c r="M863" s="150" t="s">
        <v>1450</v>
      </c>
      <c r="N863" s="150" t="s">
        <v>2905</v>
      </c>
      <c r="O863" s="150" t="s">
        <v>2107</v>
      </c>
      <c r="P863" s="150" t="s">
        <v>4484</v>
      </c>
      <c r="Q863" s="442">
        <f>COUNTIF('Hedef Liste'!$A:$A,A863)</f>
        <v>1</v>
      </c>
    </row>
    <row r="864" hidden="1">
      <c r="A864" s="150" t="s">
        <v>2117</v>
      </c>
      <c r="B864" s="150" t="s">
        <v>2118</v>
      </c>
      <c r="C864" s="439" t="s">
        <v>4483</v>
      </c>
      <c r="D864" s="150" t="s">
        <v>2773</v>
      </c>
      <c r="E864" s="440">
        <v>78.0</v>
      </c>
      <c r="F864" s="443"/>
      <c r="G864" s="440">
        <v>4.0</v>
      </c>
      <c r="H864" s="440">
        <v>4.0</v>
      </c>
      <c r="I864" s="440">
        <v>8.0</v>
      </c>
      <c r="J864" s="441">
        <v>0.5</v>
      </c>
      <c r="K864" s="150" t="s">
        <v>3897</v>
      </c>
      <c r="L864" s="150">
        <v>2.222258256E9</v>
      </c>
      <c r="M864" s="150" t="s">
        <v>1450</v>
      </c>
      <c r="N864" s="150" t="s">
        <v>2705</v>
      </c>
      <c r="O864" s="150" t="s">
        <v>874</v>
      </c>
      <c r="P864" s="150" t="s">
        <v>4484</v>
      </c>
      <c r="Q864" s="442">
        <f>COUNTIF('Hedef Liste'!$A:$A,A864)</f>
        <v>1</v>
      </c>
    </row>
    <row r="865" hidden="1">
      <c r="A865" s="150" t="s">
        <v>3727</v>
      </c>
      <c r="B865" s="150" t="s">
        <v>3728</v>
      </c>
      <c r="C865" s="439" t="s">
        <v>4483</v>
      </c>
      <c r="D865" s="150" t="s">
        <v>2904</v>
      </c>
      <c r="E865" s="440">
        <v>8.0</v>
      </c>
      <c r="F865" s="440">
        <v>6.0</v>
      </c>
      <c r="G865" s="440">
        <v>0.0</v>
      </c>
      <c r="H865" s="440">
        <v>5.0</v>
      </c>
      <c r="I865" s="440">
        <v>5.0</v>
      </c>
      <c r="J865" s="441">
        <v>0.0</v>
      </c>
      <c r="K865" s="150" t="s">
        <v>3729</v>
      </c>
      <c r="L865" s="150">
        <v>5.323005757E9</v>
      </c>
      <c r="M865" s="150" t="s">
        <v>2666</v>
      </c>
      <c r="N865" s="150" t="s">
        <v>2667</v>
      </c>
      <c r="O865" s="150" t="s">
        <v>3730</v>
      </c>
      <c r="P865" s="150" t="s">
        <v>4484</v>
      </c>
      <c r="Q865" s="442">
        <f>COUNTIF('Hedef Liste'!$A:$A,A865)</f>
        <v>1</v>
      </c>
    </row>
    <row r="866" hidden="1">
      <c r="A866" s="150" t="s">
        <v>3517</v>
      </c>
      <c r="B866" s="150" t="s">
        <v>3518</v>
      </c>
      <c r="C866" s="439" t="s">
        <v>4483</v>
      </c>
      <c r="D866" s="150" t="s">
        <v>5414</v>
      </c>
      <c r="E866" s="440">
        <v>10.0</v>
      </c>
      <c r="F866" s="440">
        <v>4.0</v>
      </c>
      <c r="G866" s="440">
        <v>6.0</v>
      </c>
      <c r="H866" s="440">
        <v>3.0</v>
      </c>
      <c r="I866" s="440">
        <v>9.0</v>
      </c>
      <c r="J866" s="441">
        <v>0.67</v>
      </c>
      <c r="K866" s="150" t="s">
        <v>3519</v>
      </c>
      <c r="L866" s="150">
        <v>5.525722695E9</v>
      </c>
      <c r="M866" s="150" t="s">
        <v>1450</v>
      </c>
      <c r="N866" s="150" t="s">
        <v>2700</v>
      </c>
      <c r="O866" s="150" t="s">
        <v>3520</v>
      </c>
      <c r="P866" s="150" t="s">
        <v>4484</v>
      </c>
      <c r="Q866" s="442">
        <f>COUNTIF('Hedef Liste'!$A:$A,A866)</f>
        <v>1</v>
      </c>
    </row>
    <row r="867" hidden="1">
      <c r="A867" s="150" t="s">
        <v>1801</v>
      </c>
      <c r="B867" s="150" t="s">
        <v>1802</v>
      </c>
      <c r="C867" s="439" t="s">
        <v>4483</v>
      </c>
      <c r="D867" s="150" t="s">
        <v>2736</v>
      </c>
      <c r="E867" s="440">
        <v>334.0</v>
      </c>
      <c r="F867" s="440">
        <v>27.0</v>
      </c>
      <c r="G867" s="440">
        <v>8.0</v>
      </c>
      <c r="H867" s="440">
        <v>0.0</v>
      </c>
      <c r="I867" s="440">
        <v>8.0</v>
      </c>
      <c r="J867" s="441">
        <v>1.0</v>
      </c>
      <c r="K867" s="150" t="s">
        <v>4718</v>
      </c>
      <c r="L867" s="150">
        <v>2.222217999E9</v>
      </c>
      <c r="M867" s="150" t="s">
        <v>2666</v>
      </c>
      <c r="N867" s="150" t="s">
        <v>2711</v>
      </c>
      <c r="O867" s="150" t="s">
        <v>555</v>
      </c>
      <c r="P867" s="150" t="s">
        <v>4484</v>
      </c>
      <c r="Q867" s="442">
        <f>COUNTIF('Hedef Liste'!$A:$A,A867)</f>
        <v>1</v>
      </c>
    </row>
    <row r="868">
      <c r="A868" s="150" t="s">
        <v>3695</v>
      </c>
      <c r="B868" s="150" t="s">
        <v>3696</v>
      </c>
      <c r="C868" s="439" t="s">
        <v>4483</v>
      </c>
      <c r="D868" s="150" t="s">
        <v>2664</v>
      </c>
      <c r="F868" s="443"/>
      <c r="G868" s="440">
        <v>0.0</v>
      </c>
      <c r="H868" s="440">
        <v>6.0</v>
      </c>
      <c r="I868" s="440">
        <v>6.0</v>
      </c>
      <c r="J868" s="441">
        <v>0.0</v>
      </c>
      <c r="K868" s="150" t="s">
        <v>3697</v>
      </c>
      <c r="L868" s="150">
        <v>5.528265326E9</v>
      </c>
      <c r="M868" s="150" t="s">
        <v>2666</v>
      </c>
      <c r="N868" s="150" t="s">
        <v>2667</v>
      </c>
      <c r="O868" s="150" t="s">
        <v>1975</v>
      </c>
      <c r="P868" s="150" t="s">
        <v>4484</v>
      </c>
      <c r="Q868" s="442">
        <f>COUNTIF('Hedef Liste'!$A:$A,A868)</f>
        <v>1</v>
      </c>
    </row>
    <row r="869" hidden="1">
      <c r="A869" s="150" t="s">
        <v>1636</v>
      </c>
      <c r="B869" s="150" t="s">
        <v>1637</v>
      </c>
      <c r="C869" s="439" t="s">
        <v>4483</v>
      </c>
      <c r="D869" s="150" t="s">
        <v>2658</v>
      </c>
      <c r="E869" s="440">
        <v>440.0</v>
      </c>
      <c r="F869" s="440">
        <v>42.0</v>
      </c>
      <c r="G869" s="440">
        <v>2.0</v>
      </c>
      <c r="H869" s="440">
        <v>1.0</v>
      </c>
      <c r="I869" s="440">
        <v>3.0</v>
      </c>
      <c r="J869" s="441">
        <v>0.67</v>
      </c>
      <c r="K869" s="150" t="s">
        <v>5415</v>
      </c>
      <c r="L869" s="150">
        <v>5.434232985E9</v>
      </c>
      <c r="M869" s="150" t="s">
        <v>1450</v>
      </c>
      <c r="N869" s="150" t="s">
        <v>3189</v>
      </c>
      <c r="O869" s="150" t="s">
        <v>1640</v>
      </c>
      <c r="P869" s="150" t="s">
        <v>4484</v>
      </c>
      <c r="Q869" s="442">
        <f>COUNTIF('Hedef Liste'!$A:$A,A869)</f>
        <v>1</v>
      </c>
    </row>
    <row r="870" hidden="1">
      <c r="A870" s="150" t="s">
        <v>508</v>
      </c>
      <c r="B870" s="150" t="s">
        <v>509</v>
      </c>
      <c r="C870" s="439" t="s">
        <v>4483</v>
      </c>
      <c r="D870" s="150" t="s">
        <v>2672</v>
      </c>
      <c r="E870" s="440">
        <v>2158.0</v>
      </c>
      <c r="F870" s="440">
        <v>10.0</v>
      </c>
      <c r="G870" s="440">
        <v>9.0</v>
      </c>
      <c r="H870" s="440">
        <v>1.0</v>
      </c>
      <c r="I870" s="440">
        <v>10.0</v>
      </c>
      <c r="J870" s="441">
        <v>0.9</v>
      </c>
      <c r="K870" s="150" t="s">
        <v>5416</v>
      </c>
      <c r="L870" s="150">
        <v>2.222341155E9</v>
      </c>
      <c r="M870" s="150" t="s">
        <v>1450</v>
      </c>
      <c r="N870" s="150" t="s">
        <v>2700</v>
      </c>
      <c r="O870" s="150" t="s">
        <v>511</v>
      </c>
      <c r="P870" s="150" t="s">
        <v>4484</v>
      </c>
      <c r="Q870" s="442">
        <f>COUNTIF('Hedef Liste'!$A:$A,A870)</f>
        <v>1</v>
      </c>
    </row>
    <row r="871" hidden="1">
      <c r="A871" s="150" t="s">
        <v>970</v>
      </c>
      <c r="B871" s="150" t="s">
        <v>971</v>
      </c>
      <c r="C871" s="439" t="s">
        <v>4483</v>
      </c>
      <c r="D871" s="150" t="s">
        <v>2658</v>
      </c>
      <c r="E871" s="440">
        <v>2512.0</v>
      </c>
      <c r="F871" s="440">
        <v>18.0</v>
      </c>
      <c r="G871" s="440">
        <v>2.0</v>
      </c>
      <c r="H871" s="440">
        <v>2.0</v>
      </c>
      <c r="I871" s="440">
        <v>4.0</v>
      </c>
      <c r="J871" s="441">
        <v>0.5</v>
      </c>
      <c r="K871" s="150" t="s">
        <v>4858</v>
      </c>
      <c r="L871" s="150">
        <v>5.462310037E9</v>
      </c>
      <c r="M871" s="150" t="s">
        <v>2666</v>
      </c>
      <c r="N871" s="150" t="s">
        <v>2667</v>
      </c>
      <c r="O871" s="150" t="s">
        <v>973</v>
      </c>
      <c r="P871" s="150" t="s">
        <v>4484</v>
      </c>
      <c r="Q871" s="442">
        <f>COUNTIF('Hedef Liste'!$A:$A,A871)</f>
        <v>1</v>
      </c>
    </row>
    <row r="872" hidden="1">
      <c r="A872" s="150" t="s">
        <v>2538</v>
      </c>
      <c r="B872" s="150" t="s">
        <v>2539</v>
      </c>
      <c r="C872" s="439" t="s">
        <v>4483</v>
      </c>
      <c r="D872" s="150" t="s">
        <v>2867</v>
      </c>
      <c r="E872" s="440">
        <v>76.0</v>
      </c>
      <c r="F872" s="440">
        <v>18.0</v>
      </c>
      <c r="G872" s="440">
        <v>5.0</v>
      </c>
      <c r="H872" s="440">
        <v>4.0</v>
      </c>
      <c r="I872" s="440">
        <v>9.0</v>
      </c>
      <c r="J872" s="441">
        <v>0.56</v>
      </c>
      <c r="K872" s="150" t="s">
        <v>3403</v>
      </c>
      <c r="L872" s="150">
        <v>5.013432634E9</v>
      </c>
      <c r="M872" s="150" t="s">
        <v>2666</v>
      </c>
      <c r="N872" s="150" t="s">
        <v>2774</v>
      </c>
      <c r="O872" s="150" t="s">
        <v>2541</v>
      </c>
      <c r="P872" s="150" t="s">
        <v>4484</v>
      </c>
      <c r="Q872" s="442">
        <f>COUNTIF('Hedef Liste'!$A:$A,A872)</f>
        <v>1</v>
      </c>
    </row>
    <row r="873" hidden="1">
      <c r="A873" s="150" t="s">
        <v>5417</v>
      </c>
      <c r="B873" s="150" t="s">
        <v>5418</v>
      </c>
      <c r="C873" s="439" t="s">
        <v>4483</v>
      </c>
      <c r="D873" s="150" t="s">
        <v>2773</v>
      </c>
      <c r="E873" s="440">
        <v>45.0</v>
      </c>
      <c r="F873" s="440">
        <v>7.0</v>
      </c>
      <c r="G873" s="440">
        <v>11.0</v>
      </c>
      <c r="H873" s="440">
        <v>1.0</v>
      </c>
      <c r="I873" s="440">
        <v>12.0</v>
      </c>
      <c r="J873" s="441">
        <v>0.92</v>
      </c>
      <c r="K873" s="150" t="s">
        <v>5419</v>
      </c>
      <c r="L873" s="150">
        <v>5.058168403E9</v>
      </c>
      <c r="M873" s="150" t="s">
        <v>2666</v>
      </c>
      <c r="N873" s="150" t="s">
        <v>3000</v>
      </c>
      <c r="O873" s="150" t="s">
        <v>5420</v>
      </c>
      <c r="P873" s="150" t="s">
        <v>4512</v>
      </c>
      <c r="Q873" s="442">
        <f>COUNTIF('Hedef Liste'!$A:$A,A873)</f>
        <v>0</v>
      </c>
    </row>
    <row r="874" hidden="1">
      <c r="A874" s="150" t="s">
        <v>1952</v>
      </c>
      <c r="B874" s="150" t="s">
        <v>1953</v>
      </c>
      <c r="C874" s="439" t="s">
        <v>4483</v>
      </c>
      <c r="D874" s="150" t="s">
        <v>2701</v>
      </c>
      <c r="E874" s="440">
        <v>3271.0</v>
      </c>
      <c r="F874" s="440">
        <v>134.0</v>
      </c>
      <c r="G874" s="440">
        <v>0.0</v>
      </c>
      <c r="H874" s="440">
        <v>5.0</v>
      </c>
      <c r="I874" s="440">
        <v>5.0</v>
      </c>
      <c r="J874" s="441">
        <v>0.0</v>
      </c>
      <c r="K874" s="150" t="s">
        <v>3932</v>
      </c>
      <c r="L874" s="150">
        <v>5.525441104E9</v>
      </c>
      <c r="M874" s="150" t="s">
        <v>2666</v>
      </c>
      <c r="N874" s="150" t="s">
        <v>2801</v>
      </c>
      <c r="O874" s="150" t="s">
        <v>1955</v>
      </c>
      <c r="P874" s="150" t="s">
        <v>4484</v>
      </c>
      <c r="Q874" s="442">
        <f>COUNTIF('Hedef Liste'!$A:$A,A874)</f>
        <v>1</v>
      </c>
    </row>
    <row r="875" hidden="1">
      <c r="A875" s="150" t="s">
        <v>4147</v>
      </c>
      <c r="B875" s="150" t="s">
        <v>4148</v>
      </c>
      <c r="C875" s="439" t="s">
        <v>4483</v>
      </c>
      <c r="D875" s="150" t="s">
        <v>2664</v>
      </c>
      <c r="E875" s="440">
        <v>701.0</v>
      </c>
      <c r="F875" s="440">
        <v>4.0</v>
      </c>
      <c r="G875" s="440">
        <v>0.0</v>
      </c>
      <c r="H875" s="440">
        <v>5.0</v>
      </c>
      <c r="I875" s="440">
        <v>5.0</v>
      </c>
      <c r="J875" s="441">
        <v>0.0</v>
      </c>
      <c r="K875" s="150" t="s">
        <v>5047</v>
      </c>
      <c r="L875" s="150">
        <v>2.222335353E9</v>
      </c>
      <c r="M875" s="150" t="s">
        <v>2666</v>
      </c>
      <c r="N875" s="150" t="s">
        <v>2682</v>
      </c>
      <c r="O875" s="150" t="s">
        <v>4149</v>
      </c>
      <c r="P875" s="150" t="s">
        <v>4484</v>
      </c>
      <c r="Q875" s="442">
        <f>COUNTIF('Hedef Liste'!$A:$A,A875)</f>
        <v>1</v>
      </c>
    </row>
    <row r="876">
      <c r="A876" s="150" t="s">
        <v>3853</v>
      </c>
      <c r="B876" s="150" t="s">
        <v>3854</v>
      </c>
      <c r="C876" s="439" t="s">
        <v>4483</v>
      </c>
      <c r="D876" s="150" t="s">
        <v>2672</v>
      </c>
      <c r="E876" s="440">
        <v>7.0</v>
      </c>
      <c r="F876" s="440">
        <v>7.0</v>
      </c>
      <c r="G876" s="440">
        <v>0.0</v>
      </c>
      <c r="H876" s="440">
        <v>7.0</v>
      </c>
      <c r="I876" s="440">
        <v>7.0</v>
      </c>
      <c r="J876" s="441">
        <v>0.0</v>
      </c>
      <c r="K876" s="150" t="s">
        <v>3855</v>
      </c>
      <c r="L876" s="150">
        <v>5.454174166E9</v>
      </c>
      <c r="M876" s="150" t="s">
        <v>2666</v>
      </c>
      <c r="N876" s="150" t="s">
        <v>2721</v>
      </c>
      <c r="O876" s="150" t="s">
        <v>3856</v>
      </c>
      <c r="P876" s="150" t="s">
        <v>4484</v>
      </c>
      <c r="Q876" s="442">
        <f>COUNTIF('Hedef Liste'!$A:$A,A876)</f>
        <v>1</v>
      </c>
    </row>
    <row r="877" hidden="1">
      <c r="A877" s="150" t="s">
        <v>5421</v>
      </c>
      <c r="B877" s="150" t="s">
        <v>5422</v>
      </c>
      <c r="C877" s="439" t="s">
        <v>4520</v>
      </c>
      <c r="D877" s="150" t="s">
        <v>2672</v>
      </c>
      <c r="E877" s="443"/>
      <c r="F877" s="443"/>
      <c r="G877" s="440">
        <v>0.0</v>
      </c>
      <c r="H877" s="440">
        <v>1.0</v>
      </c>
      <c r="I877" s="440">
        <v>1.0</v>
      </c>
      <c r="J877" s="441">
        <v>0.0</v>
      </c>
      <c r="K877" s="443"/>
      <c r="L877" s="150">
        <v>5.555555555E9</v>
      </c>
      <c r="M877" s="150" t="s">
        <v>2666</v>
      </c>
      <c r="N877" s="150" t="s">
        <v>2721</v>
      </c>
      <c r="O877" s="150" t="s">
        <v>5423</v>
      </c>
      <c r="P877" s="150" t="s">
        <v>4512</v>
      </c>
      <c r="Q877" s="442">
        <f>COUNTIF('Hedef Liste'!$A:$A,A877)</f>
        <v>0</v>
      </c>
    </row>
    <row r="878" hidden="1">
      <c r="A878" s="150" t="s">
        <v>4302</v>
      </c>
      <c r="B878" s="150" t="s">
        <v>4303</v>
      </c>
      <c r="C878" s="439" t="s">
        <v>4483</v>
      </c>
      <c r="D878" s="150" t="s">
        <v>2701</v>
      </c>
      <c r="E878" s="440">
        <v>396.0</v>
      </c>
      <c r="F878" s="440">
        <v>124.0</v>
      </c>
      <c r="G878" s="440">
        <v>0.0</v>
      </c>
      <c r="H878" s="440">
        <v>4.0</v>
      </c>
      <c r="I878" s="440">
        <v>4.0</v>
      </c>
      <c r="J878" s="441">
        <v>0.0</v>
      </c>
      <c r="K878" s="150" t="s">
        <v>4304</v>
      </c>
      <c r="L878" s="150">
        <v>5.074336691E9</v>
      </c>
      <c r="M878" s="150" t="s">
        <v>2666</v>
      </c>
      <c r="N878" s="150" t="s">
        <v>2667</v>
      </c>
      <c r="O878" s="150" t="s">
        <v>4305</v>
      </c>
      <c r="P878" s="150" t="s">
        <v>4484</v>
      </c>
      <c r="Q878" s="442">
        <f>COUNTIF('Hedef Liste'!$A:$A,A878)</f>
        <v>1</v>
      </c>
    </row>
    <row r="879" hidden="1">
      <c r="A879" s="150" t="s">
        <v>186</v>
      </c>
      <c r="B879" s="150" t="s">
        <v>187</v>
      </c>
      <c r="C879" s="439" t="s">
        <v>4483</v>
      </c>
      <c r="D879" s="150" t="s">
        <v>2664</v>
      </c>
      <c r="E879" s="440">
        <v>10949.0</v>
      </c>
      <c r="F879" s="440">
        <v>333.0</v>
      </c>
      <c r="G879" s="440">
        <v>3.0</v>
      </c>
      <c r="H879" s="440">
        <v>0.0</v>
      </c>
      <c r="I879" s="440">
        <v>3.0</v>
      </c>
      <c r="J879" s="441">
        <v>1.0</v>
      </c>
      <c r="K879" s="150" t="s">
        <v>5424</v>
      </c>
      <c r="L879" s="150">
        <v>5.069633604E9</v>
      </c>
      <c r="M879" s="150" t="s">
        <v>2666</v>
      </c>
      <c r="N879" s="150" t="s">
        <v>2667</v>
      </c>
      <c r="O879" s="150" t="s">
        <v>5425</v>
      </c>
      <c r="P879" s="150" t="s">
        <v>4484</v>
      </c>
      <c r="Q879" s="442">
        <f>COUNTIF('Hedef Liste'!$A:$A,A879)</f>
        <v>1</v>
      </c>
    </row>
    <row r="880" hidden="1">
      <c r="A880" s="150" t="s">
        <v>2287</v>
      </c>
      <c r="B880" s="150" t="s">
        <v>2288</v>
      </c>
      <c r="C880" s="439" t="s">
        <v>4483</v>
      </c>
      <c r="D880" s="150" t="s">
        <v>2773</v>
      </c>
      <c r="E880" s="440">
        <v>137.0</v>
      </c>
      <c r="F880" s="440">
        <v>22.0</v>
      </c>
      <c r="G880" s="440">
        <v>3.0</v>
      </c>
      <c r="H880" s="440">
        <v>0.0</v>
      </c>
      <c r="I880" s="440">
        <v>3.0</v>
      </c>
      <c r="J880" s="441">
        <v>1.0</v>
      </c>
      <c r="K880" s="150" t="s">
        <v>2775</v>
      </c>
      <c r="L880" s="150">
        <v>5.456606594E9</v>
      </c>
      <c r="M880" s="150" t="s">
        <v>1450</v>
      </c>
      <c r="N880" s="150" t="s">
        <v>2732</v>
      </c>
      <c r="O880" s="150" t="s">
        <v>1222</v>
      </c>
      <c r="P880" s="150" t="s">
        <v>4484</v>
      </c>
      <c r="Q880" s="442">
        <f>COUNTIF('Hedef Liste'!$A:$A,A880)</f>
        <v>1</v>
      </c>
    </row>
    <row r="881" hidden="1">
      <c r="A881" s="150" t="s">
        <v>3559</v>
      </c>
      <c r="B881" s="150" t="s">
        <v>3560</v>
      </c>
      <c r="C881" s="439" t="s">
        <v>4483</v>
      </c>
      <c r="D881" s="150" t="s">
        <v>3561</v>
      </c>
      <c r="E881" s="440">
        <v>93.0</v>
      </c>
      <c r="F881" s="440">
        <v>6.0</v>
      </c>
      <c r="G881" s="440">
        <v>0.0</v>
      </c>
      <c r="H881" s="440">
        <v>2.0</v>
      </c>
      <c r="I881" s="440">
        <v>2.0</v>
      </c>
      <c r="J881" s="441">
        <v>0.0</v>
      </c>
      <c r="K881" s="150" t="s">
        <v>3562</v>
      </c>
      <c r="L881" s="150">
        <v>5.333303746E9</v>
      </c>
      <c r="M881" s="150" t="s">
        <v>1450</v>
      </c>
      <c r="N881" s="150" t="s">
        <v>2950</v>
      </c>
      <c r="O881" s="150" t="s">
        <v>3563</v>
      </c>
      <c r="P881" s="150" t="s">
        <v>4484</v>
      </c>
      <c r="Q881" s="442">
        <f>COUNTIF('Hedef Liste'!$A:$A,A881)</f>
        <v>1</v>
      </c>
    </row>
    <row r="882" hidden="1">
      <c r="A882" s="150" t="s">
        <v>1890</v>
      </c>
      <c r="B882" s="150" t="s">
        <v>1891</v>
      </c>
      <c r="C882" s="439" t="s">
        <v>4483</v>
      </c>
      <c r="D882" s="150" t="s">
        <v>2701</v>
      </c>
      <c r="E882" s="440">
        <v>359.0</v>
      </c>
      <c r="F882" s="440">
        <v>34.0</v>
      </c>
      <c r="G882" s="440">
        <v>1.0</v>
      </c>
      <c r="H882" s="440">
        <v>0.0</v>
      </c>
      <c r="I882" s="440">
        <v>1.0</v>
      </c>
      <c r="J882" s="441">
        <v>1.0</v>
      </c>
      <c r="K882" s="150" t="s">
        <v>2973</v>
      </c>
      <c r="L882" s="150">
        <v>5.356001853E9</v>
      </c>
      <c r="M882" s="150" t="s">
        <v>2666</v>
      </c>
      <c r="N882" s="150" t="s">
        <v>2667</v>
      </c>
      <c r="O882" s="150" t="s">
        <v>1893</v>
      </c>
      <c r="P882" s="150" t="s">
        <v>4484</v>
      </c>
      <c r="Q882" s="442">
        <f>COUNTIF('Hedef Liste'!$A:$A,A882)</f>
        <v>1</v>
      </c>
    </row>
    <row r="883" hidden="1">
      <c r="A883" s="150" t="s">
        <v>1582</v>
      </c>
      <c r="B883" s="150" t="s">
        <v>1583</v>
      </c>
      <c r="C883" s="439" t="s">
        <v>4483</v>
      </c>
      <c r="D883" s="150" t="s">
        <v>2696</v>
      </c>
      <c r="E883" s="440">
        <v>256.0</v>
      </c>
      <c r="F883" s="440">
        <v>5.0</v>
      </c>
      <c r="G883" s="440">
        <v>5.0</v>
      </c>
      <c r="H883" s="440">
        <v>2.0</v>
      </c>
      <c r="I883" s="440">
        <v>7.0</v>
      </c>
      <c r="J883" s="441">
        <v>0.71</v>
      </c>
      <c r="K883" s="150" t="s">
        <v>5426</v>
      </c>
      <c r="L883" s="150">
        <v>2.222200992E9</v>
      </c>
      <c r="M883" s="150" t="s">
        <v>2666</v>
      </c>
      <c r="N883" s="150" t="s">
        <v>2667</v>
      </c>
      <c r="O883" s="150" t="s">
        <v>1585</v>
      </c>
      <c r="P883" s="150" t="s">
        <v>4484</v>
      </c>
      <c r="Q883" s="442">
        <f>COUNTIF('Hedef Liste'!$A:$A,A883)</f>
        <v>1</v>
      </c>
    </row>
  </sheetData>
  <autoFilter ref="$A$1:$Q$883">
    <filterColumn colId="16">
      <filters>
        <filter val="0"/>
      </filters>
    </filterColumn>
    <filterColumn colId="15">
      <filters>
        <filter val="Geleneksel"/>
      </filters>
    </filterColumn>
    <filterColumn colId="2">
      <filters>
        <filter val="DOĞRU"/>
      </filters>
    </filterColumn>
    <filterColumn colId="9">
      <filters>
        <filter val="59%"/>
        <filter val="47%"/>
        <filter val="35%"/>
        <filter val="23%"/>
        <filter val="99%"/>
        <filter val="11%"/>
        <filter val="87%"/>
        <filter val="63%"/>
        <filter val="52.00%"/>
        <filter val="87.00%"/>
        <filter val="100.00%"/>
        <filter val="48%"/>
        <filter val="36%"/>
        <filter val="12%"/>
        <filter val="64%"/>
        <filter val="40%"/>
        <filter val="92%"/>
        <filter val="80%"/>
        <filter val="38.00%"/>
        <filter val="90.00%"/>
        <filter val="2%"/>
        <filter val="97.00%"/>
        <filter val="54.00%"/>
        <filter val="49%"/>
        <filter val="37%"/>
        <filter val="25%"/>
        <filter val="13%"/>
        <filter val="89%"/>
        <filter val="77%"/>
        <filter val="65%"/>
        <filter val="41%"/>
        <filter val="93%"/>
        <filter val="81%"/>
        <filter val="3%"/>
        <filter val="31.00%"/>
        <filter val="14%"/>
        <filter val="78%"/>
        <filter val="42%"/>
        <filter val="94%"/>
        <filter val="70%"/>
        <filter val="50.00%"/>
        <filter val="39%"/>
        <filter val="27%"/>
        <filter val="15%"/>
        <filter val="67%"/>
        <filter val="55%"/>
        <filter val="31%"/>
        <filter val="95%"/>
        <filter val="83%"/>
        <filter val="71%"/>
        <filter val="88.00%"/>
        <filter val="5%"/>
        <filter val="28%"/>
        <filter val="16%"/>
        <filter val="68%"/>
        <filter val="56%"/>
        <filter val="44%"/>
        <filter val="32%"/>
        <filter val="20%"/>
        <filter val="96%"/>
        <filter val="84%"/>
        <filter val="72%"/>
        <filter val="6%"/>
        <filter val="29%"/>
        <filter val="17%"/>
        <filter val="69%"/>
        <filter val="57%"/>
        <filter val="45%"/>
        <filter val="33%"/>
        <filter val="21%"/>
        <filter val="97%"/>
        <filter val="85%"/>
        <filter val="73%"/>
        <filter val="61%"/>
        <filter val="75.00%"/>
        <filter val="7%"/>
        <filter val="0.00%"/>
        <filter val="34.00%"/>
        <filter val="58%"/>
        <filter val="47.00%"/>
        <filter val="46%"/>
        <filter val="34%"/>
        <filter val="22%"/>
        <filter val="98%"/>
        <filter val="10%"/>
        <filter val="86%"/>
        <filter val="74%"/>
        <filter val="8%"/>
        <filter val="64.00%"/>
        <filter val="90%"/>
        <filter val="0%"/>
        <filter val="19%"/>
      </filters>
    </filterColumn>
  </autoFilter>
  <mergeCells count="14">
    <mergeCell ref="D708:E708"/>
    <mergeCell ref="D716:E716"/>
    <mergeCell ref="D726:E726"/>
    <mergeCell ref="D732:E732"/>
    <mergeCell ref="D770:E770"/>
    <mergeCell ref="D791:E791"/>
    <mergeCell ref="D868:E868"/>
    <mergeCell ref="D258:E258"/>
    <mergeCell ref="D481:E481"/>
    <mergeCell ref="D500:E500"/>
    <mergeCell ref="D596:E596"/>
    <mergeCell ref="D656:E656"/>
    <mergeCell ref="D657:E657"/>
    <mergeCell ref="D695:E69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8"/>
    </row>
    <row r="2">
      <c r="A2" s="288"/>
      <c r="C2" s="445" t="s">
        <v>2734</v>
      </c>
      <c r="F2" s="149" t="s">
        <v>13</v>
      </c>
      <c r="H2" s="149" t="s">
        <v>341</v>
      </c>
    </row>
    <row r="3">
      <c r="A3" s="288"/>
      <c r="C3" s="160" t="s">
        <v>2864</v>
      </c>
      <c r="F3" s="149" t="s">
        <v>31</v>
      </c>
      <c r="H3" s="149" t="s">
        <v>841</v>
      </c>
    </row>
    <row r="4">
      <c r="A4" s="446">
        <v>44197.0</v>
      </c>
      <c r="C4" s="160" t="s">
        <v>2714</v>
      </c>
      <c r="F4" s="149" t="s">
        <v>46</v>
      </c>
      <c r="H4" s="149" t="s">
        <v>883</v>
      </c>
    </row>
    <row r="5">
      <c r="A5" s="446">
        <v>44198.0</v>
      </c>
      <c r="C5" s="160" t="s">
        <v>232</v>
      </c>
      <c r="F5" s="149" t="s">
        <v>3435</v>
      </c>
      <c r="H5" s="149" t="s">
        <v>819</v>
      </c>
    </row>
    <row r="6">
      <c r="A6" s="446">
        <v>44199.0</v>
      </c>
      <c r="C6" s="160" t="s">
        <v>2688</v>
      </c>
      <c r="F6" s="149" t="s">
        <v>1343</v>
      </c>
      <c r="H6" s="149" t="s">
        <v>943</v>
      </c>
    </row>
    <row r="7">
      <c r="A7" s="446">
        <v>44200.0</v>
      </c>
      <c r="C7" s="160" t="s">
        <v>2925</v>
      </c>
      <c r="F7" s="149" t="s">
        <v>1469</v>
      </c>
      <c r="H7" s="149" t="s">
        <v>1000</v>
      </c>
    </row>
    <row r="8">
      <c r="A8" s="446">
        <v>44201.0</v>
      </c>
      <c r="C8" s="445" t="s">
        <v>2770</v>
      </c>
      <c r="H8" s="149" t="s">
        <v>958</v>
      </c>
    </row>
    <row r="9">
      <c r="A9" s="446">
        <v>44202.0</v>
      </c>
      <c r="C9" s="160" t="s">
        <v>4472</v>
      </c>
      <c r="F9" s="447" t="s">
        <v>1621</v>
      </c>
      <c r="H9" s="149" t="s">
        <v>1754</v>
      </c>
    </row>
    <row r="10">
      <c r="A10" s="446">
        <v>44203.0</v>
      </c>
      <c r="C10" s="445" t="s">
        <v>4474</v>
      </c>
      <c r="F10" s="447" t="s">
        <v>1791</v>
      </c>
      <c r="H10" s="149" t="s">
        <v>921</v>
      </c>
    </row>
    <row r="11">
      <c r="A11" s="446">
        <v>44204.0</v>
      </c>
      <c r="C11" s="445" t="s">
        <v>4085</v>
      </c>
      <c r="F11" s="448" t="s">
        <v>819</v>
      </c>
      <c r="H11" s="149" t="s">
        <v>937</v>
      </c>
    </row>
    <row r="12">
      <c r="A12" s="446">
        <v>44205.0</v>
      </c>
      <c r="C12" s="160" t="s">
        <v>2948</v>
      </c>
      <c r="F12" s="447" t="s">
        <v>1715</v>
      </c>
      <c r="H12" s="149" t="s">
        <v>1621</v>
      </c>
    </row>
    <row r="13">
      <c r="A13" s="446">
        <v>44206.0</v>
      </c>
      <c r="C13" s="160" t="s">
        <v>2661</v>
      </c>
      <c r="F13" s="449" t="s">
        <v>1717</v>
      </c>
      <c r="H13" s="149" t="s">
        <v>945</v>
      </c>
    </row>
    <row r="14">
      <c r="A14" s="446">
        <v>44207.0</v>
      </c>
      <c r="C14" s="160" t="s">
        <v>2668</v>
      </c>
      <c r="F14" s="448" t="s">
        <v>921</v>
      </c>
      <c r="H14" s="149" t="s">
        <v>5427</v>
      </c>
    </row>
    <row r="15">
      <c r="A15" s="446">
        <v>44208.0</v>
      </c>
      <c r="C15" s="160" t="s">
        <v>2788</v>
      </c>
      <c r="F15" s="447" t="s">
        <v>943</v>
      </c>
      <c r="H15" s="149" t="s">
        <v>5428</v>
      </c>
    </row>
    <row r="16">
      <c r="A16" s="446">
        <v>44209.0</v>
      </c>
      <c r="C16" s="445" t="s">
        <v>3111</v>
      </c>
      <c r="F16" s="447" t="s">
        <v>1824</v>
      </c>
      <c r="H16" s="149" t="s">
        <v>5429</v>
      </c>
    </row>
    <row r="17">
      <c r="A17" s="446">
        <v>44210.0</v>
      </c>
      <c r="C17" s="160" t="s">
        <v>2880</v>
      </c>
      <c r="F17" s="447" t="s">
        <v>2474</v>
      </c>
      <c r="H17" s="149" t="s">
        <v>1971</v>
      </c>
    </row>
    <row r="18">
      <c r="A18" s="446">
        <v>44211.0</v>
      </c>
      <c r="C18" s="8" t="s">
        <v>2693</v>
      </c>
      <c r="F18" s="450" t="s">
        <v>2161</v>
      </c>
      <c r="H18" s="149" t="s">
        <v>5430</v>
      </c>
    </row>
    <row r="19">
      <c r="A19" s="446">
        <v>44212.0</v>
      </c>
      <c r="C19" s="445" t="s">
        <v>5431</v>
      </c>
      <c r="F19" s="451"/>
      <c r="H19" s="149" t="s">
        <v>5432</v>
      </c>
    </row>
    <row r="20">
      <c r="A20" s="446">
        <v>44213.0</v>
      </c>
      <c r="F20" s="451"/>
      <c r="H20" s="149" t="s">
        <v>5433</v>
      </c>
    </row>
    <row r="21">
      <c r="A21" s="446">
        <v>44214.0</v>
      </c>
      <c r="F21" s="451"/>
      <c r="H21" s="149" t="s">
        <v>5434</v>
      </c>
    </row>
    <row r="22">
      <c r="A22" s="446">
        <v>44215.0</v>
      </c>
      <c r="F22" s="452"/>
    </row>
    <row r="23">
      <c r="A23" s="446">
        <v>44216.0</v>
      </c>
      <c r="F23" s="453"/>
    </row>
    <row r="24">
      <c r="A24" s="446">
        <v>44217.0</v>
      </c>
      <c r="F24" s="452"/>
    </row>
    <row r="25">
      <c r="A25" s="446">
        <v>44218.0</v>
      </c>
      <c r="F25" s="453"/>
    </row>
    <row r="26">
      <c r="A26" s="446">
        <v>44219.0</v>
      </c>
      <c r="C26" s="160" t="s">
        <v>2688</v>
      </c>
      <c r="F26" s="454"/>
    </row>
    <row r="27">
      <c r="A27" s="446">
        <v>44220.0</v>
      </c>
      <c r="C27" s="160" t="s">
        <v>2669</v>
      </c>
      <c r="F27" s="454"/>
    </row>
    <row r="28">
      <c r="A28" s="446">
        <v>44221.0</v>
      </c>
      <c r="C28" s="160" t="s">
        <v>2772</v>
      </c>
      <c r="F28" s="455"/>
    </row>
    <row r="29">
      <c r="A29" s="446">
        <v>44222.0</v>
      </c>
      <c r="C29" s="160" t="s">
        <v>2693</v>
      </c>
      <c r="F29" s="456"/>
    </row>
    <row r="30">
      <c r="A30" s="446">
        <v>44223.0</v>
      </c>
      <c r="C30" s="160" t="s">
        <v>2699</v>
      </c>
      <c r="F30" s="455"/>
    </row>
    <row r="31">
      <c r="A31" s="446">
        <v>44224.0</v>
      </c>
      <c r="F31" s="456"/>
    </row>
    <row r="32">
      <c r="A32" s="446">
        <v>44225.0</v>
      </c>
      <c r="C32" s="149" t="s">
        <v>2907</v>
      </c>
      <c r="F32" s="454"/>
    </row>
    <row r="33">
      <c r="A33" s="446">
        <v>44226.0</v>
      </c>
      <c r="C33" s="149" t="s">
        <v>3373</v>
      </c>
      <c r="F33" s="454"/>
    </row>
    <row r="34">
      <c r="A34" s="446">
        <v>44227.0</v>
      </c>
      <c r="C34" s="149" t="s">
        <v>5435</v>
      </c>
      <c r="F34" s="454"/>
    </row>
    <row r="35">
      <c r="A35" s="446">
        <v>44228.0</v>
      </c>
      <c r="F35" s="160"/>
    </row>
    <row r="36">
      <c r="A36" s="446">
        <v>44229.0</v>
      </c>
    </row>
    <row r="37">
      <c r="A37" s="446">
        <v>44230.0</v>
      </c>
      <c r="C37" s="445" t="s">
        <v>5436</v>
      </c>
    </row>
    <row r="38">
      <c r="A38" s="446">
        <v>44231.0</v>
      </c>
      <c r="C38" s="8" t="s">
        <v>2714</v>
      </c>
    </row>
    <row r="39">
      <c r="A39" s="446">
        <v>44232.0</v>
      </c>
      <c r="C39" s="445" t="s">
        <v>5437</v>
      </c>
    </row>
    <row r="40">
      <c r="A40" s="446">
        <v>44233.0</v>
      </c>
      <c r="C40" s="445" t="s">
        <v>5438</v>
      </c>
    </row>
    <row r="41">
      <c r="A41" s="446">
        <v>44234.0</v>
      </c>
    </row>
    <row r="42">
      <c r="A42" s="446">
        <v>44235.0</v>
      </c>
    </row>
    <row r="43">
      <c r="A43" s="446">
        <v>44236.0</v>
      </c>
    </row>
    <row r="44">
      <c r="A44" s="446">
        <v>44237.0</v>
      </c>
    </row>
    <row r="45">
      <c r="A45" s="446">
        <v>44238.0</v>
      </c>
    </row>
    <row r="46">
      <c r="A46" s="446">
        <v>44239.0</v>
      </c>
    </row>
    <row r="47">
      <c r="A47" s="446">
        <v>44240.0</v>
      </c>
    </row>
    <row r="48">
      <c r="A48" s="446">
        <v>44241.0</v>
      </c>
    </row>
    <row r="49">
      <c r="A49" s="446">
        <v>44242.0</v>
      </c>
    </row>
    <row r="50">
      <c r="A50" s="446">
        <v>44243.0</v>
      </c>
    </row>
    <row r="51">
      <c r="A51" s="446">
        <v>44244.0</v>
      </c>
    </row>
    <row r="52">
      <c r="A52" s="446">
        <v>44245.0</v>
      </c>
    </row>
    <row r="53">
      <c r="A53" s="446">
        <v>44246.0</v>
      </c>
    </row>
    <row r="54">
      <c r="A54" s="446">
        <v>44247.0</v>
      </c>
    </row>
    <row r="55">
      <c r="A55" s="446">
        <v>44248.0</v>
      </c>
    </row>
    <row r="56">
      <c r="A56" s="446">
        <v>44249.0</v>
      </c>
    </row>
    <row r="57">
      <c r="A57" s="446">
        <v>44250.0</v>
      </c>
    </row>
    <row r="58">
      <c r="A58" s="446">
        <v>44251.0</v>
      </c>
    </row>
    <row r="59">
      <c r="A59" s="446">
        <v>44252.0</v>
      </c>
    </row>
    <row r="60">
      <c r="A60" s="446">
        <v>44253.0</v>
      </c>
    </row>
    <row r="61">
      <c r="A61" s="446">
        <v>44254.0</v>
      </c>
    </row>
    <row r="62">
      <c r="A62" s="446">
        <v>44255.0</v>
      </c>
    </row>
    <row r="63">
      <c r="A63" s="446">
        <v>44256.0</v>
      </c>
    </row>
    <row r="64">
      <c r="A64" s="446">
        <v>44257.0</v>
      </c>
    </row>
    <row r="65">
      <c r="A65" s="446">
        <v>44258.0</v>
      </c>
    </row>
    <row r="66">
      <c r="A66" s="446">
        <v>44259.0</v>
      </c>
    </row>
    <row r="67">
      <c r="A67" s="446">
        <v>44260.0</v>
      </c>
    </row>
    <row r="68">
      <c r="A68" s="446">
        <v>44261.0</v>
      </c>
    </row>
    <row r="69">
      <c r="A69" s="446">
        <v>44262.0</v>
      </c>
    </row>
    <row r="70">
      <c r="A70" s="446">
        <v>44263.0</v>
      </c>
    </row>
    <row r="71">
      <c r="A71" s="446">
        <v>44264.0</v>
      </c>
    </row>
    <row r="72">
      <c r="A72" s="446">
        <v>44265.0</v>
      </c>
    </row>
    <row r="73">
      <c r="A73" s="446">
        <v>44266.0</v>
      </c>
    </row>
    <row r="74">
      <c r="A74" s="446">
        <v>44267.0</v>
      </c>
    </row>
    <row r="75">
      <c r="A75" s="446">
        <v>44268.0</v>
      </c>
    </row>
    <row r="76">
      <c r="A76" s="446">
        <v>44269.0</v>
      </c>
    </row>
    <row r="77">
      <c r="A77" s="446">
        <v>44270.0</v>
      </c>
    </row>
    <row r="78">
      <c r="A78" s="446">
        <v>44271.0</v>
      </c>
    </row>
    <row r="79">
      <c r="A79" s="446">
        <v>44272.0</v>
      </c>
    </row>
    <row r="80">
      <c r="A80" s="446">
        <v>44273.0</v>
      </c>
    </row>
    <row r="81">
      <c r="A81" s="446">
        <v>44274.0</v>
      </c>
    </row>
    <row r="82">
      <c r="A82" s="446">
        <v>44275.0</v>
      </c>
    </row>
    <row r="83">
      <c r="A83" s="446">
        <v>44276.0</v>
      </c>
    </row>
    <row r="84">
      <c r="A84" s="446">
        <v>44277.0</v>
      </c>
    </row>
    <row r="85">
      <c r="A85" s="446">
        <v>44278.0</v>
      </c>
    </row>
    <row r="86">
      <c r="A86" s="446">
        <v>44279.0</v>
      </c>
    </row>
    <row r="87">
      <c r="A87" s="446">
        <v>44280.0</v>
      </c>
    </row>
    <row r="88">
      <c r="A88" s="446">
        <v>44281.0</v>
      </c>
    </row>
    <row r="89">
      <c r="A89" s="446">
        <v>44282.0</v>
      </c>
    </row>
    <row r="90">
      <c r="A90" s="446">
        <v>44283.0</v>
      </c>
    </row>
    <row r="91">
      <c r="A91" s="446">
        <v>44284.0</v>
      </c>
    </row>
    <row r="92">
      <c r="A92" s="446">
        <v>44285.0</v>
      </c>
    </row>
    <row r="93">
      <c r="A93" s="446">
        <v>44286.0</v>
      </c>
    </row>
    <row r="94">
      <c r="A94" s="446">
        <v>44287.0</v>
      </c>
    </row>
    <row r="95">
      <c r="A95" s="446">
        <v>44288.0</v>
      </c>
    </row>
    <row r="96">
      <c r="A96" s="446">
        <v>44289.0</v>
      </c>
    </row>
    <row r="97">
      <c r="A97" s="446">
        <v>44290.0</v>
      </c>
    </row>
    <row r="98">
      <c r="A98" s="446">
        <v>44291.0</v>
      </c>
    </row>
    <row r="99">
      <c r="A99" s="446">
        <v>44292.0</v>
      </c>
    </row>
    <row r="100">
      <c r="A100" s="446">
        <v>44293.0</v>
      </c>
    </row>
    <row r="101">
      <c r="A101" s="446">
        <v>44294.0</v>
      </c>
    </row>
    <row r="102">
      <c r="A102" s="446">
        <v>44295.0</v>
      </c>
    </row>
    <row r="103">
      <c r="A103" s="446">
        <v>44296.0</v>
      </c>
    </row>
    <row r="104">
      <c r="A104" s="446">
        <v>44297.0</v>
      </c>
    </row>
    <row r="105">
      <c r="A105" s="446">
        <v>44298.0</v>
      </c>
    </row>
    <row r="106">
      <c r="A106" s="446">
        <v>44299.0</v>
      </c>
    </row>
    <row r="107">
      <c r="A107" s="446">
        <v>44300.0</v>
      </c>
    </row>
    <row r="108">
      <c r="A108" s="446">
        <v>44301.0</v>
      </c>
    </row>
    <row r="109">
      <c r="A109" s="446">
        <v>44302.0</v>
      </c>
    </row>
    <row r="110">
      <c r="A110" s="446">
        <v>44303.0</v>
      </c>
    </row>
    <row r="111">
      <c r="A111" s="446">
        <v>44304.0</v>
      </c>
    </row>
    <row r="112">
      <c r="A112" s="446">
        <v>44305.0</v>
      </c>
    </row>
    <row r="113">
      <c r="A113" s="446">
        <v>44306.0</v>
      </c>
    </row>
    <row r="114">
      <c r="A114" s="446">
        <v>44307.0</v>
      </c>
    </row>
    <row r="115">
      <c r="A115" s="446">
        <v>44308.0</v>
      </c>
    </row>
    <row r="116">
      <c r="A116" s="446">
        <v>44309.0</v>
      </c>
    </row>
    <row r="117">
      <c r="A117" s="446">
        <v>44310.0</v>
      </c>
    </row>
    <row r="118">
      <c r="A118" s="446">
        <v>44311.0</v>
      </c>
    </row>
    <row r="119">
      <c r="A119" s="446">
        <v>44312.0</v>
      </c>
    </row>
    <row r="120">
      <c r="A120" s="446">
        <v>44313.0</v>
      </c>
    </row>
    <row r="121">
      <c r="A121" s="446">
        <v>44314.0</v>
      </c>
    </row>
    <row r="122">
      <c r="A122" s="446">
        <v>44315.0</v>
      </c>
    </row>
    <row r="123">
      <c r="A123" s="446">
        <v>44316.0</v>
      </c>
    </row>
    <row r="124">
      <c r="A124" s="446">
        <v>44317.0</v>
      </c>
    </row>
    <row r="125">
      <c r="A125" s="446">
        <v>44318.0</v>
      </c>
    </row>
    <row r="126">
      <c r="A126" s="446">
        <v>44319.0</v>
      </c>
    </row>
    <row r="127">
      <c r="A127" s="446">
        <v>44320.0</v>
      </c>
    </row>
    <row r="128">
      <c r="A128" s="446">
        <v>44321.0</v>
      </c>
    </row>
    <row r="129">
      <c r="A129" s="446">
        <v>44322.0</v>
      </c>
    </row>
    <row r="130">
      <c r="A130" s="446">
        <v>44323.0</v>
      </c>
    </row>
    <row r="131">
      <c r="A131" s="446">
        <v>44324.0</v>
      </c>
    </row>
    <row r="132">
      <c r="A132" s="446">
        <v>44325.0</v>
      </c>
    </row>
    <row r="133">
      <c r="A133" s="446">
        <v>44326.0</v>
      </c>
    </row>
    <row r="134">
      <c r="A134" s="446">
        <v>44327.0</v>
      </c>
    </row>
    <row r="135">
      <c r="A135" s="446">
        <v>44328.0</v>
      </c>
    </row>
    <row r="136">
      <c r="A136" s="446">
        <v>44329.0</v>
      </c>
    </row>
    <row r="137">
      <c r="A137" s="446">
        <v>44330.0</v>
      </c>
    </row>
    <row r="138">
      <c r="A138" s="446">
        <v>44331.0</v>
      </c>
    </row>
    <row r="139">
      <c r="A139" s="446">
        <v>44332.0</v>
      </c>
    </row>
    <row r="140">
      <c r="A140" s="446">
        <v>44333.0</v>
      </c>
    </row>
    <row r="141">
      <c r="A141" s="446">
        <v>44334.0</v>
      </c>
    </row>
    <row r="142">
      <c r="A142" s="446">
        <v>44335.0</v>
      </c>
    </row>
    <row r="143">
      <c r="A143" s="446">
        <v>44336.0</v>
      </c>
    </row>
    <row r="144">
      <c r="A144" s="446">
        <v>44337.0</v>
      </c>
    </row>
    <row r="145">
      <c r="A145" s="446">
        <v>44338.0</v>
      </c>
    </row>
    <row r="146">
      <c r="A146" s="446">
        <v>44339.0</v>
      </c>
    </row>
    <row r="147">
      <c r="A147" s="446">
        <v>44340.0</v>
      </c>
    </row>
    <row r="148">
      <c r="A148" s="446">
        <v>44341.0</v>
      </c>
    </row>
    <row r="149">
      <c r="A149" s="446">
        <v>44342.0</v>
      </c>
    </row>
    <row r="150">
      <c r="A150" s="446">
        <v>44343.0</v>
      </c>
    </row>
    <row r="151">
      <c r="A151" s="446">
        <v>44344.0</v>
      </c>
    </row>
    <row r="152">
      <c r="A152" s="446">
        <v>44345.0</v>
      </c>
    </row>
    <row r="153">
      <c r="A153" s="446">
        <v>44346.0</v>
      </c>
    </row>
    <row r="154">
      <c r="A154" s="446">
        <v>44347.0</v>
      </c>
    </row>
    <row r="155">
      <c r="A155" s="446">
        <v>44348.0</v>
      </c>
    </row>
    <row r="156">
      <c r="A156" s="446">
        <v>44349.0</v>
      </c>
    </row>
    <row r="157">
      <c r="A157" s="446">
        <v>44350.0</v>
      </c>
    </row>
    <row r="158">
      <c r="A158" s="446">
        <v>44351.0</v>
      </c>
    </row>
    <row r="159">
      <c r="A159" s="446">
        <v>44352.0</v>
      </c>
    </row>
    <row r="160">
      <c r="A160" s="446">
        <v>44353.0</v>
      </c>
    </row>
    <row r="161">
      <c r="A161" s="446">
        <v>44354.0</v>
      </c>
    </row>
    <row r="162">
      <c r="A162" s="446">
        <v>44355.0</v>
      </c>
    </row>
    <row r="163">
      <c r="A163" s="446">
        <v>44356.0</v>
      </c>
    </row>
    <row r="164">
      <c r="A164" s="446">
        <v>44357.0</v>
      </c>
    </row>
    <row r="165">
      <c r="A165" s="446">
        <v>44358.0</v>
      </c>
    </row>
    <row r="166">
      <c r="A166" s="446">
        <v>44359.0</v>
      </c>
    </row>
    <row r="167">
      <c r="A167" s="446">
        <v>44360.0</v>
      </c>
    </row>
    <row r="168">
      <c r="A168" s="446">
        <v>44361.0</v>
      </c>
    </row>
    <row r="169">
      <c r="A169" s="446">
        <v>44362.0</v>
      </c>
    </row>
    <row r="170">
      <c r="A170" s="446">
        <v>44363.0</v>
      </c>
    </row>
    <row r="171">
      <c r="A171" s="446">
        <v>44364.0</v>
      </c>
    </row>
    <row r="172">
      <c r="A172" s="446">
        <v>44365.0</v>
      </c>
    </row>
    <row r="173">
      <c r="A173" s="446">
        <v>44366.0</v>
      </c>
    </row>
    <row r="174">
      <c r="A174" s="446">
        <v>44367.0</v>
      </c>
    </row>
    <row r="175">
      <c r="A175" s="446">
        <v>44368.0</v>
      </c>
    </row>
    <row r="176">
      <c r="A176" s="446">
        <v>44369.0</v>
      </c>
    </row>
    <row r="177">
      <c r="A177" s="446">
        <v>44370.0</v>
      </c>
    </row>
    <row r="178">
      <c r="A178" s="446">
        <v>44371.0</v>
      </c>
    </row>
    <row r="179">
      <c r="A179" s="446">
        <v>44372.0</v>
      </c>
    </row>
    <row r="180">
      <c r="A180" s="446">
        <v>44373.0</v>
      </c>
    </row>
    <row r="181">
      <c r="A181" s="446">
        <v>44374.0</v>
      </c>
    </row>
    <row r="182">
      <c r="A182" s="446">
        <v>44375.0</v>
      </c>
    </row>
    <row r="183">
      <c r="A183" s="446">
        <v>44376.0</v>
      </c>
    </row>
    <row r="184">
      <c r="A184" s="446">
        <v>44377.0</v>
      </c>
    </row>
    <row r="185">
      <c r="A185" s="446">
        <v>44378.0</v>
      </c>
    </row>
    <row r="186">
      <c r="A186" s="446">
        <v>44379.0</v>
      </c>
    </row>
    <row r="187">
      <c r="A187" s="446">
        <v>44380.0</v>
      </c>
    </row>
    <row r="188">
      <c r="A188" s="446">
        <v>44381.0</v>
      </c>
    </row>
    <row r="189">
      <c r="A189" s="446">
        <v>44382.0</v>
      </c>
    </row>
    <row r="190">
      <c r="A190" s="446">
        <v>44383.0</v>
      </c>
    </row>
    <row r="191">
      <c r="A191" s="446">
        <v>44384.0</v>
      </c>
    </row>
    <row r="192">
      <c r="A192" s="446">
        <v>44385.0</v>
      </c>
    </row>
    <row r="193">
      <c r="A193" s="446">
        <v>44386.0</v>
      </c>
    </row>
    <row r="194">
      <c r="A194" s="446">
        <v>44387.0</v>
      </c>
    </row>
    <row r="195">
      <c r="A195" s="446">
        <v>44388.0</v>
      </c>
    </row>
    <row r="196">
      <c r="A196" s="446">
        <v>44389.0</v>
      </c>
    </row>
    <row r="197">
      <c r="A197" s="446">
        <v>44390.0</v>
      </c>
    </row>
    <row r="198">
      <c r="A198" s="446">
        <v>44391.0</v>
      </c>
    </row>
    <row r="199">
      <c r="A199" s="446">
        <v>44392.0</v>
      </c>
    </row>
    <row r="200">
      <c r="A200" s="446">
        <v>44393.0</v>
      </c>
    </row>
    <row r="201">
      <c r="A201" s="446">
        <v>44394.0</v>
      </c>
    </row>
    <row r="202">
      <c r="A202" s="446">
        <v>44395.0</v>
      </c>
    </row>
    <row r="203">
      <c r="A203" s="446">
        <v>44396.0</v>
      </c>
    </row>
    <row r="204">
      <c r="A204" s="446">
        <v>44397.0</v>
      </c>
    </row>
    <row r="205">
      <c r="A205" s="446">
        <v>44398.0</v>
      </c>
    </row>
    <row r="206">
      <c r="A206" s="446">
        <v>44399.0</v>
      </c>
    </row>
    <row r="207">
      <c r="A207" s="446">
        <v>44400.0</v>
      </c>
    </row>
    <row r="208">
      <c r="A208" s="446">
        <v>44401.0</v>
      </c>
    </row>
    <row r="209">
      <c r="A209" s="446">
        <v>44402.0</v>
      </c>
    </row>
    <row r="210">
      <c r="A210" s="446">
        <v>44403.0</v>
      </c>
    </row>
    <row r="211">
      <c r="A211" s="446">
        <v>44404.0</v>
      </c>
    </row>
    <row r="212">
      <c r="A212" s="446">
        <v>44405.0</v>
      </c>
    </row>
    <row r="213">
      <c r="A213" s="446">
        <v>44406.0</v>
      </c>
    </row>
    <row r="214">
      <c r="A214" s="446">
        <v>44407.0</v>
      </c>
    </row>
    <row r="215">
      <c r="A215" s="446">
        <v>44408.0</v>
      </c>
    </row>
    <row r="216">
      <c r="A216" s="446">
        <v>44409.0</v>
      </c>
    </row>
    <row r="217">
      <c r="A217" s="446">
        <v>44410.0</v>
      </c>
    </row>
    <row r="218">
      <c r="A218" s="446">
        <v>44411.0</v>
      </c>
    </row>
    <row r="219">
      <c r="A219" s="446">
        <v>44412.0</v>
      </c>
    </row>
    <row r="220">
      <c r="A220" s="446">
        <v>44413.0</v>
      </c>
    </row>
    <row r="221">
      <c r="A221" s="446">
        <v>44414.0</v>
      </c>
    </row>
    <row r="222">
      <c r="A222" s="446">
        <v>44415.0</v>
      </c>
    </row>
    <row r="223">
      <c r="A223" s="446">
        <v>44416.0</v>
      </c>
    </row>
    <row r="224">
      <c r="A224" s="446">
        <v>44417.0</v>
      </c>
    </row>
    <row r="225">
      <c r="A225" s="446">
        <v>44418.0</v>
      </c>
    </row>
    <row r="226">
      <c r="A226" s="446">
        <v>44419.0</v>
      </c>
    </row>
    <row r="227">
      <c r="A227" s="446">
        <v>44420.0</v>
      </c>
    </row>
    <row r="228">
      <c r="A228" s="446">
        <v>44421.0</v>
      </c>
    </row>
    <row r="229">
      <c r="A229" s="446">
        <v>44422.0</v>
      </c>
    </row>
    <row r="230">
      <c r="A230" s="446">
        <v>44423.0</v>
      </c>
    </row>
    <row r="231">
      <c r="A231" s="446">
        <v>44424.0</v>
      </c>
    </row>
    <row r="232">
      <c r="A232" s="446">
        <v>44425.0</v>
      </c>
    </row>
    <row r="233">
      <c r="A233" s="446">
        <v>44426.0</v>
      </c>
    </row>
    <row r="234">
      <c r="A234" s="446">
        <v>44427.0</v>
      </c>
    </row>
    <row r="235">
      <c r="A235" s="446">
        <v>44428.0</v>
      </c>
    </row>
    <row r="236">
      <c r="A236" s="446">
        <v>44429.0</v>
      </c>
    </row>
    <row r="237">
      <c r="A237" s="446">
        <v>44430.0</v>
      </c>
    </row>
    <row r="238">
      <c r="A238" s="446">
        <v>44431.0</v>
      </c>
    </row>
    <row r="239">
      <c r="A239" s="446">
        <v>44432.0</v>
      </c>
    </row>
    <row r="240">
      <c r="A240" s="446">
        <v>44433.0</v>
      </c>
    </row>
    <row r="241">
      <c r="A241" s="446">
        <v>44434.0</v>
      </c>
    </row>
    <row r="242">
      <c r="A242" s="446">
        <v>44435.0</v>
      </c>
    </row>
    <row r="243">
      <c r="A243" s="446">
        <v>44436.0</v>
      </c>
    </row>
    <row r="244">
      <c r="A244" s="446">
        <v>44437.0</v>
      </c>
    </row>
    <row r="245">
      <c r="A245" s="446">
        <v>44438.0</v>
      </c>
    </row>
    <row r="246">
      <c r="A246" s="446">
        <v>44439.0</v>
      </c>
    </row>
    <row r="247">
      <c r="A247" s="446">
        <v>44440.0</v>
      </c>
    </row>
    <row r="248">
      <c r="A248" s="446">
        <v>44441.0</v>
      </c>
    </row>
    <row r="249">
      <c r="A249" s="446">
        <v>44442.0</v>
      </c>
    </row>
    <row r="250">
      <c r="A250" s="446">
        <v>44443.0</v>
      </c>
    </row>
    <row r="251">
      <c r="A251" s="446">
        <v>44444.0</v>
      </c>
    </row>
    <row r="252">
      <c r="A252" s="446">
        <v>44445.0</v>
      </c>
    </row>
    <row r="253">
      <c r="A253" s="446">
        <v>44446.0</v>
      </c>
    </row>
    <row r="254">
      <c r="A254" s="446">
        <v>44447.0</v>
      </c>
    </row>
    <row r="255">
      <c r="A255" s="446">
        <v>44448.0</v>
      </c>
    </row>
    <row r="256">
      <c r="A256" s="446">
        <v>44449.0</v>
      </c>
    </row>
    <row r="257">
      <c r="A257" s="446">
        <v>44450.0</v>
      </c>
    </row>
    <row r="258">
      <c r="A258" s="446">
        <v>44451.0</v>
      </c>
    </row>
    <row r="259">
      <c r="A259" s="446">
        <v>44452.0</v>
      </c>
    </row>
    <row r="260">
      <c r="A260" s="446">
        <v>44453.0</v>
      </c>
    </row>
    <row r="261">
      <c r="A261" s="446">
        <v>44454.0</v>
      </c>
    </row>
    <row r="262">
      <c r="A262" s="446">
        <v>44455.0</v>
      </c>
    </row>
    <row r="263">
      <c r="A263" s="446">
        <v>44456.0</v>
      </c>
    </row>
    <row r="264">
      <c r="A264" s="446">
        <v>44457.0</v>
      </c>
    </row>
    <row r="265">
      <c r="A265" s="446">
        <v>44458.0</v>
      </c>
    </row>
    <row r="266">
      <c r="A266" s="446">
        <v>44459.0</v>
      </c>
    </row>
    <row r="267">
      <c r="A267" s="446">
        <v>44460.0</v>
      </c>
    </row>
    <row r="268">
      <c r="A268" s="446">
        <v>44461.0</v>
      </c>
    </row>
    <row r="269">
      <c r="A269" s="446">
        <v>44462.0</v>
      </c>
    </row>
    <row r="270">
      <c r="A270" s="446">
        <v>44463.0</v>
      </c>
    </row>
    <row r="271">
      <c r="A271" s="446">
        <v>44464.0</v>
      </c>
    </row>
    <row r="272">
      <c r="A272" s="446">
        <v>44465.0</v>
      </c>
    </row>
    <row r="273">
      <c r="A273" s="446">
        <v>44466.0</v>
      </c>
    </row>
    <row r="274">
      <c r="A274" s="446">
        <v>44467.0</v>
      </c>
    </row>
    <row r="275">
      <c r="A275" s="446">
        <v>44468.0</v>
      </c>
    </row>
    <row r="276">
      <c r="A276" s="446">
        <v>44469.0</v>
      </c>
    </row>
    <row r="277">
      <c r="A277" s="446">
        <v>44470.0</v>
      </c>
    </row>
    <row r="278">
      <c r="A278" s="446">
        <v>44471.0</v>
      </c>
    </row>
    <row r="279">
      <c r="A279" s="446">
        <v>44472.0</v>
      </c>
    </row>
    <row r="280">
      <c r="A280" s="446">
        <v>44473.0</v>
      </c>
    </row>
    <row r="281">
      <c r="A281" s="446">
        <v>44474.0</v>
      </c>
    </row>
    <row r="282">
      <c r="A282" s="446">
        <v>44475.0</v>
      </c>
    </row>
    <row r="283">
      <c r="A283" s="446">
        <v>44476.0</v>
      </c>
    </row>
    <row r="284">
      <c r="A284" s="446">
        <v>44477.0</v>
      </c>
    </row>
    <row r="285">
      <c r="A285" s="446">
        <v>44478.0</v>
      </c>
    </row>
    <row r="286">
      <c r="A286" s="446">
        <v>44479.0</v>
      </c>
    </row>
    <row r="287">
      <c r="A287" s="446">
        <v>44480.0</v>
      </c>
    </row>
    <row r="288">
      <c r="A288" s="446">
        <v>44481.0</v>
      </c>
    </row>
    <row r="289">
      <c r="A289" s="446">
        <v>44482.0</v>
      </c>
    </row>
    <row r="290">
      <c r="A290" s="446">
        <v>44483.0</v>
      </c>
    </row>
    <row r="291">
      <c r="A291" s="446">
        <v>44484.0</v>
      </c>
    </row>
    <row r="292">
      <c r="A292" s="446">
        <v>44485.0</v>
      </c>
    </row>
    <row r="293">
      <c r="A293" s="446">
        <v>44486.0</v>
      </c>
    </row>
    <row r="294">
      <c r="A294" s="446">
        <v>44487.0</v>
      </c>
    </row>
    <row r="295">
      <c r="A295" s="446">
        <v>44488.0</v>
      </c>
    </row>
    <row r="296">
      <c r="A296" s="446">
        <v>44489.0</v>
      </c>
    </row>
    <row r="297">
      <c r="A297" s="446">
        <v>44490.0</v>
      </c>
    </row>
    <row r="298">
      <c r="A298" s="446">
        <v>44491.0</v>
      </c>
    </row>
    <row r="299">
      <c r="A299" s="446">
        <v>44492.0</v>
      </c>
    </row>
    <row r="300">
      <c r="A300" s="446">
        <v>44493.0</v>
      </c>
    </row>
    <row r="301">
      <c r="A301" s="446">
        <v>44494.0</v>
      </c>
    </row>
    <row r="302">
      <c r="A302" s="446">
        <v>44495.0</v>
      </c>
    </row>
    <row r="303">
      <c r="A303" s="446">
        <v>44496.0</v>
      </c>
    </row>
    <row r="304">
      <c r="A304" s="446">
        <v>44497.0</v>
      </c>
    </row>
    <row r="305">
      <c r="A305" s="446">
        <v>44498.0</v>
      </c>
    </row>
    <row r="306">
      <c r="A306" s="446">
        <v>44499.0</v>
      </c>
    </row>
    <row r="307">
      <c r="A307" s="446">
        <v>44500.0</v>
      </c>
    </row>
    <row r="308">
      <c r="A308" s="446">
        <v>44501.0</v>
      </c>
    </row>
    <row r="309">
      <c r="A309" s="446">
        <v>44502.0</v>
      </c>
    </row>
    <row r="310">
      <c r="A310" s="446">
        <v>44503.0</v>
      </c>
    </row>
    <row r="311">
      <c r="A311" s="446">
        <v>44504.0</v>
      </c>
    </row>
    <row r="312">
      <c r="A312" s="446">
        <v>44505.0</v>
      </c>
    </row>
    <row r="313">
      <c r="A313" s="446">
        <v>44506.0</v>
      </c>
    </row>
    <row r="314">
      <c r="A314" s="446">
        <v>44507.0</v>
      </c>
    </row>
    <row r="315">
      <c r="A315" s="446">
        <v>44508.0</v>
      </c>
    </row>
    <row r="316">
      <c r="A316" s="446">
        <v>44509.0</v>
      </c>
    </row>
    <row r="317">
      <c r="A317" s="446">
        <v>44510.0</v>
      </c>
    </row>
    <row r="318">
      <c r="A318" s="446">
        <v>44511.0</v>
      </c>
    </row>
    <row r="319">
      <c r="A319" s="446">
        <v>44512.0</v>
      </c>
    </row>
    <row r="320">
      <c r="A320" s="446">
        <v>44513.0</v>
      </c>
    </row>
    <row r="321">
      <c r="A321" s="446">
        <v>44514.0</v>
      </c>
    </row>
    <row r="322">
      <c r="A322" s="446">
        <v>44515.0</v>
      </c>
    </row>
    <row r="323">
      <c r="A323" s="446">
        <v>44516.0</v>
      </c>
    </row>
    <row r="324">
      <c r="A324" s="446">
        <v>44517.0</v>
      </c>
    </row>
    <row r="325">
      <c r="A325" s="446">
        <v>44518.0</v>
      </c>
    </row>
    <row r="326">
      <c r="A326" s="446">
        <v>44519.0</v>
      </c>
    </row>
    <row r="327">
      <c r="A327" s="446">
        <v>44520.0</v>
      </c>
    </row>
    <row r="328">
      <c r="A328" s="446">
        <v>44521.0</v>
      </c>
    </row>
    <row r="329">
      <c r="A329" s="446">
        <v>44522.0</v>
      </c>
    </row>
    <row r="330">
      <c r="A330" s="446">
        <v>44523.0</v>
      </c>
    </row>
    <row r="331">
      <c r="A331" s="446">
        <v>44524.0</v>
      </c>
    </row>
    <row r="332">
      <c r="A332" s="446">
        <v>44525.0</v>
      </c>
    </row>
    <row r="333">
      <c r="A333" s="446">
        <v>44526.0</v>
      </c>
    </row>
    <row r="334">
      <c r="A334" s="446">
        <v>44527.0</v>
      </c>
    </row>
    <row r="335">
      <c r="A335" s="446">
        <v>44528.0</v>
      </c>
    </row>
    <row r="336">
      <c r="A336" s="446">
        <v>44529.0</v>
      </c>
    </row>
    <row r="337">
      <c r="A337" s="446">
        <v>44530.0</v>
      </c>
    </row>
    <row r="338">
      <c r="A338" s="446">
        <v>44531.0</v>
      </c>
    </row>
    <row r="339">
      <c r="A339" s="446">
        <v>44532.0</v>
      </c>
    </row>
    <row r="340">
      <c r="A340" s="446">
        <v>44533.0</v>
      </c>
    </row>
    <row r="341">
      <c r="A341" s="446">
        <v>44534.0</v>
      </c>
    </row>
    <row r="342">
      <c r="A342" s="446">
        <v>44535.0</v>
      </c>
    </row>
    <row r="343">
      <c r="A343" s="446">
        <v>44536.0</v>
      </c>
    </row>
    <row r="344">
      <c r="A344" s="446">
        <v>44537.0</v>
      </c>
    </row>
    <row r="345">
      <c r="A345" s="446">
        <v>44538.0</v>
      </c>
    </row>
    <row r="346">
      <c r="A346" s="446">
        <v>44539.0</v>
      </c>
    </row>
    <row r="347">
      <c r="A347" s="446">
        <v>44540.0</v>
      </c>
    </row>
    <row r="348">
      <c r="A348" s="446">
        <v>44541.0</v>
      </c>
    </row>
    <row r="349">
      <c r="A349" s="446">
        <v>44542.0</v>
      </c>
    </row>
    <row r="350">
      <c r="A350" s="446">
        <v>44543.0</v>
      </c>
    </row>
    <row r="351">
      <c r="A351" s="446">
        <v>44544.0</v>
      </c>
    </row>
    <row r="352">
      <c r="A352" s="446">
        <v>44545.0</v>
      </c>
    </row>
    <row r="353">
      <c r="A353" s="446">
        <v>44546.0</v>
      </c>
    </row>
    <row r="354">
      <c r="A354" s="446">
        <v>44547.0</v>
      </c>
    </row>
    <row r="355">
      <c r="A355" s="446">
        <v>44548.0</v>
      </c>
    </row>
    <row r="356">
      <c r="A356" s="446">
        <v>44549.0</v>
      </c>
    </row>
    <row r="357">
      <c r="A357" s="446">
        <v>44550.0</v>
      </c>
    </row>
    <row r="358">
      <c r="A358" s="446">
        <v>44551.0</v>
      </c>
    </row>
    <row r="359">
      <c r="A359" s="446">
        <v>44552.0</v>
      </c>
    </row>
    <row r="360">
      <c r="A360" s="446">
        <v>44553.0</v>
      </c>
    </row>
    <row r="361">
      <c r="A361" s="446">
        <v>44554.0</v>
      </c>
    </row>
    <row r="362">
      <c r="A362" s="446">
        <v>44555.0</v>
      </c>
    </row>
    <row r="363">
      <c r="A363" s="446">
        <v>44556.0</v>
      </c>
    </row>
    <row r="364">
      <c r="A364" s="446">
        <v>44557.0</v>
      </c>
    </row>
    <row r="365">
      <c r="A365" s="446">
        <v>44558.0</v>
      </c>
    </row>
    <row r="366">
      <c r="A366" s="446">
        <v>44559.0</v>
      </c>
    </row>
    <row r="367">
      <c r="A367" s="446">
        <v>44560.0</v>
      </c>
    </row>
    <row r="368">
      <c r="A368" s="446">
        <v>44561.0</v>
      </c>
    </row>
    <row r="369">
      <c r="A369" s="446">
        <v>44562.0</v>
      </c>
    </row>
    <row r="370">
      <c r="A370" s="446">
        <v>44563.0</v>
      </c>
    </row>
    <row r="371">
      <c r="A371" s="446">
        <v>44564.0</v>
      </c>
    </row>
    <row r="372">
      <c r="A372" s="446">
        <v>44565.0</v>
      </c>
    </row>
    <row r="373">
      <c r="A373" s="446">
        <v>44566.0</v>
      </c>
    </row>
    <row r="374">
      <c r="A374" s="446">
        <v>44567.0</v>
      </c>
    </row>
    <row r="375">
      <c r="A375" s="446">
        <v>44568.0</v>
      </c>
    </row>
    <row r="376">
      <c r="A376" s="446">
        <v>44569.0</v>
      </c>
    </row>
    <row r="377">
      <c r="A377" s="446">
        <v>44570.0</v>
      </c>
    </row>
    <row r="378">
      <c r="A378" s="446">
        <v>44571.0</v>
      </c>
    </row>
    <row r="379">
      <c r="A379" s="446">
        <v>44572.0</v>
      </c>
    </row>
    <row r="380">
      <c r="A380" s="446">
        <v>44573.0</v>
      </c>
    </row>
    <row r="381">
      <c r="A381" s="446">
        <v>44574.0</v>
      </c>
    </row>
    <row r="382">
      <c r="A382" s="446">
        <v>44575.0</v>
      </c>
    </row>
    <row r="383">
      <c r="A383" s="446">
        <v>44576.0</v>
      </c>
    </row>
    <row r="384">
      <c r="A384" s="446">
        <v>44577.0</v>
      </c>
    </row>
    <row r="385">
      <c r="A385" s="446">
        <v>44578.0</v>
      </c>
    </row>
    <row r="386">
      <c r="A386" s="446">
        <v>44579.0</v>
      </c>
    </row>
    <row r="387">
      <c r="A387" s="446">
        <v>44580.0</v>
      </c>
    </row>
    <row r="388">
      <c r="A388" s="446">
        <v>44581.0</v>
      </c>
    </row>
    <row r="389">
      <c r="A389" s="446">
        <v>44582.0</v>
      </c>
    </row>
    <row r="390">
      <c r="A390" s="446">
        <v>44583.0</v>
      </c>
    </row>
    <row r="391">
      <c r="A391" s="446">
        <v>44584.0</v>
      </c>
    </row>
    <row r="392">
      <c r="A392" s="446">
        <v>44585.0</v>
      </c>
    </row>
    <row r="393">
      <c r="A393" s="446">
        <v>44586.0</v>
      </c>
    </row>
    <row r="394">
      <c r="A394" s="446">
        <v>44587.0</v>
      </c>
    </row>
    <row r="395">
      <c r="A395" s="446">
        <v>44588.0</v>
      </c>
    </row>
    <row r="396">
      <c r="A396" s="446">
        <v>44589.0</v>
      </c>
    </row>
    <row r="397">
      <c r="A397" s="446">
        <v>44590.0</v>
      </c>
    </row>
    <row r="398">
      <c r="A398" s="446">
        <v>44591.0</v>
      </c>
    </row>
    <row r="399">
      <c r="A399" s="446">
        <v>44592.0</v>
      </c>
    </row>
    <row r="400">
      <c r="A400" s="446">
        <v>44593.0</v>
      </c>
    </row>
    <row r="401">
      <c r="A401" s="446">
        <v>44594.0</v>
      </c>
    </row>
    <row r="402">
      <c r="A402" s="446">
        <v>44595.0</v>
      </c>
    </row>
    <row r="403">
      <c r="A403" s="446">
        <v>44596.0</v>
      </c>
    </row>
    <row r="404">
      <c r="A404" s="446">
        <v>44597.0</v>
      </c>
    </row>
    <row r="405">
      <c r="A405" s="446">
        <v>44598.0</v>
      </c>
    </row>
    <row r="406">
      <c r="A406" s="446">
        <v>44599.0</v>
      </c>
    </row>
    <row r="407">
      <c r="A407" s="446">
        <v>44600.0</v>
      </c>
    </row>
    <row r="408">
      <c r="A408" s="446">
        <v>44601.0</v>
      </c>
    </row>
    <row r="409">
      <c r="A409" s="446">
        <v>44602.0</v>
      </c>
    </row>
    <row r="410">
      <c r="A410" s="446">
        <v>44603.0</v>
      </c>
    </row>
    <row r="411">
      <c r="A411" s="446">
        <v>44604.0</v>
      </c>
    </row>
    <row r="412">
      <c r="A412" s="446">
        <v>44605.0</v>
      </c>
    </row>
    <row r="413">
      <c r="A413" s="446">
        <v>44606.0</v>
      </c>
    </row>
    <row r="414">
      <c r="A414" s="446">
        <v>44607.0</v>
      </c>
    </row>
    <row r="415">
      <c r="A415" s="446">
        <v>44608.0</v>
      </c>
    </row>
    <row r="416">
      <c r="A416" s="446">
        <v>44609.0</v>
      </c>
    </row>
    <row r="417">
      <c r="A417" s="446">
        <v>44610.0</v>
      </c>
    </row>
    <row r="418">
      <c r="A418" s="446">
        <v>44611.0</v>
      </c>
    </row>
    <row r="419">
      <c r="A419" s="446">
        <v>44612.0</v>
      </c>
    </row>
    <row r="420">
      <c r="A420" s="446">
        <v>44613.0</v>
      </c>
    </row>
    <row r="421">
      <c r="A421" s="446">
        <v>44614.0</v>
      </c>
    </row>
    <row r="422">
      <c r="A422" s="446">
        <v>44615.0</v>
      </c>
    </row>
    <row r="423">
      <c r="A423" s="446">
        <v>44616.0</v>
      </c>
    </row>
    <row r="424">
      <c r="A424" s="446">
        <v>44617.0</v>
      </c>
    </row>
    <row r="425">
      <c r="A425" s="446">
        <v>44618.0</v>
      </c>
    </row>
    <row r="426">
      <c r="A426" s="446">
        <v>44619.0</v>
      </c>
    </row>
    <row r="427">
      <c r="A427" s="446">
        <v>44620.0</v>
      </c>
    </row>
    <row r="428">
      <c r="A428" s="446">
        <v>44621.0</v>
      </c>
    </row>
    <row r="429">
      <c r="A429" s="446">
        <v>44622.0</v>
      </c>
    </row>
    <row r="430">
      <c r="A430" s="446">
        <v>44623.0</v>
      </c>
    </row>
    <row r="431">
      <c r="A431" s="446">
        <v>44624.0</v>
      </c>
    </row>
    <row r="432">
      <c r="A432" s="446">
        <v>44625.0</v>
      </c>
    </row>
    <row r="433">
      <c r="A433" s="446">
        <v>44626.0</v>
      </c>
    </row>
    <row r="434">
      <c r="A434" s="446">
        <v>44627.0</v>
      </c>
    </row>
    <row r="435">
      <c r="A435" s="446">
        <v>44628.0</v>
      </c>
    </row>
    <row r="436">
      <c r="A436" s="446">
        <v>44629.0</v>
      </c>
    </row>
    <row r="437">
      <c r="A437" s="446">
        <v>44630.0</v>
      </c>
    </row>
    <row r="438">
      <c r="A438" s="446">
        <v>44631.0</v>
      </c>
    </row>
    <row r="439">
      <c r="A439" s="446">
        <v>44632.0</v>
      </c>
    </row>
    <row r="440">
      <c r="A440" s="446">
        <v>44633.0</v>
      </c>
    </row>
    <row r="441">
      <c r="A441" s="446">
        <v>44634.0</v>
      </c>
    </row>
    <row r="442">
      <c r="A442" s="446">
        <v>44635.0</v>
      </c>
    </row>
    <row r="443">
      <c r="A443" s="446">
        <v>44636.0</v>
      </c>
    </row>
    <row r="444">
      <c r="A444" s="446">
        <v>44637.0</v>
      </c>
    </row>
    <row r="445">
      <c r="A445" s="446">
        <v>44638.0</v>
      </c>
    </row>
    <row r="446">
      <c r="A446" s="446">
        <v>44639.0</v>
      </c>
    </row>
    <row r="447">
      <c r="A447" s="446">
        <v>44640.0</v>
      </c>
    </row>
    <row r="448">
      <c r="A448" s="446">
        <v>44641.0</v>
      </c>
    </row>
    <row r="449">
      <c r="A449" s="446">
        <v>44642.0</v>
      </c>
    </row>
    <row r="450">
      <c r="A450" s="446">
        <v>44643.0</v>
      </c>
    </row>
    <row r="451">
      <c r="A451" s="446">
        <v>44644.0</v>
      </c>
    </row>
    <row r="452">
      <c r="A452" s="446">
        <v>44645.0</v>
      </c>
    </row>
    <row r="453">
      <c r="A453" s="446">
        <v>44646.0</v>
      </c>
    </row>
    <row r="454">
      <c r="A454" s="446">
        <v>44647.0</v>
      </c>
    </row>
    <row r="455">
      <c r="A455" s="446">
        <v>44648.0</v>
      </c>
    </row>
    <row r="456">
      <c r="A456" s="446">
        <v>44649.0</v>
      </c>
    </row>
    <row r="457">
      <c r="A457" s="446">
        <v>44650.0</v>
      </c>
    </row>
    <row r="458">
      <c r="A458" s="446">
        <v>44651.0</v>
      </c>
    </row>
    <row r="459">
      <c r="A459" s="446">
        <v>44652.0</v>
      </c>
    </row>
    <row r="460">
      <c r="A460" s="446">
        <v>44653.0</v>
      </c>
    </row>
    <row r="461">
      <c r="A461" s="446">
        <v>44654.0</v>
      </c>
    </row>
    <row r="462">
      <c r="A462" s="446">
        <v>44655.0</v>
      </c>
    </row>
    <row r="463">
      <c r="A463" s="446">
        <v>44656.0</v>
      </c>
    </row>
    <row r="464">
      <c r="A464" s="446">
        <v>44657.0</v>
      </c>
    </row>
    <row r="465">
      <c r="A465" s="446">
        <v>44658.0</v>
      </c>
    </row>
    <row r="466">
      <c r="A466" s="446">
        <v>44659.0</v>
      </c>
    </row>
    <row r="467">
      <c r="A467" s="446">
        <v>44660.0</v>
      </c>
    </row>
    <row r="468">
      <c r="A468" s="446">
        <v>44661.0</v>
      </c>
    </row>
    <row r="469">
      <c r="A469" s="446">
        <v>44662.0</v>
      </c>
    </row>
    <row r="470">
      <c r="A470" s="446">
        <v>44663.0</v>
      </c>
    </row>
    <row r="471">
      <c r="A471" s="446">
        <v>44664.0</v>
      </c>
    </row>
    <row r="472">
      <c r="A472" s="446">
        <v>44665.0</v>
      </c>
    </row>
    <row r="473">
      <c r="A473" s="446">
        <v>44666.0</v>
      </c>
    </row>
    <row r="474">
      <c r="A474" s="446">
        <v>44667.0</v>
      </c>
    </row>
    <row r="475">
      <c r="A475" s="446">
        <v>44668.0</v>
      </c>
    </row>
    <row r="476">
      <c r="A476" s="446">
        <v>44669.0</v>
      </c>
    </row>
    <row r="477">
      <c r="A477" s="446">
        <v>44670.0</v>
      </c>
    </row>
    <row r="478">
      <c r="A478" s="446">
        <v>44671.0</v>
      </c>
    </row>
    <row r="479">
      <c r="A479" s="446">
        <v>44672.0</v>
      </c>
    </row>
    <row r="480">
      <c r="A480" s="446">
        <v>44673.0</v>
      </c>
    </row>
    <row r="481">
      <c r="A481" s="446">
        <v>44674.0</v>
      </c>
    </row>
    <row r="482">
      <c r="A482" s="446">
        <v>44675.0</v>
      </c>
    </row>
    <row r="483">
      <c r="A483" s="446">
        <v>44676.0</v>
      </c>
    </row>
    <row r="484">
      <c r="A484" s="446">
        <v>44677.0</v>
      </c>
    </row>
    <row r="485">
      <c r="A485" s="446">
        <v>44678.0</v>
      </c>
    </row>
    <row r="486">
      <c r="A486" s="446">
        <v>44679.0</v>
      </c>
    </row>
    <row r="487">
      <c r="A487" s="446">
        <v>44680.0</v>
      </c>
    </row>
    <row r="488">
      <c r="A488" s="446">
        <v>44681.0</v>
      </c>
    </row>
    <row r="489">
      <c r="A489" s="446">
        <v>44682.0</v>
      </c>
    </row>
    <row r="490">
      <c r="A490" s="446">
        <v>44683.0</v>
      </c>
    </row>
    <row r="491">
      <c r="A491" s="446">
        <v>44684.0</v>
      </c>
    </row>
    <row r="492">
      <c r="A492" s="446">
        <v>44685.0</v>
      </c>
    </row>
    <row r="493">
      <c r="A493" s="446">
        <v>44686.0</v>
      </c>
    </row>
    <row r="494">
      <c r="A494" s="446">
        <v>44687.0</v>
      </c>
    </row>
    <row r="495">
      <c r="A495" s="446">
        <v>44688.0</v>
      </c>
    </row>
    <row r="496">
      <c r="A496" s="446">
        <v>44689.0</v>
      </c>
    </row>
    <row r="497">
      <c r="A497" s="446">
        <v>44690.0</v>
      </c>
    </row>
    <row r="498">
      <c r="A498" s="446">
        <v>44691.0</v>
      </c>
    </row>
    <row r="499">
      <c r="A499" s="446">
        <v>44692.0</v>
      </c>
    </row>
    <row r="500">
      <c r="A500" s="446">
        <v>44693.0</v>
      </c>
    </row>
    <row r="501">
      <c r="A501" s="446">
        <v>44694.0</v>
      </c>
    </row>
    <row r="502">
      <c r="A502" s="446">
        <v>44695.0</v>
      </c>
    </row>
    <row r="503">
      <c r="A503" s="446">
        <v>44696.0</v>
      </c>
    </row>
    <row r="504">
      <c r="A504" s="446">
        <v>44697.0</v>
      </c>
    </row>
    <row r="505">
      <c r="A505" s="446">
        <v>44698.0</v>
      </c>
    </row>
    <row r="506">
      <c r="A506" s="446">
        <v>44699.0</v>
      </c>
    </row>
    <row r="507">
      <c r="A507" s="446">
        <v>44700.0</v>
      </c>
    </row>
    <row r="508">
      <c r="A508" s="446">
        <v>44701.0</v>
      </c>
    </row>
    <row r="509">
      <c r="A509" s="446">
        <v>44702.0</v>
      </c>
    </row>
    <row r="510">
      <c r="A510" s="446">
        <v>44703.0</v>
      </c>
    </row>
    <row r="511">
      <c r="A511" s="446">
        <v>44704.0</v>
      </c>
    </row>
    <row r="512">
      <c r="A512" s="446">
        <v>44705.0</v>
      </c>
    </row>
    <row r="513">
      <c r="A513" s="446">
        <v>44706.0</v>
      </c>
    </row>
    <row r="514">
      <c r="A514" s="446">
        <v>44707.0</v>
      </c>
    </row>
    <row r="515">
      <c r="A515" s="446">
        <v>44708.0</v>
      </c>
    </row>
    <row r="516">
      <c r="A516" s="446">
        <v>44709.0</v>
      </c>
    </row>
    <row r="517">
      <c r="A517" s="446">
        <v>44710.0</v>
      </c>
    </row>
    <row r="518">
      <c r="A518" s="446">
        <v>44711.0</v>
      </c>
    </row>
    <row r="519">
      <c r="A519" s="446">
        <v>44712.0</v>
      </c>
    </row>
    <row r="520">
      <c r="A520" s="446">
        <v>44713.0</v>
      </c>
    </row>
    <row r="521">
      <c r="A521" s="446">
        <v>44714.0</v>
      </c>
    </row>
    <row r="522">
      <c r="A522" s="446">
        <v>44715.0</v>
      </c>
    </row>
    <row r="523">
      <c r="A523" s="446">
        <v>44716.0</v>
      </c>
    </row>
    <row r="524">
      <c r="A524" s="446">
        <v>44717.0</v>
      </c>
    </row>
    <row r="525">
      <c r="A525" s="446">
        <v>44718.0</v>
      </c>
    </row>
    <row r="526">
      <c r="A526" s="446">
        <v>44719.0</v>
      </c>
    </row>
    <row r="527">
      <c r="A527" s="446">
        <v>44720.0</v>
      </c>
    </row>
    <row r="528">
      <c r="A528" s="446">
        <v>44721.0</v>
      </c>
    </row>
    <row r="529">
      <c r="A529" s="446">
        <v>44722.0</v>
      </c>
    </row>
    <row r="530">
      <c r="A530" s="446">
        <v>44723.0</v>
      </c>
    </row>
    <row r="531">
      <c r="A531" s="446">
        <v>44724.0</v>
      </c>
    </row>
    <row r="532">
      <c r="A532" s="446">
        <v>44725.0</v>
      </c>
    </row>
    <row r="533">
      <c r="A533" s="446">
        <v>44726.0</v>
      </c>
    </row>
    <row r="534">
      <c r="A534" s="446">
        <v>44727.0</v>
      </c>
    </row>
    <row r="535">
      <c r="A535" s="446">
        <v>44728.0</v>
      </c>
    </row>
    <row r="536">
      <c r="A536" s="446">
        <v>44729.0</v>
      </c>
    </row>
    <row r="537">
      <c r="A537" s="446">
        <v>44730.0</v>
      </c>
    </row>
    <row r="538">
      <c r="A538" s="446">
        <v>44731.0</v>
      </c>
    </row>
    <row r="539">
      <c r="A539" s="446">
        <v>44732.0</v>
      </c>
    </row>
    <row r="540">
      <c r="A540" s="446">
        <v>44733.0</v>
      </c>
    </row>
    <row r="541">
      <c r="A541" s="446">
        <v>44734.0</v>
      </c>
    </row>
    <row r="542">
      <c r="A542" s="446">
        <v>44735.0</v>
      </c>
    </row>
    <row r="543">
      <c r="A543" s="446">
        <v>44736.0</v>
      </c>
    </row>
    <row r="544">
      <c r="A544" s="446">
        <v>44737.0</v>
      </c>
    </row>
    <row r="545">
      <c r="A545" s="446">
        <v>44738.0</v>
      </c>
    </row>
    <row r="546">
      <c r="A546" s="446">
        <v>44739.0</v>
      </c>
    </row>
    <row r="547">
      <c r="A547" s="446">
        <v>44740.0</v>
      </c>
    </row>
    <row r="548">
      <c r="A548" s="446">
        <v>44741.0</v>
      </c>
    </row>
    <row r="549">
      <c r="A549" s="446">
        <v>44742.0</v>
      </c>
    </row>
    <row r="550">
      <c r="A550" s="446">
        <v>44743.0</v>
      </c>
    </row>
    <row r="551">
      <c r="A551" s="446">
        <v>44744.0</v>
      </c>
    </row>
    <row r="552">
      <c r="A552" s="446">
        <v>44745.0</v>
      </c>
    </row>
    <row r="553">
      <c r="A553" s="446">
        <v>44746.0</v>
      </c>
    </row>
    <row r="554">
      <c r="A554" s="446">
        <v>44747.0</v>
      </c>
    </row>
    <row r="555">
      <c r="A555" s="446">
        <v>44748.0</v>
      </c>
    </row>
    <row r="556">
      <c r="A556" s="446">
        <v>44749.0</v>
      </c>
    </row>
    <row r="557">
      <c r="A557" s="446">
        <v>44750.0</v>
      </c>
    </row>
    <row r="558">
      <c r="A558" s="446">
        <v>44751.0</v>
      </c>
    </row>
    <row r="559">
      <c r="A559" s="446">
        <v>44752.0</v>
      </c>
    </row>
    <row r="560">
      <c r="A560" s="446">
        <v>44753.0</v>
      </c>
    </row>
    <row r="561">
      <c r="A561" s="446">
        <v>44754.0</v>
      </c>
    </row>
    <row r="562">
      <c r="A562" s="446">
        <v>44755.0</v>
      </c>
    </row>
    <row r="563">
      <c r="A563" s="446">
        <v>44756.0</v>
      </c>
    </row>
    <row r="564">
      <c r="A564" s="446">
        <v>44757.0</v>
      </c>
    </row>
    <row r="565">
      <c r="A565" s="446">
        <v>44758.0</v>
      </c>
    </row>
    <row r="566">
      <c r="A566" s="446">
        <v>44759.0</v>
      </c>
    </row>
    <row r="567">
      <c r="A567" s="446">
        <v>44760.0</v>
      </c>
    </row>
    <row r="568">
      <c r="A568" s="446">
        <v>44761.0</v>
      </c>
    </row>
    <row r="569">
      <c r="A569" s="446">
        <v>44762.0</v>
      </c>
    </row>
    <row r="570">
      <c r="A570" s="446">
        <v>44763.0</v>
      </c>
    </row>
    <row r="571">
      <c r="A571" s="446">
        <v>44764.0</v>
      </c>
    </row>
    <row r="572">
      <c r="A572" s="446">
        <v>44765.0</v>
      </c>
    </row>
    <row r="573">
      <c r="A573" s="446">
        <v>44766.0</v>
      </c>
    </row>
    <row r="574">
      <c r="A574" s="446">
        <v>44767.0</v>
      </c>
    </row>
    <row r="575">
      <c r="A575" s="446">
        <v>44768.0</v>
      </c>
    </row>
    <row r="576">
      <c r="A576" s="446">
        <v>44769.0</v>
      </c>
    </row>
    <row r="577">
      <c r="A577" s="446">
        <v>44770.0</v>
      </c>
    </row>
    <row r="578">
      <c r="A578" s="446">
        <v>44771.0</v>
      </c>
    </row>
    <row r="579">
      <c r="A579" s="446">
        <v>44772.0</v>
      </c>
    </row>
    <row r="580">
      <c r="A580" s="446">
        <v>44773.0</v>
      </c>
    </row>
    <row r="581">
      <c r="A581" s="446">
        <v>44774.0</v>
      </c>
    </row>
    <row r="582">
      <c r="A582" s="446">
        <v>44775.0</v>
      </c>
    </row>
    <row r="583">
      <c r="A583" s="446">
        <v>44776.0</v>
      </c>
    </row>
    <row r="584">
      <c r="A584" s="446">
        <v>44777.0</v>
      </c>
    </row>
    <row r="585">
      <c r="A585" s="446">
        <v>44778.0</v>
      </c>
    </row>
    <row r="586">
      <c r="A586" s="446">
        <v>44779.0</v>
      </c>
    </row>
    <row r="587">
      <c r="A587" s="446">
        <v>44780.0</v>
      </c>
    </row>
    <row r="588">
      <c r="A588" s="446">
        <v>44781.0</v>
      </c>
    </row>
    <row r="589">
      <c r="A589" s="446">
        <v>44782.0</v>
      </c>
    </row>
    <row r="590">
      <c r="A590" s="446">
        <v>44783.0</v>
      </c>
    </row>
    <row r="591">
      <c r="A591" s="446">
        <v>44784.0</v>
      </c>
    </row>
    <row r="592">
      <c r="A592" s="446">
        <v>44785.0</v>
      </c>
    </row>
    <row r="593">
      <c r="A593" s="446">
        <v>44786.0</v>
      </c>
    </row>
    <row r="594">
      <c r="A594" s="446">
        <v>44787.0</v>
      </c>
    </row>
    <row r="595">
      <c r="A595" s="446">
        <v>44788.0</v>
      </c>
    </row>
    <row r="596">
      <c r="A596" s="446">
        <v>44789.0</v>
      </c>
    </row>
    <row r="597">
      <c r="A597" s="446">
        <v>44790.0</v>
      </c>
    </row>
    <row r="598">
      <c r="A598" s="446">
        <v>44791.0</v>
      </c>
    </row>
    <row r="599">
      <c r="A599" s="446">
        <v>44792.0</v>
      </c>
    </row>
    <row r="600">
      <c r="A600" s="446">
        <v>44793.0</v>
      </c>
    </row>
    <row r="601">
      <c r="A601" s="446">
        <v>44794.0</v>
      </c>
    </row>
    <row r="602">
      <c r="A602" s="446">
        <v>44795.0</v>
      </c>
    </row>
    <row r="603">
      <c r="A603" s="446">
        <v>44796.0</v>
      </c>
    </row>
    <row r="604">
      <c r="A604" s="446">
        <v>44797.0</v>
      </c>
    </row>
    <row r="605">
      <c r="A605" s="446">
        <v>44798.0</v>
      </c>
    </row>
    <row r="606">
      <c r="A606" s="446">
        <v>44799.0</v>
      </c>
    </row>
    <row r="607">
      <c r="A607" s="446">
        <v>44800.0</v>
      </c>
    </row>
    <row r="608">
      <c r="A608" s="446">
        <v>44801.0</v>
      </c>
    </row>
    <row r="609">
      <c r="A609" s="446">
        <v>44802.0</v>
      </c>
    </row>
    <row r="610">
      <c r="A610" s="446">
        <v>44803.0</v>
      </c>
    </row>
    <row r="611">
      <c r="A611" s="446">
        <v>44804.0</v>
      </c>
    </row>
    <row r="612">
      <c r="A612" s="446">
        <v>44805.0</v>
      </c>
    </row>
    <row r="613">
      <c r="A613" s="446">
        <v>44806.0</v>
      </c>
    </row>
    <row r="614">
      <c r="A614" s="446">
        <v>44807.0</v>
      </c>
    </row>
    <row r="615">
      <c r="A615" s="446">
        <v>44808.0</v>
      </c>
    </row>
    <row r="616">
      <c r="A616" s="446">
        <v>44809.0</v>
      </c>
    </row>
    <row r="617">
      <c r="A617" s="446">
        <v>44810.0</v>
      </c>
    </row>
    <row r="618">
      <c r="A618" s="446">
        <v>44811.0</v>
      </c>
    </row>
    <row r="619">
      <c r="A619" s="446">
        <v>44812.0</v>
      </c>
    </row>
    <row r="620">
      <c r="A620" s="446">
        <v>44813.0</v>
      </c>
    </row>
    <row r="621">
      <c r="A621" s="446">
        <v>44814.0</v>
      </c>
    </row>
    <row r="622">
      <c r="A622" s="446">
        <v>44815.0</v>
      </c>
    </row>
    <row r="623">
      <c r="A623" s="446">
        <v>44816.0</v>
      </c>
    </row>
    <row r="624">
      <c r="A624" s="446">
        <v>44817.0</v>
      </c>
    </row>
    <row r="625">
      <c r="A625" s="446">
        <v>44818.0</v>
      </c>
    </row>
    <row r="626">
      <c r="A626" s="446">
        <v>44819.0</v>
      </c>
    </row>
    <row r="627">
      <c r="A627" s="446">
        <v>44820.0</v>
      </c>
    </row>
    <row r="628">
      <c r="A628" s="446">
        <v>44821.0</v>
      </c>
    </row>
    <row r="629">
      <c r="A629" s="446">
        <v>44822.0</v>
      </c>
    </row>
    <row r="630">
      <c r="A630" s="446">
        <v>44823.0</v>
      </c>
    </row>
    <row r="631">
      <c r="A631" s="446">
        <v>44824.0</v>
      </c>
    </row>
    <row r="632">
      <c r="A632" s="446">
        <v>44825.0</v>
      </c>
    </row>
    <row r="633">
      <c r="A633" s="446">
        <v>44826.0</v>
      </c>
    </row>
    <row r="634">
      <c r="A634" s="446">
        <v>44827.0</v>
      </c>
    </row>
    <row r="635">
      <c r="A635" s="446">
        <v>44828.0</v>
      </c>
    </row>
    <row r="636">
      <c r="A636" s="446">
        <v>44829.0</v>
      </c>
    </row>
    <row r="637">
      <c r="A637" s="446">
        <v>44830.0</v>
      </c>
    </row>
    <row r="638">
      <c r="A638" s="446">
        <v>44831.0</v>
      </c>
    </row>
    <row r="639">
      <c r="A639" s="446">
        <v>44832.0</v>
      </c>
    </row>
    <row r="640">
      <c r="A640" s="446">
        <v>44833.0</v>
      </c>
    </row>
    <row r="641">
      <c r="A641" s="446">
        <v>44834.0</v>
      </c>
    </row>
    <row r="642">
      <c r="A642" s="446">
        <v>44835.0</v>
      </c>
    </row>
    <row r="643">
      <c r="A643" s="446">
        <v>44836.0</v>
      </c>
    </row>
    <row r="644">
      <c r="A644" s="446">
        <v>44837.0</v>
      </c>
    </row>
    <row r="645">
      <c r="A645" s="446">
        <v>44838.0</v>
      </c>
    </row>
    <row r="646">
      <c r="A646" s="446">
        <v>44839.0</v>
      </c>
    </row>
    <row r="647">
      <c r="A647" s="446">
        <v>44840.0</v>
      </c>
    </row>
    <row r="648">
      <c r="A648" s="446">
        <v>44841.0</v>
      </c>
    </row>
    <row r="649">
      <c r="A649" s="446">
        <v>44842.0</v>
      </c>
    </row>
    <row r="650">
      <c r="A650" s="446">
        <v>44843.0</v>
      </c>
    </row>
    <row r="651">
      <c r="A651" s="446">
        <v>44844.0</v>
      </c>
    </row>
    <row r="652">
      <c r="A652" s="446">
        <v>44845.0</v>
      </c>
    </row>
    <row r="653">
      <c r="A653" s="446">
        <v>44846.0</v>
      </c>
    </row>
    <row r="654">
      <c r="A654" s="446">
        <v>44847.0</v>
      </c>
    </row>
    <row r="655">
      <c r="A655" s="446">
        <v>44848.0</v>
      </c>
    </row>
    <row r="656">
      <c r="A656" s="446">
        <v>44849.0</v>
      </c>
    </row>
    <row r="657">
      <c r="A657" s="446">
        <v>44850.0</v>
      </c>
    </row>
    <row r="658">
      <c r="A658" s="446">
        <v>44851.0</v>
      </c>
    </row>
    <row r="659">
      <c r="A659" s="446">
        <v>44852.0</v>
      </c>
    </row>
    <row r="660">
      <c r="A660" s="446">
        <v>44853.0</v>
      </c>
    </row>
    <row r="661">
      <c r="A661" s="446">
        <v>44854.0</v>
      </c>
    </row>
    <row r="662">
      <c r="A662" s="446">
        <v>44855.0</v>
      </c>
    </row>
    <row r="663">
      <c r="A663" s="446">
        <v>44856.0</v>
      </c>
    </row>
    <row r="664">
      <c r="A664" s="446">
        <v>44857.0</v>
      </c>
    </row>
    <row r="665">
      <c r="A665" s="446">
        <v>44858.0</v>
      </c>
    </row>
    <row r="666">
      <c r="A666" s="446">
        <v>44859.0</v>
      </c>
    </row>
    <row r="667">
      <c r="A667" s="446">
        <v>44860.0</v>
      </c>
    </row>
    <row r="668">
      <c r="A668" s="446">
        <v>44861.0</v>
      </c>
    </row>
    <row r="669">
      <c r="A669" s="446">
        <v>44862.0</v>
      </c>
    </row>
    <row r="670">
      <c r="A670" s="446">
        <v>44863.0</v>
      </c>
    </row>
    <row r="671">
      <c r="A671" s="446">
        <v>44864.0</v>
      </c>
    </row>
    <row r="672">
      <c r="A672" s="446">
        <v>44865.0</v>
      </c>
    </row>
    <row r="673">
      <c r="A673" s="446">
        <v>44866.0</v>
      </c>
    </row>
    <row r="674">
      <c r="A674" s="446">
        <v>44867.0</v>
      </c>
    </row>
    <row r="675">
      <c r="A675" s="446">
        <v>44868.0</v>
      </c>
    </row>
    <row r="676">
      <c r="A676" s="446">
        <v>44869.0</v>
      </c>
    </row>
    <row r="677">
      <c r="A677" s="446">
        <v>44870.0</v>
      </c>
    </row>
    <row r="678">
      <c r="A678" s="446">
        <v>44871.0</v>
      </c>
    </row>
    <row r="679">
      <c r="A679" s="446">
        <v>44872.0</v>
      </c>
    </row>
    <row r="680">
      <c r="A680" s="446">
        <v>44873.0</v>
      </c>
    </row>
    <row r="681">
      <c r="A681" s="446">
        <v>44874.0</v>
      </c>
    </row>
    <row r="682">
      <c r="A682" s="446">
        <v>44875.0</v>
      </c>
    </row>
    <row r="683">
      <c r="A683" s="446">
        <v>44876.0</v>
      </c>
    </row>
    <row r="684">
      <c r="A684" s="446">
        <v>44877.0</v>
      </c>
    </row>
    <row r="685">
      <c r="A685" s="446">
        <v>44878.0</v>
      </c>
    </row>
    <row r="686">
      <c r="A686" s="446">
        <v>44879.0</v>
      </c>
    </row>
    <row r="687">
      <c r="A687" s="446">
        <v>44880.0</v>
      </c>
    </row>
    <row r="688">
      <c r="A688" s="446">
        <v>44881.0</v>
      </c>
    </row>
    <row r="689">
      <c r="A689" s="446">
        <v>44882.0</v>
      </c>
    </row>
    <row r="690">
      <c r="A690" s="446">
        <v>44883.0</v>
      </c>
    </row>
    <row r="691">
      <c r="A691" s="446">
        <v>44884.0</v>
      </c>
    </row>
    <row r="692">
      <c r="A692" s="446">
        <v>44885.0</v>
      </c>
    </row>
    <row r="693">
      <c r="A693" s="446">
        <v>44886.0</v>
      </c>
    </row>
    <row r="694">
      <c r="A694" s="446">
        <v>44887.0</v>
      </c>
    </row>
    <row r="695">
      <c r="A695" s="446">
        <v>44888.0</v>
      </c>
    </row>
    <row r="696">
      <c r="A696" s="446">
        <v>44889.0</v>
      </c>
    </row>
    <row r="697">
      <c r="A697" s="446">
        <v>44890.0</v>
      </c>
    </row>
    <row r="698">
      <c r="A698" s="446">
        <v>44891.0</v>
      </c>
    </row>
    <row r="699">
      <c r="A699" s="446">
        <v>44892.0</v>
      </c>
    </row>
    <row r="700">
      <c r="A700" s="446">
        <v>44893.0</v>
      </c>
    </row>
    <row r="701">
      <c r="A701" s="446">
        <v>44894.0</v>
      </c>
    </row>
    <row r="702">
      <c r="A702" s="446">
        <v>44895.0</v>
      </c>
    </row>
    <row r="703">
      <c r="A703" s="446">
        <v>44896.0</v>
      </c>
    </row>
    <row r="704">
      <c r="A704" s="446">
        <v>44897.0</v>
      </c>
    </row>
    <row r="705">
      <c r="A705" s="446">
        <v>44898.0</v>
      </c>
    </row>
    <row r="706">
      <c r="A706" s="446">
        <v>44899.0</v>
      </c>
    </row>
    <row r="707">
      <c r="A707" s="446">
        <v>44900.0</v>
      </c>
    </row>
    <row r="708">
      <c r="A708" s="446">
        <v>44901.0</v>
      </c>
    </row>
    <row r="709">
      <c r="A709" s="446">
        <v>44902.0</v>
      </c>
    </row>
    <row r="710">
      <c r="A710" s="446">
        <v>44903.0</v>
      </c>
    </row>
    <row r="711">
      <c r="A711" s="446">
        <v>44904.0</v>
      </c>
    </row>
    <row r="712">
      <c r="A712" s="446">
        <v>44905.0</v>
      </c>
    </row>
    <row r="713">
      <c r="A713" s="446">
        <v>44906.0</v>
      </c>
    </row>
    <row r="714">
      <c r="A714" s="446">
        <v>44907.0</v>
      </c>
    </row>
    <row r="715">
      <c r="A715" s="446">
        <v>44908.0</v>
      </c>
    </row>
    <row r="716">
      <c r="A716" s="446">
        <v>44909.0</v>
      </c>
    </row>
    <row r="717">
      <c r="A717" s="446">
        <v>44910.0</v>
      </c>
    </row>
    <row r="718">
      <c r="A718" s="446">
        <v>44911.0</v>
      </c>
    </row>
    <row r="719">
      <c r="A719" s="446">
        <v>44912.0</v>
      </c>
    </row>
    <row r="720">
      <c r="A720" s="446">
        <v>44913.0</v>
      </c>
    </row>
    <row r="721">
      <c r="A721" s="446">
        <v>44914.0</v>
      </c>
    </row>
    <row r="722">
      <c r="A722" s="446">
        <v>44915.0</v>
      </c>
    </row>
    <row r="723">
      <c r="A723" s="446">
        <v>44916.0</v>
      </c>
    </row>
    <row r="724">
      <c r="A724" s="446">
        <v>44917.0</v>
      </c>
    </row>
    <row r="725">
      <c r="A725" s="446">
        <v>44918.0</v>
      </c>
    </row>
    <row r="726">
      <c r="A726" s="446">
        <v>44919.0</v>
      </c>
    </row>
    <row r="727">
      <c r="A727" s="446">
        <v>44920.0</v>
      </c>
    </row>
    <row r="728">
      <c r="A728" s="446">
        <v>44921.0</v>
      </c>
    </row>
    <row r="729">
      <c r="A729" s="446">
        <v>44922.0</v>
      </c>
    </row>
    <row r="730">
      <c r="A730" s="446">
        <v>44923.0</v>
      </c>
    </row>
    <row r="731">
      <c r="A731" s="446">
        <v>44924.0</v>
      </c>
    </row>
    <row r="732">
      <c r="A732" s="446">
        <v>44925.0</v>
      </c>
    </row>
    <row r="733">
      <c r="A733" s="446">
        <v>44926.0</v>
      </c>
    </row>
    <row r="734">
      <c r="A734" s="446">
        <v>44927.0</v>
      </c>
    </row>
    <row r="735">
      <c r="A735" s="446">
        <v>44928.0</v>
      </c>
    </row>
    <row r="736">
      <c r="A736" s="446">
        <v>44929.0</v>
      </c>
    </row>
    <row r="737">
      <c r="A737" s="446">
        <v>44930.0</v>
      </c>
    </row>
    <row r="738">
      <c r="A738" s="446">
        <v>44931.0</v>
      </c>
    </row>
    <row r="739">
      <c r="A739" s="446">
        <v>44932.0</v>
      </c>
    </row>
    <row r="740">
      <c r="A740" s="446">
        <v>44933.0</v>
      </c>
    </row>
    <row r="741">
      <c r="A741" s="446">
        <v>44934.0</v>
      </c>
    </row>
    <row r="742">
      <c r="A742" s="446">
        <v>44935.0</v>
      </c>
    </row>
    <row r="743">
      <c r="A743" s="446">
        <v>44936.0</v>
      </c>
    </row>
    <row r="744">
      <c r="A744" s="446">
        <v>44937.0</v>
      </c>
    </row>
    <row r="745">
      <c r="A745" s="446">
        <v>44938.0</v>
      </c>
    </row>
    <row r="746">
      <c r="A746" s="446">
        <v>44939.0</v>
      </c>
    </row>
    <row r="747">
      <c r="A747" s="446">
        <v>44940.0</v>
      </c>
    </row>
    <row r="748">
      <c r="A748" s="446">
        <v>44941.0</v>
      </c>
    </row>
    <row r="749">
      <c r="A749" s="446">
        <v>44942.0</v>
      </c>
    </row>
    <row r="750">
      <c r="A750" s="446">
        <v>44943.0</v>
      </c>
    </row>
    <row r="751">
      <c r="A751" s="446">
        <v>44944.0</v>
      </c>
    </row>
    <row r="752">
      <c r="A752" s="446">
        <v>44945.0</v>
      </c>
    </row>
    <row r="753">
      <c r="A753" s="446">
        <v>44946.0</v>
      </c>
    </row>
    <row r="754">
      <c r="A754" s="446">
        <v>44947.0</v>
      </c>
    </row>
    <row r="755">
      <c r="A755" s="446">
        <v>44948.0</v>
      </c>
    </row>
    <row r="756">
      <c r="A756" s="446">
        <v>44949.0</v>
      </c>
    </row>
    <row r="757">
      <c r="A757" s="446">
        <v>44950.0</v>
      </c>
    </row>
    <row r="758">
      <c r="A758" s="446">
        <v>44951.0</v>
      </c>
    </row>
    <row r="759">
      <c r="A759" s="446">
        <v>44952.0</v>
      </c>
    </row>
    <row r="760">
      <c r="A760" s="446">
        <v>44953.0</v>
      </c>
    </row>
    <row r="761">
      <c r="A761" s="446">
        <v>44954.0</v>
      </c>
    </row>
    <row r="762">
      <c r="A762" s="446">
        <v>44955.0</v>
      </c>
    </row>
    <row r="763">
      <c r="A763" s="446">
        <v>44956.0</v>
      </c>
    </row>
    <row r="764">
      <c r="A764" s="446">
        <v>44957.0</v>
      </c>
    </row>
    <row r="765">
      <c r="A765" s="446">
        <v>44958.0</v>
      </c>
    </row>
    <row r="766">
      <c r="A766" s="446">
        <v>44959.0</v>
      </c>
    </row>
    <row r="767">
      <c r="A767" s="446">
        <v>44960.0</v>
      </c>
    </row>
    <row r="768">
      <c r="A768" s="446">
        <v>44961.0</v>
      </c>
    </row>
    <row r="769">
      <c r="A769" s="446">
        <v>44962.0</v>
      </c>
    </row>
    <row r="770">
      <c r="A770" s="446">
        <v>44963.0</v>
      </c>
    </row>
    <row r="771">
      <c r="A771" s="446">
        <v>44964.0</v>
      </c>
    </row>
    <row r="772">
      <c r="A772" s="446">
        <v>44965.0</v>
      </c>
    </row>
    <row r="773">
      <c r="A773" s="446">
        <v>44966.0</v>
      </c>
    </row>
    <row r="774">
      <c r="A774" s="446">
        <v>44967.0</v>
      </c>
    </row>
    <row r="775">
      <c r="A775" s="446">
        <v>44968.0</v>
      </c>
    </row>
    <row r="776">
      <c r="A776" s="446">
        <v>44969.0</v>
      </c>
    </row>
    <row r="777">
      <c r="A777" s="446">
        <v>44970.0</v>
      </c>
    </row>
    <row r="778">
      <c r="A778" s="446">
        <v>44971.0</v>
      </c>
    </row>
    <row r="779">
      <c r="A779" s="446">
        <v>44972.0</v>
      </c>
    </row>
    <row r="780">
      <c r="A780" s="446">
        <v>44973.0</v>
      </c>
    </row>
    <row r="781">
      <c r="A781" s="446">
        <v>44974.0</v>
      </c>
    </row>
    <row r="782">
      <c r="A782" s="446">
        <v>44975.0</v>
      </c>
    </row>
    <row r="783">
      <c r="A783" s="446">
        <v>44976.0</v>
      </c>
    </row>
    <row r="784">
      <c r="A784" s="446">
        <v>44977.0</v>
      </c>
    </row>
    <row r="785">
      <c r="A785" s="446">
        <v>44978.0</v>
      </c>
    </row>
    <row r="786">
      <c r="A786" s="446">
        <v>44979.0</v>
      </c>
    </row>
    <row r="787">
      <c r="A787" s="446">
        <v>44980.0</v>
      </c>
    </row>
    <row r="788">
      <c r="A788" s="446">
        <v>44981.0</v>
      </c>
    </row>
    <row r="789">
      <c r="A789" s="446">
        <v>44982.0</v>
      </c>
    </row>
    <row r="790">
      <c r="A790" s="446">
        <v>44983.0</v>
      </c>
    </row>
    <row r="791">
      <c r="A791" s="446">
        <v>44984.0</v>
      </c>
    </row>
    <row r="792">
      <c r="A792" s="446">
        <v>44985.0</v>
      </c>
    </row>
    <row r="793">
      <c r="A793" s="446">
        <v>44986.0</v>
      </c>
    </row>
    <row r="794">
      <c r="A794" s="446">
        <v>44987.0</v>
      </c>
    </row>
    <row r="795">
      <c r="A795" s="446">
        <v>44988.0</v>
      </c>
    </row>
    <row r="796">
      <c r="A796" s="446">
        <v>44989.0</v>
      </c>
    </row>
    <row r="797">
      <c r="A797" s="446">
        <v>44990.0</v>
      </c>
    </row>
    <row r="798">
      <c r="A798" s="446">
        <v>44991.0</v>
      </c>
    </row>
    <row r="799">
      <c r="A799" s="446">
        <v>44992.0</v>
      </c>
    </row>
    <row r="800">
      <c r="A800" s="446">
        <v>44993.0</v>
      </c>
    </row>
    <row r="801">
      <c r="A801" s="446">
        <v>44994.0</v>
      </c>
    </row>
    <row r="802">
      <c r="A802" s="446">
        <v>44995.0</v>
      </c>
    </row>
    <row r="803">
      <c r="A803" s="446">
        <v>44996.0</v>
      </c>
    </row>
    <row r="804">
      <c r="A804" s="446">
        <v>44997.0</v>
      </c>
    </row>
    <row r="805">
      <c r="A805" s="446">
        <v>44998.0</v>
      </c>
    </row>
    <row r="806">
      <c r="A806" s="446">
        <v>44999.0</v>
      </c>
    </row>
    <row r="807">
      <c r="A807" s="446">
        <v>45000.0</v>
      </c>
    </row>
    <row r="808">
      <c r="A808" s="446">
        <v>45001.0</v>
      </c>
    </row>
    <row r="809">
      <c r="A809" s="446">
        <v>45002.0</v>
      </c>
    </row>
    <row r="810">
      <c r="A810" s="446">
        <v>45003.0</v>
      </c>
    </row>
    <row r="811">
      <c r="A811" s="446">
        <v>45004.0</v>
      </c>
    </row>
    <row r="812">
      <c r="A812" s="446">
        <v>45005.0</v>
      </c>
    </row>
    <row r="813">
      <c r="A813" s="446">
        <v>45006.0</v>
      </c>
    </row>
    <row r="814">
      <c r="A814" s="446">
        <v>45007.0</v>
      </c>
    </row>
    <row r="815">
      <c r="A815" s="446">
        <v>45008.0</v>
      </c>
    </row>
    <row r="816">
      <c r="A816" s="446">
        <v>45009.0</v>
      </c>
    </row>
    <row r="817">
      <c r="A817" s="446">
        <v>45010.0</v>
      </c>
    </row>
    <row r="818">
      <c r="A818" s="446">
        <v>45011.0</v>
      </c>
    </row>
    <row r="819">
      <c r="A819" s="446">
        <v>45012.0</v>
      </c>
    </row>
    <row r="820">
      <c r="A820" s="446">
        <v>45013.0</v>
      </c>
    </row>
    <row r="821">
      <c r="A821" s="288"/>
    </row>
    <row r="822">
      <c r="A822" s="288"/>
    </row>
    <row r="823">
      <c r="A823" s="288"/>
    </row>
    <row r="824">
      <c r="A824" s="288"/>
    </row>
    <row r="825">
      <c r="A825" s="288"/>
    </row>
    <row r="826">
      <c r="A826" s="288"/>
    </row>
    <row r="827">
      <c r="A827" s="288"/>
    </row>
    <row r="828">
      <c r="A828" s="288"/>
    </row>
    <row r="829">
      <c r="A829" s="288"/>
    </row>
    <row r="830">
      <c r="A830" s="288"/>
    </row>
    <row r="831">
      <c r="A831" s="288"/>
    </row>
    <row r="832">
      <c r="A832" s="288"/>
    </row>
    <row r="833">
      <c r="A833" s="288"/>
    </row>
    <row r="834">
      <c r="A834" s="288"/>
    </row>
    <row r="835">
      <c r="A835" s="288"/>
    </row>
    <row r="836">
      <c r="A836" s="288"/>
    </row>
    <row r="837">
      <c r="A837" s="288"/>
    </row>
    <row r="838">
      <c r="A838" s="288"/>
    </row>
    <row r="839">
      <c r="A839" s="288"/>
    </row>
    <row r="840">
      <c r="A840" s="288"/>
    </row>
    <row r="841">
      <c r="A841" s="288"/>
    </row>
    <row r="842">
      <c r="A842" s="288"/>
    </row>
    <row r="843">
      <c r="A843" s="288"/>
    </row>
    <row r="844">
      <c r="A844" s="288"/>
    </row>
    <row r="845">
      <c r="A845" s="288"/>
    </row>
    <row r="846">
      <c r="A846" s="288"/>
    </row>
    <row r="847">
      <c r="A847" s="288"/>
    </row>
    <row r="848">
      <c r="A848" s="288"/>
    </row>
    <row r="849">
      <c r="A849" s="288"/>
    </row>
    <row r="850">
      <c r="A850" s="288"/>
    </row>
    <row r="851">
      <c r="A851" s="288"/>
    </row>
    <row r="852">
      <c r="A852" s="288"/>
    </row>
    <row r="853">
      <c r="A853" s="288"/>
    </row>
    <row r="854">
      <c r="A854" s="288"/>
    </row>
    <row r="855">
      <c r="A855" s="288"/>
    </row>
    <row r="856">
      <c r="A856" s="288"/>
    </row>
    <row r="857">
      <c r="A857" s="288"/>
    </row>
    <row r="858">
      <c r="A858" s="288"/>
    </row>
    <row r="859">
      <c r="A859" s="288"/>
    </row>
    <row r="860">
      <c r="A860" s="288"/>
    </row>
    <row r="861">
      <c r="A861" s="288"/>
    </row>
    <row r="862">
      <c r="A862" s="288"/>
    </row>
    <row r="863">
      <c r="A863" s="288"/>
    </row>
    <row r="864">
      <c r="A864" s="288"/>
    </row>
    <row r="865">
      <c r="A865" s="288"/>
    </row>
    <row r="866">
      <c r="A866" s="288"/>
    </row>
    <row r="867">
      <c r="A867" s="288"/>
    </row>
    <row r="868">
      <c r="A868" s="288"/>
    </row>
    <row r="869">
      <c r="A869" s="288"/>
    </row>
    <row r="870">
      <c r="A870" s="288"/>
    </row>
    <row r="871">
      <c r="A871" s="288"/>
    </row>
    <row r="872">
      <c r="A872" s="288"/>
    </row>
    <row r="873">
      <c r="A873" s="288"/>
    </row>
    <row r="874">
      <c r="A874" s="288"/>
    </row>
    <row r="875">
      <c r="A875" s="288"/>
    </row>
    <row r="876">
      <c r="A876" s="288"/>
    </row>
    <row r="877">
      <c r="A877" s="288"/>
    </row>
    <row r="878">
      <c r="A878" s="288"/>
    </row>
    <row r="879">
      <c r="A879" s="288"/>
    </row>
    <row r="880">
      <c r="A880" s="288"/>
    </row>
    <row r="881">
      <c r="A881" s="288"/>
    </row>
    <row r="882">
      <c r="A882" s="288"/>
    </row>
    <row r="883">
      <c r="A883" s="288"/>
    </row>
    <row r="884">
      <c r="A884" s="288"/>
    </row>
    <row r="885">
      <c r="A885" s="288"/>
    </row>
    <row r="886">
      <c r="A886" s="288"/>
    </row>
    <row r="887">
      <c r="A887" s="288"/>
    </row>
    <row r="888">
      <c r="A888" s="288"/>
    </row>
    <row r="889">
      <c r="A889" s="288"/>
    </row>
    <row r="890">
      <c r="A890" s="288"/>
    </row>
    <row r="891">
      <c r="A891" s="288"/>
    </row>
    <row r="892">
      <c r="A892" s="288"/>
    </row>
    <row r="893">
      <c r="A893" s="288"/>
    </row>
    <row r="894">
      <c r="A894" s="288"/>
    </row>
    <row r="895">
      <c r="A895" s="288"/>
    </row>
    <row r="896">
      <c r="A896" s="288"/>
    </row>
    <row r="897">
      <c r="A897" s="288"/>
    </row>
    <row r="898">
      <c r="A898" s="288"/>
    </row>
    <row r="899">
      <c r="A899" s="288"/>
    </row>
    <row r="900">
      <c r="A900" s="288"/>
    </row>
    <row r="901">
      <c r="A901" s="288"/>
    </row>
    <row r="902">
      <c r="A902" s="288"/>
    </row>
    <row r="903">
      <c r="A903" s="288"/>
    </row>
    <row r="904">
      <c r="A904" s="288"/>
    </row>
    <row r="905">
      <c r="A905" s="288"/>
    </row>
    <row r="906">
      <c r="A906" s="288"/>
    </row>
    <row r="907">
      <c r="A907" s="288"/>
    </row>
    <row r="908">
      <c r="A908" s="288"/>
    </row>
    <row r="909">
      <c r="A909" s="288"/>
    </row>
    <row r="910">
      <c r="A910" s="288"/>
    </row>
    <row r="911">
      <c r="A911" s="288"/>
    </row>
    <row r="912">
      <c r="A912" s="288"/>
    </row>
    <row r="913">
      <c r="A913" s="288"/>
    </row>
    <row r="914">
      <c r="A914" s="288"/>
    </row>
    <row r="915">
      <c r="A915" s="288"/>
    </row>
    <row r="916">
      <c r="A916" s="288"/>
    </row>
    <row r="917">
      <c r="A917" s="288"/>
    </row>
    <row r="918">
      <c r="A918" s="288"/>
    </row>
    <row r="919">
      <c r="A919" s="288"/>
    </row>
    <row r="920">
      <c r="A920" s="288"/>
    </row>
    <row r="921">
      <c r="A921" s="288"/>
    </row>
    <row r="922">
      <c r="A922" s="288"/>
    </row>
    <row r="923">
      <c r="A923" s="288"/>
    </row>
    <row r="924">
      <c r="A924" s="288"/>
    </row>
    <row r="925">
      <c r="A925" s="288"/>
    </row>
    <row r="926">
      <c r="A926" s="288"/>
    </row>
    <row r="927">
      <c r="A927" s="288"/>
    </row>
    <row r="928">
      <c r="A928" s="288"/>
    </row>
    <row r="929">
      <c r="A929" s="288"/>
    </row>
    <row r="930">
      <c r="A930" s="288"/>
    </row>
    <row r="931">
      <c r="A931" s="288"/>
    </row>
    <row r="932">
      <c r="A932" s="288"/>
    </row>
    <row r="933">
      <c r="A933" s="288"/>
    </row>
    <row r="934">
      <c r="A934" s="288"/>
    </row>
    <row r="935">
      <c r="A935" s="288"/>
    </row>
    <row r="936">
      <c r="A936" s="288"/>
    </row>
    <row r="937">
      <c r="A937" s="288"/>
    </row>
    <row r="938">
      <c r="A938" s="288"/>
    </row>
    <row r="939">
      <c r="A939" s="288"/>
    </row>
    <row r="940">
      <c r="A940" s="288"/>
    </row>
    <row r="941">
      <c r="A941" s="288"/>
    </row>
    <row r="942">
      <c r="A942" s="288"/>
    </row>
    <row r="943">
      <c r="A943" s="288"/>
    </row>
    <row r="944">
      <c r="A944" s="288"/>
    </row>
    <row r="945">
      <c r="A945" s="288"/>
    </row>
    <row r="946">
      <c r="A946" s="288"/>
    </row>
    <row r="947">
      <c r="A947" s="288"/>
    </row>
    <row r="948">
      <c r="A948" s="288"/>
    </row>
    <row r="949">
      <c r="A949" s="288"/>
    </row>
    <row r="950">
      <c r="A950" s="288"/>
    </row>
    <row r="951">
      <c r="A951" s="288"/>
    </row>
    <row r="952">
      <c r="A952" s="288"/>
    </row>
    <row r="953">
      <c r="A953" s="288"/>
    </row>
    <row r="954">
      <c r="A954" s="288"/>
    </row>
    <row r="955">
      <c r="A955" s="288"/>
    </row>
    <row r="956">
      <c r="A956" s="288"/>
    </row>
    <row r="957">
      <c r="A957" s="288"/>
    </row>
    <row r="958">
      <c r="A958" s="288"/>
    </row>
    <row r="959">
      <c r="A959" s="288"/>
    </row>
    <row r="960">
      <c r="A960" s="288"/>
    </row>
    <row r="961">
      <c r="A961" s="288"/>
    </row>
    <row r="962">
      <c r="A962" s="288"/>
    </row>
    <row r="963">
      <c r="A963" s="288"/>
    </row>
    <row r="964">
      <c r="A964" s="288"/>
    </row>
    <row r="965">
      <c r="A965" s="288"/>
    </row>
    <row r="966">
      <c r="A966" s="288"/>
    </row>
    <row r="967">
      <c r="A967" s="288"/>
    </row>
    <row r="968">
      <c r="A968" s="288"/>
    </row>
    <row r="969">
      <c r="A969" s="288"/>
    </row>
    <row r="970">
      <c r="A970" s="288"/>
    </row>
    <row r="971">
      <c r="A971" s="288"/>
    </row>
    <row r="972">
      <c r="A972" s="288"/>
    </row>
    <row r="973">
      <c r="A973" s="288"/>
    </row>
    <row r="974">
      <c r="A974" s="288"/>
    </row>
    <row r="975">
      <c r="A975" s="288"/>
    </row>
    <row r="976">
      <c r="A976" s="288"/>
    </row>
    <row r="977">
      <c r="A977" s="288"/>
    </row>
    <row r="978">
      <c r="A978" s="288"/>
    </row>
    <row r="979">
      <c r="A979" s="288"/>
    </row>
    <row r="980">
      <c r="A980" s="288"/>
    </row>
    <row r="981">
      <c r="A981" s="288"/>
    </row>
    <row r="982">
      <c r="A982" s="288"/>
    </row>
    <row r="983">
      <c r="A983" s="288"/>
    </row>
    <row r="984">
      <c r="A984" s="288"/>
    </row>
    <row r="985">
      <c r="A985" s="288"/>
    </row>
    <row r="986">
      <c r="A986" s="288"/>
    </row>
    <row r="987">
      <c r="A987" s="288"/>
    </row>
    <row r="988">
      <c r="A988" s="288"/>
    </row>
    <row r="989">
      <c r="A989" s="288"/>
    </row>
    <row r="990">
      <c r="A990" s="288"/>
    </row>
    <row r="991">
      <c r="A991" s="288"/>
    </row>
    <row r="992">
      <c r="A992" s="288"/>
    </row>
    <row r="993">
      <c r="A993" s="288"/>
    </row>
    <row r="994">
      <c r="A994" s="288"/>
    </row>
    <row r="995">
      <c r="A995" s="288"/>
    </row>
    <row r="996">
      <c r="A996" s="288"/>
    </row>
    <row r="997">
      <c r="A997" s="288"/>
    </row>
    <row r="998">
      <c r="A998" s="288"/>
    </row>
    <row r="999">
      <c r="A999" s="288"/>
    </row>
    <row r="1000">
      <c r="A1000" s="288"/>
    </row>
  </sheetData>
  <drawing r:id="rId1"/>
</worksheet>
</file>