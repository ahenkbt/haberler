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vim" sheetId="1" r:id="rId4"/>
    <sheet state="visible" name="Hedef Liste" sheetId="2" r:id="rId5"/>
    <sheet state="visible" name="import" sheetId="3" r:id="rId6"/>
    <sheet state="visible" name="Durum Parametreler" sheetId="4" r:id="rId7"/>
    <sheet state="hidden" name="Sayfa12" sheetId="5" r:id="rId8"/>
    <sheet state="visible" name="özet" sheetId="6" r:id="rId9"/>
  </sheets>
  <definedNames>
    <definedName hidden="1" localSheetId="1" name="_xlnm._FilterDatabase">'Hedef Liste'!$A$1:$AQ$395</definedName>
    <definedName hidden="1" localSheetId="2" name="_xlnm._FilterDatabase">import!$A$1:$Q$484</definedName>
    <definedName hidden="1" localSheetId="1" name="Z_43FAC60D_FF90_4B39_B813_FA5064B595F6_.wvu.FilterData">'Hedef Liste'!$W$147:$W$148</definedName>
    <definedName hidden="1" localSheetId="1" name="Z_27BDF363_1A2F_42B8_AE1D_D91C3C165A87_.wvu.FilterData">'Hedef Liste'!$A$1:$AI$232</definedName>
    <definedName hidden="1" localSheetId="1" name="Z_69819ED0_71EB_4137_80D2_295D0F70F283_.wvu.FilterData">'Hedef Liste'!$X$109:$Y$113</definedName>
    <definedName hidden="1" localSheetId="1" name="Z_AB671C1A_E793_4366_AE38_7CFAEF55FA38_.wvu.FilterData">'Hedef Liste'!$A$1:$AA$232</definedName>
    <definedName hidden="1" localSheetId="1" name="Z_1879FECD_52E4_43E3_9C53_B9DD841F44C4_.wvu.FilterData">'Hedef Liste'!$A$1:$AO$312</definedName>
    <definedName hidden="1" localSheetId="1" name="Z_387C2910_DC2E_4D76_82A7_48043E6C9953_.wvu.FilterData">'Hedef Liste'!$AK$262:$AK$264</definedName>
    <definedName hidden="1" localSheetId="2" name="Z_C3D7AF6D_4115_436B_BB6A_FCBA2B9DAB89_.wvu.FilterData">import!$A$1:$Q$484</definedName>
    <definedName hidden="1" localSheetId="1" name="Z_A87CE89C_6545_4BB6_9CBF_6C9584963C90_.wvu.FilterData">'Hedef Liste'!$A$1:$AA$232</definedName>
  </definedNames>
  <calcPr/>
  <customWorkbookViews>
    <customWorkbookView activeSheetId="0" maximized="1" windowHeight="0" windowWidth="0" guid="{AB671C1A-E793-4366-AE38-7CFAEF55FA38}" name="Filtre 5"/>
    <customWorkbookView activeSheetId="0" maximized="1" windowHeight="0" windowWidth="0" guid="{69819ED0-71EB-4137-80D2-295D0F70F283}" name="Filtre 4"/>
    <customWorkbookView activeSheetId="0" maximized="1" windowHeight="0" windowWidth="0" guid="{27BDF363-1A2F-42B8-AE1D-D91C3C165A87}" name="Filtre 3"/>
    <customWorkbookView activeSheetId="0" maximized="1" windowHeight="0" windowWidth="0" guid="{C3D7AF6D-4115-436B-BB6A-FCBA2B9DAB89}" name="import"/>
    <customWorkbookView activeSheetId="0" maximized="1" windowHeight="0" windowWidth="0" guid="{1879FECD-52E4-43E3-9C53-B9DD841F44C4}" name="Filtre 8"/>
    <customWorkbookView activeSheetId="0" maximized="1" windowHeight="0" windowWidth="0" guid="{387C2910-DC2E-4D76-82A7-48043E6C9953}" name="Filtre 7"/>
    <customWorkbookView activeSheetId="0" maximized="1" windowHeight="0" windowWidth="0" guid="{43FAC60D-FF90-4B39-B813-FA5064B595F6}" name="Filtre 6"/>
    <customWorkbookView activeSheetId="0" maximized="1" windowHeight="0" windowWidth="0" guid="{A87CE89C-6545-4BB6-9CBF-6C9584963C90}" name="Filtre 1"/>
  </customWorkbookViews>
  <pivotCaches>
    <pivotCache cacheId="0" r:id="rId10"/>
  </pivotCaches>
</workbook>
</file>

<file path=xl/sharedStrings.xml><?xml version="1.0" encoding="utf-8"?>
<sst xmlns="http://schemas.openxmlformats.org/spreadsheetml/2006/main" count="11540" uniqueCount="2925">
  <si>
    <t xml:space="preserve"> </t>
  </si>
  <si>
    <t>TARİH</t>
  </si>
  <si>
    <t>Randevu
Alan</t>
  </si>
  <si>
    <t>ID</t>
  </si>
  <si>
    <t>RESTORAN</t>
  </si>
  <si>
    <t>SAAT</t>
  </si>
  <si>
    <t>İLÇE / MAHALLE</t>
  </si>
  <si>
    <t>YETKİLİ KİŞİ / TELEFON</t>
  </si>
  <si>
    <t>ADRES</t>
  </si>
  <si>
    <t>NOTLAR</t>
  </si>
  <si>
    <t>Fotoğraf Adeti</t>
  </si>
  <si>
    <t>Toplam ürün</t>
  </si>
  <si>
    <t>Şubeli</t>
  </si>
  <si>
    <t>İptal</t>
  </si>
  <si>
    <t>Serdivan
Erenler
Arifiye</t>
  </si>
  <si>
    <t>Burak Kavakçı</t>
  </si>
  <si>
    <t>Tuğba Buyur</t>
  </si>
  <si>
    <t>6007de51e4ab4e0f0b9219a5</t>
  </si>
  <si>
    <t>Hey Tost'um (Kemalpaşa Mah)</t>
  </si>
  <si>
    <t>Serdivan/Kemalpaşa</t>
  </si>
  <si>
    <t>yusuf bey / 5383161453</t>
  </si>
  <si>
    <t>Kemalpaşa Mah., Medeniyet Cad., No:9, Serdivan, Sakarya, Türkiye,</t>
  </si>
  <si>
    <t>Beyza gülşah</t>
  </si>
  <si>
    <t>601326186c164262e2908d1c</t>
  </si>
  <si>
    <t>Ada Zurna Mavi Durak (Kemalpaşa Mah.)</t>
  </si>
  <si>
    <t>Behice Hanım/5312105658</t>
  </si>
  <si>
    <t>Kemalpaşa Mah., Usta Sok., No:4, Serdivan, Sakarya, Türkiye, Kemalpaşa mah.</t>
  </si>
  <si>
    <t>Senanur Çınar</t>
  </si>
  <si>
    <t>600c2cc2bce91f4701a58c7c</t>
  </si>
  <si>
    <t>Nap Cafe Restaurant (Kemalpaşa Mah.)</t>
  </si>
  <si>
    <t>15:00</t>
  </si>
  <si>
    <t>Ali Gülle/5423614452</t>
  </si>
  <si>
    <t>Kemalpaşa Mah., Döner Sok., No:24, Serdivan, Sakarya, Türkiye,</t>
  </si>
  <si>
    <t xml:space="preserve">RANDEVUSU ALINDI </t>
  </si>
  <si>
    <t>601e3e8b98337b6e604cf966</t>
  </si>
  <si>
    <t>Gece Pilavcısı, Serdivan (İstiklal Mah.)</t>
  </si>
  <si>
    <t>17:00</t>
  </si>
  <si>
    <t>Tahsin bey/5466116241</t>
  </si>
  <si>
    <t>Kemalpaşa Mah., Karabaş Sok., No:12/a, Serdivan, Sakarya, Türkiye,</t>
  </si>
  <si>
    <t>60238bc0e36a14486f688337</t>
  </si>
  <si>
    <t>Kaşık, Serdivan (Kemalpaşa Mah.)</t>
  </si>
  <si>
    <t>fecri / bey / 5428152528</t>
  </si>
  <si>
    <t>Kemalpaşa Mah., Üniversite Cad., No:90, Serdivan, Sakarya, Türkiye,</t>
  </si>
  <si>
    <t>6018feb915c6598a5aa42283</t>
  </si>
  <si>
    <t>Grill Burger, Serdivan (Kemalpaşa Mah.)</t>
  </si>
  <si>
    <t>yakup bey / 5392575755</t>
  </si>
  <si>
    <t>Kemalpaşa Mah., Üniversite Cad., No:31 A Blok  Serdivan, Sakarya, Türkiye,</t>
  </si>
  <si>
    <t>6008a4ecf69aa44a794721da</t>
  </si>
  <si>
    <t>Tok Burger (Kemalpaşa Mah)</t>
  </si>
  <si>
    <t>ertuğrul bey/2642110855</t>
  </si>
  <si>
    <t>Kemalpaşa Mah., Dağköy Sok., No:31A, Serdivan, Sakarya, Türkiye,</t>
  </si>
  <si>
    <t>600c9d22276d0f3cf87a6431</t>
  </si>
  <si>
    <t>Adı Civan Izgara (Kemalpaşa Mah.)</t>
  </si>
  <si>
    <t>17:30</t>
  </si>
  <si>
    <t>Harun Bey/5443291390</t>
  </si>
  <si>
    <t>Kemalpaşa Mah., Atak Sok., No:1, Serdivan, Sakarya, Türkiye,</t>
  </si>
  <si>
    <t>601dcb046d12e94755486a92</t>
  </si>
  <si>
    <t>Pizza &amp; Kebap House (Bahçelievler Mah.)</t>
  </si>
  <si>
    <t>serdivan / bahçelievler</t>
  </si>
  <si>
    <t>ömer bey / 5418157310</t>
  </si>
  <si>
    <t>Kirişhane Cad., No:93/B, Serdivan, Sakarya, Türkiye,</t>
  </si>
  <si>
    <t>6043383fb8edc7e4780fdeb9</t>
  </si>
  <si>
    <t>Yagoda, Serdivan (Kemalpaşa Mah.)</t>
  </si>
  <si>
    <t>onur bey / 5535491624</t>
  </si>
  <si>
    <t>Kemalpaşa Mah., 105 Sok., No:3, serdivan</t>
  </si>
  <si>
    <t>603dfbbcb3d2c3527538f8a3</t>
  </si>
  <si>
    <t>Ada Yakamoz Tantuni, Serdivan (Kemalpaşa Mah.)</t>
  </si>
  <si>
    <t>ömer faruk / 5395537433</t>
  </si>
  <si>
    <t>Kemalpaşa Mah., Üniversite Cad., No:39, Serdivan, Sakarya, Türkiye,</t>
  </si>
  <si>
    <t>60080b4535cc59210bfdceb4</t>
  </si>
  <si>
    <t>Sakarya Kahve Akademisi (Bahçelievler Mah.)</t>
  </si>
  <si>
    <t>enes bey / 5511608118</t>
  </si>
  <si>
    <t>Bahçelievler Mah. Muhsin Yazıcıoğlu Blv. No:12/B Serdivan/Sakarya</t>
  </si>
  <si>
    <t>Özlem arslan</t>
  </si>
  <si>
    <t>604bdaf14df8547dc705cc8f</t>
  </si>
  <si>
    <t>Colombia Coffee, Serdivan (İstiklal Mah.)</t>
  </si>
  <si>
    <t>Serdivan	Kemalpaşa</t>
  </si>
  <si>
    <t>Gürkan Bukan	2642101351</t>
  </si>
  <si>
    <t>Kemalpaşa Mah. Bağlar Cad., No:108, Serdivan, Sakarya, Türkiye,</t>
  </si>
  <si>
    <t>604bdc1f6b5424e15d1b196d</t>
  </si>
  <si>
    <t>Coffee And Study, Serdivan (Kemalpaşa Mah.)</t>
  </si>
  <si>
    <t>13:00</t>
  </si>
  <si>
    <t>Serdivan	İstiklal</t>
  </si>
  <si>
    <t>Gürkan Bukan        2642111910</t>
  </si>
  <si>
    <t>İstiklal Bağlar Cad., No:81, , Sakarya, Türkiye,</t>
  </si>
  <si>
    <t>14:00</t>
  </si>
  <si>
    <t>Ali Gülle        5423614452</t>
  </si>
  <si>
    <t>600fb7f98ee57e780c400d55</t>
  </si>
  <si>
    <t>Serdivan Osmanoğulları Pide ve Börek (Kemalpaşa Mah.)</t>
  </si>
  <si>
    <t>Ramazan Arslan        2642114911</t>
  </si>
  <si>
    <t>Kemalpaşa mah. Bağlar Cad., No:96, Serdivan, Sakarya, Türkiye,</t>
  </si>
  <si>
    <t>Zeynep Yazıcı</t>
  </si>
  <si>
    <t>Nazlıcan Dinçer</t>
  </si>
  <si>
    <t>6023a20a966d0a269bdba8d0</t>
  </si>
  <si>
    <t>Pir Kebap Lahmacun &amp; Pide, Erenler (Hacıoğlu Mah.)</t>
  </si>
  <si>
    <t>11.00</t>
  </si>
  <si>
    <t>Erenler/Dilmen</t>
  </si>
  <si>
    <t>Ali PİR        2642414190</t>
  </si>
  <si>
    <t>Sakarbaba Cad., No:39, Erenler, Sakarya, Türkiye,</t>
  </si>
  <si>
    <t>6047489cb997c40ee71bd0b4</t>
  </si>
  <si>
    <t>Tezgeller Kebap &amp; Pide, Erenler (Hacıoğlu Mah.)</t>
  </si>
  <si>
    <t>13.00</t>
  </si>
  <si>
    <t>Erenler	Hacıoğlu</t>
  </si>
  <si>
    <t>RAMAZAN TEZGEL	5362504936</t>
  </si>
  <si>
    <t>Mehmet Akif Ersoy Cad., No:5, Erenler, Sakarya, Türkiye,</t>
  </si>
  <si>
    <t>Mertcan</t>
  </si>
  <si>
    <t>60409e4bdc8b325656c3c30d</t>
  </si>
  <si>
    <t>Ay Dons Döner, Erenler (Erenler Mah.)</t>
  </si>
  <si>
    <t>15.00</t>
  </si>
  <si>
    <t>erenler erenler</t>
  </si>
  <si>
    <t>yunus kara 5537510354</t>
  </si>
  <si>
    <t>Erenler Mah., Erenler Cad., No:8, Erenler, Sakarya, Türkiye,</t>
  </si>
  <si>
    <t>6040a753703aca4cacfed352</t>
  </si>
  <si>
    <t>Tarihi Roma Dondurması, Erenler (Hacıoğlu Mah.)</t>
  </si>
  <si>
    <t>18:00</t>
  </si>
  <si>
    <t>erenler hacıoğlu</t>
  </si>
  <si>
    <t>ali erdemir 5399342723</t>
  </si>
  <si>
    <t>Erenler Mah., Evliya Çelebi Cad no :9 ., Erenler, Sakarya, Türkiye,</t>
  </si>
  <si>
    <t>randevu gununu yanlıs anlamıs 28.04 e randevu alındı</t>
  </si>
  <si>
    <t>60432d259cc87d5877132ab8</t>
  </si>
  <si>
    <t>Şulenin Mutfağı, Serdivan (Arabacı Alanı Mah.)</t>
  </si>
  <si>
    <t>Serdivan	Arabacıalanı</t>
  </si>
  <si>
    <t>Şule Tufan	5373801343</t>
  </si>
  <si>
    <t>Arabacıalanı Mah., Mert Sok., No:34, Serdivan, Sakarya, Türkiye,</t>
  </si>
  <si>
    <t>6018f7dbf8fb0bd076faac18</t>
  </si>
  <si>
    <t>Urfaca Kebap, Serdivan (Arabacı Alanı Mah.)</t>
  </si>
  <si>
    <t>12.00</t>
  </si>
  <si>
    <t>Kemal Keskinkılıç        5439206234</t>
  </si>
  <si>
    <t>Çark Cad., No:306, Sakarya, Türkiye,</t>
  </si>
  <si>
    <t>601004900354af7f0e855490</t>
  </si>
  <si>
    <t>Hira Lezzet Dünyası (Arabacıalanı Mah.)</t>
  </si>
  <si>
    <t>14.00</t>
  </si>
  <si>
    <t>Serdivan        Arabacıalanı</t>
  </si>
  <si>
    <t>Raziye Özcan        5376679654</t>
  </si>
  <si>
    <t>Arabacıalanı Mah., Mert Sok., No:22, Serdivan, Sakarya, Türkiye,</t>
  </si>
  <si>
    <t>60474672902bc67111df25f7</t>
  </si>
  <si>
    <t>Vosvos Vitamin Bar, Serdivan (Arabacı Alanı Mah. - Çark Cad.)</t>
  </si>
  <si>
    <t>16.00</t>
  </si>
  <si>
    <t>MUSTAFA CAN DOĞAN        5312218647</t>
  </si>
  <si>
    <t>ARABACIALANI MAH. MERT SK. NO: 25 İÇ KAPI NO: 74 SERDİVAN/ SAKARYA</t>
  </si>
  <si>
    <t>Emel Yılmaz</t>
  </si>
  <si>
    <t>6023a033f31a703013a8f788</t>
  </si>
  <si>
    <t>Orhan Usta Kebap Diyarı</t>
  </si>
  <si>
    <t>Adapazarı/Cumhuriyet</t>
  </si>
  <si>
    <t>Orhan Demir/2642744454</t>
  </si>
  <si>
    <r>
      <rPr>
        <rFont val="Arial, sans-serif"/>
        <color rgb="FF666666"/>
        <sz val="9.0"/>
      </rPr>
      <t xml:space="preserve">Cumhuriyet mh.Şal </t>
    </r>
    <r>
      <rPr>
        <rFont val="Arial, sans-serif"/>
        <color rgb="FF1155CC"/>
        <sz val="9.0"/>
        <u/>
      </rPr>
      <t>sk.No:21</t>
    </r>
    <r>
      <rPr>
        <rFont val="Arial, sans-serif"/>
        <color rgb="FF666666"/>
        <sz val="9.0"/>
      </rPr>
      <t xml:space="preserve"> Sakarya</t>
    </r>
  </si>
  <si>
    <t>6007d9661b307e7e2f267670</t>
  </si>
  <si>
    <t>Bayındır Pide Lahmacun</t>
  </si>
  <si>
    <t>Enver bey/5321762554</t>
  </si>
  <si>
    <r>
      <rPr>
        <rFont val="Arial, sans-serif"/>
        <color rgb="FF666666"/>
        <sz val="9.0"/>
      </rPr>
      <t xml:space="preserve">Yeğenler </t>
    </r>
    <r>
      <rPr>
        <rFont val="Arial, sans-serif"/>
        <color rgb="FF1155CC"/>
        <sz val="9.0"/>
        <u/>
      </rPr>
      <t>cad.No:4</t>
    </r>
    <r>
      <rPr>
        <rFont val="Arial, sans-serif"/>
        <color rgb="FF666666"/>
        <sz val="9.0"/>
      </rPr>
      <t xml:space="preserve"> Sakarya</t>
    </r>
  </si>
  <si>
    <t>60224d20627f6e54dcb4de0b</t>
  </si>
  <si>
    <t xml:space="preserve">Dy Çıtır Lahmacun Pide </t>
  </si>
  <si>
    <t>Bülent bey/5304312412</t>
  </si>
  <si>
    <r>
      <rPr>
        <rFont val="Arial, sans-serif"/>
        <color rgb="FF666666"/>
        <sz val="9.0"/>
      </rPr>
      <t xml:space="preserve">Soğanpazarı </t>
    </r>
    <r>
      <rPr>
        <rFont val="Arial, sans-serif"/>
        <color rgb="FF1155CC"/>
        <sz val="9.0"/>
        <u/>
      </rPr>
      <t>cad.No:21</t>
    </r>
    <r>
      <rPr>
        <rFont val="Arial, sans-serif"/>
        <color rgb="FF666666"/>
        <sz val="9.0"/>
      </rPr>
      <t xml:space="preserve"> Sakarya</t>
    </r>
  </si>
  <si>
    <t>603df9bfb84783a4730fada6</t>
  </si>
  <si>
    <t>King Cake, Adapazarı (Cumhuriyet Mah.)</t>
  </si>
  <si>
    <t>Serkan bey/5442733273</t>
  </si>
  <si>
    <t>Sedat Kirtetepe cd no:10/2 A Sakarya</t>
  </si>
  <si>
    <t>ERTELEME // RAMAZANDAN DOLAYI BÜTÜN ÜRÜNLERİ ÇIKARTAMIYORMUŞ</t>
  </si>
  <si>
    <t>601dc6d3a3e4013a47ffcd6b</t>
  </si>
  <si>
    <t>Big Cake (İstiklal Mah.)</t>
  </si>
  <si>
    <t>Yasin Göçmen	5300375639</t>
  </si>
  <si>
    <t xml:space="preserve">Arabacı alanı mah. Çark cad no 298 </t>
  </si>
  <si>
    <t>İmaalat yeriymiş hedef listedeki adresle farklı burada çekim yapılması istendi</t>
  </si>
  <si>
    <t>6045252e41a491a8ba970b15</t>
  </si>
  <si>
    <t>Serdivan Kebap Evi, Serdivan (Arabacı Alanı Mah.)</t>
  </si>
  <si>
    <t>Ümit Aba	5415454587</t>
  </si>
  <si>
    <t>Arabacıalanı Mah., Güler Sok., No:8, Serdivan, Sakarya, Türkiye,</t>
  </si>
  <si>
    <t xml:space="preserve">yetkili şehir dışına gitmiş tramazandan sonra </t>
  </si>
  <si>
    <t>6009f8eef5c83e64ff918545</t>
  </si>
  <si>
    <t>Kardeşler Piliç &amp; Aperatif (Arabacı Alanı Mah.)</t>
  </si>
  <si>
    <t>Rıdvan Başbenzer	5396592954</t>
  </si>
  <si>
    <t>Arabacıalanı Mah, Eski Kazımpaşa Cad., No:203A</t>
  </si>
  <si>
    <t>Hastane işleri varmış</t>
  </si>
  <si>
    <t>6066fb803d414aa808590a6c</t>
  </si>
  <si>
    <t>Karadeniz Pide, Kebap Lahmacun (Arabacıalanı Mah. )</t>
  </si>
  <si>
    <t>ÖMER KAYA	5436069621</t>
  </si>
  <si>
    <t>Arabacıalanı Mah.//İstiklal Mahallesi, Eski Kazımpaşa Cad., No:37, Serdivan, Sakarya, Türkiye,</t>
  </si>
  <si>
    <t>6009f51f9873d875848c9c3a</t>
  </si>
  <si>
    <t>Hope Coffee Bakery (İstiklal Mah.)</t>
  </si>
  <si>
    <t>Serdivan        İstiklal</t>
  </si>
  <si>
    <t>ÖMER ÖZCAN TAŞÖZ        5393120020</t>
  </si>
  <si>
    <t>İstiklal Mah. Park Sok. No:9/A Serdivan Sakarya</t>
  </si>
  <si>
    <t>6009f012c795bd32d542c6b4</t>
  </si>
  <si>
    <t>Jungle Coffee &amp; Tea (İstiklal Mah.)</t>
  </si>
  <si>
    <t>17:00-17:30</t>
  </si>
  <si>
    <t>Serdivan İstiklal</t>
  </si>
  <si>
    <t>Akif Akyıldız        5075312331</t>
  </si>
  <si>
    <t>İstiklal mah. Bağlar cad. Zembil sok. No: 2</t>
  </si>
  <si>
    <t>Ezgi Turan</t>
  </si>
  <si>
    <t>60223ee55993bfa83b8fe61b</t>
  </si>
  <si>
    <t>Cuşka Pide &amp; Lahmacun, Serdivan (Beşköprü Mah.)</t>
  </si>
  <si>
    <t>Serdivan	Beşköprü</t>
  </si>
  <si>
    <t>Elif Öz        5541794954</t>
  </si>
  <si>
    <t>Beşköprü mah. 3168 sok. No 27c / Serdivan/Sakarya</t>
  </si>
  <si>
    <t>604333aee26cdb3dcb1e1c88</t>
  </si>
  <si>
    <t>Bibercik Çiğ Köfte, Serdivan (Beşköprü Mah.)</t>
  </si>
  <si>
    <t>Nagihan Karagüzel        5326003283</t>
  </si>
  <si>
    <t>Beşköprü Mah., Şimşek Sok., No:11, Serdivan, Sakarya, Türkiye,</t>
  </si>
  <si>
    <t>sadece tatlım var dedi ürün sunamazmış</t>
  </si>
  <si>
    <t>604335abb04af5013a9b1b82</t>
  </si>
  <si>
    <t>Köz Piliç, Serdivan (İstiklal Mah.)</t>
  </si>
  <si>
    <t>17.00</t>
  </si>
  <si>
    <t>Serdar Siyer	5423394334</t>
  </si>
  <si>
    <t>İSTİKLAL MAH. BAĞLAR CAD. NO: 34 İÇ KAPI NO: A SERDİVAN/ SAKARYA</t>
  </si>
  <si>
    <t>600bdf5fd6c5917679df8e5e</t>
  </si>
  <si>
    <t>6Nova Aperatif (İstiklal Mah.)</t>
  </si>
  <si>
    <t>18.00</t>
  </si>
  <si>
    <t>SERAP AKAGÜNDÜZ	5436606666</t>
  </si>
  <si>
    <t>Muhsin Yazıcıoğlu Blv., No:67, Serdivan, Sakarya, Türkiye,</t>
  </si>
  <si>
    <t>604ba9d066d0141b9364d1ae</t>
  </si>
  <si>
    <t>Bakery Simit &amp; Unlu Mamüller (A. Nejdet Güven Cad.)</t>
  </si>
  <si>
    <t>Adapazarı	Semerciler</t>
  </si>
  <si>
    <t xml:space="preserve">5445149494/COSKUN </t>
  </si>
  <si>
    <t>Semerciler mah A. nejdet güven cad no :9 adapazarı /sakarya</t>
  </si>
  <si>
    <t>601509e582ce1441f4583c83</t>
  </si>
  <si>
    <t>Getir Burger, Erenler (Tabakhane Mah.)</t>
  </si>
  <si>
    <t>Erenler	Tabakhane</t>
  </si>
  <si>
    <t>Hızır Türkyılmaz	5549690254</t>
  </si>
  <si>
    <t>Sakarya Cad., No:194B, Erenler, Sakarya, Türkiye,</t>
  </si>
  <si>
    <t>CENAZALERİ VARMIŞ.</t>
  </si>
  <si>
    <t xml:space="preserve">6011a5404337de79402b9476  </t>
  </si>
  <si>
    <t>Meraklı Izgara (Tabakhane Mah.)</t>
  </si>
  <si>
    <t>13.30</t>
  </si>
  <si>
    <t>Tabakhane mah. sakarya cad no:192</t>
  </si>
  <si>
    <t>60475067b826f0491d319e6e</t>
  </si>
  <si>
    <t>Cadde Burger &amp; Lunch (Rüstempaşa Mah.)</t>
  </si>
  <si>
    <t>18:00-18:30</t>
  </si>
  <si>
    <t>Sapanca/rüstempaşa</t>
  </si>
  <si>
    <t>Enes bey/5415121235</t>
  </si>
  <si>
    <t>Rüstempaşa Mah., Karaoğlanoğlu Cad., No:13, Sapanca, Sakarya, Türkiye,</t>
  </si>
  <si>
    <t>6047d1469756a061f9da3aad</t>
  </si>
  <si>
    <t>My Kebap Dünyası (Çayiçi Mah.)</t>
  </si>
  <si>
    <t>17.30</t>
  </si>
  <si>
    <t>Sapanca /çayiçi</t>
  </si>
  <si>
    <t>yasin bey/5428194161</t>
  </si>
  <si>
    <t>Çayiçi Mah., İzmit Cad., No:32, Sapanca, Sakarya, Türkiye,</t>
  </si>
  <si>
    <t>601a6dc3587d0e5422b69724</t>
  </si>
  <si>
    <t>Sapanca Pastanesi, Sapanca (Merkez)</t>
  </si>
  <si>
    <t>Sapanca	Rüstempaşa</t>
  </si>
  <si>
    <t>Kenan bey 5458412868</t>
  </si>
  <si>
    <t>Atatürk Cad., No:44, Sapanca, Sakarya, Türkiye,</t>
  </si>
  <si>
    <t>RANDEVU ALINMAYACAK</t>
  </si>
  <si>
    <t>60103af58ee57e1999402aa0</t>
  </si>
  <si>
    <t>Ada Kabak(Orta Mah.)</t>
  </si>
  <si>
    <t>Adapazarı	Orta</t>
  </si>
  <si>
    <t>Süleyman Bey/ 5425839950</t>
  </si>
  <si>
    <t>Orta Mah., Çeşme Meydanı Cad., No:66, Adapazarı, Sakarya, Türkiye,</t>
  </si>
  <si>
    <t>RAMAZANDAN SONRA İSTİYOR.</t>
  </si>
  <si>
    <t>601039ff523bc6cb8d3fc875</t>
  </si>
  <si>
    <t>Şen Kardeşler Lokantası</t>
  </si>
  <si>
    <t>Orta Mah., Çeşme Meydanı Cad., No:66A, Adapazarı, Sakarya, Türkiye,</t>
  </si>
  <si>
    <t>tekrar randevu 29 una alndı</t>
  </si>
  <si>
    <t>606ef87f20d6a1581ae6fec0</t>
  </si>
  <si>
    <t>Ahsen Pastaneleri (Semerciler Mah.)</t>
  </si>
  <si>
    <t>ONUR BEY /5315130658</t>
  </si>
  <si>
    <t>Semerciler mah Atatürk blv. Pasaj 2000 NO :2 M ADAPAZARI /SAKARYA</t>
  </si>
  <si>
    <t>Gül Değirmenci</t>
  </si>
  <si>
    <t>600be110b196914ac33cfc17</t>
  </si>
  <si>
    <t>Bana 1 Izgara (Mithatpaşa mah.)</t>
  </si>
  <si>
    <t>Adapazarı/Mithatpaşa</t>
  </si>
  <si>
    <t>Murat Bey/5424586391</t>
  </si>
  <si>
    <t>Adnan Menderes Cad., No:152A, Adapazarı, Sakarya, Türkiye,</t>
  </si>
  <si>
    <t>fotografları oldugunu hatırlamış</t>
  </si>
  <si>
    <t>606daaf671d0ce49a6d4c59e</t>
  </si>
  <si>
    <t>Çınarlı Börek Baklava (Cumhuriyet Mah.)</t>
  </si>
  <si>
    <t>Sercan Bey/5425965994</t>
  </si>
  <si>
    <t>Cumhuriyet Mah., Uzun Çarşı Sok., No:21, Adapazarı, Sakarya, Türkiye,</t>
  </si>
  <si>
    <t>606dadc4e84f127c0da20f87</t>
  </si>
  <si>
    <t>Kırmızı Elma Pastaneleri (Cumhuriyet Mah.)</t>
  </si>
  <si>
    <t>Cumhuriyet Mah., Uzun Çarşı Sok., No:11, Adapazarı, Sakarya, Türkiye,</t>
  </si>
  <si>
    <t>6013a3f4d1201b3120953953</t>
  </si>
  <si>
    <t>Şirinkonak Ev Yemekleri (Şirinevler Mh.)</t>
  </si>
  <si>
    <t>Adapazarı/Şirinevler</t>
  </si>
  <si>
    <t>Murat Bey/5444709254</t>
  </si>
  <si>
    <t>Şirinevler Mah., Vagon Sok., No:11A, Adapazarı, Sakarya, Türkiye,</t>
  </si>
  <si>
    <t>601020aea51c1802db0e663d</t>
  </si>
  <si>
    <t>Meriç Islama Köfte</t>
  </si>
  <si>
    <t>Adapazarı/Yenicami</t>
  </si>
  <si>
    <t>Nilüfer Hanım/5332176217</t>
  </si>
  <si>
    <t>Yeni Cami, Sakarya Cd. D:No: 8/A Adapazarı, Sakarya</t>
  </si>
  <si>
    <t>6023a3f9c3e3762346477fba</t>
  </si>
  <si>
    <t>Yakut Aperatif, Erenler ( Dilmen Mah.)</t>
  </si>
  <si>
    <t>İbrahim Bey/5394374343</t>
  </si>
  <si>
    <t>Sakarbaba Cad., No:37, Erenler, Sakarya, Türkiye,</t>
  </si>
  <si>
    <t>600de4070475c8011eabbf68</t>
  </si>
  <si>
    <t>Ciğerci Bahattin (Kemalpaşa Mah.)</t>
  </si>
  <si>
    <t>Serdivan / Kemalpaşa</t>
  </si>
  <si>
    <t>Emrullah Bey / 5340794102</t>
  </si>
  <si>
    <t>Kemalpaşa Mah. Kenan Sofuoğlu Cad. no2 serdivan/Sakarya</t>
  </si>
  <si>
    <t>600e5bd965caa75acc3f01f0</t>
  </si>
  <si>
    <t>Double 7 Izgara (Kemalpaşa Mah.)</t>
  </si>
  <si>
    <t>Halilcan Aygın	5417231070</t>
  </si>
  <si>
    <t xml:space="preserve">Kemal paşa mah. Üniversite cad. No 51..aserdivan/sakarya        </t>
  </si>
  <si>
    <t>ramazandan sonra</t>
  </si>
  <si>
    <t>601501fe1b5f9be52920bde4</t>
  </si>
  <si>
    <t>Köfteci İsmail, Serdivan (Arabacı Alanı Mah. - Çark Cad.)</t>
  </si>
  <si>
    <t>Serdivan/İstiklal</t>
  </si>
  <si>
    <t>Sevcan Hanım/5432120886</t>
  </si>
  <si>
    <t>Çark Cad., No:169, Sakarya, Türkiye,</t>
  </si>
  <si>
    <t>ÖMER BEY İLGİLENecek</t>
  </si>
  <si>
    <t>606c484cda28126157626f0f</t>
  </si>
  <si>
    <t>Hira Döner, Serdivan (Kemal Paşa Mah.)</t>
  </si>
  <si>
    <t>FATİH SATILMIŞ        5419041110</t>
  </si>
  <si>
    <t>Kemalpaşa Mah., Yeni Cad., No:6, Serdivan, Sakarya, Türkiye,</t>
  </si>
  <si>
    <t xml:space="preserve">6051aa290bd20f3681751f4b      </t>
  </si>
  <si>
    <t>Dilruba Pastanesi (Kazımpaşa Mah.)</t>
  </si>
  <si>
    <t>"Serdivan	Kazımpaşa"</t>
  </si>
  <si>
    <t>"Çiğdem Erbay	5372643754"</t>
  </si>
  <si>
    <t>Kazımpaşa mah 18 Nisan Cad., No:64, Serdivan, Sakarya, Türkiye,</t>
  </si>
  <si>
    <t>Eda Cıbır</t>
  </si>
  <si>
    <t>600b6401ee8675b15e220b6b</t>
  </si>
  <si>
    <t>Bacca Restaurant (İstiklal Mah.)</t>
  </si>
  <si>
    <t xml:space="preserve">sedirvan bahçelievler </t>
  </si>
  <si>
    <t>oğuzhan kutluoğlu 5358688463</t>
  </si>
  <si>
    <t>İstiklal Mah., Çelebi Sok., No:1, Serdivan, Sakarya, Türkiye,</t>
  </si>
  <si>
    <t xml:space="preserve">ramazandan sonra </t>
  </si>
  <si>
    <t>600fca1a2505a331b3a75dd4</t>
  </si>
  <si>
    <t>Doy Izgara (Tabakhane Mah.)</t>
  </si>
  <si>
    <t>adapazarı cumhuriyet</t>
  </si>
  <si>
    <t>hamza bey 5353658946</t>
  </si>
  <si>
    <t>Hacıoğlu Mah., Cumhuriyet Cad., No:116, Erenler, Sakarya, Türkiye,</t>
  </si>
  <si>
    <t>600fe50ad6c591990de050e9</t>
  </si>
  <si>
    <t>Öz Urfa Sofrası (Hacıoğlu Mah.)</t>
  </si>
  <si>
    <t xml:space="preserve">adapazarı hacılar </t>
  </si>
  <si>
    <t>savaş bey 5413585404</t>
  </si>
  <si>
    <t>Mehmet Akif Ersoy Cad., No:41, Erenler, Sakarya, Türkiye,</t>
  </si>
  <si>
    <t>600d3e0eb19c482330c2d1aa</t>
  </si>
  <si>
    <t>Bisiklet Kahvesi (15 Temmuz Camili Mah.)</t>
  </si>
  <si>
    <t>adapazarı 15 Temmuz Camili</t>
  </si>
  <si>
    <t>fatih ertuğrul çolak 5394254154</t>
  </si>
  <si>
    <t>15 Temmuz Camili Mah., 221 Nolu Cad., No:3C, Adapazarı, Sakarya, Türkiye,</t>
  </si>
  <si>
    <t>60120c675778c4bfb4c03fcd</t>
  </si>
  <si>
    <t>Bol Kepçe Tabldot Aperatif (15 Temmuz Camili Mah.)</t>
  </si>
  <si>
    <t>Adapazarı	15 Temmuz Camili</t>
  </si>
  <si>
    <t>NEDİM SEVİM	5382733854</t>
  </si>
  <si>
    <t>15 TEMMUZ CAMİLİ MAH. 1634 KM. EVL. İŞ MERKEZİ 338 BLOK NO: 1 İÇ KAPI NO: Z05 ADAPAZARI/ SAKARYA</t>
  </si>
  <si>
    <t>600d32517e16da055beaa003</t>
  </si>
  <si>
    <t>Roll Döner (15 Temmuz Camili Mah.)</t>
  </si>
  <si>
    <t>15:30</t>
  </si>
  <si>
    <t>engin bey 5315200055</t>
  </si>
  <si>
    <t>15 Temmuz Camili mah. Şehit Kaymakam Muhammet Fatih Safitürk Cad. 339 nolu iş merkezi z02</t>
  </si>
  <si>
    <t>600d3a6e8ee57e08fd3f7c86</t>
  </si>
  <si>
    <t>Hayal Ev Baklavaları &amp; Butik Pasta (15 Temmuz Camili Mah.)</t>
  </si>
  <si>
    <t>Rezzan Aydın	5315764723</t>
  </si>
  <si>
    <t>15 temmuz camili mah 1634 küme evleri 338 nolu sarı iş merkezi No .z06</t>
  </si>
  <si>
    <t xml:space="preserve">6079275310bf229459b5a183      </t>
  </si>
  <si>
    <t>Cook Time (Kemalpaşa Mah.)</t>
  </si>
  <si>
    <t>Emirhan Oral	5335030112</t>
  </si>
  <si>
    <t xml:space="preserve">Kemalpaşa Mah., Üniversite Cad., No:31, Serdivan, Sakarya, Türkiye,	</t>
  </si>
  <si>
    <t>60101af9a501796affccb9ac        Tet-To Burger Pizza</t>
  </si>
  <si>
    <t>Furkan Şen        5428423854 -05445405469 VOLKAN</t>
  </si>
  <si>
    <t xml:space="preserve">Kemalpaşa Mah., Usta Sok., No:14, Serdivan, Sakarya, Türkiye,	</t>
  </si>
  <si>
    <t>6066f2a493202ab513c4fe87        Kocausta Kasap Izgara, Arifiye (Arif Bey Mah.)</t>
  </si>
  <si>
    <t>Arifiye        Arifbey</t>
  </si>
  <si>
    <t>Derya Özkan        5324014767</t>
  </si>
  <si>
    <t>Arifiye Mah. Zübeyde Hanım Cad., No:246, Arifiye, Sakarya, Türkiye,</t>
  </si>
  <si>
    <t>6040ae6991adfc1d8ca7875a</t>
  </si>
  <si>
    <t>Göktürk Baklava &amp; Börek, Serdivan (Bahçelievler Mah.)</t>
  </si>
  <si>
    <t>16.30</t>
  </si>
  <si>
    <t>Serdivan	Bahçelievler</t>
  </si>
  <si>
    <t>Ömer Hakan Demir        5300530054</t>
  </si>
  <si>
    <t>Bağlar Cad., No:134, Serdivan, Sakarya, Türkiye,</t>
  </si>
  <si>
    <t>607d3724117f7c5a9b0eb643</t>
  </si>
  <si>
    <t>KebapçıBey, Serdivan (Arabacı Alanı Mah. - Çark Cad.)</t>
  </si>
  <si>
    <t>Adapazarı	Mithatpaşa</t>
  </si>
  <si>
    <t>TEKİN AKTAŞ	5367711993</t>
  </si>
  <si>
    <t>ARABACIALANI MAH. ÇARK CAD. NO: 106 SERDİVAN/ SAKARYA</t>
  </si>
  <si>
    <t>600ea469cb8d0501dc0c5013</t>
  </si>
  <si>
    <t>Temel'in Yeri (Cumhuriyet Mah.)</t>
  </si>
  <si>
    <t>Nurşen hanım/ 5537780794</t>
  </si>
  <si>
    <t>Sedat Kirtetepe Cad., No:11, Adapazarı, Sakarya, Türkiye,</t>
  </si>
  <si>
    <t>şehir dışına çıkmış bu yüzden iptal</t>
  </si>
  <si>
    <t>6072b00ff842527461b8d4af</t>
  </si>
  <si>
    <t>Kaşık, Adapazarı (Cumhuriyet Mah.)</t>
  </si>
  <si>
    <t>Adapazarı / Semerciler</t>
  </si>
  <si>
    <t>Harun Duran	5305148954</t>
  </si>
  <si>
    <t>Semerciler Mah., Yamanlar Sok., No:32, Adapazarı, Sakarya, Türkiye,</t>
  </si>
  <si>
    <t>eksik ürün sebebi ile iptal ramazandan sonra aranacak</t>
  </si>
  <si>
    <t>16:30</t>
  </si>
  <si>
    <t>Erenler / Hacıoğlu</t>
  </si>
  <si>
    <t>Ali Erdemir 5399342723</t>
  </si>
  <si>
    <t>Hacıoğlu Mah, Evliya Çelebi Cad no :9 ., Erenler, Sakarya, Türkiye,</t>
  </si>
  <si>
    <t>Adapazarı/Orta</t>
  </si>
  <si>
    <t>yemek yapmıyorum ama tatlıları cıkarırım dedi tatlıları sisteme ekleyecek tatlı çekimi yapılacak ev yemegi için ramazandan sonra cekim yapılabilinir.</t>
  </si>
  <si>
    <t>600de047bce91f6fefa5b341</t>
  </si>
  <si>
    <t>Polat Pide (Karaman Mah.)</t>
  </si>
  <si>
    <t>13:30</t>
  </si>
  <si>
    <t xml:space="preserve">Adapazarı/Karaman </t>
  </si>
  <si>
    <t>Neşe Şahin 5535480640</t>
  </si>
  <si>
    <t>Karaman Mah., 1777 Küme Evler, No:1, Adapazarı, Sakarya, Türkiye,</t>
  </si>
  <si>
    <t>6023a84a851ea98f46cd76fc</t>
  </si>
  <si>
    <t>Selim Usta, Adapazarı (Cumhuriyet Mah.)</t>
  </si>
  <si>
    <t xml:space="preserve">adapazarı cumhuriyet </t>
  </si>
  <si>
    <t>Serkan sarıoğlu 5327318549</t>
  </si>
  <si>
    <t>Cumhuriyet Mah., Kanara Sok., No:1, Adapazarı, Sakarya, Türkiye,</t>
  </si>
  <si>
    <t>60113f5dd32c70ae3eab0e5d</t>
  </si>
  <si>
    <t>Keyfi Tadında (Yenigün Mah.)</t>
  </si>
  <si>
    <t>adapazarı yenigün</t>
  </si>
  <si>
    <t>Hakan çalışkan  5415310531</t>
  </si>
  <si>
    <t>15 Temmuz Blv., No:35, Adapazarı, Sakarya, Türkiye,</t>
  </si>
  <si>
    <t>USTASI  RAHATSIZMIŞ.</t>
  </si>
  <si>
    <t>606da86221d646e339348c59</t>
  </si>
  <si>
    <t>Ada Börek &amp; Çiğ Köfte, Erenler (Dilmen Mah.</t>
  </si>
  <si>
    <t>16:00</t>
  </si>
  <si>
    <t xml:space="preserve">ERENLER DİLMEN </t>
  </si>
  <si>
    <t>RECEP BEY 5428330750</t>
  </si>
  <si>
    <t>Dilmen Mah Sakarbaba Cad., No:93, Erenler, Sakarya, Türkiye,</t>
  </si>
  <si>
    <t>Serdivan
Erenler
Arifiye
Sapanca</t>
  </si>
  <si>
    <t>604c88324fbb432fc2312d75</t>
  </si>
  <si>
    <t>Kamışoğlu Yemek, Sapanca (Çayiçi Mah.)</t>
  </si>
  <si>
    <t>sapanca çayiçi</t>
  </si>
  <si>
    <t>sebahattin kamışoğlu 5306052410</t>
  </si>
  <si>
    <t>Çayiçi Mah., Mercan Sok., No:10, Sapanca, Sakarya, Türkiye,</t>
  </si>
  <si>
    <t>604c895a6b8a4e60df1f11c7</t>
  </si>
  <si>
    <t>Bianca Shisha Lounge, Sapanca (Kırkpınar Hasanpaşa Mah.)</t>
  </si>
  <si>
    <t>sapanca Kırkpınar Hasanpaşa</t>
  </si>
  <si>
    <t>kadir adıyaman 5452490333</t>
  </si>
  <si>
    <t>Kırkpınar Hasanpaşa Mah., İstasyon Cad., No:30, Sapanca, Sakarya, Türkiye,</t>
  </si>
  <si>
    <t>603f4436ff40490751093f72</t>
  </si>
  <si>
    <t>Makarrrna Cafe &amp; Bistro, Kırkpınar (Hasanpaşa Mah.)</t>
  </si>
  <si>
    <t>Sara Shakwer 5456063367</t>
  </si>
  <si>
    <t>Kırkpınar Hasanpaşa Mah., Yeşil Meydan Cad., No:39, Sapanca, Sakarya, Türkiye,</t>
  </si>
  <si>
    <t>malzeme eksikliği yüzünden iptal çıkaramam o kadar ürün dedi</t>
  </si>
  <si>
    <t>601ba6d34359293cbd94cd84</t>
  </si>
  <si>
    <t>Özdemir Pide &amp; Kebap, Sapanca (Kırkpınar Hasanpaşa Mah.)</t>
  </si>
  <si>
    <t>ali özdemir 5327127618</t>
  </si>
  <si>
    <t>Kırkpınar Hasanpaşa Mah., İstasyon Cad., No:2, Sapanca, Sakarya, Türkiye,</t>
  </si>
  <si>
    <t>60926552617bb5749897483b</t>
  </si>
  <si>
    <t>Çiğköfteevi, Sapanca (Çayiçi Mah.)</t>
  </si>
  <si>
    <t>Sapanca	Çayiçi</t>
  </si>
  <si>
    <t>ceyhun bey 5468133406</t>
  </si>
  <si>
    <t>Çayiçi mah Ersin Cad., No:36, Sapanca, Sakarya, Türkiye,</t>
  </si>
  <si>
    <t>600e6445ace44f7155afb453</t>
  </si>
  <si>
    <t>Saklı Köşk Balık (Gazipaşa Mah.)</t>
  </si>
  <si>
    <t>sapanca gazipaşa</t>
  </si>
  <si>
    <t>celal savaş 5322140537</t>
  </si>
  <si>
    <t>Çayiçi Mah., İzmit Cad., No:39, Sapanca, Sakarya, Türkiye,</t>
  </si>
  <si>
    <t>1 hafta sonra tekrar aranılcak</t>
  </si>
  <si>
    <t>607a9339f2c942dd54c28adf</t>
  </si>
  <si>
    <t>Meşhur Yeni Camii Meydan Köftecisi (Kırkpınar Hasanpaşa Mah.)</t>
  </si>
  <si>
    <t>sapancan Kırkpınar Hasanpaşa</t>
  </si>
  <si>
    <t>ercan yılgın 5395888899</t>
  </si>
  <si>
    <t>Kırkpınar Hasanpaşa Mah., İstasyon Cad., No:3/A, Sapanca, Sakarya, Türkiye,</t>
  </si>
  <si>
    <t>ürün çıkartamamış.</t>
  </si>
  <si>
    <t>6043324f95464a429c840850</t>
  </si>
  <si>
    <t>Pi Love, Sapanca (Rüstempaşa Mah.)</t>
  </si>
  <si>
    <t>sapanca rüstempaşa</t>
  </si>
  <si>
    <t>berat bey 5319580243</t>
  </si>
  <si>
    <t>Rüstempaşa Mah., Yılmazer Sok., No:8, Sapanca, Sakarya, Türkiye,</t>
  </si>
  <si>
    <t>601d11d6002c3033409240d8</t>
  </si>
  <si>
    <t>Çardakaltı, Sapanca (Kırkpınar Hasanpaşa Mah.)</t>
  </si>
  <si>
    <t>10.00</t>
  </si>
  <si>
    <t>Sapanca	Kırkpınar Hasanpaşa</t>
  </si>
  <si>
    <t>Sevgi Ceylan	5528375854</t>
  </si>
  <si>
    <t>Kırkpınar Hasanpaşa Mah., İstasyon Cad., No:11, Sapanca, Sakarya, Türkiye,</t>
  </si>
  <si>
    <t>6013ac1661fea7179c1ed5be</t>
  </si>
  <si>
    <t>Osmanlı Pide &amp; Lahmacun, Sapanca (Gazipaşa Mah.)</t>
  </si>
  <si>
    <t>Sapanca	Gazipaşa</t>
  </si>
  <si>
    <t>Ayşe Piştofoğlu	5523836654</t>
  </si>
  <si>
    <t>Kemalettin Sami Paşa Cad., No:4, Sapanca, Sakarya, Türkiye,</t>
  </si>
  <si>
    <t>60074c36c11c76b50bb9c4f4</t>
  </si>
  <si>
    <t>Adapazarı	Cumhuriyet</t>
  </si>
  <si>
    <t>Taner Demirel	5434311111</t>
  </si>
  <si>
    <t>Cumhuriyet Mah., Hüseyin Rahmi Sok., No:5, Adapazarı, Sakarya, Türkiye</t>
  </si>
  <si>
    <t>60432ea2133a2947084162b8</t>
  </si>
  <si>
    <t>Pideci Şaban Dede, Adapazarı (Semerciler Mah. - Çark Cad.)</t>
  </si>
  <si>
    <t>Şaban Demir	5355886448</t>
  </si>
  <si>
    <t>cumhuriyet mah bahçıvan sok no 95 adapazarı sakarya</t>
  </si>
  <si>
    <t>608a5aeff237b232f70c2a09</t>
  </si>
  <si>
    <t>Fırat Usta, Adapazarı (Ozanlar Mah.)</t>
  </si>
  <si>
    <t>Adapazarı	İstiklal</t>
  </si>
  <si>
    <t>Nagihan Yıldırım        5301179139</t>
  </si>
  <si>
    <t>İstiklal Mah., Dibektaş Cad., No:12, Adapazarı, Sakarya, Türkiye,</t>
  </si>
  <si>
    <t>60884169e73849d8035fcfa3</t>
  </si>
  <si>
    <t>Bayramefendi Osmanlı Kahvecisi (Semerciler Mah.- Çark Cad.)</t>
  </si>
  <si>
    <t>10.30</t>
  </si>
  <si>
    <t>Rukiye Şahin	5308873486</t>
  </si>
  <si>
    <t>Cumhuriyet Mah., Hüseyin Rahmi Sok., No:8, Adapazarı, Sakarya, Türkiye,</t>
  </si>
  <si>
    <t>6007631c5e157f43e8d8989f</t>
  </si>
  <si>
    <t>Beyenal Burgers &amp; Drinks (Cumhuriyet Mah.)</t>
  </si>
  <si>
    <t>12.30</t>
  </si>
  <si>
    <t>Şehnaz Beyenal	5322329483</t>
  </si>
  <si>
    <t>Cumhuriyet Mah., Şal Sok., No:66, Adapazarı, Sakarya, Türkiye,</t>
  </si>
  <si>
    <t>6007760eb4fcb4545e75cb38</t>
  </si>
  <si>
    <t>Ho-La Lahmacun (Cumhuriyet Mah.)</t>
  </si>
  <si>
    <t>14.30</t>
  </si>
  <si>
    <t>Osman Halıcı	5060528220</t>
  </si>
  <si>
    <t>Çark Cad., No:64, Sakarya, Türkiye,</t>
  </si>
  <si>
    <t>Serkan Baydar	5442733273</t>
  </si>
  <si>
    <t>Sedat Kirtetepe Cad., No:10/2A, Adapazarı, Sakarya, Türkiye,</t>
  </si>
  <si>
    <t>6018fc9ce3c69cd8cc83fed6</t>
  </si>
  <si>
    <t>Sakız Dondurma &amp; Waffle, Serdivan (Arabacı Alanı Mah.)</t>
  </si>
  <si>
    <t>Çağrı Görür	5323942354</t>
  </si>
  <si>
    <t>Çark Cad., No:343, Sakarya, Türkiye,</t>
  </si>
  <si>
    <t>60880a6495eb320e49a452b7</t>
  </si>
  <si>
    <t>Köfteci Hasan, Erenler (Erenler Mah.)</t>
  </si>
  <si>
    <t>Erenler	Bağlar</t>
  </si>
  <si>
    <t>Hasan Öztürk	5339610532</t>
  </si>
  <si>
    <t>Erenler Mah., Yavuz Selim Cad., No:56, Erenler, Sakarya, Türkiye,</t>
  </si>
  <si>
    <t>60792e3958e435331b974816</t>
  </si>
  <si>
    <t>Mola Çorba Sarayı, Serdivan (İstiklal Mah.)</t>
  </si>
  <si>
    <t>Selahaddin Baysal	5467436646</t>
  </si>
  <si>
    <t>İstiklal Mah., 2. Cad., No:25, Serdivan, Sakarya, Türkiye,</t>
  </si>
  <si>
    <t>600e550e12a3f130a22653f9</t>
  </si>
  <si>
    <t>Bilgin Börekçilik (Semerciler Mah)</t>
  </si>
  <si>
    <t>MELİH TAHA BİLGİN	5455130119</t>
  </si>
  <si>
    <t>SEMERCİLER MAH. KUDÜS CAD. NO: 62 İÇ KAPI NO: A</t>
  </si>
  <si>
    <t>60142276b9e685be465b729f</t>
  </si>
  <si>
    <t>İkimiz Pizza</t>
  </si>
  <si>
    <t>Adapazarı	Papuççular</t>
  </si>
  <si>
    <t>Kemalcan Ergün	5306836526</t>
  </si>
  <si>
    <t>Mithatpaşa Mah., Güllük Sok., No:11A, Adapazarı, Sakarya, Türkiye,</t>
  </si>
  <si>
    <t>601424aa1b5f9b147720a155</t>
  </si>
  <si>
    <t>İkimiz Izgara</t>
  </si>
  <si>
    <t>6090fd337eae6c5ce9576cf5</t>
  </si>
  <si>
    <t>Afiyet Piliç (Kurtuluş Mah.)</t>
  </si>
  <si>
    <t>adapazarı semerciler</t>
  </si>
  <si>
    <t>Musa İŞLER	5387641794</t>
  </si>
  <si>
    <t>semercler mahallesi bosna caddesi no 25</t>
  </si>
  <si>
    <t>Süleyman Çubukçuoğlu	5425839950</t>
  </si>
  <si>
    <t>DEVAM ÇEKİMİ.</t>
  </si>
  <si>
    <t>601fbcee252c44120f134bfa</t>
  </si>
  <si>
    <t>Pala Kebap Sarayı, Adapazarı (Mithatpaşa Mah.)</t>
  </si>
  <si>
    <t>Ramazan Pala	5312105641</t>
  </si>
  <si>
    <t>Adnan Menderes Cad., No:132, Adapazarı, Sakarya, Türkiye,</t>
  </si>
  <si>
    <t>608a6ee877de8a49d20424c9</t>
  </si>
  <si>
    <t>Tarihi Çift İkizler Pide &amp; Kebap, Erenler (Erenler Mah.)</t>
  </si>
  <si>
    <t>Erenler        Tabakhane</t>
  </si>
  <si>
    <t>Muhammed Bey/5372806245</t>
  </si>
  <si>
    <t>Erenler Mah., Erenler Cad., No:22, Erenler, Sakarya, Türkiye,</t>
  </si>
  <si>
    <t>6013a8b3f8fb0b52cbf9d111</t>
  </si>
  <si>
    <t>Çiçek Beyoğlu Çikolata (İstiklal Mah.)</t>
  </si>
  <si>
    <t>Tayfun Bilgili	5332168260</t>
  </si>
  <si>
    <t>Muhsin Yazıcıoğlu Blv., No:45/E Serdivan, Sakarya, Türkiye,</t>
  </si>
  <si>
    <t>6013a8adf55f403c34c98d71	Çiçek Beyoğlu Pizza (İstiklal Mah.)</t>
  </si>
  <si>
    <t>Muhsin Yazıcıoğlu Blv., No:45/E, Serdivan, Sakarya, Türkiye,</t>
  </si>
  <si>
    <t>600bd5ac9dceb635b8081c40</t>
  </si>
  <si>
    <t>Edman Kanat (İstiklal Mah.)</t>
  </si>
  <si>
    <t>Vedat Furkan Edman	5324709754</t>
  </si>
  <si>
    <t>Muhsin Yazıcıoğlu Blv., No:69, Serdivan, Sakarya, Türkiye</t>
  </si>
  <si>
    <t>Kemal paşa mah. Üniversite cad. No 64 G blok iç kapı no 1 serdivan/sakarya</t>
  </si>
  <si>
    <t>6098ed0391f4476a96d94b95</t>
  </si>
  <si>
    <t>Meşhur İzmir Kral Kumru, Serdivan</t>
  </si>
  <si>
    <t>Mehmet Bey/5522027309</t>
  </si>
  <si>
    <t>Bağlar Cad., No:88, Serdivan, Sakarya, Türkiye,</t>
  </si>
  <si>
    <t>ULAŞILAMAZASA HASAN : 05541845429</t>
  </si>
  <si>
    <t>6011a6bad9ee3cab7a032bcd</t>
  </si>
  <si>
    <t>Ambar(İstiklal Mah.)</t>
  </si>
  <si>
    <t>Mekan Bey/5309127727</t>
  </si>
  <si>
    <t>İstiklal Mah., Karadere Cad., No:10, Serdivan, Sakarya, Türkiye,</t>
  </si>
  <si>
    <t xml:space="preserve">MAKİNE BOZUK OLDUĞU İÇİN </t>
  </si>
  <si>
    <t>5f87fd0a1cfa9804022d7c80</t>
  </si>
  <si>
    <t>Ekşi Fırın, Serdivan (Merkez)</t>
  </si>
  <si>
    <t>Tufan Bey/5323373096-2642110800</t>
  </si>
  <si>
    <t>İstiklal, 2. Cd. No:45, 54050 Serdivan/Sakarya</t>
  </si>
  <si>
    <t>607a957b3e5254e32c690c46</t>
  </si>
  <si>
    <t>Çiğ Köfteci ÖFM, Serdivan (32 Evler Mah.)</t>
  </si>
  <si>
    <t xml:space="preserve">Serdivan/Otuziki Evler </t>
  </si>
  <si>
    <t>Ömer Faruk Bey/5322802014</t>
  </si>
  <si>
    <t>Otuziki Evler Mah., Buğday Sok., No:2, Serdivan, Sakarya, Türkiye,</t>
  </si>
  <si>
    <t>6096808266b44ff576cc12e7</t>
  </si>
  <si>
    <t>Just 4 Pizza, Serdivan (İstiklal Mah.)</t>
  </si>
  <si>
    <t>Erdem Varlı        5322895494</t>
  </si>
  <si>
    <t>Kemalpaşa Mah., Yavuz Sok., No:3, Serdivan, Sakarya, Türkiye,</t>
  </si>
  <si>
    <t>601529e3f179e4d319266875</t>
  </si>
  <si>
    <t>Hayal Profiterol, Serdivan (İstiklal Mah.)</t>
  </si>
  <si>
    <t>Bülent Bey/5325640364</t>
  </si>
  <si>
    <t>İstiklal, Bağlar Cd. No:21, 54050 Serdivan/Sakarya</t>
  </si>
  <si>
    <t>5f60b19c4686122644c97858</t>
  </si>
  <si>
    <t>Chilek Waffle &amp; Kumpir, Serdivan (Merkez)</t>
  </si>
  <si>
    <t>İstiklal, Bağlar Cd. No:32, 54050 Serdivan/Sakarya</t>
  </si>
  <si>
    <t>60a661ef82ef2a375134e870</t>
  </si>
  <si>
    <t>Aydoğdu Aperatif, Adapazarı (Güllük Mah.)</t>
  </si>
  <si>
    <t>Adapazarı	Şirinevler</t>
  </si>
  <si>
    <t>SERDAR AYDOĞDUOĞLU	5309116493</t>
  </si>
  <si>
    <t>ŞİRİNEVLER MAH. ADNAN MENDERES CAD. NO: 230 A (radyo pub alt katında orman bölge müd karşısı)</t>
  </si>
  <si>
    <t>609674b48bff0b7410668749</t>
  </si>
  <si>
    <t>Beyaz Işık Pastaneleri (Semerciler Mah. - Bosna Cad.)</t>
  </si>
  <si>
    <t>BEYAZ IŞIK ÇAKIRLAR GIDA VE UNLU MAMULLER SAN VE TİC. LTD. ŞTİ	5314555888</t>
  </si>
  <si>
    <t>Semerciler Saray Bosna Cad., No:26, Adapazarı, Sakarya, Türkiye,</t>
  </si>
  <si>
    <t>6023a6b1c3e376847447807e</t>
  </si>
  <si>
    <t>Tıkın Doy Büfe, Adapazarı (Semerciler Mah. - Çark Cad.)</t>
  </si>
  <si>
    <t>Selim bey 5414025733</t>
  </si>
  <si>
    <t>Cumhuriyet Mah., Kanara Sok., No:4, Adapazarı, Sakarya, Türkiye,</t>
  </si>
  <si>
    <t>601e37bbb9901281da4d32f5</t>
  </si>
  <si>
    <t>Midye Limon (Kemalpaşa Mah.)</t>
  </si>
  <si>
    <t>Onur Demir	5414649144</t>
  </si>
  <si>
    <t>Kemalpaşa Mah., Feza Sok., No:12, Serdivan, Sakarya, Türkiye,</t>
  </si>
  <si>
    <t>601e383f8a8c671ee52c5ba0</t>
  </si>
  <si>
    <t>Waffle Time, Serdivan (Kemalpaşa Mah.)</t>
  </si>
  <si>
    <t>Kemalpaşa MaH. Feza Sok. No:12/B</t>
  </si>
  <si>
    <t>600b6ae49dceb6349c080fd9</t>
  </si>
  <si>
    <t>Tiki Taka Cafe (Kemalpaşa Mah.)</t>
  </si>
  <si>
    <t>Elif hanım 5396772462</t>
  </si>
  <si>
    <t>Kemalpaşa Mah. 128. Sok. No.1C Kapı No. 4 Serdivan/Sakarya</t>
  </si>
  <si>
    <t>6013a8adf55f403c34c98d71</t>
  </si>
  <si>
    <t>Çiçek Beyoğlu Pizza (İstiklal Mah.)</t>
  </si>
  <si>
    <t>Muhsin Yazıcıoğlu Blv., No:43, Serdivan, Sakarya, Türkiye,</t>
  </si>
  <si>
    <t>Ahmet Mutlu	5309127727</t>
  </si>
  <si>
    <t>6091448627e1d11f30583314</t>
  </si>
  <si>
    <t>Fatih Izgara (Kemalpaşa Mah.)</t>
  </si>
  <si>
    <t>Serdivan	Esentepe</t>
  </si>
  <si>
    <t>Fatih Dereli	5494545434</t>
  </si>
  <si>
    <t>Kemalpaşa Mah., Esen Sok., No:4, Serdivan, Sakarya, Türkiye,</t>
  </si>
  <si>
    <t>Yusuf Tosbatlıoğlu	5383161453</t>
  </si>
  <si>
    <t>60a65b95cd7411f9e739cbef</t>
  </si>
  <si>
    <t>Hacı Mustafa Baklavaları (Tığcılar Mah.)</t>
  </si>
  <si>
    <t>Adapazarı	Tığcılar</t>
  </si>
  <si>
    <t>FAHRİYE TANIŞ	5326663639</t>
  </si>
  <si>
    <t>tığcılar mah atatürk bulv. tezemirler apt 99 sakarya</t>
  </si>
  <si>
    <t>608b995510cf06feaaf7f2df</t>
  </si>
  <si>
    <t>Izgaracı Zeki Usta, Adapazarı (Hızırtepe Mah.)</t>
  </si>
  <si>
    <t>Adapazarı	Hızırtepe</t>
  </si>
  <si>
    <t>ZEKİ ABA        5368253358</t>
  </si>
  <si>
    <t>Fatih Cad., No:131, Sakarya, Türkiye,</t>
  </si>
  <si>
    <t>hastanedeymiş daha sonra dönüş yapacak</t>
  </si>
  <si>
    <t>601b1548000a7783268a04e9</t>
  </si>
  <si>
    <t>Fix Döner, Arifiye (Arif Bey Mah.)</t>
  </si>
  <si>
    <t>Arifiye	Arifbey</t>
  </si>
  <si>
    <t>TOLGAY	2642290909</t>
  </si>
  <si>
    <t>Atatürk Cad., No:76, Arifiye, Sakarya, Türkiye,</t>
  </si>
  <si>
    <t>60a6484ff221502f32a24e69</t>
  </si>
  <si>
    <t>Döner X, Arifiye (Arif Bey Mah.)</t>
  </si>
  <si>
    <t>UĞUR ÖZEL	5517035096</t>
  </si>
  <si>
    <t>Atatürk Cad., No:46, Arifiye, Sakarya, Türkiye,</t>
  </si>
  <si>
    <t>60a65bae231db00e8698222b</t>
  </si>
  <si>
    <t>Bulvar Döner (Tığcılar Mah.)</t>
  </si>
  <si>
    <t>tığcılar mah atatürk bulv. tezemirler apt 99 b sakarya</t>
  </si>
  <si>
    <t>60139a6ce3c69c17a482db12</t>
  </si>
  <si>
    <t>Cennet Mekan (Semerciler Mah.)</t>
  </si>
  <si>
    <t>Adapazarı/Semerciler</t>
  </si>
  <si>
    <t>Kadir Bey/5077891251</t>
  </si>
  <si>
    <t>Semerciler Mah. Katlı Pazar Yeri no:394 Adapazarı/sakarya</t>
  </si>
  <si>
    <t>daha sonra çekim yapılmış bütün menü tamamlanmış</t>
  </si>
  <si>
    <t>606b412f02b6970fc6868842</t>
  </si>
  <si>
    <t>Mutfak Izgara, Eniştemin Yeri (Semerciler Mah. - Çark Cad.)</t>
  </si>
  <si>
    <t>Birol Arıcı	5300657459</t>
  </si>
  <si>
    <t>Semerciler mah Saray Bosna Cad., No:22, Adapazarı, Sakarya, Türkiye,</t>
  </si>
  <si>
    <t>6092a0af42ff6acb5dc7089f</t>
  </si>
  <si>
    <t>Addmore, Serdivan (Semerciler Mah.)</t>
  </si>
  <si>
    <t>ÖZERLER SÜT ÜRÜNLERİVE MARKETÇİLİK A.Ş.no:21 adapazarı/sakarya        5428270692</t>
  </si>
  <si>
    <t>600fc502a501799b65cca6de</t>
  </si>
  <si>
    <t>Tarihi Çark Pilavcısı (Semerciler Mah.)</t>
  </si>
  <si>
    <t>ENGİN DEMİRTAŞ	2642796739</t>
  </si>
  <si>
    <t>Semerciler Mah., Lüleci Sok., No:9, Adapazarı, Sakarya, Türkiye,</t>
  </si>
  <si>
    <t>6091409f5d77c01d81dfcdaf</t>
  </si>
  <si>
    <t>Öz Urfa Pide &amp; Lahmacun, Kırkpınar (Hasanpaşa Mah.)</t>
  </si>
  <si>
    <t>Bülent yıldız	5335691061</t>
  </si>
  <si>
    <t>Kırkpınar Hasanpaşa Mah. Şehit Cevdet Koç Cad., No:55, Sapanca, Sakarya, Türkiye,</t>
  </si>
  <si>
    <t>604c8aad6b8a4ea4ef1f1226</t>
  </si>
  <si>
    <t>Lulus, Kırkpınar (Soğuksu Mah.)</t>
  </si>
  <si>
    <t>Sapanca	Kırkpınar Soğuksu</t>
  </si>
  <si>
    <t>Fatma ONGUN	5524700114</t>
  </si>
  <si>
    <t>Kırkpınar Soğuksu Mah Bağdat Cad., No:166, Sapanca, Sakarya, Türkiye,</t>
  </si>
  <si>
    <t>607e93824520f4b44e99a3ed</t>
  </si>
  <si>
    <t>Güleryüz Aperatif (İnönü mah.)</t>
  </si>
  <si>
    <t>Akyazı/İnönü</t>
  </si>
  <si>
    <t>İsmail Bey/5437736330</t>
  </si>
  <si>
    <t>İnönü Mah., 7014. Sok., No:5, Akyazı, Sakarya, Türkiye,</t>
  </si>
  <si>
    <t>60ae062c2e8989748ce6c943</t>
  </si>
  <si>
    <t>DY Çıtır Lahmacun &amp; Pide, Serdivan (İstiklal Mah.)</t>
  </si>
  <si>
    <t>Yunus Pala	5396946958</t>
  </si>
  <si>
    <t>Bağlar Cad., No:58, Serdivan, Sakarya, Türkiye,</t>
  </si>
  <si>
    <t>606b3d174c3bfe2dd91c8eba</t>
  </si>
  <si>
    <t>Dolce Luce, Serdivan (İstiklal Mah.)</t>
  </si>
  <si>
    <t>Gülhanım Oylu        5061713211</t>
  </si>
  <si>
    <t>İstiklal Mah., Kalender Sok., No:9, Serdivan, Sakarya, Türkiye,</t>
  </si>
  <si>
    <t>60088beb9873d84df98c463a</t>
  </si>
  <si>
    <t>Elazığlı Çiğköfteci (İstiklal Mah.)</t>
  </si>
  <si>
    <t>Erkan Şahin	5061419208</t>
  </si>
  <si>
    <t>Muhsin Yazıcıoğlu Blv., No:41, Serdivan, Sakarya, Türkiye,</t>
  </si>
  <si>
    <t>600e821fd6c591cd0adff247</t>
  </si>
  <si>
    <t>Kardeş Payı Pide (Kemalpaşa Mah.)</t>
  </si>
  <si>
    <t>Enes Çolakoğlu	5362099354</t>
  </si>
  <si>
    <t>Kemalpaşa Mah. Üniversite Cad. G Blok No:64 G/4 Serdivan/Sakarya</t>
  </si>
  <si>
    <t>ulaşılmadı.</t>
  </si>
  <si>
    <t>600fbd32cf43c1885dbce17f</t>
  </si>
  <si>
    <t>Buhara İskender (Semerciler Mah.- Çark cad.)</t>
  </si>
  <si>
    <t>Recep Has	2642733141</t>
  </si>
  <si>
    <t>Çark Cad., No:9, Sakarya, Türkiye,</t>
  </si>
  <si>
    <t>6023946e4db6bbbf3deeaa79</t>
  </si>
  <si>
    <t>Han Tantuni, Adapazarı (Cumhuriyet Mah.)</t>
  </si>
  <si>
    <t>Suat Sayacı	2642776767</t>
  </si>
  <si>
    <t>Cumhuriyet Mah., Şal Sok., No:44, Adapazarı, Sakarya, Türkiye,</t>
  </si>
  <si>
    <t>600fc2320354af1fa3851e8e</t>
  </si>
  <si>
    <t>Dönerci Lokman (Ankara Cad.-Soğanpazarı Geçidi)</t>
  </si>
  <si>
    <t>Adapazarı	Yağcılar</t>
  </si>
  <si>
    <t>Lokman Saykal	5322743354</t>
  </si>
  <si>
    <t>Yağcılar Mah., Ankara Cad., No:23C, Adapazarı, Sakarya, Türkiye,</t>
  </si>
  <si>
    <t>601a72514e0a2ae8f714a0c4</t>
  </si>
  <si>
    <t>Çeken Aperatif, Adapazarı (Cumhuriyet Mah.)</t>
  </si>
  <si>
    <t>Adapazarı	Kurtuluş</t>
  </si>
  <si>
    <t>Nurettin Çeken	5428111120</t>
  </si>
  <si>
    <t>Kurtuluş Mah., Bahçıvan Sok., No:70, Adapazarı, Sakarya, Türkiye,</t>
  </si>
  <si>
    <t>Miraç Genç - Oğuzhan Kutluoğlu	5358688463</t>
  </si>
  <si>
    <t>Bahçelievler Mah. M. Yazıcıoğlu Blv. Gençali İş Merkezi No:12/A</t>
  </si>
  <si>
    <t>Behice Hanım/5453923852</t>
  </si>
  <si>
    <t>gerek yok denildi tekrar randevu oluşmayacak</t>
  </si>
  <si>
    <t>Serdivan/Beşköprü</t>
  </si>
  <si>
    <t>Furkan Bey/5541794954</t>
  </si>
  <si>
    <t>yoğunluktan dolayı vakit bulamıyorlarmış daha sonra aranacak</t>
  </si>
  <si>
    <t>6047ce2f118621461cc36d3e</t>
  </si>
  <si>
    <t>Sokak Lezzetleri, Serdivan (İstiklal Mah.)</t>
  </si>
  <si>
    <t>Hacer Hanım/5342643127</t>
  </si>
  <si>
    <t>İstiklal mah Bağlar Cad., No:39, Serdivan, Sakarya, Türkiye,</t>
  </si>
  <si>
    <t>Malesef gün içi bulamadık. Günü bitirebilirsiniz Zeynep Hanım. Teşekkürler :)</t>
  </si>
  <si>
    <t xml:space="preserve">akyazı - istiklal </t>
  </si>
  <si>
    <t>6020df67d7f75eb65fdbfbe5</t>
  </si>
  <si>
    <t>Kayalar Pide Lahmacun, Hendek (Yeni Mah.)</t>
  </si>
  <si>
    <t>Hendek	Yeni</t>
  </si>
  <si>
    <t>Zübeyde Kaya	5339450235</t>
  </si>
  <si>
    <t>Yeni Mah., 2066. Sok., No:3, Hendek, Sakarya, Türkiye,</t>
  </si>
  <si>
    <t>601fb70e450e7fe4d2debab4</t>
  </si>
  <si>
    <t>Bolu'lu Kemal Ustanın Yeri, Hendek (Kemaliye Mah.)</t>
  </si>
  <si>
    <t>Hendek	Nuriye</t>
  </si>
  <si>
    <t>Yavuz Coşkun	5417692345</t>
  </si>
  <si>
    <t>Atatürk Blv., No:417A, Hendek, Sakarya, Türkiye,</t>
  </si>
  <si>
    <t>fatoğrafçılar uzak diye gitmemişler daha sonraya ısrarla randevu istiyor</t>
  </si>
  <si>
    <t>6096730a109411f8ccbe4a79</t>
  </si>
  <si>
    <t>Deli Dolu Tantuni, Hendek (Kemaliye Mah.)</t>
  </si>
  <si>
    <t>Hendek	Kemaliye</t>
  </si>
  <si>
    <t>Umut Güven	5444558688</t>
  </si>
  <si>
    <t>Kemaliye Mah., Muammer Sencer Cad., No:26A, Hendek, Sakarya, Türkiye,</t>
  </si>
  <si>
    <t>606ef73cc769e695c9ffe741</t>
  </si>
  <si>
    <t>İ. S. Döner Dünyası, Hendek (Kemaliye Mah.)</t>
  </si>
  <si>
    <t>İbrahim Sancar	5466619000</t>
  </si>
  <si>
    <t>kemaliye mah şehit ali gaffar okkan cad no 14</t>
  </si>
  <si>
    <t>606efa328170d2807d2faf74</t>
  </si>
  <si>
    <t>Tepedeki Çimenlik, Kırkpınar (Soğuksu Mah.)</t>
  </si>
  <si>
    <t>Çağatay Bağdat        5071164154</t>
  </si>
  <si>
    <t>KIRKPINAR SOĞUKSU MAH. MELİH KİBAR SAHİL YOLU CAD. NO: 56 SAPANCA/ SAKARYA</t>
  </si>
  <si>
    <t>604c85027b79054fd46952ec</t>
  </si>
  <si>
    <t>Mint Appetizer, Kırkpınar ( Hasanpaşa Mah.)</t>
  </si>
  <si>
    <t>Derya Türker        5327252450</t>
  </si>
  <si>
    <t>Kırkpınar Hasanpaşa Mah., İstasyon Cad., No:46/2, Sapanca, Sakarya, Türkiye,</t>
  </si>
  <si>
    <t>açmadııı</t>
  </si>
  <si>
    <t>60b0a59e7e4cd57ebd0e9996</t>
  </si>
  <si>
    <t>Mor Pasta (Yenicami Mah.)</t>
  </si>
  <si>
    <t>Adapazarı	Yenicami</t>
  </si>
  <si>
    <t>Nuri Çakır	5439312289</t>
  </si>
  <si>
    <t>Yenicami Mah. Sakarya Cad., No:20, Erenler, Sakarya, Türkiye,</t>
  </si>
  <si>
    <t xml:space="preserve">saat 11 randevusuna tam saatinde gidilmesini rica ediyorum </t>
  </si>
  <si>
    <t>Serdivan/Arabacıalanı</t>
  </si>
  <si>
    <t>Şule Hanım/5373801343</t>
  </si>
  <si>
    <t>devam çekimi</t>
  </si>
  <si>
    <t>6098eba93c6dee7e325d9e3b</t>
  </si>
  <si>
    <t>Tet-To Burger Pizza (Kemalpaşa Mah.)</t>
  </si>
  <si>
    <t>Volkan bey 5445405469</t>
  </si>
  <si>
    <t>Kemalpaşa Mah., Usta Sok., No:14, Serdivan, Sakarya, Türkiye,</t>
  </si>
  <si>
    <t>Gürkan Bey/5524092016</t>
  </si>
  <si>
    <t>Zafer Kınalı        5077891251</t>
  </si>
  <si>
    <t>Semerciler Mah. K. Pazar Yeri no:394 Adapazarı/sakarya</t>
  </si>
  <si>
    <t>Serkan Sarıoğlu        5327318549</t>
  </si>
  <si>
    <t>DEVAM ÇEKİMİ</t>
  </si>
  <si>
    <t>???</t>
  </si>
  <si>
    <t>60b0a2396dfd604f2b4c578b</t>
  </si>
  <si>
    <t>Bey Döner (Orta Mah.)</t>
  </si>
  <si>
    <t>Osman mermer	5419192026</t>
  </si>
  <si>
    <t>Orta mAH Soğan Pazarı Cad., No:20, Adapazarı, Sakarya, Türkiye,</t>
  </si>
  <si>
    <t>Furkan bey 5541794954</t>
  </si>
  <si>
    <t>6009df0ac795bd5b1b42c508</t>
  </si>
  <si>
    <t>Lezizan (Kemalpaşa Mah.)</t>
  </si>
  <si>
    <t>Muhlis Bey/5321584000</t>
  </si>
  <si>
    <t>Kemalpaşa Mah. Mehtap Sok. No:1A/B</t>
  </si>
  <si>
    <t>60b0d3b4e0b79d161abc5704</t>
  </si>
  <si>
    <t>Öz Urfa Sofrası, Adapazarı (Yahyalar Mah.)</t>
  </si>
  <si>
    <t>Adapazarı	Yahyalar</t>
  </si>
  <si>
    <t>Mustafa Keskinkılıç        2642823000</t>
  </si>
  <si>
    <t>Yağcılar Mah., Ankara Cad., No:73, Adapazarı, Sakarya, Türkiye,</t>
  </si>
  <si>
    <t>6015079067e562c4c8859236</t>
  </si>
  <si>
    <t>Beytuş, Adapazarı (Cumhuriyet Mah.)</t>
  </si>
  <si>
    <t>Orçun İbrişim	5375141441</t>
  </si>
  <si>
    <t>Cumhuriyet Mah., Tül Sok., No:9, Adapazarı, Sakarya, Türkiye,</t>
  </si>
  <si>
    <t>60be0f8b9d1533185b425362</t>
  </si>
  <si>
    <t>Katıkçı Paşa, Adapazarı (Semerciler Mah. - Çark Cad.)</t>
  </si>
  <si>
    <t>Kaan Kabataş	5458922467</t>
  </si>
  <si>
    <t>Mithatpaşa Mah., Geçit Sok., No:1, Adapazarı, Sakarya, Türkiye,</t>
  </si>
  <si>
    <t>60be00983632e31216528579</t>
  </si>
  <si>
    <t>Ada Roma Dondurmaları 2 (Sakarya Cad.)</t>
  </si>
  <si>
    <t>Adapazarı	Sakarya</t>
  </si>
  <si>
    <t>Eşref YÜZKOLLAR	5543149053</t>
  </si>
  <si>
    <t>Akıncılar Mahallesi Sakarya Caddesi No:46 Erenler, SAKARYA</t>
  </si>
  <si>
    <t>60b0944d13363865439f8a43</t>
  </si>
  <si>
    <t>Lemariz Midye &amp; Çiğköfte (Arabacıalanı Mah.)</t>
  </si>
  <si>
    <t>Kadir Sınırcı	5421065400</t>
  </si>
  <si>
    <t>arabacıalanı mah şehit kemal dural sok no 33</t>
  </si>
  <si>
    <t>60b0a3976dfd6060134c57af</t>
  </si>
  <si>
    <t>Grill Burger</t>
  </si>
  <si>
    <t>Yaren Merve Pomak	5315239294</t>
  </si>
  <si>
    <t>60c07b4234fca05de704cca9</t>
  </si>
  <si>
    <t>Mad Bites Burger (Cumhuriyet Mah.)</t>
  </si>
  <si>
    <t>Onur Alp Yetginer	5548213251</t>
  </si>
  <si>
    <t>Orta mahalle Kuzu Sokak NO:26 Adapazarı Cumhuriyet</t>
  </si>
  <si>
    <t>60c0b1319abe5ce7004dd4f9</t>
  </si>
  <si>
    <t>Çiğ Köfteci Sait (Tığcılar Mah.)</t>
  </si>
  <si>
    <t>Sümeyye Ay	5377807454</t>
  </si>
  <si>
    <t>Tığcılar Mah., Küçük Osman Sok., No:21, Adapazarı, Sakarya, Türkiye,</t>
  </si>
  <si>
    <t>60c0b12ceb49655ce67341c0</t>
  </si>
  <si>
    <t>Moon Aperatif (Tığcılar Mah.)</t>
  </si>
  <si>
    <t>602546039d62093f42636010</t>
  </si>
  <si>
    <t>Taşfırın Lahmacun, Adapazarı (Cumhuriyet Mah.)</t>
  </si>
  <si>
    <t>Murat Gülez	5354054736</t>
  </si>
  <si>
    <t>Kavaklar Cad., No:28, Adapazarı, Sakarya, Türkiye,</t>
  </si>
  <si>
    <t>6012d02582ce14688957e9aa</t>
  </si>
  <si>
    <t>Ada Dönercim</t>
  </si>
  <si>
    <t>Adapazarı	Yenidoğan</t>
  </si>
  <si>
    <t>Çetin Ayaz	5338174818</t>
  </si>
  <si>
    <t>Yenidoğan Mah. Saray Bosna Cad. No:50/B Adapazarı, Sakarya</t>
  </si>
  <si>
    <t>Nana Cafe &amp; Restaurant (Cumhuriyet Mah.)</t>
  </si>
  <si>
    <t>608ba0c7186fcb5406e8ffbd</t>
  </si>
  <si>
    <t>Uğurdan Pasta Börek Cafe (Yeşiltepe Mah.)</t>
  </si>
  <si>
    <t>Adapazarı	Maltepe</t>
  </si>
  <si>
    <t xml:space="preserve">Umut Uğurdan	5452752375 </t>
  </si>
  <si>
    <t>Yeşiltepe Mah Orhan Gazi Cad., no127/b, Sakarya, Türkiye,</t>
  </si>
  <si>
    <t>601e3b0e8a8c676cb72c5bad</t>
  </si>
  <si>
    <t>Üstad Döner, Serdivan (Köprübaşı Mah.)</t>
  </si>
  <si>
    <t>Adapazarı	Köprübaşı</t>
  </si>
  <si>
    <t>Adem Ali Azaklı    5332346953</t>
  </si>
  <si>
    <t>Rüstemler Mah., Atatürk Cad., No:46, Adapazarı, Sakarya, Türkiye,</t>
  </si>
  <si>
    <t>Musa/5387641794</t>
  </si>
  <si>
    <t>Mithatpaşa mahallesi adnan menderes caddesi no:176</t>
  </si>
  <si>
    <t>60117978d22e226116b51b38</t>
  </si>
  <si>
    <t>Makara Izgara(Tekeler Mah.)</t>
  </si>
  <si>
    <t>Adapazarı	Tekeler</t>
  </si>
  <si>
    <t>Eyüp Duran	5435414648</t>
  </si>
  <si>
    <t>Karasu Cad., No:108, Adapazarı, Sakarya, Türkiye,</t>
  </si>
  <si>
    <t>600d2e292c661fb7fcc420d6</t>
  </si>
  <si>
    <t>Yenigün Izgara (Yenigün Mah.)</t>
  </si>
  <si>
    <t>Adapazarı	Yenigün</t>
  </si>
  <si>
    <t>Sefa Şekerci	5522690054</t>
  </si>
  <si>
    <t>Turan Cad., No:164B, Adapazarı, Sakarya, Türkiye,</t>
  </si>
  <si>
    <t>606ae897c2388a88dcae657a</t>
  </si>
  <si>
    <t>Bahçem Cafee, Adapazarı (15 Temmuz Camili Mah.)</t>
  </si>
  <si>
    <t>İrfan Güler        5414401090</t>
  </si>
  <si>
    <t>15 Temmuz Camili Mah. Üniversite cAD no :4 , Adapazarı, Sakarya, Türkiye,</t>
  </si>
  <si>
    <t>601a5eb83740f14ec5a0b3e9</t>
  </si>
  <si>
    <t>Mevlana Döner (15 Temmuz Camili Mah)</t>
  </si>
  <si>
    <t>Nagihan Hazır	5543486443</t>
  </si>
  <si>
    <t>CAMİLİ MAH 2. ETAP 339 NOLU İŞ MERKEZİ NO:5 CAMİLİ</t>
  </si>
  <si>
    <t>60120c656c16428047904efb</t>
  </si>
  <si>
    <t>Tatlıses Çiğ Köfte (15 Temmuz Camili Mah.)</t>
  </si>
  <si>
    <t>NEDİM SEVİM        5382733854</t>
  </si>
  <si>
    <t>Şevval Küçükoğlu05425741454</t>
  </si>
  <si>
    <t>Adapazarı	Karaman</t>
  </si>
  <si>
    <t>Neşe Şahin	5535480640</t>
  </si>
  <si>
    <t>60b09594ace3ee1719bdf6c2</t>
  </si>
  <si>
    <t>Merke Fast Food, Akyazı (Ömercikler Mah.)</t>
  </si>
  <si>
    <t>Akyazı/Yunus Emre</t>
  </si>
  <si>
    <t>İsa Bey/5345024112</t>
  </si>
  <si>
    <t>Yunus Emre Mah., 4025. Sok., No:2, Akyazı, Sakarya, Türkiye,</t>
  </si>
  <si>
    <t>600751b137de62284bb3bb0c</t>
  </si>
  <si>
    <t>Sevgili İskender (Çark Caddesi)</t>
  </si>
  <si>
    <t>Veysel Bey/5301123154</t>
  </si>
  <si>
    <t>Çark Cad., No:74, Sakarya, Türkiye,</t>
  </si>
  <si>
    <t>Onur Çak 5315130658</t>
  </si>
  <si>
    <t>Nurdan Çalışkan	5415310531</t>
  </si>
  <si>
    <t>60451fb17f1ab820c9d931d9</t>
  </si>
  <si>
    <t>Pideci Ayhan, Hendek (Başpınar Mah.)</t>
  </si>
  <si>
    <t>Hendek	Başpınar</t>
  </si>
  <si>
    <t>Ayhan Çakar        5306515461</t>
  </si>
  <si>
    <t>Başpınar Mah., Şehit Ali Gaffar Okkan Cad., No:34A, Hendek, Sakarya, Türkiye,</t>
  </si>
  <si>
    <t>60791de641375f4897d75adf</t>
  </si>
  <si>
    <t>Karaköse Pide, Lahmacun (Başpınar Mah.)</t>
  </si>
  <si>
    <t>KASIM KURT        5419159233</t>
  </si>
  <si>
    <t>Başpınar, Çevre Yolu Osmangazi Cd, 54300 Hendek/Sakarya</t>
  </si>
  <si>
    <t>60210e2e09400e669ecf0662</t>
  </si>
  <si>
    <t>Tıkınak, Hendek (Kemaliye Mah.)</t>
  </si>
  <si>
    <t>Hendek	Dereboğazı</t>
  </si>
  <si>
    <t>Songül Küçük	5388987265</t>
  </si>
  <si>
    <t>Cumhuriyet Meydanı, No:39A, Hendek, Sakarya, Türkiye,</t>
  </si>
  <si>
    <t>60435f22d1bc9e465b5114c8</t>
  </si>
  <si>
    <t>Et Dünyası Izgara, Hendek (Yeni Mah.)</t>
  </si>
  <si>
    <t>19.00</t>
  </si>
  <si>
    <t>Emre Kurt	5301339889</t>
  </si>
  <si>
    <t>Yeni Mah., Beştepeler Cad., No:31, Hendek, Sakarya, Türkiye,</t>
  </si>
  <si>
    <t>Semerciler mah Yamanlar sokak No:35/B Adapazarı, Sakarya, Türkiye</t>
  </si>
  <si>
    <t>60b0a0d43240b9510c0770a8</t>
  </si>
  <si>
    <t>Mercan Döner (Ömercikler Mah.)</t>
  </si>
  <si>
    <t>Akyazı	Ömercikler</t>
  </si>
  <si>
    <t>Erhan mercan	5448823619</t>
  </si>
  <si>
    <t>ömercikler mah ada cad no 65</t>
  </si>
  <si>
    <t>601b9a4b000a7776968a3703</t>
  </si>
  <si>
    <t>Kervan Pide Kebap (Rüstempaşa Mah.)</t>
  </si>
  <si>
    <t>Sezai Yılmaz	5439570054</t>
  </si>
  <si>
    <t>60ce00ccf4ac6d723574bd18</t>
  </si>
  <si>
    <t>Çiğ Köfteci Sait, Serdivan (32 Evler Mah.)</t>
  </si>
  <si>
    <t>Serdivan	Otuziki Evler</t>
  </si>
  <si>
    <t>Abdulsamet Kaya        5301786658</t>
  </si>
  <si>
    <t>Otuziki Evler Mah., Beşköprü cad ., No:14 , Serdivan, Sakarya, Türkiye,</t>
  </si>
  <si>
    <t>60cde6a2ba7e6648f7f96b6e</t>
  </si>
  <si>
    <t>Pide Evi, Serdivan (Köprübaşı Mah.)</t>
  </si>
  <si>
    <t>Serdivan	Köprübaşı</t>
  </si>
  <si>
    <t>Selami Aba        5072599732</t>
  </si>
  <si>
    <t>köprübaşı mah süleyman binek cadno 45 a</t>
  </si>
  <si>
    <t>Hasan İge	5372806245</t>
  </si>
  <si>
    <t>60a64f8f8ebe164937aa2557</t>
  </si>
  <si>
    <t>Maral Aperatif (Hacıoğlu Mah.)</t>
  </si>
  <si>
    <t>KEREM MARAL        5323976523</t>
  </si>
  <si>
    <t>Hacıoğlu mah Mehmet Akif Ersoy Cad., No:10, Erenler, Sakarya, Türkiye,</t>
  </si>
  <si>
    <t>601e335e8adaa12715e3d2dc</t>
  </si>
  <si>
    <t>Erzurum Cağ Kebabı, Erenler (Hacıoğlu Mah.)</t>
  </si>
  <si>
    <t xml:space="preserve">Erenler	Hacıoğlu </t>
  </si>
  <si>
    <t xml:space="preserve">Ayşe Kılıç        2642411919-5336187663 </t>
  </si>
  <si>
    <t>Sakarbaba Cad., No:2, Erenler, Sakarya, Türkiye,</t>
  </si>
  <si>
    <t>600d2b9165caa79a1d3ee43b</t>
  </si>
  <si>
    <t>Atmaca Izgara (Tekeler Mah.)</t>
  </si>
  <si>
    <t>Muhammet Tayyip Atmaca        2642784441</t>
  </si>
  <si>
    <t>Karasu Cad., No:144, Adapazarı, Sakarya, Türkiye,</t>
  </si>
  <si>
    <t>Damla Kılcı</t>
  </si>
  <si>
    <t>60087f1999244e4ef7060a26</t>
  </si>
  <si>
    <t>Gece Pilavcısı (Cumhuriyet Mah.)</t>
  </si>
  <si>
    <t>Adapazarı / Cumhuriyet</t>
  </si>
  <si>
    <t>Erdinç Öksüzali /        5325508088</t>
  </si>
  <si>
    <t>Cumhuriyet Mah. Şal Sok. No: 13/A Adapazarı/Sakarya</t>
  </si>
  <si>
    <t>6019016ff55f40f8e2cac47e</t>
  </si>
  <si>
    <t>Atalay, Adapazarı (Cumhuriyet Mah.)</t>
  </si>
  <si>
    <t>Özkul Kutluata/5322454924</t>
  </si>
  <si>
    <t>Cumhuriyet Mah., Adapazarı, Sakarya, Türkiye,</t>
  </si>
  <si>
    <t>İsmail bey 5314555888</t>
  </si>
  <si>
    <t>Ramazan bey 5312105641</t>
  </si>
  <si>
    <t>NURDAN BAKİ	5445149494</t>
  </si>
  <si>
    <t>Semerciler mah A. nejdet güven cad no :12 adapazarı /sakarya</t>
  </si>
  <si>
    <t>FIRAT BEY    5332672554      -5301179139</t>
  </si>
  <si>
    <t>601faa18bd45895321a0e6ea</t>
  </si>
  <si>
    <t>Düner Aperatif, Akyazı (Ömercikler Mah.)</t>
  </si>
  <si>
    <t>Murat Düner	5334373298</t>
  </si>
  <si>
    <t>Ömercikler Mah., 8003. Sok., No:4, Akyazı, Sakarya, Türkiye,</t>
  </si>
  <si>
    <t>60141338eaccb95529881ced</t>
  </si>
  <si>
    <t>Ada Ayme Börek &amp; Baklava</t>
  </si>
  <si>
    <t>Adapazarı/Papuççular</t>
  </si>
  <si>
    <t>Mevlüt Aydın/5412833154</t>
  </si>
  <si>
    <t>Papuççular Mah. Saray Bosna Cad. B Blok No:93/A Adapazarı, Sakarya</t>
  </si>
  <si>
    <t>60cdf7746749fe6e75f32aad</t>
  </si>
  <si>
    <t>Sinemoğulları Pasta ve Unlu Mamüller (Hacıoğlu Mah.)</t>
  </si>
  <si>
    <t>Sinem TEDİK	5071807949</t>
  </si>
  <si>
    <t>Hacıoğlu mah 5086 sok no 1</t>
  </si>
  <si>
    <t>Erenler/Bağlar</t>
  </si>
  <si>
    <t>Hasan Öztürk/5339610532</t>
  </si>
  <si>
    <t>saat 17:30 randevusu sıfırdan çekim talep ediyor</t>
  </si>
  <si>
    <t>Aleyna Küççük</t>
  </si>
  <si>
    <t>Sude Alkan</t>
  </si>
  <si>
    <t>Hendek/Kemaliye</t>
  </si>
  <si>
    <t>Yavuz Coşkun/5417692345</t>
  </si>
  <si>
    <t>60cdece5f9d59b597460ba5b</t>
  </si>
  <si>
    <t>Köşem Aperatif Ramazan Usta, Hendek (Kemaliye Mah.)</t>
  </si>
  <si>
    <t>Ramazan Ataç/5375433785</t>
  </si>
  <si>
    <t>mahmutbey mah osman yıldız cad no 8 b</t>
  </si>
  <si>
    <t>yt dükkanda değşl çarşambaya erteleme yapıldı</t>
  </si>
  <si>
    <t>6066f8a570449b980f395e99</t>
  </si>
  <si>
    <t>Hasır Gurme, Hendek (Başpınar Mah.)</t>
  </si>
  <si>
    <t>Hendek/Başpınar</t>
  </si>
  <si>
    <t>5468460154 oğuzhan</t>
  </si>
  <si>
    <t>Başpınar Mah. Osman Gazi Cad., No:39, Hendek, Sakarya, Türkiye,</t>
  </si>
  <si>
    <t>Ürünleri gelmemiş ustasınında hazırlık yapacak kadar malzemesi yokmuş ay sonunda tekrar görüşelim dedi</t>
  </si>
  <si>
    <t>602116082b279fe3a5cecbbb</t>
  </si>
  <si>
    <t>Patron Döner, Hendek (Başpınar Mah.)</t>
  </si>
  <si>
    <t>Eren Bey/5330530054/5349442965</t>
  </si>
  <si>
    <t>Başpınar Mah., 1136. Sok., No:7, Hendek, Sakarya, Türkiye,</t>
  </si>
  <si>
    <t xml:space="preserve">yt şehir dışına gitmiş - bir daha arama sağlanmayacak </t>
  </si>
  <si>
    <t>İbrahim Sancar/5466619000</t>
  </si>
  <si>
    <t>yetkilinin işi çıkmış</t>
  </si>
  <si>
    <t>Saat 12den sonrasına randevu oluşturulacak.</t>
  </si>
  <si>
    <t>Enes</t>
  </si>
  <si>
    <t>61ab79fed5cd86773d36b55b</t>
  </si>
  <si>
    <t>World Of Burger</t>
  </si>
  <si>
    <t>BATUHAN ALİBAŞİÇ	5536324854</t>
  </si>
  <si>
    <t>Kemalpaşa Mah., Usta Sok., Serdivan, Sakarya, Türkiye,</t>
  </si>
  <si>
    <t>61ea825c53a9c471f34ae299</t>
  </si>
  <si>
    <t>Uzun Çarşı Pilavcısı (Kemalpaşa Mah.)</t>
  </si>
  <si>
    <t>Umut Bey 5326217461</t>
  </si>
  <si>
    <t>Kemalpaşa mah. Üniversite Cad. No: 31 Sakarya Serdivan</t>
  </si>
  <si>
    <t>Starbucka</t>
  </si>
  <si>
    <t>61d7fef6095bde5cb6239351</t>
  </si>
  <si>
    <t>Katık Döner (Kemalpaşa Mah - Üniversite Cad.)</t>
  </si>
  <si>
    <t>Gülce Hanım 5448046782</t>
  </si>
  <si>
    <t>Kemalpaşa Mah., Üniversite Cad., No:100, Serdivan, Sakarya, Türkiye,</t>
  </si>
  <si>
    <t>61278d40a0c9296d4a16368c</t>
  </si>
  <si>
    <t>Taşfırın Pizza &amp; Pide, Serdivan (İstiklal Mah.)</t>
  </si>
  <si>
    <t>Kenan Dündar	5387370923</t>
  </si>
  <si>
    <t>Kemalpaşa Mah., Belediye Cad., No:5, Serdivan, Sakarya, Türkiye,</t>
  </si>
  <si>
    <t>607e9848631e801d16ba04f9</t>
  </si>
  <si>
    <t>Urfalıyam Ocakbaşı &amp; Soslu Döner, Serdivan (Kemalpaşa Mah.)</t>
  </si>
  <si>
    <t xml:space="preserve">Ali Bey 5432072425 </t>
  </si>
  <si>
    <t>kemalpaşa mah zakkum sok no 9 serdivan</t>
  </si>
  <si>
    <t>hastası olduğu için iptal</t>
  </si>
  <si>
    <t>Saat 18:00 Randevusu Gidilmeden Önce Aranmak İster Farklı Bir Adreste Çekim Yaptıracaklarmış.</t>
  </si>
  <si>
    <t>61aff63a7d9cb121b780bbec</t>
  </si>
  <si>
    <t>Katık Döner (Semerciler Mah.)</t>
  </si>
  <si>
    <t>Emre Bey / 5396953015</t>
  </si>
  <si>
    <t>Semerciler Mah., Atatürk Blv., No:22C, Adapazarı, Sakarya, Türkiye,</t>
  </si>
  <si>
    <t>617fb1c5cf39016808dd99e1</t>
  </si>
  <si>
    <t>Chicky &amp; Dany</t>
  </si>
  <si>
    <t>Nurullah Bey 5413592818</t>
  </si>
  <si>
    <t>Yağcılar Mah., Ankara Cad., No:91A, Adapazarı, Sakarya, Türkiye,</t>
  </si>
  <si>
    <t xml:space="preserve">acil şehir dışına gitmiş </t>
  </si>
  <si>
    <t>602549a29d620986386360b2</t>
  </si>
  <si>
    <t>Tadı Başka Çiğ Köfte (Cumhuriyet Mah.)</t>
  </si>
  <si>
    <t>Rüstem Bey / 5321382978</t>
  </si>
  <si>
    <t>Çark Cad., No:4, Sakarya, Türkiye,</t>
  </si>
  <si>
    <t>Hendek Dışında Alındığında 12den Önce Randevu Oluşturulmayacak.</t>
  </si>
  <si>
    <t>Serap Apaydın</t>
  </si>
  <si>
    <t>6200ecd836d5485e3ab0fd69</t>
  </si>
  <si>
    <t>Adabahçem Dondurma &amp; Kahvaltı (Arabacıalanı Mah.)</t>
  </si>
  <si>
    <t>Şevki Bey/5323403401</t>
  </si>
  <si>
    <t>Şehit Mehmet Karabaşoğlu Cad., No:76, Serdivan, Sakarya, Türkiye,</t>
  </si>
  <si>
    <t>Zeliha Özer</t>
  </si>
  <si>
    <t>60cde8b8acb711e901cc8436</t>
  </si>
  <si>
    <t>Altınova Çiğ Köfte (İstiklal Mah.)</t>
  </si>
  <si>
    <t>Hasan BağcıatalHasan Bağcıatal        5424542934</t>
  </si>
  <si>
    <t>istiklal mah muhsin yazıcıoğlu bulv no 55</t>
  </si>
  <si>
    <t>6166a716ab5019148ab05a24</t>
  </si>
  <si>
    <t>Mersinli Sakinbey Tantuni</t>
  </si>
  <si>
    <t>RAMAZAN SAKİN/2645022888/05462038155</t>
  </si>
  <si>
    <t>İstiklal Mah., 2. Cad., No:57, Serdivan, Sakarya, Türkiye,</t>
  </si>
  <si>
    <t>601a4b43b8a19d87d1a7fc00</t>
  </si>
  <si>
    <t>Ege Nosta Balık, Serdivan (İstiklal Mah.)</t>
  </si>
  <si>
    <t>Sami Gökalp/5467437869</t>
  </si>
  <si>
    <t>Muhsin Yazıcıoğlu Blv., No:69, Serdivan, Sakarya, Türkiye,</t>
  </si>
  <si>
    <t>612f32fa4d7a3e5b45c404b4</t>
  </si>
  <si>
    <t>Duman Izgara, Adapazarı (Cumhuriyet Mah.)</t>
  </si>
  <si>
    <t>Harun Duran        5305148954</t>
  </si>
  <si>
    <t>Semerciler Mah., Yamanlar Sok., No:32-1, Adapazarı, Sakarya, Türkiye,</t>
  </si>
  <si>
    <t>Erteleme İstedi aradım açmadı</t>
  </si>
  <si>
    <t>Ayşegül Kır</t>
  </si>
  <si>
    <t>Mehmet Bey/5413238570</t>
  </si>
  <si>
    <t>61a1ff1e1e642d44fcb75133</t>
  </si>
  <si>
    <t>Urfa Elit</t>
  </si>
  <si>
    <t>61ab7a4a8557e82cb660b9bb</t>
  </si>
  <si>
    <t>Midye Fakültesi</t>
  </si>
  <si>
    <t>Adapazarı/Güllük</t>
  </si>
  <si>
    <t>Kadir Bey/5411044754</t>
  </si>
  <si>
    <t>Adnan Menderes Cad., No:156A, Adapazarı, Sakarya, Türkiye,</t>
  </si>
  <si>
    <t>61d2242bab40540b5a5799ae</t>
  </si>
  <si>
    <t>Kado'nun Yeri (Şeker Mah.)</t>
  </si>
  <si>
    <t>Adapazarı	Şeker</t>
  </si>
  <si>
    <t xml:space="preserve"> Abdullah Bey 5330149254</t>
  </si>
  <si>
    <t>Şeker Mah. Farabi Cad. No:114/A Adapazarı/SAKARYA</t>
  </si>
  <si>
    <t>İptal Sebebi: Yetkili hastalanmış ilgilenemeyecekmiş. Başka zamana ertelenecek.</t>
  </si>
  <si>
    <t xml:space="preserve">yarına ert. sağlanılmadı </t>
  </si>
  <si>
    <t xml:space="preserve">16.00 olan randevu gidilmeden 1 saat öncesinden aranacak ona göre ürün hazırlanacak </t>
  </si>
  <si>
    <t>ferhat köksal</t>
  </si>
  <si>
    <t>604be1226b8a4ed7841ef3a4</t>
  </si>
  <si>
    <t>Özen Köfte, Serdivan (İstiklal Mah.)</t>
  </si>
  <si>
    <t xml:space="preserve">Emre Özen        5325592005 - </t>
  </si>
  <si>
    <t>İstiklal Mah. Bağlar Cad., No:10, Serdivan, Sakarya, Türkiye,</t>
  </si>
  <si>
    <t>616d7c5c5eeae713de3f7c89</t>
  </si>
  <si>
    <t>The Plav (Arabacıalanı Mah.)</t>
  </si>
  <si>
    <t>ÖZKAN TUNÇEL        2642746767 - 05434844099</t>
  </si>
  <si>
    <t>Arabacıalanı Mah., Eski Kazımpaşa Cad., No:86, Serdivan, Sakarya, Türkiye,</t>
  </si>
  <si>
    <t xml:space="preserve">yetkili bugün müsait değiliz bende işletmede bulunamayacağım dedi </t>
  </si>
  <si>
    <t>61a8dd24a5f5c035b83bb98b</t>
  </si>
  <si>
    <t>Ehli Kebap Künefe (Serdivan)</t>
  </si>
  <si>
    <t>Serdivan	Vatan</t>
  </si>
  <si>
    <t>MEMDUH FAHRİ GÜZEL        5416521619 - 05333785063</t>
  </si>
  <si>
    <t>Süleyman Binek Cad., No:96, Serdivan, Sakarya, Türkiye,</t>
  </si>
  <si>
    <t>617fb5fc4b1a05116240999d</t>
  </si>
  <si>
    <t>Antep Hacıoğlu Baklava</t>
  </si>
  <si>
    <t>ŞABAN ALIÇ        5075015557</t>
  </si>
  <si>
    <t>Süleyman Binek Cad., No:49, Serdivan, Sakarya, Türkiye,</t>
  </si>
  <si>
    <t>Başka Randevu Alınmayacak</t>
  </si>
  <si>
    <t>Ferhat Köksal</t>
  </si>
  <si>
    <t>EMRE BEY 5396953015</t>
  </si>
  <si>
    <t xml:space="preserve">Devam çekimi </t>
  </si>
  <si>
    <t>Hendek İlçesinden Alınacak</t>
  </si>
  <si>
    <t>Ferhat köksal</t>
  </si>
  <si>
    <t>604522d789a2c538927cca91</t>
  </si>
  <si>
    <t>Balkoon Cafe &amp; Restaurant, Hendek (Kemaliye Mah.)</t>
  </si>
  <si>
    <t>Cüneyt Çalışkan	05535370047</t>
  </si>
  <si>
    <t>Kemaliye., 1191. Sok., No:10/1, Hendek, Sakarya, Türkiye,</t>
  </si>
  <si>
    <t>Ayhan Çakar   5306515461</t>
  </si>
  <si>
    <t>ertelemesi sağlanacak tekrardan hendek ilçesine gidildiği zaman</t>
  </si>
  <si>
    <t>12den sonra</t>
  </si>
  <si>
    <t xml:space="preserve">FOTĞRAFÇI ARKADAŞ RAHATSIZLANDIĞINDAN DOLAYI ÇEKİMLER SAĞLANMADI </t>
  </si>
  <si>
    <t>620b5fd231d0237ba5ca12f4</t>
  </si>
  <si>
    <t>Ayaküstü Lezzet (Kemalpaşa Mah.)</t>
  </si>
  <si>
    <t>SÜLEYMAN FIRAT/5387168726</t>
  </si>
  <si>
    <t>Kemalpaşa Mah., Soğuksu Sok., No:8, Serdivan, Sakarya, Türkiye,</t>
  </si>
  <si>
    <t xml:space="preserve">İLERDE TEKRARDAN RANDEVUSU OLUŞTURULACAK </t>
  </si>
  <si>
    <t>6203bb465167d821750136d5</t>
  </si>
  <si>
    <t>Waffle &amp; Kumpir Saraybossna Börekçisi (Köprübaşı Mah.)</t>
  </si>
  <si>
    <t>Serdivan/Köprübaşı</t>
  </si>
  <si>
    <t>Gürkan Bey/5522405454/5320676968</t>
  </si>
  <si>
    <t>Köprübaşı Mah., Atatürk Cad. (Süleyman Binek Cad.), No:7, Serdivan, Sakarya, Türkiye,</t>
  </si>
  <si>
    <t>6213888fd3e09d542776808c</t>
  </si>
  <si>
    <t>Doruk Can Döner (Arabacıalanı Mah.)</t>
  </si>
  <si>
    <t xml:space="preserve">Serdivan /Arabacıalanı </t>
  </si>
  <si>
    <t>ÇETİN KUZU/5316645446</t>
  </si>
  <si>
    <t>Arabacıalanı Mah., Mert Sok., No:3, Serdivan, Sakarya, Türkiye,</t>
  </si>
  <si>
    <t>620f443902f2a8084d9ccdf2</t>
  </si>
  <si>
    <t>Kuldanlar Çiğköfteci Sait (Bahçelievler Mah.)</t>
  </si>
  <si>
    <t>Hasan Bey/5363564297/2642728519</t>
  </si>
  <si>
    <t>Kirişhane Cad., No:126, Adapazarı Sakarya, Türkiye,</t>
  </si>
  <si>
    <t>620b85765ce5ef44412d8e0f</t>
  </si>
  <si>
    <t>Ekleristan (Cumhuriyet Mah.)</t>
  </si>
  <si>
    <t>Nur Hanım/5348184880</t>
  </si>
  <si>
    <t>Cumhuriyet Mah., Yalı Sok., No:1 Adapazarı, Sakarya, Türkiye,</t>
  </si>
  <si>
    <t>620a0382c60051576cb0c7ea</t>
  </si>
  <si>
    <t>Şahin Kebap (İstiklal Mah.)</t>
  </si>
  <si>
    <t>Avni/5425253801</t>
  </si>
  <si>
    <t>İstiklal Mah., 391. Sok., Serdivan, Sakarya, Türkiye,</t>
  </si>
  <si>
    <t xml:space="preserve">Fotoğrafçı Arkadaşımız Rahatsızlandığından Dolayı Haber Gelene Kadar Randevu Alınmayacak </t>
  </si>
  <si>
    <t>Restaurant ID</t>
  </si>
  <si>
    <t>Restoran
Adı</t>
  </si>
  <si>
    <t>Satışa
Açık Mı?</t>
  </si>
  <si>
    <t>Mutfak</t>
  </si>
  <si>
    <t>TOPLAM
SİPARİŞ</t>
  </si>
  <si>
    <t>SON 2 
HAFTA</t>
  </si>
  <si>
    <t>RESİMLİ
ÜRÜN</t>
  </si>
  <si>
    <t>RESİMSİZ
ÜRÜN</t>
  </si>
  <si>
    <t>TOPLAM
ÜRÜN</t>
  </si>
  <si>
    <t>Ratio</t>
  </si>
  <si>
    <t>Yetkili</t>
  </si>
  <si>
    <t>Telefon</t>
  </si>
  <si>
    <t>İLÇE</t>
  </si>
  <si>
    <t>MAHALLE</t>
  </si>
  <si>
    <t>Geleneksel
Zincir</t>
  </si>
  <si>
    <t>FOTOĞRAF SEGMENT</t>
  </si>
  <si>
    <t>Aradık Mı?</t>
  </si>
  <si>
    <t>Kendi Fotosu Var</t>
  </si>
  <si>
    <t>Randevu 
Durumu</t>
  </si>
  <si>
    <t>Fotoğrafçı</t>
  </si>
  <si>
    <t>Not</t>
  </si>
  <si>
    <t>Randevu Alma 
Tarihi</t>
  </si>
  <si>
    <t>Randevu 
Tarihi</t>
  </si>
  <si>
    <t>Anket
Durum</t>
  </si>
  <si>
    <t>1. Arama</t>
  </si>
  <si>
    <t>1. Arama
Tarihi</t>
  </si>
  <si>
    <t>2. Arama</t>
  </si>
  <si>
    <t>2. Arama
Tarihi</t>
  </si>
  <si>
    <t>3. Arama</t>
  </si>
  <si>
    <t>3. Arama
Tarihi</t>
  </si>
  <si>
    <t>4. Arama</t>
  </si>
  <si>
    <t>4. Arama
Tarihi</t>
  </si>
  <si>
    <t>5. Arama</t>
  </si>
  <si>
    <t>5. Arama
Tarihi</t>
  </si>
  <si>
    <t>1. Arayan</t>
  </si>
  <si>
    <t>2. Arayan</t>
  </si>
  <si>
    <t>3. Arayan</t>
  </si>
  <si>
    <t>4. Arayan</t>
  </si>
  <si>
    <t>5. Arayan</t>
  </si>
  <si>
    <t>SY</t>
  </si>
  <si>
    <t>SY - Durum</t>
  </si>
  <si>
    <t>6092b55667cf30580ff7cc00</t>
  </si>
  <si>
    <t>@'li Burger (Arabacıalanı Mah.)</t>
  </si>
  <si>
    <t>Burger</t>
  </si>
  <si>
    <t>Tolga İkiz</t>
  </si>
  <si>
    <t>Serdivan</t>
  </si>
  <si>
    <t>Arabacıalanı</t>
  </si>
  <si>
    <t>Arabacıalanı Mah., Mert Sok., Serdivan, Sakarya, Türkiye,</t>
  </si>
  <si>
    <t>bu şube daha inşaatta dedi. / hala inşaattaymış  daha sonra tekrara aransın.</t>
  </si>
  <si>
    <t>Görüşüldü</t>
  </si>
  <si>
    <t>Simge Demiray</t>
  </si>
  <si>
    <t>61de9e5080ca03e293095ca7</t>
  </si>
  <si>
    <t>54 Han Kebap</t>
  </si>
  <si>
    <t>Kebap</t>
  </si>
  <si>
    <t>MEHMET EMİN KARAGÖZ</t>
  </si>
  <si>
    <t>Esentepe</t>
  </si>
  <si>
    <t>Kemalpaşa Mah., Medeniyet Cad., No:21, Serdivan, Sakarya, Türkiye,</t>
  </si>
  <si>
    <t>Tadilat Var</t>
  </si>
  <si>
    <t>Tadilat varmış önümüzdeki hafta bitecekmiş tadilatı</t>
  </si>
  <si>
    <t>Enes Günal</t>
  </si>
  <si>
    <t>Tost &amp; Sandviç</t>
  </si>
  <si>
    <t>SERAP AKAGÜNDÜZ</t>
  </si>
  <si>
    <t>İstiklal</t>
  </si>
  <si>
    <t>Randevu Alındı</t>
  </si>
  <si>
    <t>no67 çekimler yapılmış tüm ürünlerin sadece gönderilen fotoğrafların düzenlenmesi gerekiyormuş</t>
  </si>
  <si>
    <t>Tutku Erdoğan</t>
  </si>
  <si>
    <t>621e1757fc019f60a9fc1be2</t>
  </si>
  <si>
    <t>7/24 Çorbacı (Şirinevler Mah.)</t>
  </si>
  <si>
    <t>Sokak Lezzetleri</t>
  </si>
  <si>
    <t>REŞAT ULUSİNAN</t>
  </si>
  <si>
    <t>Adapazarı</t>
  </si>
  <si>
    <t>Şirinevler</t>
  </si>
  <si>
    <t>Adnan Menderes Cad., No:194, Adapazarı, Sakarya, Türkiye,</t>
  </si>
  <si>
    <t>Börek</t>
  </si>
  <si>
    <t>Recep Rençber</t>
  </si>
  <si>
    <t>Erenler</t>
  </si>
  <si>
    <t>Dilmen</t>
  </si>
  <si>
    <t>teyit için ulaşılamadı</t>
  </si>
  <si>
    <t>6258563e70d10b86e62acdff</t>
  </si>
  <si>
    <t>Ada Çiğ Köfte (Bağlar Mah.)</t>
  </si>
  <si>
    <t>Çiğ Köfte</t>
  </si>
  <si>
    <t>SEMA KAHRAMAN</t>
  </si>
  <si>
    <t>Bağlar</t>
  </si>
  <si>
    <t>Bağlar Mah., Yıldız Tepe Cad., Erenler, Sakarya, Türkiye,</t>
  </si>
  <si>
    <t>6256bda8f82cc64423844ed8</t>
  </si>
  <si>
    <t>Ada Döner (Cumhuriyet Mah.)</t>
  </si>
  <si>
    <t>Döner</t>
  </si>
  <si>
    <t>BAHADDİN YILDIZ</t>
  </si>
  <si>
    <t>Semerciler</t>
  </si>
  <si>
    <t>Semerciler Mah., Saraçlar Sok., No:52, Adapazarı, Sakarya, Türkiye,</t>
  </si>
  <si>
    <t>Çetin Ayaz</t>
  </si>
  <si>
    <t>Yenidoğan</t>
  </si>
  <si>
    <t>Çekim gerçeklemiş eksik ürün yok.</t>
  </si>
  <si>
    <t>Süleyman Çubukçuoğlu</t>
  </si>
  <si>
    <t>Orta</t>
  </si>
  <si>
    <t>601fabc09f03555ba9b64ec1</t>
  </si>
  <si>
    <t>Ada Lezzet Kampüs Dürüm, Serdivan (Kemalpaşa Mah.)</t>
  </si>
  <si>
    <t>Samir Allahverdiyev</t>
  </si>
  <si>
    <t>Kemalpaşa</t>
  </si>
  <si>
    <t>Kemalpaşa Mah., Üniversite Cad., No:50, Serdivan, Sakarya, Türkiye,</t>
  </si>
  <si>
    <t>Ulaşılamadı</t>
  </si>
  <si>
    <t>Telefonu Kapalı.</t>
  </si>
  <si>
    <t>Ecem Ünal</t>
  </si>
  <si>
    <t>607e8d16191de0cbdba20784</t>
  </si>
  <si>
    <t>Ada Midye Gurme Lezzetleri &amp; Çiğ Köfte (Arabacıalanı Mah.)</t>
  </si>
  <si>
    <t>Emir Ali Çakıcı</t>
  </si>
  <si>
    <t>Arabacıalanı Mah., Şehit Kemal Durak Sok., No:33, Serdivan, Sakarya, Türkiye,</t>
  </si>
  <si>
    <t>Sistemden Çıkmak İstiyor</t>
  </si>
  <si>
    <t>607e8d23d415f0b185ad3f9e</t>
  </si>
  <si>
    <t>Ada Midye Gurme Lezzetleri &amp; Çiğ Köfte (Yeni Mah.)</t>
  </si>
  <si>
    <t>Arabacıalanı Mah., Eski Kazımpaşa Cad., No:203A , Serdivan, Sakarya, Türkiye,</t>
  </si>
  <si>
    <t xml:space="preserve">TEYİD İÇİN ARANDI AÇMADI </t>
  </si>
  <si>
    <t>6242db2d195cc73670471f53</t>
  </si>
  <si>
    <t>Ada Pizza Pide &amp; Lahmacun (32 Evler Mah.)</t>
  </si>
  <si>
    <t>Pizza</t>
  </si>
  <si>
    <t>CELAL UÇAR</t>
  </si>
  <si>
    <t>Otuziki Evler</t>
  </si>
  <si>
    <t>Otuziki Evler Mah., Genç Sok., No:1, Serdivan, Sakarya, Türkiye,</t>
  </si>
  <si>
    <t>Dondurma</t>
  </si>
  <si>
    <t>Eşref YÜZKOLLAR</t>
  </si>
  <si>
    <t>Sakarya</t>
  </si>
  <si>
    <t>Sakarya Cad., No:15, Erenler, Sakarya, Türkiye,</t>
  </si>
  <si>
    <t>604ba358f1352d123849b7ea</t>
  </si>
  <si>
    <t>Ada Şark Pide &amp; Lahmacun, Adapazarı (Yenigün Mah.)</t>
  </si>
  <si>
    <t>Pide</t>
  </si>
  <si>
    <t>Abdurrahman Alptekin</t>
  </si>
  <si>
    <t>Yenigün</t>
  </si>
  <si>
    <t>Yenigün Mah. Yeğenler Cad., No:128, Adapazarı, Sakarya, Türkiye,</t>
  </si>
  <si>
    <t>Personel Eksik</t>
  </si>
  <si>
    <t>paket elemanı yokmuş o yuzden istememişler. ileride düşünürsem dönerim dedi ikna edilebilir faydalardan bahsedildi.-Aradık fakat telefonu kapalıydı.</t>
  </si>
  <si>
    <t>Selcan Topçu</t>
  </si>
  <si>
    <t>6120f882a03cfb2f8e335a64</t>
  </si>
  <si>
    <t>Ada Şelale, Serdivan (Kemalpaşa Mah.)</t>
  </si>
  <si>
    <t>Tavuk</t>
  </si>
  <si>
    <t>Adaer Ticaret Nakl. İnş. Hayv. Ltd. Şti</t>
  </si>
  <si>
    <t>kemalpaşa mah üniversite cad no 82</t>
  </si>
  <si>
    <t>açmadı</t>
  </si>
  <si>
    <t>6009e79e9873d870b68c9b84</t>
  </si>
  <si>
    <t>Ada Tantuni (Yalı Mah.)</t>
  </si>
  <si>
    <t>Fatih Recep Parmaksız</t>
  </si>
  <si>
    <t>Karasu</t>
  </si>
  <si>
    <t>Yalı</t>
  </si>
  <si>
    <t>Yalı Mah Plaj Cad. No :119/B</t>
  </si>
  <si>
    <t>Ömer Faruk Tağma</t>
  </si>
  <si>
    <t>5395537433 devam çekimine gerek yok sadece içeçekler kaldı dedi</t>
  </si>
  <si>
    <t>606c41fcab152dcb37346d42</t>
  </si>
  <si>
    <t>Ada Zurna Hatay Usulü Dürüm, Serdivan (Kemalpaşa Mah.)</t>
  </si>
  <si>
    <t>Behice DEMİRKOL</t>
  </si>
  <si>
    <t>Kemalpaşa mah.universite cad.kartepe şok no 29 daire 1</t>
  </si>
  <si>
    <t>Başka Şubeden Çekilecek</t>
  </si>
  <si>
    <t>sistem de sorun var fotoğraf çekimi istiyor.-10 Dakika sonra ulaşım sağlanabilirmiş./başka bi şubesi daha varmış oraya çekim yapılmış</t>
  </si>
  <si>
    <t>Dönüş Yapacak</t>
  </si>
  <si>
    <t>Tekrar Aranacak</t>
  </si>
  <si>
    <t>Ayşegül Dulkadir</t>
  </si>
  <si>
    <t>Kahvaltı</t>
  </si>
  <si>
    <t>FAHRİYE DURĞAN</t>
  </si>
  <si>
    <t>6018f365aa213ab3f0e42016</t>
  </si>
  <si>
    <t>Adakule Restaurant, Adapazarı (Maltepe Mah.)</t>
  </si>
  <si>
    <t>Mesut Timar</t>
  </si>
  <si>
    <t>Maltepe</t>
  </si>
  <si>
    <t>Maltepe Mah., Maltepe Cad., No:67, Adapazarı, Sakarya, Türkiye,</t>
  </si>
  <si>
    <t>aramayın düşünmüyor/şuan düşünmüyormuş/bizim aramamızı istemedi düşünürse kendisi dönecek</t>
  </si>
  <si>
    <t>Derya Tatlı</t>
  </si>
  <si>
    <t>60966a31822d878c7c5a0630</t>
  </si>
  <si>
    <t>Adana Kebapçısı Suphi Usta, Adapazarı (Korucuk Mah.)</t>
  </si>
  <si>
    <t>Suphi Şahin</t>
  </si>
  <si>
    <t>Korucuk</t>
  </si>
  <si>
    <t>Korucuk Mah. Keremçoskun Cad. Tunahan Sitesi 2 No : 1 Korucuk / Sakarya</t>
  </si>
  <si>
    <t>Bayramdan sonra maile gönderecekler</t>
  </si>
  <si>
    <t>606b2e7b2b4d0ee5dd1bac90</t>
  </si>
  <si>
    <t>Adanalı Halil Usta, Adapazarı (Korucuk Mah.)</t>
  </si>
  <si>
    <t>Ayten Kalay</t>
  </si>
  <si>
    <t>Korucuk Mah., Vakıf Cad., No:14/1A, Adapazarı, Sakarya, Türkiye,</t>
  </si>
  <si>
    <t>Çekim İstemiyor</t>
  </si>
  <si>
    <t>halil bey ile görüşüldü problemleri çöcülünce aranacak . kızgındı ama biraz yumuşak konuşunca onay verıyor.-Problemle ilgilenildi saha temsilcisi dönüş sağlayacakmış çok sonra aranabilir./fotoğraftan önce başka sıkıntılarımız var çekim istmeiyorum dedi</t>
  </si>
  <si>
    <t>Yetkili Yok</t>
  </si>
  <si>
    <t>Nurhayat Kabataş</t>
  </si>
  <si>
    <t>60cdeaaf8d492c7994e5f54a</t>
  </si>
  <si>
    <t>Adanalı Mustafa’nın Yeri, Karasu (Yalı Mah.)</t>
  </si>
  <si>
    <t>Lahmacun</t>
  </si>
  <si>
    <t>MUSTAFA KUYBULU</t>
  </si>
  <si>
    <t>İncilli</t>
  </si>
  <si>
    <t>YALI MAH. PLAJ CAD. NO: 132 İÇ KAPI NO: 3 KARASU/SAKARYA</t>
  </si>
  <si>
    <t>609664778bff0b36506686aa</t>
  </si>
  <si>
    <t>Addmore, Serdivan (Arabacı Alanı Mah.)</t>
  </si>
  <si>
    <t>ÖZERLER SÜT ÜRÜNLERİVE MARKETÇİLİK A.Ş.</t>
  </si>
  <si>
    <t>Arabacıalanı, Mehmet Akif Ersoy Cd. No:8/2, 54050 Serdivan/Sakarya</t>
  </si>
  <si>
    <t>İleride Randevu Alınacak</t>
  </si>
  <si>
    <t>YETKİLİ İZİNLİ YARIN GÖRÜŞME SAĞLANABİLİR YETKİLİ KİŞİ EMRE BEY 09.00 DAN SONRA ARANABİLİR.</t>
  </si>
  <si>
    <t>semerciler mah çark cad.</t>
  </si>
  <si>
    <t>getir yemekten çıkıtğını randevu alınıp gelinmediğini söyledi/ teyit için arandı ulaşılamadı</t>
  </si>
  <si>
    <t>62584721a7b30e48310d27aa</t>
  </si>
  <si>
    <t>Adıyaman Çiğ Köftecisi (Erenler Mah.)</t>
  </si>
  <si>
    <t>ÇAĞLA KISA</t>
  </si>
  <si>
    <t>Erenler Mah., Erenler Cad., No:13, Erenler, Sakarya, Türkiye,</t>
  </si>
  <si>
    <t>60caf19b2b6d293799cb3bdd</t>
  </si>
  <si>
    <t>Adıyamanlı Çiğ Köfteci Ali Baba (Tığçılar Mah.)</t>
  </si>
  <si>
    <t>MEHMET DEMİREL</t>
  </si>
  <si>
    <t>Tığcılar</t>
  </si>
  <si>
    <t>Tığcılar Mah Kesci sok 93/a</t>
  </si>
  <si>
    <t>Pasta &amp; Tatlı</t>
  </si>
  <si>
    <t>Huriye Çakır</t>
  </si>
  <si>
    <t>devam çekimi randevusu alındı.</t>
  </si>
  <si>
    <t>622afb1ded7bafd0212078c9</t>
  </si>
  <si>
    <t>Akdeniz Tantuni (İstiklal Mah.)</t>
  </si>
  <si>
    <t>ELİF OKAY</t>
  </si>
  <si>
    <t>Bağlar Cad., No:43, Serdivan, Sakarya, Türkiye,</t>
  </si>
  <si>
    <t>60ce01f675a6b8c0c6b423bd</t>
  </si>
  <si>
    <t>Al Götür Express, Adapazarı (Semerciler Mah. - Çark Cad.)</t>
  </si>
  <si>
    <t>Kahve</t>
  </si>
  <si>
    <t>OĞUZHAN KARAHAN</t>
  </si>
  <si>
    <t>Semerciler Mah., Gökçe Sok., No:8, Adapazarı, Sakarya, Türkiye,</t>
  </si>
  <si>
    <t>620534d7fa2e86bbb73f1f8e</t>
  </si>
  <si>
    <t>Alâ Balık &amp; Meze (Rüstempaşa Mah.)</t>
  </si>
  <si>
    <t>Deniz Ürünleri</t>
  </si>
  <si>
    <t>ADNAN ALEM</t>
  </si>
  <si>
    <t>Sapanca</t>
  </si>
  <si>
    <t>Rüstempaşa</t>
  </si>
  <si>
    <t>Rüstempaşa Mah., Kuvayi Milliye Cad., Sapanca, Sakarya, Türkiye,</t>
  </si>
  <si>
    <t>6204fe776c82f695a93d97c8</t>
  </si>
  <si>
    <t>Alaçatı Kumru &amp; Burger (Kırkpınar Hasanpaşa Mah.)</t>
  </si>
  <si>
    <t>ZERRİN KIZILDEMİR</t>
  </si>
  <si>
    <t>Kırkpınar Hasanpaşa</t>
  </si>
  <si>
    <t>Şehit Cevdet Koç Cad., Sapanca, Sakarya, Türkiye,</t>
  </si>
  <si>
    <t>61211a91542a0d2769c0c5ef</t>
  </si>
  <si>
    <t>Alo Acıktııık, Adapazarı (Şeker Mah.)</t>
  </si>
  <si>
    <t>Yakup Kırca</t>
  </si>
  <si>
    <t>Kurtuluş</t>
  </si>
  <si>
    <t>Kurtuluş Mah., Bahçıvan Sok., No:46, Adapazarı, Sakarya, Türkiye,</t>
  </si>
  <si>
    <t>Numara kullanılmıyor ve internette hep aynı numara var</t>
  </si>
  <si>
    <t>6041eb9617e4246bab0c1602</t>
  </si>
  <si>
    <t>Alo Balık (15 Temmuz Camili Mah.)</t>
  </si>
  <si>
    <t>Balık &amp; Deniz Ürünleri</t>
  </si>
  <si>
    <t>Erdinç Tekinoğlu</t>
  </si>
  <si>
    <t>15 Temmuz Camili</t>
  </si>
  <si>
    <t>15 temmuz camili mah 1634 küme evleri 338 nolu sarı iş merkezi No .z22</t>
  </si>
  <si>
    <t>dükkan kapalı daha sonra arayın /şuan sezon bitmiş eylülde başlaaycak eğer devam edilirse aranacak eğer devam edilmezse kendi çekip göndericek</t>
  </si>
  <si>
    <t>6040aa583f01ac8eb783a324</t>
  </si>
  <si>
    <t>Alo Sokak Başı, Serdivan (İstiklal Mah.)</t>
  </si>
  <si>
    <t>Ev Yemekleri</t>
  </si>
  <si>
    <t>Havva KOTAN</t>
  </si>
  <si>
    <t>Eşim ve ben şeker hastasıyız herkesi alamıyoruz bu yüzden daha ileri tarihlerde ded/tadılatimız olucak baya ılerde olabılır ama sımdı olmaz dedı /şeker hastasıymış kendisini çokiyi koruyormuş yani riske gşrmek istemiyor pandemi süresincede istemez</t>
  </si>
  <si>
    <t>Hasan BağcıatalHasan Bağcıatal</t>
  </si>
  <si>
    <t>62557e2ea7b76af6d41683af</t>
  </si>
  <si>
    <t>Alzide Kebap (Kemaliye Mah.)</t>
  </si>
  <si>
    <t>GÜLPERİ DEMİR</t>
  </si>
  <si>
    <t>Hendek</t>
  </si>
  <si>
    <t>Başpınar</t>
  </si>
  <si>
    <t>Başpınar Mah., Profesör Doktor Ayhan Kızıl Cad., No:36, Hendek, Sakarya, Türkiye,</t>
  </si>
  <si>
    <t>ŞABAN ALIÇ</t>
  </si>
  <si>
    <t>Köprübaşı</t>
  </si>
  <si>
    <t>620f5178533cc839ec856ed3</t>
  </si>
  <si>
    <t>Antepli Hünkar Künefe, Adapazarı (Yenicami Mah.)</t>
  </si>
  <si>
    <t>İBRAHİM HALİL SEVİLMİŞ</t>
  </si>
  <si>
    <t>Papuççular</t>
  </si>
  <si>
    <t>Adnan Menderes Cad., No:3, Adapazarı, Sakarya, Türkiye,</t>
  </si>
  <si>
    <t xml:space="preserve">Mustafa Bey/İstanbulda şubeleri var ordaki fotoğraflar yüklenecek. </t>
  </si>
  <si>
    <t>6241bd7a4502426ce060c4fe</t>
  </si>
  <si>
    <t>Ardiye (İstiklal Mah.)</t>
  </si>
  <si>
    <t>ESRA YETİM</t>
  </si>
  <si>
    <t>Bahçelievler</t>
  </si>
  <si>
    <t>6072b7ee1514ab3dfb9a4f5e</t>
  </si>
  <si>
    <t>Arsamiea Çiğ Köfte, Karasu (Yalı Mah.)</t>
  </si>
  <si>
    <t>Eda Kavala</t>
  </si>
  <si>
    <t>Doğu Karadeniz Cad., No:120 A, Karasu, Sakarya, Türkiye,</t>
  </si>
  <si>
    <t>kalan ürünleri için arandı açmadı</t>
  </si>
  <si>
    <t>600bcb9416bdc85f89405c65</t>
  </si>
  <si>
    <t>Arsemia Çiğ Köfte (Camicedit. Mah.)</t>
  </si>
  <si>
    <t>YASEMİN ERSOY</t>
  </si>
  <si>
    <t>Camicedit</t>
  </si>
  <si>
    <t>Camicedit mahallesi Paşa sok no.8 iç kapı no. B sapanca/Sakarya</t>
  </si>
  <si>
    <t>Franchise</t>
  </si>
  <si>
    <t>6256bf8ba7b30e1662d178c6</t>
  </si>
  <si>
    <t>Atak Közde Kokoreç (Kemalpaşa Mah.)</t>
  </si>
  <si>
    <t>İBRAHİM KARADİRİM</t>
  </si>
  <si>
    <t>Kemalpaşa Mah., Dağköy Sok., Serdivan, Sakarya, Türkiye,</t>
  </si>
  <si>
    <t>Özkul Kutluata</t>
  </si>
  <si>
    <t>Cumhuriyet</t>
  </si>
  <si>
    <t>DEVAM ÇEKİMİ İSTİYOR..</t>
  </si>
  <si>
    <t>6220d0e4eed71f44b98547de</t>
  </si>
  <si>
    <t>Atlas Çorba Döner Izgara ( Kemalpaşa Mah.)</t>
  </si>
  <si>
    <t>KEREM YÜKSEL</t>
  </si>
  <si>
    <t>Kemalpaşa Mah., Belediye Cad., No:79, Serdivan, Sakarya, Türkiye,</t>
  </si>
  <si>
    <t>Muhammet Tayyip Atmaca</t>
  </si>
  <si>
    <t>Tekeler</t>
  </si>
  <si>
    <t>621c7111c17685c92d65ff4b</t>
  </si>
  <si>
    <t>Aware Burger ( Kemalpaşa Mah.)</t>
  </si>
  <si>
    <t>SAMET ŞENLEN</t>
  </si>
  <si>
    <t>Kemalpaşa Mah., Yavuz Sok., Serdivan, Sakarya, Türkiye,</t>
  </si>
  <si>
    <t>Yunus Kara</t>
  </si>
  <si>
    <t>çekim yapan kişiden hiç memnun değilmiş fotoğrafçımız değişirse dç düşünebilirmiş</t>
  </si>
  <si>
    <t>SÜLEYMAN FIRAT</t>
  </si>
  <si>
    <t>60210a96bd45894c82a12c0f</t>
  </si>
  <si>
    <t>Aydın Pide &amp; Kebap, Karasu (Yalı Mah.)</t>
  </si>
  <si>
    <t>Mehmet Aydın</t>
  </si>
  <si>
    <t>Aziziye</t>
  </si>
  <si>
    <t>Doğu Karadeniz Cad., No:1 A, Karasu, Sakarya, Türkiye,</t>
  </si>
  <si>
    <t>SERDAR AYDOĞDUOĞLU</t>
  </si>
  <si>
    <t>ŞİRİNEVLER MAH. ADNAN MENDERES CAD. NO: 230 A</t>
  </si>
  <si>
    <t>radyo pub alt katında orman bölge müd karşısı</t>
  </si>
  <si>
    <t>622b4f143f98e02883f45b07</t>
  </si>
  <si>
    <t>Baba Oğul Izgara (Mithatpaşa Mah.)</t>
  </si>
  <si>
    <t>SEZAİ YILDIZ</t>
  </si>
  <si>
    <t>Güllük</t>
  </si>
  <si>
    <t>Adnan Menderes Cad., No:148, Adapazarı, Sakarya, Türkiye,</t>
  </si>
  <si>
    <t>621493d41f690c6fe2e6288a</t>
  </si>
  <si>
    <t>Babacan Çiğ Köfte ( Papuçcular Mah.)</t>
  </si>
  <si>
    <t>SEDA CAN</t>
  </si>
  <si>
    <t>Papuççular Mah., Adapazarı, Sakarya, Türkiye,</t>
  </si>
  <si>
    <t>İrfan Güler</t>
  </si>
  <si>
    <t>meşgul</t>
  </si>
  <si>
    <t>608828b5ee9c1fa10ed041df</t>
  </si>
  <si>
    <t>Baklavacı Özcan Usta, Serdivan (İstiklal Mah.)</t>
  </si>
  <si>
    <t>Meryem Kocaman</t>
  </si>
  <si>
    <t>İstiklal mah Bağlar Cad., No:30, Serdivan, Sakarya, Türkiye,</t>
  </si>
  <si>
    <t>Özcan Bey ayın 5 inden sonra arayın fotom varsa gönderirim yoksa randevulaşırız dedi/TEYIT ICIN ARANDI PZRTESI YOLLUYCGINI SOYLEDI/ tadilata girecegiz işler biraz yogun daha sonra halledelim dediler.</t>
  </si>
  <si>
    <t>Cüneyt Çalışkan</t>
  </si>
  <si>
    <t>Kemaliye</t>
  </si>
  <si>
    <t>elimde çekimler vardı ulaşamadık dediler ama yakın tarihte tekrar cekim yaptıracagım dediler. gönderirim dedi.-05535370047</t>
  </si>
  <si>
    <t>Mavi Arslan</t>
  </si>
  <si>
    <t>6218a9d9bfca551103d35b4c</t>
  </si>
  <si>
    <t>Başka Biyer ( Kemalpaşa Mah.)</t>
  </si>
  <si>
    <t>VATAN ERMAN</t>
  </si>
  <si>
    <t>Kemalpaşa Mah., 162. Sok., Serdivan, Sakarya, Türkiye,</t>
  </si>
  <si>
    <t>Bayındır Pide &amp; Lahmacun (Cumhuriyet Mah.)</t>
  </si>
  <si>
    <t>Enver Bayındır</t>
  </si>
  <si>
    <t>Yeğenler Cad., No:4, Adapazarı, Sakarya, Türkiye,</t>
  </si>
  <si>
    <t>Osman mermer</t>
  </si>
  <si>
    <t>609674aaaa74f71935f7d745</t>
  </si>
  <si>
    <t>Beyaz Işık Pastaneleri (Çukurahmediye Mah.)</t>
  </si>
  <si>
    <t>BEYAZ IŞIK ÇAKIRLAR GIDA VE UNLU MAMULLER SAN VE TİC. LTD. ŞTİ</t>
  </si>
  <si>
    <t>Çukurahmediye</t>
  </si>
  <si>
    <t>Çukurahmediye mah Sakarya Cad., No:80, Erenler, Sakarya, Türkiye,</t>
  </si>
  <si>
    <t>ulaşılmıyor</t>
  </si>
  <si>
    <t>Randevu İptal</t>
  </si>
  <si>
    <t>ilerleyen zamanlarde belki olur getir sistemini çok açmıyorum zaten dedi</t>
  </si>
  <si>
    <t>60967429000dc12fefe9d3e0</t>
  </si>
  <si>
    <t>Beyaz Işık Pastaneleri (Tığcılar Mah.)</t>
  </si>
  <si>
    <t>Tığcılar Mah., Kara Osman Sok., No:43, Adapazarı, Sakarya, Türkiye,</t>
  </si>
  <si>
    <t>62260e2857fd441f1f19fbfa</t>
  </si>
  <si>
    <t>Beyti Burger (Arabacıalanı Mah.)</t>
  </si>
  <si>
    <t>BURHAN TOKAT</t>
  </si>
  <si>
    <t>Arabacıalanı Mah., Şehit Ali Borinli Sok., Serdivan, Sakarya, Türkiye,</t>
  </si>
  <si>
    <t>Orçun İbrişim</t>
  </si>
  <si>
    <t>devam çekimi talep etmiyor getir çekim için bir sürü şart koşmuş dedi</t>
  </si>
  <si>
    <t>6218b245395f2aa5f80a23dc</t>
  </si>
  <si>
    <t>Bi Pilav (Kemalpaşa Mah.)</t>
  </si>
  <si>
    <t>Kadir Adıyaman</t>
  </si>
  <si>
    <t>Nagihan Karagüzel</t>
  </si>
  <si>
    <t>Beşköprü</t>
  </si>
  <si>
    <t xml:space="preserve">5 6 ürün çıkarabilirim yazın öğleden sonra olursa diyor </t>
  </si>
  <si>
    <t>606c43c7fbec05d65a17c1ef</t>
  </si>
  <si>
    <t>Big Köfte, Serdivan (Arabacı Alanı Mah.)</t>
  </si>
  <si>
    <t>Köfte</t>
  </si>
  <si>
    <t>Aysun Taşkıngül</t>
  </si>
  <si>
    <t>Arabacıalanı Mah. M, Mehmet Akif Ersoy Cd. No:3</t>
  </si>
  <si>
    <t>göndermiş/MAİL ADRESİ VERİLDİ</t>
  </si>
  <si>
    <t>Fotoğraflarım Var</t>
  </si>
  <si>
    <t>601b19519b217f6c71b3b86f</t>
  </si>
  <si>
    <t>Bigg Pizza, Arifiye (Arif Bey Mah.)</t>
  </si>
  <si>
    <t>Ömer Faruk VURAL</t>
  </si>
  <si>
    <t>Arifiye</t>
  </si>
  <si>
    <t>Arifbey</t>
  </si>
  <si>
    <t>Arifbey Mah Şehit gaffar okkan cad. no:7</t>
  </si>
  <si>
    <t>620f9160697228c4d78b665a</t>
  </si>
  <si>
    <t>Bigye Burger (Arabacıalanı Mah.)</t>
  </si>
  <si>
    <t>HACI KUTU</t>
  </si>
  <si>
    <t>Arabacıalanı Mah., Mert Sok., No:25, Serdivan, Sakarya, Türkiye,</t>
  </si>
  <si>
    <t>Fatih Ertuğrul Çolak</t>
  </si>
  <si>
    <t xml:space="preserve">randevu iptaldi/eşim hamile her an herşey olabilir dedi ramazandan sonra aranacak//tadilattayyız dedi/ yok şuan hala müsait degilim dedi../ o kadar ürünü çıkarttığımda kim yiyecek dedi </t>
  </si>
  <si>
    <t>NEDİM SEVİM</t>
  </si>
  <si>
    <t>Mehmet akif ersoy lisesinin karşısındaki sarı iş merkezi/ teyit için arandı yetkili hafta içi olacak o zman arayın dedi</t>
  </si>
  <si>
    <t>Yavuz Coşkun</t>
  </si>
  <si>
    <t>Nuriye</t>
  </si>
  <si>
    <t xml:space="preserve">diğerlerinin yüklenmesini istiyor </t>
  </si>
  <si>
    <t>604bacc5f5f5cecd1aafad43</t>
  </si>
  <si>
    <t>Boston Donuts, Sapanca (Kırkpınar Hasanpaşa Mah.)</t>
  </si>
  <si>
    <t>Zikri Bülbül</t>
  </si>
  <si>
    <t>Kırkpınar hasanpaşa mah. Şehit Cevdet Koç Cad., No:62/A, Sapanca, Sakarya, Türkiye,</t>
  </si>
  <si>
    <t>getir yemekle ilgili sorun yaşamışlar avukata vermiş</t>
  </si>
  <si>
    <t>604bac17b01c99a53f116470</t>
  </si>
  <si>
    <t>Boston Donuts, Serdivan (İstiklal Mah.)</t>
  </si>
  <si>
    <t>İstiklal Mah. Bağlar Cad., No:42, Serdivan, Sakarya, Türkiye,</t>
  </si>
  <si>
    <t>608a5d6ad69d4536a9530dbb</t>
  </si>
  <si>
    <t>Brain Storm (Cumhuriyet Mah.)</t>
  </si>
  <si>
    <t>Burak can Çakıroğlu</t>
  </si>
  <si>
    <t>cumhuriyet mah şal sok no 38</t>
  </si>
  <si>
    <t>getiryemketen çıkmak istiyorum silin lütfen dedi</t>
  </si>
  <si>
    <t>622b24b6dc761d544b3b1ffe</t>
  </si>
  <si>
    <t>Breadli Serdivan (Kemalpaşa Mah.)</t>
  </si>
  <si>
    <t>SELDA AY</t>
  </si>
  <si>
    <t>Recep Has</t>
  </si>
  <si>
    <t>teyit için arandı fotoğraflar hakkında şu an net bilgim yok akşam arayın dedi</t>
  </si>
  <si>
    <t>FAHRİYE TANIŞ</t>
  </si>
  <si>
    <t>601502054337de4f542c59de</t>
  </si>
  <si>
    <t>Burger Brothers Köfteci İsmail Serdivan (İstiklal Mah.)</t>
  </si>
  <si>
    <t>Recep Özbek</t>
  </si>
  <si>
    <t>2743340 2 HAFTA ONCE RESIM CEKILDI DENDI</t>
  </si>
  <si>
    <t>618d1f44dd060a3c3f3e5cc2</t>
  </si>
  <si>
    <t>Burger Schön (54 AVM)</t>
  </si>
  <si>
    <t>DERVİŞ YASİN İPŞİROĞLU</t>
  </si>
  <si>
    <t>Arabacıalanı Mah., Cadde 54, Serdivan, Sakarya, Türkiye,</t>
  </si>
  <si>
    <t>paneli kullanmıyor</t>
  </si>
  <si>
    <t>6012d122d22e22aa9cb5606e</t>
  </si>
  <si>
    <t>By Boşnak Börekçisi(Çarşı Şube.)</t>
  </si>
  <si>
    <t>Hasan Aydınlı</t>
  </si>
  <si>
    <t>Soğan Pazarı Cad., No:24, Adapazarı, Sakarya, Türkiye,</t>
  </si>
  <si>
    <t>60c085f28e22c412e544181d</t>
  </si>
  <si>
    <t>By Hamza Pide &amp; Lahmacun, Karasu (İncilli Mah.)</t>
  </si>
  <si>
    <t>Osman Kadı</t>
  </si>
  <si>
    <t>İncilli Mah., Stad Cad., No:12, Karasu, Sakarya, Türkiye,</t>
  </si>
  <si>
    <t>601b16d05ad05159e798af05</t>
  </si>
  <si>
    <t>By İlkay Chef Izgara, Serdivan (Kemalpaşa Mah.)</t>
  </si>
  <si>
    <t>Gülseren Tokat</t>
  </si>
  <si>
    <t>Kemalpaşa Mah., Necip Fazıl Kısakürek Cad., No:5, Serdivan, Sakarya, Türkiye,</t>
  </si>
  <si>
    <t>İlkay bey Şuan istemiyorum ama ilerde belki dedi olumsuz bence</t>
  </si>
  <si>
    <t>Eylem Ünal</t>
  </si>
  <si>
    <t>6040b068d3409b1e590d529f</t>
  </si>
  <si>
    <t>By Patso's, Serdivan (Kemalpaşa Mah.)</t>
  </si>
  <si>
    <t>Samet Yıldırım</t>
  </si>
  <si>
    <t>Sakarya Üniversitesi Kampüs Çarşısı No :8 serdivan sakarya</t>
  </si>
  <si>
    <t>sipariş üstüne geliyosa gelsin dedi. yoksa istemiyorum dedi// daha öncede aradınız istemiyoruz dedi</t>
  </si>
  <si>
    <t>Enes Erçeltik</t>
  </si>
  <si>
    <t>fotoğrafçıdan memnun kalmamış kendimiz çekip yollarız dedi mail verildi</t>
  </si>
  <si>
    <t>624dadea9f0b0d85e838c093</t>
  </si>
  <si>
    <t>Cafe Muss (İstiklal Mah.)</t>
  </si>
  <si>
    <t>FİLİZ KOZAK</t>
  </si>
  <si>
    <t>İstiklal Mah., 312. Sok., Serdivan, Sakarya, Türkiye,</t>
  </si>
  <si>
    <t>603f4d9bdc8b32fd7bc321a9</t>
  </si>
  <si>
    <t>Cafe'de Pizza, Sapanca (Kırkpınar Hasanpaşa Mah.)</t>
  </si>
  <si>
    <t>İbrahim Üstünel</t>
  </si>
  <si>
    <t>Kırkpınar Soğuksu</t>
  </si>
  <si>
    <t>Bağdat Cad., No:119, Sapanca, Sakarya, Türkiye,</t>
  </si>
  <si>
    <t>haftaya salı gönderirmiş</t>
  </si>
  <si>
    <t>623185c8426ed16333d3c5b7</t>
  </si>
  <si>
    <t>Caner Usta Döner ( İncilli Mah.)</t>
  </si>
  <si>
    <t>CANER GÖKER</t>
  </si>
  <si>
    <t>İncilli Mah., 619 Sok., No:3 A, Karasu, Sakarya, Türkiye,</t>
  </si>
  <si>
    <t>Zafer Kınalı</t>
  </si>
  <si>
    <t>Kadir Bey</t>
  </si>
  <si>
    <t>602541f72f6cd8819d7d795b</t>
  </si>
  <si>
    <t>Centilmen Döner &amp; Islama Köfte, Serdivan (İstiklal Mah.)</t>
  </si>
  <si>
    <t>Erhan Çalışkan</t>
  </si>
  <si>
    <t>Kemalpaşa Mah Bağlar Cad. No :92 Serdivan/Sakarya</t>
  </si>
  <si>
    <t>Sürekli bizi erteliyor..//açmadı//dükkanı kapalı 15 gün sonra aranmak istiyor</t>
  </si>
  <si>
    <t>62173f41c8f00c88109dfbe5</t>
  </si>
  <si>
    <t>Chickenlab (Kemalpaşa Mah.)</t>
  </si>
  <si>
    <t>BATUHAN ALİBAŞİÇ</t>
  </si>
  <si>
    <t>6009fd56b4fcb46717762a9a</t>
  </si>
  <si>
    <t>ChickenLand (Arabacı Alanı Mah.)</t>
  </si>
  <si>
    <t>Uğur Demir</t>
  </si>
  <si>
    <t>Arabacıalanı Mah., Mert Sok., No:54, Serdivan, Sakarya, Türkiye,</t>
  </si>
  <si>
    <t>sistemi kullanmıyor/ŞUAN SİSTEMİ KULLANMADIĞI İÇİN GÖNDERMEMİŞ./SISTEMDEN SIKINTI YASADIGINI BELIRTTI KAGIT ISRAFININ OLDUGUNU SOYLEDI BU YUZDEN DAHA ATMADIGINI BILDIRDI.YAKIN ZAMANDA SIKINTIO COZULUNCE ATCAGINI SOYLEDI./önce problemlerin halledilmesi gerekliymiş.</t>
  </si>
  <si>
    <t>SEVCAN KADİROĞLU</t>
  </si>
  <si>
    <t>Yahyalar</t>
  </si>
  <si>
    <t>Nurullah Bey/işleri çok yoğunmuş o yüzden öbür ay arayın dedi</t>
  </si>
  <si>
    <t>Bülent Gezici</t>
  </si>
  <si>
    <t>5325640364 fotoğrafların tamamı çekilmiş ama sistem de yok</t>
  </si>
  <si>
    <t>Emrullah Sakin</t>
  </si>
  <si>
    <t>teyit için aradık açmadı</t>
  </si>
  <si>
    <t>6079275310bf229459b5a183</t>
  </si>
  <si>
    <t>Emirhan Oral</t>
  </si>
  <si>
    <t>Kemalpaşa Mah., Üniversite Cad., No:31, Serdivan, Sakarya, Türkiye,</t>
  </si>
  <si>
    <t>fotografları paylaşmadıgımız için istemiyor birdaha aranmasın söyleyecegini söyleyip suratımıza kapatıyor.</t>
  </si>
  <si>
    <t>624aba5564eda925e2e93fff</t>
  </si>
  <si>
    <t>Crespo Burger (İstiklal Mah.)</t>
  </si>
  <si>
    <t>BERK VUSLAT BOSTANCI</t>
  </si>
  <si>
    <t>Muhsin Yazıcıoğlu Blv., No:15, Serdivan, Sakarya, Türkiye,</t>
  </si>
  <si>
    <t>Elif Öz</t>
  </si>
  <si>
    <t>Furkan Bey devam çekimi talep etmiyor</t>
  </si>
  <si>
    <t>60089ca5b4fcb4c6a375fcc1</t>
  </si>
  <si>
    <t>Çağlar Dondurma Izgara (Arabacı Alanı Mah.)</t>
  </si>
  <si>
    <t>Emre Akbaba</t>
  </si>
  <si>
    <t>mail adresi verildi/RAMAZANDAN SONRA ÇEKİP GÖNDERİCEK // bu hafta çekim yapıp atıcakmış/ abimin dügünü var dedi ilgilenemedim 2 3 hafta sonra arayın tekrar görüşelim dediler.</t>
  </si>
  <si>
    <t>621890236c220131a8d6ae36</t>
  </si>
  <si>
    <t>Çağrı Börekçilik ( Tığcılar Mah.)</t>
  </si>
  <si>
    <t>GÜVEN BERTAN</t>
  </si>
  <si>
    <t>Tığcılar Mah., Adapazarı, Sakarya, Türkiye,</t>
  </si>
  <si>
    <t>Sevgi Ceylan</t>
  </si>
  <si>
    <t>sezonda çok yoğun olduğundan istemediğini ve daha önce bi rezarvasyon gerçeleştirilip gelindeğini iletti/ meşgul</t>
  </si>
  <si>
    <t>Nurettin Çeken</t>
  </si>
  <si>
    <t>13 ürün çekilmiş. 5333254295</t>
  </si>
  <si>
    <t>600c3628ace44f6f10af654a</t>
  </si>
  <si>
    <t>Çıtır Usta Kebap Lahmacun Dürüm (Kemalpaşa mah.)</t>
  </si>
  <si>
    <t>Mihtat Altın</t>
  </si>
  <si>
    <t>çekim istemiyor kesinlikle aranmasın // istemiyorum dedi</t>
  </si>
  <si>
    <t>Tayfun Bilgili</t>
  </si>
  <si>
    <t>ürünlerin tamamı çekilmiş ama sistem de bi kaç tane ürünün fotğrafı var</t>
  </si>
  <si>
    <t>teyit için arandı meşgul</t>
  </si>
  <si>
    <t>Ömer Faruk Mert</t>
  </si>
  <si>
    <t>620653fcf211b23b29ca3182</t>
  </si>
  <si>
    <t>Çiğ Köfteci Sait ( Arabacıalanı Mah.)</t>
  </si>
  <si>
    <t>ŞERİF SANCAKLI</t>
  </si>
  <si>
    <t>Arabacıalanı Mah., Nergis Sok., No:6, Serdivan, Sakarya, Türkiye,</t>
  </si>
  <si>
    <t>60089f619611de182cccdcfb</t>
  </si>
  <si>
    <t>Çiğ Köfteci Sait (Arabacı Alanı Mah. - Eski Kazımpaşa Cad.)</t>
  </si>
  <si>
    <t>Arabacıalanı Mah., Eski Kazımpaşa Cad., No:203, Serdivan, Sakarya, Türkiye,</t>
  </si>
  <si>
    <t>TEYIT ICIN ARANDI 1 HAFTA ICINDE ATILCAGINI SOYLEDI</t>
  </si>
  <si>
    <t>61aff5d3885801645c66dd41</t>
  </si>
  <si>
    <t>Çiğ Köfteci Sait (Cumhuriyet Mah.)</t>
  </si>
  <si>
    <t>VEYSEL SEVGİLİ</t>
  </si>
  <si>
    <t>Çark Cad., No:74A, Sakarya, Türkiye,</t>
  </si>
  <si>
    <t>60a64fa277346a34507a60a2</t>
  </si>
  <si>
    <t>Çiğ Köfteci Sait (Hacıoğlu Mah. - M. Akif Ersoy Cad. )</t>
  </si>
  <si>
    <t>KEREM MARAL</t>
  </si>
  <si>
    <t>Hacıoğlu</t>
  </si>
  <si>
    <t>Mehmet Akif Ersoy Cad., No:9, Erenler, Sakarya, Türkiye,</t>
  </si>
  <si>
    <t>620e56f33f4fd65c12da38b7</t>
  </si>
  <si>
    <t>Çiğ Köfteci Sait (İstiklal Mah.)</t>
  </si>
  <si>
    <t>HİDAYET ÖZDEMİR</t>
  </si>
  <si>
    <t>Şehit Mehmet Karabaşoğlu Cad., No:17B, Serdivan, Sakarya, Türkiye,</t>
  </si>
  <si>
    <t>6051aa2de33f8b24d19dd05f</t>
  </si>
  <si>
    <t>Çiğ Köfteci Sait (Kazımpaşa Mah.)</t>
  </si>
  <si>
    <t>Çiğdem Erbay</t>
  </si>
  <si>
    <t>Kazımpaşa</t>
  </si>
  <si>
    <t>600e5cf6ace44f1d6dafb36a</t>
  </si>
  <si>
    <t>Çiğ Köfteci Sait (Kemalpaşa Mah. - Üniversite Cad.)</t>
  </si>
  <si>
    <t>Halilcan Aygın</t>
  </si>
  <si>
    <t>601205a3d22e22bbf0b52cc2</t>
  </si>
  <si>
    <t>Çiğ Köfteci Sait (Şehit Mehmet Karabaşoğlu Cad.)</t>
  </si>
  <si>
    <t>Oktay Arslan</t>
  </si>
  <si>
    <t>İstiklal mah. şehit mehmet karabaşoğlu cad. No: 17/A Serdivan/SAKARYA</t>
  </si>
  <si>
    <t>Sümeyye Ay</t>
  </si>
  <si>
    <t>623314609bd43d15a5a2e59c</t>
  </si>
  <si>
    <t>Çiğ Köfteci Sait &amp; Nurs Aperatif (Bağlar Mah.)</t>
  </si>
  <si>
    <t>GÜLCAN KAYMAZ</t>
  </si>
  <si>
    <t>6040a79e92b6d05668dc09cb</t>
  </si>
  <si>
    <t>Çiğ Köfteci Sait, Erenler (Hacıoğlu Mah.)</t>
  </si>
  <si>
    <t>Ali Erdemir</t>
  </si>
  <si>
    <t>çalıyo çalıyo açmıyo..// ulaşılamadıyetkılı yokmuş numarasu 05336187663 ayse4 hanım arandı ama acmadı//ayse hanımla grusuldu bu restront ona aıt olmadıgını belırttı kıme aıt olduguna bılmıyor</t>
  </si>
  <si>
    <t>601d11d17167d41f9c67c865</t>
  </si>
  <si>
    <t>Çiğ Köfteci Sait, Sapanca (Kırkpınar Hasanpaşa Mah.)</t>
  </si>
  <si>
    <t>Abdulsamet Kaya</t>
  </si>
  <si>
    <t>Kazım şirin</t>
  </si>
  <si>
    <t>Çayiçi</t>
  </si>
  <si>
    <t>Çekim sağlanmış Eksik ürünleri bulunmamakta,fotoğraflarının sisteme yüklenmesini talep ediyor.</t>
  </si>
  <si>
    <t>61d80588e4ea113c67f786d5</t>
  </si>
  <si>
    <t>Dad Fast Food (Serdivan Mah.)</t>
  </si>
  <si>
    <t>MERİH CANBAZ</t>
  </si>
  <si>
    <t>Kemalpaşa Mah., Belediye Cad., No:12, Serdivan, Sakarya, Türkiye,</t>
  </si>
  <si>
    <t>620e3b0bdf6bc5c51ef19c25</t>
  </si>
  <si>
    <t>Deli Chef (Kemalpaşa Mah.)</t>
  </si>
  <si>
    <t>MUSTAFA IŞIK</t>
  </si>
  <si>
    <t>Kemalpaşa Mah., Başlık Sok., No:18, Serdivan, Sakarya, Türkiye,</t>
  </si>
  <si>
    <t xml:space="preserve">kendi fotoğrafları varmış mail atracak </t>
  </si>
  <si>
    <t>Betül Demir</t>
  </si>
  <si>
    <t>Umut Güven</t>
  </si>
  <si>
    <t>teyit için arandı ulaşılamadı</t>
  </si>
  <si>
    <t>6051aa290bd20f3681751f4b</t>
  </si>
  <si>
    <t xml:space="preserve">7hazirandan sonra ulaşılacak tadilat varmış /DUKKANA GECIP DONUS YAPACAGINI BELIRTTI//ulasılmadı-ULAŞILAMIYOR./çaldı açmadı / kendisi hazırlık yapıp dönecekmiş </t>
  </si>
  <si>
    <t>6204e648cdccb3c9deefb419</t>
  </si>
  <si>
    <t>Dolce Fresco Mag &amp; Cake ( Hasanpaşa Mah.)</t>
  </si>
  <si>
    <t>6219e00b7f1e610738922ca2</t>
  </si>
  <si>
    <t>Donas ( İstiklal Mah.)</t>
  </si>
  <si>
    <t>Veysel Kenan Araz</t>
  </si>
  <si>
    <t>Bağlar Cad., No:89, Serdivan, Sakarya, Türkiye,</t>
  </si>
  <si>
    <t>6219de28bfca55a0fb0500dc</t>
  </si>
  <si>
    <t>Donas (Çark Cad.)</t>
  </si>
  <si>
    <t>MEHMET KARTAL</t>
  </si>
  <si>
    <t>Çark Cad., No:68, Sakarya, Türkiye,</t>
  </si>
  <si>
    <t>624408a4644ffa3622e5c806</t>
  </si>
  <si>
    <t>Dondurma Bahçesi Almira (Yağcılar Mah.)</t>
  </si>
  <si>
    <t>İBRAHİM DUMAN</t>
  </si>
  <si>
    <t>Yağcılar</t>
  </si>
  <si>
    <t>15 Temmuz Blv., No:122A, Adapazarı, Sakarya, Türkiye,</t>
  </si>
  <si>
    <t>6221b30b08bd74059cf2627c</t>
  </si>
  <si>
    <t>Dope Burger ( İstiklal Mah.)</t>
  </si>
  <si>
    <t>ÖMER ÖZCAN TAŞÖZ</t>
  </si>
  <si>
    <t>İstiklal Mah., Park Sok., No:9, Serdivan, Sakarya, Türkiye,</t>
  </si>
  <si>
    <t>ÇETİN KUZU</t>
  </si>
  <si>
    <t>UĞUR ÖZEL</t>
  </si>
  <si>
    <t>ilerleyen günlerde aransın uygunluğa göre belki devam çekimi olabilir dedi</t>
  </si>
  <si>
    <t>Lokman Saykal</t>
  </si>
  <si>
    <t xml:space="preserve">devam çekimi talep etmiyor </t>
  </si>
  <si>
    <t>Harun Duran</t>
  </si>
  <si>
    <t>erteleme talep etti aradım açmadı/şu anda istemiyorum dedi</t>
  </si>
  <si>
    <t>Murat Düner</t>
  </si>
  <si>
    <t>Akyazı</t>
  </si>
  <si>
    <t>Ömercikler</t>
  </si>
  <si>
    <t>tadilat devam ediyormuş önümüzdeki ay arayın dedi</t>
  </si>
  <si>
    <t>6246e58d537c41e0fe928533</t>
  </si>
  <si>
    <t>Dürümcüm Baba (15 Temmuz Mah.)</t>
  </si>
  <si>
    <t>Seçkin Lezzetler</t>
  </si>
  <si>
    <t>BATUHAN ÇOŞKUN ALPA</t>
  </si>
  <si>
    <t>15 Temmuz Camili Mah., Adapazarı, Sakarya, Türkiye,</t>
  </si>
  <si>
    <t>Dy Çıtır Lahmacun &amp; Pide, Adapazarı (Cumhuriyet Mah.)</t>
  </si>
  <si>
    <t>Emel Tarancı</t>
  </si>
  <si>
    <t>Soğan Pazarı Cad., No:21, Adapazarı, Sakarya, Türkiye,</t>
  </si>
  <si>
    <t>Yunus Pala</t>
  </si>
  <si>
    <t>6009f00a9611de6e18cd1ca8</t>
  </si>
  <si>
    <t>E-Yemekhane (İstiklal Mah.)</t>
  </si>
  <si>
    <t>Akif Akyıldız</t>
  </si>
  <si>
    <t>5335160640 HIC ISTEMEDIGINI BELIRTI UGRASAMIYCAGINI SOYLEDI/ fotoğraf çekimine ihtiyacımız yok dedi  o bölgede çekimi durduracağız dediğimde gerek yok iyi günler diyip kapattı</t>
  </si>
  <si>
    <t>601fabb009400ecbf9cea668</t>
  </si>
  <si>
    <t>Edem Döner, Serdivan (Kemalpaşa Mah.)</t>
  </si>
  <si>
    <t>TEYİT İÇİN ARANDI ULAŞILAMADI // ulaşılamıyor/ulaşılamadı</t>
  </si>
  <si>
    <t>Vedat Furkan Edman</t>
  </si>
  <si>
    <t>bütün ürünlerin hepsi çekilmiş</t>
  </si>
  <si>
    <t>6166a8ba537c37d40122ddc6</t>
  </si>
  <si>
    <t>Efsanee Pide &amp; Lahmacun &amp; Izgara</t>
  </si>
  <si>
    <t>Özal Kalkan</t>
  </si>
  <si>
    <t>Kemalpaşa Mah., 99. Sok., Serdivan, Sakarya, Türkiye,</t>
  </si>
  <si>
    <t>meşgul çalıyor</t>
  </si>
  <si>
    <t>Sami Gökalp</t>
  </si>
  <si>
    <t>eylülden sonra15 den sonra aransın dedın</t>
  </si>
  <si>
    <t>MEMDUH FAHRİ GÜZEL</t>
  </si>
  <si>
    <t>Vatan</t>
  </si>
  <si>
    <t>NUR KURTEŞ SAĞLAM</t>
  </si>
  <si>
    <t>Cumhuriyet Mah., Yalı Sok., Adapazarı, Sakarya, Türkiye,</t>
  </si>
  <si>
    <t>no:1</t>
  </si>
  <si>
    <t>622c81929fd075238f452f0c</t>
  </si>
  <si>
    <t>Ekleristan (Tepekum Mah.)</t>
  </si>
  <si>
    <t>KÜBRA NUR DEMİRCİ</t>
  </si>
  <si>
    <t>Tepekum</t>
  </si>
  <si>
    <t>Sakarya Cad., No:169, Erenler, Sakarya, Türkiye,</t>
  </si>
  <si>
    <t>60cdf59ff364a093a7a16ba4</t>
  </si>
  <si>
    <t>Ekleristan, Serdivan (İstiklal Mah.)</t>
  </si>
  <si>
    <t>FATMA YILMAZ</t>
  </si>
  <si>
    <t>istiklal mah bağlar cad no 51 serdivan sakarya</t>
  </si>
  <si>
    <t>mail verildi/yakın tarihte ilgilenecegim dediler.</t>
  </si>
  <si>
    <t>6010180d5007627b752f92b0</t>
  </si>
  <si>
    <t>Ekrem Çoşkun Döner (Çark Caddesi)</t>
  </si>
  <si>
    <t>Aykut Aşan</t>
  </si>
  <si>
    <t>Çark Cad., No:107, Sakarya, Türkiye,</t>
  </si>
  <si>
    <t>franchise</t>
  </si>
  <si>
    <t>60101989bce91f700fa632c4</t>
  </si>
  <si>
    <t>Ekrem Çoşkun Döner, Serdivan (Kemalpaşa Mah)</t>
  </si>
  <si>
    <t>Bağlar Cad., No:94, Serdivan, Sakarya, Türkiye,</t>
  </si>
  <si>
    <t>Tufan Bahar</t>
  </si>
  <si>
    <t>5323373096 çekim sağlanmasına rağmen sisteme fotoğrafları yüklenmemiş</t>
  </si>
  <si>
    <t>Erkan Şahin</t>
  </si>
  <si>
    <t>çaldı açmadı-02642112227</t>
  </si>
  <si>
    <t>601b9f6012aa733350662c36</t>
  </si>
  <si>
    <t>Emmimoğlu Pide Lahmacun, Sapanca (Merkez)</t>
  </si>
  <si>
    <t>Eray Aktaş</t>
  </si>
  <si>
    <t>Rüstempaşa Mah., Karaoğlanoğlu Cad., No:19, Sapanca, Sakarya, Türkiye,</t>
  </si>
  <si>
    <t>mail verildi atacaklarmış. panel problemleri varmış. kimseyle ilgilenemiyorum diyo hep beni kandırıyosunuz dedei çok sinirli..</t>
  </si>
  <si>
    <t>601d04ec2b37cf0ee185ac8f</t>
  </si>
  <si>
    <t>Ensar Sofrası, Arifiye (Arif Bey Mah.)</t>
  </si>
  <si>
    <t>Aleyna Altuntaş</t>
  </si>
  <si>
    <t>Atatürk Cad., No:98, Arifiye, Sakarya, Türkiye,</t>
  </si>
  <si>
    <t>5422457154 Üst yetkili Muhittin Bey fotoğraflar nerde bilmiyorum zaten getir paket servisini de kaldıracağım dedi</t>
  </si>
  <si>
    <t>6072b2fea57cfe6aeccaa5b0</t>
  </si>
  <si>
    <t>Ercan Burger, Serdivan (İstiklal Mah.)</t>
  </si>
  <si>
    <t>Melahat Demirel</t>
  </si>
  <si>
    <t>İstiklal mah Bağlar Cad., No:87/B, Serdivan, Sakarya, Türkiye,</t>
  </si>
  <si>
    <t>5303239268 Serkan Bey işletme yetkilisi o ilgileniyormuş teyit için aradık konuyla alakalı bilgim yok fakat ögrenir size dönerim dedi</t>
  </si>
  <si>
    <t>Ayşe Kılıç</t>
  </si>
  <si>
    <t>Sakarbaba Cad., No:6, Erenler, Sakarya, Türkiye,</t>
  </si>
  <si>
    <t>5336187663 ÇEKİM İÇİN İŞLETMEDEKİLERLE GÖRÜŞME SAĞLAYACAK TEKRAR ARA./dönüş yapıcak</t>
  </si>
  <si>
    <t>601fec425993bff0d88e7f44</t>
  </si>
  <si>
    <t>Erzurum Cağ Kebabı, Karasu (Yalı Mah.)</t>
  </si>
  <si>
    <t>Muhammed Bor</t>
  </si>
  <si>
    <t>Ankara Cad., No:103 A, Karasu, Sakarya, Türkiye,</t>
  </si>
  <si>
    <t>Fatih Dereli</t>
  </si>
  <si>
    <t>6229c270a673a9c4bb93755e</t>
  </si>
  <si>
    <t>Fatih Pastanesi (Arabacıalanı Mah.)</t>
  </si>
  <si>
    <t>FATİH CANTİMUR</t>
  </si>
  <si>
    <t>Çark Cad., No:182, Sakarya, Türkiye,</t>
  </si>
  <si>
    <t>60c0834f3632e312ce531c93</t>
  </si>
  <si>
    <t>Fd Burger &amp; Kokoreç, Serdivan (İstiklal Mah.)</t>
  </si>
  <si>
    <t>Oğuzhan Dereli</t>
  </si>
  <si>
    <t>Kemalpaşa Mah., Loca Rezidans, Z blok 9 Serdivan, Sakarya, Türkiye,</t>
  </si>
  <si>
    <t>602548790aeff9c7a3b894ae</t>
  </si>
  <si>
    <t>Festival Çiğ Köfte, Serdivan (İstiklal Mah.)</t>
  </si>
  <si>
    <t>Rüstem Baş</t>
  </si>
  <si>
    <t>Bağlar Cad., No:107, Serdivan, Sakarya, Türkiye,</t>
  </si>
  <si>
    <t xml:space="preserve">dükkan taşıncakmış onlar kendisi dönüş yapacaklar. - ulaşılamadı meşgul / Tadı Başka şubesinden çekilmiş oradan yüklenebilir </t>
  </si>
  <si>
    <t>6071ce22e66040e3b5ba79c7</t>
  </si>
  <si>
    <t>Fırat Pide, Karasu (Yalı Mah.)</t>
  </si>
  <si>
    <t>Selehe Yasuntimuur</t>
  </si>
  <si>
    <t>Yalı Mah. Plaj Cad., No:94, Karasu, Sakarya, Türkiye,</t>
  </si>
  <si>
    <t>Hemen Randevu İstiyorum</t>
  </si>
  <si>
    <t>Nagihan Yıldırım</t>
  </si>
  <si>
    <t>5332672554 fırat bey çekim talep ediyor</t>
  </si>
  <si>
    <t>İleride Randevu İstiyorum</t>
  </si>
  <si>
    <t>TOLGAY</t>
  </si>
  <si>
    <t>5308254354 teyit için arandı meşgule attı</t>
  </si>
  <si>
    <t>600885ad8c17d6fc24e27031</t>
  </si>
  <si>
    <t>Food Ville (Köprübaşı Mah)</t>
  </si>
  <si>
    <t>Osman Ertan Baylan</t>
  </si>
  <si>
    <t>Köprübaşı Mah., 4033. Sok., No:2, Serdivan, Sakarya, Türkiye,</t>
  </si>
  <si>
    <t>DAHA GÖNDERİM SAĞLAMAMIŞ. ÇEKİP GÖNDERİCEKMİŞ./TEYIT ICIN ARANDI MESGUL // 2 ay sonra aransın dedi</t>
  </si>
  <si>
    <t>6242c137227e1ce9b8e9eadc</t>
  </si>
  <si>
    <t>Fourway Cafe ( Yalı Mah.)</t>
  </si>
  <si>
    <t>MUSTAFA GENÇ</t>
  </si>
  <si>
    <t>Plaj Cad., No:89 B, Karasu, Sakarya, Türkiye,</t>
  </si>
  <si>
    <t>607e94bf78e84cd044d98fbb</t>
  </si>
  <si>
    <t>Gaziantepli Hakgül Baklava (İstiklal Mah.)</t>
  </si>
  <si>
    <t>IMEX İÇ VE DIŞ TİCARET LİMİTED ŞİRKETİ</t>
  </si>
  <si>
    <t>istiklal mah. Muhsin Yazıcıoğlu Blv., No:1, Serdivan, Sakarya, Türkiye,</t>
  </si>
  <si>
    <t xml:space="preserve">göndermemiş/Semih bey fotoğrafları yarın maile gönderecek </t>
  </si>
  <si>
    <t>623305017fe3a0fca97f3eff</t>
  </si>
  <si>
    <t>Gazibey Küşleme ( Kemalpaşa Mah.)</t>
  </si>
  <si>
    <t>ADEM YALÇIN</t>
  </si>
  <si>
    <t>Erdinç Öksüzali</t>
  </si>
  <si>
    <t>Tahsin Mahmutoğlu</t>
  </si>
  <si>
    <t>Kemalpaşa Mah., Karabaş Sok., No:12, Serdivan, Sakarya, Türkiye,</t>
  </si>
  <si>
    <t>12/a 1 ürün eksiği var</t>
  </si>
  <si>
    <t>Ömer Hakan Demir</t>
  </si>
  <si>
    <t>ürünlerin tamamı çekilmiş ancak sistem de yok/ teyit için arandı meşgul</t>
  </si>
  <si>
    <t>Yaren Merve Pomak</t>
  </si>
  <si>
    <t>çekimler sağlanmış eksik ürünler yok devam çekimi istemiyor.</t>
  </si>
  <si>
    <t>6206748a6e93923ecbac4753</t>
  </si>
  <si>
    <t>Güldibi Pide ve Lahmacun Salonu (Çayiçi Mah.)</t>
  </si>
  <si>
    <t>NUMAN ERDEM</t>
  </si>
  <si>
    <t>Güldibi</t>
  </si>
  <si>
    <t>Çayiçi Mah., İzmit Cad., No:77, Sapanca, Sakarya, Türkiye,</t>
  </si>
  <si>
    <t>İsmail Göktepe</t>
  </si>
  <si>
    <t>İnönü</t>
  </si>
  <si>
    <t>İnönü Mah., 7015. Sok., No:5, Akyazı, Sakarya, Türkiye,</t>
  </si>
  <si>
    <t>608818cce7384949ae5fcc1c</t>
  </si>
  <si>
    <t>Güney Kebap, Serdivan (İstiklal Mah.)</t>
  </si>
  <si>
    <t>Mehmet Emin Turan</t>
  </si>
  <si>
    <t>Kemalpaşa Mah. Bağlar Cad., No:98, Serdivan, Sakarya, Türkiye,</t>
  </si>
  <si>
    <t>teyit için arandı konuşamadık/5336568672/ hemen randevu denmiş ama fotoları varmış mail verildi/daha gönderilmemiş göndereceklermiş.</t>
  </si>
  <si>
    <t>devam çekimi talep ediyor</t>
  </si>
  <si>
    <t>608a6c79c704552c72161aee</t>
  </si>
  <si>
    <t>Hacıoğulları Lahmacun &amp; Kebap (İnönü Mah.)</t>
  </si>
  <si>
    <t>Ömer Dertli</t>
  </si>
  <si>
    <t>Yunus Emre</t>
  </si>
  <si>
    <t>Ada Cad., No:265, Akyazı, Sakarya, Türkiye,</t>
  </si>
  <si>
    <t>sistemi hiç açmıyorum. çünkü müşteri numaraları görünmüyor dediler</t>
  </si>
  <si>
    <t>60cde5107761e51899052945</t>
  </si>
  <si>
    <t>Hafızoğlu Pide, Serdivan (İstiklal Mah.)</t>
  </si>
  <si>
    <t>Nazime Arslan</t>
  </si>
  <si>
    <t>Bahçelievler mah bağlar cad no 136 b</t>
  </si>
  <si>
    <t>mevcut fotoğraflarım var ben göndereyim dedi</t>
  </si>
  <si>
    <t>5f5b81ac69bc226d55bfe6ce</t>
  </si>
  <si>
    <t>Hakkı Usta’nın Adana Sofrası, Adapazarı (Merkez)</t>
  </si>
  <si>
    <t>Mehmet Hakkı Uçar</t>
  </si>
  <si>
    <t>Yenidoğan, Yeni Bosna Cd. No:66, 54100 Adapazarı/Sakarya</t>
  </si>
  <si>
    <t>meşgul/YANLIS FIYATLARDAN DOLAYI SISTEMI KULLANMIYORUZ DEDI</t>
  </si>
  <si>
    <t>Suat Sayacı</t>
  </si>
  <si>
    <t>Oğuzhan</t>
  </si>
  <si>
    <t>02646145354-5444525354/5468460154 oğuzhan / Ürünleri gelmemiş ustasınında hazırlık yapacak kadar malzemesi yokmuş ay sonunda tekrar görüşelim dedi</t>
  </si>
  <si>
    <t>6232e9798164e35801cab816</t>
  </si>
  <si>
    <t>Havana Kebap &amp; Pide &amp; Lahmacun (Kemalpaşa Mah.)</t>
  </si>
  <si>
    <t>GÖKHAN AYGIN</t>
  </si>
  <si>
    <t>Kemalpaşa Mah., Üniversite Cad., Serdivan, Sakarya, Türkiye,</t>
  </si>
  <si>
    <t>Rezzan Aydın</t>
  </si>
  <si>
    <t>teyit için arandı açmadı</t>
  </si>
  <si>
    <t>Yusuf Tosbatlıoğlu</t>
  </si>
  <si>
    <t>devir olmuş</t>
  </si>
  <si>
    <t>Osman Halıcı</t>
  </si>
  <si>
    <t>geriye kalan ürünler için arkadaşlarımla görüşeyim dönüş sağlarım olmazsa biz çekeriz dedi/ teyit için arandı açmadı</t>
  </si>
  <si>
    <t>61d2aed7d5a1d52e2f1c559c</t>
  </si>
  <si>
    <t>Iron Burger (15 Temmuz Camili Mah.)</t>
  </si>
  <si>
    <t>EMRULLAH DEMİR</t>
  </si>
  <si>
    <t>15 Temmuz Camili Mah. 1634 Küme Evler 338 No:1 Adapazarı/SAKARYA</t>
  </si>
  <si>
    <t>Restoran Silindi</t>
  </si>
  <si>
    <t>kapatmış</t>
  </si>
  <si>
    <t>622ef3f304ae85059fd46dee</t>
  </si>
  <si>
    <t>Izgara 54 (Mithatpaşa Mah.)</t>
  </si>
  <si>
    <t>MAİDE BAKCAN</t>
  </si>
  <si>
    <t>Adnan Menderes Cad., No:176, Adapazarı, Sakarya, Türkiye,</t>
  </si>
  <si>
    <t>ZEKİ ABA</t>
  </si>
  <si>
    <t>Hızırtepe</t>
  </si>
  <si>
    <t>Müsait değilmiş dönüş yapacakmış</t>
  </si>
  <si>
    <t>İbrahim Sancar</t>
  </si>
  <si>
    <t>yeni fotoğrafçı geldiğinde tekrar çekim olabilir belki dedi sistemdeki ürünlerin hiçbirini beğenmemiş</t>
  </si>
  <si>
    <t>6205175d01eb3764b7b0194d</t>
  </si>
  <si>
    <t>İmren Izgara (Erenler Mah.)</t>
  </si>
  <si>
    <t>KEREM ACAR</t>
  </si>
  <si>
    <t>Uluyol Cad., No:14, Erenler, Sakarya, Türkiye,</t>
  </si>
  <si>
    <t>61fbeb2b4b8db4e69f4dba8d</t>
  </si>
  <si>
    <t>Johhny Bravo</t>
  </si>
  <si>
    <t>Dünya Mutfağı</t>
  </si>
  <si>
    <t>EMRE POMAK</t>
  </si>
  <si>
    <t>Erdem Varlı</t>
  </si>
  <si>
    <t>fotoğraflar paylaşılmadığı için çekim istemiyor/ ikna edilmeye çalışıldı istemiyoruz iyi günler diyip kapattı</t>
  </si>
  <si>
    <t>HİLAL KÜÇÜKKAYA</t>
  </si>
  <si>
    <t>Şeker</t>
  </si>
  <si>
    <t>Abdullah Bey / İptal Sebebi: Yetkili hastalanmış ilgilenemeyecekmiş. Başka zamana ertelenecek./Şu anda hastalığı devam ediyormuş hazırlık yapamayız dedi kendisi dönüş yapacakmış</t>
  </si>
  <si>
    <t>601e35dd98337bc5cd4cf94f</t>
  </si>
  <si>
    <t>Kahveci Vahdettin (Cumhuriyet Mah.)</t>
  </si>
  <si>
    <t>EMRAH CELAL AYDIN</t>
  </si>
  <si>
    <t>CUMHURİYET M. UZUNÇARŞI NO: 88 ADAPAZARI/ SAKARYA</t>
  </si>
  <si>
    <t>5075193199 vahdettin bey bayramdan sonra aranıp anlatım sağlansın</t>
  </si>
  <si>
    <t>6244460145e6af070b3db43a</t>
  </si>
  <si>
    <t>Kaktüs Büfe &amp; Aperatif (Yalı Mah.)</t>
  </si>
  <si>
    <t>AYNUR BABACAN</t>
  </si>
  <si>
    <t>Doğu Karadeniz Cad., No:128, Karasu, Sakarya, Türkiye,</t>
  </si>
  <si>
    <t>ÖMER KAYA</t>
  </si>
  <si>
    <t>Arabacıalanı Mah., Eski Kazımpaşa Cad., No:37, Serdivan, Sakarya, Türkiye,</t>
  </si>
  <si>
    <t>2 tane şubesi var arabacıalanı mahallesinde yüklü olan fotoğraflar istiklal mahallesin de olucak . diğer şubenin de fotoğrafları arabacıalanı şubesinden alınarak sisteme geçilcek</t>
  </si>
  <si>
    <t>6066fb8238fe4b64f62fbb46</t>
  </si>
  <si>
    <t>Karadeniz Pide, Kebap Lahmacun (İstiklal Mah. )</t>
  </si>
  <si>
    <t>İstiklal mah bağlar cad kervansok. No 3 AA Serdivan Sakarya</t>
  </si>
  <si>
    <t>çekim yapıldı</t>
  </si>
  <si>
    <t>KASIM KURT</t>
  </si>
  <si>
    <t>Yeni</t>
  </si>
  <si>
    <t>60791d3d8d6f7af427ccedae</t>
  </si>
  <si>
    <t>Karaköse Pide, Lahmacun (Rasimpaşa Mah.)</t>
  </si>
  <si>
    <t>SERKAN KURT</t>
  </si>
  <si>
    <t>Rasimpaşa</t>
  </si>
  <si>
    <t>Rasimpaşa mah. Rasimpaşa Cad no:3 Hendek /Sakarya</t>
  </si>
  <si>
    <t>Karaköse Pide, Lahmacun (Başpınar Mah.) BURADA ÇEKİLEN FOTOĞRAFLAR KULLANILACAK.</t>
  </si>
  <si>
    <t>Enes Çolakoğlu</t>
  </si>
  <si>
    <t>mehmet bey çekim istemiyor biz iptal etmedik siz gelmediniz dedi/05387128854 MEHMET BEY ARKADSIYLA ILETISIME GECECEK TEKRAR ARANACAKTIR./ulasılamıyor</t>
  </si>
  <si>
    <t>Rıdvan Başbenzer</t>
  </si>
  <si>
    <t>5 dakika sonra aranacak/İsmail beyle görüşüldü bayramdan sonra belki olabilir dedi  2 şube var</t>
  </si>
  <si>
    <t>61278eee8cd4f1415d89fbed</t>
  </si>
  <si>
    <t>Karşıyaka Aperatif, Serdivan (Kemalpaşa Mah.)</t>
  </si>
  <si>
    <t>Hasan Kurutçu</t>
  </si>
  <si>
    <t>Kemalpaşa Mah., Yeni Cad., No:4, Serdivan, Sakarya, Türkiye,</t>
  </si>
  <si>
    <t>bu işletmeyi kapatmış arifiyede yeni bir işletme açmış 1 hafta sonra aktif olacakmış</t>
  </si>
  <si>
    <t>62260c2bfb37e8407b360385</t>
  </si>
  <si>
    <t>Karşıyaka Snack House (Gazipaşa Mah.)</t>
  </si>
  <si>
    <t>İSMET UÇAR</t>
  </si>
  <si>
    <t>Kemalettin Sami Paşa Cad., Sapanca, Sakarya, Türkiye,</t>
  </si>
  <si>
    <t>Kerim Ali Doğru</t>
  </si>
  <si>
    <t>Kemalpaşa Mah., Üniversite Cad., No:84, Serdivan, Sakarya, Türkiye,</t>
  </si>
  <si>
    <t>fecri bey ile görüşülecek devam çekimi için arandı tadilattaymış kurban bayramından sonra devam ediliyorsa aranacak</t>
  </si>
  <si>
    <t>601504f90a16ee9a26e16f2d</t>
  </si>
  <si>
    <t>Kaşıklaa (Şirinevler Mah.)</t>
  </si>
  <si>
    <t>Meryem Yar</t>
  </si>
  <si>
    <t>Şirinevler Mah., Vagon Sok., No:10A, Adapazarı, Sakarya, Türkiye,</t>
  </si>
  <si>
    <t>Bayramdan sonra gönderecek</t>
  </si>
  <si>
    <t>62176d72dd2d408a5f8203cd</t>
  </si>
  <si>
    <t>Katık Döner (Arif Bey Mah.)</t>
  </si>
  <si>
    <t>HAMİT SEDAT AYDINLI</t>
  </si>
  <si>
    <t>Arifbey Mah., Arifiye, Sakarya, Türkiye,</t>
  </si>
  <si>
    <t>MERVE İPÇİOĞLU</t>
  </si>
  <si>
    <t>602254f1bd458988a3a2707e</t>
  </si>
  <si>
    <t>Katık Döner (Kemalpaşa Mah.)</t>
  </si>
  <si>
    <t>Yusuf Canayakın</t>
  </si>
  <si>
    <t xml:space="preserve">Emre Bey  - DEVAM ÇEKİMİ ALINDI </t>
  </si>
  <si>
    <t>62176ffc13a25f52c9188aab</t>
  </si>
  <si>
    <t>Katık Döner (Yalı Mah.)</t>
  </si>
  <si>
    <t>Yalı Mah., Karasu, Sakarya, Türkiye,</t>
  </si>
  <si>
    <t>Kaan Kabataş</t>
  </si>
  <si>
    <t>Zübeyde Kaya</t>
  </si>
  <si>
    <t>6066f65584475d878c0d2478</t>
  </si>
  <si>
    <t>Kazan Çorba, Kebap (Başpınar Mah.)</t>
  </si>
  <si>
    <t>ALİ ÖZKARAN</t>
  </si>
  <si>
    <t>BAŞPINAR MAH. PROF. DR. AYHAN KIZIL CAD. LİDER İNŞAAT NO: 27 İÇ KAPI NO: B HENDEK/ SAKARYA</t>
  </si>
  <si>
    <r>
      <rPr>
        <rFont val="arial, sans-serif"/>
        <color rgb="FF1A0DAB"/>
        <sz val="11.0"/>
        <u/>
      </rPr>
      <t>(0264) 614 11 54 bir iki ay sonra görüşmek ister</t>
    </r>
    <r>
      <rPr>
        <rFont val="arial, sans-serif"/>
        <color rgb="FF000000"/>
        <sz val="11.0"/>
        <u/>
      </rPr>
      <t xml:space="preserve">- 13 gibi arayın dedi </t>
    </r>
  </si>
  <si>
    <t>601fb4a8039b6a30f5280a71</t>
  </si>
  <si>
    <t>Kelebek Waffle &amp; Kumpir, Hendek (Kemaliye Mah.)</t>
  </si>
  <si>
    <t>Hüsna Öksüz</t>
  </si>
  <si>
    <t>Rasimpaşa Mah., Rasim Paşa Cad., No:3, Hendek, Sakarya, Türkiye,</t>
  </si>
  <si>
    <t xml:space="preserve">FOTOĞRAFLARI  ATMAMIŞ ARADIM AÇMADI serkan54cem54@homail.com/işletmeyi kapattık der - işletme tadilatta ben size ulaşırım dedi </t>
  </si>
  <si>
    <t>Sezai Yılmaz</t>
  </si>
  <si>
    <t>05323665729 Sezai Bey Telefon Numarası,Sezgin Bey ile görüşüldü randevu oluşturuldu.</t>
  </si>
  <si>
    <t>Nurdan Çalışkan</t>
  </si>
  <si>
    <t>abime sorup sizlere geri dönüüş yapacagım dedi/1 SAAT ICINDE ARANMAK ISTIYOR</t>
  </si>
  <si>
    <t>Nurhan Başaran</t>
  </si>
  <si>
    <t>sistemdeki fotoğraflarında silinmesini talep ediyor.</t>
  </si>
  <si>
    <t>Serkan Baydar</t>
  </si>
  <si>
    <t>devam çekimi için arandı ürünler her gün olmuyor dedi siz zahmet etmeyin ileride görüşelim dediler cekimler devam etmeyebilir dedik olsun dedi./kararları değişmemiş</t>
  </si>
  <si>
    <t>601da276a0e11ace6df9d04d</t>
  </si>
  <si>
    <t>King Point Cafe &amp; Restaurant (Semerciler Mah.)</t>
  </si>
  <si>
    <t>Semerciler Mah., Ambarlı Sokak., No:4, Adapazarı, Sakarya, Türkiye,</t>
  </si>
  <si>
    <t>getir yemek sistemini askıya almışlar acelesi yok atarım dedi/aradık telefon kapalı</t>
  </si>
  <si>
    <t>6066f2a493202ab513c4fe87</t>
  </si>
  <si>
    <t>Kocausta Kasap Izgara, Arifiye (Arif Bey Mah.)</t>
  </si>
  <si>
    <t>Derya Özkan</t>
  </si>
  <si>
    <t>1 sat sonra arancak-temmuzun basında arnsın suan zaman ayıramam dedı</t>
  </si>
  <si>
    <t>6012cac6f179e4f07825d8d2</t>
  </si>
  <si>
    <t>Konya Selçuklu Mutfağı</t>
  </si>
  <si>
    <t>Akif Doğu</t>
  </si>
  <si>
    <t>Saray Bosna Cad., No:79A, Adapazarı, Sakarya, Türkiye,</t>
  </si>
  <si>
    <t>bacası kırıldıgı için iptal etti. tadilat var bittiğinde dönüş yapacaklar./2647772800 bir kaç gün sonra arayın dedi</t>
  </si>
  <si>
    <t>Hasan Öztürk</t>
  </si>
  <si>
    <t>600bdbaccf43c167bfbc1acb</t>
  </si>
  <si>
    <t>Köşebaşı 54 (Hızırtepe Mah.)</t>
  </si>
  <si>
    <t>Ali Vahit Zengin</t>
  </si>
  <si>
    <t>Hızırtepe Mah., Cevat Ayhan Cad., No:33, Adapazarı, Sakarya, Türkiye,</t>
  </si>
  <si>
    <t>paneli kapalı açtığında kendisi dönüş yapacak</t>
  </si>
  <si>
    <t>Ramazan Ataç</t>
  </si>
  <si>
    <t>Mahmutbey</t>
  </si>
  <si>
    <t>6239d3b432f229944bccf15b</t>
  </si>
  <si>
    <t>Köz Piliç (İstiklal Mah.)</t>
  </si>
  <si>
    <t>CELAL SİYER</t>
  </si>
  <si>
    <t>Bağlar Cad., No:62, Serdivan, Sakarya, Türkiye,</t>
  </si>
  <si>
    <t>HASAN KULDAN</t>
  </si>
  <si>
    <t>Mithatpaşa</t>
  </si>
  <si>
    <t>Kirişhane Cad., No:126, Serdivan, Sakarya, Türkiye,</t>
  </si>
  <si>
    <t>62038f457c2852a39c1c7dc3</t>
  </si>
  <si>
    <t>Kumpir &amp; Waffle Express (Mithatpaşa Mah.)</t>
  </si>
  <si>
    <t>GAMZE KARA</t>
  </si>
  <si>
    <t>Adnan Menderes Cad., No:158, Adapazarı, Sakarya, Türkiye,</t>
  </si>
  <si>
    <t>bu hafta işletmede olamayacakmış o yüzden ileride istiyor</t>
  </si>
  <si>
    <t>62399a70a3d2231b8f81d880</t>
  </si>
  <si>
    <t>Kumpir Box (İstiklal Mah.)</t>
  </si>
  <si>
    <t>ÖZAY KORKMAZ</t>
  </si>
  <si>
    <t>Serdivan Alışveriş Merkezi,</t>
  </si>
  <si>
    <t>62382bd2f182f2d797c4c868</t>
  </si>
  <si>
    <t>Kuzenler Lahmacun &amp; Pide, Erenler (Dilmen Mah.)</t>
  </si>
  <si>
    <t>ÖNDER ÇETİN</t>
  </si>
  <si>
    <t>Dilmen Mah., 6031. Sok., Erenler, Sakarya, Türkiye,</t>
  </si>
  <si>
    <t>6007ea67056c79562bc06839</t>
  </si>
  <si>
    <t>Künefe-i Şahane (İstiklal Mah.)</t>
  </si>
  <si>
    <t>Berkay Kaner</t>
  </si>
  <si>
    <t>Muhsin Yazıcıoğlu Blv., No:69-A Serdivan, Sakarya, Türkiye,</t>
  </si>
  <si>
    <t>5412936637 gönderecekmiş/aradık açmadı/ulaşılmıyor</t>
  </si>
  <si>
    <t>62557a9f70d10bdd9ebcce6c</t>
  </si>
  <si>
    <t>La Gondola ( Yalı Mah.)</t>
  </si>
  <si>
    <t>İBRAHİM TEMEL</t>
  </si>
  <si>
    <t>Plaj Cad., No:101, Karasu, Sakarya, Türkiye,</t>
  </si>
  <si>
    <t>6009fd9b35cc59b6dbfe29f2</t>
  </si>
  <si>
    <t>La Pide (Arabacı Alanı Mah.)</t>
  </si>
  <si>
    <t>iki işletmesi var sıkıntıları var çözülmeden aranmasın</t>
  </si>
  <si>
    <t>624316a4f3f36b18f6a0d642</t>
  </si>
  <si>
    <t>Lahmacunzade (Kemalpaşa Mah.)</t>
  </si>
  <si>
    <t>İNAN İŞLER</t>
  </si>
  <si>
    <t>Ali Deribaş</t>
  </si>
  <si>
    <t>5321584000-MUHLİS BEY 1 hafta sonra aransın ustam ile görüşecegim yeni açılıyorum durumam bakmam gerek dedi-çekim sağlanmış yetkili yoktu personel çoğu ürün çekildi dedi ama yetkili ile tekrar iletişime geçilebilir.</t>
  </si>
  <si>
    <t>62285b46b04e658d41e2de19</t>
  </si>
  <si>
    <t>Limon Çiğ Köfte ( İncilli Mah.)</t>
  </si>
  <si>
    <t>DOĞAN TOPUZ</t>
  </si>
  <si>
    <t>Karakol Cad., No:26, Karasu, Sakarya, Türkiye,</t>
  </si>
  <si>
    <t>608821dc86ba1651a68daaa2</t>
  </si>
  <si>
    <t>Limon Tantuni, Serdivan (İstiklal Mah.)</t>
  </si>
  <si>
    <t>Emre Hakan Ahıskalı</t>
  </si>
  <si>
    <t>İstiklal Mah. Bağlar Cad., No:71, Serdivan, Sakarya, Türkiye,</t>
  </si>
  <si>
    <t>6229eb0b94797bbeea03c8dc</t>
  </si>
  <si>
    <t>Liya Cook House (İstiklal Mah.)</t>
  </si>
  <si>
    <t>FAHREDDİN KERİM KARACADAĞ</t>
  </si>
  <si>
    <t>Bağlar Cad., No:70, Serdivan, Sakarya, Türkiye,</t>
  </si>
  <si>
    <t>62289cac5d60651fdb6df38c</t>
  </si>
  <si>
    <t>Loca Cafe (Kemalpaşa Mah.)</t>
  </si>
  <si>
    <t>ALPER İNAN</t>
  </si>
  <si>
    <t>Kemalpaşa Mah., Serdivan, Sakarya, Türkiye,</t>
  </si>
  <si>
    <t>Fatma ONGUN</t>
  </si>
  <si>
    <t>RANDEVU ALINDI</t>
  </si>
  <si>
    <t>ürünlerinin hepsinin fotoğrafı çekilmiş ancak sistem de yok</t>
  </si>
  <si>
    <t>6021111871c5451797020bfb</t>
  </si>
  <si>
    <t>Lumoss Cafe &amp; Restaurant, Karasu (Yalı Mah.)</t>
  </si>
  <si>
    <t>İlker Işık</t>
  </si>
  <si>
    <t>Doğu Karadeniz Cad., No:148, Karasu, Sakarya, Türkiye,</t>
  </si>
  <si>
    <t>602248ea6d12e9617149c634</t>
  </si>
  <si>
    <t>Mabella, Serdivan (Arabacı Alanı Mah.)</t>
  </si>
  <si>
    <t>Müyesser Kabadayı</t>
  </si>
  <si>
    <t>Arabacıalanı mah 551. Sok. No:1 B</t>
  </si>
  <si>
    <t>uzun süre tadilattaydık ben istersem dönüş yaparım dedi//çekım ıstemedıgını belırttı paket servısını kullanmıyor</t>
  </si>
  <si>
    <t>Onur Alp Yetginer</t>
  </si>
  <si>
    <t xml:space="preserve">çekim sağlanmış eksik 1-2 ürünü varmış </t>
  </si>
  <si>
    <t>Eyüp Duran</t>
  </si>
  <si>
    <t>tüm ürünlerin çekimleri gerçekleştirilmiş</t>
  </si>
  <si>
    <t>Sara Shakwer</t>
  </si>
  <si>
    <t>RANDEVU İPTAL ETMİŞTİ KENDİSİ DÖNÜŞ YAPICAKMIŞ -KENDİSİ DÖNÜŞ YAPICAK/ çalıyor ama acan yok</t>
  </si>
  <si>
    <t>624d81349f0b0db9d62f2bf3</t>
  </si>
  <si>
    <t>Marcanima (Arabacı Alanı Mah.)</t>
  </si>
  <si>
    <t>ZEYNEL TÜRKYILMAZ</t>
  </si>
  <si>
    <t>Arabacıalanı Mah., Serdivan, Sakarya, Türkiye,</t>
  </si>
  <si>
    <t>603f4b6b56cff11d68d775ea</t>
  </si>
  <si>
    <t>Marjinal Cafe &amp; Fast Food, Sapanca (Kırkpınar Hasanpaşa Mah.)</t>
  </si>
  <si>
    <t>Veysi Erol</t>
  </si>
  <si>
    <t>Kırkpınar Hasanpaşa Mah., İstasyon Cad., No:26, Sapanca, Sakarya, Türkiye,</t>
  </si>
  <si>
    <t>uğraşmak istemiyormuş-MAİL VERILDI ATACAKMIS FOTOGRAFLARI/gönderecegiz tekrar aramayın dediler.</t>
  </si>
  <si>
    <t>6071d5a777d9cc2dfe9a39d7</t>
  </si>
  <si>
    <t>Masal Pastanesi, Karasu (Yalı Mah.)</t>
  </si>
  <si>
    <t>Saime tekin</t>
  </si>
  <si>
    <t>Yalı Mah. Plaj Cad., No:103 A, Karasu, Sakarya, Türkiye,</t>
  </si>
  <si>
    <t>61277496b806db17e320ded0</t>
  </si>
  <si>
    <t>Master Köfte, Serdivan (İstiklal Mah.)</t>
  </si>
  <si>
    <t>MASTERKÖFTE GLOBAL LOKANTA GIDA SANAYİ VE TİCARET ANONİM ŞİRKETİ</t>
  </si>
  <si>
    <t>Bağlar Cad., No:71, Serdivan, Sakarya, Türkiye,</t>
  </si>
  <si>
    <t>Ali Bey 5305950631 Yetkililer ankaradaymış telefon numaralarını aldım</t>
  </si>
  <si>
    <t>60967631341cac550b4462c6</t>
  </si>
  <si>
    <t>Matranç, Kırkpınar (Soğuksu Mah.)</t>
  </si>
  <si>
    <t>Mine Matraç</t>
  </si>
  <si>
    <t>Kırkpınar Soğuksu Mah. Bağdat Cad. 181</t>
  </si>
  <si>
    <t xml:space="preserve">mail attıldı </t>
  </si>
  <si>
    <t>61bb5c17f9ffcc454ae0e0f3</t>
  </si>
  <si>
    <t>Mavi Durak Katık Döner</t>
  </si>
  <si>
    <t xml:space="preserve">özge hanım 05444469054 randevu alındı  - </t>
  </si>
  <si>
    <t>601dc1f409400e2d06ce3cbd</t>
  </si>
  <si>
    <t>Mengen Döner, Adapazarı (Cumhuriyet Mah.)</t>
  </si>
  <si>
    <t>Vedat Korkmaz</t>
  </si>
  <si>
    <t>Semerciler Mah., İtfaiye Cad., No:41, Adapazarı, Sakarya, Türkiye,</t>
  </si>
  <si>
    <t>Erhan mercan</t>
  </si>
  <si>
    <t>İsa Ekrem</t>
  </si>
  <si>
    <t>62051d2464373f4e4acb831d</t>
  </si>
  <si>
    <t>Mersin 33 Tantuni (Semerciler Mah.)</t>
  </si>
  <si>
    <t>HASAN HÜSEYİN TURGUT</t>
  </si>
  <si>
    <t>Saray Bosna Cad., No:25A, Adapazarı, Sakarya, Türkiye,</t>
  </si>
  <si>
    <t>mail adresi veridi</t>
  </si>
  <si>
    <t>RAMAZAN SAKİN</t>
  </si>
  <si>
    <t>ERCAN YILGIN</t>
  </si>
  <si>
    <t>1 saat sonra ara</t>
  </si>
  <si>
    <t>Nagihan Hazır</t>
  </si>
  <si>
    <t>şuan müsait değil yoğun saatler daha sonraki saatlerde tekrar aransın</t>
  </si>
  <si>
    <t>602101ec1f27d5047d875cce</t>
  </si>
  <si>
    <t>Mia Mutfak &amp; Izgara, Adapazarı (Cumhuriyet Mah.)</t>
  </si>
  <si>
    <t>Selim Aktaş</t>
  </si>
  <si>
    <t>Yağcılar Mah., Kanal Sok., No:26, Adapazarı, Sakarya, Türkiye,</t>
  </si>
  <si>
    <t>fotograflar paylaşılmıyor diye istemedi tavrı çok net ben çekim yaptırırsam atarım mail dedi</t>
  </si>
  <si>
    <t>602101ef252c44af5313b3fb</t>
  </si>
  <si>
    <t>Mia Mutfak &amp; Izgara, Serdivan (İstiklal Mah.)</t>
  </si>
  <si>
    <t>KADİR SINIRCI</t>
  </si>
  <si>
    <t>Onur Demir</t>
  </si>
  <si>
    <t>Derya Türker</t>
  </si>
  <si>
    <t>Kırkpınar Hasanpaşa Mah., İstasyon Cad., No:46, Sapanca, Sakarya, Türkiye,</t>
  </si>
  <si>
    <t>kıloyla satıgım ıcın  urunlerı porserlen tabaga koyamıyorum dedı</t>
  </si>
  <si>
    <t>612116f804e64a658a005704</t>
  </si>
  <si>
    <t>Misss Döner, Sapanca (Rüstempaşa Mah.)</t>
  </si>
  <si>
    <t>Meryem Gürbüz</t>
  </si>
  <si>
    <t>rüstempaşa mah kemer cad no1 sapanca</t>
  </si>
  <si>
    <t>Tığcılar Mah., Küçük Osman Sok., No:22, Adapazarı, Sakarya, Türkiye,</t>
  </si>
  <si>
    <t>Nuri Çakır</t>
  </si>
  <si>
    <t>Yenicami</t>
  </si>
  <si>
    <t>devam çekimi için arandı istediğimiz ürünler çekildi gerek yok dedi</t>
  </si>
  <si>
    <t>623c8311b4efa74930dc407c</t>
  </si>
  <si>
    <t>Muammer Koç Döner (Kırkpınar Hasanpaşa Mah.)</t>
  </si>
  <si>
    <t>ANIL ÇAĞATAY İLERİ</t>
  </si>
  <si>
    <t>6011a7f24337def3c02b94ec</t>
  </si>
  <si>
    <t>Muammer Usta Pizza &amp; Lahmacun</t>
  </si>
  <si>
    <t>Muammer Akbulut</t>
  </si>
  <si>
    <t>Kemalpaşa Mah., 103. Sok., No:9, Serdivan, Sakarya, Türkiye,</t>
  </si>
  <si>
    <t>ızgara bölümünü yaptıktan sonra kendisi dönüş sağlayacak//getiri kapatıyormuş</t>
  </si>
  <si>
    <t>607922e7d0f2128780fa63cd</t>
  </si>
  <si>
    <t>Muhabbet Kokoreç (Yahyalar Mah.)</t>
  </si>
  <si>
    <t>Rahman Tokmak</t>
  </si>
  <si>
    <t>Yahyalar Mah. Turan Cad., No:27A, Adapazarı, Sakarya, Türkiye,</t>
  </si>
  <si>
    <t>Rahman Bey 5527440554 / faaliyet göstermiyolarmış ne zaman başlayacaklarıda belli değilmiş</t>
  </si>
  <si>
    <t>Birol Arıcı</t>
  </si>
  <si>
    <t>devam çekimi yapılmış ürünler yüklendikten sonra eksik kalan ürünlere göre belki ağustos sonu devam çekimi yapılabilir dedi</t>
  </si>
  <si>
    <t>Arzu Borlak</t>
  </si>
  <si>
    <t>Ürünlerin tamamının çekimi sağlanmış eksik ürün yok sisteme yüklenmesini talep ediyor.</t>
  </si>
  <si>
    <t>Taner Demirel</t>
  </si>
  <si>
    <t>çekim sağlanmış eksik ürünler var menü güncellenmesi yapılacak haftaya devam çekimi talep ediyor.</t>
  </si>
  <si>
    <t>Ali Gülle</t>
  </si>
  <si>
    <t>devam çekimi istiyor ama saat 16.00dan sonra randevu istiyor</t>
  </si>
  <si>
    <t>61d7facd53d13877b80fa35f</t>
  </si>
  <si>
    <t>Noodle Box (İstiklal Mah.)</t>
  </si>
  <si>
    <t>Uzak Doğu Mutfağı</t>
  </si>
  <si>
    <t>DERYA AZAKLI</t>
  </si>
  <si>
    <t>İstiklal Mah., Fevzi Çakmak Cad., No:7A, Serdivan, Sakarya, Türkiye,</t>
  </si>
  <si>
    <t>61d7fa77e0edf0b9561e9a21</t>
  </si>
  <si>
    <t>Noodle Box (Köprübaşı Mah.)</t>
  </si>
  <si>
    <t>Rüstemler</t>
  </si>
  <si>
    <t>yetkili yok gelince arayacak/Adem bey/biz çektirdik fotoğrafları gerek yok dedi mail verecektim yoğunmuş</t>
  </si>
  <si>
    <t>Orhan Usta Kebap Diyarı, Adapazarı (Cumhuriyet Mah.)</t>
  </si>
  <si>
    <t>Orhan Demir</t>
  </si>
  <si>
    <t>Cumhuriyet Mah., Şal Sok., No:21, Adapazarı, Sakarya, Türkiye,</t>
  </si>
  <si>
    <t>devam çekimi için bayramdan sonra aranmak istedi</t>
  </si>
  <si>
    <t>6071d37d5ef1fb2dd39c72fb</t>
  </si>
  <si>
    <t>Osman Usta Akçaabat Köfte, Karasu (Yalı Mah.)</t>
  </si>
  <si>
    <t>Seçkin şahin</t>
  </si>
  <si>
    <t>Yalı mah Plaj Cad., No:103 B, Karasu, Sakarya, Türkiye,</t>
  </si>
  <si>
    <t>61ab7a902c33a9d274916b4b</t>
  </si>
  <si>
    <t>Osman Usta'nın Yeri</t>
  </si>
  <si>
    <t>OSMAN KAPLAN</t>
  </si>
  <si>
    <t>Ada Cad., No:229/B, Akyazı, Sakarya, Türkiye,</t>
  </si>
  <si>
    <t>Ayşe Piştofoğlu</t>
  </si>
  <si>
    <t>Gazipaşa</t>
  </si>
  <si>
    <t xml:space="preserve">Devam çekimi alınabilecek kadar ürün bulunmamakta </t>
  </si>
  <si>
    <t>6023af87215fd14d58dac522</t>
  </si>
  <si>
    <t>Öncü Döner, Adapazarı (Cumhuriyet Mah.)</t>
  </si>
  <si>
    <t>İBRAHİM ŞENGÜL</t>
  </si>
  <si>
    <t>SEMERCİLER MAH ÇARK CAD NO:49 Sakarya</t>
  </si>
  <si>
    <t>istemiyor.</t>
  </si>
  <si>
    <t>Orkun Ölçekci</t>
  </si>
  <si>
    <t>6017e523d9ee3c165904c8a2</t>
  </si>
  <si>
    <t>Öncü Döner, Adapazarı (Semerciler Mah. - Çark Cad.)</t>
  </si>
  <si>
    <t>Yunus Zümre</t>
  </si>
  <si>
    <t>CUMHURİYET MAH çark cad h.rahmi sk no:68\C</t>
  </si>
  <si>
    <t>605da8f51d92b2f2bf7327f7</t>
  </si>
  <si>
    <t>Öncü Döner, Serdivan (İstiklal Mah.)</t>
  </si>
  <si>
    <t>Berat Akyol</t>
  </si>
  <si>
    <t>İstiklal Mah. Bağlar Cad. No:71 Serdivan/Sakarya</t>
  </si>
  <si>
    <t>Bülent yıldız</t>
  </si>
  <si>
    <t>Devam Çekimi ravndevusu</t>
  </si>
  <si>
    <t>Mehmet Keskinkılıç</t>
  </si>
  <si>
    <t>Hacılar</t>
  </si>
  <si>
    <t>Mustafa Keskinkılıç</t>
  </si>
  <si>
    <t>604be1ee89119e5288e5d5c8</t>
  </si>
  <si>
    <t>Özen Köfte, Arifiye (Hanlı Merkez)</t>
  </si>
  <si>
    <t>Emre Özen</t>
  </si>
  <si>
    <t>Hanlı Merkez</t>
  </si>
  <si>
    <t>Hanlı Merkez Mah 49. sok no 20 arifiye/sakarya</t>
  </si>
  <si>
    <t>sistemi kullanmayı bilmiyor ve yardım istemişler yardım edilmemiş</t>
  </si>
  <si>
    <t>60af5e588e15b081ba2255d8</t>
  </si>
  <si>
    <t>Packet Burger, Adapazarı (Cumhuriyet Mah.)</t>
  </si>
  <si>
    <t>BAKT GIDA SAN VE TİC LTD ŞTİ</t>
  </si>
  <si>
    <t>Cumhuriyet Mah., Şal Sok., No:14, Adapazarı, Sakarya, Türkiye,</t>
  </si>
  <si>
    <t>kurumsal</t>
  </si>
  <si>
    <t>6087f2876502c28cf1dedfeb</t>
  </si>
  <si>
    <t>Packet Burger, Serdivan (Kemalpaşa Mah.)</t>
  </si>
  <si>
    <t>Osey Cafe Gıda Tic. Ltd. Şti.</t>
  </si>
  <si>
    <t>Bağlar Cad., No:100, Serdivan, Sakarya, Türkiye,</t>
  </si>
  <si>
    <t>Ahmet bey /çalmadı hat düşmedi</t>
  </si>
  <si>
    <t>Ramazan Pala</t>
  </si>
  <si>
    <t>devam çekimi alındı</t>
  </si>
  <si>
    <t>6007e68de13dbd621a5c3b07</t>
  </si>
  <si>
    <t>Panino Pizza (Dilmen Mah.)</t>
  </si>
  <si>
    <t>Yunus Atay</t>
  </si>
  <si>
    <t>Dilmen Mah. Sakarbaba Cad. No:107/8 Erenler/Sakarya</t>
  </si>
  <si>
    <t>6072ab3a6dfbe88f14b3834a</t>
  </si>
  <si>
    <t>Patates Kafa (Arabacıalanı Mah.)</t>
  </si>
  <si>
    <t>TUĞÇE ÇORUHLU</t>
  </si>
  <si>
    <t>Arabacıalanı Mah., Cadde 54 K blok zemin kat , Serdivan, Sakarya, Türkiye,</t>
  </si>
  <si>
    <t>Eren Çalışkan</t>
  </si>
  <si>
    <t>BlackList</t>
  </si>
  <si>
    <t>600eb200262a1803e866f06f</t>
  </si>
  <si>
    <t>Pera Cafe (Orta Mah.)</t>
  </si>
  <si>
    <t>Emine YAMAN</t>
  </si>
  <si>
    <t>Orta Mah., Kuzu Sok., No:24, Adapazarı, Sakarya, Türkiye,</t>
  </si>
  <si>
    <t xml:space="preserve">sürekli erteliyor yaptığım ürünler çöpe gidecek o yüzden olumlu bakmıyorum dedi.//sadece sıparıs uzerıne calısıyoruz dedı bu yuzden ıstemedıgını belırttı </t>
  </si>
  <si>
    <t>607e964d38cb156f933663c0</t>
  </si>
  <si>
    <t>Picasso Garden Cafe &amp; Restaurant (İstiklal mah.)</t>
  </si>
  <si>
    <t>Hüseyin Arıcı</t>
  </si>
  <si>
    <t>istiklal mah muhsin yazıcıoğlu blv no 61 serdivan sakarya</t>
  </si>
  <si>
    <t>MAİL OLARAK YOLLANILACAK/başkası ile görüşüyor./KURYE SORUNU YAŞAMIŞLAR GETİRDEN KURYE İSTİYOR.FAKAT GETİRİN KURYESİ YOKMUŞ MERKEZİN NUMARASI VERİLDİ MERKEZLE GÖRÜŞÜCEK SONRA FOTOĞRAFLARI ATICAK.</t>
  </si>
  <si>
    <t>Selami Aba</t>
  </si>
  <si>
    <t>Ayhan Çakar</t>
  </si>
  <si>
    <t>Şaban Demir</t>
  </si>
  <si>
    <t>600bdd3e65caa70c8b3e9d02</t>
  </si>
  <si>
    <t>Pidezade (Hızırtepe Mah.)</t>
  </si>
  <si>
    <t>Bayram Doğan</t>
  </si>
  <si>
    <t>Hızırtepe Mah., Cevat Ayhan Cad., No:44C, Adapazarı, Sakarya, Türkiye,</t>
  </si>
  <si>
    <t>maile atacak fotoğrafları eğer sistem kabul etmezse randevu oluşturulacak/hala göndermemiş göndereceklermiş.</t>
  </si>
  <si>
    <t>624be8aa3b1543d466859688</t>
  </si>
  <si>
    <t>Pilavcı Çiko ( İstiklal Mah.)</t>
  </si>
  <si>
    <t>BENAN YILDIZ</t>
  </si>
  <si>
    <t>İstiklal Mahallesi 2. Cadde no: 54C Serdivan Sakarya</t>
  </si>
  <si>
    <t>600820c20a79b124d9e367fe</t>
  </si>
  <si>
    <t>Pilove House (Kemalpaşa Mah)</t>
  </si>
  <si>
    <t>Birtekin Omurca</t>
  </si>
  <si>
    <t>Kemalpaşa Mah., Belediye Cad. (Yeni Cad.), No:4B</t>
  </si>
  <si>
    <t>.. ulaşılamıyor önce açtı yüzüme kapattı sonra meşgule attı muhtemelen uyuyordu yine aransın istemedi ısrar etmeyin dedi</t>
  </si>
  <si>
    <t>Ali PİR</t>
  </si>
  <si>
    <t xml:space="preserve">geri kalan 12 ürünün çekilmesine gerek yok dedi aranmasın </t>
  </si>
  <si>
    <t>Dicle Harmancı</t>
  </si>
  <si>
    <t>Ömer Naroğlu</t>
  </si>
  <si>
    <t xml:space="preserve">2 hafta sonra bi daha sorulsun dç isteyip istemediği - işletme kapalı </t>
  </si>
  <si>
    <t>6120e1c764cad7ccae157938</t>
  </si>
  <si>
    <t>Pizza Fantastico, Erenler (Yeşiltepe Mah.)</t>
  </si>
  <si>
    <t>Evren Kahraman</t>
  </si>
  <si>
    <t>bağlar mah 7053 sok no 2 a erenler / sakarya</t>
  </si>
  <si>
    <t>600a654d0a79b11ba3e3d9a2</t>
  </si>
  <si>
    <t>Pizza Piece (İstiklal Mh.)</t>
  </si>
  <si>
    <t>Hediye Apaydın</t>
  </si>
  <si>
    <t>BAHÇELİEVLER MAH. 9. CAD. NO: 5 A SERDİVAN/ SAKARYA</t>
  </si>
  <si>
    <t>FRANCHISE</t>
  </si>
  <si>
    <t>601ba37f16e9827d8c205fa6</t>
  </si>
  <si>
    <t>Pizza Vegas, Serdivan (Kemalpaşa Mah.)</t>
  </si>
  <si>
    <t>Fatih özer</t>
  </si>
  <si>
    <t>Kemalpaşa Mah., Üniversite Cad., No:33, Serdivan, Sakarya, Türkiye,</t>
  </si>
  <si>
    <t>5434276506 müşteriler siparişlerle görselleri karşılaştırıp sorun çıkarabiliyor istemiyorum dedi</t>
  </si>
  <si>
    <t>Neşe Şahin</t>
  </si>
  <si>
    <t>Karaman</t>
  </si>
  <si>
    <t>Menü Güncellemesi Yapılacak</t>
  </si>
  <si>
    <t>Randevu oluşturulmuştu fakat iptal edilmiş.Menü güncelliyor bayramdan sonra aranıp randevusu oluşturulabilir.</t>
  </si>
  <si>
    <t>60211245bb8fd0271084ad66</t>
  </si>
  <si>
    <t>Poyraz Burger, Karasu (İncilli Mah.)</t>
  </si>
  <si>
    <t>Murat Poyraz</t>
  </si>
  <si>
    <t>Doğu Karadeniz Cad., No:226 A, Karasu, Sakarya, Türkiye,</t>
  </si>
  <si>
    <t>624452c657f34c786cbc7a78</t>
  </si>
  <si>
    <t>Pruva Lounge (Yayla Mah.)</t>
  </si>
  <si>
    <t>ERGÜN ZEHİR</t>
  </si>
  <si>
    <t>Kocaali</t>
  </si>
  <si>
    <t>Yayla</t>
  </si>
  <si>
    <t>Yayla Mah., Atatürk Cad., No:284, Kocaali, Sakarya, Türkiye,</t>
  </si>
  <si>
    <t>62399728f268653d0f48ce98</t>
  </si>
  <si>
    <t>Quyiz Cafe ( Kemalpaşa Mah.)</t>
  </si>
  <si>
    <t>SERKAN YILMAZ</t>
  </si>
  <si>
    <t>Kemalpaşa Mah., Medeniyet Cad., Serdivan, Sakarya, Türkiye,</t>
  </si>
  <si>
    <t>Şevval Küçükoğlu</t>
  </si>
  <si>
    <t>ulaşılamadı</t>
  </si>
  <si>
    <t>60792a7a503bf1630b3f9f77</t>
  </si>
  <si>
    <t>Rose Caffe &amp; Restaurant (Aziziye Mah.)</t>
  </si>
  <si>
    <t>Sunay Kılıç</t>
  </si>
  <si>
    <t>Aziziye Mah., 415 Sok., Karasu, Sakarya, Türkiye,</t>
  </si>
  <si>
    <t>604ba51934b8b44c7d0950b7</t>
  </si>
  <si>
    <t>Rosso, Serdivan (Kemalpaşa Mah.)</t>
  </si>
  <si>
    <t>Ezgi Yıldırım</t>
  </si>
  <si>
    <t>Kemalpaşa Mah., Karabaş Sok., No:14, Serdivan, Sakarya, Türkiye,</t>
  </si>
  <si>
    <t>benim çok çeşit ürünüm var çıkarırsam nolacak dedi 10 15 ürün çıkarılabilir desek bile kabul etmedi benim ürün çıkarcak iş gücüm yok dedi</t>
  </si>
  <si>
    <t>62444ce56a101845069c3ab4</t>
  </si>
  <si>
    <t>Sadıbey Baklava ( İstiklal Mah.)</t>
  </si>
  <si>
    <t>NERMİN TINAZ ÇOLAK</t>
  </si>
  <si>
    <t>İstiklal Mah., Mehmetçik Sok., No:7, Serdivan, Sakarya, Türkiye,</t>
  </si>
  <si>
    <t>621f6caea91b5869fde6d33f</t>
  </si>
  <si>
    <t>Safir Döner (Rüstempaşa Mah.)</t>
  </si>
  <si>
    <t>YUSUF ALİ ÇELİK</t>
  </si>
  <si>
    <t>Rüstempaşa Mah., Sapanca, Sakarya, Türkiye,</t>
  </si>
  <si>
    <t>60210c6b8e49cd16d445937d</t>
  </si>
  <si>
    <t>Sahil Lahmacun &amp; Kebap, Karasu (Yalı Mah.)</t>
  </si>
  <si>
    <t>Ömür Yeşil</t>
  </si>
  <si>
    <t>Doğu Karadeniz Cad., No:62 A, Karasu, Sakarya, Türkiye,</t>
  </si>
  <si>
    <t>Çağrı Görür</t>
  </si>
  <si>
    <t>çekim yapılmış sisteme fotoğraflar yüklenmemiş</t>
  </si>
  <si>
    <t>600e6434b19c483b93c2e6ea</t>
  </si>
  <si>
    <t>Saklı Köşk (Gazipaşa Mah.)</t>
  </si>
  <si>
    <t>Selvinaz Savaş</t>
  </si>
  <si>
    <t>Gazipaşa Mahallesi İzmit Caddesi No. 39 Sapanca/Sakarya</t>
  </si>
  <si>
    <t>Devam Çekimi Talep Ediyor uygun tarihe randevu oluiturulsun.</t>
  </si>
  <si>
    <t>diğer şubenin fotoğraf çekimi olmuş fakat saklı köşk balık adlı restoranın fotoğrafı çekilmemiş.çekilmesini talep ediyor</t>
  </si>
  <si>
    <t>6018f9c5b93a704591309fa4</t>
  </si>
  <si>
    <t>Sapak Döner, Serdivan (Arabacı Alanı Mah.)</t>
  </si>
  <si>
    <t>Kadir Koç</t>
  </si>
  <si>
    <t>Çark Cad., No:347, Sakarya, Türkiye</t>
  </si>
  <si>
    <t>masa müşterisi açılınca yogun olduk getiri açamıyorum bile çünkü yetişemiyorum çekim istemiyorum bu durumda der</t>
  </si>
  <si>
    <t>619ce18e99e4148348af29dd</t>
  </si>
  <si>
    <t>Sapanca Pastanesi</t>
  </si>
  <si>
    <t>KENAN EFİLOĞLU</t>
  </si>
  <si>
    <t>Çayiçi Mah., Çarşıiçi Cad., No:46, Sapanca, Sakarya, Türkiye,</t>
  </si>
  <si>
    <t>60af5ccef1761a20fcceaef2</t>
  </si>
  <si>
    <t>Sarıyer Börek (Papuççular Mah.)</t>
  </si>
  <si>
    <t>Cengiz Çelik</t>
  </si>
  <si>
    <t>Papuççular Mah.., Atatürk Blv., No:50, Adapazarı, Sakarya, Türkiye,</t>
  </si>
  <si>
    <t>İstemedi</t>
  </si>
  <si>
    <t>623826d0565d9c5a5f5ee149</t>
  </si>
  <si>
    <t>Sarıyer Börekçisi ( Papuçcular Mah.)</t>
  </si>
  <si>
    <t>CENGİZ ÇELİK</t>
  </si>
  <si>
    <t>Semerciler Mah., Atatürk Blv., No:50, Adapazarı, Sakarya, Türkiye,</t>
  </si>
  <si>
    <t>61e13faed2a8d9c79c6cabc2</t>
  </si>
  <si>
    <t>SD Döner (Kemalpaşa Mah.)</t>
  </si>
  <si>
    <t>İLHAMİ BULUT</t>
  </si>
  <si>
    <t>Bağlar Cad., No:98B, Serdivan, Sakarya, Türkiye,</t>
  </si>
  <si>
    <t>Serkan Sarıoğlu</t>
  </si>
  <si>
    <t>devam çekimi alınmış</t>
  </si>
  <si>
    <t>Ümit Aba</t>
  </si>
  <si>
    <t>ulaşılamadı /acmadı</t>
  </si>
  <si>
    <t>Ramazan Arslan</t>
  </si>
  <si>
    <t>dç talep etmiyor</t>
  </si>
  <si>
    <t>604ba6877b79058c19693a56</t>
  </si>
  <si>
    <t>Serdivan Serra Közde Izgara, Serdivan (Arabacı Alanı Mah.)</t>
  </si>
  <si>
    <t>Leyla Yılmaz</t>
  </si>
  <si>
    <t>arabacıalanı mah şehit mehmet karakaşoğlu cad no 20</t>
  </si>
  <si>
    <t>bana külfet olur istemiyorum dedi daha sonra ben çekim yapayım dedi. //yt yok</t>
  </si>
  <si>
    <t>Veysel Sevgili</t>
  </si>
  <si>
    <t>Sinem TEDİK</t>
  </si>
  <si>
    <t>Hacer Nur Ersürel</t>
  </si>
  <si>
    <t>FOTOLARI SİLDİRMİŞ // devam çekimi talep etmiyor</t>
  </si>
  <si>
    <t>6200d8e23dbbca5e03302c51</t>
  </si>
  <si>
    <t>Sokak Tadı Tost Ve Menemen (İnönü Mah.)</t>
  </si>
  <si>
    <t>SEYFETTİN TOSBATLIOĞLU</t>
  </si>
  <si>
    <t>Hastahane Mah., Küçücek Cad., Akyazı, Sakarya, Türkiye,</t>
  </si>
  <si>
    <t>60225107994d40239bfbe14c</t>
  </si>
  <si>
    <t>Sport Food, Adapazarı (Semerciler Mah. - Çark Cad.)</t>
  </si>
  <si>
    <t>Aysel Ayhan</t>
  </si>
  <si>
    <t>Cumhuriyet Mah., Kanara Sok., No:15, Adapazarı, Sakarya, Türkiye,</t>
  </si>
  <si>
    <t>YASAKLARDAN SONRA GÖNDERİCEKMİŞ./teyit için arandı yetkili yok./aradık açmadılar.</t>
  </si>
  <si>
    <t>6027bdb85bb03efd884e8360</t>
  </si>
  <si>
    <t>Subway, Serdivan (İstiklal Mah.)</t>
  </si>
  <si>
    <t>Anıl Zengin</t>
  </si>
  <si>
    <t>Muhsin Yazıcıoğlu Blv, İstiklal Mh. Ada Tepe Plaza No:3, 54050</t>
  </si>
  <si>
    <t>6120e8589a4feb3c4ac53dbc</t>
  </si>
  <si>
    <t>Sushikado, Sapanca (Kırkpınar Hasanpaşa Mah.)</t>
  </si>
  <si>
    <t>Uzakdoğu Mutfağı</t>
  </si>
  <si>
    <t>Zeynep Rençber</t>
  </si>
  <si>
    <t>Kırkpınar Tepebaşı</t>
  </si>
  <si>
    <t>Şehit Cevdet koç caddesi 41A kırkpınar Sapanca</t>
  </si>
  <si>
    <t>5f60b0aa37521c1f416c3f25</t>
  </si>
  <si>
    <t>Sushikado, Serdivan (Merkez)</t>
  </si>
  <si>
    <t>İstiklal, Bağlar Cd. No:43/A, 54050 Serdivan/Sakarya</t>
  </si>
  <si>
    <t>fotografları zecakir@hotmail.com adresinden göndermişler.</t>
  </si>
  <si>
    <t>60966f52da616253d4bd38f7</t>
  </si>
  <si>
    <t>Şah Döner, Karasu (Yalı Mah.)</t>
  </si>
  <si>
    <t>Şakir Filizfidanoğlu</t>
  </si>
  <si>
    <t>İncilli Mah., Atatürk Blv., No:12, Karasu, Sakarya, Türkiye,</t>
  </si>
  <si>
    <t>617fb12527101965a62e820e</t>
  </si>
  <si>
    <t>Şah Kuzu Kokoreç</t>
  </si>
  <si>
    <t>RIDVAN BEŞBENZER</t>
  </si>
  <si>
    <t xml:space="preserve">dönüş sağlacam babam ve abim hastanede dedi </t>
  </si>
  <si>
    <t>FİLİZ ŞAHİN</t>
  </si>
  <si>
    <t>6092b8bf6e4f7978aa2f6c09</t>
  </si>
  <si>
    <t>Şef'in Yeri, Erenler (Erenler Mah.)</t>
  </si>
  <si>
    <t>ABDULKADİR UZUN</t>
  </si>
  <si>
    <t>ek iş olarak prof cekim yapıyoruz cektim atacagım dedi /aklımdan cıkmış bugün gönderyeim dediler./kuryeyle ilgili bi sorun varmış .sorunu halletsin atıcakmış..</t>
  </si>
  <si>
    <t>61aff5748fa5b702bfd5cb36</t>
  </si>
  <si>
    <t>Şehr-i Üstad</t>
  </si>
  <si>
    <t>AHMET ERMİŞ</t>
  </si>
  <si>
    <t>Kemalpaşa Mah., Belediye Cad., No:1, Serdivan, Sakarya, Türkiye,</t>
  </si>
  <si>
    <t>kendi fotoğrafları var ama arkadaşlarıyla istişare edip yarın arayacak</t>
  </si>
  <si>
    <t>62347ec3b58f48b27da8735a</t>
  </si>
  <si>
    <t>Şerefiye Kahvealtı &amp; Nohutlu Pilav (Cumhuriyet Mah.)</t>
  </si>
  <si>
    <t>SİNAN UZUNHÜSEYİNOĞLU</t>
  </si>
  <si>
    <t>Yasemin Kahraman</t>
  </si>
  <si>
    <t>dç bayramdan sonrası için ulaşılabilir dedi</t>
  </si>
  <si>
    <t>Şule Tufan</t>
  </si>
  <si>
    <t>bayramdan sonra devam çekimi belki olabilir dedi</t>
  </si>
  <si>
    <t>Havva Sinal Baş</t>
  </si>
  <si>
    <t xml:space="preserve">Rüstem Bey </t>
  </si>
  <si>
    <t>ENGİN DEMİRTAŞ</t>
  </si>
  <si>
    <t>bütün ürünlerin çekimleri gerçekleşmiş</t>
  </si>
  <si>
    <t>Hasan İge</t>
  </si>
  <si>
    <t>Tabakhane</t>
  </si>
  <si>
    <t>bütün ürünlerin hepsi çekildi</t>
  </si>
  <si>
    <t>6244666af36a60fd6ea7a129</t>
  </si>
  <si>
    <t>Tarihi Ortaköy Kumpircisi (Arabacı Alanı Mah.)</t>
  </si>
  <si>
    <t>GÜNAY TEKİN</t>
  </si>
  <si>
    <t>Cadde 54,</t>
  </si>
  <si>
    <t>6256e14d4929b0d2d3e4ddca</t>
  </si>
  <si>
    <t>Tarihi Ortaköy Kumpircisi (Rüstempaşa Mah.)</t>
  </si>
  <si>
    <t>BERKER BAL</t>
  </si>
  <si>
    <t>Rüstempaşa Mah., Mimar Sinan Cad., No:42, Sapanca, Sakarya, Türkiye,</t>
  </si>
  <si>
    <t>601d00b6618ea5a55cb59feb</t>
  </si>
  <si>
    <t>Tarihi Ortaköy Kumpircisi, Arifiye (Arif Bey Mah.)</t>
  </si>
  <si>
    <t>Sümeyye Yanmış</t>
  </si>
  <si>
    <t>Atatürk Cad., No:30, Arifiye, Sakarya, Türkiye,</t>
  </si>
  <si>
    <t>Murat Gülez</t>
  </si>
  <si>
    <t>çekim sağlanmış eksik ürün var fakat devam çekimi talep etmiyor.</t>
  </si>
  <si>
    <t>601a48e3c18821634a02e3d4</t>
  </si>
  <si>
    <t>Taşfırın Pide Lahmacun (Çark Cad.)</t>
  </si>
  <si>
    <t>Dilek YILDIRIM</t>
  </si>
  <si>
    <t>Semerciler Mah., İtfaiye Cad., No:8, Adapazarı, Sakarya, Türkiye,</t>
  </si>
  <si>
    <t>eşi gerekli bulmuyormuş</t>
  </si>
  <si>
    <t>Kenan Dündar</t>
  </si>
  <si>
    <t>6092b54f8b8fec4f94e64772</t>
  </si>
  <si>
    <t>Tavada Tavuk (Arabacıalanı Mah.)</t>
  </si>
  <si>
    <t>bu şube daha inşaatta dedi. /MERKEZ ILE GRUSULUP DAHA SONRA BIZE RESIMLERI ULASTIRACAKTIR 65.SUBESINI ACIYORMUS HEPSI BITSIN ATCAGINI SOYLEDI</t>
  </si>
  <si>
    <t>608b9cacf230916f616e3733</t>
  </si>
  <si>
    <t>Tek Izgara Aperatif, Adapazarı (Hızırtepe Mah.)</t>
  </si>
  <si>
    <t>Şenol Şafak</t>
  </si>
  <si>
    <t>Hızırtepe mah Fatih Cad. no 3 , Sakarya, Türkiye,</t>
  </si>
  <si>
    <t>mail yollanılcak/ilgilenen arkadaş pazartesi burada oluyor pazartesi arayın dediler.</t>
  </si>
  <si>
    <t>601a6b19587d0eb400b696ad</t>
  </si>
  <si>
    <t>Tel Dolap Pasta &amp; Cafe, Sapanca (Merkez)</t>
  </si>
  <si>
    <t>Ahmet Efiloğlu</t>
  </si>
  <si>
    <t>Ersin Cad., No:36, Sapanca, Sakarya, Türkiye,</t>
  </si>
  <si>
    <t>istemediğini söyledi/5398655393 pandemi geçsin bi önümüzü görelim sonra dedi-ISTEMEDGINI SOYLEDI HIC/fotografçı oyalıuyor bızı ıstemıyoruz  dedı</t>
  </si>
  <si>
    <t>FURKAN SEN</t>
  </si>
  <si>
    <t>5445405469 volkan bey çekim sağlanmış,bütün ürünleri çekilmiş devam çekimi talep etmiyor.</t>
  </si>
  <si>
    <t>6025435ec23a08fc9fce5ab9</t>
  </si>
  <si>
    <t>Texcoco Chocolate &amp; Coffee, Serdivan (Bahçelievler Mah.)</t>
  </si>
  <si>
    <t>Hülya Demirtaş</t>
  </si>
  <si>
    <t>Muhsin Yazıcıoğlu Blv., No:25, Serdivan, Sakarya, Türkiye,</t>
  </si>
  <si>
    <t xml:space="preserve">maile fotoları atmış/MAIL OLARAK ATMIS AMA TEKRARDAN ATACAGINI BELIRTTI/BÜTÜN ÜRÜNLERİNİN FOTOĞRAFINI ATMIŞ ANCAK SİSTEM DE YOK - - sistemi kapattım dedi </t>
  </si>
  <si>
    <t>RAMAZAN TEZGEL</t>
  </si>
  <si>
    <t>DEVAM ÇEKİMİ RANDEVUSU</t>
  </si>
  <si>
    <t>ÖZKAN TUNÇEL</t>
  </si>
  <si>
    <t>Yasemin Küçük</t>
  </si>
  <si>
    <t>devam çekimi istemiyor.</t>
  </si>
  <si>
    <t>Songül Küçük</t>
  </si>
  <si>
    <t>Dereboğazı</t>
  </si>
  <si>
    <t>60239da88881bd0582fa1c59</t>
  </si>
  <si>
    <t>Tiesto, Adapazarı(Cumhuriyet Mah.)</t>
  </si>
  <si>
    <t>Muhammet Ahmet Altan</t>
  </si>
  <si>
    <t>Cumhuriyet Mah., Menekşe Sok., No:6, Adapazarı, Sakarya, Türkiye,</t>
  </si>
  <si>
    <t xml:space="preserve">10eylül gibi geleceğim askerden aşçı başı benim dedi o zaman olabilirmiş </t>
  </si>
  <si>
    <t>Mustafa Gürbüz</t>
  </si>
  <si>
    <t>şuanlık devam çekimi istemiyor ziyan oluyor dedi biraz daha bekleyelim işler hareketlenirse yaparız dedi</t>
  </si>
  <si>
    <t>609682765eaa8350317311c7</t>
  </si>
  <si>
    <t>Tostland, Hendek (Kemaliye Mah.)</t>
  </si>
  <si>
    <t>Yavuz Erdil</t>
  </si>
  <si>
    <t>Kemaliye Mah., Cem Çerkezoğlu Cad., No:3A, Hendek, Sakarya, Türkiye,</t>
  </si>
  <si>
    <t>eylül gibi aransın dedi</t>
  </si>
  <si>
    <t>6204fcb08886c0e380b2704e</t>
  </si>
  <si>
    <t>Tostos Büfe (Kırkpınar Hasanpaşa Mah.)</t>
  </si>
  <si>
    <t>601205a5998c13270a867d6a</t>
  </si>
  <si>
    <t>Turkuaz Kafe Aperatif (İstiklal Mah.)</t>
  </si>
  <si>
    <t>İstiklal mah Şht Mehmet Karabaşoğlu cad no 17 /B Turkuaz cafe</t>
  </si>
  <si>
    <t xml:space="preserve">okullar açıldığında kullanmayı planlıyormuş sistemi o zaman olabilir dedi / işletme kapanmış </t>
  </si>
  <si>
    <t>607933a179796f7793590b39</t>
  </si>
  <si>
    <t>Uğurlu Dükkan, Sapanca (Kırkpınar Hasanpaşa Mah.)</t>
  </si>
  <si>
    <t>Tuğba Ayyıldız</t>
  </si>
  <si>
    <t>KIRKPINAR SOĞUKSU MAH. BAĞDAT CAD. NO: 92 İÇ KAPI NO: A SAPANCA/ SAKARYA</t>
  </si>
  <si>
    <t>ekim gibi arayın şuan tabaklama işlemini gerçekleştiremem dedi/fotoğraflarımız var ama tekrar çektirmek istersek biz döneriz dedi Ezgi hanımın numarasını aldı/aradık hat meşgul.</t>
  </si>
  <si>
    <t>601a626aef295e5aa0fa7d15</t>
  </si>
  <si>
    <t>Urfa Bey Konağı Ocakbaşı,(İstiklal Mah.)</t>
  </si>
  <si>
    <t>Zeynep Kaplan</t>
  </si>
  <si>
    <t>Muhsin Yazıcıoğlu Blv., No:3, Serdivan, Sakarya, Türkiye,</t>
  </si>
  <si>
    <t>izzet bey eşi ile görüşüldü/göndermemişler göndereceklermiş.</t>
  </si>
  <si>
    <t>6257c81d6d88ace32c7756c1</t>
  </si>
  <si>
    <t>Urfa Divan Sofrası (Yenigün Mah.)</t>
  </si>
  <si>
    <t>SEDAT BEŞALTI</t>
  </si>
  <si>
    <t>Turan Cad., No:198, Adapazarı, Sakarya, Türkiye,</t>
  </si>
  <si>
    <t>SAVAŞCAN KESKİNKILIÇ</t>
  </si>
  <si>
    <t>Cafer Bey Ortağıyla görüşüp dönecek/Savaş bey hastaymış kendileri arayacaklar</t>
  </si>
  <si>
    <t>Kemal Keskinkılıç</t>
  </si>
  <si>
    <t>devam çekimi talep etmiyor</t>
  </si>
  <si>
    <t>YUSUF DEMİRER</t>
  </si>
  <si>
    <t>6239cf4f19e440cde9bef62d</t>
  </si>
  <si>
    <t>Usta Kebapçı (Güneşler Merkez Mah.)</t>
  </si>
  <si>
    <t>AYHAN TAŞKİN</t>
  </si>
  <si>
    <t>Güneşler Merkez</t>
  </si>
  <si>
    <t>Güneşler Merkez Mah., Adapazarı, Sakarya, Türkiye,</t>
  </si>
  <si>
    <t>YASEMİN OYLU</t>
  </si>
  <si>
    <t>Umut Bey</t>
  </si>
  <si>
    <t>60076a7bb2ab7d466f61bba3</t>
  </si>
  <si>
    <t>Uzunçarşı Pilavcısı (Cumhuriyet Mah.)</t>
  </si>
  <si>
    <t>Yasemin Oylu</t>
  </si>
  <si>
    <t>Soğan Pazarı Cad., No:41, Adapazarı, Sakarya, Türkiye,</t>
  </si>
  <si>
    <t>Adem Ali Azaklı</t>
  </si>
  <si>
    <t>5332346953 yetkili numarası /ramazandan sonra</t>
  </si>
  <si>
    <t>61aff5a27d9cb1472580af12</t>
  </si>
  <si>
    <t>Üstad Express (İstiklal Mah.)</t>
  </si>
  <si>
    <t xml:space="preserve">istemedi  </t>
  </si>
  <si>
    <t>611b8c9e8250b543002c6b8a</t>
  </si>
  <si>
    <t>Varil Izgara, Erenler (Hacıoğlu Mah.)</t>
  </si>
  <si>
    <t>Cumhur Cinoğlu</t>
  </si>
  <si>
    <t>Şehit Astsubay Yaşar Güller Cad., No:27, Erenler, Sakarya, Türkiye,</t>
  </si>
  <si>
    <t>Şuan tadilattalarmış önümüzdeki ay başında aranacak</t>
  </si>
  <si>
    <t>62343148801f6738bfbab088</t>
  </si>
  <si>
    <t>Vitabirevis Cafe ( Kemalpaşa Mah.)</t>
  </si>
  <si>
    <t>İBRAHİM ÇUHADAR</t>
  </si>
  <si>
    <t>Kemalpaşa Mah., Karabaş Sok., Serdivan, Sakarya, Türkiye,</t>
  </si>
  <si>
    <t>İçecek</t>
  </si>
  <si>
    <t>MUSTAFA CAN DOĞAN</t>
  </si>
  <si>
    <t>devam çekimi olabilir dedi</t>
  </si>
  <si>
    <t>SEVDA ATLI YILMAZ</t>
  </si>
  <si>
    <t>Gürkan Bey</t>
  </si>
  <si>
    <t>60cdfd3475a6b81de7b4239a</t>
  </si>
  <si>
    <t>World of Bakery</t>
  </si>
  <si>
    <t>REHA PASTACILIK VE GIDA ÜRÜNLERİ SANAYİ TİCARET PAZARLAMA LİMİTED ŞİRKETİ</t>
  </si>
  <si>
    <t>istiklal mah 2 .cad no 9</t>
  </si>
  <si>
    <t xml:space="preserve">maıj verıldı fotografları meıle atıcakmıs - 2 hafta sonra sonra tekrardan aranacak  şuan kapattım paneli dedi </t>
  </si>
  <si>
    <t>Fit</t>
  </si>
  <si>
    <t>Onur Enginler</t>
  </si>
  <si>
    <t>dç istiyor ama 10 ya da 12 de boşluk olunca rand oluşturulsun</t>
  </si>
  <si>
    <t>603f4804b33aa74849d5c2e6</t>
  </si>
  <si>
    <t>Yeni Cami Lokantası, Sapanca (Çayiçi Mah.)</t>
  </si>
  <si>
    <t>Melih Aydın</t>
  </si>
  <si>
    <t>Çayiçi Mah., Çarşıiçi Cad., No:43, Sapanca, Sakarya, Türkiye,</t>
  </si>
  <si>
    <t>ilgilenmediğini aranmaması gerektiği,ni söyledi/personel eksıklıgınden suan ıstemıyor ılerleyen zamanda bız sızı ararız kararımız değışırse dedı</t>
  </si>
  <si>
    <t>601a711738711c4bb735441c</t>
  </si>
  <si>
    <t>Yiğit Köşem Pide Lahmacun (Yağcılar Mah.)</t>
  </si>
  <si>
    <t>Halit Yiğit</t>
  </si>
  <si>
    <t>Yağcılar Mah., 1306 Nolu Sok., No:2, Adapazarı, Sakarya, Türkiye,</t>
  </si>
  <si>
    <t>getir hiç ilgilenmiyomuş dert yandı</t>
  </si>
  <si>
    <t>IsActive</t>
  </si>
  <si>
    <t>SON 2 HAFTA</t>
  </si>
  <si>
    <t>Eklendi mi</t>
  </si>
  <si>
    <t>YANLIŞ</t>
  </si>
  <si>
    <t>Geleneksel</t>
  </si>
  <si>
    <t>DOĞRU</t>
  </si>
  <si>
    <t>Uzak Doğu</t>
  </si>
  <si>
    <t>Ekşi Fırın (İstiklal Mah.)</t>
  </si>
  <si>
    <t>NESLİHAN KABA</t>
  </si>
  <si>
    <t>6007f9e899244e076f05f2c9</t>
  </si>
  <si>
    <t>Pizza Lazza, Adapazarı (Orta Mah.)</t>
  </si>
  <si>
    <t>Mustafa Gündoğdu</t>
  </si>
  <si>
    <t>Karaağaç Cad. Orta Mah.No:14/1</t>
  </si>
  <si>
    <t>Key</t>
  </si>
  <si>
    <t>60081099c795bdd8a142624d</t>
  </si>
  <si>
    <t>Pizza Lazza, Akyazı (Küçücek Cumhuriyet Mah.)</t>
  </si>
  <si>
    <t>Küçücek İstiklal</t>
  </si>
  <si>
    <t>Alaağaç İÖO Cad. Küçücek Cumhuriyet Mah. Adapazarı/Sakarya</t>
  </si>
  <si>
    <t>60081be6c11c767fa8b9ee85</t>
  </si>
  <si>
    <t>Pizza Lazza, Serdivan (İstiklal Mah.)</t>
  </si>
  <si>
    <t>Bağlar Cad. İstiklal Mah. Nur Sitesi No:38 A/</t>
  </si>
  <si>
    <t>Has Döner Gıda Otomotiv İnş. San. ve Tic. Ltd. Şti.</t>
  </si>
  <si>
    <t>Ekrem Coşkun Döner, Serdivan (Kemalpaşa Mah)</t>
  </si>
  <si>
    <t>Muammer Usta Pizza (Kemalpaşa Mah.)</t>
  </si>
  <si>
    <t>Çukurahmediye mah. 226 sok. No:1 Adapazarı / Sakarya</t>
  </si>
  <si>
    <t>By İlkay Chef Izgara, Serdivan (Arabacıalanı Mah.)</t>
  </si>
  <si>
    <t>Arabacıalanı Mah. Şehitler Cad. No: 19A Serdivan Sakarya</t>
  </si>
  <si>
    <t>Arifbey Boş Alan</t>
  </si>
  <si>
    <t>Fatih</t>
  </si>
  <si>
    <t>Taşfırın Lahmacun, Adapazarı (Tığcılar Mah.)</t>
  </si>
  <si>
    <t>604a63ca0a4ea480acb39aeb</t>
  </si>
  <si>
    <t>Komagene Etsiz Çiğ Köfte, Sedirvan (32 Evler Mah.)</t>
  </si>
  <si>
    <t>Esra Gonca Parlar</t>
  </si>
  <si>
    <t>32 EVLER MH. BEŞKÖPRÜ CD. NO:48</t>
  </si>
  <si>
    <t>604a7093d1bc9eb294530cc0</t>
  </si>
  <si>
    <t>Komagene Etsiz Çiğ Köfte, Adapazarı (Semerciler Mah.)</t>
  </si>
  <si>
    <t>SEMERCİLER MH. ÇARK CD. 137/E</t>
  </si>
  <si>
    <t>MESUT YILDIRIM</t>
  </si>
  <si>
    <t>Yakamoz Tantuni, Serdivan (Kemalpaşa Mah.)</t>
  </si>
  <si>
    <t>Sakarya Üniversitesi 1. Bölge</t>
  </si>
  <si>
    <t>604a181e7f1ab85cf5db39fe</t>
  </si>
  <si>
    <t>Komagene Etsiz Çiğ Köfte, Adapazarı (Kurtuluş Mah.)</t>
  </si>
  <si>
    <t>KURTULUŞ MH.BAHÇIVAN SK. NO:100/A ADAPAZARI / SAKARYA</t>
  </si>
  <si>
    <t>604a2451763a42620e896128</t>
  </si>
  <si>
    <t>Komagene Etsiz Çiğ Köfte, Adapazarı (Korucuk Mah.)</t>
  </si>
  <si>
    <t>KORUCUK MH. KEREM COŞKUN CD. 17 D</t>
  </si>
  <si>
    <t>604a3abd0392aa0956238585</t>
  </si>
  <si>
    <t>Komagene Etsiz Çiğ Köfte, Adapazarı (Orta Mah.)</t>
  </si>
  <si>
    <t>Karaosman</t>
  </si>
  <si>
    <t>ORTA MH. SOĞANPAZARI CD. ÇİFTÇİ APARTMANI 81/A</t>
  </si>
  <si>
    <t>Mahmudiye</t>
  </si>
  <si>
    <t>605c976d2b0371acdddb655f</t>
  </si>
  <si>
    <t>Burger King, Adapazarı (Cumhuriyet Mah.)</t>
  </si>
  <si>
    <t>Emre May</t>
  </si>
  <si>
    <t>Cumhuriyet Mah. Çark Cad. No : 82Adapazarı</t>
  </si>
  <si>
    <t>605c69d2559e64edf52c4701</t>
  </si>
  <si>
    <t>Popeyes, Erenler (Erenler Mah.)</t>
  </si>
  <si>
    <t>YENİ SAKARYA CAD.ADA CENTER A.V.M. ERENLER ADAPAZA</t>
  </si>
  <si>
    <t>604a05f04e9e975253b5fa5e</t>
  </si>
  <si>
    <t>Komagene Etsiz Çiğ Köfte, Adapazarı (Yahyalar Mah.)</t>
  </si>
  <si>
    <t>YAHYALAR MH. YEĞENLER CD. ÇOLAKOĞLU AP. NO:4/A KAYMAKAMLIK KARŞISI</t>
  </si>
  <si>
    <t>604a083160f6a2ddb1b45fae</t>
  </si>
  <si>
    <t>Komagene Etsiz Çiğ Köfte, Arifiye (Arifbey Mah.)</t>
  </si>
  <si>
    <t>ARİFBEY MH. ATATÜRK CD. NO: 56/6</t>
  </si>
  <si>
    <t>604a0b75b826f001ac321f45</t>
  </si>
  <si>
    <t>Komagene Etsiz Çiğ Köfte, Adapazarı (Çukurahmediye Mah.)</t>
  </si>
  <si>
    <t>ÇUKURAHMEDİYE MH. SAKARYA CD. NO:60/A</t>
  </si>
  <si>
    <t>604a37cc133a293c15431de1</t>
  </si>
  <si>
    <t>Komagene Etsiz Çiğ Köfte, Adapazarı (Camili Mah.)</t>
  </si>
  <si>
    <t>1634 ADA İŞ MERKEZİ SİTESİ 338. BLOK NO:1 Z 03</t>
  </si>
  <si>
    <t>604a75897f1ab84b05db6c7e</t>
  </si>
  <si>
    <t>Komagene Etsiz Çiğ Köfte, Serdivan (Köprübaşı Mah.)</t>
  </si>
  <si>
    <t>KÖPRÜBAŞI MH. 4035. SK NO:2/A</t>
  </si>
  <si>
    <t>604a1bc256d50036ad8577b9</t>
  </si>
  <si>
    <t>Komagene Etsiz Çiğ Köfte, Hendek (Rasimpaşa Mah.)</t>
  </si>
  <si>
    <t>RASİMPAŞA MH. RASİMPAŞA CD. B NO:3 A İÇKAPI NO:1</t>
  </si>
  <si>
    <t>604a34ae27aa20e0115bf588</t>
  </si>
  <si>
    <t>Komagene Etsiz Çiğ Köfte, Sedirvan (Kemalpaşa Mah.)</t>
  </si>
  <si>
    <t>KEMALPAŞA MH. BAĞLAR CD. NO:98</t>
  </si>
  <si>
    <t>604a670e902bc6597ee0261f</t>
  </si>
  <si>
    <t>Komagene Etsiz Çiğ Köfte, Karasu (Yalı Mah.)</t>
  </si>
  <si>
    <t>YENİ MH. ALİ GAFFAR OKAN CD. NO:34-3</t>
  </si>
  <si>
    <t>604a673a9cc87d02e21545bf</t>
  </si>
  <si>
    <t>Komagene Etsiz Çiğ Köfte, Adapazarı (Yenidoğan Mah.)</t>
  </si>
  <si>
    <t>YENİDOĞAN MH. FABRİKA CD. 63/A</t>
  </si>
  <si>
    <t>604a6946902bc67935e03093</t>
  </si>
  <si>
    <t>Komagene Etsiz Çiğ Köfte, Adapazarı (Şirinevler Mah.)</t>
  </si>
  <si>
    <t>ŞİRİNEVLER MAH. ADNAN MENDERES CAD. NO:244/A</t>
  </si>
  <si>
    <t>604a731a89a2c5ab767e7df6</t>
  </si>
  <si>
    <t>Komagene Etsiz Çiğ Köfte, Serdivan (İstiklal Mah.)</t>
  </si>
  <si>
    <t>İSTİKLAL MH. ŞEHİT MEHMET KARABAŞOĞLU CD. 71/A</t>
  </si>
  <si>
    <t>6055b47e5d3a675b80c71e7f</t>
  </si>
  <si>
    <t>Emirgan Sütiş, Serdivan (İstiklal Mah.)</t>
  </si>
  <si>
    <t>TUGAY BURAK BÜYÜKÇOBAN</t>
  </si>
  <si>
    <t>İSTİKLALMH MUHSİN YAZICIOĞLU BULVARI NO:15/J</t>
  </si>
  <si>
    <t>Premium</t>
  </si>
  <si>
    <t>Uzunköy</t>
  </si>
  <si>
    <t>605c7dd298aa5b1e0220e494</t>
  </si>
  <si>
    <t>Burger King, Serdivan (Arabacı Alanı Mah.)</t>
  </si>
  <si>
    <t>Arabacı Alanı Mah. Eski Kazım Paşa Cad. Agora AVM</t>
  </si>
  <si>
    <t>605c9379f2765e1cfa97317f</t>
  </si>
  <si>
    <t>Burger King, Erenler (Erenler Mah.)</t>
  </si>
  <si>
    <t>SAKARYA CAD.ADA CENTER A.V.M. NO:180 ERENLER ADAPA</t>
  </si>
  <si>
    <t>605c7797c271aecb0e2e24b8</t>
  </si>
  <si>
    <t>Burger King, Hendek (Kemaliye Mah.)</t>
  </si>
  <si>
    <t>Sakarya Üniversitesi 4. Bölge</t>
  </si>
  <si>
    <t>Kemaliye Mahallesi Şehit Ali Gaffar Sokak No: 35/A</t>
  </si>
  <si>
    <t>6065a71a0fac6320b670c04e</t>
  </si>
  <si>
    <t>Domino's Pizza, Adapazarı (Şirinevler Mah.)</t>
  </si>
  <si>
    <t>Zeliha Nalbant</t>
  </si>
  <si>
    <t>Şirinevler Mah. Adnan Menderes Cad. No: 222 C 54100 Adapazarı Sakarya</t>
  </si>
  <si>
    <t>EMİRHAN ÖZDEMİR</t>
  </si>
  <si>
    <t>605cac48d813fb58926ce1f8</t>
  </si>
  <si>
    <t>Popeyes, Serdivan (Arabacıalanı Mah.)</t>
  </si>
  <si>
    <t>Eski Kazım Paşa Cad. Arabacı mah.No.14 Serdivan SAKARYA</t>
  </si>
  <si>
    <t>606196cd079a255d877fe1c0</t>
  </si>
  <si>
    <t>Saloon Burger, Serdivan (Arabacı Alanı Mah.)</t>
  </si>
  <si>
    <t>Ertan Çağlayan</t>
  </si>
  <si>
    <t>ARABACI ALANI MAHALLESİ KASIMPAŞA CADDESİ NO:10 Serdivan/Sakarya</t>
  </si>
  <si>
    <t>605c8e1889ffd3d722c5362d</t>
  </si>
  <si>
    <t>Burger King, Merkez (İstiklal Mah)</t>
  </si>
  <si>
    <t>İstiklal Mah bağlar cad no 81 Serdivan Sakarya</t>
  </si>
  <si>
    <t>605c71303c0937bb7eec1672</t>
  </si>
  <si>
    <t>Burger King, Karasu (Yalı Mah.)</t>
  </si>
  <si>
    <t>YALI MAH.DOGU KARADENIZ CAD NO:112</t>
  </si>
  <si>
    <t>Semerciler Mah Yamanlar sok ., No: 35/B, Adapazarı, Sakarya, Türkiye,</t>
  </si>
  <si>
    <t>Ada Börek &amp; Çiğ Köfte, Erenler (Dilmen Mah.)</t>
  </si>
  <si>
    <t>Seleha Yasuntimuur</t>
  </si>
  <si>
    <t>605c7e5589ffd3467cc533c8</t>
  </si>
  <si>
    <t>Usta Dönerci, Erenler (Ada Center)</t>
  </si>
  <si>
    <t>Erenler mah.Sakarya cad.No:324 Ada Center AVM</t>
  </si>
  <si>
    <t>6065b0e168074861944b36b7</t>
  </si>
  <si>
    <t>Domino's Pizza, Arifiye (Arif Bey Mah.)</t>
  </si>
  <si>
    <t>Arifbey Mah. Atatürk Cad. No:36 B 1 Arifiye Sakarya</t>
  </si>
  <si>
    <t>6065a3ae4a02352a4b71e1d8</t>
  </si>
  <si>
    <t>Domino's Pizza, Serdivan (İstiklal Mah.)</t>
  </si>
  <si>
    <t>İstiklal Mah. Bağlar Cad. No: 62 9 Serdivan Sakarya</t>
  </si>
  <si>
    <t>6065975ed4d87869a27f4ecb</t>
  </si>
  <si>
    <t>Domino's Pizza, Akyazı (İnönü Mah.)</t>
  </si>
  <si>
    <t>Ada Cad., No:239, Akyazı, Sakarya, Türkiye,</t>
  </si>
  <si>
    <t>60658f9f92857b1ecdbd5cf0</t>
  </si>
  <si>
    <t>Domino's Pizza, Adapazarı (Korucuk Mah.)</t>
  </si>
  <si>
    <t>Korucuk Mah. Kerem Coşkun Cad. No:13 B Adapazarı Sakarya</t>
  </si>
  <si>
    <t>6065990d55a7007765aa1c51</t>
  </si>
  <si>
    <t>Domino's Pizza, Hendek (Kemaliye Mah.)</t>
  </si>
  <si>
    <t>Kemaliye Mah., Prof. Ayhan Kızıl Cad., No: 18 B, Hendek Sakarya</t>
  </si>
  <si>
    <t>60659455f9e1ee14992a5cfe</t>
  </si>
  <si>
    <t>Domino's Pizza, Sapanca (Kırkpınar Hasanpaşa Mah.)</t>
  </si>
  <si>
    <t>Kırkpınar Mah. Şehit Cevdet Koç Cad. No: 5 1 Sapanca Sakarya</t>
  </si>
  <si>
    <t>605c92ae0e468e5d40c6a313</t>
  </si>
  <si>
    <t>Usta Dönerci, Merkez (Arabacı Alanı Mah.)</t>
  </si>
  <si>
    <t>Arabacı Alanı Mah. Eski Kazımpaşa Cd.No:10</t>
  </si>
  <si>
    <t>606589293fba85a21f2b2910</t>
  </si>
  <si>
    <t>Domino's Pizza, Karasu (Yalı Mah.)</t>
  </si>
  <si>
    <t>Yeni mah. Plaj Cad. No:136 E Daire:12 Karasu Sakarya</t>
  </si>
  <si>
    <t>6093fb8f1dd0ebe9873fc276</t>
  </si>
  <si>
    <t>Komagene Etsiz Çiğ Köfte, Akyazı (Ömercikler Mah.)</t>
  </si>
  <si>
    <t>ÖMERCİKLER MAH. YAHYALI CAD. 11/A</t>
  </si>
  <si>
    <t>Çiğ Köfte Evi, Sapanca (Çayiçi Mah.)</t>
  </si>
  <si>
    <t>604a10573ca274380980861f</t>
  </si>
  <si>
    <t>Komagene Etsiz Çiğ Köfte, Adapazarı (Yenigün Mah.)</t>
  </si>
  <si>
    <t>YENİGÜN MH. TURAN CD. 42/A</t>
  </si>
  <si>
    <t>Addmore, Adapazarı (Semerciler Mah.)</t>
  </si>
  <si>
    <t>60bdfecd34fca0c995042a2c</t>
  </si>
  <si>
    <t>Sbarro Pizza, Serdivan (Arabacı Alanı Mah.)</t>
  </si>
  <si>
    <t>Arabacı Alanı Mah.Eski Kazımpaşa Cd.No: 10 AGORA AVM Kat :2 Magaza No:114</t>
  </si>
  <si>
    <t>608fdf8cd3de6c28d9ce3092</t>
  </si>
  <si>
    <t>Usta Dönerci, Serdivan (Arabacıalanı Mah.)</t>
  </si>
  <si>
    <t>Arabacıalanı Mah. M. Akif Ersoy cad.</t>
  </si>
  <si>
    <t>Cadde Burger &amp; Lunch, Sapanca (Merkez)</t>
  </si>
  <si>
    <t>609ba1e3b7718a65d8068b11</t>
  </si>
  <si>
    <t>Popeyes, Serdivan (Arabacı Alanı Mah.)</t>
  </si>
  <si>
    <t>Arabacıalanı Mah. M. Akif Ersoy cad. Serdivan/Sakarya</t>
  </si>
  <si>
    <t>Kilo İle Izgara (Arabacı Alanı Mah.)</t>
  </si>
  <si>
    <t>60d1fbda6e54569575259eb8</t>
  </si>
  <si>
    <t>Usta Pideci, Serdivan (Arabacıalanı Mah.)</t>
  </si>
  <si>
    <t>ESKİ KAZIM PAŞA CAD.ARABAYI MAH. NO:14/114 KAT:2</t>
  </si>
  <si>
    <t>60d32da5d9f5752384397c33</t>
  </si>
  <si>
    <t>Komagene Etsiz Çiğ Köfte, Geyve (Camikebir Mah.)</t>
  </si>
  <si>
    <t>Geyve</t>
  </si>
  <si>
    <t>Camikebir</t>
  </si>
  <si>
    <t>CAMİ KEBİR MAH. ZAFER SK. 4/1</t>
  </si>
  <si>
    <t>Ekrem Coşkun Döner (Çark Caddesi)</t>
  </si>
  <si>
    <t>TURAN DELİMEHMET</t>
  </si>
  <si>
    <t>MERYEM YAR</t>
  </si>
  <si>
    <t>60ec5ac298cda85d21413229</t>
  </si>
  <si>
    <t>KFC, Serdivan (Arabacıalanı Mah.)</t>
  </si>
  <si>
    <t>Tamer Yılmaz</t>
  </si>
  <si>
    <t>Arabacıalanı Mah. 54. Cad., Cadde 54 AVM, 8/2 Serdivan/Sakarya</t>
  </si>
  <si>
    <t>Konya Selçuklu Mutfağı (Yenidoğan Mah.)</t>
  </si>
  <si>
    <t>World of Bakery (İstiklal Mah.)</t>
  </si>
  <si>
    <t>610af38ec16c5a490d344b02</t>
  </si>
  <si>
    <t>Komagene Etsiz Çiğ Köfte, Erenler (Erenler Mah.)</t>
  </si>
  <si>
    <t>ERENLER MH ERENLER CD NO : 13</t>
  </si>
  <si>
    <t>Midye House, Adapazarı (Güllük Mah.)</t>
  </si>
  <si>
    <t>60d5cac0129f902e99db3626</t>
  </si>
  <si>
    <t>Chinese &amp; Sushi Express, Adapazarı (Mithat Paşa Mah.)</t>
  </si>
  <si>
    <t>Berat Argun</t>
  </si>
  <si>
    <t>Sakarya Üniversitesi 2. Bölge</t>
  </si>
  <si>
    <t>Mithatpaşa Mah. Adnan Menderes Cad. No: 130/A Sakarya</t>
  </si>
  <si>
    <t>Hanlı Sakarya</t>
  </si>
  <si>
    <t>614089ebeac66c5a36d83bb5</t>
  </si>
  <si>
    <t>Burger King, Serdivan (Kemalpaşa Mah.)</t>
  </si>
  <si>
    <t>Kemalpaşa, Üniversite Cd. Serdivan/Sakarya</t>
  </si>
  <si>
    <t>6120e4d8e4cb27e437058855</t>
  </si>
  <si>
    <t>Pizza V, Adapazarı (İstiklal Mah.)</t>
  </si>
  <si>
    <t>ANT GROUP GIDA SAN VE TİC LTD ŞTİ</t>
  </si>
  <si>
    <t>İstiklal Mahallesi Muhsin Yazıcıoğlu Bulvarı Royal Blue İş Merkezi No:3 serdivan</t>
  </si>
  <si>
    <t>60b4c9d6e2bd856da2373f7f</t>
  </si>
  <si>
    <t>Dönerci Celal Usta, Serdivan (Arabacıalanı Mah.)</t>
  </si>
  <si>
    <t>Kürşat Erdem</t>
  </si>
  <si>
    <t>ARABACIALANI MAH.54.CADDE CADDE 54 SİTESİ NO:3/KAO SERDİVAN/SAKARYA</t>
  </si>
  <si>
    <t>Efsanee Pide &amp; Lahmacun &amp; Izgara (Kemalpaşa Mah.)</t>
  </si>
  <si>
    <t>Mersinli Sakinbey Tantuni (İstiklal Mah.)</t>
  </si>
  <si>
    <t>By Hamza Special Karasu (İncilli Mah.)</t>
  </si>
  <si>
    <t>6135f61e61dce5015f587f8e</t>
  </si>
  <si>
    <t>McDonald's, Serdivan (Arabacıalanı Mah.)</t>
  </si>
  <si>
    <t>Ömer Tarık Güney</t>
  </si>
  <si>
    <t>Arabacı Alanı Mah. Memet Akif Ersoy Cad. Serdivan AVM No: 95-96-97 Serdivan /Saka</t>
  </si>
  <si>
    <t>6138f531786bae55483089b7</t>
  </si>
  <si>
    <t>Komagene Etsiz Çiğ Köfte, Serdivan (Eski Kazımpaşa Cad.)</t>
  </si>
  <si>
    <t>ARABACIALANI MAH. ESKİ KAZIMPAŞA CAD. 37 A</t>
  </si>
  <si>
    <t>Kelebek Döner (Kemaliye Mah.)</t>
  </si>
  <si>
    <t>Ehlen Kebap Künefe (Serdivan)</t>
  </si>
  <si>
    <t>60ab718a0bf970517c1c2a7b</t>
  </si>
  <si>
    <t>Sushico, Adapazarı (Mithat Paşa Mah.)</t>
  </si>
  <si>
    <t>61a20d5c3e14ff1161f2a3b9</t>
  </si>
  <si>
    <t>Saloon Burger, Serdivan (İstiklal Mah.)</t>
  </si>
  <si>
    <t>İstiklal Mah. Bağlar Cad. No:89/A Serdivan/Sakarya</t>
  </si>
  <si>
    <t>World Of Burger, Serdivan (Kemalpaşa Mah.)</t>
  </si>
  <si>
    <t>6006a7a535cc596be9fd6823</t>
  </si>
  <si>
    <t>Little Caesars, Serdivan (Bahçelievler Mah.)</t>
  </si>
  <si>
    <t>Aykut Kızılay</t>
  </si>
  <si>
    <t>Bahçelievler Mah,Muhsin Yazıcıoğlu Bulvarı,No:28 E Serdivan-Adapazarı/ Sakarya</t>
  </si>
  <si>
    <t>611a889a09ae14f565248509</t>
  </si>
  <si>
    <t>Little Caesars Pizza, Karasu (Yalı Mah.)</t>
  </si>
  <si>
    <t>Yalı Mah. Doğu Karadeniz Cad. No: 112A -12/A No:7 KARASU/SAKARYA</t>
  </si>
  <si>
    <t>6039448e0781b9f0f4a3637f</t>
  </si>
  <si>
    <t>Little Caesars, Adapazarı (Kurtuluş Mah.)</t>
  </si>
  <si>
    <t>Kurtuluş mah Subaşı sokak no2/A Adapazarı/SAKARYA</t>
  </si>
  <si>
    <t>Bakt Gıda Sanayi ve Ticaret Limited Şirketi</t>
  </si>
  <si>
    <t>602bb3916f409c6190cf6588</t>
  </si>
  <si>
    <t>Levent Börek, Serdivan (Bahçelievler Mah.)</t>
  </si>
  <si>
    <t>FATİH GENÇ</t>
  </si>
  <si>
    <t>Bahçelievler, Muhsin Yazıcıoğlu Blv. No: 8, 54055 Serdivan/Sakarya</t>
  </si>
  <si>
    <t>61fbd5101d1b7f583193952a</t>
  </si>
  <si>
    <t>Burger King, Adapazarı (Şeker Mah.)</t>
  </si>
  <si>
    <t>Şeker Mah.Çevreyolu No: 296 Kipa Outlet Avm Adapazarı</t>
  </si>
  <si>
    <t>610d3a2b43e5217a22b447bb</t>
  </si>
  <si>
    <t>Tavuk Dünyası, Serdivan (Arabacıalanı Mah.)</t>
  </si>
  <si>
    <t>Cemal Kalaycı</t>
  </si>
  <si>
    <t>ARABACIALANI MAH CADDE54 AVM ZEMİN KAT NO:19</t>
  </si>
  <si>
    <t>61bb5b56a45cb776d0a6e133</t>
  </si>
  <si>
    <t>Cajun Corner (Kemalpaşa Mah.)</t>
  </si>
  <si>
    <t>SERDAL KOÇAKER</t>
  </si>
  <si>
    <t>624bebc6d080eb5fcf62b4b7</t>
  </si>
  <si>
    <t>Tavada Tavuk ( Arabacıalanı Mah.)</t>
  </si>
  <si>
    <t>RAMAZAN GÜNAY</t>
  </si>
  <si>
    <t>Osey Cafe Gıda Tic Ltd Şti</t>
  </si>
  <si>
    <t>61f2bc0733a8763ec8a09474</t>
  </si>
  <si>
    <t>Packet Burger, Sapanca (Kırkpınar Hasan Paşa Mah.)</t>
  </si>
  <si>
    <t>Hilal Eksilmez</t>
  </si>
  <si>
    <t>Kırkpınar Hasan Paşa Mah. Şehit Cevdet Koç Cd. NO:44/1</t>
  </si>
  <si>
    <t>606593ce62c84420b7adc8e4</t>
  </si>
  <si>
    <t>Domino's Pizza, Adapazarı (Yahyalar Mah.)</t>
  </si>
  <si>
    <t>Yağcılar Mah., Ankara Cad., No:111A, Adapazarı, Sakarya, Türkiye,</t>
  </si>
  <si>
    <t>6065957216b68f034f1a42ae</t>
  </si>
  <si>
    <t>Domino's Pizza, Adapazarı (Cumhuriyet Mah.)</t>
  </si>
  <si>
    <t>Cumhuriyet Mah., Doktor Kamil Sok., No:13, Adapazarı, Sakarya, Türkiye,</t>
  </si>
  <si>
    <t>Pilav Eczanesi (İstiklal Mah.)</t>
  </si>
  <si>
    <t>7/24 Çorbacı &amp; Sulu Yemek(Şirinevler Mah.)</t>
  </si>
  <si>
    <t>620b632631be3b475488ff2e</t>
  </si>
  <si>
    <t>Starbucks®, Serdivan (Agora AVM)</t>
  </si>
  <si>
    <t>Sertaç Yontan</t>
  </si>
  <si>
    <t>Kazım paşa Caddesi Arabacı Mahallesi No:10 Zemin kat mağaza no: Z50 Serdivan Sakarya</t>
  </si>
  <si>
    <t>621f2bc29cb19b75f1d5af05</t>
  </si>
  <si>
    <t>Çiğköftem, Karasu (Yalı Mah.)</t>
  </si>
  <si>
    <t>Kübra Erkek</t>
  </si>
  <si>
    <t>Yalı Mahallesi, Plaj Caddesi, No: 69/AA Sakarya Karasu</t>
  </si>
  <si>
    <t>6238776aff5dbd07a535366a</t>
  </si>
  <si>
    <t>Oses Çiğ Köfte, Serdivan (Arabacıalanı Mah.)</t>
  </si>
  <si>
    <t>Naciye Uygun</t>
  </si>
  <si>
    <t>Arabacıalanı, Çark Cd. No:306 B, 54050 Serdivan/Sakarya</t>
  </si>
  <si>
    <t>60927e1b6b498974a190662b</t>
  </si>
  <si>
    <t>Hot Döner, Serdivan (Kemalpaşa Mah.)</t>
  </si>
  <si>
    <t>MİTHAT DONBAYCIOĞLU</t>
  </si>
  <si>
    <t>Kemalpaşa Mah. Ünv. Cad. No: 92/B</t>
  </si>
  <si>
    <t>60083d857441fc541d800afb</t>
  </si>
  <si>
    <t>Pasaport Pizza, Adapazarı (Cumhuriyet Mah.)</t>
  </si>
  <si>
    <t>Tezcan Bayraktar</t>
  </si>
  <si>
    <t>CUMHURIYET MAH. TÜL SOK. NO 7/B SAKARYA-ADAPAZARI</t>
  </si>
  <si>
    <t>6206f3799ad231f6790296b8</t>
  </si>
  <si>
    <t>Packet Burger, Arifiye (Arifbey Mah.)</t>
  </si>
  <si>
    <t>Arifbey Mah. Zerdali sok. No:17/1B A BLOK B GİRİŞ DAİRE</t>
  </si>
  <si>
    <t>620b5cbd8c9d185663110b8a</t>
  </si>
  <si>
    <t>Starbucks®, Serdivan (Arabacıalanı Mah.)</t>
  </si>
  <si>
    <t>Arabacı Alani Mah. Mert Sok. No:25/A Zemin Kat 41-A Nolu Magaza Sakarya</t>
  </si>
  <si>
    <t>6231eec97fe3a03089596c24</t>
  </si>
  <si>
    <t>Komagene Etsiz Çiğ Köfte, Serdivan (Kemal Paşa Mah.)</t>
  </si>
  <si>
    <t>KEMALPAŞA MAH. ÜNİVERSİTE CAD. NO:60/AA</t>
  </si>
  <si>
    <t>62557c79a0359601ffff498e</t>
  </si>
  <si>
    <t>Ekleristan (Arabacıalanı Mah.)</t>
  </si>
  <si>
    <t>CEYHUN ALEMDAR</t>
  </si>
  <si>
    <t>Arabacıalanı Mah., Eski Kazımpaşa Cad., No:195, Serdivan, Sakarya, Türkiye,</t>
  </si>
  <si>
    <t>6253e93509404ccc02169498</t>
  </si>
  <si>
    <t>Komagene Etsiz Çiğ Köfte, Adapazarı (Karaosman Mah.)</t>
  </si>
  <si>
    <t>KARAOSMAN MAH. İSMET İNÖNÜ CAD. NO:20/D</t>
  </si>
  <si>
    <t>6253e6e71667913e003ec2f1</t>
  </si>
  <si>
    <t>Çıtır Usta Şiş Dürüm (Kemalpaşa Mah.)</t>
  </si>
  <si>
    <t>MEHMET CAN ÖZDEMİR</t>
  </si>
  <si>
    <t>6253e89904e3cb6baaba0c96</t>
  </si>
  <si>
    <t>Dürümcü Babo 2 Kebap &amp; Pide &amp; Lahmacun ( Kemalpaşa Mah.)</t>
  </si>
  <si>
    <t>62309a302d88d055a1856017</t>
  </si>
  <si>
    <t>Terra Pizza - Pizza Pizza, Serdivan (Arabacıalanı Mah.)</t>
  </si>
  <si>
    <t>Muhammed Tozlu</t>
  </si>
  <si>
    <t>Arabacıalanı mh. Mert sk. No: 25/67 Serdivan/SAKARYA</t>
  </si>
  <si>
    <t>60083aba9873d8cc128c39d7</t>
  </si>
  <si>
    <t>Pasaport Pizza, Serdivan (Kemalpaşa Mah.)</t>
  </si>
  <si>
    <t>KEMALPASA MAH. BAĞLAR CAD. NO:86/B SAKARYA/SERDİVAN</t>
  </si>
  <si>
    <t>624fee3b97c5f634bacda569</t>
  </si>
  <si>
    <t>Çiğköftem, Serdivan (Arabacıalanı Mah.)</t>
  </si>
  <si>
    <t>Merve Danacı</t>
  </si>
  <si>
    <t>Arabacıalanı Mah,54.Cadde, No: 3Kh Serdivan/SAKARYA</t>
  </si>
  <si>
    <t>Mad Bites Burger (Orta Mahalle)</t>
  </si>
  <si>
    <t>Orta Mahalle Kuzu Sokak No:26</t>
  </si>
  <si>
    <t>Grill Burger (Kemalpaşa Mah.)</t>
  </si>
  <si>
    <t>Kemalpaşa mahallesi, Üniversite caddesi, No 31/3 Sakarya Serdivan</t>
  </si>
  <si>
    <t>620697ead04c332ffab17bbe</t>
  </si>
  <si>
    <t>Tavuk Dünyası, Serdivan (Kemalpaşa Mah.)</t>
  </si>
  <si>
    <t>ÖMER FARUK MERT</t>
  </si>
  <si>
    <t>KEMALPAŞA MAH. ÜNİVERSİTE CAD. NO:31/B-101</t>
  </si>
  <si>
    <t>Osman Usta'nın Yeri, Akyazı (Ömercikler Mah.)</t>
  </si>
  <si>
    <t>Ada Dönercim (Yenidoğan Mah.)</t>
  </si>
  <si>
    <t>623c4ed1b4efa7a134ceb91a</t>
  </si>
  <si>
    <t>Çiğ Köfteci Sait (Arabacıalanı Mah.)</t>
  </si>
  <si>
    <t>601416445fe82317d1cf871f</t>
  </si>
  <si>
    <t>Tavuk Dünyası, Karasu (Yalı Mah.)</t>
  </si>
  <si>
    <t>MEHMET EKŞİ</t>
  </si>
  <si>
    <t>YALI MAH. DOĞU KADARDENİZ CAD. NO:112A 8 12-B KARASU - SAKARYA</t>
  </si>
  <si>
    <t>6233026912a6ebd398e85c0d</t>
  </si>
  <si>
    <t>Gazibey Baklava ( Arabacıalanı Mah.)</t>
  </si>
  <si>
    <t>Adem Yalçın</t>
  </si>
  <si>
    <t>Çark Cad., No:122, Sakarya, Türkiye,</t>
  </si>
  <si>
    <t>62558146d4d0c9ce287171ca</t>
  </si>
  <si>
    <t>Fanimo's Döner (Korucuk Mah.)</t>
  </si>
  <si>
    <t>DİLEK UZAN</t>
  </si>
  <si>
    <t>Korucuk Mah., 4134. Sok., No:6, Adapazarı, Sakarya, Türkiye,</t>
  </si>
  <si>
    <t>RAMAZAN TAŞDEMİR</t>
  </si>
  <si>
    <t>Ali Tümkaya</t>
  </si>
  <si>
    <t>6215ea1a2d382b6973dfac6f</t>
  </si>
  <si>
    <t>Özdin Büfe (Ozanlar Mah.)</t>
  </si>
  <si>
    <t>SALİHA ÖZDİN</t>
  </si>
  <si>
    <t>Ozanlar</t>
  </si>
  <si>
    <t>Ozanlar Mah., Manolya Sok., No:13, Adapazarı, Sakarya, Türkiye,</t>
  </si>
  <si>
    <t>6245a396f3f36bf05b098133</t>
  </si>
  <si>
    <t>Burger Make, (İstiklal Mah.)</t>
  </si>
  <si>
    <t>Fatih Coşkun</t>
  </si>
  <si>
    <t>İstiklal mah. Bağlar cad. No:71-A SERDİVAN/SAKARYA</t>
  </si>
  <si>
    <t>Ateş Zurna (İstiklal Mah.)</t>
  </si>
  <si>
    <t>Devir</t>
  </si>
  <si>
    <t>Hatem Soyaslan</t>
  </si>
  <si>
    <t>Emre Dalgıç</t>
  </si>
  <si>
    <t>Lokasyon Uzak</t>
  </si>
  <si>
    <t>Yurdagül Kulaksız</t>
  </si>
  <si>
    <t>Haziran'da Aranacak</t>
  </si>
  <si>
    <t>Ayfer Altın</t>
  </si>
  <si>
    <t>Özlem gümüş</t>
  </si>
  <si>
    <t>Kadriye Polat</t>
  </si>
  <si>
    <t>Şükriye Demir</t>
  </si>
  <si>
    <t>Yılbaşından Sonra Aranacak</t>
  </si>
  <si>
    <t>Ece Bayındır</t>
  </si>
  <si>
    <t>Şura Özcan</t>
  </si>
  <si>
    <t>Funda Ünlü</t>
  </si>
  <si>
    <t>Sıla Göksunaz Esen</t>
  </si>
  <si>
    <t>Ecem Ersöz</t>
  </si>
  <si>
    <t>Livanur Elibol</t>
  </si>
  <si>
    <t>Meryem Yalabık</t>
  </si>
  <si>
    <t>Serenay Yalabık</t>
  </si>
  <si>
    <t>Randevu Alınabilir</t>
  </si>
  <si>
    <t>Fotoğrafları Yok - Randevu Alınabilir</t>
  </si>
  <si>
    <t>Fotoğrafları Gönderecek</t>
  </si>
  <si>
    <t>607a98ead384d4985ad2c708</t>
  </si>
  <si>
    <t>COUNTA / Restaurant ID</t>
  </si>
  <si>
    <t>Genel Toplam</t>
  </si>
  <si>
    <t>Tarih</t>
  </si>
  <si>
    <t>Başarılı Randevu</t>
  </si>
  <si>
    <t>İptal Randevu</t>
  </si>
  <si>
    <t>Top. Rest</t>
  </si>
  <si>
    <t>Fotoğraflandırılan Top. Ürün</t>
  </si>
  <si>
    <t>Fotoğraflandırılan Ort. Ürün</t>
  </si>
  <si>
    <t>toplam rest</t>
  </si>
  <si>
    <t>Fotoğraflı</t>
  </si>
  <si>
    <t>fotoğraflı</t>
  </si>
  <si>
    <t>%</t>
  </si>
  <si>
    <t>Ürün Adet</t>
  </si>
  <si>
    <t>0-25</t>
  </si>
  <si>
    <t>25+</t>
  </si>
  <si>
    <t>İptal Oranı</t>
  </si>
  <si>
    <t>0-20%</t>
  </si>
  <si>
    <t>21-50%</t>
  </si>
  <si>
    <t>51-80%</t>
  </si>
  <si>
    <t>&gt;80%</t>
  </si>
  <si>
    <t>COUNTA / İLÇE</t>
  </si>
  <si>
    <t>Ramazandan Sonra Randevu Istiyor</t>
  </si>
  <si>
    <t>Fotoğrafı Var</t>
  </si>
  <si>
    <t>TOPLAM</t>
  </si>
  <si>
    <t>Randevu Başarı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</si>
</sst>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yy"/>
    <numFmt numFmtId="165" formatCode="dd.mm.yyyy"/>
    <numFmt numFmtId="166" formatCode="hh:mm"/>
    <numFmt numFmtId="167" formatCode="dd.MM.yyyy"/>
    <numFmt numFmtId="168" formatCode="dd/mm/yyyy"/>
    <numFmt numFmtId="169" formatCode="d&quot;/&quot;m&quot;/&quot;yy"/>
    <numFmt numFmtId="170" formatCode="d.m.yy"/>
  </numFmts>
  <fonts count="54">
    <font>
      <sz val="10.0"/>
      <color rgb="FF000000"/>
      <name val="Arial"/>
      <scheme val="minor"/>
    </font>
    <font>
      <sz val="9.0"/>
      <color rgb="FFFFFFFF"/>
      <name val="Arial"/>
    </font>
    <font>
      <b/>
      <sz val="9.0"/>
      <color rgb="FFFFFFFF"/>
      <name val="Arial"/>
    </font>
    <font>
      <sz val="9.0"/>
      <color rgb="FFFFFFFF"/>
      <name val="Arial"/>
      <scheme val="minor"/>
    </font>
    <font>
      <color rgb="FFFFFFFF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/>
    <font>
      <sz val="9.0"/>
      <color rgb="FF000000"/>
      <name val="Arial"/>
      <scheme val="minor"/>
    </font>
    <font>
      <color rgb="FF000000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666666"/>
      <name val="Arial"/>
    </font>
    <font>
      <b/>
      <sz val="9.0"/>
      <color rgb="FF666666"/>
      <name val="Arial"/>
    </font>
    <font>
      <b/>
      <sz val="9.0"/>
      <color theme="1"/>
      <name val="Arial"/>
      <scheme val="minor"/>
    </font>
    <font>
      <u/>
      <sz val="9.0"/>
      <color rgb="FF666666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000000"/>
      <name val="Arial"/>
      <scheme val="minor"/>
    </font>
    <font>
      <sz val="9.0"/>
      <color rgb="FF000000"/>
      <name val="Roboto"/>
    </font>
    <font>
      <sz val="9.0"/>
      <color rgb="FF000000"/>
      <name val="Caveat"/>
    </font>
    <font>
      <color theme="1"/>
      <name val="Arial"/>
    </font>
    <font>
      <color rgb="FF000000"/>
      <name val="Roboto"/>
    </font>
    <font>
      <color theme="1"/>
      <name val="Arial"/>
      <scheme val="minor"/>
    </font>
    <font>
      <i/>
      <sz val="9.0"/>
      <color rgb="FF000000"/>
      <name val="Arial"/>
    </font>
    <font>
      <b/>
      <color theme="1"/>
      <name val="Arial"/>
    </font>
    <font>
      <b/>
      <sz val="9.0"/>
      <color theme="1"/>
      <name val="Arial"/>
    </font>
    <font>
      <b/>
      <sz val="10.0"/>
      <color rgb="FF000000"/>
      <name val="Arial"/>
      <scheme val="minor"/>
    </font>
    <font>
      <sz val="11.0"/>
      <color rgb="FF000000"/>
      <name val="Calibri"/>
    </font>
    <font>
      <sz val="11.0"/>
      <color rgb="FF1A0DAB"/>
      <name val="Arial"/>
    </font>
    <font>
      <color rgb="FF000000"/>
      <name val="Arial"/>
    </font>
    <font>
      <u/>
      <sz val="11.0"/>
      <color rgb="FF1A0DAB"/>
      <name val="Arial"/>
    </font>
    <font>
      <b/>
      <sz val="11.0"/>
      <color rgb="FF000000"/>
      <name val="Calibri"/>
    </font>
    <font>
      <b/>
      <color rgb="FF5D3EBE"/>
      <name val="Slack-Lato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Slack-Lato"/>
    </font>
    <font>
      <sz val="11.0"/>
      <color rgb="FF000000"/>
      <name val="Inconsolata"/>
    </font>
    <font>
      <b/>
      <sz val="11.0"/>
      <color rgb="FFFFD10D"/>
      <name val="&quot;Calibri Light&quot;"/>
    </font>
    <font>
      <color rgb="FFFFD20B"/>
      <name val="&quot;Avenir Book&quot;"/>
    </font>
    <font>
      <b/>
      <color theme="1"/>
      <name val="&quot;Avenir Book&quot;"/>
    </font>
    <font>
      <b/>
      <sz val="11.0"/>
      <color rgb="FFFFD10D"/>
      <name val="Arial"/>
    </font>
    <font>
      <color rgb="FF5D3EBE"/>
      <name val="Arial"/>
    </font>
    <font>
      <b/>
      <color rgb="FF5C3DBD"/>
      <name val="&quot;Avenir Book&quot;"/>
    </font>
    <font>
      <color rgb="FF5D3EBE"/>
      <name val="Arial"/>
      <scheme val="minor"/>
    </font>
    <font>
      <b/>
      <color rgb="FFFFD20B"/>
      <name val="&quot;Avenir Book&quot;"/>
    </font>
    <font>
      <b/>
      <color rgb="FF5D3EBC"/>
      <name val="Arial"/>
      <scheme val="minor"/>
    </font>
    <font>
      <color rgb="FF5C3DBD"/>
      <name val="&quot;Avenir Book&quot;"/>
    </font>
    <font>
      <color theme="1"/>
      <name val="&quot;Avenir Book&quot;"/>
    </font>
    <font>
      <color rgb="FFFFD10D"/>
      <name val="Arial"/>
      <scheme val="minor"/>
    </font>
    <font>
      <sz val="9.0"/>
      <color rgb="FF5C3DBD"/>
      <name val="&quot;Avenir Book&quot;"/>
    </font>
    <font>
      <b/>
      <color rgb="FF5D3EBE"/>
      <name val="Arial"/>
      <scheme val="minor"/>
    </font>
    <font>
      <b/>
      <color rgb="FF5D3EBC"/>
      <name val="Arial"/>
    </font>
    <font>
      <color rgb="FFFFD10D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67C73"/>
        <bgColor rgb="FFE67C7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D10C"/>
        <bgColor rgb="FFFFD10C"/>
      </patternFill>
    </fill>
    <fill>
      <patternFill patternType="solid">
        <fgColor rgb="FFFDE9D9"/>
        <bgColor rgb="FFFDE9D9"/>
      </patternFill>
    </fill>
    <fill>
      <patternFill patternType="solid">
        <fgColor rgb="FF5D3EBC"/>
        <bgColor rgb="FF5D3EBC"/>
      </patternFill>
    </fill>
    <fill>
      <patternFill patternType="solid">
        <fgColor rgb="FF5C3DBD"/>
        <bgColor rgb="FF5C3DBD"/>
      </patternFill>
    </fill>
    <fill>
      <patternFill patternType="solid">
        <fgColor rgb="FFFFF5AB"/>
        <bgColor rgb="FFFFF5AB"/>
      </patternFill>
    </fill>
    <fill>
      <patternFill patternType="solid">
        <fgColor rgb="FFEFEFEF"/>
        <bgColor rgb="FFEFEFEF"/>
      </patternFill>
    </fill>
    <fill>
      <patternFill patternType="solid">
        <fgColor rgb="FFFFD10D"/>
        <bgColor rgb="FFFFD10D"/>
      </patternFill>
    </fill>
    <fill>
      <patternFill patternType="solid">
        <fgColor rgb="FFFFD20B"/>
        <bgColor rgb="FFFFD20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164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2" fontId="2" numFmtId="49" xfId="0" applyAlignment="1" applyBorder="1" applyFont="1" applyNumberFormat="1">
      <alignment horizontal="center" vertical="bottom"/>
    </xf>
    <xf borderId="1" fillId="3" fontId="2" numFmtId="0" xfId="0" applyAlignment="1" applyBorder="1" applyFill="1" applyFont="1">
      <alignment horizontal="center" readingOrder="0" shrinkToFit="0" vertical="bottom" wrapText="1"/>
    </xf>
    <xf borderId="1" fillId="0" fontId="3" numFmtId="0" xfId="0" applyAlignment="1" applyBorder="1" applyFont="1">
      <alignment readingOrder="0"/>
    </xf>
    <xf borderId="0" fillId="0" fontId="4" numFmtId="0" xfId="0" applyFont="1"/>
    <xf borderId="1" fillId="4" fontId="5" numFmtId="165" xfId="0" applyAlignment="1" applyBorder="1" applyFill="1" applyFont="1" applyNumberFormat="1">
      <alignment horizontal="center" readingOrder="0" shrinkToFit="0" vertical="bottom" wrapText="1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3" fillId="0" fontId="7" numFmtId="0" xfId="0" applyBorder="1" applyFont="1"/>
    <xf borderId="4" fillId="0" fontId="7" numFmtId="0" xfId="0" applyBorder="1" applyFont="1"/>
    <xf borderId="1" fillId="0" fontId="8" numFmtId="0" xfId="0" applyBorder="1" applyFont="1"/>
    <xf borderId="0" fillId="0" fontId="9" numFmtId="0" xfId="0" applyFont="1"/>
    <xf borderId="5" fillId="5" fontId="5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readingOrder="0" vertical="bottom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6" fillId="0" fontId="7" numFmtId="0" xfId="0" applyBorder="1" applyFont="1"/>
    <xf borderId="1" fillId="0" fontId="11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left" readingOrder="0" shrinkToFit="0" vertical="top" wrapText="0"/>
    </xf>
    <xf borderId="1" fillId="0" fontId="10" numFmtId="166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shrinkToFit="0" vertical="top" wrapText="0"/>
    </xf>
    <xf borderId="1" fillId="6" fontId="6" numFmtId="0" xfId="0" applyAlignment="1" applyBorder="1" applyFill="1" applyFont="1">
      <alignment readingOrder="0" vertical="bottom"/>
    </xf>
    <xf borderId="1" fillId="6" fontId="12" numFmtId="0" xfId="0" applyAlignment="1" applyBorder="1" applyFont="1">
      <alignment horizontal="left" readingOrder="0" shrinkToFit="0" vertical="top" wrapText="0"/>
    </xf>
    <xf borderId="1" fillId="6" fontId="6" numFmtId="49" xfId="0" applyAlignment="1" applyBorder="1" applyFont="1" applyNumberFormat="1">
      <alignment horizontal="center" readingOrder="0" vertical="bottom"/>
    </xf>
    <xf borderId="1" fillId="7" fontId="6" numFmtId="0" xfId="0" applyAlignment="1" applyBorder="1" applyFill="1" applyFont="1">
      <alignment readingOrder="0" vertical="bottom"/>
    </xf>
    <xf borderId="1" fillId="0" fontId="6" numFmtId="49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left" readingOrder="0" shrinkToFit="0" vertical="top" wrapText="0"/>
    </xf>
    <xf borderId="7" fillId="0" fontId="7" numFmtId="0" xfId="0" applyBorder="1" applyFont="1"/>
    <xf borderId="1" fillId="0" fontId="13" numFmtId="0" xfId="0" applyAlignment="1" applyBorder="1" applyFont="1">
      <alignment horizontal="left" readingOrder="0" shrinkToFit="0" vertical="top" wrapText="0"/>
    </xf>
    <xf borderId="1" fillId="0" fontId="14" numFmtId="166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6" fontId="13" numFmtId="0" xfId="0" applyAlignment="1" applyBorder="1" applyFont="1">
      <alignment horizontal="left" readingOrder="0" shrinkToFit="0" vertical="top" wrapText="0"/>
    </xf>
    <xf borderId="1" fillId="6" fontId="5" numFmtId="49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readingOrder="0" vertical="bottom"/>
    </xf>
    <xf borderId="1" fillId="0" fontId="5" numFmtId="49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vertical="bottom"/>
    </xf>
    <xf borderId="1" fillId="0" fontId="14" numFmtId="0" xfId="0" applyBorder="1" applyFont="1"/>
    <xf borderId="1" fillId="0" fontId="14" numFmtId="0" xfId="0" applyAlignment="1" applyBorder="1" applyFont="1">
      <alignment horizontal="center"/>
    </xf>
    <xf borderId="1" fillId="7" fontId="13" numFmtId="0" xfId="0" applyAlignment="1" applyBorder="1" applyFont="1">
      <alignment horizontal="left" readingOrder="0" shrinkToFit="0" vertical="top" wrapText="0"/>
    </xf>
    <xf borderId="1" fillId="0" fontId="10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left" readingOrder="0" shrinkToFit="0" vertical="top" wrapText="0"/>
    </xf>
    <xf borderId="1" fillId="0" fontId="15" numFmtId="0" xfId="0" applyAlignment="1" applyBorder="1" applyFont="1">
      <alignment horizontal="left" readingOrder="0" shrinkToFit="0" vertical="top" wrapText="0"/>
    </xf>
    <xf borderId="1" fillId="6" fontId="6" numFmtId="0" xfId="0" applyAlignment="1" applyBorder="1" applyFont="1">
      <alignment horizontal="left" readingOrder="0" shrinkToFit="0" vertical="top" wrapText="0"/>
    </xf>
    <xf borderId="1" fillId="6" fontId="10" numFmtId="0" xfId="0" applyAlignment="1" applyBorder="1" applyFont="1">
      <alignment readingOrder="0"/>
    </xf>
    <xf borderId="1" fillId="6" fontId="10" numFmtId="166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1" fillId="4" fontId="16" numFmtId="165" xfId="0" applyAlignment="1" applyBorder="1" applyFont="1" applyNumberFormat="1">
      <alignment horizontal="center" readingOrder="0" shrinkToFit="0" vertical="bottom" wrapText="1"/>
    </xf>
    <xf borderId="1" fillId="0" fontId="17" numFmtId="0" xfId="0" applyAlignment="1" applyBorder="1" applyFont="1">
      <alignment vertical="bottom"/>
    </xf>
    <xf borderId="1" fillId="0" fontId="17" numFmtId="0" xfId="0" applyAlignment="1" applyBorder="1" applyFont="1">
      <alignment horizontal="center" vertical="bottom"/>
    </xf>
    <xf borderId="1" fillId="0" fontId="18" numFmtId="0" xfId="0" applyBorder="1" applyFont="1"/>
    <xf borderId="2" fillId="0" fontId="6" numFmtId="0" xfId="0" applyAlignment="1" applyBorder="1" applyFont="1">
      <alignment readingOrder="0" vertical="bottom"/>
    </xf>
    <xf borderId="1" fillId="6" fontId="10" numFmtId="0" xfId="0" applyAlignment="1" applyBorder="1" applyFont="1">
      <alignment horizontal="center" readingOrder="0"/>
    </xf>
    <xf borderId="1" fillId="6" fontId="19" numFmtId="0" xfId="0" applyAlignment="1" applyBorder="1" applyFont="1">
      <alignment readingOrder="0"/>
    </xf>
    <xf borderId="1" fillId="7" fontId="10" numFmtId="0" xfId="0" applyAlignment="1" applyBorder="1" applyFont="1">
      <alignment horizontal="center" readingOrder="0"/>
    </xf>
    <xf borderId="1" fillId="7" fontId="6" numFmtId="0" xfId="0" applyAlignment="1" applyBorder="1" applyFont="1">
      <alignment horizontal="left" readingOrder="0" shrinkToFit="0" vertical="top" wrapText="0"/>
    </xf>
    <xf borderId="1" fillId="6" fontId="11" numFmtId="0" xfId="0" applyAlignment="1" applyBorder="1" applyFont="1">
      <alignment vertical="top"/>
    </xf>
    <xf borderId="1" fillId="6" fontId="20" numFmtId="0" xfId="0" applyAlignment="1" applyBorder="1" applyFont="1">
      <alignment vertical="top"/>
    </xf>
    <xf borderId="1" fillId="6" fontId="6" numFmtId="0" xfId="0" applyAlignment="1" applyBorder="1" applyFont="1">
      <alignment vertical="top"/>
    </xf>
    <xf borderId="1" fillId="6" fontId="11" numFmtId="0" xfId="0" applyAlignment="1" applyBorder="1" applyFont="1">
      <alignment vertical="bottom"/>
    </xf>
    <xf borderId="1" fillId="6" fontId="11" numFmtId="0" xfId="0" applyAlignment="1" applyBorder="1" applyFont="1">
      <alignment readingOrder="0" vertical="bottom"/>
    </xf>
    <xf borderId="1" fillId="6" fontId="11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/>
    </xf>
    <xf borderId="1" fillId="6" fontId="6" numFmtId="0" xfId="0" applyAlignment="1" applyBorder="1" applyFont="1">
      <alignment vertical="bottom"/>
    </xf>
    <xf borderId="1" fillId="6" fontId="11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top"/>
    </xf>
    <xf borderId="1" fillId="0" fontId="11" numFmtId="166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left" readingOrder="0" shrinkToFit="0" vertical="top" wrapText="0"/>
    </xf>
    <xf borderId="1" fillId="8" fontId="6" numFmtId="0" xfId="0" applyAlignment="1" applyBorder="1" applyFill="1" applyFont="1">
      <alignment readingOrder="0" vertical="bottom"/>
    </xf>
    <xf borderId="1" fillId="8" fontId="6" numFmtId="0" xfId="0" applyAlignment="1" applyBorder="1" applyFont="1">
      <alignment horizontal="left" readingOrder="0" shrinkToFit="0" vertical="top" wrapText="0"/>
    </xf>
    <xf borderId="1" fillId="8" fontId="6" numFmtId="0" xfId="0" applyAlignment="1" applyBorder="1" applyFont="1">
      <alignment horizontal="left" readingOrder="0"/>
    </xf>
    <xf borderId="1" fillId="8" fontId="8" numFmtId="166" xfId="0" applyAlignment="1" applyBorder="1" applyFont="1" applyNumberFormat="1">
      <alignment horizontal="center" readingOrder="0"/>
    </xf>
    <xf borderId="1" fillId="8" fontId="8" numFmtId="0" xfId="0" applyAlignment="1" applyBorder="1" applyFont="1">
      <alignment readingOrder="0"/>
    </xf>
    <xf borderId="1" fillId="6" fontId="6" numFmtId="0" xfId="0" applyAlignment="1" applyBorder="1" applyFont="1">
      <alignment readingOrder="0" vertical="top"/>
    </xf>
    <xf borderId="1" fillId="7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 shrinkToFit="0" vertical="top" wrapText="0"/>
    </xf>
    <xf borderId="1" fillId="7" fontId="19" numFmtId="0" xfId="0" applyAlignment="1" applyBorder="1" applyFont="1">
      <alignment readingOrder="0"/>
    </xf>
    <xf borderId="1" fillId="0" fontId="11" numFmtId="166" xfId="0" applyAlignment="1" applyBorder="1" applyFont="1" applyNumberFormat="1">
      <alignment horizontal="center" readingOrder="0" vertical="bottom"/>
    </xf>
    <xf borderId="1" fillId="6" fontId="6" numFmtId="0" xfId="0" applyAlignment="1" applyBorder="1" applyFont="1">
      <alignment horizontal="left" readingOrder="0"/>
    </xf>
    <xf borderId="1" fillId="6" fontId="6" numFmtId="4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shrinkToFit="0" vertical="bottom" wrapText="0"/>
    </xf>
    <xf borderId="1" fillId="6" fontId="19" numFmtId="0" xfId="0" applyAlignment="1" applyBorder="1" applyFont="1">
      <alignment vertical="bottom"/>
    </xf>
    <xf borderId="1" fillId="6" fontId="11" numFmtId="166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vertical="top"/>
    </xf>
    <xf borderId="1" fillId="0" fontId="6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 vertical="top"/>
    </xf>
    <xf borderId="1" fillId="0" fontId="19" numFmtId="0" xfId="0" applyAlignment="1" applyBorder="1" applyFont="1">
      <alignment readingOrder="0"/>
    </xf>
    <xf borderId="4" fillId="0" fontId="11" numFmtId="0" xfId="0" applyAlignment="1" applyBorder="1" applyFont="1">
      <alignment vertical="bottom"/>
    </xf>
    <xf borderId="1" fillId="6" fontId="11" numFmtId="0" xfId="0" applyAlignment="1" applyBorder="1" applyFont="1">
      <alignment readingOrder="0" vertical="top"/>
    </xf>
    <xf borderId="1" fillId="6" fontId="6" numFmtId="0" xfId="0" applyAlignment="1" applyBorder="1" applyFont="1">
      <alignment shrinkToFit="0" vertical="top" wrapText="0"/>
    </xf>
    <xf borderId="1" fillId="0" fontId="11" numFmtId="0" xfId="0" applyBorder="1" applyFont="1"/>
    <xf borderId="0" fillId="0" fontId="21" numFmtId="0" xfId="0" applyAlignment="1" applyFont="1">
      <alignment vertical="bottom"/>
    </xf>
    <xf borderId="1" fillId="0" fontId="11" numFmtId="0" xfId="0" applyAlignment="1" applyBorder="1" applyFont="1">
      <alignment horizontal="left" readingOrder="0" shrinkToFit="0" vertical="top" wrapText="0"/>
    </xf>
    <xf borderId="6" fillId="5" fontId="5" numFmtId="0" xfId="0" applyAlignment="1" applyBorder="1" applyFont="1">
      <alignment horizontal="center" readingOrder="0" vertical="center"/>
    </xf>
    <xf borderId="7" fillId="5" fontId="5" numFmtId="0" xfId="0" applyAlignment="1" applyBorder="1" applyFont="1">
      <alignment horizontal="center" readingOrder="0" vertical="center"/>
    </xf>
    <xf borderId="1" fillId="7" fontId="12" numFmtId="0" xfId="0" applyAlignment="1" applyBorder="1" applyFont="1">
      <alignment horizontal="left" readingOrder="0"/>
    </xf>
    <xf borderId="1" fillId="6" fontId="12" numFmtId="0" xfId="0" applyAlignment="1" applyBorder="1" applyFont="1">
      <alignment horizontal="left" readingOrder="0"/>
    </xf>
    <xf borderId="1" fillId="0" fontId="6" numFmtId="0" xfId="0" applyAlignment="1" applyBorder="1" applyFont="1">
      <alignment shrinkToFit="0" vertical="top" wrapText="0"/>
    </xf>
    <xf borderId="1" fillId="0" fontId="6" numFmtId="166" xfId="0" applyAlignment="1" applyBorder="1" applyFont="1" applyNumberFormat="1">
      <alignment horizontal="center" readingOrder="0" vertical="top"/>
    </xf>
    <xf borderId="1" fillId="0" fontId="6" numFmtId="0" xfId="0" applyAlignment="1" applyBorder="1" applyFont="1">
      <alignment horizontal="center" readingOrder="0" vertical="top"/>
    </xf>
    <xf borderId="1" fillId="6" fontId="6" numFmtId="166" xfId="0" applyAlignment="1" applyBorder="1" applyFont="1" applyNumberFormat="1">
      <alignment horizontal="center" readingOrder="0" vertical="top"/>
    </xf>
    <xf borderId="1" fillId="6" fontId="8" numFmtId="166" xfId="0" applyAlignment="1" applyBorder="1" applyFont="1" applyNumberFormat="1">
      <alignment horizontal="center" readingOrder="0"/>
    </xf>
    <xf borderId="1" fillId="6" fontId="8" numFmtId="0" xfId="0" applyAlignment="1" applyBorder="1" applyFont="1">
      <alignment readingOrder="0"/>
    </xf>
    <xf borderId="2" fillId="0" fontId="6" numFmtId="0" xfId="0" applyAlignment="1" applyBorder="1" applyFont="1">
      <alignment horizontal="left" readingOrder="0" shrinkToFit="0" vertical="top" wrapText="0"/>
    </xf>
    <xf borderId="5" fillId="9" fontId="5" numFmtId="0" xfId="0" applyAlignment="1" applyBorder="1" applyFill="1" applyFont="1">
      <alignment horizontal="center" readingOrder="0" shrinkToFit="0" vertical="center" wrapText="0"/>
    </xf>
    <xf borderId="1" fillId="9" fontId="6" numFmtId="0" xfId="0" applyAlignment="1" applyBorder="1" applyFont="1">
      <alignment horizontal="left" readingOrder="0" shrinkToFit="0" vertical="top" wrapText="0"/>
    </xf>
    <xf borderId="1" fillId="7" fontId="6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 vertical="bottom"/>
    </xf>
    <xf borderId="1" fillId="6" fontId="11" numFmtId="166" xfId="0" applyAlignment="1" applyBorder="1" applyFont="1" applyNumberFormat="1">
      <alignment horizontal="center" readingOrder="0" vertical="bottom"/>
    </xf>
    <xf borderId="0" fillId="5" fontId="5" numFmtId="0" xfId="0" applyAlignment="1" applyFont="1">
      <alignment horizontal="center" readingOrder="0" vertical="center"/>
    </xf>
    <xf borderId="0" fillId="0" fontId="6" numFmtId="0" xfId="0" applyAlignment="1" applyFont="1">
      <alignment vertical="bottom"/>
    </xf>
    <xf borderId="1" fillId="10" fontId="6" numFmtId="0" xfId="0" applyAlignment="1" applyBorder="1" applyFill="1" applyFont="1">
      <alignment readingOrder="0" vertical="bottom"/>
    </xf>
    <xf borderId="1" fillId="10" fontId="6" numFmtId="0" xfId="0" applyAlignment="1" applyBorder="1" applyFont="1">
      <alignment horizontal="left" readingOrder="0" shrinkToFit="0" vertical="top" wrapText="0"/>
    </xf>
    <xf borderId="1" fillId="10" fontId="11" numFmtId="0" xfId="0" applyAlignment="1" applyBorder="1" applyFont="1">
      <alignment horizontal="center" readingOrder="0" vertical="bottom"/>
    </xf>
    <xf borderId="1" fillId="10" fontId="6" numFmtId="0" xfId="0" applyAlignment="1" applyBorder="1" applyFont="1">
      <alignment readingOrder="0" vertical="top"/>
    </xf>
    <xf borderId="1" fillId="10" fontId="6" numFmtId="0" xfId="0" applyAlignment="1" applyBorder="1" applyFont="1">
      <alignment vertical="bottom"/>
    </xf>
    <xf borderId="1" fillId="6" fontId="6" numFmtId="0" xfId="0" applyAlignment="1" applyBorder="1" applyFont="1">
      <alignment vertical="bottom"/>
    </xf>
    <xf borderId="1" fillId="7" fontId="10" numFmtId="166" xfId="0" applyAlignment="1" applyBorder="1" applyFont="1" applyNumberFormat="1">
      <alignment horizontal="center" readingOrder="0"/>
    </xf>
    <xf borderId="1" fillId="7" fontId="6" numFmtId="0" xfId="0" applyAlignment="1" applyBorder="1" applyFont="1">
      <alignment horizontal="left" readingOrder="0" shrinkToFit="0" vertical="top" wrapText="0"/>
    </xf>
    <xf borderId="1" fillId="7" fontId="6" numFmtId="0" xfId="0" applyAlignment="1" applyBorder="1" applyFont="1">
      <alignment vertical="bottom"/>
    </xf>
    <xf borderId="1" fillId="5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top" wrapText="0"/>
    </xf>
    <xf borderId="1" fillId="0" fontId="9" numFmtId="0" xfId="0" applyBorder="1" applyFont="1"/>
    <xf borderId="0" fillId="7" fontId="22" numFmtId="0" xfId="0" applyAlignment="1" applyFont="1">
      <alignment readingOrder="0"/>
    </xf>
    <xf borderId="1" fillId="11" fontId="6" numFmtId="0" xfId="0" applyAlignment="1" applyBorder="1" applyFill="1" applyFont="1">
      <alignment horizontal="left" readingOrder="0" shrinkToFit="0" vertical="top" wrapText="0"/>
    </xf>
    <xf borderId="1" fillId="10" fontId="0" numFmtId="0" xfId="0" applyAlignment="1" applyBorder="1" applyFont="1">
      <alignment readingOrder="0"/>
    </xf>
    <xf borderId="0" fillId="10" fontId="6" numFmtId="0" xfId="0" applyAlignment="1" applyFont="1">
      <alignment horizontal="left" readingOrder="0" shrinkToFit="0" vertical="top" wrapText="0"/>
    </xf>
    <xf borderId="1" fillId="10" fontId="10" numFmtId="166" xfId="0" applyAlignment="1" applyBorder="1" applyFont="1" applyNumberFormat="1">
      <alignment horizontal="center" readingOrder="0"/>
    </xf>
    <xf borderId="1" fillId="10" fontId="6" numFmtId="0" xfId="0" applyAlignment="1" applyBorder="1" applyFont="1">
      <alignment horizontal="left" readingOrder="0" shrinkToFit="0" vertical="top" wrapText="0"/>
    </xf>
    <xf borderId="1" fillId="6" fontId="0" numFmtId="0" xfId="0" applyAlignment="1" applyBorder="1" applyFont="1">
      <alignment readingOrder="0"/>
    </xf>
    <xf borderId="0" fillId="6" fontId="6" numFmtId="0" xfId="0" applyAlignment="1" applyFont="1">
      <alignment horizontal="left" readingOrder="0" shrinkToFit="0" vertical="top" wrapText="0"/>
    </xf>
    <xf borderId="0" fillId="6" fontId="22" numFmtId="0" xfId="0" applyAlignment="1" applyFont="1">
      <alignment readingOrder="0"/>
    </xf>
    <xf borderId="0" fillId="10" fontId="11" numFmtId="0" xfId="0" applyAlignment="1" applyFont="1">
      <alignment vertical="top"/>
    </xf>
    <xf borderId="0" fillId="10" fontId="11" numFmtId="0" xfId="0" applyAlignment="1" applyFont="1">
      <alignment vertical="top"/>
    </xf>
    <xf borderId="0" fillId="10" fontId="21" numFmtId="0" xfId="0" applyAlignment="1" applyFont="1">
      <alignment vertical="bottom"/>
    </xf>
    <xf borderId="0" fillId="6" fontId="11" numFmtId="0" xfId="0" applyAlignment="1" applyFont="1">
      <alignment vertical="top"/>
    </xf>
    <xf borderId="0" fillId="6" fontId="23" numFmtId="166" xfId="0" applyAlignment="1" applyFont="1" applyNumberFormat="1">
      <alignment horizontal="center" readingOrder="0"/>
    </xf>
    <xf borderId="0" fillId="6" fontId="21" numFmtId="0" xfId="0" applyAlignment="1" applyFont="1">
      <alignment vertical="bottom"/>
    </xf>
    <xf borderId="0" fillId="6" fontId="11" numFmtId="0" xfId="0" applyAlignment="1" applyFont="1">
      <alignment vertical="top"/>
    </xf>
    <xf borderId="0" fillId="9" fontId="23" numFmtId="0" xfId="0" applyAlignment="1" applyFont="1">
      <alignment readingOrder="0"/>
    </xf>
    <xf borderId="0" fillId="6" fontId="21" numFmtId="0" xfId="0" applyAlignment="1" applyFont="1">
      <alignment readingOrder="0" vertical="bottom"/>
    </xf>
    <xf borderId="0" fillId="10" fontId="11" numFmtId="166" xfId="0" applyAlignment="1" applyFont="1" applyNumberFormat="1">
      <alignment horizontal="center" readingOrder="0" vertical="top"/>
    </xf>
    <xf borderId="0" fillId="10" fontId="11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11" numFmtId="0" xfId="0" applyAlignment="1" applyFont="1">
      <alignment vertical="top"/>
    </xf>
    <xf borderId="2" fillId="9" fontId="6" numFmtId="0" xfId="0" applyAlignment="1" applyBorder="1" applyFont="1">
      <alignment horizontal="left" readingOrder="0" shrinkToFit="0" vertical="top" wrapText="0"/>
    </xf>
    <xf borderId="1" fillId="10" fontId="10" numFmtId="0" xfId="0" applyAlignment="1" applyBorder="1" applyFont="1">
      <alignment horizontal="center" readingOrder="0"/>
    </xf>
    <xf borderId="2" fillId="7" fontId="6" numFmtId="0" xfId="0" applyAlignment="1" applyBorder="1" applyFont="1">
      <alignment horizontal="left" readingOrder="0" shrinkToFit="0" vertical="top" wrapText="0"/>
    </xf>
    <xf borderId="1" fillId="7" fontId="10" numFmtId="0" xfId="0" applyAlignment="1" applyBorder="1" applyFont="1">
      <alignment horizontal="center"/>
    </xf>
    <xf borderId="8" fillId="9" fontId="17" numFmtId="0" xfId="0" applyAlignment="1" applyBorder="1" applyFont="1">
      <alignment horizontal="center" readingOrder="0" shrinkToFit="0" vertical="center" wrapText="0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" fillId="7" fontId="24" numFmtId="0" xfId="0" applyAlignment="1" applyBorder="1" applyFont="1">
      <alignment horizontal="left" readingOrder="0" shrinkToFit="0" vertical="top" wrapText="0"/>
    </xf>
    <xf borderId="12" fillId="0" fontId="7" numFmtId="0" xfId="0" applyBorder="1" applyFont="1"/>
    <xf borderId="13" fillId="0" fontId="7" numFmtId="0" xfId="0" applyBorder="1" applyFont="1"/>
    <xf borderId="1" fillId="4" fontId="21" numFmtId="165" xfId="0" applyAlignment="1" applyBorder="1" applyFont="1" applyNumberFormat="1">
      <alignment vertical="bottom"/>
    </xf>
    <xf borderId="4" fillId="4" fontId="25" numFmtId="165" xfId="0" applyAlignment="1" applyBorder="1" applyFont="1" applyNumberFormat="1">
      <alignment readingOrder="0" vertical="bottom"/>
    </xf>
    <xf borderId="6" fillId="5" fontId="26" numFmtId="0" xfId="0" applyAlignment="1" applyBorder="1" applyFont="1">
      <alignment horizontal="center"/>
    </xf>
    <xf borderId="13" fillId="0" fontId="21" numFmtId="0" xfId="0" applyAlignment="1" applyBorder="1" applyFont="1">
      <alignment vertical="bottom"/>
    </xf>
    <xf borderId="2" fillId="9" fontId="5" numFmtId="0" xfId="0" applyAlignment="1" applyBorder="1" applyFont="1">
      <alignment horizontal="left" readingOrder="0" shrinkToFit="0" vertical="top" wrapText="0"/>
    </xf>
    <xf borderId="13" fillId="0" fontId="11" numFmtId="0" xfId="0" applyAlignment="1" applyBorder="1" applyFont="1">
      <alignment vertical="bottom"/>
    </xf>
    <xf borderId="13" fillId="0" fontId="11" numFmtId="165" xfId="0" applyAlignment="1" applyBorder="1" applyFont="1" applyNumberFormat="1">
      <alignment vertical="bottom"/>
    </xf>
    <xf borderId="13" fillId="0" fontId="11" numFmtId="0" xfId="0" applyAlignment="1" applyBorder="1" applyFont="1">
      <alignment vertical="bottom"/>
    </xf>
    <xf borderId="0" fillId="10" fontId="23" numFmtId="0" xfId="0" applyAlignment="1" applyFont="1">
      <alignment readingOrder="0"/>
    </xf>
    <xf borderId="13" fillId="0" fontId="21" numFmtId="0" xfId="0" applyAlignment="1" applyBorder="1" applyFont="1">
      <alignment vertical="bottom"/>
    </xf>
    <xf borderId="0" fillId="7" fontId="0" numFmtId="0" xfId="0" applyAlignment="1" applyFont="1">
      <alignment readingOrder="0"/>
    </xf>
    <xf borderId="0" fillId="7" fontId="6" numFmtId="0" xfId="0" applyAlignment="1" applyFont="1">
      <alignment horizontal="left" readingOrder="0" shrinkToFit="0" vertical="top" wrapText="0"/>
    </xf>
    <xf borderId="0" fillId="6" fontId="0" numFmtId="0" xfId="0" applyAlignment="1" applyFont="1">
      <alignment readingOrder="0"/>
    </xf>
    <xf borderId="0" fillId="12" fontId="27" numFmtId="0" xfId="0" applyAlignment="1" applyFill="1" applyFont="1">
      <alignment horizontal="center" vertical="center"/>
    </xf>
    <xf borderId="0" fillId="12" fontId="27" numFmtId="0" xfId="0" applyAlignment="1" applyFont="1">
      <alignment horizontal="center" readingOrder="0" vertical="center"/>
    </xf>
    <xf borderId="0" fillId="12" fontId="27" numFmtId="0" xfId="0" applyAlignment="1" applyFont="1">
      <alignment horizontal="left" readingOrder="0" vertical="center"/>
    </xf>
    <xf borderId="0" fillId="12" fontId="27" numFmtId="3" xfId="0" applyAlignment="1" applyFont="1" applyNumberFormat="1">
      <alignment horizontal="center" vertical="center"/>
    </xf>
    <xf borderId="0" fillId="12" fontId="27" numFmtId="9" xfId="0" applyAlignment="1" applyFont="1" applyNumberFormat="1">
      <alignment horizontal="center" vertical="center"/>
    </xf>
    <xf borderId="0" fillId="6" fontId="27" numFmtId="0" xfId="0" applyAlignment="1" applyFont="1">
      <alignment horizontal="center" readingOrder="0" vertical="center"/>
    </xf>
    <xf borderId="0" fillId="13" fontId="27" numFmtId="0" xfId="0" applyAlignment="1" applyFill="1" applyFont="1">
      <alignment horizontal="center" readingOrder="0" vertical="center"/>
    </xf>
    <xf borderId="0" fillId="13" fontId="27" numFmtId="0" xfId="0" applyAlignment="1" applyFont="1">
      <alignment horizontal="center" vertical="center"/>
    </xf>
    <xf borderId="0" fillId="13" fontId="27" numFmtId="167" xfId="0" applyAlignment="1" applyFont="1" applyNumberFormat="1">
      <alignment horizontal="center" vertical="center"/>
    </xf>
    <xf borderId="0" fillId="13" fontId="25" numFmtId="0" xfId="0" applyAlignment="1" applyFont="1">
      <alignment horizontal="center" readingOrder="0"/>
    </xf>
    <xf borderId="0" fillId="13" fontId="25" numFmtId="0" xfId="0" applyAlignment="1" applyFont="1">
      <alignment horizontal="center"/>
    </xf>
    <xf borderId="0" fillId="0" fontId="6" numFmtId="0" xfId="0" applyAlignment="1" applyFont="1">
      <alignment horizontal="left" shrinkToFit="0" vertical="top" wrapText="0"/>
    </xf>
    <xf borderId="0" fillId="0" fontId="6" numFmtId="9" xfId="0" applyAlignment="1" applyFont="1" applyNumberFormat="1">
      <alignment horizontal="left" readingOrder="0" shrinkToFit="0" vertical="top" wrapText="0"/>
    </xf>
    <xf borderId="0" fillId="0" fontId="9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0" numFmtId="167" xfId="0" applyAlignment="1" applyFont="1" applyNumberFormat="1">
      <alignment readingOrder="0"/>
    </xf>
    <xf borderId="0" fillId="0" fontId="21" numFmtId="167" xfId="0" applyAlignment="1" applyFont="1" applyNumberFormat="1">
      <alignment vertical="bottom"/>
    </xf>
    <xf borderId="0" fillId="0" fontId="21" numFmtId="0" xfId="0" applyAlignment="1" applyFont="1">
      <alignment readingOrder="0" vertical="bottom"/>
    </xf>
    <xf borderId="0" fillId="0" fontId="21" numFmtId="167" xfId="0" applyAlignment="1" applyFont="1" applyNumberFormat="1">
      <alignment readingOrder="0" vertical="bottom"/>
    </xf>
    <xf borderId="0" fillId="0" fontId="28" numFmtId="0" xfId="0" applyAlignment="1" applyFont="1">
      <alignment readingOrder="0" shrinkToFit="0" vertical="bottom" wrapText="0"/>
    </xf>
    <xf borderId="13" fillId="0" fontId="0" numFmtId="0" xfId="0" applyAlignment="1" applyBorder="1" applyFont="1">
      <alignment readingOrder="0"/>
    </xf>
    <xf borderId="0" fillId="0" fontId="0" numFmtId="0" xfId="0" applyFont="1"/>
    <xf borderId="0" fillId="7" fontId="29" numFmtId="0" xfId="0" applyAlignment="1" applyFont="1">
      <alignment horizontal="left" readingOrder="0"/>
    </xf>
    <xf borderId="0" fillId="0" fontId="0" numFmtId="167" xfId="0" applyFont="1" applyNumberFormat="1"/>
    <xf borderId="0" fillId="0" fontId="11" numFmtId="0" xfId="0" applyAlignment="1" applyFont="1">
      <alignment readingOrder="0" vertical="bottom"/>
    </xf>
    <xf borderId="1" fillId="0" fontId="0" numFmtId="0" xfId="0" applyAlignment="1" applyBorder="1" applyFont="1">
      <alignment readingOrder="0"/>
    </xf>
    <xf borderId="5" fillId="0" fontId="21" numFmtId="0" xfId="0" applyAlignment="1" applyBorder="1" applyFont="1">
      <alignment readingOrder="0" vertical="bottom"/>
    </xf>
    <xf borderId="0" fillId="0" fontId="11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0" fillId="0" fontId="0" numFmtId="0" xfId="0" applyAlignment="1" applyFont="1">
      <alignment vertical="bottom"/>
    </xf>
    <xf borderId="0" fillId="0" fontId="0" numFmtId="167" xfId="0" applyAlignment="1" applyFont="1" applyNumberFormat="1">
      <alignment vertical="bottom"/>
    </xf>
    <xf borderId="0" fillId="0" fontId="0" numFmtId="167" xfId="0" applyAlignment="1" applyFont="1" applyNumberFormat="1">
      <alignment readingOrder="0" vertical="bottom"/>
    </xf>
    <xf borderId="1" fillId="0" fontId="21" numFmtId="0" xfId="0" applyAlignment="1" applyBorder="1" applyFont="1">
      <alignment readingOrder="0" vertical="bottom"/>
    </xf>
    <xf borderId="0" fillId="7" fontId="30" numFmtId="0" xfId="0" applyAlignment="1" applyFont="1">
      <alignment horizontal="left" readingOrder="0"/>
    </xf>
    <xf borderId="4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0" fillId="0" fontId="23" numFmtId="0" xfId="0" applyAlignment="1" applyFont="1">
      <alignment readingOrder="0"/>
    </xf>
    <xf borderId="0" fillId="0" fontId="21" numFmtId="168" xfId="0" applyAlignment="1" applyFont="1" applyNumberFormat="1">
      <alignment vertical="bottom"/>
    </xf>
    <xf borderId="0" fillId="7" fontId="31" numFmtId="0" xfId="0" applyAlignment="1" applyFont="1">
      <alignment horizontal="left" readingOrder="0"/>
    </xf>
    <xf borderId="1" fillId="0" fontId="0" numFmtId="0" xfId="0" applyBorder="1" applyFont="1"/>
    <xf borderId="0" fillId="0" fontId="30" numFmtId="0" xfId="0" applyAlignment="1" applyFont="1">
      <alignment readingOrder="0" vertical="bottom"/>
    </xf>
    <xf borderId="13" fillId="0" fontId="0" numFmtId="0" xfId="0" applyBorder="1" applyFont="1"/>
    <xf borderId="0" fillId="12" fontId="32" numFmtId="0" xfId="0" applyAlignment="1" applyFont="1">
      <alignment horizontal="center" vertical="center"/>
    </xf>
    <xf borderId="0" fillId="12" fontId="32" numFmtId="0" xfId="0" applyAlignment="1" applyFont="1">
      <alignment horizontal="center" readingOrder="0" vertical="center"/>
    </xf>
    <xf borderId="0" fillId="12" fontId="32" numFmtId="3" xfId="0" applyAlignment="1" applyFont="1" applyNumberFormat="1">
      <alignment horizontal="center" vertical="center"/>
    </xf>
    <xf borderId="0" fillId="13" fontId="25" numFmtId="0" xfId="0" applyAlignment="1" applyFont="1">
      <alignment horizontal="center" readingOrder="0" vertical="center"/>
    </xf>
    <xf borderId="0" fillId="13" fontId="25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0" fillId="0" fontId="28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0" fontId="28" numFmtId="9" xfId="0" applyAlignment="1" applyFont="1" applyNumberFormat="1">
      <alignment horizontal="right" readingOrder="0" shrinkToFit="0" vertical="bottom" wrapText="0"/>
    </xf>
    <xf borderId="0" fillId="0" fontId="23" numFmtId="0" xfId="0" applyFont="1"/>
    <xf borderId="1" fillId="0" fontId="21" numFmtId="0" xfId="0" applyAlignment="1" applyBorder="1" applyFont="1">
      <alignment shrinkToFit="0" vertical="bottom" wrapText="0"/>
    </xf>
    <xf borderId="0" fillId="0" fontId="30" numFmtId="0" xfId="0" applyAlignment="1" applyFont="1">
      <alignment readingOrder="0"/>
    </xf>
    <xf borderId="0" fillId="0" fontId="21" numFmtId="167" xfId="0" applyAlignment="1" applyFont="1" applyNumberFormat="1">
      <alignment horizontal="right" vertical="bottom"/>
    </xf>
    <xf borderId="1" fillId="0" fontId="21" numFmtId="0" xfId="0" applyAlignment="1" applyBorder="1" applyFont="1">
      <alignment vertical="bottom"/>
    </xf>
    <xf borderId="0" fillId="14" fontId="33" numFmtId="0" xfId="0" applyAlignment="1" applyFill="1" applyFont="1">
      <alignment vertical="bottom"/>
    </xf>
    <xf borderId="1" fillId="14" fontId="33" numFmtId="0" xfId="0" applyAlignment="1" applyBorder="1" applyFont="1">
      <alignment shrinkToFit="0" vertical="bottom" wrapText="0"/>
    </xf>
    <xf borderId="0" fillId="14" fontId="33" numFmtId="0" xfId="0" applyAlignment="1" applyFont="1">
      <alignment vertical="bottom"/>
    </xf>
    <xf borderId="1" fillId="14" fontId="34" numFmtId="0" xfId="0" applyAlignment="1" applyBorder="1" applyFont="1">
      <alignment readingOrder="0" shrinkToFit="0" vertical="bottom" wrapText="0"/>
    </xf>
    <xf borderId="1" fillId="14" fontId="21" numFmtId="0" xfId="0" applyAlignment="1" applyBorder="1" applyFont="1">
      <alignment vertical="bottom"/>
    </xf>
    <xf borderId="1" fillId="0" fontId="21" numFmtId="0" xfId="0" applyAlignment="1" applyBorder="1" applyFont="1">
      <alignment readingOrder="0" shrinkToFit="0" vertical="bottom" wrapText="0"/>
    </xf>
    <xf borderId="1" fillId="14" fontId="35" numFmtId="0" xfId="0" applyAlignment="1" applyBorder="1" applyFont="1">
      <alignment vertical="bottom"/>
    </xf>
    <xf borderId="1" fillId="14" fontId="35" numFmtId="0" xfId="0" applyAlignment="1" applyBorder="1" applyFont="1">
      <alignment shrinkToFit="0" vertical="bottom" wrapText="0"/>
    </xf>
    <xf borderId="0" fillId="14" fontId="36" numFmtId="0" xfId="0" applyAlignment="1" applyFont="1">
      <alignment vertical="bottom"/>
    </xf>
    <xf borderId="1" fillId="14" fontId="36" numFmtId="0" xfId="0" applyAlignment="1" applyBorder="1" applyFont="1">
      <alignment vertical="bottom"/>
    </xf>
    <xf borderId="1" fillId="14" fontId="36" numFmtId="0" xfId="0" applyAlignment="1" applyBorder="1" applyFont="1">
      <alignment shrinkToFit="0" vertical="bottom" wrapText="0"/>
    </xf>
    <xf borderId="0" fillId="7" fontId="37" numFmtId="167" xfId="0" applyFont="1" applyNumberFormat="1"/>
    <xf borderId="0" fillId="7" fontId="37" numFmtId="0" xfId="0" applyFont="1"/>
    <xf borderId="0" fillId="15" fontId="28" numFmtId="0" xfId="0" applyAlignment="1" applyFill="1" applyFont="1">
      <alignment readingOrder="0" shrinkToFit="0" vertical="bottom" wrapText="0"/>
    </xf>
    <xf borderId="0" fillId="0" fontId="23" numFmtId="167" xfId="0" applyFont="1" applyNumberFormat="1"/>
    <xf borderId="0" fillId="16" fontId="38" numFmtId="0" xfId="0" applyAlignment="1" applyFill="1" applyFont="1">
      <alignment horizontal="center" shrinkToFit="0" wrapText="1"/>
    </xf>
    <xf borderId="0" fillId="17" fontId="39" numFmtId="0" xfId="0" applyAlignment="1" applyFill="1" applyFont="1">
      <alignment vertical="bottom"/>
    </xf>
    <xf borderId="0" fillId="18" fontId="40" numFmtId="0" xfId="0" applyAlignment="1" applyFill="1" applyFont="1">
      <alignment horizontal="center" vertical="bottom"/>
    </xf>
    <xf borderId="0" fillId="16" fontId="38" numFmtId="0" xfId="0" applyAlignment="1" applyFont="1">
      <alignment horizontal="center" shrinkToFit="0" vertical="center" wrapText="1"/>
    </xf>
    <xf borderId="0" fillId="16" fontId="41" numFmtId="0" xfId="0" applyAlignment="1" applyFont="1">
      <alignment horizontal="center" shrinkToFit="0" vertical="center" wrapText="1"/>
    </xf>
    <xf borderId="0" fillId="14" fontId="42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0" fontId="21" numFmtId="169" xfId="0" applyAlignment="1" applyFont="1" applyNumberFormat="1">
      <alignment horizontal="right" readingOrder="0" vertical="bottom"/>
    </xf>
    <xf borderId="0" fillId="7" fontId="40" numFmtId="0" xfId="0" applyAlignment="1" applyFont="1">
      <alignment horizontal="center" vertical="bottom"/>
    </xf>
    <xf borderId="0" fillId="7" fontId="43" numFmtId="9" xfId="0" applyAlignment="1" applyFont="1" applyNumberFormat="1">
      <alignment horizontal="center" vertical="bottom"/>
    </xf>
    <xf borderId="0" fillId="19" fontId="44" numFmtId="0" xfId="0" applyAlignment="1" applyFill="1" applyFont="1">
      <alignment horizontal="center" readingOrder="0"/>
    </xf>
    <xf borderId="0" fillId="19" fontId="44" numFmtId="1" xfId="0" applyAlignment="1" applyFont="1" applyNumberFormat="1">
      <alignment horizontal="center"/>
    </xf>
    <xf borderId="0" fillId="0" fontId="21" numFmtId="1" xfId="0" applyAlignment="1" applyFont="1" applyNumberFormat="1">
      <alignment vertical="bottom"/>
    </xf>
    <xf borderId="0" fillId="0" fontId="21" numFmtId="169" xfId="0" applyAlignment="1" applyFont="1" applyNumberFormat="1">
      <alignment vertical="bottom"/>
    </xf>
    <xf borderId="0" fillId="0" fontId="21" numFmtId="0" xfId="0" applyAlignment="1" applyFont="1">
      <alignment vertical="bottom"/>
    </xf>
    <xf borderId="0" fillId="0" fontId="23" numFmtId="10" xfId="0" applyFont="1" applyNumberFormat="1"/>
    <xf borderId="0" fillId="17" fontId="45" numFmtId="0" xfId="0" applyAlignment="1" applyFont="1">
      <alignment horizontal="center" vertical="bottom"/>
    </xf>
    <xf borderId="0" fillId="17" fontId="45" numFmtId="0" xfId="0" applyAlignment="1" applyFont="1">
      <alignment horizontal="center" vertical="bottom"/>
    </xf>
    <xf borderId="0" fillId="20" fontId="46" numFmtId="0" xfId="0" applyAlignment="1" applyFill="1" applyFont="1">
      <alignment horizontal="center" readingOrder="0"/>
    </xf>
    <xf borderId="0" fillId="0" fontId="23" numFmtId="170" xfId="0" applyAlignment="1" applyFont="1" applyNumberFormat="1">
      <alignment readingOrder="0"/>
    </xf>
    <xf borderId="0" fillId="21" fontId="47" numFmtId="0" xfId="0" applyAlignment="1" applyFill="1" applyFont="1">
      <alignment vertical="bottom"/>
    </xf>
    <xf borderId="0" fillId="7" fontId="48" numFmtId="1" xfId="0" applyAlignment="1" applyFont="1" applyNumberFormat="1">
      <alignment horizontal="center" vertical="bottom"/>
    </xf>
    <xf borderId="0" fillId="16" fontId="49" numFmtId="10" xfId="0" applyAlignment="1" applyFont="1" applyNumberFormat="1">
      <alignment horizontal="center"/>
    </xf>
    <xf borderId="0" fillId="18" fontId="48" numFmtId="1" xfId="0" applyAlignment="1" applyFont="1" applyNumberFormat="1">
      <alignment horizontal="center" vertical="bottom"/>
    </xf>
    <xf borderId="0" fillId="18" fontId="50" numFmtId="9" xfId="0" applyAlignment="1" applyFont="1" applyNumberFormat="1">
      <alignment horizontal="center" vertical="bottom"/>
    </xf>
    <xf borderId="0" fillId="7" fontId="50" numFmtId="9" xfId="0" applyAlignment="1" applyFont="1" applyNumberFormat="1">
      <alignment horizontal="center" vertical="bottom"/>
    </xf>
    <xf borderId="0" fillId="0" fontId="23" numFmtId="1" xfId="0" applyFont="1" applyNumberFormat="1"/>
    <xf borderId="0" fillId="20" fontId="51" numFmtId="0" xfId="0" applyAlignment="1" applyFont="1">
      <alignment horizontal="center"/>
    </xf>
    <xf borderId="0" fillId="20" fontId="51" numFmtId="1" xfId="0" applyAlignment="1" applyFont="1" applyNumberFormat="1">
      <alignment horizontal="center"/>
    </xf>
    <xf borderId="0" fillId="12" fontId="34" numFmtId="10" xfId="0" applyAlignment="1" applyFont="1" applyNumberFormat="1">
      <alignment vertical="bottom"/>
    </xf>
    <xf borderId="0" fillId="20" fontId="52" numFmtId="0" xfId="0" applyAlignment="1" applyFont="1">
      <alignment horizontal="center" vertical="bottom"/>
    </xf>
    <xf borderId="0" fillId="16" fontId="53" numFmtId="10" xfId="0" applyAlignment="1" applyFont="1" applyNumberForma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395" sheet="Hedef Liste"/>
  </cacheSource>
  <cacheFields>
    <cacheField name="Restaurant ID" numFmtId="0">
      <sharedItems>
        <s v="6092b55667cf30580ff7cc00"/>
        <s v="61de9e5080ca03e293095ca7"/>
        <s v="600bdf5fd6c5917679df8e5e"/>
        <s v="621e1757fc019f60a9fc1be2"/>
        <s v="606da86221d646e339348c59"/>
        <s v="6258563e70d10b86e62acdff"/>
        <s v="6256bda8f82cc64423844ed8"/>
        <s v="6012d02582ce14688957e9aa"/>
        <s v="60103af58ee57e1999402aa0"/>
        <s v="601fabc09f03555ba9b64ec1"/>
        <s v="607e8d16191de0cbdba20784"/>
        <s v="607e8d23d415f0b185ad3f9e"/>
        <s v="6242db2d195cc73670471f53"/>
        <s v="60be00983632e31216528579"/>
        <s v="604ba358f1352d123849b7ea"/>
        <s v="6120f882a03cfb2f8e335a64"/>
        <s v="6009e79e9873d870b68c9b84"/>
        <s v="603dfbbcb3d2c3527538f8a3"/>
        <s v="606c41fcab152dcb37346d42"/>
        <s v="6200ecd836d5485e3ab0fd69"/>
        <s v="6018f365aa213ab3f0e42016"/>
        <s v="60966a31822d878c7c5a0630"/>
        <s v="606b2e7b2b4d0ee5dd1bac90"/>
        <s v="60cdeaaf8d492c7994e5f54a"/>
        <s v="609664778bff0b36506686aa"/>
        <s v="6092a0af42ff6acb5dc7089f"/>
        <s v="62584721a7b30e48310d27aa"/>
        <s v="60caf19b2b6d293799cb3bdd"/>
        <s v="606ef87f20d6a1581ae6fec0"/>
        <s v="622afb1ded7bafd0212078c9"/>
        <s v="60ce01f675a6b8c0c6b423bd"/>
        <s v="620534d7fa2e86bbb73f1f8e"/>
        <s v="6204fe776c82f695a93d97c8"/>
        <s v="61211a91542a0d2769c0c5ef"/>
        <s v="6041eb9617e4246bab0c1602"/>
        <s v="6040aa583f01ac8eb783a324"/>
        <s v="60cde8b8acb711e901cc8436"/>
        <s v="62557e2ea7b76af6d41683af"/>
        <s v="617fb5fc4b1a05116240999d"/>
        <s v="620f5178533cc839ec856ed3"/>
        <s v="6241bd7a4502426ce060c4fe"/>
        <s v="6072b7ee1514ab3dfb9a4f5e"/>
        <s v="600bcb9416bdc85f89405c65"/>
        <s v="6256bf8ba7b30e1662d178c6"/>
        <s v="6019016ff55f40f8e2cac47e"/>
        <s v="6220d0e4eed71f44b98547de"/>
        <s v="600d2b9165caa79a1d3ee43b"/>
        <s v="621c7111c17685c92d65ff4b"/>
        <s v="60409e4bdc8b325656c3c30d"/>
        <s v="620b5fd231d0237ba5ca12f4"/>
        <s v="60210a96bd45894c82a12c0f"/>
        <s v="60a661ef82ef2a375134e870"/>
        <s v="622b4f143f98e02883f45b07"/>
        <s v="621493d41f690c6fe2e6288a"/>
        <s v="606ae897c2388a88dcae657a"/>
        <s v="608828b5ee9c1fa10ed041df"/>
        <s v="604522d789a2c538927cca91"/>
        <s v="6218a9d9bfca551103d35b4c"/>
        <s v="6007d9661b307e7e2f267670"/>
        <s v="60b0a2396dfd604f2b4c578b"/>
        <s v="609674aaaa74f71935f7d745"/>
        <s v="609674b48bff0b7410668749"/>
        <s v="60967429000dc12fefe9d3e0"/>
        <s v="62260e2857fd441f1f19fbfa"/>
        <s v="6015079067e562c4c8859236"/>
        <s v="6218b245395f2aa5f80a23dc"/>
        <s v="604c895a6b8a4e60df1f11c7"/>
        <s v="604333aee26cdb3dcb1e1c88"/>
        <s v="606c43c7fbec05d65a17c1ef"/>
        <s v="601b19519b217f6c71b3b86f"/>
        <s v="620f9160697228c4d78b665a"/>
        <s v="600d3e0eb19c482330c2d1aa"/>
        <s v="60120c675778c4bfb4c03fcd"/>
        <s v="601fb70e450e7fe4d2debab4"/>
        <s v="604bacc5f5f5cecd1aafad43"/>
        <s v="604bac17b01c99a53f116470"/>
        <s v="608a5d6ad69d4536a9530dbb"/>
        <s v="622b24b6dc761d544b3b1ffe"/>
        <s v="600fbd32cf43c1885dbce17f"/>
        <s v="60a65bae231db00e8698222b"/>
        <s v="601502054337de4f542c59de"/>
        <s v="618d1f44dd060a3c3f3e5cc2"/>
        <s v="6012d122d22e22aa9cb5606e"/>
        <s v="60c085f28e22c412e544181d"/>
        <s v="601b16d05ad05159e798af05"/>
        <s v="6040b068d3409b1e590d529f"/>
        <s v="60475067b826f0491d319e6e"/>
        <s v="624dadea9f0b0d85e838c093"/>
        <s v="603f4d9bdc8b32fd7bc321a9"/>
        <s v="623185c8426ed16333d3c5b7"/>
        <s v="60139a6ce3c69c17a482db12"/>
        <s v="602541f72f6cd8819d7d795b"/>
        <s v="62173f41c8f00c88109dfbe5"/>
        <s v="6009fd56b4fcb46717762a9a"/>
        <s v="617fb1c5cf39016808dd99e1"/>
        <s v="5f60b19c4686122644c97858"/>
        <s v="600de4070475c8011eabbf68"/>
        <s v="6079275310bf229459b5a183"/>
        <s v="624aba5564eda925e2e93fff"/>
        <s v="60223ee55993bfa83b8fe61b"/>
        <s v="60089ca5b4fcb4c6a375fcc1"/>
        <s v="621890236c220131a8d6ae36"/>
        <s v="601d11d6002c3033409240d8"/>
        <s v="601a72514e0a2ae8f714a0c4"/>
        <s v="600c3628ace44f6f10af654a"/>
        <s v="6013a8b3f8fb0b52cbf9d111"/>
        <s v="6013a8adf55f403c34c98d71"/>
        <s v="607a957b3e5254e32c690c46"/>
        <s v="620653fcf211b23b29ca3182"/>
        <s v="60089f619611de182cccdcfb"/>
        <s v="61aff5d3885801645c66dd41"/>
        <s v="60a64fa277346a34507a60a2"/>
        <s v="620e56f33f4fd65c12da38b7"/>
        <s v="6051aa2de33f8b24d19dd05f"/>
        <s v="600e5cf6ace44f1d6dafb36a"/>
        <s v="601205a3d22e22bbf0b52cc2"/>
        <s v="60c0b1319abe5ce7004dd4f9"/>
        <s v="623314609bd43d15a5a2e59c"/>
        <s v="6040a79e92b6d05668dc09cb"/>
        <s v="601d11d17167d41f9c67c865"/>
        <s v="60ce00ccf4ac6d723574bd18"/>
        <s v="60926552617bb5749897483b"/>
        <s v="61d80588e4ea113c67f786d5"/>
        <s v="620e3b0bdf6bc5c51ef19c25"/>
        <s v="6096730a109411f8ccbe4a79"/>
        <s v="6051aa290bd20f3681751f4b"/>
        <s v="6204e648cdccb3c9deefb419"/>
        <s v="6219e00b7f1e610738922ca2"/>
        <s v="6219de28bfca55a0fb0500dc"/>
        <s v="624408a4644ffa3622e5c806"/>
        <s v="6221b30b08bd74059cf2627c"/>
        <s v="6213888fd3e09d542776808c"/>
        <s v="600e5bd965caa75acc3f01f0"/>
        <s v="60a6484ff221502f32a24e69"/>
        <s v="600fc2320354af1fa3851e8e"/>
        <s v="612f32fa4d7a3e5b45c404b4"/>
        <s v="601faa18bd45895321a0e6ea"/>
        <s v="6246e58d537c41e0fe928533"/>
        <s v="60224d20627f6e54dcb4de0b"/>
        <s v="60ae062c2e8989748ce6c943"/>
        <s v="6009f00a9611de6e18cd1ca8"/>
        <s v="601fabb009400ecbf9cea668"/>
        <s v="600bd5ac9dceb635b8081c40"/>
        <s v="6166a8ba537c37d40122ddc6"/>
        <s v="601a4b43b8a19d87d1a7fc00"/>
        <s v="61a8dd24a5f5c035b83bb98b"/>
        <s v="620b85765ce5ef44412d8e0f"/>
        <s v="622c81929fd075238f452f0c"/>
        <s v="60cdf59ff364a093a7a16ba4"/>
        <s v="6010180d5007627b752f92b0"/>
        <s v="60101989bce91f700fa632c4"/>
        <s v="5f87fd0a1cfa9804022d7c80"/>
        <s v="60088beb9873d84df98c463a"/>
        <s v="601b9f6012aa733350662c36"/>
        <s v="601d04ec2b37cf0ee185ac8f"/>
        <s v="6072b2fea57cfe6aeccaa5b0"/>
        <s v="601e335e8adaa12715e3d2dc"/>
        <s v="601fec425993bff0d88e7f44"/>
        <s v="6091448627e1d11f30583314"/>
        <s v="6229c270a673a9c4bb93755e"/>
        <s v="60c0834f3632e312ce531c93"/>
        <s v="602548790aeff9c7a3b894ae"/>
        <s v="6071ce22e66040e3b5ba79c7"/>
        <s v="608a5aeff237b232f70c2a09"/>
        <s v="601b1548000a7783268a04e9"/>
        <s v="600885ad8c17d6fc24e27031"/>
        <s v="6242c137227e1ce9b8e9eadc"/>
        <s v="607e94bf78e84cd044d98fbb"/>
        <s v="623305017fe3a0fca97f3eff"/>
        <s v="60087f1999244e4ef7060a26"/>
        <s v="601e3e8b98337b6e604cf966"/>
        <s v="6040ae6991adfc1d8ca7875a"/>
        <s v="60b0a3976dfd6060134c57af"/>
        <s v="6206748a6e93923ecbac4753"/>
        <s v="607e93824520f4b44e99a3ed"/>
        <s v="608818cce7384949ae5fcc1c"/>
        <s v="60a65b95cd7411f9e739cbef"/>
        <s v="608a6c79c704552c72161aee"/>
        <s v="60cde5107761e51899052945"/>
        <s v="5f5b81ac69bc226d55bfe6ce"/>
        <s v="6023946e4db6bbbf3deeaa79"/>
        <s v="6066f8a570449b980f395e99"/>
        <s v="6232e9798164e35801cab816"/>
        <s v="600d3a6e8ee57e08fd3f7c86"/>
        <s v="601529e3f179e4d319266875"/>
        <s v="6007de51e4ab4e0f0b9219a5"/>
        <s v="6007760eb4fcb4545e75cb38"/>
        <s v="6009f51f9873d875848c9c3a"/>
        <s v="61d2aed7d5a1d52e2f1c559c"/>
        <s v="622ef3f304ae85059fd46dee"/>
        <s v="608b995510cf06feaaf7f2df"/>
        <s v="606ef73cc769e695c9ffe741"/>
        <s v="6205175d01eb3764b7b0194d"/>
        <s v="61fbeb2b4b8db4e69f4dba8d"/>
        <s v="6096808266b44ff576cc12e7"/>
        <s v="61d2242bab40540b5a5799ae"/>
        <s v="601e35dd98337bc5cd4cf94f"/>
        <s v="6244460145e6af070b3db43a"/>
        <s v="6066fb803d414aa808590a6c"/>
        <s v="6066fb8238fe4b64f62fbb46"/>
        <s v="60791de641375f4897d75adf"/>
        <s v="60791d3d8d6f7af427ccedae"/>
        <s v="600e821fd6c591cd0adff247"/>
        <s v="6009f8eef5c83e64ff918545"/>
        <s v="61278eee8cd4f1415d89fbed"/>
        <s v="62260c2bfb37e8407b360385"/>
        <s v="6072b00ff842527461b8d4af"/>
        <s v="60238bc0e36a14486f688337"/>
        <s v="601504f90a16ee9a26e16f2d"/>
        <s v="62176d72dd2d408a5f8203cd"/>
        <s v="61d7fef6095bde5cb6239351"/>
        <s v="602254f1bd458988a3a2707e"/>
        <s v="61aff63a7d9cb121b780bbec"/>
        <s v="62176ffc13a25f52c9188aab"/>
        <s v="60be0f8b9d1533185b425362"/>
        <s v="6020df67d7f75eb65fdbfbe5"/>
        <s v="6066f65584475d878c0d2478"/>
        <s v="601fb4a8039b6a30f5280a71"/>
        <s v="601b9a4b000a7776968a3703"/>
        <s v="60113f5dd32c70ae3eab0e5d"/>
        <s v="606dadc4e84f127c0da20f87"/>
        <s v="603df9bfb84783a4730fada6"/>
        <s v="601da276a0e11ace6df9d04d"/>
        <s v="6066f2a493202ab513c4fe87"/>
        <s v="6012cac6f179e4f07825d8d2"/>
        <s v="60880a6495eb320e49a452b7"/>
        <s v="601501fe1b5f9be52920bde4"/>
        <s v="600bdbaccf43c167bfbc1acb"/>
        <s v="60cdece5f9d59b597460ba5b"/>
        <s v="6239d3b432f229944bccf15b"/>
        <s v="620f443902f2a8084d9ccdf2"/>
        <s v="62038f457c2852a39c1c7dc3"/>
        <s v="62399a70a3d2231b8f81d880"/>
        <s v="62382bd2f182f2d797c4c868"/>
        <s v="6007ea67056c79562bc06839"/>
        <s v="62557a9f70d10bdd9ebcce6c"/>
        <s v="6009fd9b35cc59b6dbfe29f2"/>
        <s v="624316a4f3f36b18f6a0d642"/>
        <s v="6009df0ac795bd5b1b42c508"/>
        <s v="62285b46b04e658d41e2de19"/>
        <s v="608821dc86ba1651a68daaa2"/>
        <s v="6229eb0b94797bbeea03c8dc"/>
        <s v="62289cac5d60651fdb6df38c"/>
        <s v="604c8aad6b8a4ea4ef1f1226"/>
        <s v="6021111871c5451797020bfb"/>
        <s v="602248ea6d12e9617149c634"/>
        <s v="60c07b4234fca05de704cca9"/>
        <s v="60117978d22e226116b51b38"/>
        <s v="603f4436ff40490751093f72"/>
        <s v="624d81349f0b0db9d62f2bf3"/>
        <s v="603f4b6b56cff11d68d775ea"/>
        <s v="6071d5a777d9cc2dfe9a39d7"/>
        <s v="61277496b806db17e320ded0"/>
        <s v="60967631341cac550b4462c6"/>
        <s v="61bb5c17f9ffcc454ae0e0f3"/>
        <s v="601dc1f409400e2d06ce3cbd"/>
        <s v="60b0a0d43240b9510c0770a8"/>
        <s v="60b09594ace3ee1719bdf6c2"/>
        <s v="62051d2464373f4e4acb831d"/>
        <s v="6166a716ab5019148ab05a24"/>
        <s v="607a9339f2c942dd54c28adf"/>
        <s v="601a5eb83740f14ec5a0b3e9"/>
        <s v="602101ec1f27d5047d875cce"/>
        <s v="602101ef252c44af5313b3fb"/>
        <s v="61ab7a4a8557e82cb660b9bb"/>
        <s v="601e37bbb9901281da4d32f5"/>
        <s v="604c85027b79054fd46952ec"/>
        <s v="612116f804e64a658a005704"/>
        <s v="60c0b12ceb49655ce67341c0"/>
        <s v="60b0a59e7e4cd57ebd0e9996"/>
        <s v="623c8311b4efa74930dc407c"/>
        <s v="6011a7f24337def3c02b94ec"/>
        <s v="607922e7d0f2128780fa63cd"/>
        <s v="606b412f02b6970fc6868842"/>
        <s v="6047d1469756a061f9da3aad"/>
        <s v="60074c36c11c76b50bb9c4f4"/>
        <s v="600c2cc2bce91f4701a58c7c"/>
        <s v="61d7facd53d13877b80fa35f"/>
        <s v="61d7fa77e0edf0b9561e9a21"/>
        <s v="6023a033f31a703013a8f788"/>
        <s v="6071d37d5ef1fb2dd39c72fb"/>
        <s v="61ab7a902c33a9d274916b4b"/>
        <s v="6013ac1661fea7179c1ed5be"/>
        <s v="6023af87215fd14d58dac522"/>
        <s v="6017e523d9ee3c165904c8a2"/>
        <s v="605da8f51d92b2f2bf7327f7"/>
        <s v="6091409f5d77c01d81dfcdaf"/>
        <s v="600fe50ad6c591990de050e9"/>
        <s v="60b0d3b4e0b79d161abc5704"/>
        <s v="604be1ee89119e5288e5d5c8"/>
        <s v="604be1226b8a4ed7841ef3a4"/>
        <s v="60af5e588e15b081ba2255d8"/>
        <s v="6087f2876502c28cf1dedfeb"/>
        <s v="601fbcee252c44120f134bfa"/>
        <s v="6007e68de13dbd621a5c3b07"/>
        <s v="6072ab3a6dfbe88f14b3834a"/>
        <s v="602116082b279fe3a5cecbbb"/>
        <s v="600eb200262a1803e866f06f"/>
        <s v="607e964d38cb156f933663c0"/>
        <s v="60cde6a2ba7e6648f7f96b6e"/>
        <s v="60451fb17f1ab820c9d931d9"/>
        <s v="60432ea2133a2947084162b8"/>
        <s v="600bdd3e65caa70c8b3e9d02"/>
        <s v="624be8aa3b1543d466859688"/>
        <s v="600820c20a79b124d9e367fe"/>
        <s v="6023a20a966d0a269bdba8d0"/>
        <s v="601dcb046d12e94755486a92"/>
        <s v="6120e1c764cad7ccae157938"/>
        <s v="600a654d0a79b11ba3e3d9a2"/>
        <s v="601ba37f16e9827d8c205fa6"/>
        <s v="600de047bce91f6fefa5b341"/>
        <s v="60211245bb8fd0271084ad66"/>
        <s v="624452c657f34c786cbc7a78"/>
        <s v="62399728f268653d0f48ce98"/>
        <s v="600d32517e16da055beaa003"/>
        <s v="60792a7a503bf1630b3f9f77"/>
        <s v="604ba51934b8b44c7d0950b7"/>
        <s v="62444ce56a101845069c3ab4"/>
        <s v="621f6caea91b5869fde6d33f"/>
        <s v="60210c6b8e49cd16d445937d"/>
        <s v="6018fc9ce3c69cd8cc83fed6"/>
        <s v="600e6434b19c483b93c2e6ea"/>
        <s v="600e6445ace44f7155afb453"/>
        <s v="6018f9c5b93a704591309fa4"/>
        <s v="619ce18e99e4148348af29dd"/>
        <s v="60af5ccef1761a20fcceaef2"/>
        <s v="623826d0565d9c5a5f5ee149"/>
        <s v="61e13faed2a8d9c79c6cabc2"/>
        <s v="6023a84a851ea98f46cd76fc"/>
        <s v="6045252e41a491a8ba970b15"/>
        <s v="600fb7f98ee57e780c400d55"/>
        <s v="604ba6877b79058c19693a56"/>
        <s v="600751b137de62284bb3bb0c"/>
        <s v="60cdf7746749fe6e75f32aad"/>
        <s v="6047ce2f118621461cc36d3e"/>
        <s v="6200d8e23dbbca5e03302c51"/>
        <s v="60225107994d40239bfbe14c"/>
        <s v="6027bdb85bb03efd884e8360"/>
        <s v="6120e8589a4feb3c4ac53dbc"/>
        <s v="5f60b0aa37521c1f416c3f25"/>
        <s v="60966f52da616253d4bd38f7"/>
        <s v="617fb12527101965a62e820e"/>
        <s v="620a0382c60051576cb0c7ea"/>
        <s v="6092b8bf6e4f7978aa2f6c09"/>
        <s v="61aff5748fa5b702bfd5cb36"/>
        <s v="62347ec3b58f48b27da8735a"/>
        <s v="6013a3f4d1201b3120953953"/>
        <s v="60432d259cc87d5877132ab8"/>
        <s v="602549a29d620986386360b2"/>
        <s v="600fc502a501799b65cca6de"/>
        <s v="608a6ee877de8a49d20424c9"/>
        <s v="6244666af36a60fd6ea7a129"/>
        <s v="6256e14d4929b0d2d3e4ddca"/>
        <s v="601d00b6618ea5a55cb59feb"/>
        <s v="6040a753703aca4cacfed352"/>
        <s v="602546039d62093f42636010"/>
        <s v="601a48e3c18821634a02e3d4"/>
        <s v="61278d40a0c9296d4a16368c"/>
        <s v="60120c656c16428047904efb"/>
        <s v="6092b54f8b8fec4f94e64772"/>
        <s v="608b9cacf230916f616e3733"/>
        <s v="601a6b19587d0eb400b696ad"/>
        <s v="6098eba93c6dee7e325d9e3b"/>
        <s v="6025435ec23a08fc9fce5ab9"/>
        <s v="6047489cb997c40ee71bd0b4"/>
        <s v="616d7c5c5eeae713de3f7c89"/>
        <s v="6023a6b1c3e376847447807e"/>
        <s v="60210e2e09400e669ecf0662"/>
        <s v="60239da88881bd0582fa1c59"/>
        <s v="600b6ae49dceb6349c080fd9"/>
        <s v="609682765eaa8350317311c7"/>
        <s v="6204fcb08886c0e380b2704e"/>
        <s v="601205a5998c13270a867d6a"/>
        <s v="607933a179796f7793590b39"/>
        <s v="601a626aef295e5aa0fa7d15"/>
        <s v="6257c81d6d88ace32c7756c1"/>
        <s v="61a1ff1e1e642d44fcb75133"/>
        <s v="6018f7dbf8fb0bd076faac18"/>
        <s v="607e9848631e801d16ba04f9"/>
        <s v="6239cf4f19e440cde9bef62d"/>
        <s v="61ea825c53a9c471f34ae299"/>
        <s v="60076a7bb2ab7d466f61bba3"/>
        <s v="601e3b0e8a8c676cb72c5bad"/>
        <s v="61aff5a27d9cb1472580af12"/>
        <s v="611b8c9e8250b543002c6b8a"/>
        <s v="62343148801f6738bfbab088"/>
        <s v="60474672902bc67111df25f7"/>
        <s v="6203bb465167d821750136d5"/>
        <s v="601e383f8a8c671ee52c5ba0"/>
        <s v="60cdfd3475a6b81de7b4239a"/>
        <s v="61ab79fed5cd86773d36b55b"/>
        <s v="6043383fb8edc7e4780fdeb9"/>
        <s v="603f4804b33aa74849d5c2e6"/>
        <s v="601a711738711c4bb735441c"/>
      </sharedItems>
    </cacheField>
    <cacheField name="Restoran&#10;Adı" numFmtId="0">
      <sharedItems>
        <s v="@'li Burger (Arabacıalanı Mah.)"/>
        <s v="54 Han Kebap"/>
        <s v="6Nova Aperatif (İstiklal Mah.)"/>
        <s v="7/24 Çorbacı (Şirinevler Mah.)"/>
        <s v="Ada Börek &amp; Çiğ Köfte, Erenler (Dilmen Mah."/>
        <s v="Ada Çiğ Köfte (Bağlar Mah.)"/>
        <s v="Ada Döner (Cumhuriyet Mah.)"/>
        <s v="Ada Dönercim"/>
        <s v="Ada Kabak(Orta Mah.)"/>
        <s v="Ada Lezzet Kampüs Dürüm, Serdivan (Kemalpaşa Mah.)"/>
        <s v="Ada Midye Gurme Lezzetleri &amp; Çiğ Köfte (Arabacıalanı Mah.)"/>
        <s v="Ada Midye Gurme Lezzetleri &amp; Çiğ Köfte (Yeni Mah.)"/>
        <s v="Ada Pizza Pide &amp; Lahmacun (32 Evler Mah.)"/>
        <s v="Ada Roma Dondurmaları 2 (Sakarya Cad.)"/>
        <s v="Ada Şark Pide &amp; Lahmacun, Adapazarı (Yenigün Mah.)"/>
        <s v="Ada Şelale, Serdivan (Kemalpaşa Mah.)"/>
        <s v="Ada Tantuni (Yalı Mah.)"/>
        <s v="Ada Yakamoz Tantuni, Serdivan (Kemalpaşa Mah.)"/>
        <s v="Ada Zurna Hatay Usulü Dürüm, Serdivan (Kemalpaşa Mah.)"/>
        <s v="Adabahçem Dondurma &amp; Kahvaltı (Arabacıalanı Mah.)"/>
        <s v="Adakule Restaurant, Adapazarı (Maltepe Mah.)"/>
        <s v="Adana Kebapçısı Suphi Usta, Adapazarı (Korucuk Mah.)"/>
        <s v="Adanalı Halil Usta, Adapazarı (Korucuk Mah.)"/>
        <s v="Adanalı Mustafa’nın Yeri, Karasu (Yalı Mah.)"/>
        <s v="Addmore, Serdivan (Arabacı Alanı Mah.)"/>
        <s v="Addmore, Serdivan (Semerciler Mah.)"/>
        <s v="Adıyaman Çiğ Köftecisi (Erenler Mah.)"/>
        <s v="Adıyamanlı Çiğ Köfteci Ali Baba (Tığçılar Mah.)"/>
        <s v="Ahsen Pastaneleri (Semerciler Mah.)"/>
        <s v="Akdeniz Tantuni (İstiklal Mah.)"/>
        <s v="Al Götür Express, Adapazarı (Semerciler Mah. - Çark Cad.)"/>
        <s v="Alâ Balık &amp; Meze (Rüstempaşa Mah.)"/>
        <s v="Alaçatı Kumru &amp; Burger (Kırkpınar Hasanpaşa Mah.)"/>
        <s v="Alo Acıktııık, Adapazarı (Şeker Mah.)"/>
        <s v="Alo Balık (15 Temmuz Camili Mah.)"/>
        <s v="Alo Sokak Başı, Serdivan (İstiklal Mah.)"/>
        <s v="Altınova Çiğ Köfte (İstiklal Mah.)"/>
        <s v="Alzide Kebap (Kemaliye Mah.)"/>
        <s v="Antep Hacıoğlu Baklava"/>
        <s v="Antepli Hünkar Künefe, Adapazarı (Yenicami Mah.)"/>
        <s v="Ardiye (İstiklal Mah.)"/>
        <s v="Arsamiea Çiğ Köfte, Karasu (Yalı Mah.)"/>
        <s v="Arsemia Çiğ Köfte (Camicedit. Mah.)"/>
        <s v="Atak Közde Kokoreç (Kemalpaşa Mah.)"/>
        <s v="Atalay, Adapazarı (Cumhuriyet Mah.)"/>
        <s v="Atlas Çorba Döner Izgara ( Kemalpaşa Mah.)"/>
        <s v="Atmaca Izgara (Tekeler Mah.)"/>
        <s v="Aware Burger ( Kemalpaşa Mah.)"/>
        <s v="Ay Dons Döner, Erenler (Erenler Mah.)"/>
        <s v="Ayaküstü Lezzet (Kemalpaşa Mah.)"/>
        <s v="Aydın Pide &amp; Kebap, Karasu (Yalı Mah.)"/>
        <s v="Aydoğdu Aperatif, Adapazarı (Güllük Mah.)"/>
        <s v="Baba Oğul Izgara (Mithatpaşa Mah.)"/>
        <s v="Babacan Çiğ Köfte ( Papuçcular Mah.)"/>
        <s v="Bahçem Cafee, Adapazarı (15 Temmuz Camili Mah.)"/>
        <s v="Baklavacı Özcan Usta, Serdivan (İstiklal Mah.)"/>
        <s v="Balkoon Cafe &amp; Restaurant, Hendek (Kemaliye Mah.)"/>
        <s v="Başka Biyer ( Kemalpaşa Mah.)"/>
        <s v="Bayındır Pide &amp; Lahmacun (Cumhuriyet Mah.)"/>
        <s v="Bey Döner (Orta Mah.)"/>
        <s v="Beyaz Işık Pastaneleri (Çukurahmediye Mah.)"/>
        <s v="Beyaz Işık Pastaneleri (Semerciler Mah. - Bosna Cad.)"/>
        <s v="Beyaz Işık Pastaneleri (Tığcılar Mah.)"/>
        <s v="Beyti Burger (Arabacıalanı Mah.)"/>
        <s v="Beytuş, Adapazarı (Cumhuriyet Mah.)"/>
        <s v="Bi Pilav (Kemalpaşa Mah.)"/>
        <s v="Bianca Shisha Lounge, Sapanca (Kırkpınar Hasanpaşa Mah.)"/>
        <s v="Bibercik Çiğ Köfte, Serdivan (Beşköprü Mah.)"/>
        <s v="Big Köfte, Serdivan (Arabacı Alanı Mah.)"/>
        <s v="Bigg Pizza, Arifiye (Arif Bey Mah.)"/>
        <s v="Bigye Burger (Arabacıalanı Mah.)"/>
        <s v="Bisiklet Kahvesi (15 Temmuz Camili Mah.)"/>
        <s v="Bol Kepçe Tabldot Aperatif (15 Temmuz Camili Mah.)"/>
        <s v="Bolu'lu Kemal Ustanın Yeri, Hendek (Kemaliye Mah.)"/>
        <s v="Boston Donuts, Sapanca (Kırkpınar Hasanpaşa Mah.)"/>
        <s v="Boston Donuts, Serdivan (İstiklal Mah.)"/>
        <s v="Brain Storm (Cumhuriyet Mah.)"/>
        <s v="Breadli Serdivan (Kemalpaşa Mah.)"/>
        <s v="Buhara İskender (Semerciler Mah.- Çark cad.)"/>
        <s v="Bulvar Döner (Tığcılar Mah.)"/>
        <s v="Burger Brothers Köfteci İsmail Serdivan (İstiklal Mah.)"/>
        <s v="Burger Schön (54 AVM)"/>
        <s v="By Boşnak Börekçisi(Çarşı Şube.)"/>
        <s v="By Hamza Pide &amp; Lahmacun, Karasu (İncilli Mah.)"/>
        <s v="By İlkay Chef Izgara, Serdivan (Kemalpaşa Mah.)"/>
        <s v="By Patso's, Serdivan (Kemalpaşa Mah.)"/>
        <s v="Cadde Burger &amp; Lunch (Rüstempaşa Mah.)"/>
        <s v="Cafe Muss (İstiklal Mah.)"/>
        <s v="Cafe'de Pizza, Sapanca (Kırkpınar Hasanpaşa Mah.)"/>
        <s v="Caner Usta Döner ( İncilli Mah.)"/>
        <s v="Cennet Mekan (Semerciler Mah.)"/>
        <s v="Centilmen Döner &amp; Islama Köfte, Serdivan (İstiklal Mah.)"/>
        <s v="Chickenlab (Kemalpaşa Mah.)"/>
        <s v="ChickenLand (Arabacı Alanı Mah.)"/>
        <s v="Chicky &amp; Dany"/>
        <s v="Chilek Waffle &amp; Kumpir, Serdivan (Merkez)"/>
        <s v="Ciğerci Bahattin (Kemalpaşa Mah.)"/>
        <s v="Cook Time (Kemalpaşa Mah.)"/>
        <s v="Crespo Burger (İstiklal Mah.)"/>
        <s v="Cuşka Pide &amp; Lahmacun, Serdivan (Beşköprü Mah.)"/>
        <s v="Çağlar Dondurma Izgara (Arabacı Alanı Mah.)"/>
        <s v="Çağrı Börekçilik ( Tığcılar Mah.)"/>
        <s v="Çardakaltı, Sapanca (Kırkpınar Hasanpaşa Mah.)"/>
        <s v="Çeken Aperatif, Adapazarı (Cumhuriyet Mah.)"/>
        <s v="Çıtır Usta Kebap Lahmacun Dürüm (Kemalpaşa mah.)"/>
        <s v="Çiçek Beyoğlu Çikolata (İstiklal Mah.)"/>
        <s v="Çiçek Beyoğlu Pizza (İstiklal Mah.)"/>
        <s v="Çiğ Köfteci ÖFM, Serdivan (32 Evler Mah.)"/>
        <s v="Çiğ Köfteci Sait ( Arabacıalanı Mah.)"/>
        <s v="Çiğ Köfteci Sait (Arabacı Alanı Mah. - Eski Kazımpaşa Cad.)"/>
        <s v="Çiğ Köfteci Sait (Cumhuriyet Mah.)"/>
        <s v="Çiğ Köfteci Sait (Hacıoğlu Mah. - M. Akif Ersoy Cad. )"/>
        <s v="Çiğ Köfteci Sait (İstiklal Mah.)"/>
        <s v="Çiğ Köfteci Sait (Kazımpaşa Mah.)"/>
        <s v="Çiğ Köfteci Sait (Kemalpaşa Mah. - Üniversite Cad.)"/>
        <s v="Çiğ Köfteci Sait (Şehit Mehmet Karabaşoğlu Cad.)"/>
        <s v="Çiğ Köfteci Sait (Tığcılar Mah.)"/>
        <s v="Çiğ Köfteci Sait &amp; Nurs Aperatif (Bağlar Mah.)"/>
        <s v="Çiğ Köfteci Sait, Erenler (Hacıoğlu Mah.)"/>
        <s v="Çiğ Köfteci Sait, Sapanca (Kırkpınar Hasanpaşa Mah.)"/>
        <s v="Çiğ Köfteci Sait, Serdivan (32 Evler Mah.)"/>
        <s v="Çiğköfteevi, Sapanca (Çayiçi Mah.)"/>
        <s v="Dad Fast Food (Serdivan Mah.)"/>
        <s v="Deli Chef (Kemalpaşa Mah.)"/>
        <s v="Deli Dolu Tantuni, Hendek (Kemaliye Mah.)"/>
        <s v="Dilruba Pastanesi (Kazımpaşa Mah.)"/>
        <s v="Dolce Fresco Mag &amp; Cake ( Hasanpaşa Mah.)"/>
        <s v="Donas ( İstiklal Mah.)"/>
        <s v="Donas (Çark Cad.)"/>
        <s v="Dondurma Bahçesi Almira (Yağcılar Mah.)"/>
        <s v="Dope Burger ( İstiklal Mah.)"/>
        <s v="Doruk Can Döner (Arabacıalanı Mah.)"/>
        <s v="Double 7 Izgara (Kemalpaşa Mah.)"/>
        <s v="Döner X, Arifiye (Arif Bey Mah.)"/>
        <s v="Dönerci Lokman (Ankara Cad.-Soğanpazarı Geçidi)"/>
        <s v="Duman Izgara, Adapazarı (Cumhuriyet Mah.)"/>
        <s v="Düner Aperatif, Akyazı (Ömercikler Mah.)"/>
        <s v="Dürümcüm Baba (15 Temmuz Mah.)"/>
        <s v="Dy Çıtır Lahmacun &amp; Pide, Adapazarı (Cumhuriyet Mah.)"/>
        <s v="DY Çıtır Lahmacun &amp; Pide, Serdivan (İstiklal Mah.)"/>
        <s v="E-Yemekhane (İstiklal Mah.)"/>
        <s v="Edem Döner, Serdivan (Kemalpaşa Mah.)"/>
        <s v="Edman Kanat (İstiklal Mah.)"/>
        <s v="Efsanee Pide &amp; Lahmacun &amp; Izgara"/>
        <s v="Ege Nosta Balık, Serdivan (İstiklal Mah.)"/>
        <s v="Ehli Kebap Künefe (Serdivan)"/>
        <s v="Ekleristan (Cumhuriyet Mah.)"/>
        <s v="Ekleristan (Tepekum Mah.)"/>
        <s v="Ekleristan, Serdivan (İstiklal Mah.)"/>
        <s v="Ekrem Çoşkun Döner (Çark Caddesi)"/>
        <s v="Ekrem Çoşkun Döner, Serdivan (Kemalpaşa Mah)"/>
        <s v="Ekşi Fırın, Serdivan (Merkez)"/>
        <s v="Elazığlı Çiğköfteci (İstiklal Mah.)"/>
        <s v="Emmimoğlu Pide Lahmacun, Sapanca (Merkez)"/>
        <s v="Ensar Sofrası, Arifiye (Arif Bey Mah.)"/>
        <s v="Ercan Burger, Serdivan (İstiklal Mah.)"/>
        <s v="Erzurum Cağ Kebabı, Erenler (Hacıoğlu Mah.)"/>
        <s v="Erzurum Cağ Kebabı, Karasu (Yalı Mah.)"/>
        <s v="Fatih Izgara (Kemalpaşa Mah.)"/>
        <s v="Fatih Pastanesi (Arabacıalanı Mah.)"/>
        <s v="Fd Burger &amp; Kokoreç, Serdivan (İstiklal Mah.)"/>
        <s v="Festival Çiğ Köfte, Serdivan (İstiklal Mah.)"/>
        <s v="Fırat Pide, Karasu (Yalı Mah.)"/>
        <s v="Fırat Usta, Adapazarı (Ozanlar Mah.)"/>
        <s v="Fix Döner, Arifiye (Arif Bey Mah.)"/>
        <s v="Food Ville (Köprübaşı Mah)"/>
        <s v="Fourway Cafe ( Yalı Mah.)"/>
        <s v="Gaziantepli Hakgül Baklava (İstiklal Mah.)"/>
        <s v="Gazibey Küşleme ( Kemalpaşa Mah.)"/>
        <s v="Gece Pilavcısı (Cumhuriyet Mah.)"/>
        <s v="Gece Pilavcısı, Serdivan (İstiklal Mah.)"/>
        <s v="Göktürk Baklava &amp; Börek, Serdivan (Bahçelievler Mah.)"/>
        <s v="Grill Burger"/>
        <s v="Güldibi Pide ve Lahmacun Salonu (Çayiçi Mah.)"/>
        <s v="Güleryüz Aperatif (İnönü mah.)"/>
        <s v="Güney Kebap, Serdivan (İstiklal Mah.)"/>
        <s v="Hacı Mustafa Baklavaları (Tığcılar Mah.)"/>
        <s v="Hacıoğulları Lahmacun &amp; Kebap (İnönü Mah.)"/>
        <s v="Hafızoğlu Pide, Serdivan (İstiklal Mah.)"/>
        <s v="Hakkı Usta’nın Adana Sofrası, Adapazarı (Merkez)"/>
        <s v="Han Tantuni, Adapazarı (Cumhuriyet Mah.)"/>
        <s v="Hasır Gurme, Hendek (Başpınar Mah.)"/>
        <s v="Havana Kebap &amp; Pide &amp; Lahmacun (Kemalpaşa Mah.)"/>
        <s v="Hayal Ev Baklavaları &amp; Butik Pasta (15 Temmuz Camili Mah.)"/>
        <s v="Hayal Profiterol, Serdivan (İstiklal Mah.)"/>
        <s v="Hey Tost'um (Kemalpaşa Mah)"/>
        <s v="Ho-La Lahmacun (Cumhuriyet Mah.)"/>
        <s v="Hope Coffee Bakery (İstiklal Mah.)"/>
        <s v="Iron Burger (15 Temmuz Camili Mah.)"/>
        <s v="Izgara 54 (Mithatpaşa Mah.)"/>
        <s v="Izgaracı Zeki Usta, Adapazarı (Hızırtepe Mah.)"/>
        <s v="İ. S. Döner Dünyası, Hendek (Kemaliye Mah.)"/>
        <s v="İmren Izgara (Erenler Mah.)"/>
        <s v="Johhny Bravo"/>
        <s v="Just 4 Pizza, Serdivan (İstiklal Mah.)"/>
        <s v="Kado'nun Yeri (Şeker Mah.)"/>
        <s v="Kahveci Vahdettin (Cumhuriyet Mah.)"/>
        <s v="Kaktüs Büfe &amp; Aperatif (Yalı Mah.)"/>
        <s v="Karadeniz Pide, Kebap Lahmacun (Arabacıalanı Mah. )"/>
        <s v="Karadeniz Pide, Kebap Lahmacun (İstiklal Mah. )"/>
        <s v="Karaköse Pide, Lahmacun (Başpınar Mah.)"/>
        <s v="Karaköse Pide, Lahmacun (Rasimpaşa Mah.)"/>
        <s v="Kardeş Payı Pide (Kemalpaşa Mah.)"/>
        <s v="Kardeşler Piliç &amp; Aperatif (Arabacı Alanı Mah.)"/>
        <s v="Karşıyaka Aperatif, Serdivan (Kemalpaşa Mah.)"/>
        <s v="Karşıyaka Snack House (Gazipaşa Mah.)"/>
        <s v="Kaşık, Adapazarı (Cumhuriyet Mah.)"/>
        <s v="Kaşık, Serdivan (Kemalpaşa Mah.)"/>
        <s v="Kaşıklaa (Şirinevler Mah.)"/>
        <s v="Katık Döner (Arif Bey Mah.)"/>
        <s v="Katık Döner (Kemalpaşa Mah - Üniversite Cad.)"/>
        <s v="Katık Döner (Kemalpaşa Mah.)"/>
        <s v="Katık Döner (Semerciler Mah.)"/>
        <s v="Katık Döner (Yalı Mah.)"/>
        <s v="Katıkçı Paşa, Adapazarı (Semerciler Mah. - Çark Cad.)"/>
        <s v="Kayalar Pide Lahmacun, Hendek (Yeni Mah.)"/>
        <s v="Kazan Çorba, Kebap (Başpınar Mah.)"/>
        <s v="Kelebek Waffle &amp; Kumpir, Hendek (Kemaliye Mah.)"/>
        <s v="Kervan Pide Kebap (Rüstempaşa Mah.)"/>
        <s v="Keyfi Tadında (Yenigün Mah.)"/>
        <s v="Kırmızı Elma Pastaneleri (Cumhuriyet Mah.)"/>
        <s v="King Cake, Adapazarı (Cumhuriyet Mah.)"/>
        <s v="King Point Cafe &amp; Restaurant (Semerciler Mah.)"/>
        <s v="Kocausta Kasap Izgara, Arifiye (Arif Bey Mah.)"/>
        <s v="Konya Selçuklu Mutfağı"/>
        <s v="Köfteci Hasan, Erenler (Erenler Mah.)"/>
        <s v="Köfteci İsmail, Serdivan (Arabacı Alanı Mah. - Çark Cad.)"/>
        <s v="Köşebaşı 54 (Hızırtepe Mah.)"/>
        <s v="Köşem Aperatif Ramazan Usta, Hendek (Kemaliye Mah.)"/>
        <s v="Köz Piliç (İstiklal Mah.)"/>
        <s v="Kuldanlar Çiğköfteci Sait (Bahçelievler Mah.)"/>
        <s v="Kumpir &amp; Waffle Express (Mithatpaşa Mah.)"/>
        <s v="Kumpir Box (İstiklal Mah.)"/>
        <s v="Kuzenler Lahmacun &amp; Pide, Erenler (Dilmen Mah.)"/>
        <s v="Künefe-i Şahane (İstiklal Mah.)"/>
        <s v="La Gondola ( Yalı Mah.)"/>
        <s v="La Pide (Arabacı Alanı Mah.)"/>
        <s v="Lahmacunzade (Kemalpaşa Mah.)"/>
        <s v="Lezizan (Kemalpaşa Mah.)"/>
        <s v="Limon Çiğ Köfte ( İncilli Mah.)"/>
        <s v="Limon Tantuni, Serdivan (İstiklal Mah.)"/>
        <s v="Liya Cook House (İstiklal Mah.)"/>
        <s v="Loca Cafe (Kemalpaşa Mah.)"/>
        <s v="Lulus, Kırkpınar (Soğuksu Mah.)"/>
        <s v="Lumoss Cafe &amp; Restaurant, Karasu (Yalı Mah.)"/>
        <s v="Mabella, Serdivan (Arabacı Alanı Mah.)"/>
        <s v="Mad Bites Burger (Cumhuriyet Mah.)"/>
        <s v="Makara Izgara(Tekeler Mah.)"/>
        <s v="Makarrrna Cafe &amp; Bistro, Kırkpınar (Hasanpaşa Mah.)"/>
        <s v="Marcanima (Arabacı Alanı Mah.)"/>
        <s v="Marjinal Cafe &amp; Fast Food, Sapanca (Kırkpınar Hasanpaşa Mah.)"/>
        <s v="Masal Pastanesi, Karasu (Yalı Mah.)"/>
        <s v="Master Köfte, Serdivan (İstiklal Mah.)"/>
        <s v="Matranç, Kırkpınar (Soğuksu Mah.)"/>
        <s v="Mavi Durak Katık Döner"/>
        <s v="Mengen Döner, Adapazarı (Cumhuriyet Mah.)"/>
        <s v="Mercan Döner (Ömercikler Mah.)"/>
        <s v="Merke Fast Food, Akyazı (Ömercikler Mah.)"/>
        <s v="Mersin 33 Tantuni (Semerciler Mah.)"/>
        <s v="Mersinli Sakinbey Tantuni"/>
        <s v="Meşhur Yeni Camii Meydan Köftecisi (Kırkpınar Hasanpaşa Mah.)"/>
        <s v="Mevlana Döner (15 Temmuz Camili Mah)"/>
        <s v="Mia Mutfak &amp; Izgara, Adapazarı (Cumhuriyet Mah.)"/>
        <s v="Mia Mutfak &amp; Izgara, Serdivan (İstiklal Mah.)"/>
        <s v="Midye Fakültesi"/>
        <s v="Midye Limon (Kemalpaşa Mah.)"/>
        <s v="Mint Appetizer, Kırkpınar ( Hasanpaşa Mah.)"/>
        <s v="Misss Döner, Sapanca (Rüstempaşa Mah.)"/>
        <s v="Moon Aperatif (Tığcılar Mah.)"/>
        <s v="Mor Pasta (Yenicami Mah.)"/>
        <s v="Muammer Koç Döner (Kırkpınar Hasanpaşa Mah.)"/>
        <s v="Muammer Usta Pizza &amp; Lahmacun"/>
        <s v="Muhabbet Kokoreç (Yahyalar Mah.)"/>
        <s v="Mutfak Izgara, Eniştemin Yeri (Semerciler Mah. - Çark Cad.)"/>
        <s v="My Kebap Dünyası (Çayiçi Mah.)"/>
        <s v="Nana Cafe &amp; Restaurant (Cumhuriyet Mah.)"/>
        <s v="Nap Cafe Restaurant (Kemalpaşa Mah.)"/>
        <s v="Noodle Box (İstiklal Mah.)"/>
        <s v="Noodle Box (Köprübaşı Mah.)"/>
        <s v="Orhan Usta Kebap Diyarı, Adapazarı (Cumhuriyet Mah.)"/>
        <s v="Osman Usta Akçaabat Köfte, Karasu (Yalı Mah.)"/>
        <s v="Osman Usta'nın Yeri"/>
        <s v="Osmanlı Pide &amp; Lahmacun, Sapanca (Gazipaşa Mah.)"/>
        <s v="Öncü Döner, Adapazarı (Cumhuriyet Mah.)"/>
        <s v="Öncü Döner, Adapazarı (Semerciler Mah. - Çark Cad.)"/>
        <s v="Öncü Döner, Serdivan (İstiklal Mah.)"/>
        <s v="Öz Urfa Pide &amp; Lahmacun, Kırkpınar (Hasanpaşa Mah.)"/>
        <s v="Öz Urfa Sofrası (Hacıoğlu Mah.)"/>
        <s v="Öz Urfa Sofrası, Adapazarı (Yahyalar Mah.)"/>
        <s v="Özen Köfte, Arifiye (Hanlı Merkez)"/>
        <s v="Özen Köfte, Serdivan (İstiklal Mah.)"/>
        <s v="Packet Burger, Adapazarı (Cumhuriyet Mah.)"/>
        <s v="Packet Burger, Serdivan (Kemalpaşa Mah.)"/>
        <s v="Pala Kebap Sarayı, Adapazarı (Mithatpaşa Mah.)"/>
        <s v="Panino Pizza (Dilmen Mah.)"/>
        <s v="Patates Kafa (Arabacıalanı Mah.)"/>
        <s v="Patron Döner, Hendek (Başpınar Mah.)"/>
        <s v="Pera Cafe (Orta Mah.)"/>
        <s v="Picasso Garden Cafe &amp; Restaurant (İstiklal mah.)"/>
        <s v="Pide Evi, Serdivan (Köprübaşı Mah.)"/>
        <s v="Pideci Ayhan, Hendek (Başpınar Mah.)"/>
        <s v="Pideci Şaban Dede, Adapazarı (Semerciler Mah. - Çark Cad.)"/>
        <s v="Pidezade (Hızırtepe Mah.)"/>
        <s v="Pilavcı Çiko ( İstiklal Mah.)"/>
        <s v="Pilove House (Kemalpaşa Mah)"/>
        <s v="Pir Kebap Lahmacun &amp; Pide, Erenler (Hacıoğlu Mah.)"/>
        <s v="Pizza &amp; Kebap House (Bahçelievler Mah.)"/>
        <s v="Pizza Fantastico, Erenler (Yeşiltepe Mah.)"/>
        <s v="Pizza Piece (İstiklal Mh.)"/>
        <s v="Pizza Vegas, Serdivan (Kemalpaşa Mah.)"/>
        <s v="Polat Pide (Karaman Mah.)"/>
        <s v="Poyraz Burger, Karasu (İncilli Mah.)"/>
        <s v="Pruva Lounge (Yayla Mah.)"/>
        <s v="Quyiz Cafe ( Kemalpaşa Mah.)"/>
        <s v="Roll Döner (15 Temmuz Camili Mah.)"/>
        <s v="Rose Caffe &amp; Restaurant (Aziziye Mah.)"/>
        <s v="Rosso, Serdivan (Kemalpaşa Mah.)"/>
        <s v="Sadıbey Baklava ( İstiklal Mah.)"/>
        <s v="Safir Döner (Rüstempaşa Mah.)"/>
        <s v="Sahil Lahmacun &amp; Kebap, Karasu (Yalı Mah.)"/>
        <s v="Sakız Dondurma &amp; Waffle, Serdivan (Arabacı Alanı Mah.)"/>
        <s v="Saklı Köşk (Gazipaşa Mah.)"/>
        <s v="Saklı Köşk Balık (Gazipaşa Mah.)"/>
        <s v="Sapak Döner, Serdivan (Arabacı Alanı Mah.)"/>
        <s v="Sapanca Pastanesi"/>
        <s v="Sarıyer Börek (Papuççular Mah.)"/>
        <s v="Sarıyer Börekçisi ( Papuçcular Mah.)"/>
        <s v="SD Döner (Kemalpaşa Mah.)"/>
        <s v="Selim Usta, Adapazarı (Cumhuriyet Mah.)"/>
        <s v="Serdivan Kebap Evi, Serdivan (Arabacı Alanı Mah.)"/>
        <s v="Serdivan Osmanoğulları Pide ve Börek (Kemalpaşa Mah.)"/>
        <s v="Serdivan Serra Közde Izgara, Serdivan (Arabacı Alanı Mah.)"/>
        <s v="Sevgili İskender (Çark Caddesi)"/>
        <s v="Sinemoğulları Pasta ve Unlu Mamüller (Hacıoğlu Mah.)"/>
        <s v="Sokak Lezzetleri, Serdivan (İstiklal Mah.)"/>
        <s v="Sokak Tadı Tost Ve Menemen (İnönü Mah.)"/>
        <s v="Sport Food, Adapazarı (Semerciler Mah. - Çark Cad.)"/>
        <s v="Subway, Serdivan (İstiklal Mah.)"/>
        <s v="Sushikado, Sapanca (Kırkpınar Hasanpaşa Mah.)"/>
        <s v="Sushikado, Serdivan (Merkez)"/>
        <s v="Şah Döner, Karasu (Yalı Mah.)"/>
        <s v="Şah Kuzu Kokoreç"/>
        <s v="Şahin Kebap (İstiklal Mah.)"/>
        <s v="Şef'in Yeri, Erenler (Erenler Mah.)"/>
        <s v="Şehr-i Üstad"/>
        <s v="Şerefiye Kahvealtı &amp; Nohutlu Pilav (Cumhuriyet Mah.)"/>
        <s v="Şirinkonak Ev Yemekleri (Şirinevler Mh.)"/>
        <s v="Şulenin Mutfağı, Serdivan (Arabacı Alanı Mah.)"/>
        <s v="Tadı Başka Çiğ Köfte (Cumhuriyet Mah.)"/>
        <s v="Tarihi Çark Pilavcısı (Semerciler Mah.)"/>
        <s v="Tarihi Çift İkizler Pide &amp; Kebap, Erenler (Erenler Mah.)"/>
        <s v="Tarihi Ortaköy Kumpircisi (Arabacı Alanı Mah.)"/>
        <s v="Tarihi Ortaköy Kumpircisi (Rüstempaşa Mah.)"/>
        <s v="Tarihi Ortaköy Kumpircisi, Arifiye (Arif Bey Mah.)"/>
        <s v="Tarihi Roma Dondurması, Erenler (Hacıoğlu Mah.)"/>
        <s v="Taşfırın Lahmacun, Adapazarı (Cumhuriyet Mah.)"/>
        <s v="Taşfırın Pide Lahmacun (Çark Cad.)"/>
        <s v="Taşfırın Pizza &amp; Pide, Serdivan (İstiklal Mah.)"/>
        <s v="Tatlıses Çiğ Köfte (15 Temmuz Camili Mah.)"/>
        <s v="Tavada Tavuk (Arabacıalanı Mah.)"/>
        <s v="Tek Izgara Aperatif, Adapazarı (Hızırtepe Mah.)"/>
        <s v="Tel Dolap Pasta &amp; Cafe, Sapanca (Merkez)"/>
        <s v="Tet-To Burger Pizza (Kemalpaşa Mah.)"/>
        <s v="Texcoco Chocolate &amp; Coffee, Serdivan (Bahçelievler Mah.)"/>
        <s v="Tezgeller Kebap &amp; Pide, Erenler (Hacıoğlu Mah.)"/>
        <s v="The Plav (Arabacıalanı Mah.)"/>
        <s v="Tıkın Doy Büfe, Adapazarı (Semerciler Mah. - Çark Cad.)"/>
        <s v="Tıkınak, Hendek (Kemaliye Mah.)"/>
        <s v="Tiesto, Adapazarı(Cumhuriyet Mah.)"/>
        <s v="Tiki Taka Cafe (Kemalpaşa Mah.)"/>
        <s v="Tostland, Hendek (Kemaliye Mah.)"/>
        <s v="Tostos Büfe (Kırkpınar Hasanpaşa Mah.)"/>
        <s v="Turkuaz Kafe Aperatif (İstiklal Mah.)"/>
        <s v="Uğurlu Dükkan, Sapanca (Kırkpınar Hasanpaşa Mah.)"/>
        <s v="Urfa Bey Konağı Ocakbaşı,(İstiklal Mah.)"/>
        <s v="Urfa Divan Sofrası (Yenigün Mah.)"/>
        <s v="Urfa Elit"/>
        <s v="Urfaca Kebap, Serdivan (Arabacı Alanı Mah.)"/>
        <s v="Urfalıyam Ocakbaşı &amp; Soslu Döner, Serdivan (Kemalpaşa Mah.)"/>
        <s v="Usta Kebapçı (Güneşler Merkez Mah.)"/>
        <s v="Uzun Çarşı Pilavcısı (Kemalpaşa Mah.)"/>
        <s v="Uzunçarşı Pilavcısı (Cumhuriyet Mah.)"/>
        <s v="Üstad Döner, Serdivan (Köprübaşı Mah.)"/>
        <s v="Üstad Express (İstiklal Mah.)"/>
        <s v="Varil Izgara, Erenler (Hacıoğlu Mah.)"/>
        <s v="Vitabirevis Cafe ( Kemalpaşa Mah.)"/>
        <s v="Vosvos Vitamin Bar, Serdivan (Arabacı Alanı Mah. - Çark Cad.)"/>
        <s v="Waffle &amp; Kumpir Saraybossna Börekçisi (Köprübaşı Mah.)"/>
        <s v="Waffle Time, Serdivan (Kemalpaşa Mah.)"/>
        <s v="World of Bakery"/>
        <s v="World Of Burger"/>
        <s v="Yagoda, Serdivan (Kemalpaşa Mah.)"/>
        <s v="Yeni Cami Lokantası, Sapanca (Çayiçi Mah.)"/>
        <s v="Yiğit Köşem Pide Lahmacun (Yağcılar Mah.)"/>
      </sharedItems>
    </cacheField>
    <cacheField name="Satışa&#10;Açık Mı?" numFmtId="0">
      <sharedItems>
        <s v="YANLIŞ"/>
        <s v="DOĞRU"/>
      </sharedItems>
    </cacheField>
    <cacheField name="Mutfak" numFmtId="0">
      <sharedItems>
        <s v="Burger"/>
        <s v="Kebap"/>
        <s v="Tost &amp; Sandviç"/>
        <s v="Sokak Lezzetleri"/>
        <s v="Börek"/>
        <s v="Çiğ Köfte"/>
        <s v="Döner"/>
        <s v="Pizza"/>
        <s v="Dondurma"/>
        <s v="Pide"/>
        <s v="Tavuk"/>
        <s v="Kahvaltı"/>
        <s v="Lahmacun"/>
        <s v="Pasta &amp; Tatlı"/>
        <s v="Kahve"/>
        <s v="Deniz Ürünleri"/>
        <s v="Balık &amp; Deniz Ürünleri"/>
        <s v="Ev Yemekleri"/>
        <s v="Köfte"/>
        <s v="Seçkin Lezzetler"/>
        <s v="Dünya Mutfağı"/>
        <s v="Uzak Doğu Mutfağı"/>
        <s v="Uzakdoğu Mutfağı"/>
        <s v="İçecek"/>
        <s v="Fit"/>
      </sharedItems>
    </cacheField>
    <cacheField name="TOPLAM&#10;SİPARİŞ" numFmtId="0">
      <sharedItems containsString="0" containsBlank="1" containsNumber="1" containsInteger="1">
        <m/>
        <n v="120.0"/>
        <n v="563.0"/>
        <n v="46.0"/>
        <n v="44.0"/>
        <n v="3106.0"/>
        <n v="30.0"/>
        <n v="366.0"/>
        <n v="21.0"/>
        <n v="14.0"/>
        <n v="1.0"/>
        <n v="6.0"/>
        <n v="10650.0"/>
        <n v="565.0"/>
        <n v="2916.0"/>
        <n v="637.0"/>
        <n v="383.0"/>
        <n v="2504.0"/>
        <n v="799.0"/>
        <n v="2182.0"/>
        <n v="308.0"/>
        <n v="577.0"/>
        <n v="168.0"/>
        <n v="49.0"/>
        <n v="8.0"/>
        <n v="7.0"/>
        <n v="201.0"/>
        <n v="34.0"/>
        <n v="121.0"/>
        <n v="932.0"/>
        <n v="12.0"/>
        <n v="4.0"/>
        <n v="621.0"/>
        <n v="249.0"/>
        <n v="260.0"/>
        <n v="258.0"/>
        <n v="906.0"/>
        <n v="999.0"/>
        <n v="42.0"/>
        <n v="141.0"/>
        <n v="217.0"/>
        <n v="1084.0"/>
        <n v="133.0"/>
        <n v="1324.0"/>
        <n v="128.0"/>
        <n v="2.0"/>
        <n v="32.0"/>
        <n v="72.0"/>
        <n v="151.0"/>
        <n v="164.0"/>
        <n v="531.0"/>
        <n v="135.0"/>
        <n v="25.0"/>
        <n v="525.0"/>
        <n v="367.0"/>
        <n v="15.0"/>
        <n v="145.0"/>
        <n v="337.0"/>
        <n v="69.0"/>
        <n v="3785.0"/>
        <n v="707.0"/>
        <n v="16.0"/>
        <n v="623.0"/>
        <n v="213.0"/>
        <n v="58.0"/>
        <n v="1539.0"/>
        <n v="540.0"/>
        <n v="9.0"/>
        <n v="223.0"/>
        <n v="698.0"/>
        <n v="179.0"/>
        <n v="5251.0"/>
        <n v="970.0"/>
        <n v="469.0"/>
        <n v="784.0"/>
        <n v="2419.0"/>
        <n v="2618.0"/>
        <n v="253.0"/>
        <n v="1600.0"/>
        <n v="736.0"/>
        <n v="1169.0"/>
        <n v="95.0"/>
        <n v="5.0"/>
        <n v="1290.0"/>
        <n v="797.0"/>
        <n v="147.0"/>
        <n v="204.0"/>
        <n v="1211.0"/>
        <n v="20.0"/>
        <n v="277.0"/>
        <n v="232.0"/>
        <n v="18.0"/>
        <n v="413.0"/>
        <n v="3.0"/>
        <n v="795.0"/>
        <n v="8222.0"/>
        <n v="159.0"/>
        <n v="567.0"/>
        <n v="41.0"/>
        <n v="610.0"/>
        <n v="5640.0"/>
        <n v="115.0"/>
        <n v="1024.0"/>
        <n v="266.0"/>
        <n v="1950.0"/>
        <n v="349.0"/>
        <n v="31.0"/>
        <n v="478.0"/>
        <n v="1256.0"/>
        <n v="1588.0"/>
        <n v="73.0"/>
        <n v="422.0"/>
        <n v="532.0"/>
        <n v="414.0"/>
        <n v="4509.0"/>
        <n v="93.0"/>
        <n v="239.0"/>
        <n v="24.0"/>
        <n v="150.0"/>
        <n v="597.0"/>
        <n v="473.0"/>
        <n v="111.0"/>
        <n v="10.0"/>
        <n v="156.0"/>
        <n v="262.0"/>
        <n v="2557.0"/>
        <n v="35.0"/>
        <n v="83.0"/>
        <n v="2580.0"/>
        <n v="245.0"/>
        <n v="265.0"/>
        <n v="205.0"/>
        <n v="1793.0"/>
        <n v="3135.0"/>
        <n v="247.0"/>
        <n v="55.0"/>
        <n v="2123.0"/>
        <n v="2634.0"/>
        <n v="22.0"/>
        <n v="1645.0"/>
        <n v="246.0"/>
        <n v="372.0"/>
        <n v="127.0"/>
        <n v="4328.0"/>
        <n v="203.0"/>
        <n v="143.0"/>
        <n v="59.0"/>
        <n v="1438.0"/>
        <n v="3417.0"/>
        <n v="651.0"/>
        <n v="82.0"/>
        <n v="2627.0"/>
        <n v="9691.0"/>
        <n v="1955.0"/>
        <n v="284.0"/>
        <n v="324.0"/>
        <n v="54.0"/>
        <n v="1361.0"/>
        <n v="595.0"/>
        <n v="1112.0"/>
        <n v="259.0"/>
        <n v="153.0"/>
        <n v="3047.0"/>
        <n v="758.0"/>
        <n v="119.0"/>
        <n v="99.0"/>
        <n v="50.0"/>
        <n v="216.0"/>
        <n v="52.0"/>
        <n v="1775.0"/>
        <n v="114.0"/>
        <n v="2585.0"/>
        <n v="4908.0"/>
        <n v="110.0"/>
        <n v="131.0"/>
        <n v="482.0"/>
        <n v="233.0"/>
        <n v="5724.0"/>
        <n v="1053.0"/>
        <n v="2968.0"/>
        <n v="80.0"/>
        <n v="1668.0"/>
        <n v="1366.0"/>
        <n v="402.0"/>
        <n v="27.0"/>
        <n v="2582.0"/>
        <n v="144.0"/>
        <n v="364.0"/>
        <n v="4928.0"/>
        <n v="660.0"/>
        <n v="129.0"/>
        <n v="98.0"/>
        <n v="5615.0"/>
        <n v="5516.0"/>
        <n v="434.0"/>
        <n v="36.0"/>
        <n v="1649.0"/>
        <n v="4214.0"/>
        <n v="11201.0"/>
        <n v="395.0"/>
        <n v="875.0"/>
        <n v="1136.0"/>
        <n v="549.0"/>
        <n v="4667.0"/>
        <n v="8348.0"/>
        <n v="2960.0"/>
        <n v="1653.0"/>
        <n v="45.0"/>
        <n v="4371.0"/>
        <n v="561.0"/>
        <n v="1400.0"/>
        <n v="823.0"/>
        <n v="2025.0"/>
        <n v="4294.0"/>
        <n v="624.0"/>
        <n v="1396.0"/>
        <n v="930.0"/>
        <n v="92.0"/>
        <n v="102.0"/>
        <n v="869.0"/>
        <n v="251.0"/>
        <n v="974.0"/>
        <n v="1580.0"/>
        <n v="1025.0"/>
        <n v="79.0"/>
        <n v="226.0"/>
        <n v="7481.0"/>
        <n v="6215.0"/>
        <n v="100.0"/>
        <n v="4442.0"/>
        <n v="1285.0"/>
        <n v="388.0"/>
        <n v="299.0"/>
        <n v="1206.0"/>
        <n v="96.0"/>
        <n v="109.0"/>
        <n v="562.0"/>
        <n v="2109.0"/>
        <n v="471.0"/>
        <n v="439.0"/>
        <n v="815.0"/>
        <n v="2963.0"/>
        <n v="1096.0"/>
        <n v="339.0"/>
        <n v="210.0"/>
        <n v="3579.0"/>
        <n v="2818.0"/>
        <n v="267.0"/>
        <n v="208.0"/>
        <n v="56.0"/>
        <n v="1782.0"/>
        <n v="2713.0"/>
        <n v="2888.0"/>
        <n v="916.0"/>
        <n v="1455.0"/>
        <n v="410.0"/>
        <n v="66.0"/>
        <n v="616.0"/>
        <n v="207.0"/>
        <n v="1454.0"/>
        <n v="1740.0"/>
        <n v="1983.0"/>
        <n v="449.0"/>
        <n v="39.0"/>
        <n v="6929.0"/>
        <n v="993.0"/>
        <n v="309.0"/>
        <n v="1181.0"/>
        <n v="672.0"/>
        <n v="400.0"/>
        <n v="116.0"/>
      </sharedItems>
    </cacheField>
    <cacheField name="SON 2 &#10;HAFTA" numFmtId="0">
      <sharedItems containsString="0" containsBlank="1" containsNumber="1" containsInteger="1">
        <m/>
        <n v="20.0"/>
        <n v="104.0"/>
        <n v="419.0"/>
        <n v="315.0"/>
        <n v="237.0"/>
        <n v="132.0"/>
        <n v="29.0"/>
        <n v="47.0"/>
        <n v="44.0"/>
        <n v="10.0"/>
        <n v="12.0"/>
        <n v="32.0"/>
        <n v="68.0"/>
        <n v="5.0"/>
        <n v="7.0"/>
        <n v="4.0"/>
        <n v="2.0"/>
        <n v="22.0"/>
        <n v="56.0"/>
        <n v="39.0"/>
        <n v="9.0"/>
        <n v="13.0"/>
        <n v="74.0"/>
        <n v="42.0"/>
        <n v="81.0"/>
        <n v="15.0"/>
        <n v="1.0"/>
        <n v="160.0"/>
        <n v="6.0"/>
        <n v="23.0"/>
        <n v="135.0"/>
        <n v="16.0"/>
        <n v="55.0"/>
        <n v="26.0"/>
        <n v="19.0"/>
        <n v="41.0"/>
        <n v="69.0"/>
        <n v="272.0"/>
        <n v="116.0"/>
        <n v="3.0"/>
        <n v="317.0"/>
        <n v="21.0"/>
        <n v="60.0"/>
        <n v="18.0"/>
        <n v="11.0"/>
        <n v="25.0"/>
        <n v="77.0"/>
        <n v="201.0"/>
        <n v="43.0"/>
        <n v="31.0"/>
        <n v="8.0"/>
        <n v="124.0"/>
        <n v="54.0"/>
        <n v="162.0"/>
        <n v="84.0"/>
        <n v="151.0"/>
        <n v="470.0"/>
        <n v="475.0"/>
        <n v="102.0"/>
        <n v="97.0"/>
        <n v="57.0"/>
        <n v="75.0"/>
        <n v="28.0"/>
        <n v="126.0"/>
        <n v="111.0"/>
        <n v="199.0"/>
        <n v="143.0"/>
        <n v="184.0"/>
        <n v="194.0"/>
        <n v="125.0"/>
        <n v="83.0"/>
        <n v="66.0"/>
        <n v="40.0"/>
        <n v="244.0"/>
        <n v="27.0"/>
        <n v="163.0"/>
        <n v="461.0"/>
        <n v="33.0"/>
        <n v="34.0"/>
        <n v="71.0"/>
        <n v="35.0"/>
        <n v="79.0"/>
        <n v="82.0"/>
        <n v="1054.0"/>
        <n v="76.0"/>
        <n v="153.0"/>
        <n v="149.0"/>
        <n v="58.0"/>
        <n v="203.0"/>
        <n v="223.0"/>
        <n v="52.0"/>
        <n v="158.0"/>
        <n v="90.0"/>
        <n v="156.0"/>
        <n v="113.0"/>
        <n v="67.0"/>
      </sharedItems>
    </cacheField>
    <cacheField name="RESİMLİ&#10;ÜRÜN" numFmtId="0">
      <sharedItems containsSemiMixedTypes="0" containsString="0" containsNumber="1" containsInteger="1">
        <n v="15.0"/>
        <n v="0.0"/>
        <n v="12.0"/>
        <n v="7.0"/>
        <n v="10.0"/>
        <n v="8.0"/>
        <n v="3.0"/>
        <n v="1.0"/>
        <n v="14.0"/>
        <n v="52.0"/>
        <n v="4.0"/>
        <n v="18.0"/>
        <n v="27.0"/>
        <n v="5.0"/>
        <n v="6.0"/>
        <n v="16.0"/>
        <n v="32.0"/>
        <n v="33.0"/>
        <n v="19.0"/>
        <n v="17.0"/>
        <n v="13.0"/>
        <n v="11.0"/>
        <n v="2.0"/>
        <n v="24.0"/>
        <n v="9.0"/>
        <n v="48.0"/>
        <n v="22.0"/>
        <n v="40.0"/>
        <n v="21.0"/>
        <n v="25.0"/>
        <n v="31.0"/>
        <n v="26.0"/>
        <n v="29.0"/>
        <n v="34.0"/>
        <n v="124.0"/>
        <n v="63.0"/>
        <n v="42.0"/>
        <n v="35.0"/>
        <n v="37.0"/>
      </sharedItems>
    </cacheField>
    <cacheField name="RESİMSİZ&#10;ÜRÜN" numFmtId="0">
      <sharedItems containsSemiMixedTypes="0" containsString="0" containsNumber="1" containsInteger="1">
        <n v="4.0"/>
        <n v="41.0"/>
        <n v="15.0"/>
        <n v="20.0"/>
        <n v="11.0"/>
        <n v="9.0"/>
        <n v="10.0"/>
        <n v="24.0"/>
        <n v="6.0"/>
        <n v="5.0"/>
        <n v="14.0"/>
        <n v="8.0"/>
        <n v="22.0"/>
        <n v="18.0"/>
        <n v="25.0"/>
        <n v="40.0"/>
        <n v="35.0"/>
        <n v="31.0"/>
        <n v="45.0"/>
        <n v="61.0"/>
        <n v="44.0"/>
        <n v="13.0"/>
        <n v="27.0"/>
        <n v="62.0"/>
        <n v="23.0"/>
        <n v="2.0"/>
        <n v="39.0"/>
        <n v="43.0"/>
        <n v="55.0"/>
        <n v="7.0"/>
        <n v="12.0"/>
        <n v="16.0"/>
        <n v="97.0"/>
        <n v="34.0"/>
        <n v="54.0"/>
        <n v="29.0"/>
        <n v="50.0"/>
        <n v="17.0"/>
        <n v="67.0"/>
        <n v="3.0"/>
        <n v="53.0"/>
        <n v="48.0"/>
        <n v="30.0"/>
        <n v="187.0"/>
        <n v="63.0"/>
        <n v="32.0"/>
        <n v="21.0"/>
        <n v="143.0"/>
        <n v="33.0"/>
        <n v="26.0"/>
        <n v="72.0"/>
        <n v="37.0"/>
        <n v="28.0"/>
        <n v="1.0"/>
        <n v="71.0"/>
        <n v="38.0"/>
        <n v="19.0"/>
        <n v="57.0"/>
        <n v="47.0"/>
        <n v="56.0"/>
        <n v="104.0"/>
        <n v="46.0"/>
        <n v="42.0"/>
        <n v="36.0"/>
        <n v="0.0"/>
        <n v="135.0"/>
        <n v="52.0"/>
        <n v="89.0"/>
        <n v="49.0"/>
        <n v="82.0"/>
      </sharedItems>
    </cacheField>
    <cacheField name="TOPLAM&#10;ÜRÜN" numFmtId="0">
      <sharedItems containsSemiMixedTypes="0" containsString="0" containsNumber="1" containsInteger="1">
        <n v="19.0"/>
        <n v="41.0"/>
        <n v="27.0"/>
        <n v="20.0"/>
        <n v="18.0"/>
        <n v="4.0"/>
        <n v="21.0"/>
        <n v="24.0"/>
        <n v="6.0"/>
        <n v="5.0"/>
        <n v="14.0"/>
        <n v="8.0"/>
        <n v="25.0"/>
        <n v="39.0"/>
        <n v="40.0"/>
        <n v="70.0"/>
        <n v="29.0"/>
        <n v="35.0"/>
        <n v="31.0"/>
        <n v="45.0"/>
        <n v="61.0"/>
        <n v="62.0"/>
        <n v="13.0"/>
        <n v="38.0"/>
        <n v="11.0"/>
        <n v="23.0"/>
        <n v="7.0"/>
        <n v="10.0"/>
        <n v="43.0"/>
        <n v="55.0"/>
        <n v="12.0"/>
        <n v="15.0"/>
        <n v="97.0"/>
        <n v="28.0"/>
        <n v="34.0"/>
        <n v="58.0"/>
        <n v="50.0"/>
        <n v="73.0"/>
        <n v="17.0"/>
        <n v="67.0"/>
        <n v="54.0"/>
        <n v="53.0"/>
        <n v="48.0"/>
        <n v="30.0"/>
        <n v="9.0"/>
        <n v="187.0"/>
        <n v="33.0"/>
        <n v="63.0"/>
        <n v="16.0"/>
        <n v="32.0"/>
        <n v="143.0"/>
        <n v="26.0"/>
        <n v="46.0"/>
        <n v="37.0"/>
        <n v="76.0"/>
        <n v="22.0"/>
        <n v="57.0"/>
        <n v="44.0"/>
        <n v="47.0"/>
        <n v="65.0"/>
        <n v="36.0"/>
        <n v="60.0"/>
        <n v="3.0"/>
        <n v="42.0"/>
        <n v="104.0"/>
        <n v="56.0"/>
        <n v="51.0"/>
        <n v="127.0"/>
        <n v="167.0"/>
        <n v="52.0"/>
        <n v="49.0"/>
        <n v="82.0"/>
        <n v="89.0"/>
        <n v="91.0"/>
        <n v="71.0"/>
        <n v="79.0"/>
      </sharedItems>
    </cacheField>
    <cacheField name="Ratio" numFmtId="9">
      <sharedItems containsSemiMixedTypes="0" containsString="0" containsNumber="1">
        <n v="0.79"/>
        <n v="0.0"/>
        <n v="0.44"/>
        <n v="0.39"/>
        <n v="0.57"/>
        <n v="0.5"/>
        <n v="0.12"/>
        <n v="0.05"/>
        <n v="0.36"/>
        <n v="0.74"/>
        <n v="0.14"/>
        <n v="0.29"/>
        <n v="0.71"/>
        <n v="0.4"/>
        <n v="0.58"/>
        <n v="0.46"/>
        <n v="0.41"/>
        <n v="0.33"/>
        <n v="0.62"/>
        <n v="0.16"/>
        <n v="0.43"/>
        <n v="0.07"/>
        <n v="0.67"/>
        <n v="0.53"/>
        <n v="0.64"/>
        <n v="0.21"/>
        <n v="0.45"/>
        <n v="0.77"/>
        <n v="0.22"/>
        <n v="0.17"/>
        <n v="0.01"/>
        <n v="0.28"/>
        <n v="0.18"/>
        <n v="0.42"/>
        <n v="0.31"/>
        <n v="0.83"/>
        <n v="0.86"/>
        <n v="0.13"/>
        <n v="0.75"/>
        <n v="0.89"/>
        <n v="0.47"/>
        <n v="0.08"/>
        <n v="0.68"/>
        <n v="0.2"/>
        <n v="0.27"/>
        <n v="0.59"/>
        <n v="0.25"/>
        <n v="0.94"/>
        <n v="0.95"/>
        <n v="0.38"/>
        <n v="0.3"/>
        <n v="0.91"/>
        <n v="0.84"/>
        <n v="0.15"/>
        <n v="0.8"/>
        <n v="0.56"/>
        <n v="0.26"/>
        <n v="0.37"/>
        <n v="0.52"/>
        <n v="0.23"/>
        <n v="0.6"/>
        <n v="0.55"/>
        <n v="0.03"/>
        <n v="0.48"/>
        <n v="0.61"/>
        <n v="1.0"/>
        <n v="0.24"/>
        <n v="0.19"/>
        <n v="0.82"/>
        <n v="0.98"/>
        <n v="0.73"/>
        <n v="0.04"/>
        <n v="0.88"/>
      </sharedItems>
    </cacheField>
    <cacheField name="Yetkili" numFmtId="0">
      <sharedItems>
        <s v="Tolga İkiz"/>
        <s v="MEHMET EMİN KARAGÖZ"/>
        <s v="SERAP AKAGÜNDÜZ"/>
        <s v="REŞAT ULUSİNAN"/>
        <s v="Recep Rençber"/>
        <s v="SEMA KAHRAMAN"/>
        <s v="BAHADDİN YILDIZ"/>
        <s v="Çetin Ayaz"/>
        <s v="Süleyman Çubukçuoğlu"/>
        <s v="Samir Allahverdiyev"/>
        <s v="Emir Ali Çakıcı"/>
        <s v="CELAL UÇAR"/>
        <s v="Eşref YÜZKOLLAR"/>
        <s v="Abdurrahman Alptekin"/>
        <s v="Adaer Ticaret Nakl. İnş. Hayv. Ltd. Şti"/>
        <s v="Fatih Recep Parmaksız"/>
        <s v="Ömer Faruk Tağma"/>
        <s v="Behice DEMİRKOL"/>
        <s v="FAHRİYE DURĞAN"/>
        <s v="Mesut Timar"/>
        <s v="Suphi Şahin"/>
        <s v="Ayten Kalay"/>
        <s v="MUSTAFA KUYBULU"/>
        <s v="ÖZERLER SÜT ÜRÜNLERİVE MARKETÇİLİK A.Ş."/>
        <s v="ÇAĞLA KISA"/>
        <s v="MEHMET DEMİREL"/>
        <s v="Huriye Çakır"/>
        <s v="ELİF OKAY"/>
        <s v="OĞUZHAN KARAHAN"/>
        <s v="ADNAN ALEM"/>
        <s v="ZERRİN KIZILDEMİR"/>
        <s v="Yakup Kırca"/>
        <s v="Erdinç Tekinoğlu"/>
        <s v="Havva KOTAN"/>
        <s v="Hasan BağcıatalHasan Bağcıatal"/>
        <s v="GÜLPERİ DEMİR"/>
        <s v="ŞABAN ALIÇ"/>
        <s v="İBRAHİM HALİL SEVİLMİŞ"/>
        <s v="ESRA YETİM"/>
        <s v="Eda Kavala"/>
        <s v="YASEMİN ERSOY"/>
        <s v="İBRAHİM KARADİRİM"/>
        <s v="Özkul Kutluata"/>
        <s v="KEREM YÜKSEL"/>
        <s v="Muhammet Tayyip Atmaca"/>
        <s v="SAMET ŞENLEN"/>
        <s v="Yunus Kara"/>
        <s v="SÜLEYMAN FIRAT"/>
        <s v="Mehmet Aydın"/>
        <s v="SERDAR AYDOĞDUOĞLU"/>
        <s v="SEZAİ YILDIZ"/>
        <s v="SEDA CAN"/>
        <s v="İrfan Güler"/>
        <s v="Meryem Kocaman"/>
        <s v="Cüneyt Çalışkan"/>
        <s v="VATAN ERMAN"/>
        <s v="Enver Bayındır"/>
        <s v="Osman mermer"/>
        <s v="BEYAZ IŞIK ÇAKIRLAR GIDA VE UNLU MAMULLER SAN VE TİC. LTD. ŞTİ"/>
        <s v="BURHAN TOKAT"/>
        <s v="Orçun İbrişim"/>
        <s v="Kadir Adıyaman"/>
        <s v="Nagihan Karagüzel"/>
        <s v="Aysun Taşkıngül"/>
        <s v="Ömer Faruk VURAL"/>
        <s v="HACI KUTU"/>
        <s v="Fatih Ertuğrul Çolak"/>
        <s v="NEDİM SEVİM"/>
        <s v="Yavuz Coşkun"/>
        <s v="Zikri Bülbül"/>
        <s v="Burak can Çakıroğlu"/>
        <s v="SELDA AY"/>
        <s v="Recep Has"/>
        <s v="FAHRİYE TANIŞ"/>
        <s v="Recep Özbek"/>
        <s v="DERVİŞ YASİN İPŞİROĞLU"/>
        <s v="Hasan Aydınlı"/>
        <s v="Osman Kadı"/>
        <s v="Gülseren Tokat"/>
        <s v="Samet Yıldırım"/>
        <s v="Enes Erçeltik"/>
        <s v="FİLİZ KOZAK"/>
        <s v="İbrahim Üstünel"/>
        <s v="CANER GÖKER"/>
        <s v="Zafer Kınalı"/>
        <s v="Erhan Çalışkan"/>
        <s v="BATUHAN ALİBAŞİÇ"/>
        <s v="Uğur Demir"/>
        <s v="SEVCAN KADİROĞLU"/>
        <s v="Bülent Gezici"/>
        <s v="Emrullah Sakin"/>
        <s v="Emirhan Oral"/>
        <s v="BERK VUSLAT BOSTANCI"/>
        <s v="Elif Öz"/>
        <s v="Emre Akbaba"/>
        <s v="GÜVEN BERTAN"/>
        <s v="Sevgi Ceylan"/>
        <s v="Nurettin Çeken"/>
        <s v="Mihtat Altın"/>
        <s v="Tayfun Bilgili"/>
        <s v="Ömer Faruk Mert"/>
        <s v="ŞERİF SANCAKLI"/>
        <s v="VEYSEL SEVGİLİ"/>
        <s v="KEREM MARAL"/>
        <s v="HİDAYET ÖZDEMİR"/>
        <s v="Çiğdem Erbay"/>
        <s v="Halilcan Aygın"/>
        <s v="Oktay Arslan"/>
        <s v="Sümeyye Ay"/>
        <s v="GÜLCAN KAYMAZ"/>
        <s v="Ali Erdemir"/>
        <s v="Abdulsamet Kaya"/>
        <s v="Kazım şirin"/>
        <s v="MERİH CANBAZ"/>
        <s v="MUSTAFA IŞIK"/>
        <s v="Umut Güven"/>
        <s v="Veysel Kenan Araz"/>
        <s v="MEHMET KARTAL"/>
        <s v="İBRAHİM DUMAN"/>
        <s v="ÖMER ÖZCAN TAŞÖZ"/>
        <s v="ÇETİN KUZU"/>
        <s v="UĞUR ÖZEL"/>
        <s v="Lokman Saykal"/>
        <s v="Harun Duran"/>
        <s v="Murat Düner"/>
        <s v="BATUHAN ÇOŞKUN ALPA"/>
        <s v="Emel Tarancı"/>
        <s v="Yunus Pala"/>
        <s v="Akif Akyıldız"/>
        <s v="Vedat Furkan Edman"/>
        <s v="Özal Kalkan"/>
        <s v="Sami Gökalp"/>
        <s v="MEMDUH FAHRİ GÜZEL"/>
        <s v="NUR KURTEŞ SAĞLAM"/>
        <s v="KÜBRA NUR DEMİRCİ"/>
        <s v="FATMA YILMAZ"/>
        <s v="Aykut Aşan"/>
        <s v="Tufan Bahar"/>
        <s v="Erkan Şahin"/>
        <s v="Eray Aktaş"/>
        <s v="Aleyna Altuntaş"/>
        <s v="Melahat Demirel"/>
        <s v="Ayşe Kılıç"/>
        <s v="Muhammed Bor"/>
        <s v="Fatih Dereli"/>
        <s v="FATİH CANTİMUR"/>
        <s v="Oğuzhan Dereli"/>
        <s v="Rüstem Baş"/>
        <s v="Selehe Yasuntimuur"/>
        <s v="Nagihan Yıldırım"/>
        <s v="TOLGAY"/>
        <s v="Osman Ertan Baylan"/>
        <s v="MUSTAFA GENÇ"/>
        <s v="IMEX İÇ VE DIŞ TİCARET LİMİTED ŞİRKETİ"/>
        <s v="ADEM YALÇIN"/>
        <s v="Erdinç Öksüzali"/>
        <s v="Tahsin Mahmutoğlu"/>
        <s v="Ömer Hakan Demir"/>
        <s v="Yaren Merve Pomak"/>
        <s v="NUMAN ERDEM"/>
        <s v="İsmail Göktepe"/>
        <s v="Mehmet Emin Turan"/>
        <s v="Ömer Dertli"/>
        <s v="Nazime Arslan"/>
        <s v="Mehmet Hakkı Uçar"/>
        <s v="Suat Sayacı"/>
        <s v="Oğuzhan"/>
        <s v="GÖKHAN AYGIN"/>
        <s v="Rezzan Aydın"/>
        <s v="Yusuf Tosbatlıoğlu"/>
        <s v="Osman Halıcı"/>
        <s v="EMRULLAH DEMİR"/>
        <s v="MAİDE BAKCAN"/>
        <s v="ZEKİ ABA"/>
        <s v="İbrahim Sancar"/>
        <s v="KEREM ACAR"/>
        <s v="EMRE POMAK"/>
        <s v="Erdem Varlı"/>
        <s v="HİLAL KÜÇÜKKAYA"/>
        <s v="EMRAH CELAL AYDIN"/>
        <s v="AYNUR BABACAN"/>
        <s v="ÖMER KAYA"/>
        <s v="KASIM KURT"/>
        <s v="SERKAN KURT"/>
        <s v="Enes Çolakoğlu"/>
        <s v="Rıdvan Başbenzer"/>
        <s v="Hasan Kurutçu"/>
        <s v="İSMET UÇAR"/>
        <s v="Kerim Ali Doğru"/>
        <s v="Meryem Yar"/>
        <s v="HAMİT SEDAT AYDINLI"/>
        <s v="MERVE İPÇİOĞLU"/>
        <s v="Yusuf Canayakın"/>
        <s v="Kaan Kabataş"/>
        <s v="Zübeyde Kaya"/>
        <s v="ALİ ÖZKARAN"/>
        <s v="Hüsna Öksüz"/>
        <s v="Sezai Yılmaz"/>
        <s v="Nurdan Çalışkan"/>
        <s v="Nurhan Başaran"/>
        <s v="Serkan Baydar"/>
        <s v="Derya Özkan"/>
        <s v="Akif Doğu"/>
        <s v="Hasan Öztürk"/>
        <s v="Ali Vahit Zengin"/>
        <s v="Ramazan Ataç"/>
        <s v="CELAL SİYER"/>
        <s v="HASAN KULDAN"/>
        <s v="GAMZE KARA"/>
        <s v="ÖZAY KORKMAZ"/>
        <s v="ÖNDER ÇETİN"/>
        <s v="Berkay Kaner"/>
        <s v="İBRAHİM TEMEL"/>
        <s v="İNAN İŞLER"/>
        <s v="Ali Deribaş"/>
        <s v="DOĞAN TOPUZ"/>
        <s v="Emre Hakan Ahıskalı"/>
        <s v="FAHREDDİN KERİM KARACADAĞ"/>
        <s v="ALPER İNAN"/>
        <s v="Fatma ONGUN"/>
        <s v="İlker Işık"/>
        <s v="Müyesser Kabadayı"/>
        <s v="Onur Alp Yetginer"/>
        <s v="Eyüp Duran"/>
        <s v="Sara Shakwer"/>
        <s v="ZEYNEL TÜRKYILMAZ"/>
        <s v="Veysi Erol"/>
        <s v="Saime tekin"/>
        <s v="MASTERKÖFTE GLOBAL LOKANTA GIDA SANAYİ VE TİCARET ANONİM ŞİRKETİ"/>
        <s v="Mine Matraç"/>
        <s v="Vedat Korkmaz"/>
        <s v="Erhan mercan"/>
        <s v="İsa Ekrem"/>
        <s v="HASAN HÜSEYİN TURGUT"/>
        <s v="RAMAZAN SAKİN"/>
        <s v="ERCAN YILGIN"/>
        <s v="Nagihan Hazır"/>
        <s v="Selim Aktaş"/>
        <s v="KADİR SINIRCI"/>
        <s v="Onur Demir"/>
        <s v="Derya Türker"/>
        <s v="Meryem Gürbüz"/>
        <s v="Nuri Çakır"/>
        <s v="ANIL ÇAĞATAY İLERİ"/>
        <s v="Muammer Akbulut"/>
        <s v="Rahman Tokmak"/>
        <s v="Birol Arıcı"/>
        <s v="Arzu Borlak"/>
        <s v="Taner Demirel"/>
        <s v="Ali Gülle"/>
        <s v="DERYA AZAKLI"/>
        <s v="Orhan Demir"/>
        <s v="Seçkin şahin"/>
        <s v="OSMAN KAPLAN"/>
        <s v="Ayşe Piştofoğlu"/>
        <s v="İBRAHİM ŞENGÜL"/>
        <s v="Yunus Zümre"/>
        <s v="Berat Akyol"/>
        <s v="Bülent yıldız"/>
        <s v="Mehmet Keskinkılıç"/>
        <s v="Mustafa Keskinkılıç"/>
        <s v="Emre Özen"/>
        <s v="BAKT GIDA SAN VE TİC LTD ŞTİ"/>
        <s v="Osey Cafe Gıda Tic. Ltd. Şti."/>
        <s v="Ramazan Pala"/>
        <s v="Yunus Atay"/>
        <s v="TUĞÇE ÇORUHLU"/>
        <s v="Eren Çalışkan"/>
        <s v="Emine YAMAN"/>
        <s v="Hüseyin Arıcı"/>
        <s v="Selami Aba"/>
        <s v="Ayhan Çakar"/>
        <s v="Şaban Demir"/>
        <s v="Bayram Doğan"/>
        <s v="BENAN YILDIZ"/>
        <s v="Birtekin Omurca"/>
        <s v="Ali PİR"/>
        <s v="Ömer Naroğlu"/>
        <s v="Evren Kahraman"/>
        <s v="Hediye Apaydın"/>
        <s v="Fatih özer"/>
        <s v="Neşe Şahin"/>
        <s v="Murat Poyraz"/>
        <s v="ERGÜN ZEHİR"/>
        <s v="SERKAN YILMAZ"/>
        <s v="Şevval Küçükoğlu"/>
        <s v="Sunay Kılıç"/>
        <s v="Ezgi Yıldırım"/>
        <s v="NERMİN TINAZ ÇOLAK"/>
        <s v="YUSUF ALİ ÇELİK"/>
        <s v="Ömür Yeşil"/>
        <s v="Çağrı Görür"/>
        <s v="Selvinaz Savaş"/>
        <s v="Kadir Koç"/>
        <s v="KENAN EFİLOĞLU"/>
        <s v="Cengiz Çelik"/>
        <s v="CENGİZ ÇELİK"/>
        <s v="İLHAMİ BULUT"/>
        <s v="Serkan Sarıoğlu"/>
        <s v="Ümit Aba"/>
        <s v="Ramazan Arslan"/>
        <s v="Leyla Yılmaz"/>
        <s v="Veysel Sevgili"/>
        <s v="Sinem TEDİK"/>
        <s v="Hacer Nur Ersürel"/>
        <s v="SEYFETTİN TOSBATLIOĞLU"/>
        <s v="Aysel Ayhan"/>
        <s v="Anıl Zengin"/>
        <s v="Zeynep Rençber"/>
        <s v="Şakir Filizfidanoğlu"/>
        <s v="RIDVAN BEŞBENZER"/>
        <s v="FİLİZ ŞAHİN"/>
        <s v="ABDULKADİR UZUN"/>
        <s v="AHMET ERMİŞ"/>
        <s v="SİNAN UZUNHÜSEYİNOĞLU"/>
        <s v="Yasemin Kahraman"/>
        <s v="Şule Tufan"/>
        <s v="Havva Sinal Baş"/>
        <s v="ENGİN DEMİRTAŞ"/>
        <s v="Hasan İge"/>
        <s v="GÜNAY TEKİN"/>
        <s v="BERKER BAL"/>
        <s v="Sümeyye Yanmış"/>
        <s v="Murat Gülez"/>
        <s v="Dilek YILDIRIM"/>
        <s v="Kenan Dündar"/>
        <s v="Şenol Şafak"/>
        <s v="Ahmet Efiloğlu"/>
        <s v="FURKAN SEN"/>
        <s v="Hülya Demirtaş"/>
        <s v="RAMAZAN TEZGEL"/>
        <s v="ÖZKAN TUNÇEL"/>
        <s v="Yasemin Küçük"/>
        <s v="Songül Küçük"/>
        <s v="Muhammet Ahmet Altan"/>
        <s v="Mustafa Gürbüz"/>
        <s v="Yavuz Erdil"/>
        <s v="Tuğba Ayyıldız"/>
        <s v="Zeynep Kaplan"/>
        <s v="SEDAT BEŞALTI"/>
        <s v="SAVAŞCAN KESKİNKILIÇ"/>
        <s v="Kemal Keskinkılıç"/>
        <s v="YUSUF DEMİRER"/>
        <s v="AYHAN TAŞKİN"/>
        <s v="YASEMİN OYLU"/>
        <s v="Yasemin Oylu"/>
        <s v="Adem Ali Azaklı"/>
        <s v="Cumhur Cinoğlu"/>
        <s v="İBRAHİM ÇUHADAR"/>
        <s v="MUSTAFA CAN DOĞAN"/>
        <s v="SEVDA ATLI YILMAZ"/>
        <s v="REHA PASTACILIK VE GIDA ÜRÜNLERİ SANAYİ TİCARET PAZARLAMA LİMİTED ŞİRKETİ"/>
        <s v="Onur Enginler"/>
        <s v="Melih Aydın"/>
        <s v="Halit Yiğit"/>
      </sharedItems>
    </cacheField>
    <cacheField name="Telefon" numFmtId="0">
      <sharedItems containsSemiMixedTypes="0" containsString="0" containsNumber="1" containsInteger="1">
        <n v="5.394067198E9"/>
        <n v="5.380593677E9"/>
        <n v="5.436606666E9"/>
        <n v="5.493773444E9"/>
        <n v="5.42833075E9"/>
        <n v="5.417338374E9"/>
        <n v="5.354313106E9"/>
        <n v="5.338174818E9"/>
        <n v="5.42583995E9"/>
        <n v="5.525305454E9"/>
        <n v="5.52828321E9"/>
        <n v="2.64275606E9"/>
        <n v="5.543149053E9"/>
        <n v="5.342256045E9"/>
        <n v="5.388201124E9"/>
        <n v="5.434705404E9"/>
        <n v="2.645024549E9"/>
        <n v="5.312105658E9"/>
        <n v="5.323403401E9"/>
        <n v="5.324095676E9"/>
        <n v="5.464985001E9"/>
        <n v="5.325100864E9"/>
        <n v="5.344117719E9"/>
        <n v="5.428270692E9"/>
        <n v="5.424601841E9"/>
        <n v="5.322824382E9"/>
        <n v="5.315130658E9"/>
        <n v="5.302006954E9"/>
        <n v="5.061060077E9"/>
        <n v="5.382918185E9"/>
        <n v="5.491323535E9"/>
        <n v="5.050346475E9"/>
        <n v="5.32600991E9"/>
        <n v="5.161669161E9"/>
        <n v="5.424542934E9"/>
        <n v="5.317865383E9"/>
        <n v="5.075015557E9"/>
        <n v="2.642735859E9"/>
        <n v="2.643331233E9"/>
        <n v="5.326782084E9"/>
        <n v="5.532943089E9"/>
        <n v="5.300230654E9"/>
        <n v="5.322454924E9"/>
        <n v="5.331378554E9"/>
        <n v="2.642784441E9"/>
        <n v="5.451665454E9"/>
        <n v="5.537510354E9"/>
        <n v="5.387168726E9"/>
        <n v="5.418954334E9"/>
        <n v="5.309116493E9"/>
        <n v="5.445479454E9"/>
        <n v="5.395657582E9"/>
        <n v="5.41440109E9"/>
        <n v="5.444985323E9"/>
        <n v="5.550148961E9"/>
        <n v="5.4179701E9"/>
        <n v="5.321762554E9"/>
        <n v="5.419192026E9"/>
        <n v="5.314555888E9"/>
        <n v="5.413355987E9"/>
        <n v="5.375141441E9"/>
        <n v="5.452490333E9"/>
        <n v="5.326003283E9"/>
        <n v="5.462609661E9"/>
        <n v="5.442645484E9"/>
        <n v="5.344271117E9"/>
        <n v="5.394254154E9"/>
        <n v="5.382733854E9"/>
        <n v="5.417692345E9"/>
        <n v="2.645922486E9"/>
        <n v="2.642111376E9"/>
        <n v="5.327282826E9"/>
        <n v="2.642732354E9"/>
        <n v="2.642733141E9"/>
        <n v="5.326663639E9"/>
        <n v="2.642755275E9"/>
        <n v="5.324157666E9"/>
        <n v="2.647773388E9"/>
        <n v="5.468595231E9"/>
        <n v="5.365129033E9"/>
        <n v="5.322302893E9"/>
        <n v="5.415121235E9"/>
        <n v="5.072402019E9"/>
        <n v="5.549463381E9"/>
        <n v="2.647181415E9"/>
        <n v="5.077891251E9"/>
        <n v="5.447786841E9"/>
        <n v="5.536324854E9"/>
        <n v="5.332115721E9"/>
        <n v="5.413592818E9"/>
        <n v="5.325640364E9"/>
        <n v="5.340794102E9"/>
        <n v="5.335030112E9"/>
        <n v="5.323924197E9"/>
        <n v="5.541794954E9"/>
        <n v="5.55675197E9"/>
        <n v="2.642810506E9"/>
        <n v="5.528375854E9"/>
        <n v="5.42811112E9"/>
        <n v="5.325453904E9"/>
        <n v="5.33216826E9"/>
        <n v="5.322802014E9"/>
        <n v="5.077508907E9"/>
        <n v="5.301123154E9"/>
        <n v="5.323976523E9"/>
        <n v="5.422802397E9"/>
        <n v="5.372643754E9"/>
        <n v="5.41723107E9"/>
        <n v="5.386020191E9"/>
        <n v="5.377807454E9"/>
        <n v="5.516440757E9"/>
        <n v="5.399342723E9"/>
        <n v="5.301786658E9"/>
        <n v="5.468133406E9"/>
        <n v="5.438845999E9"/>
        <n v="2.64211288E9"/>
        <n v="5.444558688E9"/>
        <n v="5.444470803E9"/>
        <n v="5.537275831E9"/>
        <n v="2.642823214E9"/>
        <n v="5.39312002E9"/>
        <n v="5.316645446E9"/>
        <n v="5.517035096E9"/>
        <n v="5.322743354E9"/>
        <n v="5.305148954E9"/>
        <n v="5.334373298E9"/>
        <n v="5.548826754E9"/>
        <n v="5.304312412E9"/>
        <n v="5.396946958E9"/>
        <n v="5.075312331E9"/>
        <n v="5.324709754E9"/>
        <n v="2.645029412E9"/>
        <n v="5.467437869E9"/>
        <n v="5.416521619E9"/>
        <n v="5.34818488E9"/>
        <n v="5.416495054E9"/>
        <n v="5.079728708E9"/>
        <n v="5.355682787E9"/>
        <n v="5.453773963E9"/>
        <n v="2.6421108E9"/>
        <n v="5.061419208E9"/>
        <n v="5.320641254E9"/>
        <n v="5.34320359E9"/>
        <n v="5.36964795E9"/>
        <n v="2.642411919E9"/>
        <n v="5.374488134E9"/>
        <n v="5.494545434E9"/>
        <n v="2.642781653E9"/>
        <n v="5.34290257E9"/>
        <n v="5.321382978E9"/>
        <n v="5.45202639E9"/>
        <n v="5.301179139E9"/>
        <n v="2.642290909E9"/>
        <n v="5.326965145E9"/>
        <n v="2.647181618E9"/>
        <n v="5.334299598E9"/>
        <n v="8.503075454E9"/>
        <n v="5.325508088E9"/>
        <n v="5.466116241E9"/>
        <n v="5.300530054E9"/>
        <n v="5.315239294E9"/>
        <n v="2.645828751E9"/>
        <n v="5.43773633E9"/>
        <n v="2.642110039E9"/>
        <n v="5.435892947E9"/>
        <n v="5.442757601E9"/>
        <n v="5.324960738E9"/>
        <n v="2.642776767E9"/>
        <n v="5.325999519E9"/>
        <n v="5.449541654E9"/>
        <n v="5.315764723E9"/>
        <n v="5.383161453E9"/>
        <n v="5.06052822E9"/>
        <n v="5.457677429E9"/>
        <n v="5.363052554E9"/>
        <n v="5.368253358E9"/>
        <n v="5.466619E9"/>
        <n v="5.358650309E9"/>
        <n v="5.322895494E9"/>
        <n v="5.330149254E9"/>
        <n v="5.062044065E9"/>
        <n v="5.327739403E9"/>
        <n v="5.436069621E9"/>
        <n v="5.419159233E9"/>
        <n v="5.362099354E9"/>
        <n v="5.396592954E9"/>
        <n v="5.326698261E9"/>
        <n v="5.013540034E9"/>
        <n v="5.428152528E9"/>
        <n v="5.442267778E9"/>
        <n v="5.350100013E9"/>
        <n v="5.414511154E9"/>
        <n v="5.433460807E9"/>
        <n v="5.396953015E9"/>
        <n v="5.458922467E9"/>
        <n v="5.339450235E9"/>
        <n v="5.352224343E9"/>
        <n v="5.372707837E9"/>
        <n v="5.439570054E9"/>
        <n v="5.415310531E9"/>
        <n v="5.425965994E9"/>
        <n v="5.442733273E9"/>
        <n v="5.451541154E9"/>
        <n v="5.324014767E9"/>
        <n v="5.532144578E9"/>
        <n v="5.339610532E9"/>
        <n v="5.432120886E9"/>
        <n v="5.337900085E9"/>
        <n v="5.375433785E9"/>
        <n v="2.642777222E9"/>
        <n v="2.642728519E9"/>
        <n v="5.541645413E9"/>
        <n v="5.312752869E9"/>
        <n v="2.642412954E9"/>
        <n v="5.412836637E9"/>
        <n v="5.333601967E9"/>
        <n v="5.368194321E9"/>
        <n v="2.642722222E9"/>
        <n v="2.647181907E9"/>
        <n v="2.645023003E9"/>
        <n v="5.345853717E9"/>
        <n v="5.373090202E9"/>
        <n v="5.524700114E9"/>
        <n v="5.335601747E9"/>
        <n v="5.433299137E9"/>
        <n v="5.548213251E9"/>
        <n v="5.435414648E9"/>
        <n v="5.456063367E9"/>
        <n v="5.305554845E9"/>
        <n v="5.514506415E9"/>
        <n v="5.379669753E9"/>
        <n v="2.645029245E9"/>
        <n v="5.546357024E9"/>
        <n v="5.300271965E9"/>
        <n v="5.448823619E9"/>
        <n v="5.345024112E9"/>
        <n v="5.551523933E9"/>
        <n v="2.645022888E9"/>
        <n v="5.395888899E9"/>
        <n v="5.543486443E9"/>
        <n v="5.512171709E9"/>
        <n v="5.411044754E9"/>
        <n v="5.414649144E9"/>
        <n v="5.32725245E9"/>
        <n v="5.456262624E9"/>
        <n v="5.439312289E9"/>
        <n v="5.424047784E9"/>
        <n v="5.538319554E9"/>
        <n v="5.071580433E9"/>
        <n v="5.300657459E9"/>
        <n v="5.428194161E9"/>
        <n v="5.434311111E9"/>
        <n v="5.423614452E9"/>
        <n v="5.332346953E9"/>
        <n v="5.372159553E9"/>
        <n v="2.642744454E9"/>
        <n v="5.443111257E9"/>
        <n v="5.395900321E9"/>
        <n v="5.523836654E9"/>
        <n v="2.6427777E9"/>
        <n v="2.642816628E9"/>
        <n v="2.642736628E9"/>
        <n v="5.335691061E9"/>
        <n v="5.41323857E9"/>
        <n v="2.642823E9"/>
        <n v="5.325592005E9"/>
        <n v="5.325914982E9"/>
        <n v="2.642111168E9"/>
        <n v="5.312105641E9"/>
        <n v="2.642412626E9"/>
        <n v="5.396005374E9"/>
        <n v="5.301220254E9"/>
        <n v="2.642793939E9"/>
        <n v="5.428376706E9"/>
        <n v="5.072599732E9"/>
        <n v="2.64614204E8"/>
        <n v="5.355886448E9"/>
        <n v="5.511510054E9"/>
        <n v="5.528672954E9"/>
        <n v="5.399224034E9"/>
        <n v="2.64241419E9"/>
        <n v="5.41815731E9"/>
        <n v="5.314953749E9"/>
        <n v="2.642761001E9"/>
        <n v="2.645022777E9"/>
        <n v="5.53548064E9"/>
        <n v="5.466962137E9"/>
        <n v="5.45563688E9"/>
        <n v="5.45267037E9"/>
        <n v="5.315200055E9"/>
        <n v="5.550492544E9"/>
        <n v="5.524092014E9"/>
        <n v="2.642797999E9"/>
        <n v="5.455233353E9"/>
        <n v="5.413248884E9"/>
        <n v="5.323942354E9"/>
        <n v="5.322140537E9"/>
        <n v="5.07287066E9"/>
        <n v="5.458412868E9"/>
        <n v="5.435982524E9"/>
        <n v="2.642712524E9"/>
        <n v="5.534416401E9"/>
        <n v="5.327318549E9"/>
        <n v="5.415454587E9"/>
        <n v="2.642114911E9"/>
        <n v="5.462270031E9"/>
        <n v="5.301122154E9"/>
        <n v="5.071807949E9"/>
        <n v="5.342643127E9"/>
        <n v="5.057766644E9"/>
        <n v="2.645020033E9"/>
        <n v="5.388121136E9"/>
        <n v="5.514371605E9"/>
        <n v="2.642111112E9"/>
        <n v="5.387603208E9"/>
        <n v="5.317851653E9"/>
        <n v="5.444547654E9"/>
        <n v="5.444709254E9"/>
        <n v="5.373801343E9"/>
        <n v="2.642796739E9"/>
        <n v="5.372806245E9"/>
        <n v="2.642554444E9"/>
        <n v="5.522967192E9"/>
        <n v="5.354054736E9"/>
        <n v="5.365811082E9"/>
        <n v="5.387370923E9"/>
        <n v="5.452863254E9"/>
        <n v="5.428423854E9"/>
        <n v="5.493208182E9"/>
        <n v="5.362504936E9"/>
        <n v="2.642746767E9"/>
        <n v="5.414025733E9"/>
        <n v="5.388987265E9"/>
        <n v="5.306152275E9"/>
        <n v="5.396772462E9"/>
        <n v="5.426454154E9"/>
        <n v="5.396091739E9"/>
        <n v="5.327117463E9"/>
        <n v="5.525616354E9"/>
        <n v="2.642767126E9"/>
        <n v="5.439206234E9"/>
        <n v="5.426166563E9"/>
        <n v="5.310287084E9"/>
        <n v="5.326217461E9"/>
        <n v="5.434685454E9"/>
        <n v="5.468556228E9"/>
        <n v="5.312218647E9"/>
        <n v="5.522405454E9"/>
        <n v="5.556259618E9"/>
        <n v="5.535491624E9"/>
        <n v="5.3170386E9"/>
        <n v="5.452684941E9"/>
      </sharedItems>
    </cacheField>
    <cacheField name="İLÇE" numFmtId="0">
      <sharedItems>
        <s v="Serdivan"/>
        <s v="Adapazarı"/>
        <s v="Erenler"/>
        <s v="Karasu"/>
        <s v="Sapanca"/>
        <s v="Hendek"/>
        <s v="Arifiye"/>
        <s v="Akyazı"/>
        <s v="Kocaali"/>
      </sharedItems>
    </cacheField>
    <cacheField name="MAHALLE" numFmtId="0">
      <sharedItems>
        <s v="Arabacıalanı"/>
        <s v="Esentepe"/>
        <s v="İstiklal"/>
        <s v="Şirinevler"/>
        <s v="Dilmen"/>
        <s v="Bağlar"/>
        <s v="Semerciler"/>
        <s v="Yenidoğan"/>
        <s v="Orta"/>
        <s v="Kemalpaşa"/>
        <s v="Otuziki Evler"/>
        <s v="Sakarya"/>
        <s v="Yenigün"/>
        <s v="Yalı"/>
        <s v="Maltepe"/>
        <s v="Korucuk"/>
        <s v="İncilli"/>
        <s v="Erenler"/>
        <s v="Tığcılar"/>
        <s v="Rüstempaşa"/>
        <s v="Kırkpınar Hasanpaşa"/>
        <s v="Kurtuluş"/>
        <s v="15 Temmuz Camili"/>
        <s v="Başpınar"/>
        <s v="Köprübaşı"/>
        <s v="Papuççular"/>
        <s v="Bahçelievler"/>
        <s v="Camicedit"/>
        <s v="Cumhuriyet"/>
        <s v="Tekeler"/>
        <s v="Aziziye"/>
        <s v="Güllük"/>
        <s v="Kemaliye"/>
        <s v="Çukurahmediye"/>
        <s v="Beşköprü"/>
        <s v="Arifbey"/>
        <s v="Nuriye"/>
        <s v="Kırkpınar Soğuksu"/>
        <s v="Yahyalar"/>
        <s v="Hacıoğlu"/>
        <s v="Kazımpaşa"/>
        <s v="Çayiçi"/>
        <s v="Yağcılar"/>
        <s v="Ömercikler"/>
        <s v="Vatan"/>
        <s v="Tepekum"/>
        <s v="Güldibi"/>
        <s v="İnönü"/>
        <s v="Yunus Emre"/>
        <s v="Hızırtepe"/>
        <s v="Şeker"/>
        <s v="Yeni"/>
        <s v="Rasimpaşa"/>
        <s v="Mahmutbey"/>
        <s v="Mithatpaşa"/>
        <s v="Yenicami"/>
        <s v="Rüstemler"/>
        <s v="Gazipaşa"/>
        <s v="Hacılar"/>
        <s v="Hanlı Merkez"/>
        <s v="Karaman"/>
        <s v="Yayla"/>
        <s v="Kırkpınar Tepebaşı"/>
        <s v="Tabakhane"/>
        <s v="Dereboğazı"/>
        <s v="Güneşler Merkez"/>
      </sharedItems>
    </cacheField>
    <cacheField name="ADRES" numFmtId="0">
      <sharedItems>
        <s v="Arabacıalanı Mah., Mert Sok., Serdivan, Sakarya, Türkiye,"/>
        <s v="Kemalpaşa Mah., Medeniyet Cad., No:21, Serdivan, Sakarya, Türkiye,"/>
        <s v="Muhsin Yazıcıoğlu Blv., No:69, Serdivan, Sakarya, Türkiye,"/>
        <s v="Adnan Menderes Cad., No:194, Adapazarı, Sakarya, Türkiye,"/>
        <s v="Dilmen Mah Sakarbaba Cad., No:93, Erenler, Sakarya, Türkiye,"/>
        <s v="Bağlar Mah., Yıldız Tepe Cad., Erenler, Sakarya, Türkiye,"/>
        <s v="Semerciler Mah., Saraçlar Sok., No:52, Adapazarı, Sakarya, Türkiye,"/>
        <s v="Yenidoğan Mah. Saray Bosna Cad. No:50/B Adapazarı, Sakarya"/>
        <s v="Orta Mah., Çeşme Meydanı Cad., No:66, Adapazarı, Sakarya, Türkiye,"/>
        <s v="Kemalpaşa Mah., Üniversite Cad., No:50, Serdivan, Sakarya, Türkiye,"/>
        <s v="Arabacıalanı Mah., Şehit Kemal Durak Sok., No:33, Serdivan, Sakarya, Türkiye,"/>
        <s v="Arabacıalanı Mah., Eski Kazımpaşa Cad., No:203A , Serdivan, Sakarya, Türkiye,"/>
        <s v="Otuziki Evler Mah., Genç Sok., No:1, Serdivan, Sakarya, Türkiye,"/>
        <s v="Sakarya Cad., No:15, Erenler, Sakarya, Türkiye,"/>
        <s v="Yenigün Mah. Yeğenler Cad., No:128, Adapazarı, Sakarya, Türkiye,"/>
        <s v="kemalpaşa mah üniversite cad no 82"/>
        <s v="Yalı Mah Plaj Cad. No :119/B"/>
        <s v="Kemalpaşa Mah., Üniversite Cad., No:39, Serdivan, Sakarya, Türkiye,"/>
        <s v="Kemalpaşa mah.universite cad.kartepe şok no 29 daire 1"/>
        <s v="Şehit Mehmet Karabaşoğlu Cad., No:76, Serdivan, Sakarya, Türkiye,"/>
        <s v="Maltepe Mah., Maltepe Cad., No:67, Adapazarı, Sakarya, Türkiye,"/>
        <s v="Korucuk Mah. Keremçoskun Cad. Tunahan Sitesi 2 No : 1 Korucuk / Sakarya"/>
        <s v="Korucuk Mah., Vakıf Cad., No:14/1A, Adapazarı, Sakarya, Türkiye,"/>
        <s v="YALI MAH. PLAJ CAD. NO: 132 İÇ KAPI NO: 3 KARASU/SAKARYA"/>
        <s v="Arabacıalanı, Mehmet Akif Ersoy Cd. No:8/2, 54050 Serdivan/Sakarya"/>
        <s v="semerciler mah çark cad."/>
        <s v="Erenler Mah., Erenler Cad., No:13, Erenler, Sakarya, Türkiye,"/>
        <s v="Tığcılar Mah Kesci sok 93/a"/>
        <s v="Semerciler mah Atatürk blv. Pasaj 2000 NO :2 M ADAPAZARI /SAKARYA"/>
        <s v="Bağlar Cad., No:43, Serdivan, Sakarya, Türkiye,"/>
        <s v="Semerciler Mah., Gökçe Sok., No:8, Adapazarı, Sakarya, Türkiye,"/>
        <s v="Rüstempaşa Mah., Kuvayi Milliye Cad., Sapanca, Sakarya, Türkiye,"/>
        <s v="Şehit Cevdet Koç Cad., Sapanca, Sakarya, Türkiye,"/>
        <s v="Kurtuluş Mah., Bahçıvan Sok., No:46, Adapazarı, Sakarya, Türkiye,"/>
        <s v="15 temmuz camili mah 1634 küme evleri 338 nolu sarı iş merkezi No .z22"/>
        <s v="İstiklal Mah., Çelebi Sok., No:1, Serdivan, Sakarya, Türkiye,"/>
        <s v="istiklal mah muhsin yazıcıoğlu bulv no 55"/>
        <s v="Başpınar Mah., Profesör Doktor Ayhan Kızıl Cad., No:36, Hendek, Sakarya, Türkiye,"/>
        <s v="Süleyman Binek Cad., No:49, Serdivan, Sakarya, Türkiye,"/>
        <s v="Adnan Menderes Cad., No:3, Adapazarı, Sakarya, Türkiye,"/>
        <s v="Muhsin Yazıcıoğlu Blv., No:41, Serdivan, Sakarya, Türkiye,"/>
        <s v="Doğu Karadeniz Cad., No:120 A, Karasu, Sakarya, Türkiye,"/>
        <s v="Camicedit mahallesi Paşa sok no.8 iç kapı no. B sapanca/Sakarya"/>
        <s v="Kemalpaşa Mah., Dağköy Sok., Serdivan, Sakarya, Türkiye,"/>
        <s v="Cumhuriyet Mah., Adapazarı, Sakarya, Türkiye,"/>
        <s v="Kemalpaşa Mah., Belediye Cad., No:79, Serdivan, Sakarya, Türkiye,"/>
        <s v="Karasu Cad., No:144, Adapazarı, Sakarya, Türkiye,"/>
        <s v="Kemalpaşa Mah., Yavuz Sok., Serdivan, Sakarya, Türkiye,"/>
        <s v="Erenler Mah., Erenler Cad., No:8, Erenler, Sakarya, Türkiye,"/>
        <s v="Kemalpaşa Mah., Soğuksu Sok., No:8, Serdivan, Sakarya, Türkiye,"/>
        <s v="Doğu Karadeniz Cad., No:1 A, Karasu, Sakarya, Türkiye,"/>
        <s v="ŞİRİNEVLER MAH. ADNAN MENDERES CAD. NO: 230 A"/>
        <s v="Adnan Menderes Cad., No:148, Adapazarı, Sakarya, Türkiye,"/>
        <s v="Papuççular Mah., Adapazarı, Sakarya, Türkiye,"/>
        <s v="15 Temmuz Camili Mah. Üniversite cAD no :4 , Adapazarı, Sakarya, Türkiye,"/>
        <s v="İstiklal mah Bağlar Cad., No:30, Serdivan, Sakarya, Türkiye,"/>
        <s v="Kemaliye., 1191. Sok., No:10/1, Hendek, Sakarya, Türkiye,"/>
        <s v="Kemalpaşa Mah., 162. Sok., Serdivan, Sakarya, Türkiye,"/>
        <s v="Yeğenler Cad., No:4, Adapazarı, Sakarya, Türkiye,"/>
        <s v="Orta mAH Soğan Pazarı Cad., No:20, Adapazarı, Sakarya, Türkiye,"/>
        <s v="Çukurahmediye mah Sakarya Cad., No:80, Erenler, Sakarya, Türkiye,"/>
        <s v="Semerciler Saray Bosna Cad., No:26, Adapazarı, Sakarya, Türkiye,"/>
        <s v="Tığcılar Mah., Kara Osman Sok., No:43, Adapazarı, Sakarya, Türkiye,"/>
        <s v="Arabacıalanı Mah., Şehit Ali Borinli Sok., Serdivan, Sakarya, Türkiye,"/>
        <s v="Cumhuriyet Mah., Tül Sok., No:9, Adapazarı, Sakarya, Türkiye,"/>
        <s v="Kırkpınar Hasanpaşa Mah., İstasyon Cad., No:30, Sapanca, Sakarya, Türkiye,"/>
        <s v="Beşköprü Mah., Şimşek Sok., No:11, Serdivan, Sakarya, Türkiye,"/>
        <s v="Arabacıalanı Mah. M, Mehmet Akif Ersoy Cd. No:3"/>
        <s v="Arifbey Mah Şehit gaffar okkan cad. no:7"/>
        <s v="Arabacıalanı Mah., Mert Sok., No:25, Serdivan, Sakarya, Türkiye,"/>
        <s v="15 Temmuz Camili Mah., 221 Nolu Cad., No:3C, Adapazarı, Sakarya, Türkiye,"/>
        <s v="15 TEMMUZ CAMİLİ MAH. 1634 KM. EVL. İŞ MERKEZİ 338 BLOK NO: 1 İÇ KAPI NO: Z05 ADAPAZARI/ SAKARYA"/>
        <s v="Atatürk Blv., No:417A, Hendek, Sakarya, Türkiye,"/>
        <s v="Kırkpınar hasanpaşa mah. Şehit Cevdet Koç Cad., No:62/A, Sapanca, Sakarya, Türkiye,"/>
        <s v="İstiklal Mah. Bağlar Cad., No:42, Serdivan, Sakarya, Türkiye,"/>
        <s v="cumhuriyet mah şal sok no 38"/>
        <s v="Çark Cad., No:9, Sakarya, Türkiye,"/>
        <s v="tığcılar mah atatürk bulv. tezemirler apt 99 b sakarya"/>
        <s v="Çark Cad., No:169, Sakarya, Türkiye,"/>
        <s v="Arabacıalanı Mah., Cadde 54, Serdivan, Sakarya, Türkiye,"/>
        <s v="Soğan Pazarı Cad., No:24, Adapazarı, Sakarya, Türkiye,"/>
        <s v="İncilli Mah., Stad Cad., No:12, Karasu, Sakarya, Türkiye,"/>
        <s v="Kemalpaşa Mah., Necip Fazıl Kısakürek Cad., No:5, Serdivan, Sakarya, Türkiye,"/>
        <s v="Sakarya Üniversitesi Kampüs Çarşısı No :8 serdivan sakarya"/>
        <s v="Rüstempaşa Mah., Karaoğlanoğlu Cad., No:13, Sapanca, Sakarya, Türkiye,"/>
        <s v="İstiklal Mah., 312. Sok., Serdivan, Sakarya, Türkiye,"/>
        <s v="Bağdat Cad., No:119, Sapanca, Sakarya, Türkiye,"/>
        <s v="İncilli Mah., 619 Sok., No:3 A, Karasu, Sakarya, Türkiye,"/>
        <s v="Semerciler Mah. K. Pazar Yeri no:394 Adapazarı/sakarya"/>
        <s v="Kemalpaşa Mah Bağlar Cad. No :92 Serdivan/Sakarya"/>
        <s v="Kemalpaşa Mah., Usta Sok., Serdivan, Sakarya, Türkiye,"/>
        <s v="Arabacıalanı Mah., Mert Sok., No:54, Serdivan, Sakarya, Türkiye,"/>
        <s v="Yağcılar Mah., Ankara Cad., No:91A, Adapazarı, Sakarya, Türkiye,"/>
        <s v="İstiklal, Bağlar Cd. No:21, 54050 Serdivan/Sakarya"/>
        <s v="Kemalpaşa Mah. Kenan Sofuoğlu Cad. no2 serdivan/Sakarya"/>
        <s v="Kemalpaşa Mah., Üniversite Cad., No:31, Serdivan, Sakarya, Türkiye,"/>
        <s v="Muhsin Yazıcıoğlu Blv., No:15, Serdivan, Sakarya, Türkiye,"/>
        <s v="Beşköprü mah. 3168 sok. No 27c / Serdivan/Sakarya"/>
        <s v="Tığcılar Mah., Adapazarı, Sakarya, Türkiye,"/>
        <s v="Kırkpınar Hasanpaşa Mah., İstasyon Cad., No:11, Sapanca, Sakarya, Türkiye,"/>
        <s v="Kurtuluş Mah., Bahçıvan Sok., No:70, Adapazarı, Sakarya, Türkiye,"/>
        <s v="Muhsin Yazıcıoğlu Blv., No:43, Serdivan, Sakarya, Türkiye,"/>
        <s v="Otuziki Evler Mah., Buğday Sok., No:2, Serdivan, Sakarya, Türkiye,"/>
        <s v="Arabacıalanı Mah., Nergis Sok., No:6, Serdivan, Sakarya, Türkiye,"/>
        <s v="Arabacıalanı Mah., Eski Kazımpaşa Cad., No:203, Serdivan, Sakarya, Türkiye,"/>
        <s v="Çark Cad., No:74A, Sakarya, Türkiye,"/>
        <s v="Mehmet Akif Ersoy Cad., No:9, Erenler, Sakarya, Türkiye,"/>
        <s v="Şehit Mehmet Karabaşoğlu Cad., No:17B, Serdivan, Sakarya, Türkiye,"/>
        <s v="Kazımpaşa mah 18 Nisan Cad., No:64, Serdivan, Sakarya, Türkiye,"/>
        <s v="Kemal paşa mah. Üniversite cad. No 64 G blok iç kapı no 1 serdivan/sakarya"/>
        <s v="İstiklal mah. şehit mehmet karabaşoğlu cad. No: 17/A Serdivan/SAKARYA"/>
        <s v="Tığcılar Mah., Küçük Osman Sok., No:21, Adapazarı, Sakarya, Türkiye,"/>
        <s v="Erenler Mah., Evliya Çelebi Cad no :9 ., Erenler, Sakarya, Türkiye,"/>
        <s v="Otuziki Evler Mah., Beşköprü cad ., No:14 , Serdivan, Sakarya, Türkiye,"/>
        <s v="Çayiçi mah Ersin Cad., No:36, Sapanca, Sakarya, Türkiye,"/>
        <s v="Kemalpaşa Mah., Belediye Cad., No:12, Serdivan, Sakarya, Türkiye,"/>
        <s v="Kemalpaşa Mah., Başlık Sok., No:18, Serdivan, Sakarya, Türkiye,"/>
        <s v="Kemaliye Mah., Muammer Sencer Cad., No:26A, Hendek, Sakarya, Türkiye,"/>
        <s v="Bağlar Cad., No:89, Serdivan, Sakarya, Türkiye,"/>
        <s v="Çark Cad., No:68, Sakarya, Türkiye,"/>
        <s v="15 Temmuz Blv., No:122A, Adapazarı, Sakarya, Türkiye,"/>
        <s v="İstiklal Mah., Park Sok., No:9, Serdivan, Sakarya, Türkiye,"/>
        <s v="Arabacıalanı Mah., Mert Sok., No:3, Serdivan, Sakarya, Türkiye,"/>
        <s v="Atatürk Cad., No:46, Arifiye, Sakarya, Türkiye,"/>
        <s v="Yağcılar Mah., Ankara Cad., No:23C, Adapazarı, Sakarya, Türkiye,"/>
        <s v="Semerciler Mah., Yamanlar Sok., No:32-1, Adapazarı, Sakarya, Türkiye,"/>
        <s v="Ömercikler Mah., 8003. Sok., No:4, Akyazı, Sakarya, Türkiye,"/>
        <s v="15 Temmuz Camili Mah., Adapazarı, Sakarya, Türkiye,"/>
        <s v="Soğan Pazarı Cad., No:21, Adapazarı, Sakarya, Türkiye,"/>
        <s v="Bağlar Cad., No:58, Serdivan, Sakarya, Türkiye,"/>
        <s v="İstiklal mah. Bağlar cad. Zembil sok. No: 2"/>
        <s v="Kemalpaşa Mah., 99. Sok., Serdivan, Sakarya, Türkiye,"/>
        <s v="Süleyman Binek Cad., No:96, Serdivan, Sakarya, Türkiye,"/>
        <s v="Cumhuriyet Mah., Yalı Sok., Adapazarı, Sakarya, Türkiye,"/>
        <s v="Sakarya Cad., No:169, Erenler, Sakarya, Türkiye,"/>
        <s v="istiklal mah bağlar cad no 51 serdivan sakarya"/>
        <s v="Çark Cad., No:107, Sakarya, Türkiye,"/>
        <s v="Bağlar Cad., No:94, Serdivan, Sakarya, Türkiye,"/>
        <s v="İstiklal, 2. Cd. No:45, 54050 Serdivan/Sakarya"/>
        <s v="Rüstempaşa Mah., Karaoğlanoğlu Cad., No:19, Sapanca, Sakarya, Türkiye,"/>
        <s v="Atatürk Cad., No:98, Arifiye, Sakarya, Türkiye,"/>
        <s v="İstiklal mah Bağlar Cad., No:87/B, Serdivan, Sakarya, Türkiye,"/>
        <s v="Sakarbaba Cad., No:6, Erenler, Sakarya, Türkiye,"/>
        <s v="Ankara Cad., No:103 A, Karasu, Sakarya, Türkiye,"/>
        <s v="Kemalpaşa Mah., Esen Sok., No:4, Serdivan, Sakarya, Türkiye,"/>
        <s v="Çark Cad., No:182, Sakarya, Türkiye,"/>
        <s v="Kemalpaşa Mah., Loca Rezidans, Z blok 9 Serdivan, Sakarya, Türkiye,"/>
        <s v="Bağlar Cad., No:107, Serdivan, Sakarya, Türkiye,"/>
        <s v="Yalı Mah. Plaj Cad., No:94, Karasu, Sakarya, Türkiye,"/>
        <s v="İstiklal Mah., Dibektaş Cad., No:12, Adapazarı, Sakarya, Türkiye,"/>
        <s v="Atatürk Cad., No:76, Arifiye, Sakarya, Türkiye,"/>
        <s v="Köprübaşı Mah., 4033. Sok., No:2, Serdivan, Sakarya, Türkiye,"/>
        <s v="Plaj Cad., No:89 B, Karasu, Sakarya, Türkiye,"/>
        <s v="istiklal mah. Muhsin Yazıcıoğlu Blv., No:1, Serdivan, Sakarya, Türkiye,"/>
        <s v="Kemalpaşa Mah., Medeniyet Cad., No:9, Serdivan, Sakarya, Türkiye,"/>
        <s v="Cumhuriyet Mah. Şal Sok. No: 13/A Adapazarı/Sakarya"/>
        <s v="Kemalpaşa Mah., Karabaş Sok., No:12, Serdivan, Sakarya, Türkiye,"/>
        <s v="Bağlar Cad., No:134, Serdivan, Sakarya, Türkiye,"/>
        <s v="Çayiçi Mah., İzmit Cad., No:77, Sapanca, Sakarya, Türkiye,"/>
        <s v="İnönü Mah., 7015. Sok., No:5, Akyazı, Sakarya, Türkiye,"/>
        <s v="Kemalpaşa Mah. Bağlar Cad., No:98, Serdivan, Sakarya, Türkiye,"/>
        <s v="tığcılar mah atatürk bulv. tezemirler apt 99 sakarya"/>
        <s v="Ada Cad., No:265, Akyazı, Sakarya, Türkiye,"/>
        <s v="Bahçelievler mah bağlar cad no 136 b"/>
        <s v="Yenidoğan, Yeni Bosna Cd. No:66, 54100 Adapazarı/Sakarya"/>
        <s v="Cumhuriyet Mah., Şal Sok., No:44, Adapazarı, Sakarya, Türkiye,"/>
        <s v="Başpınar Mah. Osman Gazi Cad., No:39, Hendek, Sakarya, Türkiye,"/>
        <s v="Kemalpaşa Mah., Üniversite Cad., Serdivan, Sakarya, Türkiye,"/>
        <s v="15 temmuz camili mah 1634 küme evleri 338 nolu sarı iş merkezi No .z06"/>
        <s v="Çark Cad., No:64, Sakarya, Türkiye,"/>
        <s v="İstiklal Mah. Park Sok. No:9/A Serdivan Sakarya"/>
        <s v="15 Temmuz Camili Mah. 1634 Küme Evler 338 No:1 Adapazarı/SAKARYA"/>
        <s v="Adnan Menderes Cad., No:176, Adapazarı, Sakarya, Türkiye,"/>
        <s v="Fatih Cad., No:131, Sakarya, Türkiye,"/>
        <s v="kemaliye mah şehit ali gaffar okkan cad no 14"/>
        <s v="Uluyol Cad., No:14, Erenler, Sakarya, Türkiye,"/>
        <s v="Kemalpaşa Mah., Yavuz Sok., No:3, Serdivan, Sakarya, Türkiye,"/>
        <s v="Şeker Mah. Farabi Cad. No:114/A Adapazarı/SAKARYA"/>
        <s v="CUMHURİYET M. UZUNÇARŞI NO: 88 ADAPAZARI/ SAKARYA"/>
        <s v="Doğu Karadeniz Cad., No:128, Karasu, Sakarya, Türkiye,"/>
        <s v="Arabacıalanı Mah., Eski Kazımpaşa Cad., No:37, Serdivan, Sakarya, Türkiye,"/>
        <s v="İstiklal mah bağlar cad kervansok. No 3 AA Serdivan Sakarya"/>
        <s v="Başpınar, Çevre Yolu Osmangazi Cd, 54300 Hendek/Sakarya"/>
        <s v="Rasimpaşa mah. Rasimpaşa Cad no:3 Hendek /Sakarya"/>
        <s v="Kemalpaşa Mah. Üniversite Cad. G Blok No:64 G/4 Serdivan/Sakarya"/>
        <s v="Arabacıalanı Mah, Eski Kazımpaşa Cad., No:203A"/>
        <s v="Kemalpaşa Mah., Yeni Cad., No:4, Serdivan, Sakarya, Türkiye,"/>
        <s v="Kemalettin Sami Paşa Cad., Sapanca, Sakarya, Türkiye,"/>
        <s v="Semerciler Mah., Yamanlar Sok., No:32, Adapazarı, Sakarya, Türkiye,"/>
        <s v="Kemalpaşa Mah., Üniversite Cad., No:84, Serdivan, Sakarya, Türkiye,"/>
        <s v="Şirinevler Mah., Vagon Sok., No:10A, Adapazarı, Sakarya, Türkiye,"/>
        <s v="Arifbey Mah., Arifiye, Sakarya, Türkiye,"/>
        <s v="Kemalpaşa Mah., Üniversite Cad., No:100, Serdivan, Sakarya, Türkiye,"/>
        <s v="Semerciler Mah., Atatürk Blv., No:22C, Adapazarı, Sakarya, Türkiye,"/>
        <s v="Yalı Mah., Karasu, Sakarya, Türkiye,"/>
        <s v="Mithatpaşa Mah., Geçit Sok., No:1, Adapazarı, Sakarya, Türkiye,"/>
        <s v="Yeni Mah., 2066. Sok., No:3, Hendek, Sakarya, Türkiye,"/>
        <s v="BAŞPINAR MAH. PROF. DR. AYHAN KIZIL CAD. LİDER İNŞAAT NO: 27 İÇ KAPI NO: B HENDEK/ SAKARYA"/>
        <s v="Rasimpaşa Mah., Rasim Paşa Cad., No:3, Hendek, Sakarya, Türkiye,"/>
        <s v="15 Temmuz Blv., No:35, Adapazarı, Sakarya, Türkiye,"/>
        <s v="Cumhuriyet Mah., Uzun Çarşı Sok., No:11, Adapazarı, Sakarya, Türkiye,"/>
        <s v="Sedat Kirtetepe Cad., No:10/2A, Adapazarı, Sakarya, Türkiye,"/>
        <s v="Semerciler Mah., Ambarlı Sokak., No:4, Adapazarı, Sakarya, Türkiye,"/>
        <s v="Arifiye Mah. Zübeyde Hanım Cad., No:246, Arifiye, Sakarya, Türkiye,"/>
        <s v="Saray Bosna Cad., No:79A, Adapazarı, Sakarya, Türkiye,"/>
        <s v="Erenler Mah., Yavuz Selim Cad., No:56, Erenler, Sakarya, Türkiye,"/>
        <s v="Hızırtepe Mah., Cevat Ayhan Cad., No:33, Adapazarı, Sakarya, Türkiye,"/>
        <s v="mahmutbey mah osman yıldız cad no 8 b"/>
        <s v="Bağlar Cad., No:62, Serdivan, Sakarya, Türkiye,"/>
        <s v="Kirişhane Cad., No:126, Serdivan, Sakarya, Türkiye,"/>
        <s v="Adnan Menderes Cad., No:158, Adapazarı, Sakarya, Türkiye,"/>
        <s v="Serdivan Alışveriş Merkezi,"/>
        <s v="Dilmen Mah., 6031. Sok., Erenler, Sakarya, Türkiye,"/>
        <s v="Muhsin Yazıcıoğlu Blv., No:69-A Serdivan, Sakarya, Türkiye,"/>
        <s v="Plaj Cad., No:101, Karasu, Sakarya, Türkiye,"/>
        <s v="Kemalpaşa Mah. Mehtap Sok. No:1A/B"/>
        <s v="Karakol Cad., No:26, Karasu, Sakarya, Türkiye,"/>
        <s v="İstiklal Mah. Bağlar Cad., No:71, Serdivan, Sakarya, Türkiye,"/>
        <s v="Bağlar Cad., No:70, Serdivan, Sakarya, Türkiye,"/>
        <s v="Kemalpaşa Mah., Serdivan, Sakarya, Türkiye,"/>
        <s v="Kırkpınar Soğuksu Mah Bağdat Cad., No:166, Sapanca, Sakarya, Türkiye,"/>
        <s v="Doğu Karadeniz Cad., No:148, Karasu, Sakarya, Türkiye,"/>
        <s v="Arabacıalanı mah 551. Sok. No:1 B"/>
        <s v="Karasu Cad., No:108, Adapazarı, Sakarya, Türkiye,"/>
        <s v="Kırkpınar Hasanpaşa Mah., Yeşil Meydan Cad., No:39, Sapanca, Sakarya, Türkiye,"/>
        <s v="Arabacıalanı Mah., Serdivan, Sakarya, Türkiye,"/>
        <s v="Kırkpınar Hasanpaşa Mah., İstasyon Cad., No:26, Sapanca, Sakarya, Türkiye,"/>
        <s v="Yalı Mah. Plaj Cad., No:103 A, Karasu, Sakarya, Türkiye,"/>
        <s v="Bağlar Cad., No:71, Serdivan, Sakarya, Türkiye,"/>
        <s v="Kırkpınar Soğuksu Mah. Bağdat Cad. 181"/>
        <s v="İstiklal Mah., 2. Cad., No:57, Serdivan, Sakarya, Türkiye,"/>
        <s v="Semerciler Mah., İtfaiye Cad., No:41, Adapazarı, Sakarya, Türkiye,"/>
        <s v="ömercikler mah ada cad no 65"/>
        <s v="Yunus Emre Mah., 4025. Sok., No:2, Akyazı, Sakarya, Türkiye,"/>
        <s v="Saray Bosna Cad., No:25A, Adapazarı, Sakarya, Türkiye,"/>
        <s v="Kırkpınar Hasanpaşa Mah., İstasyon Cad., No:3/A, Sapanca, Sakarya, Türkiye,"/>
        <s v="CAMİLİ MAH 2. ETAP 339 NOLU İŞ MERKEZİ NO:5 CAMİLİ"/>
        <s v="Yağcılar Mah., Kanal Sok., No:26, Adapazarı, Sakarya, Türkiye,"/>
        <s v="Adnan Menderes Cad., No:156A, Adapazarı, Sakarya, Türkiye,"/>
        <s v="Kemalpaşa Mah., Feza Sok., No:12, Serdivan, Sakarya, Türkiye,"/>
        <s v="Kırkpınar Hasanpaşa Mah., İstasyon Cad., No:46, Sapanca, Sakarya, Türkiye,"/>
        <s v="rüstempaşa mah kemer cad no1 sapanca"/>
        <s v="Tığcılar Mah., Küçük Osman Sok., No:22, Adapazarı, Sakarya, Türkiye,"/>
        <s v="Yenicami Mah. Sakarya Cad., No:20, Erenler, Sakarya, Türkiye,"/>
        <s v="Kemalpaşa Mah., 103. Sok., No:9, Serdivan, Sakarya, Türkiye,"/>
        <s v="Yahyalar Mah. Turan Cad., No:27A, Adapazarı, Sakarya, Türkiye,"/>
        <s v="Semerciler mah Saray Bosna Cad., No:22, Adapazarı, Sakarya, Türkiye,"/>
        <s v="Çayiçi Mah., İzmit Cad., No:32, Sapanca, Sakarya, Türkiye,"/>
        <s v="Cumhuriyet Mah., Hüseyin Rahmi Sok., No:5, Adapazarı, Sakarya, Türkiye"/>
        <s v="Kemalpaşa Mah., Döner Sok., No:24, Serdivan, Sakarya, Türkiye,"/>
        <s v="İstiklal Mah., Fevzi Çakmak Cad., No:7A, Serdivan, Sakarya, Türkiye,"/>
        <s v="Rüstemler Mah., Atatürk Cad., No:46, Adapazarı, Sakarya, Türkiye,"/>
        <s v="Cumhuriyet Mah., Şal Sok., No:21, Adapazarı, Sakarya, Türkiye,"/>
        <s v="Yalı mah Plaj Cad., No:103 B, Karasu, Sakarya, Türkiye,"/>
        <s v="Ada Cad., No:229/B, Akyazı, Sakarya, Türkiye,"/>
        <s v="Kemalettin Sami Paşa Cad., No:4, Sapanca, Sakarya, Türkiye,"/>
        <s v="SEMERCİLER MAH ÇARK CAD NO:49 Sakarya"/>
        <s v="CUMHURİYET MAH çark cad h.rahmi sk no:68\C"/>
        <s v="İstiklal Mah. Bağlar Cad. No:71 Serdivan/Sakarya"/>
        <s v="Kırkpınar Hasanpaşa Mah. Şehit Cevdet Koç Cad., No:55, Sapanca, Sakarya, Türkiye,"/>
        <s v="Mehmet Akif Ersoy Cad., No:41, Erenler, Sakarya, Türkiye,"/>
        <s v="Yağcılar Mah., Ankara Cad., No:73, Adapazarı, Sakarya, Türkiye,"/>
        <s v="Hanlı Merkez Mah 49. sok no 20 arifiye/sakarya"/>
        <s v="İstiklal Mah. Bağlar Cad., No:10, Serdivan, Sakarya, Türkiye,"/>
        <s v="Cumhuriyet Mah., Şal Sok., No:14, Adapazarı, Sakarya, Türkiye,"/>
        <s v="Bağlar Cad., No:100, Serdivan, Sakarya, Türkiye,"/>
        <s v="Adnan Menderes Cad., No:132, Adapazarı, Sakarya, Türkiye,"/>
        <s v="Dilmen Mah. Sakarbaba Cad. No:107/8 Erenler/Sakarya"/>
        <s v="Arabacıalanı Mah., Cadde 54 K blok zemin kat , Serdivan, Sakarya, Türkiye,"/>
        <s v="Başpınar Mah., 1136. Sok., No:7, Hendek, Sakarya, Türkiye,"/>
        <s v="Orta Mah., Kuzu Sok., No:24, Adapazarı, Sakarya, Türkiye,"/>
        <s v="istiklal mah muhsin yazıcıoğlu blv no 61 serdivan sakarya"/>
        <s v="köprübaşı mah süleyman binek cadno 45 a"/>
        <s v="Başpınar Mah., Şehit Ali Gaffar Okkan Cad., No:34A, Hendek, Sakarya, Türkiye,"/>
        <s v="cumhuriyet mah bahçıvan sok no 95 adapazarı sakarya"/>
        <s v="Hızırtepe Mah., Cevat Ayhan Cad., No:44C, Adapazarı, Sakarya, Türkiye,"/>
        <s v="İstiklal Mahallesi 2. Cadde no: 54C Serdivan Sakarya"/>
        <s v="Kemalpaşa Mah., Belediye Cad. (Yeni Cad.), No:4B"/>
        <s v="Sakarbaba Cad., No:39, Erenler, Sakarya, Türkiye,"/>
        <s v="Kirişhane Cad., No:93/B, Serdivan, Sakarya, Türkiye,"/>
        <s v="bağlar mah 7053 sok no 2 a erenler / sakarya"/>
        <s v="BAHÇELİEVLER MAH. 9. CAD. NO: 5 A SERDİVAN/ SAKARYA"/>
        <s v="Kemalpaşa Mah., Üniversite Cad., No:33, Serdivan, Sakarya, Türkiye,"/>
        <s v="Karaman Mah., 1777 Küme Evler, No:1, Adapazarı, Sakarya, Türkiye,"/>
        <s v="Doğu Karadeniz Cad., No:226 A, Karasu, Sakarya, Türkiye,"/>
        <s v="Yayla Mah., Atatürk Cad., No:284, Kocaali, Sakarya, Türkiye,"/>
        <s v="Kemalpaşa Mah., Medeniyet Cad., Serdivan, Sakarya, Türkiye,"/>
        <s v="15 Temmuz Camili mah. Şehit Kaymakam Muhammet Fatih Safitürk Cad. 339 nolu iş merkezi z02"/>
        <s v="Aziziye Mah., 415 Sok., Karasu, Sakarya, Türkiye,"/>
        <s v="Kemalpaşa Mah., Karabaş Sok., No:14, Serdivan, Sakarya, Türkiye,"/>
        <s v="İstiklal Mah., Mehmetçik Sok., No:7, Serdivan, Sakarya, Türkiye,"/>
        <s v="Rüstempaşa Mah., Sapanca, Sakarya, Türkiye,"/>
        <s v="Doğu Karadeniz Cad., No:62 A, Karasu, Sakarya, Türkiye,"/>
        <s v="Çark Cad., No:343, Sakarya, Türkiye,"/>
        <s v="Gazipaşa Mahallesi İzmit Caddesi No. 39 Sapanca/Sakarya"/>
        <s v="Çayiçi Mah., İzmit Cad., No:39, Sapanca, Sakarya, Türkiye,"/>
        <s v="Çark Cad., No:347, Sakarya, Türkiye"/>
        <s v="Çayiçi Mah., Çarşıiçi Cad., No:46, Sapanca, Sakarya, Türkiye,"/>
        <s v="Papuççular Mah.., Atatürk Blv., No:50, Adapazarı, Sakarya, Türkiye,"/>
        <s v="Semerciler Mah., Atatürk Blv., No:50, Adapazarı, Sakarya, Türkiye,"/>
        <s v="Bağlar Cad., No:98B, Serdivan, Sakarya, Türkiye,"/>
        <s v="Cumhuriyet Mah., Kanara Sok., No:1, Adapazarı, Sakarya, Türkiye,"/>
        <s v="Arabacıalanı Mah., Güler Sok., No:8, Serdivan, Sakarya, Türkiye,"/>
        <s v="Kemalpaşa mah. Bağlar Cad., No:96, Serdivan, Sakarya, Türkiye,"/>
        <s v="arabacıalanı mah şehit mehmet karakaşoğlu cad no 20"/>
        <s v="Çark Cad., No:74, Sakarya, Türkiye,"/>
        <s v="Hacıoğlu mah 5086 sok no 1"/>
        <s v="İstiklal mah Bağlar Cad., No:39, Serdivan, Sakarya, Türkiye,"/>
        <s v="Hastahane Mah., Küçücek Cad., Akyazı, Sakarya, Türkiye,"/>
        <s v="Cumhuriyet Mah., Kanara Sok., No:15, Adapazarı, Sakarya, Türkiye,"/>
        <s v="Muhsin Yazıcıoğlu Blv, İstiklal Mh. Ada Tepe Plaza No:3, 54050"/>
        <s v="Şehit Cevdet koç caddesi 41A kırkpınar Sapanca"/>
        <s v="İstiklal, Bağlar Cd. No:43/A, 54050 Serdivan/Sakarya"/>
        <s v="İncilli Mah., Atatürk Blv., No:12, Karasu, Sakarya, Türkiye,"/>
        <s v="İstiklal Mah., 391. Sok., Serdivan, Sakarya, Türkiye,"/>
        <s v="Kemalpaşa Mah., Belediye Cad., No:1, Serdivan, Sakarya, Türkiye,"/>
        <s v="Şirinevler Mah., Vagon Sok., No:11A, Adapazarı, Sakarya, Türkiye,"/>
        <s v="Arabacıalanı Mah., Mert Sok., No:34, Serdivan, Sakarya, Türkiye,"/>
        <s v="Çark Cad., No:4, Sakarya, Türkiye,"/>
        <s v="Semerciler Mah., Lüleci Sok., No:9, Adapazarı, Sakarya, Türkiye,"/>
        <s v="Erenler Mah., Erenler Cad., No:22, Erenler, Sakarya, Türkiye,"/>
        <s v="Cadde 54,"/>
        <s v="Rüstempaşa Mah., Mimar Sinan Cad., No:42, Sapanca, Sakarya, Türkiye,"/>
        <s v="Atatürk Cad., No:30, Arifiye, Sakarya, Türkiye,"/>
        <s v="Kavaklar Cad., No:28, Adapazarı, Sakarya, Türkiye,"/>
        <s v="Semerciler Mah., İtfaiye Cad., No:8, Adapazarı, Sakarya, Türkiye,"/>
        <s v="Kemalpaşa Mah., Belediye Cad., No:5, Serdivan, Sakarya, Türkiye,"/>
        <s v="Hızırtepe mah Fatih Cad. no 3 , Sakarya, Türkiye,"/>
        <s v="Ersin Cad., No:36, Sapanca, Sakarya, Türkiye,"/>
        <s v="Kemalpaşa Mah., Usta Sok., No:14, Serdivan, Sakarya, Türkiye,"/>
        <s v="Muhsin Yazıcıoğlu Blv., No:25, Serdivan, Sakarya, Türkiye,"/>
        <s v="Mehmet Akif Ersoy Cad., No:5, Erenler, Sakarya, Türkiye,"/>
        <s v="Arabacıalanı Mah., Eski Kazımpaşa Cad., No:86, Serdivan, Sakarya, Türkiye,"/>
        <s v="Cumhuriyet Mah., Kanara Sok., No:4, Adapazarı, Sakarya, Türkiye,"/>
        <s v="Cumhuriyet Meydanı, No:39A, Hendek, Sakarya, Türkiye,"/>
        <s v="Cumhuriyet Mah., Menekşe Sok., No:6, Adapazarı, Sakarya, Türkiye,"/>
        <s v="Kemalpaşa Mah. 128. Sok. No.1C Kapı No. 4 Serdivan/Sakarya"/>
        <s v="Kemaliye Mah., Cem Çerkezoğlu Cad., No:3A, Hendek, Sakarya, Türkiye,"/>
        <s v="İstiklal mah Şht Mehmet Karabaşoğlu cad no 17 /B Turkuaz cafe"/>
        <s v="KIRKPINAR SOĞUKSU MAH. BAĞDAT CAD. NO: 92 İÇ KAPI NO: A SAPANCA/ SAKARYA"/>
        <s v="Muhsin Yazıcıoğlu Blv., No:3, Serdivan, Sakarya, Türkiye,"/>
        <s v="Turan Cad., No:198, Adapazarı, Sakarya, Türkiye,"/>
        <s v="Çark Cad., No:306, Sakarya, Türkiye,"/>
        <s v="kemalpaşa mah zakkum sok no 9 serdivan"/>
        <s v="Güneşler Merkez Mah., Adapazarı, Sakarya, Türkiye,"/>
        <s v="Kemalpaşa mah. Üniversite Cad. No: 31 Sakarya Serdivan"/>
        <s v="Soğan Pazarı Cad., No:41, Adapazarı, Sakarya, Türkiye,"/>
        <s v="Şehit Astsubay Yaşar Güller Cad., No:27, Erenler, Sakarya, Türkiye,"/>
        <s v="Kemalpaşa Mah., Karabaş Sok., Serdivan, Sakarya, Türkiye,"/>
        <s v="ARABACIALANI MAH. MERT SK. NO: 25 İÇ KAPI NO: 74 SERDİVAN/ SAKARYA"/>
        <s v="Köprübaşı Mah., Atatürk Cad. (Süleyman Binek Cad.), No:7, Serdivan, Sakarya, Türkiye,"/>
        <s v="Kemalpaşa MaH. Feza Sok. No:12/B"/>
        <s v="istiklal mah 2 .cad no 9"/>
        <s v="Kemalpaşa Mah., 105 Sok., No:3, serdivan"/>
        <s v="Çayiçi Mah., Çarşıiçi Cad., No:43, Sapanca, Sakarya, Türkiye,"/>
        <s v="Yağcılar Mah., 1306 Nolu Sok., No:2, Adapazarı, Sakarya, Türkiye,"/>
      </sharedItems>
    </cacheField>
    <cacheField name="Geleneksel&#10;Zincir" numFmtId="0">
      <sharedItems>
        <s v="Geleneksel"/>
        <s v="Key"/>
      </sharedItems>
    </cacheField>
    <cacheField name="FOTOĞRAF SEGMENT" numFmtId="0">
      <sharedItems containsString="0" containsBlank="1">
        <m/>
      </sharedItems>
    </cacheField>
    <cacheField name="Aradık Mı?" numFmtId="0">
      <sharedItems>
        <b v="1"/>
        <b v="0"/>
      </sharedItems>
    </cacheField>
    <cacheField name="Kendi Fotosu Var" numFmtId="0">
      <sharedItems>
        <b v="1"/>
        <b v="0"/>
      </sharedItems>
    </cacheField>
    <cacheField name="Randevu &#10;Durumu" numFmtId="0">
      <sharedItems containsBlank="1">
        <m/>
        <s v="Tadilat Var"/>
        <s v="Randevu Alındı"/>
        <s v="Ulaşılamadı"/>
        <s v="Sistemden Çıkmak İstiyor"/>
        <s v="Personel Eksik"/>
        <s v="Başka Şubeden Çekilecek"/>
        <s v="Dönüş Yapacak"/>
        <s v="Çekim İstemiyor"/>
        <s v="İleride Randevu Alınacak"/>
        <s v="Franchise"/>
        <s v="Randevu İptal"/>
        <s v="Restoran Silindi"/>
        <s v="RANDEVU ALINDI"/>
        <s v="BlackList"/>
        <s v="Menü Güncellemesi Yapılacak"/>
      </sharedItems>
    </cacheField>
    <cacheField name="Randevu&#10;Alan" numFmtId="0">
      <sharedItems containsBlank="1">
        <m/>
        <s v="Ezgi Turan"/>
        <s v="Eda Cıbır"/>
        <s v="Ecem Ünal"/>
        <s v="Tuğba Buyur"/>
        <s v="Zeliha Özer"/>
        <s v="Gül Değirmenci"/>
        <s v="Ferhat Köksal"/>
        <s v="Derya Tatlı"/>
        <s v="Nazlıcan Dinçer"/>
        <s v="Mertcan"/>
        <s v="Nurhayat Kabataş"/>
        <s v="Emel Yılmaz"/>
        <s v="Tutku Erdoğan"/>
        <s v="Sude Alkan"/>
        <s v="Beyza gülşah"/>
        <s v="Enes Günal"/>
        <s v="Selcan Topçu"/>
        <s v="Özlem arslan"/>
        <s v="Ayşegül Kır"/>
        <s v="Dicle Harmancı"/>
      </sharedItems>
    </cacheField>
    <cacheField name="Fotoğrafçı" numFmtId="0">
      <sharedItems containsBlank="1">
        <m/>
        <s v="Zeynep Yazıcı"/>
        <s v="Burak Kavakçı"/>
        <s v="Aleyna Küççük"/>
      </sharedItems>
    </cacheField>
    <cacheField name="Not">
      <sharedItems containsBlank="1" containsMixedTypes="1" containsNumber="1" containsInteger="1">
        <s v="bu şube daha inşaatta dedi. / hala inşaattaymış  daha sonra tekrara aransın."/>
        <s v="Tadilat varmış önümüzdeki hafta bitecekmiş tadilatı"/>
        <s v="no67 çekimler yapılmış tüm ürünlerin sadece gönderilen fotoğrafların düzenlenmesi gerekiyormuş"/>
        <m/>
        <s v="teyit için ulaşılamadı"/>
        <s v="Çekim gerçeklemiş eksik ürün yok."/>
        <s v="DEVAM ÇEKİMİ"/>
        <s v="Telefonu Kapalı."/>
        <s v="TEYİD İÇİN ARANDI AÇMADI "/>
        <s v="paket elemanı yokmuş o yuzden istememişler. ileride düşünürsem dönerim dedi ikna edilebilir faydalardan bahsedildi.-Aradık fakat telefonu kapalıydı."/>
        <s v="açmadı"/>
        <s v="5395537433 devam çekimine gerek yok sadece içeçekler kaldı dedi"/>
        <s v="sistem de sorun var fotoğraf çekimi istiyor.-10 Dakika sonra ulaşım sağlanabilirmiş./başka bi şubesi daha varmış oraya çekim yapılmış"/>
        <s v="aramayın düşünmüyor/şuan düşünmüyormuş/bizim aramamızı istemedi düşünürse kendisi dönecek"/>
        <s v="Bayramdan sonra maile gönderecekler"/>
        <s v="halil bey ile görüşüldü problemleri çöcülünce aranacak . kızgındı ama biraz yumuşak konuşunca onay verıyor.-Problemle ilgilenildi saha temsilcisi dönüş sağlayacakmış çok sonra aranabilir./fotoğraftan önce başka sıkıntılarımız var çekim istmeiyorum dedi"/>
        <s v="YETKİLİ İZİNLİ YARIN GÖRÜŞME SAĞLANABİLİR YETKİLİ KİŞİ EMRE BEY 09.00 DAN SONRA ARANABİLİR."/>
        <s v="getir yemekten çıkıtğını randevu alınıp gelinmediğini söyledi/ teyit için arandı ulaşılamadı"/>
        <s v="devam çekimi randevusu alındı."/>
        <s v="Numara kullanılmıyor ve internette hep aynı numara var"/>
        <s v="dükkan kapalı daha sonra arayın /şuan sezon bitmiş eylülde başlaaycak eğer devam edilirse aranacak eğer devam edilmezse kendi çekip göndericek"/>
        <s v="Eşim ve ben şeker hastasıyız herkesi alamıyoruz bu yüzden daha ileri tarihlerde ded/tadılatimız olucak baya ılerde olabılır ama sımdı olmaz dedı /şeker hastasıymış kendisini çokiyi koruyormuş yani riske gşrmek istemiyor pandemi süresincede istemez"/>
        <s v="Mustafa Bey/İstanbulda şubeleri var ordaki fotoğraflar yüklenecek. "/>
        <s v="kalan ürünleri için arandı açmadı"/>
        <s v="DEVAM ÇEKİMİ İSTİYOR.."/>
        <s v="çekim yapan kişiden hiç memnun değilmiş fotoğrafçımız değişirse dç düşünebilirmiş"/>
        <s v="radyo pub alt katında orman bölge müd karşısı"/>
        <s v="meşgul"/>
        <s v="Özcan Bey ayın 5 inden sonra arayın fotom varsa gönderirim yoksa randevulaşırız dedi/TEYIT ICIN ARANDI PZRTESI YOLLUYCGINI SOYLEDI/ tadilata girecegiz işler biraz yogun daha sonra halledelim dediler."/>
        <s v="elimde çekimler vardı ulaşamadık dediler ama yakın tarihte tekrar cekim yaptıracagım dediler. gönderirim dedi.-05535370047"/>
        <s v="ulaşılmıyor"/>
        <s v="ilerleyen zamanlarde belki olur getir sistemini çok açmıyorum zaten dedi"/>
        <s v="devam çekimi talep etmiyor getir çekim için bir sürü şart koşmuş dedi"/>
        <s v="5 6 ürün çıkarabilirim yazın öğleden sonra olursa diyor "/>
        <s v="göndermiş/MAİL ADRESİ VERİLDİ"/>
        <s v="randevu iptaldi/eşim hamile her an herşey olabilir dedi ramazandan sonra aranacak//tadilattayyız dedi/ yok şuan hala müsait degilim dedi../ o kadar ürünü çıkarttığımda kim yiyecek dedi "/>
        <s v="Mehmet akif ersoy lisesinin karşısındaki sarı iş merkezi/ teyit için arandı yetkili hafta içi olacak o zman arayın dedi"/>
        <s v="diğerlerinin yüklenmesini istiyor "/>
        <s v="getir yemekle ilgili sorun yaşamışlar avukata vermiş"/>
        <s v="getiryemketen çıkmak istiyorum silin lütfen dedi"/>
        <s v="teyit için arandı fotoğraflar hakkında şu an net bilgim yok akşam arayın dedi"/>
        <s v="2743340 2 HAFTA ONCE RESIM CEKILDI DENDI"/>
        <s v="paneli kullanmıyor"/>
        <s v="İlkay bey Şuan istemiyorum ama ilerde belki dedi olumsuz bence"/>
        <s v="sipariş üstüne geliyosa gelsin dedi. yoksa istemiyorum dedi// daha öncede aradınız istemiyoruz dedi"/>
        <s v="fotoğrafçıdan memnun kalmamış kendimiz çekip yollarız dedi mail verildi"/>
        <s v="haftaya salı gönderirmiş"/>
        <s v="Kadir Bey"/>
        <s v="Sürekli bizi erteliyor..//açmadı//dükkanı kapalı 15 gün sonra aranmak istiyor"/>
        <s v="sistemi kullanmıyor/ŞUAN SİSTEMİ KULLANMADIĞI İÇİN GÖNDERMEMİŞ./SISTEMDEN SIKINTI YASADIGINI BELIRTTI KAGIT ISRAFININ OLDUGUNU SOYLEDI BU YUZDEN DAHA ATMADIGINI BILDIRDI.YAKIN ZAMANDA SIKINTIO COZULUNCE ATCAGINI SOYLEDI./önce problemlerin halledilmesi ger"/>
        <s v="Nurullah Bey/işleri çok yoğunmuş o yüzden öbür ay arayın dedi"/>
        <s v="5325640364 fotoğrafların tamamı çekilmiş ama sistem de yok"/>
        <s v="teyit için aradık açmadı"/>
        <s v="fotografları paylaşmadıgımız için istemiyor birdaha aranmasın söyleyecegini söyleyip suratımıza kapatıyor."/>
        <s v="Furkan Bey devam çekimi talep etmiyor"/>
        <s v="mail adresi verildi/RAMAZANDAN SONRA ÇEKİP GÖNDERİCEK // bu hafta çekim yapıp atıcakmış/ abimin dügünü var dedi ilgilenemedim 2 3 hafta sonra arayın tekrar görüşelim dediler."/>
        <s v="sezonda çok yoğun olduğundan istemediğini ve daha önce bi rezarvasyon gerçeleştirilip gelindeğini iletti/ meşgul"/>
        <s v="13 ürün çekilmiş. 5333254295"/>
        <s v="çekim istemiyor kesinlikle aranmasın // istemiyorum dedi"/>
        <s v="ürünlerin tamamı çekilmiş ama sistem de bi kaç tane ürünün fotğrafı var"/>
        <s v="teyit için arandı meşgul"/>
        <s v="TEYIT ICIN ARANDI 1 HAFTA ICINDE ATILCAGINI SOYLEDI"/>
        <s v="çalıyo çalıyo açmıyo..// ulaşılamadıyetkılı yokmuş numarasu 05336187663 ayse4 hanım arandı ama acmadı//ayse hanımla grusuldu bu restront ona aıt olmadıgını belırttı kıme aıt olduguna bılmıyor"/>
        <s v="Çekim sağlanmış Eksik ürünleri bulunmamakta,fotoğraflarının sisteme yüklenmesini talep ediyor."/>
        <s v="kendi fotoğrafları varmış mail atracak "/>
        <s v="teyit için arandı ulaşılamadı"/>
        <s v="7hazirandan sonra ulaşılacak tadilat varmış /DUKKANA GECIP DONUS YAPACAGINI BELIRTTI//ulasılmadı-ULAŞILAMIYOR./çaldı açmadı / kendisi hazırlık yapıp dönecekmiş "/>
        <s v="ilerleyen günlerde aransın uygunluğa göre belki devam çekimi olabilir dedi"/>
        <s v="devam çekimi talep etmiyor "/>
        <s v="erteleme talep etti aradım açmadı/şu anda istemiyorum dedi"/>
        <s v="tadilat devam ediyormuş önümüzdeki ay arayın dedi"/>
        <s v="5335160640 HIC ISTEMEDIGINI BELIRTI UGRASAMIYCAGINI SOYLEDI/ fotoğraf çekimine ihtiyacımız yok dedi  o bölgede çekimi durduracağız dediğimde gerek yok iyi günler diyip kapattı"/>
        <s v="TEYİT İÇİN ARANDI ULAŞILAMADI // ulaşılamıyor/ulaşılamadı"/>
        <s v="bütün ürünlerin hepsi çekilmiş"/>
        <s v="meşgul çalıyor"/>
        <s v="eylülden sonra15 den sonra aransın dedın"/>
        <s v="no:1"/>
        <s v="mail verildi/yakın tarihte ilgilenecegim dediler."/>
        <s v="franchise"/>
        <s v="5323373096 çekim sağlanmasına rağmen sisteme fotoğrafları yüklenmemiş"/>
        <s v="çaldı açmadı-02642112227"/>
        <s v="mail verildi atacaklarmış. panel problemleri varmış. kimseyle ilgilenemiyorum diyo hep beni kandırıyosunuz dedei çok sinirli.."/>
        <s v="5422457154 Üst yetkili Muhittin Bey fotoğraflar nerde bilmiyorum zaten getir paket servisini de kaldıracağım dedi"/>
        <s v="5303239268 Serkan Bey işletme yetkilisi o ilgileniyormuş teyit için aradık konuyla alakalı bilgim yok fakat ögrenir size dönerim dedi"/>
        <s v="5336187663 ÇEKİM İÇİN İŞLETMEDEKİLERLE GÖRÜŞME SAĞLAYACAK TEKRAR ARA./dönüş yapıcak"/>
        <s v="dükkan taşıncakmış onlar kendisi dönüş yapacaklar. - ulaşılamadı meşgul / Tadı Başka şubesinden çekilmiş oradan yüklenebilir "/>
        <s v="5332672554 fırat bey çekim talep ediyor"/>
        <s v="5308254354 teyit için arandı meşgule attı"/>
        <s v="DAHA GÖNDERİM SAĞLAMAMIŞ. ÇEKİP GÖNDERİCEKMİŞ./TEYIT ICIN ARANDI MESGUL // 2 ay sonra aransın dedi"/>
        <s v="göndermemiş/Semih bey fotoğrafları yarın maile gönderecek "/>
        <s v="12/a 1 ürün eksiği var"/>
        <s v="ürünlerin tamamı çekilmiş ancak sistem de yok/ teyit için arandı meşgul"/>
        <s v="çekimler sağlanmış eksik ürünler yok devam çekimi istemiyor."/>
        <s v="teyit için arandı konuşamadık/5336568672/ hemen randevu denmiş ama fotoları varmış mail verildi/daha gönderilmemiş göndereceklermiş."/>
        <s v="devam çekimi talep ediyor"/>
        <s v="sistemi hiç açmıyorum. çünkü müşteri numaraları görünmüyor dediler"/>
        <s v="mevcut fotoğraflarım var ben göndereyim dedi"/>
        <s v="meşgul/YANLIS FIYATLARDAN DOLAYI SISTEMI KULLANMIYORUZ DEDI"/>
        <s v="02646145354-5444525354/5468460154 oğuzhan / Ürünleri gelmemiş ustasınında hazırlık yapacak kadar malzemesi yokmuş ay sonunda tekrar görüşelim dedi"/>
        <s v="teyit için arandı açmadı"/>
        <s v="devir olmuş"/>
        <s v="geriye kalan ürünler için arkadaşlarımla görüşeyim dönüş sağlarım olmazsa biz çekeriz dedi/ teyit için arandı açmadı"/>
        <s v="kapatmış"/>
        <s v="Müsait değilmiş dönüş yapacakmış"/>
        <s v="yeni fotoğrafçı geldiğinde tekrar çekim olabilir belki dedi sistemdeki ürünlerin hiçbirini beğenmemiş"/>
        <s v="fotoğraflar paylaşılmadığı için çekim istemiyor/ ikna edilmeye çalışıldı istemiyoruz iyi günler diyip kapattı"/>
        <s v="Abdullah Bey / İptal Sebebi: Yetkili hastalanmış ilgilenemeyecekmiş. Başka zamana ertelenecek./Şu anda hastalığı devam ediyormuş hazırlık yapamayız dedi kendisi dönüş yapacakmış"/>
        <s v="5075193199 vahdettin bey bayramdan sonra aranıp anlatım sağlansın"/>
        <s v="2 tane şubesi var arabacıalanı mahallesinde yüklü olan fotoğraflar istiklal mahallesin de olucak . diğer şubenin de fotoğrafları arabacıalanı şubesinden alınarak sisteme geçilcek"/>
        <s v="çekim yapıldı"/>
        <s v="Karaköse Pide, Lahmacun (Başpınar Mah.) BURADA ÇEKİLEN FOTOĞRAFLAR KULLANILACAK."/>
        <s v="mehmet bey çekim istemiyor biz iptal etmedik siz gelmediniz dedi/05387128854 MEHMET BEY ARKADSIYLA ILETISIME GECECEK TEKRAR ARANACAKTIR./ulasılamıyor"/>
        <s v="5 dakika sonra aranacak/İsmail beyle görüşüldü bayramdan sonra belki olabilir dedi  2 şube var"/>
        <s v="bu işletmeyi kapatmış arifiyede yeni bir işletme açmış 1 hafta sonra aktif olacakmış"/>
        <s v="fecri bey ile görüşülecek devam çekimi için arandı tadilattaymış kurban bayramından sonra devam ediliyorsa aranacak"/>
        <s v="Bayramdan sonra gönderecek"/>
        <s v="Gülce Hanım 5448046782"/>
        <s v="Emre Bey  - DEVAM ÇEKİMİ ALINDI "/>
        <s v="(0264) 614 11 54 bir iki ay sonra görüşmek ister- 13 gibi arayın dedi "/>
        <s v="FOTOĞRAFLARI  ATMAMIŞ ARADIM AÇMADI serkan54cem54@homail.com/işletmeyi kapattık der - işletme tadilatta ben size ulaşırım dedi "/>
        <s v="05323665729 Sezai Bey Telefon Numarası,Sezgin Bey ile görüşüldü randevu oluşturuldu."/>
        <s v="abime sorup sizlere geri dönüüş yapacagım dedi/1 SAAT ICINDE ARANMAK ISTIYOR"/>
        <s v="sistemdeki fotoğraflarında silinmesini talep ediyor."/>
        <s v="devam çekimi için arandı ürünler her gün olmuyor dedi siz zahmet etmeyin ileride görüşelim dediler cekimler devam etmeyebilir dedik olsun dedi./kararları değişmemiş"/>
        <s v="getir yemek sistemini askıya almışlar acelesi yok atarım dedi/aradık telefon kapalı"/>
        <s v="1 sat sonra arancak-temmuzun basında arnsın suan zaman ayıramam dedı"/>
        <s v="bacası kırıldıgı için iptal etti. tadilat var bittiğinde dönüş yapacaklar./2647772800 bir kaç gün sonra arayın dedi"/>
        <s v="paneli kapalı açtığında kendisi dönüş yapacak"/>
        <n v="5.363564297E9"/>
        <s v="bu hafta işletmede olamayacakmış o yüzden ileride istiyor"/>
        <s v="5412936637 gönderecekmiş/aradık açmadı/ulaşılmıyor"/>
        <s v="iki işletmesi var sıkıntıları var çözülmeden aranmasın"/>
        <s v="5321584000-MUHLİS BEY 1 hafta sonra aransın ustam ile görüşecegim yeni açılıyorum durumam bakmam gerek dedi-çekim sağlanmış yetkili yoktu personel çoğu ürün çekildi dedi ama yetkili ile tekrar iletişime geçilebilir."/>
        <s v="ürünlerinin hepsinin fotoğrafı çekilmiş ancak sistem de yok"/>
        <s v="uzun süre tadilattaydık ben istersem dönüş yaparım dedi//çekım ıstemedıgını belırttı paket servısını kullanmıyor"/>
        <s v="çekim sağlanmış eksik 1-2 ürünü varmış "/>
        <s v="tüm ürünlerin çekimleri gerçekleştirilmiş"/>
        <s v="RANDEVU İPTAL ETMİŞTİ KENDİSİ DÖNÜŞ YAPICAKMIŞ -KENDİSİ DÖNÜŞ YAPICAK/ çalıyor ama acan yok"/>
        <s v="uğraşmak istemiyormuş-MAİL VERILDI ATACAKMIS FOTOGRAFLARI/gönderecegiz tekrar aramayın dediler."/>
        <s v="Ali Bey 5305950631 Yetkililer ankaradaymış telefon numaralarını aldım"/>
        <s v="mail attıldı "/>
        <s v="özge hanım 05444469054 randevu alındı  - "/>
        <s v="mail adresi veridi"/>
        <s v="1 saat sonra ara"/>
        <s v="şuan müsait değil yoğun saatler daha sonraki saatlerde tekrar aransın"/>
        <s v="fotograflar paylaşılmıyor diye istemedi tavrı çok net ben çekim yaptırırsam atarım mail dedi"/>
        <s v="kıloyla satıgım ıcın  urunlerı porserlen tabaga koyamıyorum dedı"/>
        <s v="devam çekimi için arandı istediğimiz ürünler çekildi gerek yok dedi"/>
        <s v="ızgara bölümünü yaptıktan sonra kendisi dönüş sağlayacak//getiri kapatıyormuş"/>
        <s v="Rahman Bey 5527440554 / faaliyet göstermiyolarmış ne zaman başlayacaklarıda belli değilmiş"/>
        <s v="devam çekimi yapılmış ürünler yüklendikten sonra eksik kalan ürünlere göre belki ağustos sonu devam çekimi yapılabilir dedi"/>
        <s v="Ürünlerin tamamının çekimi sağlanmış eksik ürün yok sisteme yüklenmesini talep ediyor."/>
        <s v="çekim sağlanmış eksik ürünler var menü güncellenmesi yapılacak haftaya devam çekimi talep ediyor."/>
        <s v="devam çekimi istiyor ama saat 16.00dan sonra randevu istiyor"/>
        <s v="yetkili yok gelince arayacak/Adem bey/biz çektirdik fotoğrafları gerek yok dedi mail verecektim yoğunmuş"/>
        <s v="devam çekimi için bayramdan sonra aranmak istedi"/>
        <s v="Devam çekimi alınabilecek kadar ürün bulunmamakta "/>
        <s v="istemiyor."/>
        <s v="Devam Çekimi ravndevusu"/>
        <s v="sistemi kullanmayı bilmiyor ve yardım istemişler yardım edilmemiş"/>
        <s v="kurumsal"/>
        <s v="Ahmet bey /çalmadı hat düşmedi"/>
        <s v="devam çekimi alındı"/>
        <n v="5.330530054E9"/>
        <s v="sürekli erteliyor yaptığım ürünler çöpe gidecek o yüzden olumlu bakmıyorum dedi.//sadece sıparıs uzerıne calısıyoruz dedı bu yuzden ıstemedıgını belırttı "/>
        <s v="MAİL OLARAK YOLLANILACAK/başkası ile görüşüyor./KURYE SORUNU YAŞAMIŞLAR GETİRDEN KURYE İSTİYOR.FAKAT GETİRİN KURYESİ YOKMUŞ MERKEZİN NUMARASI VERİLDİ MERKEZLE GÖRÜŞÜCEK SONRA FOTOĞRAFLARI ATICAK."/>
        <n v="5.306515461E9"/>
        <s v="maile atacak fotoğrafları eğer sistem kabul etmezse randevu oluşturulacak/hala göndermemiş göndereceklermiş."/>
        <s v=".. ulaşılamıyor önce açtı yüzüme kapattı sonra meşgule attı muhtemelen uyuyordu yine aransın istemedi ısrar etmeyin dedi"/>
        <s v="geri kalan 12 ürünün çekilmesine gerek yok dedi aranmasın "/>
        <s v="2 hafta sonra bi daha sorulsun dç isteyip istemediği - işletme kapalı "/>
        <s v="5434276506 müşteriler siparişlerle görselleri karşılaştırıp sorun çıkarabiliyor istemiyorum dedi"/>
        <s v="Randevu oluşturulmuştu fakat iptal edilmiş.Menü güncelliyor bayramdan sonra aranıp randevusu oluşturulabilir."/>
        <s v="ulaşılamadı"/>
        <s v="benim çok çeşit ürünüm var çıkarırsam nolacak dedi 10 15 ürün çıkarılabilir desek bile kabul etmedi benim ürün çıkarcak iş gücüm yok dedi"/>
        <s v="çekim yapılmış sisteme fotoğraflar yüklenmemiş"/>
        <s v="Devam Çekimi Talep Ediyor uygun tarihe randevu oluiturulsun."/>
        <s v="diğer şubenin fotoğraf çekimi olmuş fakat saklı köşk balık adlı restoranın fotoğrafı çekilmemiş.çekilmesini talep ediyor"/>
        <s v="masa müşterisi açılınca yogun olduk getiri açamıyorum bile çünkü yetişemiyorum çekim istemiyorum bu durumda der"/>
        <s v="İstemedi"/>
        <s v="devam çekimi alınmış"/>
        <s v="ulaşılamadı /acmadı"/>
        <s v="dç talep etmiyor"/>
        <s v="bana külfet olur istemiyorum dedi daha sonra ben çekim yapayım dedi. //yt yok"/>
        <n v="5.301123154E9"/>
        <s v="FOTOLARI SİLDİRMİŞ // devam çekimi talep etmiyor"/>
        <s v="YASAKLARDAN SONRA GÖNDERİCEKMİŞ./teyit için arandı yetkili yok./aradık açmadılar."/>
        <s v="fotografları zecakir@hotmail.com adresinden göndermişler."/>
        <s v="dönüş sağlacam babam ve abim hastanede dedi "/>
        <s v="Avni/5425253801"/>
        <s v="ek iş olarak prof cekim yapıyoruz cektim atacagım dedi /aklımdan cıkmış bugün gönderyeim dediler./kuryeyle ilgili bi sorun varmış .sorunu halletsin atıcakmış.."/>
        <s v="kendi fotoğrafları var ama arkadaşlarıyla istişare edip yarın arayacak"/>
        <s v="dç bayramdan sonrası için ulaşılabilir dedi"/>
        <s v="bayramdan sonra devam çekimi belki olabilir dedi"/>
        <s v="Rüstem Bey "/>
        <s v="bütün ürünlerin çekimleri gerçekleşmiş"/>
        <s v="bütün ürünlerin hepsi çekildi"/>
        <s v="çekim sağlanmış eksik ürün var fakat devam çekimi talep etmiyor."/>
        <s v="eşi gerekli bulmuyormuş"/>
        <s v="bu şube daha inşaatta dedi. /MERKEZ ILE GRUSULUP DAHA SONRA BIZE RESIMLERI ULASTIRACAKTIR 65.SUBESINI ACIYORMUS HEPSI BITSIN ATCAGINI SOYLEDI"/>
        <s v="mail yollanılcak/ilgilenen arkadaş pazartesi burada oluyor pazartesi arayın dediler."/>
        <s v="istemediğini söyledi/5398655393 pandemi geçsin bi önümüzü görelim sonra dedi-ISTEMEDGINI SOYLEDI HIC/fotografçı oyalıuyor bızı ıstemıyoruz  dedı"/>
        <s v="5445405469 volkan bey çekim sağlanmış,bütün ürünleri çekilmiş devam çekimi talep etmiyor."/>
        <s v="maile fotoları atmış/MAIL OLARAK ATMIS AMA TEKRARDAN ATACAGINI BELIRTTI/BÜTÜN ÜRÜNLERİNİN FOTOĞRAFINI ATMIŞ ANCAK SİSTEM DE YOK - - sistemi kapattım dedi "/>
        <s v="DEVAM ÇEKİMİ RANDEVUSU"/>
        <s v="devam çekimi istemiyor."/>
        <n v="5.379766005E9"/>
        <s v="10eylül gibi geleceğim askerden aşçı başı benim dedi o zaman olabilirmiş "/>
        <s v="şuanlık devam çekimi istemiyor ziyan oluyor dedi biraz daha bekleyelim işler hareketlenirse yaparız dedi"/>
        <s v="eylül gibi aransın dedi"/>
        <s v="okullar açıldığında kullanmayı planlıyormuş sistemi o zaman olabilir dedi / işletme kapanmış "/>
        <s v="ekim gibi arayın şuan tabaklama işlemini gerçekleştiremem dedi/fotoğraflarımız var ama tekrar çektirmek istersek biz döneriz dedi Ezgi hanımın numarasını aldı/aradık hat meşgul."/>
        <s v="izzet bey eşi ile görüşüldü/göndermemişler göndereceklermiş."/>
        <s v="Cafer Bey Ortağıyla görüşüp dönecek/Savaş bey hastaymış kendileri arayacaklar"/>
        <s v="devam çekimi talep etmiyor"/>
        <s v="Ali Bey 5432072425 "/>
        <s v="Umut Bey"/>
        <s v="61ea825c53a9c471f34ae299"/>
        <s v="5332346953 yetkili numarası /ramazandan sonra"/>
        <s v="istemedi  "/>
        <s v="Şuan tadilattalarmış önümüzdeki ay başında aranacak"/>
        <s v="devam çekimi olabilir dedi"/>
        <s v="Gürkan Bey"/>
        <s v="maıj verıldı fotografları meıle atıcakmıs - 2 hafta sonra sonra tekrardan aranacak  şuan kapattım paneli dedi "/>
        <s v="dç istiyor ama 10 ya da 12 de boşluk olunca rand oluşturulsun"/>
        <s v="ilgilenmediğini aranmaması gerektiği,ni söyledi/personel eksıklıgınden suan ıstemıyor ılerleyen zamanda bız sızı ararız kararımız değışırse dedı"/>
        <s v="getir hiç ilgilenmiyomuş dert yandı"/>
      </sharedItems>
    </cacheField>
    <cacheField name="Randevu Alma &#10;Tarihi" numFmtId="0">
      <sharedItems containsDate="1" containsString="0" containsBlank="1">
        <m/>
        <d v="2021-04-13T00:00:00Z"/>
        <d v="2021-04-28T00:00:00Z"/>
        <d v="2021-06-16T00:00:00Z"/>
        <d v="2021-05-24T00:00:00Z"/>
        <d v="2021-06-15T00:00:00Z"/>
        <d v="2021-03-30T00:00:00Z"/>
        <d v="2022-02-16T00:00:00Z"/>
        <d v="2021-06-01T00:00:00Z"/>
        <d v="2021-05-28T00:00:00Z"/>
        <d v="2021-06-21T00:00:00Z"/>
        <d v="2022-02-18T00:00:00Z"/>
        <d v="2021-07-02T00:00:00Z"/>
        <d v="2021-04-07T00:00:00Z"/>
        <d v="2022-03-01T00:00:00Z"/>
        <d v="2021-05-26T00:00:00Z"/>
        <d v="2021-06-18T00:00:00Z"/>
        <d v="2022-02-23T00:00:00Z"/>
        <d v="2021-04-09T00:00:00Z"/>
        <d v="2021-06-09T00:00:00Z"/>
        <d v="2021-06-11T00:00:00Z"/>
        <d v="2021-05-10T00:00:00Z"/>
        <d v="2021-04-22T00:00:00Z"/>
        <d v="2022-02-11T00:00:00Z"/>
        <d v="2021-06-03T00:00:00Z"/>
        <d v="2021-04-14T00:00:00Z"/>
        <d v="2022-02-15T00:00:00Z"/>
        <d v="2021-04-20T00:00:00Z"/>
        <d v="2021-05-17T00:00:00Z"/>
        <d v="2021-05-21T00:00:00Z"/>
        <d v="2021-05-27T00:00:00Z"/>
        <d v="2021-05-25T00:00:00Z"/>
        <d v="2021-06-29T00:00:00Z"/>
        <d v="2021-06-07T00:00:00Z"/>
        <d v="2021-07-12T00:00:00Z"/>
        <d v="2021-06-02T00:00:00Z"/>
        <d v="2022-02-21T00:00:00Z"/>
        <d v="2021-06-30T00:00:00Z"/>
        <d v="2021-05-18T00:00:00Z"/>
        <d v="2021-07-01T00:00:00Z"/>
        <d v="2021-03-29T00:00:00Z"/>
        <d v="2021-04-26T00:00:00Z"/>
        <d v="2021-04-12T00:00:00Z"/>
        <d v="2022-02-14T00:00:00Z"/>
        <d v="2021-06-28T00:00:00Z"/>
        <d v="2021-06-24T00:00:00Z"/>
        <d v="2021-04-19T00:00:00Z"/>
        <d v="2021-07-28T00:00:00Z"/>
        <d v="2021-06-10T00:00:00Z"/>
        <d v="2022-02-17T00:00:00Z"/>
        <d v="2021-06-08T00:00:00Z"/>
        <d v="2021-04-15T00:00:00Z"/>
        <d v="2021-04-01T00:00:00Z"/>
        <d v="2021-04-06T00:00:00Z"/>
        <d v="2021-05-19T00:00:00Z"/>
        <d v="2021-03-01T00:00:00Z"/>
        <d v="2021-06-04T00:00:00Z"/>
        <d v="2021-05-31T00:00:00Z"/>
        <d v="2021-04-08T00:00:00Z"/>
        <d v="2022-02-24T00:00:00Z"/>
      </sharedItems>
    </cacheField>
    <cacheField name="Randevu &#10;Tarihi" numFmtId="0">
      <sharedItems containsDate="1" containsString="0" containsBlank="1">
        <m/>
        <d v="2021-04-14T00:00:00Z"/>
        <d v="2021-04-29T00:00:00Z"/>
        <d v="2021-06-21T00:00:00Z"/>
        <d v="2021-05-24T00:00:00Z"/>
        <d v="2021-06-17T00:00:00Z"/>
        <d v="2021-04-02T00:00:00Z"/>
        <d v="2022-02-17T00:00:00Z"/>
        <d v="2021-06-02T00:00:00Z"/>
        <d v="2021-06-24T00:00:00Z"/>
        <d v="2022-02-21T00:00:00Z"/>
        <d v="2021-07-05T00:00:00Z"/>
        <d v="2021-04-08T00:00:00Z"/>
        <d v="2022-03-02T00:00:00Z"/>
        <d v="2021-05-27T00:00:00Z"/>
        <d v="2021-06-23T00:00:00Z"/>
        <d v="2022-02-24T00:00:00Z"/>
        <d v="2021-04-12T00:00:00Z"/>
        <d v="2021-06-15T00:00:00Z"/>
        <d v="2021-06-16T00:00:00Z"/>
        <d v="2021-05-17T00:00:00Z"/>
        <d v="2021-04-26T00:00:00Z"/>
        <d v="2022-02-14T00:00:00Z"/>
        <d v="2021-06-07T00:00:00Z"/>
        <d v="2021-06-01T00:00:00Z"/>
        <d v="2022-02-16T00:00:00Z"/>
        <d v="2021-04-21T00:00:00Z"/>
        <d v="2021-05-19T00:00:00Z"/>
        <d v="2021-05-25T00:00:00Z"/>
        <d v="2021-05-31T00:00:00Z"/>
        <d v="2021-05-26T00:00:00Z"/>
        <d v="2021-06-18T00:00:00Z"/>
        <d v="2021-06-30T00:00:00Z"/>
        <d v="2021-06-09T00:00:00Z"/>
        <d v="2022-02-18T00:00:00Z"/>
        <d v="2021-07-13T00:00:00Z"/>
        <d v="2021-06-04T00:00:00Z"/>
        <d v="2022-02-22T00:00:00Z"/>
        <d v="2021-07-01T00:00:00Z"/>
        <d v="2021-03-31T00:00:00Z"/>
        <d v="2021-04-27T00:00:00Z"/>
        <d v="2021-06-03T00:00:00Z"/>
        <d v="2021-05-20T00:00:00Z"/>
        <d v="2021-04-13T00:00:00Z"/>
        <d v="2021-06-25T00:00:00Z"/>
        <d v="2021-06-22T00:00:00Z"/>
        <d v="2021-04-01T00:00:00Z"/>
        <d v="2022-02-15T00:00:00Z"/>
        <d v="2021-06-29T00:00:00Z"/>
        <d v="2021-04-19T00:00:00Z"/>
        <d v="2021-07-29T00:00:00Z"/>
        <d v="2021-06-28T00:00:00Z"/>
        <d v="2021-05-18T00:00:00Z"/>
        <d v="2021-05-28T00:00:00Z"/>
        <d v="2021-06-10T00:00:00Z"/>
        <d v="2021-04-15T00:00:00Z"/>
        <d v="2021-04-07T00:00:00Z"/>
        <d v="2021-05-21T00:00:00Z"/>
        <d v="2021-03-07T00:00:00Z"/>
        <d v="2021-06-08T00:00:00Z"/>
        <d v="2021-04-20T00:00:00Z"/>
        <d v="2021-06-14T00:00:00Z"/>
        <d v="2021-04-28T00:00:00Z"/>
        <d v="2021-04-09T00:00:00Z"/>
      </sharedItems>
    </cacheField>
    <cacheField name="Anket&#10;Durum" numFmtId="0">
      <sharedItems containsBlank="1">
        <m/>
        <s v="Fotoğraflarım Var"/>
        <s v="Hemen Randevu İstiyorum"/>
        <s v="İleride Randevu İstiyorum"/>
      </sharedItems>
    </cacheField>
    <cacheField name="1. Arama" numFmtId="0">
      <sharedItems containsBlank="1">
        <s v="Görüşüldü"/>
        <m/>
        <s v="Ulaşılamadı"/>
        <s v="Dönüş Yapacak"/>
        <s v="Tekrar Aranacak"/>
        <s v="Yetkili Yo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özet" cacheId="0" dataCaption="" compact="0" compactData="0">
  <location ref="U1:W67" firstHeaderRow="0" firstDataRow="1" firstDataCol="1"/>
  <pivotFields>
    <pivotField name="Restauran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Restoran&#10;Ad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Satışa&#10;Açık Mı?" compact="0" outline="0" multipleItemSelectionAllowed="1" showAll="0">
      <items>
        <item x="0"/>
        <item x="1"/>
        <item t="default"/>
      </items>
    </pivotField>
    <pivotField name="Mutf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PLAM&#10;SİPARİ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name="SON 2 &#10;HA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RESİMLİ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SİMSİZ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TOPLAM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Ratio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Yetk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name="Telef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t="default"/>
      </items>
    </pivotField>
    <pivotField name="İLÇ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H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AD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Geleneksel&#10;Zincir" compact="0" outline="0" multipleItemSelectionAllowed="1" showAll="0">
      <items>
        <item x="0"/>
        <item x="1"/>
        <item t="default"/>
      </items>
    </pivotField>
    <pivotField name="FOTOĞRAF SEGMENT" axis="axisCol" compact="0" outline="0" multipleItemSelectionAllowed="1" showAll="0" sortType="ascending">
      <items>
        <item x="0"/>
        <item t="default"/>
      </items>
    </pivotField>
    <pivotField name="Aradık Mı?" compact="0" outline="0" multipleItemSelectionAllowed="1" showAll="0">
      <items>
        <item x="0"/>
        <item x="1"/>
        <item t="default"/>
      </items>
    </pivotField>
    <pivotField name="Kendi Fotosu Var" compact="0" outline="0" multipleItemSelectionAllowed="1" showAll="0">
      <items>
        <item x="0"/>
        <item x="1"/>
        <item t="default"/>
      </items>
    </pivotField>
    <pivotField name="Randevu &#10;Durum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andevu&#10;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otoğrafçı" compact="0" outline="0" multipleItemSelectionAllowed="1" showAll="0">
      <items>
        <item x="0"/>
        <item x="1"/>
        <item x="2"/>
        <item x="3"/>
        <item t="default"/>
      </items>
    </pivotField>
    <pivotField name="N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Randevu Alma &#10;Tarih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andevu &#10;Tarihi" axis="axisRow" compact="0" outline="0" multipleItemSelectionAllowed="1" showAll="0" sortType="ascending">
      <items>
        <item x="0"/>
        <item x="58"/>
        <item x="39"/>
        <item x="46"/>
        <item x="6"/>
        <item x="56"/>
        <item x="12"/>
        <item x="63"/>
        <item x="17"/>
        <item x="43"/>
        <item x="1"/>
        <item x="55"/>
        <item x="49"/>
        <item x="60"/>
        <item x="26"/>
        <item x="21"/>
        <item x="40"/>
        <item x="62"/>
        <item x="2"/>
        <item x="20"/>
        <item x="52"/>
        <item x="27"/>
        <item x="42"/>
        <item x="57"/>
        <item x="4"/>
        <item x="28"/>
        <item x="30"/>
        <item x="14"/>
        <item x="53"/>
        <item x="29"/>
        <item x="24"/>
        <item x="8"/>
        <item x="41"/>
        <item x="36"/>
        <item x="23"/>
        <item x="59"/>
        <item x="33"/>
        <item x="54"/>
        <item x="61"/>
        <item x="18"/>
        <item x="19"/>
        <item x="5"/>
        <item x="31"/>
        <item x="3"/>
        <item x="45"/>
        <item x="15"/>
        <item x="9"/>
        <item x="44"/>
        <item x="51"/>
        <item x="48"/>
        <item x="32"/>
        <item x="38"/>
        <item x="11"/>
        <item x="35"/>
        <item x="50"/>
        <item x="22"/>
        <item x="47"/>
        <item x="25"/>
        <item x="7"/>
        <item x="34"/>
        <item x="10"/>
        <item x="37"/>
        <item x="16"/>
        <item x="13"/>
        <item t="default"/>
      </items>
    </pivotField>
    <pivotField name="Anket&#10;Durum" compact="0" outline="0" multipleItemSelectionAllowed="1" showAll="0">
      <items>
        <item x="0"/>
        <item x="1"/>
        <item x="2"/>
        <item x="3"/>
        <item t="default"/>
      </items>
    </pivotField>
    <pivotField name="1. A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4"/>
  </rowFields>
  <colFields>
    <field x="16"/>
  </colFields>
  <dataFields>
    <dataField name="COUNTA of Restaurant ID" fld="0" subtotal="count" baseField="0"/>
  </dataFields>
</pivotTableDefinition>
</file>

<file path=xl/pivotTables/pivotTable2.xml><?xml version="1.0" encoding="utf-8"?>
<pivotTableDefinition xmlns="http://schemas.openxmlformats.org/spreadsheetml/2006/main" name="özet 2" cacheId="0" dataCaption="" compact="0" compactData="0">
  <location ref="G21:H22" firstHeaderRow="0" firstDataRow="1" firstDataCol="0" rowPageCount="3" colPageCount="1"/>
  <pivotFields>
    <pivotField name="Restaura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Restoran&#10;Ad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Satışa&#10;Açık Mı?" axis="axisPage" compact="0" outline="0" multipleItemSelectionAllowed="1" showAll="0">
      <items>
        <item h="1" x="0"/>
        <item h="1" x="1"/>
        <item t="default"/>
      </items>
    </pivotField>
    <pivotField name="Mutf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PLAM&#10;SİPARİ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name="SON 2 &#10;HAF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RESİMLİ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SİMSİZ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TOPLAM&#10;ÜRÜ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Ratio" axis="axisPage" compact="0" numFmtId="9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t="default"/>
      </items>
    </pivotField>
    <pivotField name="Yetk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name="Telef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t="default"/>
      </items>
    </pivotField>
    <pivotField name="İLÇE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H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AD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Geleneksel&#10;Zincir" compact="0" outline="0" multipleItemSelectionAllowed="1" showAll="0">
      <items>
        <item x="0"/>
        <item x="1"/>
        <item t="default"/>
      </items>
    </pivotField>
    <pivotField name="FOTOĞRAF SEGMENT" compact="0" outline="0" multipleItemSelectionAllowed="1" showAll="0">
      <items>
        <item x="0"/>
        <item t="default"/>
      </items>
    </pivotField>
    <pivotField name="Aradık Mı?" compact="0" outline="0" multipleItemSelectionAllowed="1" showAll="0">
      <items>
        <item x="0"/>
        <item x="1"/>
        <item t="default"/>
      </items>
    </pivotField>
    <pivotField name="Kendi Fotosu Var" compact="0" outline="0" multipleItemSelectionAllowed="1" showAll="0">
      <items>
        <item x="0"/>
        <item x="1"/>
        <item t="default"/>
      </items>
    </pivotField>
    <pivotField name="Randevu &#10;Durumu" axis="axisPage" compact="0" outline="0" multipleItemSelectionAllowed="1" showAll="0">
      <items>
        <item x="0"/>
        <item x="1"/>
        <item h="1" x="2"/>
        <item x="3"/>
        <item x="4"/>
        <item x="5"/>
        <item h="1" x="6"/>
        <item x="7"/>
        <item h="1" x="8"/>
        <item x="9"/>
        <item h="1" x="10"/>
        <item x="11"/>
        <item h="1" x="12"/>
        <item h="1" x="13"/>
        <item h="1" x="14"/>
        <item x="15"/>
        <item t="default"/>
      </items>
    </pivotField>
    <pivotField name="Randevu&#10;A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otoğrafçı" compact="0" outline="0" multipleItemSelectionAllowed="1" showAll="0">
      <items>
        <item x="0"/>
        <item x="1"/>
        <item x="2"/>
        <item x="3"/>
        <item t="default"/>
      </items>
    </pivotField>
    <pivotField name="N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Randevu Alma &#10;Tarih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Randevu &#10;Tarih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Anket&#10;Durum" compact="0" outline="0" multipleItemSelectionAllowed="1" showAll="0">
      <items>
        <item x="0"/>
        <item x="1"/>
        <item x="2"/>
        <item x="3"/>
        <item t="default"/>
      </items>
    </pivotField>
    <pivotField name="1. Aram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2"/>
  </rowFields>
  <pageFields>
    <pageField fld="2"/>
    <pageField fld="9"/>
    <pageField fld="19"/>
  </pageFields>
  <dataFields>
    <dataField name="COUNTA of İLÇE" fld="1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k.no:21/" TargetMode="External"/><Relationship Id="rId2" Type="http://schemas.openxmlformats.org/officeDocument/2006/relationships/hyperlink" Target="http://cad.no:4/" TargetMode="External"/><Relationship Id="rId3" Type="http://schemas.openxmlformats.org/officeDocument/2006/relationships/hyperlink" Target="http://cad.no:21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Kazan+%C3%87orba%2C+Kebap+(Ba%C5%9Fp%C4%B1nar+Mah.)+sakarya+tel&amp;oq=Kazan+%C3%87orba%2C+Kebap+(Ba%C5%9Fp%C4%B1nar+Mah.)+sakarya+tel&amp;aqs=chrome..69i57.5980j0j7&amp;sourceid=chrome&amp;ie=UTF-8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3.25"/>
    <col customWidth="1" min="5" max="5" width="42.25"/>
    <col customWidth="1" min="7" max="7" width="24.0"/>
    <col customWidth="1" min="8" max="8" width="22.38"/>
    <col customWidth="1" min="9" max="9" width="24.75"/>
    <col customWidth="1" min="12" max="12" width="11.5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7" t="s">
        <v>11</v>
      </c>
      <c r="M1" s="4" t="s">
        <v>12</v>
      </c>
      <c r="N1" s="4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hidden="1">
      <c r="A2" s="9"/>
      <c r="B2" s="9">
        <v>44286.0</v>
      </c>
      <c r="C2" s="10"/>
      <c r="D2" s="11"/>
      <c r="E2" s="12"/>
      <c r="F2" s="12"/>
      <c r="G2" s="12"/>
      <c r="H2" s="12"/>
      <c r="I2" s="12"/>
      <c r="J2" s="12"/>
      <c r="K2" s="13"/>
      <c r="L2" s="14"/>
      <c r="M2" s="14"/>
      <c r="N2" s="14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hidden="1">
      <c r="A3" s="16" t="s">
        <v>14</v>
      </c>
      <c r="B3" s="10"/>
      <c r="C3" s="17"/>
      <c r="D3" s="18"/>
      <c r="E3" s="18"/>
      <c r="F3" s="19"/>
      <c r="G3" s="18"/>
      <c r="H3" s="18"/>
      <c r="I3" s="18"/>
      <c r="J3" s="10"/>
      <c r="K3" s="10"/>
      <c r="L3" s="14"/>
      <c r="M3" s="14" t="b">
        <v>0</v>
      </c>
      <c r="N3" s="14" t="b">
        <v>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hidden="1">
      <c r="A4" s="20"/>
      <c r="B4" s="21" t="s">
        <v>15</v>
      </c>
      <c r="C4" s="17" t="s">
        <v>16</v>
      </c>
      <c r="D4" s="22" t="s">
        <v>17</v>
      </c>
      <c r="E4" s="22" t="s">
        <v>18</v>
      </c>
      <c r="F4" s="23">
        <v>0.4583333333333333</v>
      </c>
      <c r="G4" s="17" t="s">
        <v>19</v>
      </c>
      <c r="H4" s="24" t="s">
        <v>20</v>
      </c>
      <c r="I4" s="22" t="s">
        <v>21</v>
      </c>
      <c r="J4" s="10"/>
      <c r="K4" s="10"/>
      <c r="L4" s="14">
        <f>VLOOKUP(D4,'Hedef Liste'!A:I,8,false)</f>
        <v>25</v>
      </c>
      <c r="M4" s="14" t="b">
        <v>0</v>
      </c>
      <c r="N4" s="14" t="b">
        <v>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hidden="1">
      <c r="A5" s="20"/>
      <c r="B5" s="21" t="s">
        <v>15</v>
      </c>
      <c r="C5" s="17" t="s">
        <v>22</v>
      </c>
      <c r="D5" s="22" t="s">
        <v>23</v>
      </c>
      <c r="E5" s="25" t="s">
        <v>24</v>
      </c>
      <c r="F5" s="23">
        <v>0.5416666666666666</v>
      </c>
      <c r="G5" s="17" t="s">
        <v>19</v>
      </c>
      <c r="H5" s="25" t="s">
        <v>25</v>
      </c>
      <c r="I5" s="22" t="s">
        <v>26</v>
      </c>
      <c r="J5" s="10"/>
      <c r="K5" s="10"/>
      <c r="L5" s="14" t="str">
        <f>VLOOKUP(D5,'Hedef Liste'!A:I,8,false)</f>
        <v>#N/A</v>
      </c>
      <c r="M5" s="14" t="b">
        <v>0</v>
      </c>
      <c r="N5" s="14" t="b">
        <v>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hidden="1">
      <c r="A6" s="20"/>
      <c r="B6" s="21" t="s">
        <v>15</v>
      </c>
      <c r="C6" s="26" t="s">
        <v>27</v>
      </c>
      <c r="D6" s="27" t="s">
        <v>28</v>
      </c>
      <c r="E6" s="27" t="s">
        <v>29</v>
      </c>
      <c r="F6" s="28" t="s">
        <v>30</v>
      </c>
      <c r="G6" s="26" t="s">
        <v>19</v>
      </c>
      <c r="H6" s="26" t="s">
        <v>31</v>
      </c>
      <c r="I6" s="27" t="s">
        <v>32</v>
      </c>
      <c r="J6" s="17" t="s">
        <v>33</v>
      </c>
      <c r="K6" s="10"/>
      <c r="L6" s="14">
        <f>VLOOKUP(D6,'Hedef Liste'!A:I,8,false)</f>
        <v>33</v>
      </c>
      <c r="M6" s="14" t="b">
        <v>0</v>
      </c>
      <c r="N6" s="14" t="b">
        <v>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hidden="1">
      <c r="A7" s="20"/>
      <c r="B7" s="21" t="s">
        <v>15</v>
      </c>
      <c r="C7" s="29" t="s">
        <v>22</v>
      </c>
      <c r="D7" s="22" t="s">
        <v>34</v>
      </c>
      <c r="E7" s="22" t="s">
        <v>35</v>
      </c>
      <c r="F7" s="30" t="s">
        <v>36</v>
      </c>
      <c r="G7" s="17" t="s">
        <v>19</v>
      </c>
      <c r="H7" s="31" t="s">
        <v>37</v>
      </c>
      <c r="I7" s="22" t="s">
        <v>38</v>
      </c>
      <c r="J7" s="10"/>
      <c r="K7" s="10"/>
      <c r="L7" s="14">
        <f>VLOOKUP(D7,'Hedef Liste'!A:I,8,false)</f>
        <v>3</v>
      </c>
      <c r="M7" s="14" t="b">
        <v>0</v>
      </c>
      <c r="N7" s="14" t="b">
        <v>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hidden="1">
      <c r="A8" s="32"/>
      <c r="B8" s="10"/>
      <c r="C8" s="10"/>
      <c r="D8" s="31"/>
      <c r="E8" s="31"/>
      <c r="F8" s="23"/>
      <c r="G8" s="31"/>
      <c r="H8" s="31"/>
      <c r="I8" s="31"/>
      <c r="J8" s="10"/>
      <c r="K8" s="10"/>
      <c r="L8" s="14"/>
      <c r="M8" s="14" t="b">
        <v>0</v>
      </c>
      <c r="N8" s="14" t="b">
        <v>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hidden="1">
      <c r="A9" s="9"/>
      <c r="B9" s="9">
        <v>44287.0</v>
      </c>
      <c r="C9" s="10"/>
      <c r="D9" s="11"/>
      <c r="E9" s="12"/>
      <c r="F9" s="12"/>
      <c r="G9" s="12"/>
      <c r="H9" s="12"/>
      <c r="I9" s="12"/>
      <c r="J9" s="12"/>
      <c r="K9" s="13"/>
      <c r="L9" s="14"/>
      <c r="M9" s="14"/>
      <c r="N9" s="1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hidden="1">
      <c r="A10" s="16" t="s">
        <v>14</v>
      </c>
      <c r="B10" s="10"/>
      <c r="C10" s="17"/>
      <c r="D10" s="18"/>
      <c r="E10" s="18"/>
      <c r="F10" s="19"/>
      <c r="G10" s="18"/>
      <c r="H10" s="18"/>
      <c r="I10" s="18"/>
      <c r="J10" s="10"/>
      <c r="K10" s="10"/>
      <c r="L10" s="14"/>
      <c r="M10" s="14" t="b">
        <v>0</v>
      </c>
      <c r="N10" s="14" t="b">
        <v>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hidden="1">
      <c r="A11" s="20"/>
      <c r="B11" s="21" t="s">
        <v>15</v>
      </c>
      <c r="C11" s="17" t="s">
        <v>16</v>
      </c>
      <c r="D11" s="33" t="s">
        <v>39</v>
      </c>
      <c r="E11" s="33" t="s">
        <v>40</v>
      </c>
      <c r="F11" s="34">
        <v>0.4583333333333333</v>
      </c>
      <c r="G11" s="35" t="s">
        <v>19</v>
      </c>
      <c r="H11" s="36" t="s">
        <v>41</v>
      </c>
      <c r="I11" s="33" t="s">
        <v>42</v>
      </c>
      <c r="J11" s="37"/>
      <c r="K11" s="37"/>
      <c r="L11" s="14">
        <f>VLOOKUP(D11,'Hedef Liste'!A:I,8,false)</f>
        <v>38</v>
      </c>
      <c r="M11" s="14" t="b">
        <v>0</v>
      </c>
      <c r="N11" s="14" t="b">
        <v>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hidden="1">
      <c r="A12" s="20"/>
      <c r="B12" s="21" t="s">
        <v>15</v>
      </c>
      <c r="C12" s="17" t="s">
        <v>16</v>
      </c>
      <c r="D12" s="33" t="s">
        <v>43</v>
      </c>
      <c r="E12" s="33" t="s">
        <v>44</v>
      </c>
      <c r="F12" s="34">
        <v>0.5416666666666666</v>
      </c>
      <c r="G12" s="35" t="s">
        <v>19</v>
      </c>
      <c r="H12" s="35" t="s">
        <v>45</v>
      </c>
      <c r="I12" s="33" t="s">
        <v>46</v>
      </c>
      <c r="J12" s="37"/>
      <c r="K12" s="37"/>
      <c r="L12" s="14" t="str">
        <f>VLOOKUP(D12,'Hedef Liste'!A:I,8,false)</f>
        <v>#N/A</v>
      </c>
      <c r="M12" s="14" t="b">
        <v>0</v>
      </c>
      <c r="N12" s="14" t="b">
        <v>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hidden="1">
      <c r="A13" s="20"/>
      <c r="B13" s="21" t="s">
        <v>15</v>
      </c>
      <c r="C13" s="26" t="s">
        <v>22</v>
      </c>
      <c r="D13" s="38" t="s">
        <v>47</v>
      </c>
      <c r="E13" s="38" t="s">
        <v>48</v>
      </c>
      <c r="F13" s="39" t="s">
        <v>30</v>
      </c>
      <c r="G13" s="40" t="s">
        <v>19</v>
      </c>
      <c r="H13" s="38" t="s">
        <v>49</v>
      </c>
      <c r="I13" s="38" t="s">
        <v>50</v>
      </c>
      <c r="J13" s="37"/>
      <c r="K13" s="37"/>
      <c r="L13" s="14" t="str">
        <f>VLOOKUP(D13,'Hedef Liste'!A:I,8,false)</f>
        <v>#N/A</v>
      </c>
      <c r="M13" s="14" t="b">
        <v>0</v>
      </c>
      <c r="N13" s="14" t="b">
        <v>0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hidden="1">
      <c r="A14" s="20"/>
      <c r="B14" s="21" t="s">
        <v>15</v>
      </c>
      <c r="C14" s="29" t="s">
        <v>22</v>
      </c>
      <c r="D14" s="33" t="s">
        <v>51</v>
      </c>
      <c r="E14" s="33" t="s">
        <v>52</v>
      </c>
      <c r="F14" s="41" t="s">
        <v>53</v>
      </c>
      <c r="G14" s="35" t="s">
        <v>19</v>
      </c>
      <c r="H14" s="42" t="s">
        <v>54</v>
      </c>
      <c r="I14" s="33" t="s">
        <v>55</v>
      </c>
      <c r="J14" s="37"/>
      <c r="K14" s="37"/>
      <c r="L14" s="14" t="str">
        <f>VLOOKUP(D14,'Hedef Liste'!A:I,8,false)</f>
        <v>#N/A</v>
      </c>
      <c r="M14" s="14" t="b">
        <v>0</v>
      </c>
      <c r="N14" s="14" t="b">
        <v>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hidden="1">
      <c r="A15" s="32"/>
      <c r="B15" s="10"/>
      <c r="C15" s="10"/>
      <c r="D15" s="42"/>
      <c r="E15" s="42"/>
      <c r="F15" s="34"/>
      <c r="G15" s="42"/>
      <c r="H15" s="42"/>
      <c r="I15" s="42"/>
      <c r="J15" s="37"/>
      <c r="K15" s="37"/>
      <c r="L15" s="14"/>
      <c r="M15" s="14" t="b">
        <v>0</v>
      </c>
      <c r="N15" s="14" t="b">
        <v>0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hidden="1">
      <c r="A16" s="9"/>
      <c r="B16" s="9">
        <v>44288.0</v>
      </c>
      <c r="C16" s="10"/>
      <c r="D16" s="43"/>
      <c r="E16" s="12"/>
      <c r="F16" s="12"/>
      <c r="G16" s="12"/>
      <c r="H16" s="12"/>
      <c r="I16" s="12"/>
      <c r="J16" s="12"/>
      <c r="K16" s="13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hidden="1">
      <c r="A17" s="16" t="s">
        <v>14</v>
      </c>
      <c r="B17" s="10"/>
      <c r="C17" s="17"/>
      <c r="D17" s="44"/>
      <c r="E17" s="44"/>
      <c r="F17" s="45"/>
      <c r="G17" s="44"/>
      <c r="H17" s="44"/>
      <c r="I17" s="44"/>
      <c r="J17" s="37"/>
      <c r="K17" s="37"/>
      <c r="L17" s="14"/>
      <c r="M17" s="14" t="b">
        <v>0</v>
      </c>
      <c r="N17" s="14" t="b">
        <v>0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hidden="1">
      <c r="A18" s="20"/>
      <c r="B18" s="21" t="s">
        <v>15</v>
      </c>
      <c r="C18" s="17" t="s">
        <v>16</v>
      </c>
      <c r="D18" s="33" t="s">
        <v>56</v>
      </c>
      <c r="E18" s="33" t="s">
        <v>57</v>
      </c>
      <c r="F18" s="34">
        <v>0.4583333333333333</v>
      </c>
      <c r="G18" s="36" t="s">
        <v>58</v>
      </c>
      <c r="H18" s="36" t="s">
        <v>59</v>
      </c>
      <c r="I18" s="33" t="s">
        <v>60</v>
      </c>
      <c r="J18" s="37"/>
      <c r="K18" s="37"/>
      <c r="L18" s="14">
        <f>VLOOKUP(D18,'Hedef Liste'!A:I,8,false)</f>
        <v>135</v>
      </c>
      <c r="M18" s="14" t="b">
        <v>0</v>
      </c>
      <c r="N18" s="14" t="b">
        <v>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hidden="1">
      <c r="A19" s="20"/>
      <c r="B19" s="21" t="s">
        <v>15</v>
      </c>
      <c r="C19" s="17" t="s">
        <v>16</v>
      </c>
      <c r="D19" s="33" t="s">
        <v>61</v>
      </c>
      <c r="E19" s="33" t="s">
        <v>62</v>
      </c>
      <c r="F19" s="34">
        <v>0.5416666666666666</v>
      </c>
      <c r="G19" s="35" t="s">
        <v>19</v>
      </c>
      <c r="H19" s="35" t="s">
        <v>63</v>
      </c>
      <c r="I19" s="33" t="s">
        <v>64</v>
      </c>
      <c r="J19" s="37"/>
      <c r="K19" s="37"/>
      <c r="L19" s="14">
        <f>VLOOKUP(D19,'Hedef Liste'!A:I,8,false)</f>
        <v>26</v>
      </c>
      <c r="M19" s="14" t="b">
        <v>0</v>
      </c>
      <c r="N19" s="14" t="b">
        <v>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hidden="1">
      <c r="A20" s="20"/>
      <c r="B20" s="21" t="s">
        <v>15</v>
      </c>
      <c r="C20" s="17" t="s">
        <v>16</v>
      </c>
      <c r="D20" s="33" t="s">
        <v>65</v>
      </c>
      <c r="E20" s="33" t="s">
        <v>66</v>
      </c>
      <c r="F20" s="41" t="s">
        <v>30</v>
      </c>
      <c r="G20" s="35" t="s">
        <v>19</v>
      </c>
      <c r="H20" s="35" t="s">
        <v>67</v>
      </c>
      <c r="I20" s="33" t="s">
        <v>68</v>
      </c>
      <c r="J20" s="37"/>
      <c r="K20" s="37"/>
      <c r="L20" s="14">
        <f>VLOOKUP(D20,'Hedef Liste'!A:I,8,false)</f>
        <v>25</v>
      </c>
      <c r="M20" s="14" t="b">
        <v>0</v>
      </c>
      <c r="N20" s="14" t="b">
        <v>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hidden="1">
      <c r="A21" s="20"/>
      <c r="B21" s="21" t="s">
        <v>15</v>
      </c>
      <c r="C21" s="29" t="s">
        <v>16</v>
      </c>
      <c r="D21" s="33" t="s">
        <v>69</v>
      </c>
      <c r="E21" s="46" t="s">
        <v>70</v>
      </c>
      <c r="F21" s="41" t="s">
        <v>36</v>
      </c>
      <c r="G21" s="36" t="s">
        <v>58</v>
      </c>
      <c r="H21" s="42" t="s">
        <v>71</v>
      </c>
      <c r="I21" s="33" t="s">
        <v>72</v>
      </c>
      <c r="J21" s="37"/>
      <c r="K21" s="37"/>
      <c r="L21" s="14" t="str">
        <f>VLOOKUP(D21,'Hedef Liste'!A:I,8,false)</f>
        <v>#N/A</v>
      </c>
      <c r="M21" s="14" t="b">
        <v>0</v>
      </c>
      <c r="N21" s="14" t="b">
        <v>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hidden="1">
      <c r="A22" s="32"/>
      <c r="B22" s="10"/>
      <c r="C22" s="10"/>
      <c r="D22" s="31"/>
      <c r="E22" s="31"/>
      <c r="F22" s="23"/>
      <c r="G22" s="31"/>
      <c r="H22" s="31"/>
      <c r="I22" s="31"/>
      <c r="J22" s="10"/>
      <c r="K22" s="10"/>
      <c r="L22" s="14"/>
      <c r="M22" s="14" t="b">
        <v>0</v>
      </c>
      <c r="N22" s="14" t="b">
        <v>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hidden="1">
      <c r="A23" s="9"/>
      <c r="B23" s="9">
        <v>44293.0</v>
      </c>
      <c r="C23" s="10"/>
      <c r="D23" s="11"/>
      <c r="E23" s="12"/>
      <c r="F23" s="12"/>
      <c r="G23" s="12"/>
      <c r="H23" s="12"/>
      <c r="I23" s="12"/>
      <c r="J23" s="12"/>
      <c r="K23" s="13"/>
      <c r="L23" s="14"/>
      <c r="M23" s="14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hidden="1">
      <c r="A24" s="16" t="s">
        <v>14</v>
      </c>
      <c r="B24" s="10"/>
      <c r="C24" s="17"/>
      <c r="D24" s="18"/>
      <c r="E24" s="18"/>
      <c r="F24" s="19"/>
      <c r="G24" s="18"/>
      <c r="H24" s="18"/>
      <c r="I24" s="18"/>
      <c r="J24" s="10"/>
      <c r="K24" s="10"/>
      <c r="L24" s="14"/>
      <c r="M24" s="14" t="b">
        <v>0</v>
      </c>
      <c r="N24" s="14" t="b">
        <v>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hidden="1">
      <c r="A25" s="20"/>
      <c r="B25" s="21" t="s">
        <v>15</v>
      </c>
      <c r="C25" s="17"/>
      <c r="D25" s="22"/>
      <c r="E25" s="22"/>
      <c r="F25" s="23"/>
      <c r="G25" s="17"/>
      <c r="H25" s="24"/>
      <c r="I25" s="22"/>
      <c r="J25" s="10"/>
      <c r="K25" s="10"/>
      <c r="L25" s="14" t="str">
        <f>VLOOKUP(D25,'Hedef Liste'!A:I,8,false)</f>
        <v>#N/A</v>
      </c>
      <c r="M25" s="14" t="b">
        <v>0</v>
      </c>
      <c r="N25" s="14" t="b">
        <v>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hidden="1">
      <c r="A26" s="20"/>
      <c r="B26" s="21" t="s">
        <v>15</v>
      </c>
      <c r="C26" s="17" t="s">
        <v>73</v>
      </c>
      <c r="D26" s="22" t="s">
        <v>74</v>
      </c>
      <c r="E26" s="22" t="s">
        <v>75</v>
      </c>
      <c r="F26" s="23">
        <v>0.4791666666666667</v>
      </c>
      <c r="G26" s="17" t="s">
        <v>76</v>
      </c>
      <c r="H26" s="25" t="s">
        <v>77</v>
      </c>
      <c r="I26" s="22" t="s">
        <v>78</v>
      </c>
      <c r="J26" s="10"/>
      <c r="K26" s="10"/>
      <c r="L26" s="14" t="str">
        <f>VLOOKUP(D26,'Hedef Liste'!A:I,8,false)</f>
        <v>#N/A</v>
      </c>
      <c r="M26" s="14" t="b">
        <v>0</v>
      </c>
      <c r="N26" s="14" t="b">
        <v>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hidden="1">
      <c r="A27" s="20"/>
      <c r="B27" s="21" t="s">
        <v>15</v>
      </c>
      <c r="C27" s="17" t="s">
        <v>73</v>
      </c>
      <c r="D27" s="22" t="s">
        <v>79</v>
      </c>
      <c r="E27" s="22" t="s">
        <v>80</v>
      </c>
      <c r="F27" s="30" t="s">
        <v>81</v>
      </c>
      <c r="G27" s="17" t="s">
        <v>82</v>
      </c>
      <c r="H27" s="17" t="s">
        <v>83</v>
      </c>
      <c r="I27" s="22" t="s">
        <v>84</v>
      </c>
      <c r="J27" s="17"/>
      <c r="K27" s="10"/>
      <c r="L27" s="14" t="str">
        <f>VLOOKUP(D27,'Hedef Liste'!A:I,8,false)</f>
        <v>#N/A</v>
      </c>
      <c r="M27" s="14" t="b">
        <v>0</v>
      </c>
      <c r="N27" s="14" t="b">
        <v>0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hidden="1">
      <c r="A28" s="20"/>
      <c r="B28" s="21" t="s">
        <v>15</v>
      </c>
      <c r="C28" s="17" t="s">
        <v>73</v>
      </c>
      <c r="D28" s="22" t="s">
        <v>28</v>
      </c>
      <c r="E28" s="22" t="s">
        <v>29</v>
      </c>
      <c r="F28" s="30" t="s">
        <v>85</v>
      </c>
      <c r="G28" s="17" t="s">
        <v>76</v>
      </c>
      <c r="H28" s="31" t="s">
        <v>86</v>
      </c>
      <c r="I28" s="22" t="s">
        <v>32</v>
      </c>
      <c r="J28" s="10"/>
      <c r="K28" s="10"/>
      <c r="L28" s="14">
        <f>VLOOKUP(D28,'Hedef Liste'!A:I,8,false)</f>
        <v>33</v>
      </c>
      <c r="M28" s="14" t="b">
        <v>0</v>
      </c>
      <c r="N28" s="14" t="b">
        <v>0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hidden="1">
      <c r="A29" s="32"/>
      <c r="B29" s="21" t="s">
        <v>15</v>
      </c>
      <c r="C29" s="17" t="s">
        <v>73</v>
      </c>
      <c r="D29" s="22" t="s">
        <v>87</v>
      </c>
      <c r="E29" s="22" t="s">
        <v>88</v>
      </c>
      <c r="F29" s="23">
        <v>0.6458333333333334</v>
      </c>
      <c r="G29" s="31" t="s">
        <v>76</v>
      </c>
      <c r="H29" s="31" t="s">
        <v>89</v>
      </c>
      <c r="I29" s="31" t="s">
        <v>90</v>
      </c>
      <c r="J29" s="10"/>
      <c r="K29" s="10"/>
      <c r="L29" s="14"/>
      <c r="M29" s="14" t="b">
        <v>0</v>
      </c>
      <c r="N29" s="14" t="b">
        <v>0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hidden="1">
      <c r="A30" s="9"/>
      <c r="B30" s="9">
        <v>44294.0</v>
      </c>
      <c r="C30" s="10"/>
      <c r="D30" s="11"/>
      <c r="E30" s="12"/>
      <c r="F30" s="12"/>
      <c r="G30" s="12"/>
      <c r="H30" s="12"/>
      <c r="I30" s="12"/>
      <c r="J30" s="12"/>
      <c r="K30" s="13"/>
      <c r="L30" s="14"/>
      <c r="M30" s="14"/>
      <c r="N30" s="14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hidden="1">
      <c r="A31" s="16" t="s">
        <v>14</v>
      </c>
      <c r="B31" s="10"/>
      <c r="C31" s="17"/>
      <c r="D31" s="18"/>
      <c r="E31" s="18"/>
      <c r="F31" s="19"/>
      <c r="G31" s="18"/>
      <c r="H31" s="18"/>
      <c r="I31" s="18"/>
      <c r="J31" s="10"/>
      <c r="K31" s="10"/>
      <c r="L31" s="14"/>
      <c r="M31" s="14" t="b">
        <v>0</v>
      </c>
      <c r="N31" s="14" t="b">
        <v>0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hidden="1">
      <c r="A32" s="20"/>
      <c r="B32" s="21" t="s">
        <v>91</v>
      </c>
      <c r="C32" s="17" t="s">
        <v>92</v>
      </c>
      <c r="D32" s="22" t="s">
        <v>93</v>
      </c>
      <c r="E32" s="22" t="s">
        <v>94</v>
      </c>
      <c r="F32" s="47" t="s">
        <v>95</v>
      </c>
      <c r="G32" s="17" t="s">
        <v>96</v>
      </c>
      <c r="H32" s="24" t="s">
        <v>97</v>
      </c>
      <c r="I32" s="22" t="s">
        <v>98</v>
      </c>
      <c r="J32" s="10"/>
      <c r="K32" s="10"/>
      <c r="L32" s="14">
        <f>VLOOKUP(D32,'Hedef Liste'!A:I,8,false)</f>
        <v>9</v>
      </c>
      <c r="M32" s="14" t="b">
        <v>0</v>
      </c>
      <c r="N32" s="14" t="b">
        <v>0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hidden="1">
      <c r="A33" s="20"/>
      <c r="B33" s="21" t="s">
        <v>91</v>
      </c>
      <c r="C33" s="17" t="s">
        <v>92</v>
      </c>
      <c r="D33" s="22" t="s">
        <v>99</v>
      </c>
      <c r="E33" s="22" t="s">
        <v>100</v>
      </c>
      <c r="F33" s="47" t="s">
        <v>101</v>
      </c>
      <c r="G33" s="17" t="s">
        <v>102</v>
      </c>
      <c r="H33" s="17" t="s">
        <v>103</v>
      </c>
      <c r="I33" s="22" t="s">
        <v>104</v>
      </c>
      <c r="J33" s="10"/>
      <c r="K33" s="10"/>
      <c r="L33" s="14">
        <f>VLOOKUP(D33,'Hedef Liste'!A:I,8,false)</f>
        <v>6</v>
      </c>
      <c r="M33" s="14" t="b">
        <v>0</v>
      </c>
      <c r="N33" s="14" t="b">
        <v>0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hidden="1">
      <c r="A34" s="20"/>
      <c r="B34" s="21" t="s">
        <v>91</v>
      </c>
      <c r="C34" s="17" t="s">
        <v>105</v>
      </c>
      <c r="D34" s="22" t="s">
        <v>106</v>
      </c>
      <c r="E34" s="22" t="s">
        <v>107</v>
      </c>
      <c r="F34" s="30" t="s">
        <v>108</v>
      </c>
      <c r="G34" s="17" t="s">
        <v>109</v>
      </c>
      <c r="H34" s="22" t="s">
        <v>110</v>
      </c>
      <c r="I34" s="22" t="s">
        <v>111</v>
      </c>
      <c r="J34" s="10"/>
      <c r="K34" s="10"/>
      <c r="L34" s="14">
        <f>VLOOKUP(D34,'Hedef Liste'!A:I,8,false)</f>
        <v>5</v>
      </c>
      <c r="M34" s="14" t="b">
        <v>0</v>
      </c>
      <c r="N34" s="14" t="b">
        <v>0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hidden="1">
      <c r="A35" s="20"/>
      <c r="B35" s="21" t="s">
        <v>91</v>
      </c>
      <c r="C35" s="26" t="s">
        <v>105</v>
      </c>
      <c r="D35" s="27" t="s">
        <v>112</v>
      </c>
      <c r="E35" s="27" t="s">
        <v>113</v>
      </c>
      <c r="F35" s="28" t="s">
        <v>114</v>
      </c>
      <c r="G35" s="26" t="s">
        <v>115</v>
      </c>
      <c r="H35" s="48" t="s">
        <v>116</v>
      </c>
      <c r="I35" s="27" t="s">
        <v>117</v>
      </c>
      <c r="J35" s="17" t="s">
        <v>118</v>
      </c>
      <c r="K35" s="10"/>
      <c r="L35" s="14">
        <f>VLOOKUP(D35,'Hedef Liste'!A:I,8,false)</f>
        <v>1</v>
      </c>
      <c r="M35" s="14" t="b">
        <v>0</v>
      </c>
      <c r="N35" s="14" t="b">
        <v>0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hidden="1">
      <c r="A36" s="32"/>
      <c r="B36" s="10"/>
      <c r="C36" s="10"/>
      <c r="D36" s="31"/>
      <c r="E36" s="31"/>
      <c r="F36" s="23"/>
      <c r="G36" s="31"/>
      <c r="H36" s="31"/>
      <c r="I36" s="31"/>
      <c r="J36" s="10"/>
      <c r="K36" s="10"/>
      <c r="L36" s="14"/>
      <c r="M36" s="14" t="b">
        <v>0</v>
      </c>
      <c r="N36" s="14" t="b">
        <v>0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hidden="1">
      <c r="A37" s="9"/>
      <c r="B37" s="9">
        <v>44295.0</v>
      </c>
      <c r="C37" s="10"/>
      <c r="D37" s="11"/>
      <c r="E37" s="12"/>
      <c r="F37" s="12"/>
      <c r="G37" s="12"/>
      <c r="H37" s="12"/>
      <c r="I37" s="12"/>
      <c r="J37" s="12"/>
      <c r="K37" s="13"/>
      <c r="L37" s="14"/>
      <c r="M37" s="14"/>
      <c r="N37" s="1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hidden="1">
      <c r="A38" s="16" t="s">
        <v>14</v>
      </c>
      <c r="B38" s="21" t="s">
        <v>91</v>
      </c>
      <c r="C38" s="17" t="s">
        <v>92</v>
      </c>
      <c r="D38" s="24" t="s">
        <v>119</v>
      </c>
      <c r="E38" s="24" t="s">
        <v>120</v>
      </c>
      <c r="F38" s="47" t="s">
        <v>95</v>
      </c>
      <c r="G38" s="24" t="s">
        <v>121</v>
      </c>
      <c r="H38" s="24" t="s">
        <v>122</v>
      </c>
      <c r="I38" s="24" t="s">
        <v>123</v>
      </c>
      <c r="J38" s="10"/>
      <c r="K38" s="10"/>
      <c r="L38" s="14"/>
      <c r="M38" s="14" t="b">
        <v>0</v>
      </c>
      <c r="N38" s="14" t="b">
        <v>0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hidden="1">
      <c r="A39" s="20"/>
      <c r="B39" s="21" t="s">
        <v>91</v>
      </c>
      <c r="C39" s="17" t="s">
        <v>92</v>
      </c>
      <c r="D39" s="22" t="s">
        <v>124</v>
      </c>
      <c r="E39" s="22" t="s">
        <v>125</v>
      </c>
      <c r="F39" s="47" t="s">
        <v>126</v>
      </c>
      <c r="G39" s="24" t="s">
        <v>121</v>
      </c>
      <c r="H39" s="24" t="s">
        <v>127</v>
      </c>
      <c r="I39" s="22" t="s">
        <v>128</v>
      </c>
      <c r="J39" s="10"/>
      <c r="K39" s="10"/>
      <c r="L39" s="14">
        <f>VLOOKUP(D39,'Hedef Liste'!A:I,8,false)</f>
        <v>36</v>
      </c>
      <c r="M39" s="14" t="b">
        <v>0</v>
      </c>
      <c r="N39" s="14" t="b">
        <v>0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hidden="1">
      <c r="A40" s="20"/>
      <c r="B40" s="21" t="s">
        <v>91</v>
      </c>
      <c r="C40" s="17" t="s">
        <v>92</v>
      </c>
      <c r="D40" s="22" t="s">
        <v>129</v>
      </c>
      <c r="E40" s="22" t="s">
        <v>130</v>
      </c>
      <c r="F40" s="47" t="s">
        <v>131</v>
      </c>
      <c r="G40" s="17" t="s">
        <v>132</v>
      </c>
      <c r="H40" s="17" t="s">
        <v>133</v>
      </c>
      <c r="I40" s="22" t="s">
        <v>134</v>
      </c>
      <c r="J40" s="10"/>
      <c r="K40" s="10"/>
      <c r="L40" s="14" t="str">
        <f>VLOOKUP(D40,'Hedef Liste'!A:I,8,false)</f>
        <v>#N/A</v>
      </c>
      <c r="M40" s="14" t="b">
        <v>0</v>
      </c>
      <c r="N40" s="14" t="b">
        <v>0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hidden="1">
      <c r="A41" s="20"/>
      <c r="B41" s="21" t="s">
        <v>91</v>
      </c>
      <c r="C41" s="17" t="s">
        <v>92</v>
      </c>
      <c r="D41" s="22" t="s">
        <v>135</v>
      </c>
      <c r="E41" s="22" t="s">
        <v>136</v>
      </c>
      <c r="F41" s="30" t="s">
        <v>137</v>
      </c>
      <c r="G41" s="17" t="s">
        <v>121</v>
      </c>
      <c r="H41" s="17" t="s">
        <v>138</v>
      </c>
      <c r="I41" s="22" t="s">
        <v>139</v>
      </c>
      <c r="J41" s="10"/>
      <c r="K41" s="10"/>
      <c r="L41" s="14">
        <f>VLOOKUP(D41,'Hedef Liste'!A:I,8,false)</f>
        <v>42</v>
      </c>
      <c r="M41" s="14" t="b">
        <v>0</v>
      </c>
      <c r="N41" s="14" t="b">
        <v>0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hidden="1">
      <c r="A42" s="20"/>
      <c r="B42" s="21" t="s">
        <v>91</v>
      </c>
      <c r="C42" s="17"/>
      <c r="D42" s="22"/>
      <c r="E42" s="22"/>
      <c r="F42" s="30"/>
      <c r="G42" s="24"/>
      <c r="H42" s="31"/>
      <c r="I42" s="22"/>
      <c r="J42" s="10"/>
      <c r="K42" s="10"/>
      <c r="L42" s="14" t="str">
        <f>VLOOKUP(D42,'Hedef Liste'!A:I,8,false)</f>
        <v>#N/A</v>
      </c>
      <c r="M42" s="14" t="b">
        <v>0</v>
      </c>
      <c r="N42" s="14" t="b">
        <v>0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hidden="1">
      <c r="A43" s="32"/>
      <c r="B43" s="10"/>
      <c r="C43" s="10"/>
      <c r="D43" s="31"/>
      <c r="E43" s="31"/>
      <c r="F43" s="23"/>
      <c r="G43" s="31"/>
      <c r="H43" s="31"/>
      <c r="I43" s="31"/>
      <c r="J43" s="10"/>
      <c r="K43" s="10"/>
      <c r="L43" s="14"/>
      <c r="M43" s="14" t="b">
        <v>0</v>
      </c>
      <c r="N43" s="14" t="b">
        <v>0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hidden="1">
      <c r="A44" s="9"/>
      <c r="B44" s="9">
        <v>44298.0</v>
      </c>
      <c r="C44" s="10"/>
      <c r="D44" s="11"/>
      <c r="E44" s="12"/>
      <c r="F44" s="12"/>
      <c r="G44" s="12"/>
      <c r="H44" s="12"/>
      <c r="I44" s="12"/>
      <c r="J44" s="12"/>
      <c r="K44" s="13"/>
      <c r="L44" s="14"/>
      <c r="M44" s="14"/>
      <c r="N44" s="14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hidden="1">
      <c r="A45" s="16" t="s">
        <v>14</v>
      </c>
      <c r="B45" s="10"/>
      <c r="C45" s="17"/>
      <c r="D45" s="24"/>
      <c r="E45" s="24"/>
      <c r="F45" s="47"/>
      <c r="G45" s="24"/>
      <c r="H45" s="24"/>
      <c r="I45" s="24"/>
      <c r="J45" s="10"/>
      <c r="K45" s="10"/>
      <c r="L45" s="14"/>
      <c r="M45" s="14" t="b">
        <v>0</v>
      </c>
      <c r="N45" s="14" t="b">
        <v>0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hidden="1">
      <c r="A46" s="20"/>
      <c r="B46" s="21" t="s">
        <v>91</v>
      </c>
      <c r="C46" s="17" t="s">
        <v>140</v>
      </c>
      <c r="D46" s="22" t="s">
        <v>141</v>
      </c>
      <c r="E46" s="22" t="s">
        <v>142</v>
      </c>
      <c r="F46" s="23">
        <v>0.4583333333333333</v>
      </c>
      <c r="G46" s="24" t="s">
        <v>143</v>
      </c>
      <c r="H46" s="24" t="s">
        <v>144</v>
      </c>
      <c r="I46" s="49" t="s">
        <v>145</v>
      </c>
      <c r="J46" s="10"/>
      <c r="K46" s="10"/>
      <c r="L46" s="14">
        <f>VLOOKUP(D46,'Hedef Liste'!A:I,8,false)</f>
        <v>29</v>
      </c>
      <c r="M46" s="14" t="b">
        <v>0</v>
      </c>
      <c r="N46" s="14" t="b">
        <v>0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hidden="1">
      <c r="A47" s="20"/>
      <c r="B47" s="21" t="s">
        <v>91</v>
      </c>
      <c r="C47" s="17" t="s">
        <v>140</v>
      </c>
      <c r="D47" s="22" t="s">
        <v>146</v>
      </c>
      <c r="E47" s="22" t="s">
        <v>147</v>
      </c>
      <c r="F47" s="23">
        <v>0.5416666666666666</v>
      </c>
      <c r="G47" s="17" t="s">
        <v>143</v>
      </c>
      <c r="H47" s="17" t="s">
        <v>148</v>
      </c>
      <c r="I47" s="49" t="s">
        <v>149</v>
      </c>
      <c r="J47" s="10"/>
      <c r="K47" s="10"/>
      <c r="L47" s="14">
        <f>VLOOKUP(D47,'Hedef Liste'!A:I,8,false)</f>
        <v>5</v>
      </c>
      <c r="M47" s="14" t="b">
        <v>0</v>
      </c>
      <c r="N47" s="14" t="b">
        <v>0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hidden="1">
      <c r="A48" s="20"/>
      <c r="B48" s="21" t="s">
        <v>91</v>
      </c>
      <c r="C48" s="17" t="s">
        <v>140</v>
      </c>
      <c r="D48" s="22" t="s">
        <v>150</v>
      </c>
      <c r="E48" s="22" t="s">
        <v>151</v>
      </c>
      <c r="F48" s="30" t="s">
        <v>30</v>
      </c>
      <c r="G48" s="17" t="s">
        <v>143</v>
      </c>
      <c r="H48" s="17" t="s">
        <v>152</v>
      </c>
      <c r="I48" s="49" t="s">
        <v>153</v>
      </c>
      <c r="J48" s="10"/>
      <c r="K48" s="10"/>
      <c r="L48" s="14">
        <f>VLOOKUP(D48,'Hedef Liste'!A:I,8,false)</f>
        <v>10</v>
      </c>
      <c r="M48" s="14" t="b">
        <v>0</v>
      </c>
      <c r="N48" s="14" t="b">
        <v>0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 hidden="1">
      <c r="A49" s="20"/>
      <c r="B49" s="21" t="s">
        <v>91</v>
      </c>
      <c r="C49" s="26" t="s">
        <v>140</v>
      </c>
      <c r="D49" s="50" t="s">
        <v>154</v>
      </c>
      <c r="E49" s="50" t="s">
        <v>155</v>
      </c>
      <c r="F49" s="28" t="s">
        <v>36</v>
      </c>
      <c r="G49" s="51" t="s">
        <v>143</v>
      </c>
      <c r="H49" s="48" t="s">
        <v>156</v>
      </c>
      <c r="I49" s="50" t="s">
        <v>157</v>
      </c>
      <c r="J49" s="17" t="s">
        <v>158</v>
      </c>
      <c r="K49" s="10"/>
      <c r="L49" s="14">
        <f>VLOOKUP(D49,'Hedef Liste'!A:I,8,false)</f>
        <v>6</v>
      </c>
      <c r="M49" s="14" t="b">
        <v>0</v>
      </c>
      <c r="N49" s="14" t="b">
        <v>0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hidden="1">
      <c r="A50" s="32"/>
      <c r="B50" s="10"/>
      <c r="C50" s="10"/>
      <c r="D50" s="31"/>
      <c r="E50" s="31"/>
      <c r="F50" s="23"/>
      <c r="G50" s="31"/>
      <c r="H50" s="31"/>
      <c r="I50" s="31"/>
      <c r="J50" s="10"/>
      <c r="K50" s="10"/>
      <c r="L50" s="14"/>
      <c r="M50" s="14" t="b">
        <v>0</v>
      </c>
      <c r="N50" s="14" t="b">
        <v>0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hidden="1">
      <c r="A51" s="9"/>
      <c r="B51" s="9">
        <v>44299.0</v>
      </c>
      <c r="C51" s="10"/>
      <c r="D51" s="11"/>
      <c r="E51" s="12"/>
      <c r="F51" s="12"/>
      <c r="G51" s="12"/>
      <c r="H51" s="12"/>
      <c r="I51" s="12"/>
      <c r="J51" s="12"/>
      <c r="K51" s="13"/>
      <c r="L51" s="14"/>
      <c r="M51" s="14"/>
      <c r="N51" s="14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hidden="1">
      <c r="A52" s="16" t="s">
        <v>14</v>
      </c>
      <c r="B52" s="10"/>
      <c r="C52" s="17"/>
      <c r="D52" s="24"/>
      <c r="E52" s="24"/>
      <c r="F52" s="47"/>
      <c r="G52" s="24"/>
      <c r="H52" s="24"/>
      <c r="I52" s="24"/>
      <c r="J52" s="10"/>
      <c r="K52" s="10"/>
      <c r="L52" s="14"/>
      <c r="M52" s="14" t="b">
        <v>0</v>
      </c>
      <c r="N52" s="14" t="b">
        <v>0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hidden="1">
      <c r="A53" s="20"/>
      <c r="B53" s="21" t="s">
        <v>91</v>
      </c>
      <c r="C53" s="18"/>
      <c r="D53" s="18"/>
      <c r="E53" s="18"/>
      <c r="F53" s="19"/>
      <c r="G53" s="18"/>
      <c r="H53" s="18"/>
      <c r="I53" s="18"/>
      <c r="J53" s="10"/>
      <c r="K53" s="10"/>
      <c r="L53" s="14">
        <f>VLOOKUP(D57,'Hedef Liste'!A:I,8,false)</f>
        <v>15</v>
      </c>
      <c r="M53" s="14" t="b">
        <v>0</v>
      </c>
      <c r="N53" s="14" t="b">
        <v>0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hidden="1">
      <c r="A54" s="20"/>
      <c r="B54" s="21" t="s">
        <v>91</v>
      </c>
      <c r="C54" s="17" t="s">
        <v>73</v>
      </c>
      <c r="D54" s="25" t="s">
        <v>159</v>
      </c>
      <c r="E54" s="25" t="s">
        <v>160</v>
      </c>
      <c r="F54" s="23">
        <v>0.5416666666666666</v>
      </c>
      <c r="G54" s="17" t="s">
        <v>121</v>
      </c>
      <c r="H54" s="17" t="s">
        <v>161</v>
      </c>
      <c r="I54" s="22" t="s">
        <v>162</v>
      </c>
      <c r="J54" s="17" t="s">
        <v>163</v>
      </c>
      <c r="K54" s="10"/>
      <c r="L54" s="14" t="str">
        <f>VLOOKUP(D54,'Hedef Liste'!A:I,8,false)</f>
        <v>#N/A</v>
      </c>
      <c r="M54" s="14" t="b">
        <v>0</v>
      </c>
      <c r="N54" s="14" t="b">
        <v>0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hidden="1">
      <c r="A55" s="20"/>
      <c r="B55" s="21" t="s">
        <v>91</v>
      </c>
      <c r="C55" s="26" t="s">
        <v>73</v>
      </c>
      <c r="D55" s="50" t="s">
        <v>164</v>
      </c>
      <c r="E55" s="50" t="s">
        <v>165</v>
      </c>
      <c r="F55" s="28" t="s">
        <v>30</v>
      </c>
      <c r="G55" s="26" t="s">
        <v>121</v>
      </c>
      <c r="H55" s="26" t="s">
        <v>166</v>
      </c>
      <c r="I55" s="50" t="s">
        <v>167</v>
      </c>
      <c r="J55" s="10"/>
      <c r="K55" s="17" t="s">
        <v>168</v>
      </c>
      <c r="L55" s="14">
        <f>VLOOKUP(D55,'Hedef Liste'!A:I,8,false)</f>
        <v>18</v>
      </c>
      <c r="M55" s="14" t="b">
        <v>0</v>
      </c>
      <c r="N55" s="14" t="b">
        <v>0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hidden="1">
      <c r="A56" s="20"/>
      <c r="B56" s="21" t="s">
        <v>91</v>
      </c>
      <c r="C56" s="26" t="s">
        <v>73</v>
      </c>
      <c r="D56" s="50" t="s">
        <v>169</v>
      </c>
      <c r="E56" s="50" t="s">
        <v>170</v>
      </c>
      <c r="F56" s="52">
        <v>0.7083333333333334</v>
      </c>
      <c r="G56" s="51" t="s">
        <v>121</v>
      </c>
      <c r="H56" s="51" t="s">
        <v>171</v>
      </c>
      <c r="I56" s="50" t="s">
        <v>172</v>
      </c>
      <c r="J56" s="17" t="s">
        <v>173</v>
      </c>
      <c r="K56" s="10"/>
      <c r="L56" s="14"/>
      <c r="M56" s="14" t="b">
        <v>0</v>
      </c>
      <c r="N56" s="14" t="b">
        <v>0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hidden="1">
      <c r="A57" s="20"/>
      <c r="B57" s="21" t="s">
        <v>91</v>
      </c>
      <c r="C57" s="17" t="s">
        <v>73</v>
      </c>
      <c r="D57" s="25" t="s">
        <v>174</v>
      </c>
      <c r="E57" s="25" t="s">
        <v>175</v>
      </c>
      <c r="F57" s="23">
        <v>0.7916666666666666</v>
      </c>
      <c r="G57" s="24" t="s">
        <v>121</v>
      </c>
      <c r="H57" s="24" t="s">
        <v>176</v>
      </c>
      <c r="I57" s="22" t="s">
        <v>177</v>
      </c>
      <c r="J57" s="10"/>
      <c r="K57" s="10"/>
      <c r="L57" s="14" t="str">
        <f>VLOOKUP(#REF!,'Hedef Liste'!A:I,8,false)</f>
        <v>#REF!</v>
      </c>
      <c r="M57" s="14" t="b">
        <v>0</v>
      </c>
      <c r="N57" s="14" t="b">
        <v>0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hidden="1">
      <c r="A58" s="32"/>
      <c r="B58" s="10"/>
      <c r="C58" s="17" t="s">
        <v>73</v>
      </c>
      <c r="D58" s="25" t="s">
        <v>178</v>
      </c>
      <c r="E58" s="25" t="s">
        <v>179</v>
      </c>
      <c r="F58" s="23">
        <v>0.6666666666666666</v>
      </c>
      <c r="G58" s="31" t="s">
        <v>180</v>
      </c>
      <c r="H58" s="31" t="s">
        <v>181</v>
      </c>
      <c r="I58" s="31" t="s">
        <v>182</v>
      </c>
      <c r="J58" s="10"/>
      <c r="K58" s="10"/>
      <c r="L58" s="14"/>
      <c r="M58" s="14" t="b">
        <v>0</v>
      </c>
      <c r="N58" s="14" t="b">
        <v>0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hidden="1">
      <c r="A59" s="9"/>
      <c r="B59" s="9"/>
      <c r="C59" s="17" t="s">
        <v>73</v>
      </c>
      <c r="D59" s="25" t="s">
        <v>183</v>
      </c>
      <c r="E59" s="25" t="s">
        <v>184</v>
      </c>
      <c r="F59" s="53" t="s">
        <v>185</v>
      </c>
      <c r="G59" s="17" t="s">
        <v>186</v>
      </c>
      <c r="H59" s="17" t="s">
        <v>187</v>
      </c>
      <c r="I59" s="25" t="s">
        <v>188</v>
      </c>
      <c r="J59" s="10"/>
      <c r="K59" s="10"/>
      <c r="L59" s="14"/>
      <c r="M59" s="14"/>
      <c r="N59" s="14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hidden="1">
      <c r="A60" s="54"/>
      <c r="B60" s="54"/>
      <c r="C60" s="55"/>
      <c r="D60" s="55"/>
      <c r="E60" s="55"/>
      <c r="F60" s="56"/>
      <c r="G60" s="55"/>
      <c r="H60" s="55"/>
      <c r="I60" s="55"/>
      <c r="J60" s="55"/>
      <c r="K60" s="55"/>
      <c r="L60" s="57"/>
      <c r="M60" s="57"/>
      <c r="N60" s="57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hidden="1">
      <c r="A61" s="9"/>
      <c r="B61" s="9">
        <v>44300.0</v>
      </c>
      <c r="C61" s="10"/>
      <c r="D61" s="11"/>
      <c r="E61" s="12"/>
      <c r="F61" s="12"/>
      <c r="G61" s="12"/>
      <c r="H61" s="12"/>
      <c r="I61" s="12"/>
      <c r="J61" s="12"/>
      <c r="K61" s="13"/>
      <c r="L61" s="14"/>
      <c r="M61" s="14"/>
      <c r="N61" s="14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hidden="1">
      <c r="A62" s="16" t="s">
        <v>14</v>
      </c>
      <c r="B62" s="10"/>
      <c r="C62" s="17"/>
      <c r="D62" s="24"/>
      <c r="E62" s="24"/>
      <c r="F62" s="47"/>
      <c r="G62" s="24"/>
      <c r="H62" s="24"/>
      <c r="I62" s="24"/>
      <c r="J62" s="10"/>
      <c r="K62" s="10"/>
      <c r="L62" s="14"/>
      <c r="M62" s="14" t="b">
        <v>0</v>
      </c>
      <c r="N62" s="14" t="b">
        <v>0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hidden="1">
      <c r="A63" s="20"/>
      <c r="B63" s="21" t="s">
        <v>91</v>
      </c>
      <c r="C63" s="17"/>
      <c r="D63" s="25"/>
      <c r="E63" s="25"/>
      <c r="F63" s="19"/>
      <c r="G63" s="18"/>
      <c r="H63" s="18"/>
      <c r="I63" s="25"/>
      <c r="J63" s="10"/>
      <c r="K63" s="10"/>
      <c r="L63" s="14">
        <f>VLOOKUP(D64,'Hedef Liste'!A:I,8,false)</f>
        <v>33</v>
      </c>
      <c r="M63" s="14" t="b">
        <v>0</v>
      </c>
      <c r="N63" s="14" t="b">
        <v>0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hidden="1">
      <c r="A64" s="20"/>
      <c r="B64" s="21" t="s">
        <v>91</v>
      </c>
      <c r="C64" s="17" t="s">
        <v>189</v>
      </c>
      <c r="D64" s="22" t="s">
        <v>190</v>
      </c>
      <c r="E64" s="22" t="s">
        <v>191</v>
      </c>
      <c r="F64" s="47" t="s">
        <v>131</v>
      </c>
      <c r="G64" s="24" t="s">
        <v>192</v>
      </c>
      <c r="H64" s="24" t="s">
        <v>193</v>
      </c>
      <c r="I64" s="22" t="s">
        <v>194</v>
      </c>
      <c r="J64" s="10"/>
      <c r="K64" s="10"/>
      <c r="L64" s="14" t="str">
        <f>VLOOKUP(#REF!,'Hedef Liste'!A:I,8,false)</f>
        <v>#REF!</v>
      </c>
      <c r="M64" s="14" t="b">
        <v>0</v>
      </c>
      <c r="N64" s="14" t="b">
        <v>0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hidden="1">
      <c r="A65" s="20"/>
      <c r="B65" s="21" t="s">
        <v>91</v>
      </c>
      <c r="C65" s="26" t="s">
        <v>189</v>
      </c>
      <c r="D65" s="27" t="s">
        <v>195</v>
      </c>
      <c r="E65" s="27" t="s">
        <v>196</v>
      </c>
      <c r="F65" s="28" t="s">
        <v>137</v>
      </c>
      <c r="G65" s="26" t="s">
        <v>192</v>
      </c>
      <c r="H65" s="26" t="s">
        <v>197</v>
      </c>
      <c r="I65" s="27" t="s">
        <v>198</v>
      </c>
      <c r="J65" s="17" t="s">
        <v>199</v>
      </c>
      <c r="K65" s="10"/>
      <c r="L65" s="14">
        <f>VLOOKUP(D65,'Hedef Liste'!A:I,8,false)</f>
        <v>17</v>
      </c>
      <c r="M65" s="14" t="b">
        <v>0</v>
      </c>
      <c r="N65" s="14" t="b">
        <v>0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hidden="1">
      <c r="A66" s="20"/>
      <c r="B66" s="21" t="s">
        <v>91</v>
      </c>
      <c r="C66" s="17" t="s">
        <v>189</v>
      </c>
      <c r="D66" s="22" t="s">
        <v>200</v>
      </c>
      <c r="E66" s="22" t="s">
        <v>201</v>
      </c>
      <c r="F66" s="30" t="s">
        <v>202</v>
      </c>
      <c r="G66" s="24" t="s">
        <v>82</v>
      </c>
      <c r="H66" s="31" t="s">
        <v>203</v>
      </c>
      <c r="I66" s="22" t="s">
        <v>204</v>
      </c>
      <c r="J66" s="10"/>
      <c r="K66" s="10"/>
      <c r="L66" s="14" t="str">
        <f>VLOOKUP(D66,'Hedef Liste'!A:I,8,false)</f>
        <v>#N/A</v>
      </c>
      <c r="M66" s="14" t="b">
        <v>0</v>
      </c>
      <c r="N66" s="14" t="b">
        <v>0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hidden="1">
      <c r="A67" s="32"/>
      <c r="B67" s="10"/>
      <c r="C67" s="17" t="s">
        <v>189</v>
      </c>
      <c r="D67" s="31" t="s">
        <v>205</v>
      </c>
      <c r="E67" s="31" t="s">
        <v>206</v>
      </c>
      <c r="F67" s="47" t="s">
        <v>207</v>
      </c>
      <c r="G67" s="31" t="s">
        <v>82</v>
      </c>
      <c r="H67" s="31" t="s">
        <v>208</v>
      </c>
      <c r="I67" s="31" t="s">
        <v>209</v>
      </c>
      <c r="J67" s="10"/>
      <c r="K67" s="10"/>
      <c r="L67" s="14"/>
      <c r="M67" s="14" t="b">
        <v>0</v>
      </c>
      <c r="N67" s="14" t="b">
        <v>0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hidden="1">
      <c r="A68" s="9"/>
      <c r="B68" s="9">
        <v>44301.0</v>
      </c>
      <c r="C68" s="10"/>
      <c r="D68" s="58"/>
      <c r="E68" s="12"/>
      <c r="F68" s="12"/>
      <c r="G68" s="12"/>
      <c r="H68" s="12"/>
      <c r="I68" s="12"/>
      <c r="J68" s="12"/>
      <c r="K68" s="13"/>
      <c r="L68" s="14"/>
      <c r="M68" s="14"/>
      <c r="N68" s="14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hidden="1">
      <c r="A69" s="16" t="s">
        <v>14</v>
      </c>
      <c r="B69" s="10"/>
      <c r="C69" s="17"/>
      <c r="D69" s="24"/>
      <c r="E69" s="24"/>
      <c r="F69" s="47"/>
      <c r="G69" s="24"/>
      <c r="H69" s="24"/>
      <c r="I69" s="24"/>
      <c r="J69" s="10"/>
      <c r="K69" s="10"/>
      <c r="L69" s="14"/>
      <c r="M69" s="14" t="b">
        <v>0</v>
      </c>
      <c r="N69" s="14" t="b">
        <v>0</v>
      </c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hidden="1">
      <c r="A70" s="20"/>
      <c r="B70" s="21" t="s">
        <v>91</v>
      </c>
      <c r="C70" s="17" t="s">
        <v>189</v>
      </c>
      <c r="D70" s="25" t="s">
        <v>210</v>
      </c>
      <c r="E70" s="25" t="s">
        <v>211</v>
      </c>
      <c r="F70" s="23">
        <v>0.5416666666666666</v>
      </c>
      <c r="G70" s="24" t="s">
        <v>212</v>
      </c>
      <c r="H70" s="24" t="s">
        <v>213</v>
      </c>
      <c r="I70" s="22" t="s">
        <v>214</v>
      </c>
      <c r="J70" s="10"/>
      <c r="K70" s="10"/>
      <c r="L70" s="14" t="str">
        <f>VLOOKUP(D70,'Hedef Liste'!A:I,8,false)</f>
        <v>#N/A</v>
      </c>
      <c r="M70" s="14" t="b">
        <v>0</v>
      </c>
      <c r="N70" s="14" t="b">
        <v>0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hidden="1">
      <c r="A71" s="20"/>
      <c r="B71" s="21" t="s">
        <v>91</v>
      </c>
      <c r="C71" s="26" t="s">
        <v>73</v>
      </c>
      <c r="D71" s="50" t="s">
        <v>215</v>
      </c>
      <c r="E71" s="50" t="s">
        <v>216</v>
      </c>
      <c r="F71" s="59" t="s">
        <v>126</v>
      </c>
      <c r="G71" s="26" t="s">
        <v>217</v>
      </c>
      <c r="H71" s="26" t="s">
        <v>218</v>
      </c>
      <c r="I71" s="27" t="s">
        <v>219</v>
      </c>
      <c r="J71" s="17" t="s">
        <v>220</v>
      </c>
      <c r="K71" s="10"/>
      <c r="L71" s="14" t="str">
        <f>VLOOKUP(D71,'Hedef Liste'!A:I,8,false)</f>
        <v>#N/A</v>
      </c>
      <c r="M71" s="14" t="b">
        <v>0</v>
      </c>
      <c r="N71" s="14" t="b">
        <v>0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hidden="1">
      <c r="A72" s="20"/>
      <c r="B72" s="21" t="s">
        <v>91</v>
      </c>
      <c r="C72" s="26" t="s">
        <v>189</v>
      </c>
      <c r="D72" s="27" t="s">
        <v>221</v>
      </c>
      <c r="E72" s="60" t="s">
        <v>222</v>
      </c>
      <c r="F72" s="28" t="s">
        <v>223</v>
      </c>
      <c r="G72" s="26" t="s">
        <v>217</v>
      </c>
      <c r="H72" s="26" t="s">
        <v>218</v>
      </c>
      <c r="I72" s="27" t="s">
        <v>224</v>
      </c>
      <c r="J72" s="17" t="s">
        <v>220</v>
      </c>
      <c r="K72" s="10"/>
      <c r="L72" s="14" t="str">
        <f>VLOOKUP(D72,'Hedef Liste'!A:I,8,false)</f>
        <v>#N/A</v>
      </c>
      <c r="M72" s="14" t="b">
        <v>0</v>
      </c>
      <c r="N72" s="14" t="b">
        <v>0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hidden="1">
      <c r="A73" s="20"/>
      <c r="B73" s="21" t="s">
        <v>91</v>
      </c>
      <c r="C73" s="17" t="s">
        <v>22</v>
      </c>
      <c r="D73" s="25" t="s">
        <v>225</v>
      </c>
      <c r="E73" s="25" t="s">
        <v>226</v>
      </c>
      <c r="F73" s="47" t="s">
        <v>227</v>
      </c>
      <c r="G73" s="24" t="s">
        <v>228</v>
      </c>
      <c r="H73" s="24" t="s">
        <v>229</v>
      </c>
      <c r="I73" s="25" t="s">
        <v>230</v>
      </c>
      <c r="J73" s="10"/>
      <c r="K73" s="10"/>
      <c r="L73" s="14">
        <f>VLOOKUP(D73,'Hedef Liste'!A:I,8,false)</f>
        <v>21</v>
      </c>
      <c r="M73" s="14" t="b">
        <v>0</v>
      </c>
      <c r="N73" s="14" t="b">
        <v>0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hidden="1">
      <c r="A74" s="20"/>
      <c r="B74" s="21" t="s">
        <v>91</v>
      </c>
      <c r="C74" s="29" t="s">
        <v>22</v>
      </c>
      <c r="D74" s="25" t="s">
        <v>231</v>
      </c>
      <c r="E74" s="25" t="s">
        <v>232</v>
      </c>
      <c r="F74" s="61" t="s">
        <v>233</v>
      </c>
      <c r="G74" s="62" t="s">
        <v>234</v>
      </c>
      <c r="H74" s="62" t="s">
        <v>235</v>
      </c>
      <c r="I74" s="25" t="s">
        <v>236</v>
      </c>
      <c r="J74" s="10"/>
      <c r="K74" s="10"/>
      <c r="L74" s="14"/>
      <c r="M74" s="14" t="b">
        <v>0</v>
      </c>
      <c r="N74" s="14" t="b">
        <v>0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hidden="1">
      <c r="A75" s="32"/>
      <c r="B75" s="10"/>
      <c r="C75" s="26" t="s">
        <v>73</v>
      </c>
      <c r="D75" s="50" t="s">
        <v>237</v>
      </c>
      <c r="E75" s="50" t="s">
        <v>238</v>
      </c>
      <c r="F75" s="59" t="s">
        <v>202</v>
      </c>
      <c r="G75" s="48" t="s">
        <v>239</v>
      </c>
      <c r="H75" s="48" t="s">
        <v>240</v>
      </c>
      <c r="I75" s="50" t="s">
        <v>241</v>
      </c>
      <c r="J75" s="10"/>
      <c r="K75" s="10"/>
      <c r="L75" s="14"/>
      <c r="M75" s="14" t="b">
        <v>0</v>
      </c>
      <c r="N75" s="14" t="b">
        <v>0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hidden="1">
      <c r="A76" s="9"/>
      <c r="B76" s="9">
        <v>44302.0</v>
      </c>
      <c r="C76" s="10"/>
      <c r="D76" s="11"/>
      <c r="E76" s="12"/>
      <c r="F76" s="12"/>
      <c r="G76" s="12"/>
      <c r="H76" s="12"/>
      <c r="I76" s="12"/>
      <c r="J76" s="12"/>
      <c r="K76" s="13"/>
      <c r="L76" s="14"/>
      <c r="M76" s="14"/>
      <c r="N76" s="14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hidden="1">
      <c r="A77" s="16" t="s">
        <v>14</v>
      </c>
      <c r="B77" s="10"/>
      <c r="C77" s="17"/>
      <c r="D77" s="24"/>
      <c r="E77" s="24"/>
      <c r="F77" s="47"/>
      <c r="G77" s="24"/>
      <c r="H77" s="24"/>
      <c r="I77" s="24"/>
      <c r="J77" s="10"/>
      <c r="K77" s="10"/>
      <c r="L77" s="14"/>
      <c r="M77" s="14" t="b">
        <v>0</v>
      </c>
      <c r="N77" s="14" t="b">
        <v>0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hidden="1">
      <c r="A78" s="20"/>
      <c r="B78" s="21" t="s">
        <v>91</v>
      </c>
      <c r="C78" s="17"/>
      <c r="D78" s="22"/>
      <c r="E78" s="63"/>
      <c r="F78" s="47"/>
      <c r="G78" s="24"/>
      <c r="H78" s="24"/>
      <c r="I78" s="22"/>
      <c r="J78" s="10"/>
      <c r="K78" s="10"/>
      <c r="L78" s="14" t="str">
        <f>VLOOKUP(D78,'Hedef Liste'!A:I,8,false)</f>
        <v>#N/A</v>
      </c>
      <c r="M78" s="14" t="b">
        <v>0</v>
      </c>
      <c r="N78" s="14" t="b">
        <v>0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hidden="1">
      <c r="A79" s="20"/>
      <c r="B79" s="21" t="s">
        <v>91</v>
      </c>
      <c r="C79" s="17"/>
      <c r="D79" s="22"/>
      <c r="E79" s="63"/>
      <c r="F79" s="47"/>
      <c r="G79" s="17"/>
      <c r="H79" s="17"/>
      <c r="I79" s="22"/>
      <c r="J79" s="10"/>
      <c r="K79" s="10"/>
      <c r="L79" s="14" t="str">
        <f>VLOOKUP(D79,'Hedef Liste'!A:I,8,false)</f>
        <v>#N/A</v>
      </c>
      <c r="M79" s="14" t="b">
        <v>0</v>
      </c>
      <c r="N79" s="14" t="b">
        <v>0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hidden="1">
      <c r="A80" s="20"/>
      <c r="B80" s="21" t="s">
        <v>91</v>
      </c>
      <c r="C80" s="17"/>
      <c r="D80" s="22"/>
      <c r="E80" s="64" t="s">
        <v>242</v>
      </c>
      <c r="F80" s="30"/>
      <c r="G80" s="17"/>
      <c r="H80" s="17"/>
      <c r="I80" s="22"/>
      <c r="J80" s="10"/>
      <c r="K80" s="10"/>
      <c r="L80" s="14" t="str">
        <f>VLOOKUP(D80,'Hedef Liste'!A:I,8,false)</f>
        <v>#N/A</v>
      </c>
      <c r="M80" s="14" t="b">
        <v>0</v>
      </c>
      <c r="N80" s="14" t="b">
        <v>0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hidden="1">
      <c r="A81" s="20"/>
      <c r="B81" s="21" t="s">
        <v>91</v>
      </c>
      <c r="C81" s="17"/>
      <c r="D81" s="22"/>
      <c r="E81" s="63"/>
      <c r="F81" s="30"/>
      <c r="G81" s="24"/>
      <c r="H81" s="31"/>
      <c r="I81" s="22"/>
      <c r="J81" s="10"/>
      <c r="K81" s="10"/>
      <c r="L81" s="14" t="str">
        <f>VLOOKUP(D81,'Hedef Liste'!A:I,8,false)</f>
        <v>#N/A</v>
      </c>
      <c r="M81" s="14" t="b">
        <v>0</v>
      </c>
      <c r="N81" s="14" t="b">
        <v>0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hidden="1">
      <c r="A82" s="32"/>
      <c r="B82" s="10"/>
      <c r="C82" s="10"/>
      <c r="D82" s="31"/>
      <c r="E82" s="63"/>
      <c r="F82" s="23"/>
      <c r="G82" s="31"/>
      <c r="H82" s="31"/>
      <c r="I82" s="31"/>
      <c r="J82" s="10"/>
      <c r="K82" s="10"/>
      <c r="L82" s="14"/>
      <c r="M82" s="14" t="b">
        <v>0</v>
      </c>
      <c r="N82" s="14" t="b">
        <v>0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hidden="1">
      <c r="A83" s="9"/>
      <c r="B83" s="9">
        <v>44305.0</v>
      </c>
      <c r="C83" s="10"/>
      <c r="D83" s="58"/>
      <c r="E83" s="12"/>
      <c r="F83" s="12"/>
      <c r="G83" s="12"/>
      <c r="H83" s="12"/>
      <c r="I83" s="12"/>
      <c r="J83" s="12"/>
      <c r="K83" s="13"/>
      <c r="L83" s="14"/>
      <c r="M83" s="14"/>
      <c r="N83" s="14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hidden="1">
      <c r="A84" s="16" t="s">
        <v>14</v>
      </c>
      <c r="B84" s="10"/>
      <c r="C84" s="26" t="s">
        <v>189</v>
      </c>
      <c r="D84" s="65" t="s">
        <v>243</v>
      </c>
      <c r="E84" s="65" t="s">
        <v>244</v>
      </c>
      <c r="F84" s="52">
        <v>0.4583333333333333</v>
      </c>
      <c r="G84" s="66" t="s">
        <v>245</v>
      </c>
      <c r="H84" s="67" t="s">
        <v>246</v>
      </c>
      <c r="I84" s="68" t="s">
        <v>247</v>
      </c>
      <c r="J84" s="10"/>
      <c r="K84" s="10"/>
      <c r="L84" s="69" t="s">
        <v>248</v>
      </c>
      <c r="M84" s="14" t="b">
        <v>0</v>
      </c>
      <c r="N84" s="14" t="b">
        <v>0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hidden="1">
      <c r="A85" s="20"/>
      <c r="B85" s="21" t="s">
        <v>91</v>
      </c>
      <c r="C85" s="70" t="s">
        <v>189</v>
      </c>
      <c r="D85" s="66" t="s">
        <v>249</v>
      </c>
      <c r="E85" s="66" t="s">
        <v>250</v>
      </c>
      <c r="F85" s="71" t="s">
        <v>95</v>
      </c>
      <c r="G85" s="66" t="s">
        <v>245</v>
      </c>
      <c r="H85" s="67" t="s">
        <v>246</v>
      </c>
      <c r="I85" s="72" t="s">
        <v>251</v>
      </c>
      <c r="J85" s="21" t="s">
        <v>252</v>
      </c>
      <c r="K85" s="73"/>
      <c r="L85" s="73"/>
      <c r="M85" s="14" t="b">
        <v>0</v>
      </c>
      <c r="N85" s="14" t="b">
        <v>0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hidden="1">
      <c r="A86" s="20"/>
      <c r="B86" s="21" t="s">
        <v>91</v>
      </c>
      <c r="C86" s="74" t="s">
        <v>189</v>
      </c>
      <c r="D86" s="75" t="s">
        <v>253</v>
      </c>
      <c r="E86" s="75" t="s">
        <v>254</v>
      </c>
      <c r="F86" s="76">
        <v>0.5833333333333334</v>
      </c>
      <c r="G86" s="77" t="s">
        <v>212</v>
      </c>
      <c r="H86" s="77" t="s">
        <v>255</v>
      </c>
      <c r="I86" s="78" t="s">
        <v>256</v>
      </c>
      <c r="J86" s="73"/>
      <c r="K86" s="73"/>
      <c r="L86" s="79">
        <f>VLOOKUP(D86,'Hedef Liste'!A:I,8,false)</f>
        <v>11</v>
      </c>
      <c r="M86" s="14" t="b">
        <v>0</v>
      </c>
      <c r="N86" s="14" t="b">
        <v>0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hidden="1">
      <c r="A87" s="20"/>
      <c r="B87" s="21" t="s">
        <v>91</v>
      </c>
      <c r="C87" s="26" t="s">
        <v>257</v>
      </c>
      <c r="D87" s="65" t="s">
        <v>258</v>
      </c>
      <c r="E87" s="65" t="s">
        <v>259</v>
      </c>
      <c r="F87" s="52">
        <v>0.6666666666666666</v>
      </c>
      <c r="G87" s="51" t="s">
        <v>260</v>
      </c>
      <c r="H87" s="51" t="s">
        <v>261</v>
      </c>
      <c r="I87" s="50" t="s">
        <v>262</v>
      </c>
      <c r="J87" s="17" t="s">
        <v>263</v>
      </c>
      <c r="K87" s="10"/>
      <c r="L87" s="14" t="str">
        <f>VLOOKUP(D87,'Hedef Liste'!A:I,8,false)</f>
        <v>#N/A</v>
      </c>
      <c r="M87" s="14" t="b">
        <v>0</v>
      </c>
      <c r="N87" s="14" t="b">
        <v>0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hidden="1">
      <c r="A88" s="20"/>
      <c r="B88" s="21" t="s">
        <v>91</v>
      </c>
      <c r="C88" s="17" t="s">
        <v>257</v>
      </c>
      <c r="D88" s="25" t="s">
        <v>264</v>
      </c>
      <c r="E88" s="25" t="s">
        <v>265</v>
      </c>
      <c r="F88" s="23">
        <v>0.6666666666666666</v>
      </c>
      <c r="G88" s="24" t="s">
        <v>143</v>
      </c>
      <c r="H88" s="25" t="s">
        <v>266</v>
      </c>
      <c r="I88" s="25" t="s">
        <v>267</v>
      </c>
      <c r="J88" s="10"/>
      <c r="K88" s="10"/>
      <c r="L88" s="14" t="str">
        <f>VLOOKUP(D88,'Hedef Liste'!A:I,8,false)</f>
        <v>#N/A</v>
      </c>
      <c r="M88" s="14" t="b">
        <v>0</v>
      </c>
      <c r="N88" s="14" t="b">
        <v>0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hidden="1">
      <c r="A89" s="32"/>
      <c r="B89" s="10"/>
      <c r="C89" s="17" t="s">
        <v>257</v>
      </c>
      <c r="D89" s="25" t="s">
        <v>268</v>
      </c>
      <c r="E89" s="25" t="s">
        <v>269</v>
      </c>
      <c r="F89" s="23">
        <v>0.6666666666666666</v>
      </c>
      <c r="G89" s="24" t="s">
        <v>143</v>
      </c>
      <c r="H89" s="25" t="s">
        <v>266</v>
      </c>
      <c r="I89" s="25" t="s">
        <v>270</v>
      </c>
      <c r="J89" s="10"/>
      <c r="K89" s="10"/>
      <c r="L89" s="14"/>
      <c r="M89" s="14" t="b">
        <v>0</v>
      </c>
      <c r="N89" s="14" t="b">
        <v>0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hidden="1">
      <c r="A90" s="9"/>
      <c r="B90" s="9">
        <v>44306.0</v>
      </c>
      <c r="C90" s="10"/>
      <c r="D90" s="58"/>
      <c r="E90" s="12"/>
      <c r="F90" s="12"/>
      <c r="G90" s="12"/>
      <c r="H90" s="12"/>
      <c r="I90" s="12"/>
      <c r="J90" s="12"/>
      <c r="K90" s="13"/>
      <c r="L90" s="14"/>
      <c r="M90" s="14"/>
      <c r="N90" s="14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hidden="1">
      <c r="A91" s="16" t="s">
        <v>14</v>
      </c>
      <c r="B91" s="10"/>
      <c r="C91" s="17"/>
      <c r="D91" s="24"/>
      <c r="E91" s="24"/>
      <c r="F91" s="47"/>
      <c r="G91" s="24"/>
      <c r="H91" s="24"/>
      <c r="I91" s="24"/>
      <c r="J91" s="10"/>
      <c r="K91" s="10"/>
      <c r="L91" s="14"/>
      <c r="M91" s="14" t="b">
        <v>0</v>
      </c>
      <c r="N91" s="14" t="b">
        <v>0</v>
      </c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hidden="1">
      <c r="A92" s="20"/>
      <c r="B92" s="21" t="s">
        <v>91</v>
      </c>
      <c r="C92" s="17"/>
      <c r="D92" s="22"/>
      <c r="E92" s="22"/>
      <c r="F92" s="23"/>
      <c r="G92" s="24"/>
      <c r="H92" s="24"/>
      <c r="I92" s="22"/>
      <c r="J92" s="10"/>
      <c r="K92" s="10"/>
      <c r="L92" s="14" t="str">
        <f>VLOOKUP(D92,'Hedef Liste'!A:I,8,false)</f>
        <v>#N/A</v>
      </c>
      <c r="M92" s="14" t="b">
        <v>0</v>
      </c>
      <c r="N92" s="14" t="b">
        <v>0</v>
      </c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hidden="1">
      <c r="A93" s="20"/>
      <c r="B93" s="21" t="s">
        <v>91</v>
      </c>
      <c r="C93" s="17"/>
      <c r="D93" s="25"/>
      <c r="E93" s="25"/>
      <c r="F93" s="23">
        <v>0.5</v>
      </c>
      <c r="G93" s="17"/>
      <c r="H93" s="17"/>
      <c r="I93" s="22"/>
      <c r="J93" s="10"/>
      <c r="K93" s="10"/>
      <c r="L93" s="14" t="str">
        <f>VLOOKUP(D93,'Hedef Liste'!A:I,8,false)</f>
        <v>#N/A</v>
      </c>
      <c r="M93" s="14" t="b">
        <v>0</v>
      </c>
      <c r="N93" s="14" t="b">
        <v>0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hidden="1">
      <c r="A94" s="20"/>
      <c r="B94" s="21" t="s">
        <v>91</v>
      </c>
      <c r="C94" s="17" t="s">
        <v>257</v>
      </c>
      <c r="D94" s="75" t="s">
        <v>271</v>
      </c>
      <c r="E94" s="75" t="s">
        <v>272</v>
      </c>
      <c r="F94" s="30" t="s">
        <v>85</v>
      </c>
      <c r="G94" s="24" t="s">
        <v>273</v>
      </c>
      <c r="H94" s="17" t="s">
        <v>274</v>
      </c>
      <c r="I94" s="25" t="s">
        <v>275</v>
      </c>
      <c r="J94" s="10"/>
      <c r="K94" s="10"/>
      <c r="L94" s="14">
        <f>VLOOKUP(D94,'Hedef Liste'!A:I,8,false)</f>
        <v>26</v>
      </c>
      <c r="M94" s="14" t="b">
        <v>0</v>
      </c>
      <c r="N94" s="14" t="b">
        <v>0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hidden="1">
      <c r="A95" s="20"/>
      <c r="B95" s="21" t="s">
        <v>91</v>
      </c>
      <c r="C95" s="17" t="s">
        <v>257</v>
      </c>
      <c r="D95" s="75" t="s">
        <v>276</v>
      </c>
      <c r="E95" s="75" t="s">
        <v>277</v>
      </c>
      <c r="F95" s="23">
        <v>0.6666666666666666</v>
      </c>
      <c r="G95" s="24" t="s">
        <v>278</v>
      </c>
      <c r="H95" s="24" t="s">
        <v>279</v>
      </c>
      <c r="I95" s="25" t="s">
        <v>280</v>
      </c>
      <c r="J95" s="10"/>
      <c r="K95" s="10"/>
      <c r="L95" s="14" t="str">
        <f>VLOOKUP(D95,'Hedef Liste'!A:I,8,false)</f>
        <v>#N/A</v>
      </c>
      <c r="M95" s="14" t="b">
        <v>0</v>
      </c>
      <c r="N95" s="14" t="b">
        <v>0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hidden="1">
      <c r="A96" s="32"/>
      <c r="B96" s="10"/>
      <c r="C96" s="17" t="s">
        <v>257</v>
      </c>
      <c r="D96" s="75" t="s">
        <v>281</v>
      </c>
      <c r="E96" s="75" t="s">
        <v>282</v>
      </c>
      <c r="F96" s="23">
        <v>0.7291666666666666</v>
      </c>
      <c r="G96" s="80" t="s">
        <v>96</v>
      </c>
      <c r="H96" s="31" t="s">
        <v>283</v>
      </c>
      <c r="I96" s="25" t="s">
        <v>284</v>
      </c>
      <c r="J96" s="10"/>
      <c r="K96" s="10"/>
      <c r="L96" s="14"/>
      <c r="M96" s="14" t="b">
        <v>0</v>
      </c>
      <c r="N96" s="14" t="b">
        <v>0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hidden="1">
      <c r="A97" s="9"/>
      <c r="B97" s="9">
        <v>44307.0</v>
      </c>
      <c r="C97" s="10"/>
      <c r="D97" s="58"/>
      <c r="E97" s="12"/>
      <c r="F97" s="12"/>
      <c r="G97" s="12"/>
      <c r="H97" s="12"/>
      <c r="I97" s="12"/>
      <c r="J97" s="12"/>
      <c r="K97" s="13"/>
      <c r="L97" s="14"/>
      <c r="M97" s="14"/>
      <c r="N97" s="14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hidden="1">
      <c r="A98" s="16" t="s">
        <v>14</v>
      </c>
      <c r="B98" s="10"/>
      <c r="C98" s="17"/>
      <c r="D98" s="24"/>
      <c r="E98" s="24"/>
      <c r="F98" s="47"/>
      <c r="G98" s="24"/>
      <c r="H98" s="24"/>
      <c r="I98" s="24"/>
      <c r="J98" s="10"/>
      <c r="K98" s="10"/>
      <c r="L98" s="14"/>
      <c r="M98" s="14" t="b">
        <v>0</v>
      </c>
      <c r="N98" s="14" t="b">
        <v>0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hidden="1">
      <c r="A99" s="20"/>
      <c r="B99" s="21" t="s">
        <v>91</v>
      </c>
      <c r="C99" s="18"/>
      <c r="D99" s="18"/>
      <c r="E99" s="18"/>
      <c r="F99" s="19"/>
      <c r="G99" s="18"/>
      <c r="H99" s="18"/>
      <c r="I99" s="18"/>
      <c r="J99" s="18"/>
      <c r="K99" s="17"/>
      <c r="L99" s="14" t="str">
        <f>VLOOKUP(D103,'Hedef Liste'!A:I,8,false)</f>
        <v>#N/A</v>
      </c>
      <c r="M99" s="14" t="b">
        <v>0</v>
      </c>
      <c r="N99" s="14" t="b">
        <v>0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hidden="1">
      <c r="A100" s="20"/>
      <c r="B100" s="21" t="s">
        <v>91</v>
      </c>
      <c r="C100" s="17" t="s">
        <v>257</v>
      </c>
      <c r="D100" s="25" t="s">
        <v>285</v>
      </c>
      <c r="E100" s="25" t="s">
        <v>286</v>
      </c>
      <c r="F100" s="23">
        <v>0.5208333333333334</v>
      </c>
      <c r="G100" s="24" t="s">
        <v>287</v>
      </c>
      <c r="H100" s="17" t="s">
        <v>288</v>
      </c>
      <c r="I100" s="25" t="s">
        <v>289</v>
      </c>
      <c r="J100" s="10"/>
      <c r="K100" s="10"/>
      <c r="L100" s="14">
        <f>VLOOKUP(D100,'Hedef Liste'!A:I,8,false)</f>
        <v>10</v>
      </c>
      <c r="M100" s="14" t="b">
        <v>0</v>
      </c>
      <c r="N100" s="14" t="b">
        <v>0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hidden="1">
      <c r="A101" s="20"/>
      <c r="B101" s="21" t="s">
        <v>91</v>
      </c>
      <c r="C101" s="26" t="s">
        <v>189</v>
      </c>
      <c r="D101" s="50" t="s">
        <v>290</v>
      </c>
      <c r="E101" s="60" t="s">
        <v>291</v>
      </c>
      <c r="F101" s="28" t="s">
        <v>108</v>
      </c>
      <c r="G101" s="51" t="s">
        <v>287</v>
      </c>
      <c r="H101" s="26" t="s">
        <v>292</v>
      </c>
      <c r="I101" s="27" t="s">
        <v>293</v>
      </c>
      <c r="J101" s="17" t="s">
        <v>294</v>
      </c>
      <c r="K101" s="10"/>
      <c r="L101" s="14">
        <f>VLOOKUP(D101,'Hedef Liste'!A:I,8,false)</f>
        <v>16</v>
      </c>
      <c r="M101" s="14" t="b">
        <v>0</v>
      </c>
      <c r="N101" s="14" t="b">
        <v>0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hidden="1">
      <c r="A102" s="20"/>
      <c r="B102" s="21" t="s">
        <v>91</v>
      </c>
      <c r="C102" s="17" t="s">
        <v>257</v>
      </c>
      <c r="D102" s="25" t="s">
        <v>295</v>
      </c>
      <c r="E102" s="25" t="s">
        <v>296</v>
      </c>
      <c r="F102" s="23">
        <v>0.6875</v>
      </c>
      <c r="G102" s="24" t="s">
        <v>297</v>
      </c>
      <c r="H102" s="24" t="s">
        <v>298</v>
      </c>
      <c r="I102" s="25" t="s">
        <v>299</v>
      </c>
      <c r="J102" s="17" t="s">
        <v>300</v>
      </c>
      <c r="K102" s="10"/>
      <c r="L102" s="14"/>
      <c r="M102" s="14" t="b">
        <v>0</v>
      </c>
      <c r="N102" s="14" t="b">
        <v>0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hidden="1">
      <c r="A103" s="32"/>
      <c r="B103" s="10"/>
      <c r="C103" s="81" t="s">
        <v>189</v>
      </c>
      <c r="D103" s="82" t="s">
        <v>301</v>
      </c>
      <c r="E103" s="83" t="s">
        <v>302</v>
      </c>
      <c r="F103" s="84">
        <v>0.6458333333333334</v>
      </c>
      <c r="G103" s="85" t="s">
        <v>287</v>
      </c>
      <c r="H103" s="85" t="s">
        <v>303</v>
      </c>
      <c r="I103" s="82" t="s">
        <v>304</v>
      </c>
      <c r="J103" s="10"/>
      <c r="K103" s="10"/>
      <c r="L103" s="14"/>
      <c r="M103" s="14" t="b">
        <v>0</v>
      </c>
      <c r="N103" s="14" t="b">
        <v>0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hidden="1">
      <c r="A104" s="9"/>
      <c r="B104" s="9">
        <v>44308.0</v>
      </c>
      <c r="C104" s="10"/>
      <c r="D104" s="58"/>
      <c r="E104" s="12"/>
      <c r="F104" s="12"/>
      <c r="G104" s="12"/>
      <c r="H104" s="12"/>
      <c r="I104" s="12"/>
      <c r="J104" s="12"/>
      <c r="K104" s="13"/>
      <c r="L104" s="14"/>
      <c r="M104" s="14"/>
      <c r="N104" s="14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hidden="1">
      <c r="A105" s="16" t="s">
        <v>14</v>
      </c>
      <c r="B105" s="10"/>
      <c r="C105" s="17"/>
      <c r="D105" s="24"/>
      <c r="E105" s="24"/>
      <c r="F105" s="47"/>
      <c r="G105" s="24"/>
      <c r="H105" s="24"/>
      <c r="I105" s="24"/>
      <c r="J105" s="10"/>
      <c r="K105" s="10"/>
      <c r="L105" s="14"/>
      <c r="M105" s="14" t="b">
        <v>0</v>
      </c>
      <c r="N105" s="14" t="b">
        <v>0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hidden="1">
      <c r="A106" s="20"/>
      <c r="B106" s="21" t="s">
        <v>91</v>
      </c>
      <c r="C106" s="17"/>
      <c r="D106" s="22"/>
      <c r="E106" s="22"/>
      <c r="F106" s="47"/>
      <c r="G106" s="24"/>
      <c r="H106" s="24"/>
      <c r="I106" s="22"/>
      <c r="J106" s="10"/>
      <c r="K106" s="10"/>
      <c r="L106" s="14" t="str">
        <f>VLOOKUP(D106,'Hedef Liste'!A:I,8,false)</f>
        <v>#N/A</v>
      </c>
      <c r="M106" s="14" t="b">
        <v>0</v>
      </c>
      <c r="N106" s="14" t="b">
        <v>0</v>
      </c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hidden="1">
      <c r="A107" s="20"/>
      <c r="B107" s="21" t="s">
        <v>91</v>
      </c>
      <c r="C107" s="26" t="s">
        <v>189</v>
      </c>
      <c r="D107" s="50" t="s">
        <v>305</v>
      </c>
      <c r="E107" s="60" t="s">
        <v>306</v>
      </c>
      <c r="F107" s="59" t="s">
        <v>126</v>
      </c>
      <c r="G107" s="26" t="s">
        <v>307</v>
      </c>
      <c r="H107" s="26" t="s">
        <v>308</v>
      </c>
      <c r="I107" s="27" t="s">
        <v>309</v>
      </c>
      <c r="J107" s="10"/>
      <c r="K107" s="10"/>
      <c r="L107" s="14" t="str">
        <f>VLOOKUP(D107,'Hedef Liste'!A:I,8,false)</f>
        <v>#N/A</v>
      </c>
      <c r="M107" s="14" t="b">
        <v>0</v>
      </c>
      <c r="N107" s="14" t="b">
        <v>0</v>
      </c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hidden="1">
      <c r="A108" s="20"/>
      <c r="B108" s="21" t="s">
        <v>91</v>
      </c>
      <c r="C108" s="26" t="s">
        <v>310</v>
      </c>
      <c r="D108" s="50" t="s">
        <v>311</v>
      </c>
      <c r="E108" s="50" t="s">
        <v>312</v>
      </c>
      <c r="F108" s="28" t="s">
        <v>85</v>
      </c>
      <c r="G108" s="26" t="s">
        <v>313</v>
      </c>
      <c r="H108" s="26" t="s">
        <v>314</v>
      </c>
      <c r="I108" s="50" t="s">
        <v>315</v>
      </c>
      <c r="J108" s="10"/>
      <c r="K108" s="17" t="s">
        <v>316</v>
      </c>
      <c r="L108" s="14" t="str">
        <f>VLOOKUP(D108,'Hedef Liste'!A:I,8,false)</f>
        <v>#N/A</v>
      </c>
      <c r="M108" s="14" t="b">
        <v>0</v>
      </c>
      <c r="N108" s="14" t="b">
        <v>0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hidden="1">
      <c r="A109" s="20"/>
      <c r="B109" s="21" t="s">
        <v>91</v>
      </c>
      <c r="C109" s="17" t="s">
        <v>310</v>
      </c>
      <c r="D109" s="25" t="s">
        <v>317</v>
      </c>
      <c r="E109" s="25" t="s">
        <v>318</v>
      </c>
      <c r="F109" s="23">
        <v>0.6666666666666666</v>
      </c>
      <c r="G109" s="24" t="s">
        <v>319</v>
      </c>
      <c r="H109" s="24" t="s">
        <v>320</v>
      </c>
      <c r="I109" s="25" t="s">
        <v>321</v>
      </c>
      <c r="J109" s="10"/>
      <c r="K109" s="10"/>
      <c r="L109" s="14" t="str">
        <f>VLOOKUP(D109,'Hedef Liste'!A:I,8,false)</f>
        <v>#N/A</v>
      </c>
      <c r="M109" s="14" t="b">
        <v>0</v>
      </c>
      <c r="N109" s="14" t="b">
        <v>0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hidden="1">
      <c r="A110" s="32"/>
      <c r="B110" s="10"/>
      <c r="C110" s="26" t="s">
        <v>310</v>
      </c>
      <c r="D110" s="50" t="s">
        <v>322</v>
      </c>
      <c r="E110" s="50" t="s">
        <v>323</v>
      </c>
      <c r="F110" s="52">
        <v>0.7291666666666666</v>
      </c>
      <c r="G110" s="48" t="s">
        <v>324</v>
      </c>
      <c r="H110" s="48" t="s">
        <v>325</v>
      </c>
      <c r="I110" s="50" t="s">
        <v>326</v>
      </c>
      <c r="J110" s="10"/>
      <c r="K110" s="17" t="s">
        <v>316</v>
      </c>
      <c r="L110" s="14"/>
      <c r="M110" s="14" t="b">
        <v>0</v>
      </c>
      <c r="N110" s="14" t="b">
        <v>0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hidden="1">
      <c r="A111" s="9"/>
      <c r="B111" s="9">
        <v>44309.0</v>
      </c>
      <c r="C111" s="10"/>
      <c r="D111" s="58"/>
      <c r="E111" s="12"/>
      <c r="F111" s="12"/>
      <c r="G111" s="12"/>
      <c r="H111" s="12"/>
      <c r="I111" s="12"/>
      <c r="J111" s="12"/>
      <c r="K111" s="13"/>
      <c r="L111" s="14"/>
      <c r="M111" s="14"/>
      <c r="N111" s="14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hidden="1">
      <c r="A112" s="16" t="s">
        <v>14</v>
      </c>
      <c r="B112" s="10"/>
      <c r="C112" s="17"/>
      <c r="D112" s="24"/>
      <c r="E112" s="24"/>
      <c r="F112" s="47"/>
      <c r="G112" s="24"/>
      <c r="H112" s="24"/>
      <c r="I112" s="24"/>
      <c r="J112" s="10"/>
      <c r="K112" s="10"/>
      <c r="L112" s="14"/>
      <c r="M112" s="69" t="b">
        <v>0</v>
      </c>
      <c r="N112" s="14" t="b">
        <v>0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hidden="1">
      <c r="A113" s="20"/>
      <c r="B113" s="21" t="s">
        <v>91</v>
      </c>
      <c r="C113" s="17"/>
      <c r="D113" s="22"/>
      <c r="E113" s="22"/>
      <c r="F113" s="23">
        <v>0.4583333333333333</v>
      </c>
      <c r="G113" s="24"/>
      <c r="H113" s="24"/>
      <c r="I113" s="22"/>
      <c r="J113" s="10"/>
      <c r="K113" s="10"/>
      <c r="L113" s="14" t="str">
        <f>VLOOKUP(D113,'Hedef Liste'!A:I,8,false)</f>
        <v>#N/A</v>
      </c>
      <c r="M113" s="14" t="b">
        <v>0</v>
      </c>
      <c r="N113" s="14" t="b">
        <v>0</v>
      </c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hidden="1">
      <c r="A114" s="20"/>
      <c r="B114" s="21" t="s">
        <v>91</v>
      </c>
      <c r="C114" s="17"/>
      <c r="D114" s="25"/>
      <c r="E114" s="25"/>
      <c r="F114" s="47"/>
      <c r="G114" s="17"/>
      <c r="H114" s="17"/>
      <c r="I114" s="22"/>
      <c r="J114" s="10"/>
      <c r="K114" s="10"/>
      <c r="L114" s="14" t="str">
        <f>VLOOKUP(D114,'Hedef Liste'!A:I,8,false)</f>
        <v>#N/A</v>
      </c>
      <c r="M114" s="14" t="b">
        <v>0</v>
      </c>
      <c r="N114" s="14" t="b">
        <v>0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hidden="1">
      <c r="A115" s="20"/>
      <c r="B115" s="21" t="s">
        <v>91</v>
      </c>
      <c r="C115" s="17"/>
      <c r="D115" s="75"/>
      <c r="E115" s="75"/>
      <c r="F115" s="30"/>
      <c r="G115" s="17"/>
      <c r="H115" s="25"/>
      <c r="I115" s="25"/>
      <c r="J115" s="10"/>
      <c r="K115" s="10"/>
      <c r="L115" s="14" t="str">
        <f>VLOOKUP(D115,'Hedef Liste'!A:I,8,false)</f>
        <v>#N/A</v>
      </c>
      <c r="M115" s="14" t="b">
        <v>0</v>
      </c>
      <c r="N115" s="14" t="b">
        <v>0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hidden="1">
      <c r="A116" s="20"/>
      <c r="B116" s="21" t="s">
        <v>91</v>
      </c>
      <c r="C116" s="17"/>
      <c r="D116" s="25"/>
      <c r="E116" s="25"/>
      <c r="F116" s="23"/>
      <c r="G116" s="18"/>
      <c r="H116" s="18"/>
      <c r="I116" s="25"/>
      <c r="J116" s="10"/>
      <c r="K116" s="10"/>
      <c r="L116" s="14" t="str">
        <f>VLOOKUP(D116,'Hedef Liste'!A:I,8,false)</f>
        <v>#N/A</v>
      </c>
      <c r="M116" s="14" t="b">
        <v>0</v>
      </c>
      <c r="N116" s="14" t="b">
        <v>0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hidden="1">
      <c r="A117" s="32"/>
      <c r="B117" s="10"/>
      <c r="C117" s="17"/>
      <c r="D117" s="25"/>
      <c r="E117" s="25"/>
      <c r="F117" s="19"/>
      <c r="G117" s="31"/>
      <c r="H117" s="31"/>
      <c r="I117" s="25"/>
      <c r="J117" s="10"/>
      <c r="K117" s="10"/>
      <c r="L117" s="14"/>
      <c r="M117" s="14" t="b">
        <v>0</v>
      </c>
      <c r="N117" s="14" t="b">
        <v>0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hidden="1">
      <c r="A118" s="9"/>
      <c r="B118" s="9">
        <v>44312.0</v>
      </c>
      <c r="C118" s="10"/>
      <c r="D118" s="58"/>
      <c r="E118" s="12"/>
      <c r="F118" s="12"/>
      <c r="G118" s="12"/>
      <c r="H118" s="12"/>
      <c r="I118" s="12"/>
      <c r="J118" s="12"/>
      <c r="K118" s="13"/>
      <c r="L118" s="14"/>
      <c r="M118" s="14"/>
      <c r="N118" s="14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hidden="1">
      <c r="A119" s="16" t="s">
        <v>14</v>
      </c>
      <c r="B119" s="10"/>
      <c r="C119" s="17"/>
      <c r="D119" s="24"/>
      <c r="E119" s="24"/>
      <c r="F119" s="47"/>
      <c r="G119" s="24"/>
      <c r="H119" s="24"/>
      <c r="I119" s="24"/>
      <c r="J119" s="10"/>
      <c r="K119" s="10"/>
      <c r="L119" s="14"/>
      <c r="M119" s="14" t="b">
        <v>0</v>
      </c>
      <c r="N119" s="14" t="b">
        <v>0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hidden="1">
      <c r="A120" s="20"/>
      <c r="B120" s="21" t="s">
        <v>91</v>
      </c>
      <c r="C120" s="26" t="s">
        <v>310</v>
      </c>
      <c r="D120" s="50" t="s">
        <v>327</v>
      </c>
      <c r="E120" s="50" t="s">
        <v>328</v>
      </c>
      <c r="F120" s="52">
        <v>0.5</v>
      </c>
      <c r="G120" s="51" t="s">
        <v>329</v>
      </c>
      <c r="H120" s="51" t="s">
        <v>330</v>
      </c>
      <c r="I120" s="50" t="s">
        <v>331</v>
      </c>
      <c r="J120" s="10"/>
      <c r="K120" s="10"/>
      <c r="L120" s="14">
        <f>VLOOKUP(D120,'Hedef Liste'!A:I,8,false)</f>
        <v>54</v>
      </c>
      <c r="M120" s="14" t="b">
        <v>0</v>
      </c>
      <c r="N120" s="14" t="b">
        <v>0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hidden="1">
      <c r="A121" s="20"/>
      <c r="B121" s="21" t="s">
        <v>91</v>
      </c>
      <c r="C121" s="17" t="s">
        <v>189</v>
      </c>
      <c r="D121" s="25" t="s">
        <v>332</v>
      </c>
      <c r="E121" s="25" t="s">
        <v>333</v>
      </c>
      <c r="F121" s="23">
        <v>0.5833333333333334</v>
      </c>
      <c r="G121" s="24" t="s">
        <v>334</v>
      </c>
      <c r="H121" s="17" t="s">
        <v>335</v>
      </c>
      <c r="I121" s="25" t="s">
        <v>336</v>
      </c>
      <c r="J121" s="10"/>
      <c r="K121" s="10"/>
      <c r="L121" s="14">
        <f>VLOOKUP(D121,'Hedef Liste'!A:I,8,false)</f>
        <v>3</v>
      </c>
      <c r="M121" s="14" t="b">
        <v>0</v>
      </c>
      <c r="N121" s="14" t="b">
        <v>0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hidden="1">
      <c r="A122" s="20"/>
      <c r="B122" s="21" t="s">
        <v>91</v>
      </c>
      <c r="C122" s="26" t="s">
        <v>189</v>
      </c>
      <c r="D122" s="50" t="s">
        <v>337</v>
      </c>
      <c r="E122" s="50" t="s">
        <v>338</v>
      </c>
      <c r="F122" s="28" t="s">
        <v>339</v>
      </c>
      <c r="G122" s="51" t="s">
        <v>334</v>
      </c>
      <c r="H122" s="50" t="s">
        <v>340</v>
      </c>
      <c r="I122" s="50" t="s">
        <v>341</v>
      </c>
      <c r="J122" s="10"/>
      <c r="K122" s="10"/>
      <c r="L122" s="14">
        <f>VLOOKUP(D122,'Hedef Liste'!A:I,8,false)</f>
        <v>3</v>
      </c>
      <c r="M122" s="14" t="b">
        <v>0</v>
      </c>
      <c r="N122" s="14" t="b">
        <v>0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hidden="1">
      <c r="A123" s="20"/>
      <c r="B123" s="21" t="s">
        <v>91</v>
      </c>
      <c r="C123" s="17" t="s">
        <v>189</v>
      </c>
      <c r="D123" s="25" t="s">
        <v>342</v>
      </c>
      <c r="E123" s="25" t="s">
        <v>343</v>
      </c>
      <c r="F123" s="23">
        <v>0.7083333333333334</v>
      </c>
      <c r="G123" s="24" t="s">
        <v>334</v>
      </c>
      <c r="H123" s="24" t="s">
        <v>344</v>
      </c>
      <c r="I123" s="25" t="s">
        <v>345</v>
      </c>
      <c r="J123" s="10"/>
      <c r="K123" s="10"/>
      <c r="L123" s="14">
        <f>VLOOKUP(D123,'Hedef Liste'!A:I,8,false)</f>
        <v>6</v>
      </c>
      <c r="M123" s="14" t="b">
        <v>0</v>
      </c>
      <c r="N123" s="14" t="b">
        <v>0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hidden="1">
      <c r="A124" s="32"/>
      <c r="B124" s="10"/>
      <c r="C124" s="17"/>
      <c r="D124" s="25"/>
      <c r="E124" s="25"/>
      <c r="F124" s="19"/>
      <c r="G124" s="31"/>
      <c r="H124" s="31"/>
      <c r="I124" s="25"/>
      <c r="J124" s="10"/>
      <c r="K124" s="10"/>
      <c r="L124" s="14"/>
      <c r="M124" s="14" t="b">
        <v>0</v>
      </c>
      <c r="N124" s="14" t="b">
        <v>0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hidden="1">
      <c r="A125" s="9"/>
      <c r="B125" s="9">
        <v>44313.0</v>
      </c>
      <c r="C125" s="10"/>
      <c r="D125" s="58"/>
      <c r="E125" s="12"/>
      <c r="F125" s="12"/>
      <c r="G125" s="12"/>
      <c r="H125" s="12"/>
      <c r="I125" s="12"/>
      <c r="J125" s="12"/>
      <c r="K125" s="13"/>
      <c r="L125" s="14"/>
      <c r="M125" s="14"/>
      <c r="N125" s="14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hidden="1">
      <c r="A126" s="16" t="s">
        <v>14</v>
      </c>
      <c r="B126" s="10"/>
      <c r="C126" s="17"/>
      <c r="D126" s="24"/>
      <c r="E126" s="24"/>
      <c r="F126" s="47"/>
      <c r="G126" s="24"/>
      <c r="H126" s="24"/>
      <c r="I126" s="24"/>
      <c r="J126" s="10"/>
      <c r="K126" s="10"/>
      <c r="L126" s="14"/>
      <c r="M126" s="14" t="b">
        <v>0</v>
      </c>
      <c r="N126" s="14" t="b">
        <v>0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hidden="1">
      <c r="A127" s="20"/>
      <c r="B127" s="21" t="s">
        <v>91</v>
      </c>
      <c r="C127" s="26" t="s">
        <v>189</v>
      </c>
      <c r="D127" s="27" t="s">
        <v>346</v>
      </c>
      <c r="E127" s="60" t="s">
        <v>347</v>
      </c>
      <c r="F127" s="59" t="s">
        <v>95</v>
      </c>
      <c r="G127" s="51" t="s">
        <v>76</v>
      </c>
      <c r="H127" s="51" t="s">
        <v>348</v>
      </c>
      <c r="I127" s="27" t="s">
        <v>349</v>
      </c>
      <c r="J127" s="10"/>
      <c r="K127" s="10"/>
      <c r="L127" s="14" t="str">
        <f>VLOOKUP(D127,'Hedef Liste'!A:I,8,false)</f>
        <v>#N/A</v>
      </c>
      <c r="M127" s="14" t="b">
        <v>0</v>
      </c>
      <c r="N127" s="14" t="b">
        <v>0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hidden="1">
      <c r="A128" s="20"/>
      <c r="B128" s="21" t="s">
        <v>91</v>
      </c>
      <c r="C128" s="26" t="s">
        <v>189</v>
      </c>
      <c r="D128" s="50" t="s">
        <v>350</v>
      </c>
      <c r="E128" s="50"/>
      <c r="F128" s="59" t="s">
        <v>101</v>
      </c>
      <c r="G128" s="26" t="s">
        <v>76</v>
      </c>
      <c r="H128" s="26" t="s">
        <v>351</v>
      </c>
      <c r="I128" s="27" t="s">
        <v>352</v>
      </c>
      <c r="J128" s="10"/>
      <c r="K128" s="10"/>
      <c r="L128" s="14" t="str">
        <f>VLOOKUP(D128,'Hedef Liste'!A:I,8,false)</f>
        <v>#N/A</v>
      </c>
      <c r="M128" s="14" t="b">
        <v>0</v>
      </c>
      <c r="N128" s="14" t="b">
        <v>0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hidden="1">
      <c r="A129" s="20"/>
      <c r="B129" s="21" t="s">
        <v>91</v>
      </c>
      <c r="C129" s="26" t="s">
        <v>189</v>
      </c>
      <c r="D129" s="86" t="s">
        <v>353</v>
      </c>
      <c r="E129" s="65"/>
      <c r="F129" s="28" t="s">
        <v>108</v>
      </c>
      <c r="G129" s="26" t="s">
        <v>354</v>
      </c>
      <c r="H129" s="50" t="s">
        <v>355</v>
      </c>
      <c r="I129" s="50" t="s">
        <v>356</v>
      </c>
      <c r="J129" s="10"/>
      <c r="K129" s="10"/>
      <c r="L129" s="14" t="str">
        <f>VLOOKUP(D129,'Hedef Liste'!A:I,8,false)</f>
        <v>#N/A</v>
      </c>
      <c r="M129" s="14" t="b">
        <v>0</v>
      </c>
      <c r="N129" s="14" t="b">
        <v>0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hidden="1">
      <c r="A130" s="20"/>
      <c r="B130" s="21" t="s">
        <v>91</v>
      </c>
      <c r="C130" s="17" t="s">
        <v>189</v>
      </c>
      <c r="D130" s="25" t="s">
        <v>357</v>
      </c>
      <c r="E130" s="87" t="s">
        <v>358</v>
      </c>
      <c r="F130" s="47" t="s">
        <v>359</v>
      </c>
      <c r="G130" s="24" t="s">
        <v>360</v>
      </c>
      <c r="H130" s="24" t="s">
        <v>361</v>
      </c>
      <c r="I130" s="25" t="s">
        <v>362</v>
      </c>
      <c r="J130" s="10"/>
      <c r="K130" s="10"/>
      <c r="L130" s="14">
        <f>VLOOKUP(D130,'Hedef Liste'!A:I,8,false)</f>
        <v>57</v>
      </c>
      <c r="M130" s="14" t="b">
        <v>0</v>
      </c>
      <c r="N130" s="14" t="b">
        <v>0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hidden="1">
      <c r="A131" s="32"/>
      <c r="B131" s="10"/>
      <c r="C131" s="17"/>
      <c r="D131" s="25"/>
      <c r="E131" s="25"/>
      <c r="F131" s="47"/>
      <c r="G131" s="31"/>
      <c r="H131" s="31"/>
      <c r="I131" s="25"/>
      <c r="J131" s="10"/>
      <c r="K131" s="10"/>
      <c r="L131" s="14"/>
      <c r="M131" s="14" t="b">
        <v>0</v>
      </c>
      <c r="N131" s="14" t="b">
        <v>0</v>
      </c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hidden="1">
      <c r="A132" s="9"/>
      <c r="B132" s="9">
        <v>44314.0</v>
      </c>
      <c r="C132" s="10"/>
      <c r="D132" s="58"/>
      <c r="E132" s="12"/>
      <c r="F132" s="12"/>
      <c r="G132" s="12"/>
      <c r="H132" s="12"/>
      <c r="I132" s="12"/>
      <c r="J132" s="12"/>
      <c r="K132" s="13"/>
      <c r="L132" s="14"/>
      <c r="M132" s="14"/>
      <c r="N132" s="14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hidden="1">
      <c r="A133" s="16" t="s">
        <v>14</v>
      </c>
      <c r="B133" s="10"/>
      <c r="C133" s="74" t="s">
        <v>189</v>
      </c>
      <c r="D133" s="88" t="s">
        <v>363</v>
      </c>
      <c r="E133" s="89" t="s">
        <v>364</v>
      </c>
      <c r="F133" s="90">
        <v>0.6458333333333334</v>
      </c>
      <c r="G133" s="74" t="s">
        <v>365</v>
      </c>
      <c r="H133" s="74" t="s">
        <v>366</v>
      </c>
      <c r="I133" s="78" t="s">
        <v>367</v>
      </c>
      <c r="J133" s="73"/>
      <c r="K133" s="73"/>
      <c r="L133" s="14"/>
      <c r="M133" s="14" t="b">
        <v>0</v>
      </c>
      <c r="N133" s="14" t="b">
        <v>0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ht="15.75" hidden="1" customHeight="1">
      <c r="A134" s="20"/>
      <c r="B134" s="21" t="s">
        <v>91</v>
      </c>
      <c r="C134" s="70" t="s">
        <v>257</v>
      </c>
      <c r="D134" s="91" t="s">
        <v>368</v>
      </c>
      <c r="E134" s="70" t="s">
        <v>369</v>
      </c>
      <c r="F134" s="92" t="s">
        <v>131</v>
      </c>
      <c r="G134" s="70" t="s">
        <v>143</v>
      </c>
      <c r="H134" s="65" t="s">
        <v>370</v>
      </c>
      <c r="I134" s="65" t="s">
        <v>371</v>
      </c>
      <c r="J134" s="93" t="s">
        <v>372</v>
      </c>
      <c r="K134" s="73"/>
      <c r="L134" s="14" t="str">
        <f>VLOOKUP(D134,'Hedef Liste'!A:I,8,false)</f>
        <v>#N/A</v>
      </c>
      <c r="M134" s="14" t="b">
        <v>0</v>
      </c>
      <c r="N134" s="14" t="b">
        <v>0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hidden="1">
      <c r="A135" s="20"/>
      <c r="B135" s="21" t="s">
        <v>91</v>
      </c>
      <c r="C135" s="70" t="s">
        <v>189</v>
      </c>
      <c r="D135" s="65" t="s">
        <v>373</v>
      </c>
      <c r="E135" s="94" t="s">
        <v>374</v>
      </c>
      <c r="F135" s="95">
        <v>0.6458333333333334</v>
      </c>
      <c r="G135" s="65" t="s">
        <v>375</v>
      </c>
      <c r="H135" s="65" t="s">
        <v>376</v>
      </c>
      <c r="I135" s="65" t="s">
        <v>377</v>
      </c>
      <c r="J135" s="96" t="s">
        <v>378</v>
      </c>
      <c r="K135" s="73"/>
      <c r="L135" s="14">
        <f>VLOOKUP(D135,'Hedef Liste'!A:I,8,false)</f>
        <v>30</v>
      </c>
      <c r="M135" s="14" t="b">
        <v>0</v>
      </c>
      <c r="N135" s="14" t="b">
        <v>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ht="14.25" hidden="1" customHeight="1">
      <c r="A136" s="20"/>
      <c r="B136" s="21" t="s">
        <v>91</v>
      </c>
      <c r="C136" s="17" t="s">
        <v>257</v>
      </c>
      <c r="D136" s="97" t="s">
        <v>112</v>
      </c>
      <c r="E136" s="97" t="s">
        <v>113</v>
      </c>
      <c r="F136" s="30" t="s">
        <v>379</v>
      </c>
      <c r="G136" s="17" t="s">
        <v>380</v>
      </c>
      <c r="H136" s="98" t="s">
        <v>381</v>
      </c>
      <c r="I136" s="99" t="s">
        <v>382</v>
      </c>
      <c r="J136" s="17"/>
      <c r="K136" s="10"/>
      <c r="L136" s="14">
        <f>VLOOKUP(D136,'Hedef Liste'!A:I,8,false)</f>
        <v>1</v>
      </c>
      <c r="M136" s="14" t="b">
        <v>0</v>
      </c>
      <c r="N136" s="14" t="b">
        <v>0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ht="15.75" hidden="1" customHeight="1">
      <c r="A137" s="32"/>
      <c r="B137" s="10"/>
      <c r="C137" s="17"/>
      <c r="D137" s="25"/>
      <c r="E137" s="100"/>
      <c r="F137" s="23"/>
      <c r="G137" s="31"/>
      <c r="H137" s="31"/>
      <c r="I137" s="25"/>
      <c r="J137" s="17"/>
      <c r="K137" s="10"/>
      <c r="L137" s="14"/>
      <c r="M137" s="14" t="b">
        <v>0</v>
      </c>
      <c r="N137" s="14" t="b">
        <v>0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hidden="1">
      <c r="A138" s="9"/>
      <c r="B138" s="9">
        <v>44315.0</v>
      </c>
      <c r="C138" s="10"/>
      <c r="D138" s="58"/>
      <c r="E138" s="12"/>
      <c r="F138" s="12"/>
      <c r="G138" s="12"/>
      <c r="H138" s="12"/>
      <c r="I138" s="12"/>
      <c r="J138" s="12"/>
      <c r="K138" s="13"/>
      <c r="L138" s="14"/>
      <c r="M138" s="14"/>
      <c r="N138" s="14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hidden="1">
      <c r="A139" s="16" t="s">
        <v>14</v>
      </c>
      <c r="B139" s="21" t="s">
        <v>91</v>
      </c>
      <c r="C139" s="17" t="s">
        <v>257</v>
      </c>
      <c r="D139" s="25" t="s">
        <v>249</v>
      </c>
      <c r="E139" s="25" t="s">
        <v>250</v>
      </c>
      <c r="F139" s="23">
        <v>0.5208333333333334</v>
      </c>
      <c r="G139" s="24" t="s">
        <v>383</v>
      </c>
      <c r="H139" s="24" t="s">
        <v>246</v>
      </c>
      <c r="I139" s="25" t="s">
        <v>251</v>
      </c>
      <c r="J139" s="17" t="s">
        <v>384</v>
      </c>
      <c r="K139" s="10"/>
      <c r="L139" s="14" t="str">
        <f>VLOOKUP(D139,'Hedef Liste'!A:I,8,false)</f>
        <v>#N/A</v>
      </c>
      <c r="M139" s="14" t="b">
        <v>0</v>
      </c>
      <c r="N139" s="14" t="b">
        <v>0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hidden="1">
      <c r="A140" s="20"/>
      <c r="B140" s="101" t="s">
        <v>91</v>
      </c>
      <c r="C140" s="70" t="s">
        <v>310</v>
      </c>
      <c r="D140" s="65" t="s">
        <v>385</v>
      </c>
      <c r="E140" s="65" t="s">
        <v>386</v>
      </c>
      <c r="F140" s="92" t="s">
        <v>387</v>
      </c>
      <c r="G140" s="26" t="s">
        <v>388</v>
      </c>
      <c r="H140" s="102" t="s">
        <v>389</v>
      </c>
      <c r="I140" s="103" t="s">
        <v>390</v>
      </c>
      <c r="J140" s="73"/>
      <c r="K140" s="73"/>
      <c r="L140" s="79">
        <f>VLOOKUP(D140,'Hedef Liste'!A:I,8,false)</f>
        <v>9</v>
      </c>
      <c r="M140" s="104" t="b">
        <v>0</v>
      </c>
      <c r="N140" s="104" t="b">
        <v>0</v>
      </c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</row>
    <row r="141" hidden="1">
      <c r="A141" s="20"/>
      <c r="B141" s="21" t="s">
        <v>91</v>
      </c>
      <c r="C141" s="17" t="s">
        <v>310</v>
      </c>
      <c r="D141" s="25" t="s">
        <v>391</v>
      </c>
      <c r="E141" s="25" t="s">
        <v>392</v>
      </c>
      <c r="F141" s="23">
        <v>0.5833333333333334</v>
      </c>
      <c r="G141" s="24" t="s">
        <v>393</v>
      </c>
      <c r="H141" s="24" t="s">
        <v>394</v>
      </c>
      <c r="I141" s="25" t="s">
        <v>395</v>
      </c>
      <c r="J141" s="10"/>
      <c r="K141" s="10"/>
      <c r="L141" s="14">
        <f>VLOOKUP(D141,'Hedef Liste'!A:I,8,false)</f>
        <v>2</v>
      </c>
      <c r="M141" s="14" t="b">
        <v>0</v>
      </c>
      <c r="N141" s="14" t="b">
        <v>0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hidden="1">
      <c r="A142" s="20"/>
      <c r="B142" s="21" t="s">
        <v>91</v>
      </c>
      <c r="C142" s="26" t="s">
        <v>310</v>
      </c>
      <c r="D142" s="50" t="s">
        <v>396</v>
      </c>
      <c r="E142" s="50" t="s">
        <v>397</v>
      </c>
      <c r="F142" s="52">
        <v>0.6666666666666666</v>
      </c>
      <c r="G142" s="26" t="s">
        <v>398</v>
      </c>
      <c r="H142" s="26" t="s">
        <v>399</v>
      </c>
      <c r="I142" s="50" t="s">
        <v>400</v>
      </c>
      <c r="J142" s="10"/>
      <c r="K142" s="17" t="s">
        <v>401</v>
      </c>
      <c r="L142" s="14">
        <f>VLOOKUP(D142,'Hedef Liste'!A:I,8,false)</f>
        <v>21</v>
      </c>
      <c r="M142" s="14" t="b">
        <v>0</v>
      </c>
      <c r="N142" s="14" t="b">
        <v>0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hidden="1">
      <c r="A143" s="32"/>
      <c r="B143" s="21" t="s">
        <v>91</v>
      </c>
      <c r="C143" s="17" t="s">
        <v>310</v>
      </c>
      <c r="D143" s="25" t="s">
        <v>402</v>
      </c>
      <c r="E143" s="25" t="s">
        <v>403</v>
      </c>
      <c r="F143" s="30" t="s">
        <v>404</v>
      </c>
      <c r="G143" s="17" t="s">
        <v>405</v>
      </c>
      <c r="H143" s="106" t="s">
        <v>406</v>
      </c>
      <c r="I143" s="25" t="s">
        <v>407</v>
      </c>
      <c r="J143" s="10"/>
      <c r="K143" s="10"/>
      <c r="L143" s="14"/>
      <c r="M143" s="14"/>
      <c r="N143" s="14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hidden="1">
      <c r="A144" s="107"/>
      <c r="B144" s="21"/>
      <c r="C144" s="17"/>
      <c r="D144" s="25"/>
      <c r="E144" s="25"/>
      <c r="F144" s="23"/>
      <c r="G144" s="24"/>
      <c r="H144" s="24"/>
      <c r="I144" s="25"/>
      <c r="J144" s="17"/>
      <c r="K144" s="10"/>
      <c r="L144" s="14" t="str">
        <f>VLOOKUP(D144,'Hedef Liste'!A:I,8,false)</f>
        <v>#N/A</v>
      </c>
      <c r="M144" s="14" t="b">
        <v>0</v>
      </c>
      <c r="N144" s="14" t="b">
        <v>0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hidden="1">
      <c r="A145" s="108"/>
      <c r="B145" s="10"/>
      <c r="C145" s="17"/>
      <c r="D145" s="25"/>
      <c r="E145" s="25"/>
      <c r="F145" s="23"/>
      <c r="G145" s="31"/>
      <c r="H145" s="31"/>
      <c r="I145" s="25"/>
      <c r="J145" s="10"/>
      <c r="K145" s="10"/>
      <c r="L145" s="14"/>
      <c r="M145" s="14" t="b">
        <v>0</v>
      </c>
      <c r="N145" s="14" t="b">
        <v>0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hidden="1">
      <c r="A146" s="9"/>
      <c r="B146" s="9">
        <v>44333.0</v>
      </c>
      <c r="C146" s="10"/>
      <c r="D146" s="58"/>
      <c r="E146" s="12"/>
      <c r="F146" s="12"/>
      <c r="G146" s="12"/>
      <c r="H146" s="12"/>
      <c r="I146" s="12"/>
      <c r="J146" s="12"/>
      <c r="K146" s="13"/>
      <c r="L146" s="14"/>
      <c r="M146" s="14"/>
      <c r="N146" s="14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hidden="1">
      <c r="A147" s="16" t="s">
        <v>408</v>
      </c>
      <c r="B147" s="10"/>
      <c r="C147" s="17"/>
      <c r="D147" s="24"/>
      <c r="E147" s="24"/>
      <c r="F147" s="47"/>
      <c r="G147" s="24"/>
      <c r="H147" s="24"/>
      <c r="I147" s="24"/>
      <c r="J147" s="10"/>
      <c r="K147" s="10"/>
      <c r="L147" s="14"/>
      <c r="M147" s="14" t="b">
        <v>0</v>
      </c>
      <c r="N147" s="14" t="b">
        <v>0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hidden="1">
      <c r="A148" s="20"/>
      <c r="B148" s="21" t="s">
        <v>91</v>
      </c>
      <c r="C148" s="17" t="s">
        <v>310</v>
      </c>
      <c r="D148" s="25" t="s">
        <v>409</v>
      </c>
      <c r="E148" s="25" t="s">
        <v>410</v>
      </c>
      <c r="F148" s="23">
        <v>0.4583333333333333</v>
      </c>
      <c r="G148" s="24" t="s">
        <v>411</v>
      </c>
      <c r="H148" s="25" t="s">
        <v>412</v>
      </c>
      <c r="I148" s="25" t="s">
        <v>413</v>
      </c>
      <c r="J148" s="10"/>
      <c r="K148" s="10"/>
      <c r="L148" s="14" t="str">
        <f>VLOOKUP(D148,'Hedef Liste'!A:I,8,false)</f>
        <v>#N/A</v>
      </c>
      <c r="M148" s="14" t="b">
        <v>0</v>
      </c>
      <c r="N148" s="14" t="b">
        <v>0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hidden="1">
      <c r="A149" s="20"/>
      <c r="B149" s="21" t="s">
        <v>91</v>
      </c>
      <c r="C149" s="17" t="s">
        <v>310</v>
      </c>
      <c r="D149" s="25" t="s">
        <v>414</v>
      </c>
      <c r="E149" s="25" t="s">
        <v>415</v>
      </c>
      <c r="F149" s="23">
        <v>0.5</v>
      </c>
      <c r="G149" s="25" t="s">
        <v>416</v>
      </c>
      <c r="H149" s="25" t="s">
        <v>417</v>
      </c>
      <c r="I149" s="25" t="s">
        <v>418</v>
      </c>
      <c r="J149" s="10"/>
      <c r="K149" s="10"/>
      <c r="L149" s="14">
        <f>VLOOKUP(D149,'Hedef Liste'!A:I,8,false)</f>
        <v>40</v>
      </c>
      <c r="M149" s="14" t="b">
        <v>0</v>
      </c>
      <c r="N149" s="14" t="b">
        <v>0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hidden="1">
      <c r="A150" s="20"/>
      <c r="B150" s="21" t="s">
        <v>91</v>
      </c>
      <c r="C150" s="26" t="s">
        <v>310</v>
      </c>
      <c r="D150" s="50" t="s">
        <v>419</v>
      </c>
      <c r="E150" s="50" t="s">
        <v>420</v>
      </c>
      <c r="F150" s="28" t="s">
        <v>85</v>
      </c>
      <c r="G150" s="26" t="s">
        <v>416</v>
      </c>
      <c r="H150" s="50" t="s">
        <v>421</v>
      </c>
      <c r="I150" s="50" t="s">
        <v>422</v>
      </c>
      <c r="J150" s="10"/>
      <c r="K150" s="17" t="s">
        <v>423</v>
      </c>
      <c r="L150" s="14">
        <f>VLOOKUP(D150,'Hedef Liste'!A:I,8,false)</f>
        <v>37</v>
      </c>
      <c r="M150" s="14" t="b">
        <v>0</v>
      </c>
      <c r="N150" s="14" t="b">
        <v>0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hidden="1">
      <c r="A151" s="20"/>
      <c r="B151" s="21" t="s">
        <v>91</v>
      </c>
      <c r="C151" s="17" t="s">
        <v>310</v>
      </c>
      <c r="D151" s="25" t="s">
        <v>424</v>
      </c>
      <c r="E151" s="25" t="s">
        <v>425</v>
      </c>
      <c r="F151" s="23">
        <v>0.6666666666666666</v>
      </c>
      <c r="G151" s="17" t="s">
        <v>416</v>
      </c>
      <c r="H151" s="24" t="s">
        <v>426</v>
      </c>
      <c r="I151" s="25" t="s">
        <v>427</v>
      </c>
      <c r="J151" s="10"/>
      <c r="K151" s="10"/>
      <c r="L151" s="14" t="str">
        <f>VLOOKUP(D151,'Hedef Liste'!A:I,8,false)</f>
        <v>#N/A</v>
      </c>
      <c r="M151" s="14" t="b">
        <v>0</v>
      </c>
      <c r="N151" s="14" t="b">
        <v>0</v>
      </c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hidden="1">
      <c r="A152" s="32"/>
      <c r="B152" s="10"/>
      <c r="C152" s="17" t="s">
        <v>189</v>
      </c>
      <c r="D152" s="25" t="s">
        <v>428</v>
      </c>
      <c r="E152" s="25" t="s">
        <v>429</v>
      </c>
      <c r="F152" s="23">
        <v>0.5833333333333334</v>
      </c>
      <c r="G152" s="31" t="s">
        <v>430</v>
      </c>
      <c r="H152" s="31" t="s">
        <v>431</v>
      </c>
      <c r="I152" s="25" t="s">
        <v>432</v>
      </c>
      <c r="J152" s="10"/>
      <c r="K152" s="10"/>
      <c r="L152" s="14"/>
      <c r="M152" s="14" t="b">
        <v>0</v>
      </c>
      <c r="N152" s="14" t="b">
        <v>0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hidden="1">
      <c r="A153" s="9"/>
      <c r="B153" s="9">
        <v>44334.0</v>
      </c>
      <c r="C153" s="10"/>
      <c r="D153" s="58"/>
      <c r="E153" s="12"/>
      <c r="F153" s="12"/>
      <c r="G153" s="12"/>
      <c r="H153" s="12"/>
      <c r="I153" s="12"/>
      <c r="J153" s="12"/>
      <c r="K153" s="13"/>
      <c r="L153" s="14"/>
      <c r="M153" s="14"/>
      <c r="N153" s="14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hidden="1">
      <c r="A154" s="16" t="s">
        <v>408</v>
      </c>
      <c r="B154" s="10"/>
      <c r="C154" s="17"/>
      <c r="D154" s="24"/>
      <c r="E154" s="24"/>
      <c r="F154" s="47"/>
      <c r="G154" s="24"/>
      <c r="H154" s="24"/>
      <c r="I154" s="24"/>
      <c r="J154" s="10"/>
      <c r="K154" s="10"/>
      <c r="L154" s="14"/>
      <c r="M154" s="14" t="b">
        <v>0</v>
      </c>
      <c r="N154" s="14" t="b">
        <v>0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hidden="1">
      <c r="A155" s="20"/>
      <c r="B155" s="21" t="s">
        <v>91</v>
      </c>
      <c r="C155" s="17"/>
      <c r="D155" s="25"/>
      <c r="E155" s="25"/>
      <c r="F155" s="23"/>
      <c r="G155" s="24"/>
      <c r="H155" s="24"/>
      <c r="I155" s="25"/>
      <c r="J155" s="10"/>
      <c r="K155" s="10"/>
      <c r="L155" s="14" t="str">
        <f>VLOOKUP(D155,'Hedef Liste'!A:I,8,false)</f>
        <v>#N/A</v>
      </c>
      <c r="M155" s="14" t="b">
        <v>0</v>
      </c>
      <c r="N155" s="14" t="b">
        <v>0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hidden="1">
      <c r="A156" s="20"/>
      <c r="B156" s="21" t="s">
        <v>91</v>
      </c>
      <c r="C156" s="17"/>
      <c r="D156" s="25"/>
      <c r="E156" s="25"/>
      <c r="F156" s="23"/>
      <c r="G156" s="25"/>
      <c r="H156" s="25"/>
      <c r="I156" s="25"/>
      <c r="J156" s="10"/>
      <c r="K156" s="10"/>
      <c r="L156" s="14" t="str">
        <f>VLOOKUP(D156,'Hedef Liste'!A:I,8,false)</f>
        <v>#N/A</v>
      </c>
      <c r="M156" s="14" t="b">
        <v>0</v>
      </c>
      <c r="N156" s="14" t="b">
        <v>0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hidden="1">
      <c r="A157" s="20"/>
      <c r="B157" s="21" t="s">
        <v>91</v>
      </c>
      <c r="C157" s="17" t="s">
        <v>310</v>
      </c>
      <c r="D157" s="25" t="s">
        <v>433</v>
      </c>
      <c r="E157" s="25" t="s">
        <v>434</v>
      </c>
      <c r="F157" s="30" t="s">
        <v>81</v>
      </c>
      <c r="G157" s="17" t="s">
        <v>435</v>
      </c>
      <c r="H157" s="25" t="s">
        <v>436</v>
      </c>
      <c r="I157" s="25" t="s">
        <v>437</v>
      </c>
      <c r="J157" s="10"/>
      <c r="K157" s="17" t="s">
        <v>438</v>
      </c>
      <c r="L157" s="14">
        <f>VLOOKUP(D157,'Hedef Liste'!A:I,8,false)</f>
        <v>10</v>
      </c>
      <c r="M157" s="14" t="b">
        <v>0</v>
      </c>
      <c r="N157" s="14" t="b">
        <v>0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hidden="1">
      <c r="A158" s="20"/>
      <c r="B158" s="21" t="s">
        <v>91</v>
      </c>
      <c r="C158" s="26" t="s">
        <v>310</v>
      </c>
      <c r="D158" s="50" t="s">
        <v>439</v>
      </c>
      <c r="E158" s="50" t="s">
        <v>440</v>
      </c>
      <c r="F158" s="52">
        <v>0.6666666666666666</v>
      </c>
      <c r="G158" s="51" t="s">
        <v>441</v>
      </c>
      <c r="H158" s="51" t="s">
        <v>442</v>
      </c>
      <c r="I158" s="50" t="s">
        <v>443</v>
      </c>
      <c r="J158" s="10"/>
      <c r="K158" s="17" t="s">
        <v>444</v>
      </c>
      <c r="L158" s="14">
        <f>VLOOKUP(D158,'Hedef Liste'!A:I,8,false)</f>
        <v>18</v>
      </c>
      <c r="M158" s="14" t="b">
        <v>0</v>
      </c>
      <c r="N158" s="14" t="b">
        <v>0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hidden="1">
      <c r="A159" s="32"/>
      <c r="B159" s="10"/>
      <c r="C159" s="17" t="s">
        <v>310</v>
      </c>
      <c r="D159" s="25" t="s">
        <v>445</v>
      </c>
      <c r="E159" s="25" t="s">
        <v>446</v>
      </c>
      <c r="F159" s="23">
        <v>0.7083333333333334</v>
      </c>
      <c r="G159" s="31" t="s">
        <v>447</v>
      </c>
      <c r="H159" s="31" t="s">
        <v>448</v>
      </c>
      <c r="I159" s="25" t="s">
        <v>449</v>
      </c>
      <c r="J159" s="10"/>
      <c r="K159" s="10"/>
      <c r="L159" s="14"/>
      <c r="M159" s="14" t="b">
        <v>0</v>
      </c>
      <c r="N159" s="14" t="b">
        <v>0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hidden="1">
      <c r="A160" s="9"/>
      <c r="B160" s="9">
        <v>44335.0</v>
      </c>
      <c r="C160" s="10"/>
      <c r="D160" s="25"/>
      <c r="E160" s="25"/>
      <c r="F160" s="23"/>
      <c r="G160" s="31"/>
      <c r="H160" s="31"/>
      <c r="I160" s="17"/>
      <c r="J160" s="17"/>
      <c r="K160" s="17"/>
      <c r="L160" s="14"/>
      <c r="M160" s="14"/>
      <c r="N160" s="14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hidden="1">
      <c r="A161" s="16" t="s">
        <v>408</v>
      </c>
      <c r="B161" s="10"/>
      <c r="C161" s="17"/>
      <c r="D161" s="24"/>
      <c r="E161" s="24"/>
      <c r="F161" s="47"/>
      <c r="G161" s="24"/>
      <c r="H161" s="24"/>
      <c r="I161" s="24"/>
      <c r="J161" s="10"/>
      <c r="K161" s="10"/>
      <c r="L161" s="14"/>
      <c r="M161" s="14" t="b">
        <v>0</v>
      </c>
      <c r="N161" s="14" t="b">
        <v>0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hidden="1">
      <c r="A162" s="20"/>
      <c r="B162" s="21" t="s">
        <v>91</v>
      </c>
      <c r="C162" s="26" t="s">
        <v>189</v>
      </c>
      <c r="D162" s="27" t="s">
        <v>450</v>
      </c>
      <c r="E162" s="27" t="s">
        <v>451</v>
      </c>
      <c r="F162" s="59" t="s">
        <v>452</v>
      </c>
      <c r="G162" s="51" t="s">
        <v>453</v>
      </c>
      <c r="H162" s="24" t="s">
        <v>454</v>
      </c>
      <c r="I162" s="22" t="s">
        <v>455</v>
      </c>
      <c r="J162" s="10"/>
      <c r="K162" s="10"/>
      <c r="L162" s="14">
        <f>VLOOKUP(D162,'Hedef Liste'!A:I,8,false)</f>
        <v>62</v>
      </c>
      <c r="M162" s="14" t="b">
        <v>0</v>
      </c>
      <c r="N162" s="14" t="b">
        <v>0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hidden="1">
      <c r="A163" s="20"/>
      <c r="B163" s="21" t="s">
        <v>91</v>
      </c>
      <c r="C163" s="17" t="s">
        <v>189</v>
      </c>
      <c r="D163" s="25" t="s">
        <v>456</v>
      </c>
      <c r="E163" s="87" t="s">
        <v>457</v>
      </c>
      <c r="F163" s="47" t="s">
        <v>126</v>
      </c>
      <c r="G163" s="25" t="s">
        <v>458</v>
      </c>
      <c r="H163" s="25" t="s">
        <v>459</v>
      </c>
      <c r="I163" s="22" t="s">
        <v>460</v>
      </c>
      <c r="J163" s="10"/>
      <c r="K163" s="10"/>
      <c r="L163" s="14">
        <f>VLOOKUP(D163,'Hedef Liste'!A:I,8,false)</f>
        <v>7</v>
      </c>
      <c r="M163" s="14" t="b">
        <v>0</v>
      </c>
      <c r="N163" s="14" t="b">
        <v>0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hidden="1">
      <c r="A164" s="20"/>
      <c r="B164" s="21" t="s">
        <v>91</v>
      </c>
      <c r="C164" s="26" t="s">
        <v>189</v>
      </c>
      <c r="D164" s="50" t="s">
        <v>461</v>
      </c>
      <c r="E164" s="50"/>
      <c r="F164" s="28" t="s">
        <v>131</v>
      </c>
      <c r="G164" s="26" t="s">
        <v>462</v>
      </c>
      <c r="H164" s="50" t="s">
        <v>463</v>
      </c>
      <c r="I164" s="25" t="s">
        <v>464</v>
      </c>
      <c r="J164" s="10"/>
      <c r="K164" s="10"/>
      <c r="L164" s="14">
        <f>VLOOKUP(D164,'Hedef Liste'!A:I,8,false)</f>
        <v>34</v>
      </c>
      <c r="M164" s="14" t="b">
        <v>0</v>
      </c>
      <c r="N164" s="14" t="b">
        <v>0</v>
      </c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hidden="1">
      <c r="A165" s="20"/>
      <c r="B165" s="21" t="s">
        <v>91</v>
      </c>
      <c r="C165" s="17" t="s">
        <v>189</v>
      </c>
      <c r="D165" s="25" t="s">
        <v>465</v>
      </c>
      <c r="E165" s="87" t="s">
        <v>466</v>
      </c>
      <c r="F165" s="47" t="s">
        <v>137</v>
      </c>
      <c r="G165" s="24" t="s">
        <v>462</v>
      </c>
      <c r="H165" s="24" t="s">
        <v>467</v>
      </c>
      <c r="I165" s="25" t="s">
        <v>468</v>
      </c>
      <c r="J165" s="10"/>
      <c r="K165" s="10"/>
      <c r="L165" s="14">
        <f>VLOOKUP(D165,'Hedef Liste'!A:I,8,false)</f>
        <v>9</v>
      </c>
      <c r="M165" s="14" t="b">
        <v>0</v>
      </c>
      <c r="N165" s="14" t="b">
        <v>0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hidden="1">
      <c r="A166" s="32"/>
      <c r="B166" s="10"/>
      <c r="C166" s="17" t="s">
        <v>310</v>
      </c>
      <c r="D166" s="25" t="s">
        <v>469</v>
      </c>
      <c r="E166" s="25" t="s">
        <v>470</v>
      </c>
      <c r="F166" s="23">
        <v>0.7708333333333334</v>
      </c>
      <c r="G166" s="24" t="s">
        <v>471</v>
      </c>
      <c r="H166" s="24" t="s">
        <v>472</v>
      </c>
      <c r="I166" s="25" t="s">
        <v>473</v>
      </c>
      <c r="J166" s="10"/>
      <c r="K166" s="10"/>
      <c r="L166" s="14"/>
      <c r="M166" s="14" t="b">
        <v>0</v>
      </c>
      <c r="N166" s="14" t="b">
        <v>0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hidden="1">
      <c r="A167" s="9"/>
      <c r="B167" s="9">
        <v>44336.0</v>
      </c>
      <c r="C167" s="10"/>
      <c r="D167" s="25"/>
      <c r="E167" s="25"/>
      <c r="F167" s="19"/>
      <c r="G167" s="25"/>
      <c r="H167" s="25"/>
      <c r="I167" s="18"/>
      <c r="J167" s="17"/>
      <c r="K167" s="17"/>
      <c r="L167" s="14"/>
      <c r="M167" s="14"/>
      <c r="N167" s="14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hidden="1">
      <c r="A168" s="16" t="s">
        <v>408</v>
      </c>
      <c r="B168" s="10"/>
      <c r="C168" s="17"/>
      <c r="D168" s="24"/>
      <c r="E168" s="36"/>
      <c r="F168" s="47"/>
      <c r="G168" s="24"/>
      <c r="H168" s="24"/>
      <c r="I168" s="24"/>
      <c r="J168" s="10"/>
      <c r="K168" s="10"/>
      <c r="L168" s="14"/>
      <c r="M168" s="14" t="b">
        <v>0</v>
      </c>
      <c r="N168" s="14" t="b">
        <v>0</v>
      </c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hidden="1">
      <c r="A169" s="20"/>
      <c r="B169" s="21" t="s">
        <v>91</v>
      </c>
      <c r="C169" s="17" t="s">
        <v>189</v>
      </c>
      <c r="D169" s="22" t="s">
        <v>474</v>
      </c>
      <c r="E169" s="109" t="s">
        <v>475</v>
      </c>
      <c r="F169" s="47" t="s">
        <v>476</v>
      </c>
      <c r="G169" s="24" t="s">
        <v>462</v>
      </c>
      <c r="H169" s="24" t="s">
        <v>477</v>
      </c>
      <c r="I169" s="22" t="s">
        <v>478</v>
      </c>
      <c r="J169" s="10"/>
      <c r="K169" s="10"/>
      <c r="L169" s="14" t="str">
        <f>VLOOKUP(D169,'Hedef Liste'!A:I,8,false)</f>
        <v>#N/A</v>
      </c>
      <c r="M169" s="14" t="b">
        <v>0</v>
      </c>
      <c r="N169" s="14" t="b">
        <v>0</v>
      </c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hidden="1">
      <c r="A170" s="20"/>
      <c r="B170" s="21" t="s">
        <v>91</v>
      </c>
      <c r="C170" s="17" t="s">
        <v>189</v>
      </c>
      <c r="D170" s="25" t="s">
        <v>479</v>
      </c>
      <c r="E170" s="87" t="s">
        <v>480</v>
      </c>
      <c r="F170" s="47" t="s">
        <v>481</v>
      </c>
      <c r="G170" s="25" t="s">
        <v>462</v>
      </c>
      <c r="H170" s="25" t="s">
        <v>482</v>
      </c>
      <c r="I170" s="22" t="s">
        <v>483</v>
      </c>
      <c r="J170" s="10"/>
      <c r="K170" s="10"/>
      <c r="L170" s="14" t="str">
        <f>VLOOKUP(D170,'Hedef Liste'!A:I,8,false)</f>
        <v>#N/A</v>
      </c>
      <c r="M170" s="14" t="b">
        <v>0</v>
      </c>
      <c r="N170" s="14" t="b">
        <v>0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hidden="1">
      <c r="A171" s="20"/>
      <c r="B171" s="21" t="s">
        <v>91</v>
      </c>
      <c r="C171" s="17" t="s">
        <v>189</v>
      </c>
      <c r="D171" s="25" t="s">
        <v>484</v>
      </c>
      <c r="E171" s="87" t="s">
        <v>485</v>
      </c>
      <c r="F171" s="47" t="s">
        <v>486</v>
      </c>
      <c r="G171" s="17" t="s">
        <v>462</v>
      </c>
      <c r="H171" s="25" t="s">
        <v>487</v>
      </c>
      <c r="I171" s="25" t="s">
        <v>488</v>
      </c>
      <c r="J171" s="10"/>
      <c r="K171" s="10"/>
      <c r="L171" s="14">
        <f>VLOOKUP(D171,'Hedef Liste'!A:I,8,false)</f>
        <v>4</v>
      </c>
      <c r="M171" s="14" t="b">
        <v>0</v>
      </c>
      <c r="N171" s="14" t="b">
        <v>0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hidden="1">
      <c r="A172" s="20"/>
      <c r="B172" s="21" t="s">
        <v>91</v>
      </c>
      <c r="C172" s="17" t="s">
        <v>189</v>
      </c>
      <c r="D172" s="25" t="s">
        <v>154</v>
      </c>
      <c r="E172" s="87" t="s">
        <v>155</v>
      </c>
      <c r="F172" s="47" t="s">
        <v>359</v>
      </c>
      <c r="G172" s="24" t="s">
        <v>462</v>
      </c>
      <c r="H172" s="24" t="s">
        <v>489</v>
      </c>
      <c r="I172" s="25" t="s">
        <v>490</v>
      </c>
      <c r="J172" s="10"/>
      <c r="K172" s="10"/>
      <c r="L172" s="14">
        <f>VLOOKUP(D172,'Hedef Liste'!A:I,8,false)</f>
        <v>6</v>
      </c>
      <c r="M172" s="14" t="b">
        <v>0</v>
      </c>
      <c r="N172" s="14" t="b">
        <v>0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hidden="1">
      <c r="A173" s="32"/>
      <c r="B173" s="10"/>
      <c r="C173" s="17"/>
      <c r="D173" s="25"/>
      <c r="E173" s="25"/>
      <c r="F173" s="19"/>
      <c r="G173" s="31"/>
      <c r="H173" s="31"/>
      <c r="I173" s="25"/>
      <c r="J173" s="10"/>
      <c r="K173" s="10"/>
      <c r="L173" s="14"/>
      <c r="M173" s="14" t="b">
        <v>0</v>
      </c>
      <c r="N173" s="14" t="b">
        <v>0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hidden="1">
      <c r="A174" s="9"/>
      <c r="B174" s="9">
        <v>44337.0</v>
      </c>
      <c r="C174" s="10"/>
      <c r="D174" s="25"/>
      <c r="E174" s="25"/>
      <c r="F174" s="19"/>
      <c r="G174" s="25"/>
      <c r="H174" s="25"/>
      <c r="I174" s="18"/>
      <c r="J174" s="17"/>
      <c r="K174" s="17"/>
      <c r="L174" s="14"/>
      <c r="M174" s="14"/>
      <c r="N174" s="14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hidden="1">
      <c r="A175" s="16" t="s">
        <v>408</v>
      </c>
      <c r="B175" s="10"/>
      <c r="C175" s="17"/>
      <c r="D175" s="24"/>
      <c r="E175" s="36"/>
      <c r="F175" s="47"/>
      <c r="G175" s="24"/>
      <c r="H175" s="24"/>
      <c r="I175" s="24"/>
      <c r="J175" s="10"/>
      <c r="K175" s="10"/>
      <c r="L175" s="14"/>
      <c r="M175" s="14" t="b">
        <v>0</v>
      </c>
      <c r="N175" s="14" t="b">
        <v>0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hidden="1">
      <c r="A176" s="20"/>
      <c r="B176" s="21" t="s">
        <v>91</v>
      </c>
      <c r="C176" s="17" t="s">
        <v>189</v>
      </c>
      <c r="D176" s="22" t="s">
        <v>491</v>
      </c>
      <c r="E176" s="109" t="s">
        <v>492</v>
      </c>
      <c r="F176" s="23">
        <v>0.5</v>
      </c>
      <c r="G176" s="24" t="s">
        <v>82</v>
      </c>
      <c r="H176" s="24" t="s">
        <v>493</v>
      </c>
      <c r="I176" s="25" t="s">
        <v>494</v>
      </c>
      <c r="J176" s="10"/>
      <c r="K176" s="10"/>
      <c r="L176" s="14"/>
      <c r="M176" s="14" t="b">
        <v>0</v>
      </c>
      <c r="N176" s="14" t="b">
        <v>0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hidden="1">
      <c r="A177" s="20"/>
      <c r="B177" s="21" t="s">
        <v>91</v>
      </c>
      <c r="C177" s="17"/>
      <c r="D177" s="25"/>
      <c r="E177" s="25"/>
      <c r="F177" s="23"/>
      <c r="G177" s="25"/>
      <c r="H177" s="25"/>
      <c r="I177" s="22"/>
      <c r="J177" s="10"/>
      <c r="K177" s="10"/>
      <c r="L177" s="14"/>
      <c r="M177" s="14" t="b">
        <v>0</v>
      </c>
      <c r="N177" s="14" t="b">
        <v>0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hidden="1">
      <c r="A178" s="20"/>
      <c r="B178" s="21" t="s">
        <v>91</v>
      </c>
      <c r="C178" s="17" t="s">
        <v>189</v>
      </c>
      <c r="D178" s="25" t="s">
        <v>495</v>
      </c>
      <c r="E178" s="87" t="s">
        <v>496</v>
      </c>
      <c r="F178" s="23">
        <v>0.6666666666666666</v>
      </c>
      <c r="G178" s="17" t="s">
        <v>497</v>
      </c>
      <c r="H178" s="25" t="s">
        <v>498</v>
      </c>
      <c r="I178" s="25" t="s">
        <v>499</v>
      </c>
      <c r="J178" s="10"/>
      <c r="K178" s="10"/>
      <c r="L178" s="14"/>
      <c r="M178" s="14" t="b">
        <v>0</v>
      </c>
      <c r="N178" s="14" t="b">
        <v>0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hidden="1">
      <c r="A179" s="20"/>
      <c r="B179" s="21" t="s">
        <v>91</v>
      </c>
      <c r="C179" s="17" t="s">
        <v>189</v>
      </c>
      <c r="D179" s="25" t="s">
        <v>500</v>
      </c>
      <c r="E179" s="87" t="s">
        <v>501</v>
      </c>
      <c r="F179" s="23">
        <v>0.75</v>
      </c>
      <c r="G179" s="24" t="s">
        <v>82</v>
      </c>
      <c r="H179" s="24" t="s">
        <v>502</v>
      </c>
      <c r="I179" s="25" t="s">
        <v>503</v>
      </c>
      <c r="J179" s="10"/>
      <c r="K179" s="10"/>
      <c r="L179" s="14"/>
      <c r="M179" s="14" t="b">
        <v>0</v>
      </c>
      <c r="N179" s="14" t="b">
        <v>0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hidden="1">
      <c r="A180" s="32"/>
      <c r="B180" s="10"/>
      <c r="C180" s="17"/>
      <c r="D180" s="25"/>
      <c r="E180" s="25"/>
      <c r="F180" s="19"/>
      <c r="G180" s="31"/>
      <c r="H180" s="31"/>
      <c r="I180" s="25"/>
      <c r="J180" s="10"/>
      <c r="K180" s="10"/>
      <c r="L180" s="14"/>
      <c r="M180" s="14" t="b">
        <v>0</v>
      </c>
      <c r="N180" s="14" t="b">
        <v>0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hidden="1">
      <c r="A181" s="9"/>
      <c r="B181" s="9">
        <v>44340.0</v>
      </c>
      <c r="C181" s="10"/>
      <c r="D181" s="25"/>
      <c r="E181" s="25"/>
      <c r="F181" s="19"/>
      <c r="G181" s="25"/>
      <c r="H181" s="25"/>
      <c r="I181" s="18"/>
      <c r="J181" s="17"/>
      <c r="K181" s="17"/>
      <c r="L181" s="14"/>
      <c r="M181" s="14"/>
      <c r="N181" s="14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hidden="1">
      <c r="A182" s="16" t="s">
        <v>408</v>
      </c>
      <c r="B182" s="21" t="s">
        <v>91</v>
      </c>
      <c r="C182" s="17" t="s">
        <v>189</v>
      </c>
      <c r="D182" s="24" t="s">
        <v>504</v>
      </c>
      <c r="E182" s="87" t="s">
        <v>505</v>
      </c>
      <c r="F182" s="47" t="s">
        <v>452</v>
      </c>
      <c r="G182" s="24" t="s">
        <v>212</v>
      </c>
      <c r="H182" s="24" t="s">
        <v>506</v>
      </c>
      <c r="I182" s="24" t="s">
        <v>507</v>
      </c>
      <c r="J182" s="10"/>
      <c r="K182" s="10"/>
      <c r="L182" s="14"/>
      <c r="M182" s="14" t="b">
        <v>0</v>
      </c>
      <c r="N182" s="14" t="b">
        <v>0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hidden="1">
      <c r="A183" s="20"/>
      <c r="B183" s="21" t="s">
        <v>91</v>
      </c>
      <c r="C183" s="26" t="s">
        <v>189</v>
      </c>
      <c r="D183" s="27" t="s">
        <v>508</v>
      </c>
      <c r="E183" s="110" t="s">
        <v>509</v>
      </c>
      <c r="F183" s="59" t="s">
        <v>126</v>
      </c>
      <c r="G183" s="51" t="s">
        <v>510</v>
      </c>
      <c r="H183" s="51" t="s">
        <v>511</v>
      </c>
      <c r="I183" s="27" t="s">
        <v>512</v>
      </c>
      <c r="J183" s="10"/>
      <c r="K183" s="10"/>
      <c r="L183" s="14"/>
      <c r="M183" s="14" t="b">
        <v>0</v>
      </c>
      <c r="N183" s="14" t="b">
        <v>0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hidden="1">
      <c r="A184" s="20"/>
      <c r="B184" s="21" t="s">
        <v>91</v>
      </c>
      <c r="C184" s="26" t="s">
        <v>189</v>
      </c>
      <c r="D184" s="50" t="s">
        <v>513</v>
      </c>
      <c r="E184" s="91" t="s">
        <v>514</v>
      </c>
      <c r="F184" s="59" t="s">
        <v>131</v>
      </c>
      <c r="G184" s="51" t="s">
        <v>510</v>
      </c>
      <c r="H184" s="51" t="s">
        <v>511</v>
      </c>
      <c r="I184" s="27" t="s">
        <v>512</v>
      </c>
      <c r="J184" s="10"/>
      <c r="K184" s="10"/>
      <c r="L184" s="14"/>
      <c r="M184" s="14" t="b">
        <v>0</v>
      </c>
      <c r="N184" s="14" t="b">
        <v>0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hidden="1">
      <c r="A185" s="20"/>
      <c r="B185" s="21" t="s">
        <v>91</v>
      </c>
      <c r="C185" s="17" t="s">
        <v>189</v>
      </c>
      <c r="D185" s="25" t="s">
        <v>515</v>
      </c>
      <c r="E185" s="87" t="s">
        <v>516</v>
      </c>
      <c r="F185" s="47" t="s">
        <v>137</v>
      </c>
      <c r="G185" s="17" t="s">
        <v>517</v>
      </c>
      <c r="H185" s="25" t="s">
        <v>518</v>
      </c>
      <c r="I185" s="25" t="s">
        <v>519</v>
      </c>
      <c r="J185" s="10"/>
      <c r="K185" s="10"/>
      <c r="L185" s="14"/>
      <c r="M185" s="14" t="b">
        <v>0</v>
      </c>
      <c r="N185" s="14" t="b">
        <v>0</v>
      </c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hidden="1">
      <c r="A186" s="20"/>
      <c r="B186" s="21"/>
      <c r="C186" s="17" t="s">
        <v>189</v>
      </c>
      <c r="D186" s="25" t="s">
        <v>243</v>
      </c>
      <c r="E186" s="25" t="s">
        <v>244</v>
      </c>
      <c r="F186" s="47" t="s">
        <v>126</v>
      </c>
      <c r="G186" s="24" t="s">
        <v>245</v>
      </c>
      <c r="H186" s="24" t="s">
        <v>520</v>
      </c>
      <c r="I186" s="25" t="s">
        <v>247</v>
      </c>
      <c r="J186" s="17" t="s">
        <v>521</v>
      </c>
      <c r="K186" s="10"/>
      <c r="L186" s="14"/>
      <c r="M186" s="14" t="b">
        <v>0</v>
      </c>
      <c r="N186" s="14" t="b">
        <v>0</v>
      </c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hidden="1">
      <c r="A187" s="32"/>
      <c r="B187" s="10"/>
      <c r="C187" s="17" t="s">
        <v>189</v>
      </c>
      <c r="D187" s="25" t="s">
        <v>522</v>
      </c>
      <c r="E187" s="25" t="s">
        <v>523</v>
      </c>
      <c r="F187" s="47" t="s">
        <v>131</v>
      </c>
      <c r="G187" s="31" t="s">
        <v>365</v>
      </c>
      <c r="H187" s="31" t="s">
        <v>524</v>
      </c>
      <c r="I187" s="25" t="s">
        <v>525</v>
      </c>
      <c r="J187" s="10"/>
      <c r="K187" s="10"/>
      <c r="L187" s="14"/>
      <c r="M187" s="14" t="b">
        <v>0</v>
      </c>
      <c r="N187" s="14" t="b">
        <v>0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hidden="1">
      <c r="A188" s="9"/>
      <c r="B188" s="9">
        <v>44341.0</v>
      </c>
      <c r="C188" s="10"/>
      <c r="D188" s="25"/>
      <c r="E188" s="25"/>
      <c r="F188" s="19"/>
      <c r="G188" s="25"/>
      <c r="H188" s="25"/>
      <c r="I188" s="18"/>
      <c r="J188" s="17"/>
      <c r="K188" s="17"/>
      <c r="L188" s="14"/>
      <c r="M188" s="14"/>
      <c r="N188" s="14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 hidden="1">
      <c r="A189" s="16" t="s">
        <v>408</v>
      </c>
      <c r="B189" s="10"/>
      <c r="C189" s="17"/>
      <c r="D189" s="24"/>
      <c r="E189" s="36"/>
      <c r="F189" s="47"/>
      <c r="G189" s="24"/>
      <c r="H189" s="24"/>
      <c r="I189" s="24"/>
      <c r="J189" s="10"/>
      <c r="K189" s="10"/>
      <c r="L189" s="14"/>
      <c r="M189" s="14" t="b">
        <v>0</v>
      </c>
      <c r="N189" s="14" t="b">
        <v>0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hidden="1">
      <c r="A190" s="20"/>
      <c r="B190" s="21" t="s">
        <v>91</v>
      </c>
      <c r="C190" s="74" t="s">
        <v>189</v>
      </c>
      <c r="D190" s="88" t="s">
        <v>526</v>
      </c>
      <c r="E190" s="89" t="s">
        <v>527</v>
      </c>
      <c r="F190" s="90">
        <v>0.4583333333333333</v>
      </c>
      <c r="G190" s="98" t="s">
        <v>528</v>
      </c>
      <c r="H190" s="98" t="s">
        <v>529</v>
      </c>
      <c r="I190" s="78" t="s">
        <v>530</v>
      </c>
      <c r="J190" s="73"/>
      <c r="K190" s="10"/>
      <c r="L190" s="14"/>
      <c r="M190" s="14" t="b">
        <v>0</v>
      </c>
      <c r="N190" s="14" t="b">
        <v>0</v>
      </c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hidden="1">
      <c r="A191" s="20"/>
      <c r="B191" s="21" t="s">
        <v>91</v>
      </c>
      <c r="C191" s="17" t="s">
        <v>189</v>
      </c>
      <c r="D191" s="25" t="s">
        <v>531</v>
      </c>
      <c r="E191" s="25" t="s">
        <v>532</v>
      </c>
      <c r="F191" s="23">
        <v>0.5416666666666666</v>
      </c>
      <c r="G191" s="24" t="s">
        <v>82</v>
      </c>
      <c r="H191" s="24" t="s">
        <v>533</v>
      </c>
      <c r="I191" s="25" t="s">
        <v>534</v>
      </c>
      <c r="J191" s="10"/>
      <c r="K191" s="10"/>
      <c r="L191" s="14"/>
      <c r="M191" s="14" t="b">
        <v>0</v>
      </c>
      <c r="N191" s="14" t="b">
        <v>0</v>
      </c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 hidden="1">
      <c r="A192" s="20"/>
      <c r="B192" s="21" t="s">
        <v>91</v>
      </c>
      <c r="C192" s="26" t="s">
        <v>189</v>
      </c>
      <c r="D192" s="50" t="s">
        <v>535</v>
      </c>
      <c r="E192" s="50"/>
      <c r="F192" s="52">
        <v>0.625</v>
      </c>
      <c r="G192" s="26" t="s">
        <v>82</v>
      </c>
      <c r="H192" s="50" t="s">
        <v>533</v>
      </c>
      <c r="I192" s="50" t="s">
        <v>536</v>
      </c>
      <c r="J192" s="10"/>
      <c r="K192" s="10"/>
      <c r="L192" s="14"/>
      <c r="M192" s="14" t="b">
        <v>0</v>
      </c>
      <c r="N192" s="14" t="b">
        <v>0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hidden="1">
      <c r="A193" s="20"/>
      <c r="B193" s="21" t="s">
        <v>91</v>
      </c>
      <c r="C193" s="17" t="s">
        <v>189</v>
      </c>
      <c r="D193" s="25" t="s">
        <v>537</v>
      </c>
      <c r="E193" s="87" t="s">
        <v>538</v>
      </c>
      <c r="F193" s="47" t="s">
        <v>137</v>
      </c>
      <c r="G193" s="24" t="s">
        <v>82</v>
      </c>
      <c r="H193" s="25" t="s">
        <v>539</v>
      </c>
      <c r="I193" s="25" t="s">
        <v>540</v>
      </c>
      <c r="J193" s="10"/>
      <c r="K193" s="10"/>
      <c r="L193" s="14"/>
      <c r="M193" s="14" t="b">
        <v>0</v>
      </c>
      <c r="N193" s="14" t="b">
        <v>0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hidden="1">
      <c r="A194" s="32"/>
      <c r="B194" s="10"/>
      <c r="C194" s="17" t="s">
        <v>189</v>
      </c>
      <c r="D194" s="25" t="s">
        <v>290</v>
      </c>
      <c r="E194" s="25" t="s">
        <v>291</v>
      </c>
      <c r="F194" s="23">
        <v>0.75</v>
      </c>
      <c r="G194" s="31" t="s">
        <v>76</v>
      </c>
      <c r="H194" s="31" t="s">
        <v>292</v>
      </c>
      <c r="I194" s="25" t="s">
        <v>541</v>
      </c>
      <c r="J194" s="10"/>
      <c r="K194" s="10"/>
      <c r="L194" s="14"/>
      <c r="M194" s="14" t="b">
        <v>0</v>
      </c>
      <c r="N194" s="14" t="b">
        <v>0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hidden="1">
      <c r="A195" s="9"/>
      <c r="B195" s="9">
        <v>44342.0</v>
      </c>
      <c r="C195" s="10"/>
      <c r="D195" s="25"/>
      <c r="E195" s="25"/>
      <c r="F195" s="19"/>
      <c r="G195" s="25"/>
      <c r="H195" s="25"/>
      <c r="I195" s="18"/>
      <c r="J195" s="17"/>
      <c r="K195" s="17"/>
      <c r="L195" s="14"/>
      <c r="M195" s="14"/>
      <c r="N195" s="14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hidden="1">
      <c r="A196" s="16" t="s">
        <v>408</v>
      </c>
      <c r="B196" s="10"/>
      <c r="C196" s="17"/>
      <c r="D196" s="24"/>
      <c r="E196" s="36"/>
      <c r="F196" s="23"/>
      <c r="G196" s="24"/>
      <c r="H196" s="24"/>
      <c r="I196" s="24"/>
      <c r="J196" s="10"/>
      <c r="K196" s="10"/>
      <c r="L196" s="14"/>
      <c r="M196" s="14" t="b">
        <v>0</v>
      </c>
      <c r="N196" s="14" t="b">
        <v>0</v>
      </c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hidden="1">
      <c r="A197" s="20"/>
      <c r="B197" s="21" t="s">
        <v>91</v>
      </c>
      <c r="C197" s="74" t="s">
        <v>257</v>
      </c>
      <c r="D197" s="25" t="s">
        <v>542</v>
      </c>
      <c r="E197" s="25" t="s">
        <v>543</v>
      </c>
      <c r="F197" s="90">
        <v>0.5208333333333334</v>
      </c>
      <c r="G197" s="31" t="s">
        <v>19</v>
      </c>
      <c r="H197" s="69" t="s">
        <v>544</v>
      </c>
      <c r="I197" s="25" t="s">
        <v>545</v>
      </c>
      <c r="J197" s="17" t="s">
        <v>546</v>
      </c>
      <c r="K197" s="10"/>
      <c r="L197" s="14"/>
      <c r="M197" s="14" t="b">
        <v>0</v>
      </c>
      <c r="N197" s="14" t="b">
        <v>0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hidden="1">
      <c r="A198" s="20"/>
      <c r="B198" s="21" t="s">
        <v>91</v>
      </c>
      <c r="C198" s="70" t="s">
        <v>257</v>
      </c>
      <c r="D198" s="50" t="s">
        <v>547</v>
      </c>
      <c r="E198" s="50" t="s">
        <v>548</v>
      </c>
      <c r="F198" s="95">
        <v>0.5833333333333334</v>
      </c>
      <c r="G198" s="50" t="s">
        <v>297</v>
      </c>
      <c r="H198" s="50" t="s">
        <v>549</v>
      </c>
      <c r="I198" s="50" t="s">
        <v>550</v>
      </c>
      <c r="J198" s="10"/>
      <c r="K198" s="17" t="s">
        <v>551</v>
      </c>
      <c r="L198" s="14"/>
      <c r="M198" s="14" t="b">
        <v>0</v>
      </c>
      <c r="N198" s="14" t="b">
        <v>0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hidden="1">
      <c r="A199" s="20"/>
      <c r="B199" s="21" t="s">
        <v>91</v>
      </c>
      <c r="C199" s="17" t="s">
        <v>257</v>
      </c>
      <c r="D199" s="25" t="s">
        <v>552</v>
      </c>
      <c r="E199" s="25" t="s">
        <v>553</v>
      </c>
      <c r="F199" s="90">
        <v>0.6666666666666666</v>
      </c>
      <c r="G199" s="25" t="s">
        <v>297</v>
      </c>
      <c r="H199" s="24" t="s">
        <v>554</v>
      </c>
      <c r="I199" s="25" t="s">
        <v>555</v>
      </c>
      <c r="J199" s="17"/>
      <c r="K199" s="10"/>
      <c r="L199" s="14"/>
      <c r="M199" s="14" t="b">
        <v>0</v>
      </c>
      <c r="N199" s="14" t="b">
        <v>0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hidden="1">
      <c r="A200" s="20"/>
      <c r="B200" s="21" t="s">
        <v>91</v>
      </c>
      <c r="C200" s="17" t="s">
        <v>257</v>
      </c>
      <c r="D200" s="25" t="s">
        <v>556</v>
      </c>
      <c r="E200" s="25" t="s">
        <v>557</v>
      </c>
      <c r="F200" s="23">
        <v>0.7291666666666666</v>
      </c>
      <c r="G200" s="31" t="s">
        <v>558</v>
      </c>
      <c r="H200" s="31" t="s">
        <v>559</v>
      </c>
      <c r="I200" s="25" t="s">
        <v>560</v>
      </c>
      <c r="J200" s="10"/>
      <c r="K200" s="10"/>
      <c r="L200" s="14"/>
      <c r="M200" s="14" t="b">
        <v>0</v>
      </c>
      <c r="N200" s="14" t="b">
        <v>0</v>
      </c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hidden="1">
      <c r="A201" s="32"/>
      <c r="B201" s="10"/>
      <c r="C201" s="18"/>
      <c r="D201" s="18"/>
      <c r="E201" s="18"/>
      <c r="F201" s="19"/>
      <c r="G201" s="18"/>
      <c r="H201" s="18"/>
      <c r="I201" s="18"/>
      <c r="J201" s="18"/>
      <c r="K201" s="18"/>
      <c r="L201" s="18"/>
      <c r="M201" s="14" t="b">
        <v>0</v>
      </c>
      <c r="N201" s="14" t="b">
        <v>0</v>
      </c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hidden="1">
      <c r="A202" s="9"/>
      <c r="B202" s="9">
        <v>44343.0</v>
      </c>
      <c r="C202" s="10"/>
      <c r="D202" s="25"/>
      <c r="E202" s="25"/>
      <c r="F202" s="19"/>
      <c r="G202" s="25"/>
      <c r="H202" s="25"/>
      <c r="I202" s="18"/>
      <c r="J202" s="17"/>
      <c r="K202" s="17"/>
      <c r="L202" s="14"/>
      <c r="M202" s="14"/>
      <c r="N202" s="14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hidden="1">
      <c r="A203" s="16" t="s">
        <v>408</v>
      </c>
      <c r="B203" s="10"/>
      <c r="C203" s="17"/>
      <c r="D203" s="24"/>
      <c r="E203" s="36"/>
      <c r="F203" s="47"/>
      <c r="G203" s="24"/>
      <c r="H203" s="24"/>
      <c r="I203" s="24"/>
      <c r="J203" s="10"/>
      <c r="K203" s="10"/>
      <c r="L203" s="14"/>
      <c r="M203" s="14" t="b">
        <v>0</v>
      </c>
      <c r="N203" s="14" t="b">
        <v>0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hidden="1">
      <c r="A204" s="20"/>
      <c r="B204" s="21" t="s">
        <v>91</v>
      </c>
      <c r="C204" s="17"/>
      <c r="D204" s="22"/>
      <c r="E204" s="22"/>
      <c r="F204" s="47"/>
      <c r="G204" s="24"/>
      <c r="H204" s="24"/>
      <c r="I204" s="22"/>
      <c r="J204" s="10"/>
      <c r="K204" s="10"/>
      <c r="L204" s="14"/>
      <c r="M204" s="14" t="b">
        <v>0</v>
      </c>
      <c r="N204" s="14" t="b">
        <v>0</v>
      </c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hidden="1">
      <c r="A205" s="20"/>
      <c r="B205" s="21" t="s">
        <v>91</v>
      </c>
      <c r="C205" s="26" t="s">
        <v>189</v>
      </c>
      <c r="D205" s="50" t="s">
        <v>561</v>
      </c>
      <c r="E205" s="50" t="s">
        <v>562</v>
      </c>
      <c r="F205" s="52">
        <v>0.5833333333333334</v>
      </c>
      <c r="G205" s="51" t="s">
        <v>76</v>
      </c>
      <c r="H205" s="51" t="s">
        <v>563</v>
      </c>
      <c r="I205" s="50" t="s">
        <v>564</v>
      </c>
      <c r="J205" s="10"/>
      <c r="K205" s="10"/>
      <c r="L205" s="14"/>
      <c r="M205" s="14" t="b">
        <v>0</v>
      </c>
      <c r="N205" s="14" t="b">
        <v>0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hidden="1">
      <c r="A206" s="20"/>
      <c r="B206" s="21" t="s">
        <v>91</v>
      </c>
      <c r="C206" s="17" t="s">
        <v>257</v>
      </c>
      <c r="D206" s="25" t="s">
        <v>565</v>
      </c>
      <c r="E206" s="25" t="s">
        <v>566</v>
      </c>
      <c r="F206" s="23">
        <v>0.6666666666666666</v>
      </c>
      <c r="G206" s="75" t="s">
        <v>297</v>
      </c>
      <c r="H206" s="21" t="s">
        <v>567</v>
      </c>
      <c r="I206" s="25" t="s">
        <v>568</v>
      </c>
      <c r="J206" s="10"/>
      <c r="K206" s="10"/>
      <c r="L206" s="14"/>
      <c r="M206" s="14" t="b">
        <v>0</v>
      </c>
      <c r="N206" s="14" t="b">
        <v>0</v>
      </c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hidden="1">
      <c r="A207" s="20"/>
      <c r="B207" s="21" t="s">
        <v>91</v>
      </c>
      <c r="C207" s="74" t="s">
        <v>257</v>
      </c>
      <c r="D207" s="75" t="s">
        <v>569</v>
      </c>
      <c r="E207" s="75" t="s">
        <v>570</v>
      </c>
      <c r="F207" s="76">
        <v>0.6666666666666666</v>
      </c>
      <c r="G207" s="75" t="s">
        <v>297</v>
      </c>
      <c r="H207" s="21" t="s">
        <v>567</v>
      </c>
      <c r="I207" s="111" t="s">
        <v>571</v>
      </c>
      <c r="J207" s="10"/>
      <c r="K207" s="10"/>
      <c r="L207" s="14"/>
      <c r="M207" s="14" t="b">
        <v>0</v>
      </c>
      <c r="N207" s="14" t="b">
        <v>0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hidden="1">
      <c r="A208" s="32"/>
      <c r="B208" s="10"/>
      <c r="C208" s="17" t="s">
        <v>189</v>
      </c>
      <c r="D208" s="25" t="s">
        <v>572</v>
      </c>
      <c r="E208" s="25" t="s">
        <v>573</v>
      </c>
      <c r="F208" s="23">
        <v>0.75</v>
      </c>
      <c r="G208" s="25" t="s">
        <v>574</v>
      </c>
      <c r="H208" s="25" t="s">
        <v>575</v>
      </c>
      <c r="I208" s="25" t="s">
        <v>576</v>
      </c>
      <c r="J208" s="10"/>
      <c r="K208" s="10"/>
      <c r="L208" s="14"/>
      <c r="M208" s="14" t="b">
        <v>0</v>
      </c>
      <c r="N208" s="14" t="b">
        <v>0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hidden="1">
      <c r="A209" s="9"/>
      <c r="B209" s="9">
        <v>44344.0</v>
      </c>
      <c r="C209" s="17" t="s">
        <v>189</v>
      </c>
      <c r="D209" s="25" t="s">
        <v>577</v>
      </c>
      <c r="E209" s="25" t="s">
        <v>578</v>
      </c>
      <c r="F209" s="23">
        <v>0.7083333333333334</v>
      </c>
      <c r="G209" s="31" t="s">
        <v>212</v>
      </c>
      <c r="H209" s="31" t="s">
        <v>579</v>
      </c>
      <c r="I209" s="25" t="s">
        <v>580</v>
      </c>
      <c r="J209" s="10"/>
      <c r="K209" s="10"/>
      <c r="L209" s="14"/>
      <c r="M209" s="14"/>
      <c r="N209" s="14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hidden="1">
      <c r="A210" s="16" t="s">
        <v>408</v>
      </c>
      <c r="B210" s="10"/>
      <c r="C210" s="17"/>
      <c r="D210" s="24"/>
      <c r="E210" s="36"/>
      <c r="F210" s="47"/>
      <c r="G210" s="24"/>
      <c r="H210" s="24"/>
      <c r="I210" s="24"/>
      <c r="J210" s="10"/>
      <c r="K210" s="10"/>
      <c r="L210" s="14"/>
      <c r="M210" s="14" t="b">
        <v>0</v>
      </c>
      <c r="N210" s="14" t="b">
        <v>0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hidden="1">
      <c r="A211" s="20"/>
      <c r="B211" s="21" t="s">
        <v>91</v>
      </c>
      <c r="C211" s="17" t="s">
        <v>189</v>
      </c>
      <c r="D211" s="25" t="s">
        <v>581</v>
      </c>
      <c r="E211" s="25" t="s">
        <v>582</v>
      </c>
      <c r="F211" s="23">
        <v>0.4375</v>
      </c>
      <c r="G211" s="24" t="s">
        <v>462</v>
      </c>
      <c r="H211" s="24" t="s">
        <v>583</v>
      </c>
      <c r="I211" s="25" t="s">
        <v>584</v>
      </c>
      <c r="J211" s="10"/>
      <c r="K211" s="10"/>
      <c r="L211" s="14"/>
      <c r="M211" s="14" t="b">
        <v>0</v>
      </c>
      <c r="N211" s="14" t="b">
        <v>0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hidden="1">
      <c r="A212" s="20"/>
      <c r="B212" s="21" t="s">
        <v>91</v>
      </c>
      <c r="C212" s="17" t="s">
        <v>189</v>
      </c>
      <c r="D212" s="25" t="s">
        <v>585</v>
      </c>
      <c r="E212" s="25" t="s">
        <v>586</v>
      </c>
      <c r="F212" s="23">
        <v>0.6666666666666666</v>
      </c>
      <c r="G212" s="25" t="s">
        <v>76</v>
      </c>
      <c r="H212" s="25" t="s">
        <v>587</v>
      </c>
      <c r="I212" s="25" t="s">
        <v>588</v>
      </c>
      <c r="J212" s="10"/>
      <c r="K212" s="10"/>
      <c r="L212" s="14"/>
      <c r="M212" s="14" t="b">
        <v>0</v>
      </c>
      <c r="N212" s="14" t="b">
        <v>0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hidden="1">
      <c r="A213" s="20"/>
      <c r="B213" s="21" t="s">
        <v>91</v>
      </c>
      <c r="C213" s="17" t="s">
        <v>189</v>
      </c>
      <c r="D213" s="25" t="s">
        <v>589</v>
      </c>
      <c r="E213" s="25" t="s">
        <v>590</v>
      </c>
      <c r="F213" s="23">
        <v>0.6666666666666666</v>
      </c>
      <c r="G213" s="17" t="s">
        <v>76</v>
      </c>
      <c r="H213" s="25" t="s">
        <v>587</v>
      </c>
      <c r="I213" s="25" t="s">
        <v>591</v>
      </c>
      <c r="J213" s="10"/>
      <c r="K213" s="10"/>
      <c r="L213" s="14"/>
      <c r="M213" s="14" t="b">
        <v>0</v>
      </c>
      <c r="N213" s="14" t="b">
        <v>0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hidden="1">
      <c r="A214" s="20"/>
      <c r="B214" s="21" t="s">
        <v>91</v>
      </c>
      <c r="C214" s="17" t="s">
        <v>189</v>
      </c>
      <c r="D214" s="75" t="s">
        <v>592</v>
      </c>
      <c r="E214" s="75" t="s">
        <v>593</v>
      </c>
      <c r="F214" s="112">
        <v>0.75</v>
      </c>
      <c r="G214" s="24" t="s">
        <v>76</v>
      </c>
      <c r="H214" s="24" t="s">
        <v>594</v>
      </c>
      <c r="I214" s="25" t="s">
        <v>595</v>
      </c>
      <c r="J214" s="10"/>
      <c r="K214" s="10"/>
      <c r="L214" s="14"/>
      <c r="M214" s="14" t="b">
        <v>0</v>
      </c>
      <c r="N214" s="14" t="b">
        <v>0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hidden="1">
      <c r="A215" s="32"/>
      <c r="B215" s="10"/>
      <c r="C215" s="18"/>
      <c r="D215" s="18"/>
      <c r="E215" s="18"/>
      <c r="F215" s="19"/>
      <c r="G215" s="18"/>
      <c r="H215" s="18"/>
      <c r="I215" s="18"/>
      <c r="J215" s="18"/>
      <c r="K215" s="18"/>
      <c r="L215" s="14"/>
      <c r="M215" s="14" t="b">
        <v>0</v>
      </c>
      <c r="N215" s="14" t="b">
        <v>0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hidden="1">
      <c r="A216" s="9"/>
      <c r="B216" s="9">
        <v>44347.0</v>
      </c>
      <c r="C216" s="10"/>
      <c r="D216" s="25"/>
      <c r="E216" s="25"/>
      <c r="F216" s="19"/>
      <c r="G216" s="25"/>
      <c r="H216" s="25"/>
      <c r="I216" s="18"/>
      <c r="J216" s="17"/>
      <c r="K216" s="17"/>
      <c r="L216" s="14"/>
      <c r="M216" s="14"/>
      <c r="N216" s="14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hidden="1">
      <c r="A217" s="16" t="s">
        <v>408</v>
      </c>
      <c r="B217" s="10"/>
      <c r="C217" s="17"/>
      <c r="D217" s="24"/>
      <c r="E217" s="36"/>
      <c r="F217" s="47"/>
      <c r="G217" s="24"/>
      <c r="H217" s="24"/>
      <c r="I217" s="24"/>
      <c r="J217" s="10"/>
      <c r="K217" s="10"/>
      <c r="L217" s="14"/>
      <c r="M217" s="14" t="b">
        <v>0</v>
      </c>
      <c r="N217" s="14" t="b">
        <v>0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hidden="1">
      <c r="A218" s="20"/>
      <c r="B218" s="21" t="s">
        <v>91</v>
      </c>
      <c r="C218" s="17" t="s">
        <v>189</v>
      </c>
      <c r="D218" s="25" t="s">
        <v>596</v>
      </c>
      <c r="E218" s="25" t="s">
        <v>597</v>
      </c>
      <c r="F218" s="47" t="s">
        <v>101</v>
      </c>
      <c r="G218" s="24" t="s">
        <v>82</v>
      </c>
      <c r="H218" s="24" t="s">
        <v>533</v>
      </c>
      <c r="I218" s="25" t="s">
        <v>598</v>
      </c>
      <c r="J218" s="10"/>
      <c r="K218" s="10"/>
      <c r="L218" s="14"/>
      <c r="M218" s="14" t="b">
        <v>0</v>
      </c>
      <c r="N218" s="14" t="b">
        <v>0</v>
      </c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hidden="1">
      <c r="A219" s="20"/>
      <c r="B219" s="21" t="s">
        <v>91</v>
      </c>
      <c r="C219" s="17" t="s">
        <v>189</v>
      </c>
      <c r="D219" s="25" t="s">
        <v>547</v>
      </c>
      <c r="E219" s="25" t="s">
        <v>548</v>
      </c>
      <c r="F219" s="47" t="s">
        <v>131</v>
      </c>
      <c r="G219" s="25" t="s">
        <v>82</v>
      </c>
      <c r="H219" s="25" t="s">
        <v>599</v>
      </c>
      <c r="I219" s="25" t="s">
        <v>550</v>
      </c>
      <c r="J219" s="10"/>
      <c r="K219" s="10"/>
      <c r="L219" s="14"/>
      <c r="M219" s="14" t="b">
        <v>0</v>
      </c>
      <c r="N219" s="14" t="b">
        <v>0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hidden="1">
      <c r="A220" s="20"/>
      <c r="B220" s="21" t="s">
        <v>91</v>
      </c>
      <c r="C220" s="17" t="s">
        <v>189</v>
      </c>
      <c r="D220" s="25" t="s">
        <v>600</v>
      </c>
      <c r="E220" s="25" t="s">
        <v>601</v>
      </c>
      <c r="F220" s="47" t="s">
        <v>137</v>
      </c>
      <c r="G220" s="17" t="s">
        <v>602</v>
      </c>
      <c r="H220" s="25" t="s">
        <v>603</v>
      </c>
      <c r="I220" s="25" t="s">
        <v>604</v>
      </c>
      <c r="J220" s="10"/>
      <c r="K220" s="10"/>
      <c r="L220" s="14"/>
      <c r="M220" s="14" t="b">
        <v>0</v>
      </c>
      <c r="N220" s="14" t="b">
        <v>0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hidden="1">
      <c r="A221" s="20"/>
      <c r="B221" s="21" t="s">
        <v>91</v>
      </c>
      <c r="C221" s="17" t="s">
        <v>189</v>
      </c>
      <c r="D221" s="25" t="s">
        <v>17</v>
      </c>
      <c r="E221" s="25" t="s">
        <v>18</v>
      </c>
      <c r="F221" s="113" t="s">
        <v>95</v>
      </c>
      <c r="G221" s="24" t="s">
        <v>76</v>
      </c>
      <c r="H221" s="24" t="s">
        <v>605</v>
      </c>
      <c r="I221" s="25" t="s">
        <v>21</v>
      </c>
      <c r="J221" s="10"/>
      <c r="K221" s="10"/>
      <c r="L221" s="14"/>
      <c r="M221" s="14" t="b">
        <v>0</v>
      </c>
      <c r="N221" s="14" t="b">
        <v>0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hidden="1">
      <c r="A222" s="32"/>
      <c r="B222" s="10"/>
      <c r="C222" s="17"/>
      <c r="D222" s="25"/>
      <c r="E222" s="25"/>
      <c r="F222" s="19"/>
      <c r="G222" s="31"/>
      <c r="H222" s="31"/>
      <c r="I222" s="25"/>
      <c r="J222" s="10"/>
      <c r="K222" s="10"/>
      <c r="L222" s="14"/>
      <c r="M222" s="14" t="b">
        <v>0</v>
      </c>
      <c r="N222" s="14" t="b">
        <v>0</v>
      </c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hidden="1">
      <c r="A223" s="9"/>
      <c r="B223" s="9">
        <v>44348.0</v>
      </c>
      <c r="C223" s="10"/>
      <c r="D223" s="25"/>
      <c r="E223" s="25"/>
      <c r="F223" s="19"/>
      <c r="G223" s="25"/>
      <c r="H223" s="25"/>
      <c r="I223" s="18"/>
      <c r="J223" s="17"/>
      <c r="K223" s="17"/>
      <c r="L223" s="14"/>
      <c r="M223" s="14"/>
      <c r="N223" s="14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hidden="1">
      <c r="A224" s="16" t="s">
        <v>408</v>
      </c>
      <c r="B224" s="10"/>
      <c r="C224" s="17" t="s">
        <v>189</v>
      </c>
      <c r="D224" s="25" t="s">
        <v>606</v>
      </c>
      <c r="E224" s="25" t="s">
        <v>607</v>
      </c>
      <c r="F224" s="47" t="s">
        <v>95</v>
      </c>
      <c r="G224" s="24" t="s">
        <v>608</v>
      </c>
      <c r="H224" s="24" t="s">
        <v>609</v>
      </c>
      <c r="I224" s="24" t="s">
        <v>610</v>
      </c>
      <c r="J224" s="10"/>
      <c r="K224" s="10"/>
      <c r="L224" s="14"/>
      <c r="M224" s="14" t="b">
        <v>0</v>
      </c>
      <c r="N224" s="14" t="b">
        <v>0</v>
      </c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hidden="1">
      <c r="A225" s="20"/>
      <c r="B225" s="21" t="s">
        <v>91</v>
      </c>
      <c r="C225" s="26" t="s">
        <v>189</v>
      </c>
      <c r="D225" s="50" t="s">
        <v>611</v>
      </c>
      <c r="E225" s="50" t="s">
        <v>612</v>
      </c>
      <c r="F225" s="59" t="s">
        <v>126</v>
      </c>
      <c r="G225" s="51" t="s">
        <v>613</v>
      </c>
      <c r="H225" s="51" t="s">
        <v>614</v>
      </c>
      <c r="I225" s="50" t="s">
        <v>615</v>
      </c>
      <c r="J225" s="17" t="s">
        <v>616</v>
      </c>
      <c r="K225" s="10"/>
      <c r="L225" s="14"/>
      <c r="M225" s="14" t="b">
        <v>0</v>
      </c>
      <c r="N225" s="14" t="b">
        <v>0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hidden="1">
      <c r="A226" s="20"/>
      <c r="B226" s="21" t="s">
        <v>91</v>
      </c>
      <c r="C226" s="17" t="s">
        <v>189</v>
      </c>
      <c r="D226" s="25" t="s">
        <v>617</v>
      </c>
      <c r="E226" s="25" t="s">
        <v>618</v>
      </c>
      <c r="F226" s="23">
        <v>0.6666666666666666</v>
      </c>
      <c r="G226" s="25" t="s">
        <v>619</v>
      </c>
      <c r="H226" s="25" t="s">
        <v>620</v>
      </c>
      <c r="I226" s="25" t="s">
        <v>621</v>
      </c>
      <c r="J226" s="10"/>
      <c r="K226" s="10"/>
      <c r="L226" s="14"/>
      <c r="M226" s="14" t="b">
        <v>0</v>
      </c>
      <c r="N226" s="14" t="b">
        <v>0</v>
      </c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hidden="1">
      <c r="A227" s="20"/>
      <c r="B227" s="21" t="s">
        <v>91</v>
      </c>
      <c r="C227" s="17" t="s">
        <v>189</v>
      </c>
      <c r="D227" s="25" t="s">
        <v>622</v>
      </c>
      <c r="E227" s="25" t="s">
        <v>623</v>
      </c>
      <c r="F227" s="23">
        <v>0.75</v>
      </c>
      <c r="G227" s="25" t="s">
        <v>619</v>
      </c>
      <c r="H227" s="25" t="s">
        <v>624</v>
      </c>
      <c r="I227" s="25" t="s">
        <v>625</v>
      </c>
      <c r="J227" s="10"/>
      <c r="K227" s="10"/>
      <c r="L227" s="14"/>
      <c r="M227" s="14" t="b">
        <v>0</v>
      </c>
      <c r="N227" s="14" t="b">
        <v>0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hidden="1">
      <c r="A228" s="20"/>
      <c r="B228" s="21" t="s">
        <v>91</v>
      </c>
      <c r="C228" s="17" t="s">
        <v>189</v>
      </c>
      <c r="D228" s="25" t="s">
        <v>626</v>
      </c>
      <c r="E228" s="98" t="s">
        <v>627</v>
      </c>
      <c r="F228" s="112">
        <v>0.75</v>
      </c>
      <c r="G228" s="24" t="s">
        <v>608</v>
      </c>
      <c r="H228" s="24" t="s">
        <v>609</v>
      </c>
      <c r="I228" s="25" t="s">
        <v>628</v>
      </c>
      <c r="J228" s="10"/>
      <c r="K228" s="10"/>
      <c r="L228" s="14"/>
      <c r="M228" s="14" t="b">
        <v>0</v>
      </c>
      <c r="N228" s="14" t="b">
        <v>0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hidden="1">
      <c r="A229" s="32"/>
      <c r="B229" s="10"/>
      <c r="C229" s="17"/>
      <c r="D229" s="25"/>
      <c r="E229" s="25"/>
      <c r="F229" s="19"/>
      <c r="G229" s="31"/>
      <c r="H229" s="31"/>
      <c r="I229" s="25"/>
      <c r="J229" s="10"/>
      <c r="K229" s="10"/>
      <c r="L229" s="14"/>
      <c r="M229" s="14" t="b">
        <v>0</v>
      </c>
      <c r="N229" s="14" t="b">
        <v>0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 hidden="1">
      <c r="A230" s="9"/>
      <c r="B230" s="9">
        <v>44349.0</v>
      </c>
      <c r="C230" s="10"/>
      <c r="D230" s="25"/>
      <c r="E230" s="25"/>
      <c r="F230" s="19"/>
      <c r="G230" s="25"/>
      <c r="H230" s="25"/>
      <c r="I230" s="18"/>
      <c r="J230" s="17"/>
      <c r="K230" s="17"/>
      <c r="L230" s="14"/>
      <c r="M230" s="14"/>
      <c r="N230" s="14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 hidden="1">
      <c r="A231" s="16" t="s">
        <v>408</v>
      </c>
      <c r="B231" s="10"/>
      <c r="C231" s="26" t="s">
        <v>257</v>
      </c>
      <c r="D231" s="50" t="s">
        <v>629</v>
      </c>
      <c r="E231" s="50" t="s">
        <v>630</v>
      </c>
      <c r="F231" s="52">
        <v>0.4375</v>
      </c>
      <c r="G231" s="51" t="s">
        <v>631</v>
      </c>
      <c r="H231" s="51" t="s">
        <v>632</v>
      </c>
      <c r="I231" s="50" t="s">
        <v>633</v>
      </c>
      <c r="J231" s="17" t="s">
        <v>634</v>
      </c>
      <c r="K231" s="17"/>
      <c r="L231" s="14"/>
      <c r="M231" s="14" t="b">
        <v>0</v>
      </c>
      <c r="N231" s="14" t="b">
        <v>0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hidden="1">
      <c r="A232" s="20"/>
      <c r="B232" s="21" t="s">
        <v>91</v>
      </c>
      <c r="C232" s="17" t="s">
        <v>189</v>
      </c>
      <c r="D232" s="25" t="s">
        <v>635</v>
      </c>
      <c r="E232" s="25" t="s">
        <v>636</v>
      </c>
      <c r="F232" s="23">
        <v>0.5208333333333334</v>
      </c>
      <c r="G232" s="24" t="s">
        <v>212</v>
      </c>
      <c r="H232" s="24" t="s">
        <v>637</v>
      </c>
      <c r="I232" s="25" t="s">
        <v>638</v>
      </c>
      <c r="J232" s="10"/>
      <c r="K232" s="10"/>
      <c r="L232" s="14"/>
      <c r="M232" s="14" t="b">
        <v>0</v>
      </c>
      <c r="N232" s="14" t="b">
        <v>0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hidden="1">
      <c r="A233" s="20"/>
      <c r="B233" s="21" t="s">
        <v>91</v>
      </c>
      <c r="C233" s="17" t="s">
        <v>189</v>
      </c>
      <c r="D233" s="25" t="s">
        <v>639</v>
      </c>
      <c r="E233" s="25" t="s">
        <v>640</v>
      </c>
      <c r="F233" s="23">
        <v>0.5833333333333334</v>
      </c>
      <c r="G233" s="25" t="s">
        <v>212</v>
      </c>
      <c r="H233" s="25" t="s">
        <v>641</v>
      </c>
      <c r="I233" s="25"/>
      <c r="J233" s="10"/>
      <c r="K233" s="10"/>
      <c r="L233" s="14"/>
      <c r="M233" s="14" t="b">
        <v>0</v>
      </c>
      <c r="N233" s="14" t="b">
        <v>0</v>
      </c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 hidden="1">
      <c r="A234" s="20"/>
      <c r="B234" s="21" t="s">
        <v>91</v>
      </c>
      <c r="C234" s="17" t="s">
        <v>189</v>
      </c>
      <c r="D234" s="25" t="s">
        <v>642</v>
      </c>
      <c r="E234" s="25" t="s">
        <v>643</v>
      </c>
      <c r="F234" s="23">
        <v>0.6666666666666666</v>
      </c>
      <c r="G234" s="17" t="s">
        <v>212</v>
      </c>
      <c r="H234" s="25" t="s">
        <v>644</v>
      </c>
      <c r="I234" s="25" t="s">
        <v>645</v>
      </c>
      <c r="J234" s="10"/>
      <c r="K234" s="10"/>
      <c r="L234" s="14"/>
      <c r="M234" s="14" t="b">
        <v>0</v>
      </c>
      <c r="N234" s="14" t="b">
        <v>0</v>
      </c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 hidden="1">
      <c r="A235" s="20"/>
      <c r="B235" s="21" t="s">
        <v>91</v>
      </c>
      <c r="C235" s="18"/>
      <c r="D235" s="18"/>
      <c r="E235" s="18"/>
      <c r="F235" s="23"/>
      <c r="G235" s="18"/>
      <c r="H235" s="18"/>
      <c r="I235" s="18"/>
      <c r="J235" s="18"/>
      <c r="K235" s="10"/>
      <c r="L235" s="14"/>
      <c r="M235" s="14" t="b">
        <v>0</v>
      </c>
      <c r="N235" s="14" t="b">
        <v>0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 hidden="1">
      <c r="A236" s="32"/>
      <c r="B236" s="10"/>
      <c r="C236" s="17"/>
      <c r="D236" s="25"/>
      <c r="E236" s="25"/>
      <c r="F236" s="19"/>
      <c r="G236" s="31"/>
      <c r="H236" s="31"/>
      <c r="I236" s="25"/>
      <c r="J236" s="10"/>
      <c r="K236" s="10"/>
      <c r="L236" s="14"/>
      <c r="M236" s="14" t="b">
        <v>0</v>
      </c>
      <c r="N236" s="14" t="b">
        <v>0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hidden="1">
      <c r="A237" s="9"/>
      <c r="B237" s="9">
        <v>44350.0</v>
      </c>
      <c r="C237" s="10"/>
      <c r="D237" s="25"/>
      <c r="E237" s="25"/>
      <c r="F237" s="19"/>
      <c r="G237" s="25"/>
      <c r="H237" s="25"/>
      <c r="I237" s="18"/>
      <c r="J237" s="17"/>
      <c r="K237" s="17"/>
      <c r="L237" s="14"/>
      <c r="M237" s="14"/>
      <c r="N237" s="14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 hidden="1">
      <c r="A238" s="16" t="s">
        <v>408</v>
      </c>
      <c r="B238" s="10"/>
      <c r="C238" s="17"/>
      <c r="D238" s="24"/>
      <c r="E238" s="24"/>
      <c r="F238" s="47"/>
      <c r="G238" s="24"/>
      <c r="H238" s="24"/>
      <c r="I238" s="25"/>
      <c r="J238" s="10"/>
      <c r="K238" s="10"/>
      <c r="L238" s="14"/>
      <c r="M238" s="14" t="b">
        <v>0</v>
      </c>
      <c r="N238" s="14" t="b">
        <v>0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 hidden="1">
      <c r="A239" s="20"/>
      <c r="B239" s="21" t="s">
        <v>91</v>
      </c>
      <c r="C239" s="17" t="s">
        <v>189</v>
      </c>
      <c r="D239" s="25" t="s">
        <v>646</v>
      </c>
      <c r="E239" s="25" t="s">
        <v>647</v>
      </c>
      <c r="F239" s="23">
        <v>0.5</v>
      </c>
      <c r="G239" s="24" t="s">
        <v>453</v>
      </c>
      <c r="H239" s="24" t="s">
        <v>648</v>
      </c>
      <c r="I239" s="25" t="s">
        <v>649</v>
      </c>
      <c r="J239" s="10"/>
      <c r="K239" s="10"/>
      <c r="L239" s="14"/>
      <c r="M239" s="14" t="b">
        <v>0</v>
      </c>
      <c r="N239" s="14" t="b">
        <v>0</v>
      </c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 hidden="1">
      <c r="A240" s="20"/>
      <c r="B240" s="21" t="s">
        <v>91</v>
      </c>
      <c r="C240" s="17" t="s">
        <v>189</v>
      </c>
      <c r="D240" s="25" t="s">
        <v>650</v>
      </c>
      <c r="E240" s="25" t="s">
        <v>651</v>
      </c>
      <c r="F240" s="23">
        <v>0.5833333333333334</v>
      </c>
      <c r="G240" s="25" t="s">
        <v>652</v>
      </c>
      <c r="H240" s="25" t="s">
        <v>653</v>
      </c>
      <c r="I240" s="25" t="s">
        <v>654</v>
      </c>
      <c r="J240" s="10"/>
      <c r="K240" s="10"/>
      <c r="L240" s="14"/>
      <c r="M240" s="14" t="b">
        <v>0</v>
      </c>
      <c r="N240" s="14" t="b">
        <v>0</v>
      </c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 hidden="1">
      <c r="A241" s="20"/>
      <c r="B241" s="21" t="s">
        <v>91</v>
      </c>
      <c r="C241" s="17" t="s">
        <v>257</v>
      </c>
      <c r="D241" s="25" t="s">
        <v>655</v>
      </c>
      <c r="E241" s="25" t="s">
        <v>656</v>
      </c>
      <c r="F241" s="23">
        <v>0.7083333333333334</v>
      </c>
      <c r="G241" s="17" t="s">
        <v>657</v>
      </c>
      <c r="H241" s="25" t="s">
        <v>658</v>
      </c>
      <c r="I241" s="25" t="s">
        <v>659</v>
      </c>
      <c r="J241" s="10"/>
      <c r="K241" s="10"/>
      <c r="L241" s="14"/>
      <c r="M241" s="14" t="b">
        <v>0</v>
      </c>
      <c r="N241" s="14" t="b">
        <v>0</v>
      </c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</row>
    <row r="242" hidden="1">
      <c r="A242" s="20"/>
      <c r="B242" s="21" t="s">
        <v>91</v>
      </c>
      <c r="C242" s="17" t="s">
        <v>189</v>
      </c>
      <c r="D242" s="25"/>
      <c r="E242" s="25"/>
      <c r="F242" s="113" t="s">
        <v>207</v>
      </c>
      <c r="G242" s="24"/>
      <c r="H242" s="24"/>
      <c r="I242" s="25"/>
      <c r="J242" s="10"/>
      <c r="K242" s="10"/>
      <c r="L242" s="14"/>
      <c r="M242" s="14" t="b">
        <v>0</v>
      </c>
      <c r="N242" s="14" t="b">
        <v>0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 hidden="1">
      <c r="A243" s="32"/>
      <c r="B243" s="10"/>
      <c r="C243" s="17"/>
      <c r="D243" s="25"/>
      <c r="E243" s="25"/>
      <c r="F243" s="19"/>
      <c r="G243" s="31"/>
      <c r="H243" s="31"/>
      <c r="I243" s="25"/>
      <c r="J243" s="10"/>
      <c r="K243" s="10"/>
      <c r="L243" s="14"/>
      <c r="M243" s="14" t="b">
        <v>0</v>
      </c>
      <c r="N243" s="14" t="b">
        <v>0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 hidden="1">
      <c r="A244" s="9"/>
      <c r="B244" s="9">
        <v>44351.0</v>
      </c>
      <c r="C244" s="10"/>
      <c r="D244" s="25"/>
      <c r="E244" s="25"/>
      <c r="F244" s="19"/>
      <c r="G244" s="25"/>
      <c r="H244" s="25"/>
      <c r="I244" s="18"/>
      <c r="J244" s="17"/>
      <c r="K244" s="17"/>
      <c r="L244" s="14"/>
      <c r="M244" s="14"/>
      <c r="N244" s="14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 hidden="1">
      <c r="A245" s="16" t="s">
        <v>408</v>
      </c>
      <c r="B245" s="10"/>
      <c r="C245" s="17"/>
      <c r="D245" s="25"/>
      <c r="E245" s="25"/>
      <c r="F245" s="47"/>
      <c r="G245" s="24"/>
      <c r="H245" s="24"/>
      <c r="I245" s="24"/>
      <c r="J245" s="10"/>
      <c r="K245" s="10"/>
      <c r="L245" s="14"/>
      <c r="M245" s="14" t="b">
        <v>0</v>
      </c>
      <c r="N245" s="14" t="b">
        <v>0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hidden="1">
      <c r="A246" s="20"/>
      <c r="B246" s="21" t="s">
        <v>91</v>
      </c>
      <c r="C246" s="17" t="s">
        <v>189</v>
      </c>
      <c r="D246" s="25" t="s">
        <v>660</v>
      </c>
      <c r="E246" s="25" t="s">
        <v>661</v>
      </c>
      <c r="F246" s="23">
        <v>0.4166666666666667</v>
      </c>
      <c r="G246" s="24" t="s">
        <v>82</v>
      </c>
      <c r="H246" s="24" t="s">
        <v>662</v>
      </c>
      <c r="I246" s="25" t="s">
        <v>663</v>
      </c>
      <c r="J246" s="10"/>
      <c r="K246" s="10"/>
      <c r="L246" s="14"/>
      <c r="M246" s="14" t="b">
        <v>0</v>
      </c>
      <c r="N246" s="14" t="b">
        <v>0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 hidden="1">
      <c r="A247" s="20"/>
      <c r="B247" s="21" t="s">
        <v>91</v>
      </c>
      <c r="C247" s="17" t="s">
        <v>189</v>
      </c>
      <c r="D247" s="25" t="s">
        <v>664</v>
      </c>
      <c r="E247" s="25" t="s">
        <v>665</v>
      </c>
      <c r="F247" s="23">
        <v>0.5</v>
      </c>
      <c r="G247" s="25" t="s">
        <v>82</v>
      </c>
      <c r="H247" s="25" t="s">
        <v>666</v>
      </c>
      <c r="I247" s="25" t="s">
        <v>667</v>
      </c>
      <c r="J247" s="10"/>
      <c r="K247" s="10"/>
      <c r="L247" s="14"/>
      <c r="M247" s="14" t="b">
        <v>0</v>
      </c>
      <c r="N247" s="14" t="b">
        <v>0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hidden="1">
      <c r="A248" s="20"/>
      <c r="B248" s="21" t="s">
        <v>91</v>
      </c>
      <c r="C248" s="17" t="s">
        <v>189</v>
      </c>
      <c r="D248" s="25" t="s">
        <v>668</v>
      </c>
      <c r="E248" s="25" t="s">
        <v>669</v>
      </c>
      <c r="F248" s="23">
        <v>0.5833333333333334</v>
      </c>
      <c r="G248" s="17" t="s">
        <v>82</v>
      </c>
      <c r="H248" s="25" t="s">
        <v>670</v>
      </c>
      <c r="I248" s="25" t="s">
        <v>671</v>
      </c>
      <c r="J248" s="10"/>
      <c r="K248" s="10"/>
      <c r="L248" s="14"/>
      <c r="M248" s="14" t="b">
        <v>0</v>
      </c>
      <c r="N248" s="14" t="b">
        <v>0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 hidden="1">
      <c r="A249" s="20"/>
      <c r="B249" s="21" t="s">
        <v>91</v>
      </c>
      <c r="C249" s="26" t="s">
        <v>189</v>
      </c>
      <c r="D249" s="50" t="s">
        <v>672</v>
      </c>
      <c r="E249" s="50" t="s">
        <v>673</v>
      </c>
      <c r="F249" s="114">
        <v>0.6666666666666666</v>
      </c>
      <c r="G249" s="51" t="s">
        <v>76</v>
      </c>
      <c r="H249" s="51" t="s">
        <v>674</v>
      </c>
      <c r="I249" s="50" t="s">
        <v>675</v>
      </c>
      <c r="J249" s="17" t="s">
        <v>676</v>
      </c>
      <c r="K249" s="10"/>
      <c r="L249" s="14"/>
      <c r="M249" s="14" t="b">
        <v>0</v>
      </c>
      <c r="N249" s="14" t="b">
        <v>0</v>
      </c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 hidden="1">
      <c r="A250" s="32"/>
      <c r="B250" s="10"/>
      <c r="C250" s="17"/>
      <c r="D250" s="25"/>
      <c r="E250" s="25"/>
      <c r="F250" s="19"/>
      <c r="G250" s="31"/>
      <c r="H250" s="31"/>
      <c r="I250" s="25"/>
      <c r="J250" s="10"/>
      <c r="K250" s="10"/>
      <c r="L250" s="14"/>
      <c r="M250" s="14" t="b">
        <v>0</v>
      </c>
      <c r="N250" s="14" t="b">
        <v>0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 hidden="1">
      <c r="A251" s="9"/>
      <c r="B251" s="9">
        <v>44354.0</v>
      </c>
      <c r="C251" s="10"/>
      <c r="D251" s="25"/>
      <c r="E251" s="25"/>
      <c r="F251" s="19"/>
      <c r="G251" s="25"/>
      <c r="H251" s="25"/>
      <c r="I251" s="18"/>
      <c r="J251" s="17"/>
      <c r="K251" s="17"/>
      <c r="L251" s="14"/>
      <c r="M251" s="14"/>
      <c r="N251" s="14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 hidden="1">
      <c r="A252" s="16" t="s">
        <v>408</v>
      </c>
      <c r="B252" s="10"/>
      <c r="C252" s="17"/>
      <c r="D252" s="25"/>
      <c r="E252" s="25"/>
      <c r="F252" s="47"/>
      <c r="G252" s="24"/>
      <c r="H252" s="24"/>
      <c r="I252" s="24"/>
      <c r="J252" s="10"/>
      <c r="K252" s="10"/>
      <c r="L252" s="14"/>
      <c r="M252" s="14" t="b">
        <v>0</v>
      </c>
      <c r="N252" s="14" t="b">
        <v>0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 hidden="1">
      <c r="A253" s="20"/>
      <c r="B253" s="21" t="s">
        <v>91</v>
      </c>
      <c r="C253" s="17" t="s">
        <v>189</v>
      </c>
      <c r="D253" s="25" t="s">
        <v>677</v>
      </c>
      <c r="E253" s="25" t="s">
        <v>678</v>
      </c>
      <c r="F253" s="23">
        <v>0.5</v>
      </c>
      <c r="G253" s="24" t="s">
        <v>212</v>
      </c>
      <c r="H253" s="24" t="s">
        <v>679</v>
      </c>
      <c r="I253" s="25" t="s">
        <v>680</v>
      </c>
      <c r="J253" s="10"/>
      <c r="K253" s="10"/>
      <c r="L253" s="14"/>
      <c r="M253" s="14" t="b">
        <v>0</v>
      </c>
      <c r="N253" s="14" t="b">
        <v>0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 hidden="1">
      <c r="A254" s="20"/>
      <c r="B254" s="21" t="s">
        <v>91</v>
      </c>
      <c r="C254" s="17" t="s">
        <v>189</v>
      </c>
      <c r="D254" s="25" t="s">
        <v>681</v>
      </c>
      <c r="E254" s="25" t="s">
        <v>682</v>
      </c>
      <c r="F254" s="23">
        <v>0.5833333333333334</v>
      </c>
      <c r="G254" s="25" t="s">
        <v>462</v>
      </c>
      <c r="H254" s="25" t="s">
        <v>683</v>
      </c>
      <c r="I254" s="25" t="s">
        <v>684</v>
      </c>
      <c r="J254" s="10"/>
      <c r="K254" s="10"/>
      <c r="L254" s="14"/>
      <c r="M254" s="14" t="b">
        <v>0</v>
      </c>
      <c r="N254" s="14" t="b">
        <v>0</v>
      </c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 hidden="1">
      <c r="A255" s="20"/>
      <c r="B255" s="21" t="s">
        <v>91</v>
      </c>
      <c r="C255" s="17" t="s">
        <v>189</v>
      </c>
      <c r="D255" s="25" t="s">
        <v>685</v>
      </c>
      <c r="E255" s="25" t="s">
        <v>686</v>
      </c>
      <c r="F255" s="23">
        <v>0.6666666666666666</v>
      </c>
      <c r="G255" s="17" t="s">
        <v>687</v>
      </c>
      <c r="H255" s="25" t="s">
        <v>688</v>
      </c>
      <c r="I255" s="25" t="s">
        <v>689</v>
      </c>
      <c r="J255" s="10"/>
      <c r="K255" s="10"/>
      <c r="L255" s="14"/>
      <c r="M255" s="14" t="b">
        <v>0</v>
      </c>
      <c r="N255" s="14" t="b">
        <v>0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 hidden="1">
      <c r="A256" s="20"/>
      <c r="B256" s="21" t="s">
        <v>91</v>
      </c>
      <c r="C256" s="17" t="s">
        <v>189</v>
      </c>
      <c r="D256" s="25" t="s">
        <v>690</v>
      </c>
      <c r="E256" s="25" t="s">
        <v>691</v>
      </c>
      <c r="F256" s="112">
        <v>0.75</v>
      </c>
      <c r="G256" s="24" t="s">
        <v>692</v>
      </c>
      <c r="H256" s="24" t="s">
        <v>693</v>
      </c>
      <c r="I256" s="25" t="s">
        <v>694</v>
      </c>
      <c r="J256" s="10"/>
      <c r="K256" s="10"/>
      <c r="L256" s="14"/>
      <c r="M256" s="14" t="b">
        <v>0</v>
      </c>
      <c r="N256" s="14" t="b">
        <v>0</v>
      </c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 hidden="1">
      <c r="A257" s="32"/>
      <c r="B257" s="10"/>
      <c r="C257" s="17"/>
      <c r="D257" s="25"/>
      <c r="E257" s="25"/>
      <c r="F257" s="19"/>
      <c r="G257" s="31"/>
      <c r="H257" s="31"/>
      <c r="I257" s="25"/>
      <c r="J257" s="10"/>
      <c r="K257" s="10"/>
      <c r="L257" s="14"/>
      <c r="M257" s="14" t="b">
        <v>0</v>
      </c>
      <c r="N257" s="14" t="b">
        <v>0</v>
      </c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hidden="1">
      <c r="A258" s="9"/>
      <c r="B258" s="9">
        <v>44355.0</v>
      </c>
      <c r="C258" s="10"/>
      <c r="D258" s="25"/>
      <c r="E258" s="25"/>
      <c r="F258" s="19"/>
      <c r="G258" s="25"/>
      <c r="H258" s="25"/>
      <c r="I258" s="18"/>
      <c r="J258" s="17"/>
      <c r="K258" s="17"/>
      <c r="L258" s="14"/>
      <c r="M258" s="14"/>
      <c r="N258" s="14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 hidden="1">
      <c r="A259" s="16" t="s">
        <v>408</v>
      </c>
      <c r="B259" s="10"/>
      <c r="C259" s="17"/>
      <c r="D259" s="25"/>
      <c r="E259" s="25"/>
      <c r="F259" s="47"/>
      <c r="G259" s="24"/>
      <c r="H259" s="24"/>
      <c r="I259" s="24"/>
      <c r="J259" s="10"/>
      <c r="K259" s="10"/>
      <c r="L259" s="14"/>
      <c r="M259" s="14" t="b">
        <v>0</v>
      </c>
      <c r="N259" s="14" t="b">
        <v>0</v>
      </c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 hidden="1">
      <c r="A260" s="20"/>
      <c r="B260" s="21" t="s">
        <v>91</v>
      </c>
      <c r="C260" s="17"/>
      <c r="D260" s="25"/>
      <c r="E260" s="25"/>
      <c r="F260" s="23"/>
      <c r="G260" s="24"/>
      <c r="H260" s="24"/>
      <c r="I260" s="25"/>
      <c r="J260" s="10"/>
      <c r="K260" s="10"/>
      <c r="L260" s="14"/>
      <c r="M260" s="14" t="b">
        <v>0</v>
      </c>
      <c r="N260" s="14" t="b">
        <v>0</v>
      </c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 hidden="1">
      <c r="A261" s="20"/>
      <c r="B261" s="21" t="s">
        <v>91</v>
      </c>
      <c r="C261" s="17" t="s">
        <v>189</v>
      </c>
      <c r="D261" s="25" t="s">
        <v>311</v>
      </c>
      <c r="E261" s="25" t="s">
        <v>312</v>
      </c>
      <c r="F261" s="23">
        <v>0.5416666666666666</v>
      </c>
      <c r="G261" s="25" t="s">
        <v>360</v>
      </c>
      <c r="H261" s="25" t="s">
        <v>695</v>
      </c>
      <c r="I261" s="25" t="s">
        <v>696</v>
      </c>
      <c r="J261" s="10"/>
      <c r="K261" s="10"/>
      <c r="L261" s="14"/>
      <c r="M261" s="14" t="b">
        <v>0</v>
      </c>
      <c r="N261" s="14" t="b">
        <v>0</v>
      </c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 hidden="1">
      <c r="A262" s="20"/>
      <c r="B262" s="21" t="s">
        <v>91</v>
      </c>
      <c r="C262" s="26" t="s">
        <v>257</v>
      </c>
      <c r="D262" s="50" t="s">
        <v>23</v>
      </c>
      <c r="E262" s="50" t="s">
        <v>24</v>
      </c>
      <c r="F262" s="115">
        <v>0.5833333333333334</v>
      </c>
      <c r="G262" s="26" t="s">
        <v>19</v>
      </c>
      <c r="H262" s="50" t="s">
        <v>697</v>
      </c>
      <c r="I262" s="50" t="s">
        <v>26</v>
      </c>
      <c r="J262" s="17" t="s">
        <v>698</v>
      </c>
      <c r="K262" s="10"/>
      <c r="L262" s="14"/>
      <c r="M262" s="14" t="b">
        <v>0</v>
      </c>
      <c r="N262" s="14" t="b">
        <v>0</v>
      </c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 hidden="1">
      <c r="A263" s="20"/>
      <c r="B263" s="21" t="s">
        <v>91</v>
      </c>
      <c r="C263" s="26" t="s">
        <v>257</v>
      </c>
      <c r="D263" s="50" t="s">
        <v>190</v>
      </c>
      <c r="E263" s="50" t="s">
        <v>191</v>
      </c>
      <c r="F263" s="114">
        <v>0.6666666666666666</v>
      </c>
      <c r="G263" s="60" t="s">
        <v>699</v>
      </c>
      <c r="H263" s="116" t="s">
        <v>700</v>
      </c>
      <c r="I263" s="50" t="s">
        <v>194</v>
      </c>
      <c r="J263" s="10"/>
      <c r="K263" s="17" t="s">
        <v>701</v>
      </c>
      <c r="L263" s="14"/>
      <c r="M263" s="14" t="b">
        <v>0</v>
      </c>
      <c r="N263" s="14" t="b">
        <v>0</v>
      </c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 hidden="1">
      <c r="A264" s="32"/>
      <c r="B264" s="21" t="s">
        <v>91</v>
      </c>
      <c r="C264" s="17" t="s">
        <v>257</v>
      </c>
      <c r="D264" s="25" t="s">
        <v>702</v>
      </c>
      <c r="E264" s="25" t="s">
        <v>703</v>
      </c>
      <c r="F264" s="23">
        <v>0.7291666666666666</v>
      </c>
      <c r="G264" s="31" t="s">
        <v>297</v>
      </c>
      <c r="H264" s="31" t="s">
        <v>704</v>
      </c>
      <c r="I264" s="25" t="s">
        <v>705</v>
      </c>
      <c r="J264" s="10"/>
      <c r="K264" s="10"/>
      <c r="L264" s="14"/>
      <c r="M264" s="14" t="b">
        <v>0</v>
      </c>
      <c r="N264" s="14" t="b">
        <v>0</v>
      </c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 hidden="1">
      <c r="A265" s="9"/>
      <c r="B265" s="9">
        <v>44356.0</v>
      </c>
      <c r="C265" s="10"/>
      <c r="D265" s="117" t="s">
        <v>706</v>
      </c>
      <c r="E265" s="13"/>
      <c r="F265" s="23">
        <v>0.7708333333333334</v>
      </c>
      <c r="G265" s="25" t="s">
        <v>707</v>
      </c>
      <c r="H265" s="25"/>
      <c r="I265" s="18"/>
      <c r="J265" s="17"/>
      <c r="K265" s="17"/>
      <c r="L265" s="14"/>
      <c r="M265" s="14"/>
      <c r="N265" s="14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 hidden="1">
      <c r="A266" s="16" t="s">
        <v>408</v>
      </c>
      <c r="B266" s="10"/>
      <c r="C266" s="17"/>
      <c r="D266" s="25"/>
      <c r="E266" s="25"/>
      <c r="F266" s="47"/>
      <c r="G266" s="24"/>
      <c r="H266" s="24"/>
      <c r="I266" s="24"/>
      <c r="J266" s="10"/>
      <c r="K266" s="10"/>
      <c r="L266" s="14"/>
      <c r="M266" s="14" t="b">
        <v>0</v>
      </c>
      <c r="N266" s="14" t="b">
        <v>0</v>
      </c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 hidden="1">
      <c r="A267" s="20"/>
      <c r="B267" s="21" t="s">
        <v>91</v>
      </c>
      <c r="C267" s="17"/>
      <c r="D267" s="25"/>
      <c r="E267" s="25"/>
      <c r="F267" s="23"/>
      <c r="G267" s="24"/>
      <c r="H267" s="24"/>
      <c r="I267" s="25"/>
      <c r="J267" s="10"/>
      <c r="K267" s="10"/>
      <c r="L267" s="14"/>
      <c r="M267" s="14" t="b">
        <v>0</v>
      </c>
      <c r="N267" s="14" t="b">
        <v>0</v>
      </c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 hidden="1">
      <c r="A268" s="20"/>
      <c r="B268" s="21" t="s">
        <v>91</v>
      </c>
      <c r="C268" s="17" t="s">
        <v>189</v>
      </c>
      <c r="D268" s="25" t="s">
        <v>708</v>
      </c>
      <c r="E268" s="25" t="s">
        <v>709</v>
      </c>
      <c r="F268" s="23">
        <v>0.5833333333333334</v>
      </c>
      <c r="G268" s="25" t="s">
        <v>710</v>
      </c>
      <c r="H268" s="25" t="s">
        <v>711</v>
      </c>
      <c r="I268" s="25" t="s">
        <v>712</v>
      </c>
      <c r="J268" s="10"/>
      <c r="K268" s="10"/>
      <c r="L268" s="14"/>
      <c r="M268" s="14" t="b">
        <v>0</v>
      </c>
      <c r="N268" s="14" t="b">
        <v>0</v>
      </c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 hidden="1">
      <c r="A269" s="20"/>
      <c r="B269" s="21" t="s">
        <v>91</v>
      </c>
      <c r="C269" s="26" t="s">
        <v>189</v>
      </c>
      <c r="D269" s="50" t="s">
        <v>713</v>
      </c>
      <c r="E269" s="50" t="s">
        <v>714</v>
      </c>
      <c r="F269" s="52">
        <v>0.6666666666666666</v>
      </c>
      <c r="G269" s="48" t="s">
        <v>715</v>
      </c>
      <c r="H269" s="48" t="s">
        <v>716</v>
      </c>
      <c r="I269" s="50" t="s">
        <v>717</v>
      </c>
      <c r="J269" s="17" t="s">
        <v>718</v>
      </c>
      <c r="K269" s="10"/>
      <c r="L269" s="14"/>
      <c r="M269" s="14" t="b">
        <v>0</v>
      </c>
      <c r="N269" s="14" t="b">
        <v>0</v>
      </c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hidden="1">
      <c r="A270" s="20"/>
      <c r="B270" s="21" t="s">
        <v>91</v>
      </c>
      <c r="C270" s="17" t="s">
        <v>189</v>
      </c>
      <c r="D270" s="25" t="s">
        <v>719</v>
      </c>
      <c r="E270" s="25" t="s">
        <v>720</v>
      </c>
      <c r="F270" s="112">
        <v>0.75</v>
      </c>
      <c r="G270" s="24" t="s">
        <v>721</v>
      </c>
      <c r="H270" s="24" t="s">
        <v>722</v>
      </c>
      <c r="I270" s="25" t="s">
        <v>723</v>
      </c>
      <c r="J270" s="10"/>
      <c r="K270" s="10"/>
      <c r="L270" s="14"/>
      <c r="M270" s="14" t="b">
        <v>0</v>
      </c>
      <c r="N270" s="14" t="b">
        <v>0</v>
      </c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 hidden="1">
      <c r="A271" s="32"/>
      <c r="B271" s="10"/>
      <c r="C271" s="17" t="s">
        <v>189</v>
      </c>
      <c r="D271" s="25" t="s">
        <v>724</v>
      </c>
      <c r="E271" s="25" t="s">
        <v>725</v>
      </c>
      <c r="F271" s="23">
        <v>0.7916666666666666</v>
      </c>
      <c r="G271" s="17" t="s">
        <v>721</v>
      </c>
      <c r="H271" s="25" t="s">
        <v>726</v>
      </c>
      <c r="I271" s="25" t="s">
        <v>727</v>
      </c>
      <c r="J271" s="10"/>
      <c r="K271" s="10"/>
      <c r="L271" s="14"/>
      <c r="M271" s="14"/>
      <c r="N271" s="14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 hidden="1">
      <c r="A272" s="9"/>
      <c r="B272" s="9">
        <v>44357.0</v>
      </c>
      <c r="C272" s="10"/>
      <c r="D272" s="25"/>
      <c r="E272" s="25"/>
      <c r="F272" s="19"/>
      <c r="G272" s="25"/>
      <c r="H272" s="25"/>
      <c r="I272" s="18"/>
      <c r="J272" s="17"/>
      <c r="K272" s="17"/>
      <c r="L272" s="14"/>
      <c r="M272" s="14"/>
      <c r="N272" s="14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 hidden="1">
      <c r="A273" s="16" t="s">
        <v>408</v>
      </c>
      <c r="B273" s="10"/>
      <c r="C273" s="17"/>
      <c r="D273" s="25"/>
      <c r="E273" s="25"/>
      <c r="F273" s="47"/>
      <c r="G273" s="24"/>
      <c r="H273" s="24"/>
      <c r="I273" s="24"/>
      <c r="J273" s="10"/>
      <c r="K273" s="10"/>
      <c r="L273" s="14"/>
      <c r="M273" s="14" t="b">
        <v>0</v>
      </c>
      <c r="N273" s="14" t="b">
        <v>0</v>
      </c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 hidden="1">
      <c r="A274" s="20"/>
      <c r="B274" s="21" t="s">
        <v>91</v>
      </c>
      <c r="C274" s="17" t="s">
        <v>189</v>
      </c>
      <c r="D274" s="25" t="s">
        <v>728</v>
      </c>
      <c r="E274" s="25" t="s">
        <v>729</v>
      </c>
      <c r="F274" s="23">
        <v>0.6666666666666666</v>
      </c>
      <c r="G274" s="24" t="s">
        <v>652</v>
      </c>
      <c r="H274" s="24" t="s">
        <v>730</v>
      </c>
      <c r="I274" s="25" t="s">
        <v>731</v>
      </c>
      <c r="J274" s="10"/>
      <c r="K274" s="10"/>
      <c r="L274" s="14"/>
      <c r="M274" s="14" t="b">
        <v>0</v>
      </c>
      <c r="N274" s="14" t="b">
        <v>0</v>
      </c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 hidden="1">
      <c r="A275" s="20"/>
      <c r="B275" s="21" t="s">
        <v>91</v>
      </c>
      <c r="C275" s="26" t="s">
        <v>189</v>
      </c>
      <c r="D275" s="50" t="s">
        <v>732</v>
      </c>
      <c r="E275" s="50" t="s">
        <v>733</v>
      </c>
      <c r="F275" s="114">
        <v>0.75</v>
      </c>
      <c r="G275" s="51" t="s">
        <v>453</v>
      </c>
      <c r="H275" s="51" t="s">
        <v>734</v>
      </c>
      <c r="I275" s="50" t="s">
        <v>735</v>
      </c>
      <c r="J275" s="17" t="s">
        <v>736</v>
      </c>
      <c r="K275" s="10"/>
      <c r="L275" s="14"/>
      <c r="M275" s="14" t="b">
        <v>0</v>
      </c>
      <c r="N275" s="14" t="b">
        <v>0</v>
      </c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 hidden="1">
      <c r="A276" s="20"/>
      <c r="B276" s="21" t="s">
        <v>91</v>
      </c>
      <c r="C276" s="17" t="s">
        <v>189</v>
      </c>
      <c r="D276" s="25" t="s">
        <v>737</v>
      </c>
      <c r="E276" s="25" t="s">
        <v>738</v>
      </c>
      <c r="F276" s="23">
        <v>0.7916666666666666</v>
      </c>
      <c r="G276" s="17" t="s">
        <v>739</v>
      </c>
      <c r="H276" s="25" t="s">
        <v>740</v>
      </c>
      <c r="I276" s="25" t="s">
        <v>741</v>
      </c>
      <c r="J276" s="10"/>
      <c r="K276" s="10"/>
      <c r="L276" s="14"/>
      <c r="M276" s="14" t="b">
        <v>0</v>
      </c>
      <c r="N276" s="14" t="b">
        <v>0</v>
      </c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hidden="1">
      <c r="A277" s="20"/>
      <c r="B277" s="21" t="s">
        <v>91</v>
      </c>
      <c r="C277" s="17"/>
      <c r="D277" s="25"/>
      <c r="E277" s="25"/>
      <c r="F277" s="112"/>
      <c r="G277" s="24"/>
      <c r="H277" s="24"/>
      <c r="I277" s="25"/>
      <c r="J277" s="10"/>
      <c r="K277" s="10"/>
      <c r="L277" s="14"/>
      <c r="M277" s="14" t="b">
        <v>0</v>
      </c>
      <c r="N277" s="14" t="b">
        <v>0</v>
      </c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 hidden="1">
      <c r="A278" s="32"/>
      <c r="B278" s="10"/>
      <c r="C278" s="17"/>
      <c r="D278" s="25"/>
      <c r="E278" s="25"/>
      <c r="F278" s="23"/>
      <c r="G278" s="17"/>
      <c r="H278" s="25"/>
      <c r="I278" s="25"/>
      <c r="J278" s="10"/>
      <c r="K278" s="10"/>
      <c r="L278" s="14"/>
      <c r="M278" s="14" t="b">
        <v>0</v>
      </c>
      <c r="N278" s="14" t="b">
        <v>0</v>
      </c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 hidden="1">
      <c r="A279" s="9"/>
      <c r="B279" s="9">
        <v>44358.0</v>
      </c>
      <c r="C279" s="10"/>
      <c r="D279" s="25"/>
      <c r="E279" s="25"/>
      <c r="F279" s="19"/>
      <c r="G279" s="25"/>
      <c r="H279" s="25"/>
      <c r="I279" s="18"/>
      <c r="J279" s="17"/>
      <c r="K279" s="17"/>
      <c r="L279" s="14"/>
      <c r="M279" s="14"/>
      <c r="N279" s="14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 hidden="1">
      <c r="A280" s="16" t="s">
        <v>408</v>
      </c>
      <c r="B280" s="10"/>
      <c r="C280" s="17"/>
      <c r="D280" s="25"/>
      <c r="E280" s="25"/>
      <c r="F280" s="47"/>
      <c r="G280" s="24"/>
      <c r="H280" s="24"/>
      <c r="I280" s="24"/>
      <c r="J280" s="10"/>
      <c r="K280" s="10"/>
      <c r="L280" s="14"/>
      <c r="M280" s="14" t="b">
        <v>0</v>
      </c>
      <c r="N280" s="14" t="b">
        <v>0</v>
      </c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 hidden="1">
      <c r="A281" s="20"/>
      <c r="B281" s="21" t="s">
        <v>91</v>
      </c>
      <c r="C281" s="17"/>
      <c r="D281" s="25"/>
      <c r="E281" s="118" t="s">
        <v>242</v>
      </c>
      <c r="F281" s="23"/>
      <c r="G281" s="87"/>
      <c r="H281" s="24"/>
      <c r="I281" s="25"/>
      <c r="J281" s="17"/>
      <c r="K281" s="10"/>
      <c r="L281" s="14"/>
      <c r="M281" s="14" t="b">
        <v>0</v>
      </c>
      <c r="N281" s="14" t="b">
        <v>0</v>
      </c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 hidden="1">
      <c r="A282" s="20"/>
      <c r="B282" s="21" t="s">
        <v>91</v>
      </c>
      <c r="C282" s="17"/>
      <c r="D282" s="25"/>
      <c r="E282" s="20"/>
      <c r="F282" s="76"/>
      <c r="G282" s="98"/>
      <c r="H282" s="25"/>
      <c r="I282" s="25"/>
      <c r="J282" s="10"/>
      <c r="K282" s="10"/>
      <c r="L282" s="14"/>
      <c r="M282" s="14" t="b">
        <v>0</v>
      </c>
      <c r="N282" s="14" t="b">
        <v>0</v>
      </c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 hidden="1">
      <c r="A283" s="20"/>
      <c r="B283" s="21" t="s">
        <v>91</v>
      </c>
      <c r="C283" s="17"/>
      <c r="D283" s="25"/>
      <c r="E283" s="20"/>
      <c r="F283" s="23"/>
      <c r="G283" s="98"/>
      <c r="H283" s="25"/>
      <c r="I283" s="25"/>
      <c r="J283" s="17"/>
      <c r="K283" s="10"/>
      <c r="L283" s="14"/>
      <c r="M283" s="14" t="b">
        <v>0</v>
      </c>
      <c r="N283" s="14" t="b">
        <v>0</v>
      </c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 hidden="1">
      <c r="A284" s="20"/>
      <c r="B284" s="21" t="s">
        <v>91</v>
      </c>
      <c r="C284" s="17"/>
      <c r="D284" s="25"/>
      <c r="E284" s="32"/>
      <c r="F284" s="112"/>
      <c r="G284" s="24"/>
      <c r="H284" s="24"/>
      <c r="I284" s="25"/>
      <c r="J284" s="10"/>
      <c r="K284" s="10"/>
      <c r="L284" s="14"/>
      <c r="M284" s="14" t="b">
        <v>0</v>
      </c>
      <c r="N284" s="14" t="b">
        <v>0</v>
      </c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 hidden="1">
      <c r="A285" s="32"/>
      <c r="B285" s="10"/>
      <c r="C285" s="17"/>
      <c r="D285" s="25"/>
      <c r="E285" s="25"/>
      <c r="F285" s="19"/>
      <c r="G285" s="31"/>
      <c r="H285" s="31"/>
      <c r="I285" s="25"/>
      <c r="J285" s="10"/>
      <c r="K285" s="10"/>
      <c r="L285" s="14"/>
      <c r="M285" s="14" t="b">
        <v>0</v>
      </c>
      <c r="N285" s="14" t="b">
        <v>0</v>
      </c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hidden="1">
      <c r="A286" s="9"/>
      <c r="B286" s="9">
        <v>44361.0</v>
      </c>
      <c r="C286" s="17"/>
      <c r="D286" s="25"/>
      <c r="E286" s="25"/>
      <c r="F286" s="19"/>
      <c r="G286" s="31"/>
      <c r="H286" s="31"/>
      <c r="I286" s="25"/>
      <c r="J286" s="10"/>
      <c r="K286" s="10"/>
      <c r="L286" s="14"/>
      <c r="M286" s="14" t="b">
        <v>0</v>
      </c>
      <c r="N286" s="14" t="b">
        <v>0</v>
      </c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 hidden="1">
      <c r="A287" s="16" t="s">
        <v>408</v>
      </c>
      <c r="B287" s="10"/>
      <c r="C287" s="17"/>
      <c r="D287" s="25"/>
      <c r="E287" s="119" t="s">
        <v>742</v>
      </c>
      <c r="F287" s="19"/>
      <c r="G287" s="31"/>
      <c r="H287" s="31"/>
      <c r="I287" s="25"/>
      <c r="J287" s="10"/>
      <c r="K287" s="10"/>
      <c r="L287" s="14"/>
      <c r="M287" s="14" t="b">
        <v>0</v>
      </c>
      <c r="N287" s="14" t="b">
        <v>0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 hidden="1">
      <c r="A288" s="20"/>
      <c r="B288" s="21" t="s">
        <v>91</v>
      </c>
      <c r="C288" s="74" t="s">
        <v>257</v>
      </c>
      <c r="D288" s="75" t="s">
        <v>119</v>
      </c>
      <c r="E288" s="75" t="s">
        <v>120</v>
      </c>
      <c r="F288" s="76">
        <v>0.4583333333333333</v>
      </c>
      <c r="G288" s="120" t="s">
        <v>743</v>
      </c>
      <c r="H288" s="77" t="s">
        <v>744</v>
      </c>
      <c r="I288" s="75" t="s">
        <v>123</v>
      </c>
      <c r="J288" s="10" t="s">
        <v>745</v>
      </c>
      <c r="K288" s="10"/>
      <c r="L288" s="14"/>
      <c r="M288" s="14" t="b">
        <v>0</v>
      </c>
      <c r="N288" s="14" t="b">
        <v>0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 hidden="1">
      <c r="A289" s="20"/>
      <c r="B289" s="21" t="s">
        <v>91</v>
      </c>
      <c r="C289" s="17" t="s">
        <v>257</v>
      </c>
      <c r="D289" s="25" t="s">
        <v>746</v>
      </c>
      <c r="E289" s="25" t="s">
        <v>747</v>
      </c>
      <c r="F289" s="76">
        <v>0.5416666666666666</v>
      </c>
      <c r="G289" s="98" t="s">
        <v>19</v>
      </c>
      <c r="H289" s="25" t="s">
        <v>748</v>
      </c>
      <c r="I289" s="25" t="s">
        <v>749</v>
      </c>
      <c r="J289" s="10"/>
      <c r="K289" s="10"/>
      <c r="L289" s="14"/>
      <c r="M289" s="14" t="b">
        <v>0</v>
      </c>
      <c r="N289" s="14" t="b">
        <v>0</v>
      </c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 hidden="1">
      <c r="A290" s="20"/>
      <c r="B290" s="21" t="s">
        <v>91</v>
      </c>
      <c r="C290" s="74" t="s">
        <v>257</v>
      </c>
      <c r="D290" s="75" t="s">
        <v>74</v>
      </c>
      <c r="E290" s="75" t="s">
        <v>75</v>
      </c>
      <c r="F290" s="76">
        <v>0.625</v>
      </c>
      <c r="G290" s="75" t="s">
        <v>19</v>
      </c>
      <c r="H290" s="75" t="s">
        <v>750</v>
      </c>
      <c r="I290" s="75" t="s">
        <v>78</v>
      </c>
      <c r="J290" s="10" t="s">
        <v>745</v>
      </c>
      <c r="K290" s="10"/>
      <c r="L290" s="14"/>
      <c r="M290" s="14" t="b">
        <v>0</v>
      </c>
      <c r="N290" s="14" t="b">
        <v>0</v>
      </c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 hidden="1">
      <c r="A291" s="20"/>
      <c r="B291" s="21" t="s">
        <v>91</v>
      </c>
      <c r="C291" s="17"/>
      <c r="D291" s="25"/>
      <c r="E291" s="25"/>
      <c r="F291" s="19"/>
      <c r="G291" s="31"/>
      <c r="H291" s="31"/>
      <c r="I291" s="25"/>
      <c r="J291" s="10"/>
      <c r="K291" s="10"/>
      <c r="L291" s="14"/>
      <c r="M291" s="14" t="b">
        <v>0</v>
      </c>
      <c r="N291" s="14" t="b">
        <v>0</v>
      </c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 hidden="1">
      <c r="A292" s="32"/>
      <c r="B292" s="10"/>
      <c r="C292" s="17"/>
      <c r="D292" s="25"/>
      <c r="E292" s="25"/>
      <c r="F292" s="19"/>
      <c r="G292" s="31"/>
      <c r="H292" s="31"/>
      <c r="I292" s="25"/>
      <c r="J292" s="10"/>
      <c r="K292" s="10"/>
      <c r="L292" s="14"/>
      <c r="M292" s="14" t="b">
        <v>0</v>
      </c>
      <c r="N292" s="14" t="b">
        <v>0</v>
      </c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hidden="1">
      <c r="A293" s="9"/>
      <c r="B293" s="9">
        <v>44362.0</v>
      </c>
      <c r="C293" s="17"/>
      <c r="D293" s="25"/>
      <c r="E293" s="25"/>
      <c r="F293" s="19"/>
      <c r="G293" s="31"/>
      <c r="H293" s="31"/>
      <c r="I293" s="25"/>
      <c r="J293" s="10"/>
      <c r="K293" s="10"/>
      <c r="L293" s="14"/>
      <c r="M293" s="14" t="b">
        <v>0</v>
      </c>
      <c r="N293" s="14" t="b">
        <v>0</v>
      </c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hidden="1">
      <c r="A294" s="16" t="s">
        <v>408</v>
      </c>
      <c r="B294" s="10"/>
      <c r="C294" s="17" t="s">
        <v>189</v>
      </c>
      <c r="D294" s="25" t="s">
        <v>629</v>
      </c>
      <c r="E294" s="25" t="s">
        <v>630</v>
      </c>
      <c r="F294" s="47" t="s">
        <v>452</v>
      </c>
      <c r="G294" s="31" t="s">
        <v>212</v>
      </c>
      <c r="H294" s="31" t="s">
        <v>751</v>
      </c>
      <c r="I294" s="25" t="s">
        <v>752</v>
      </c>
      <c r="J294" s="10"/>
      <c r="K294" s="10"/>
      <c r="L294" s="14"/>
      <c r="M294" s="14" t="b">
        <v>0</v>
      </c>
      <c r="N294" s="14" t="b">
        <v>0</v>
      </c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 hidden="1">
      <c r="A295" s="20"/>
      <c r="B295" s="21" t="s">
        <v>91</v>
      </c>
      <c r="C295" s="17" t="s">
        <v>189</v>
      </c>
      <c r="D295" s="25" t="s">
        <v>391</v>
      </c>
      <c r="E295" s="25" t="s">
        <v>392</v>
      </c>
      <c r="F295" s="121" t="s">
        <v>95</v>
      </c>
      <c r="G295" s="17" t="s">
        <v>462</v>
      </c>
      <c r="H295" s="21" t="s">
        <v>753</v>
      </c>
      <c r="I295" s="98" t="s">
        <v>395</v>
      </c>
      <c r="J295" s="10"/>
      <c r="K295" s="17" t="s">
        <v>754</v>
      </c>
      <c r="L295" s="14"/>
      <c r="M295" s="14" t="b">
        <v>0</v>
      </c>
      <c r="N295" s="14" t="b">
        <v>0</v>
      </c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hidden="1">
      <c r="A296" s="20"/>
      <c r="B296" s="21" t="s">
        <v>91</v>
      </c>
      <c r="C296" s="26" t="s">
        <v>189</v>
      </c>
      <c r="D296" s="50" t="s">
        <v>469</v>
      </c>
      <c r="E296" s="50" t="s">
        <v>470</v>
      </c>
      <c r="F296" s="59" t="s">
        <v>202</v>
      </c>
      <c r="G296" s="48" t="s">
        <v>471</v>
      </c>
      <c r="H296" s="48" t="s">
        <v>472</v>
      </c>
      <c r="I296" s="50" t="s">
        <v>473</v>
      </c>
      <c r="J296" s="17" t="s">
        <v>755</v>
      </c>
      <c r="K296" s="10"/>
      <c r="L296" s="14"/>
      <c r="M296" s="14" t="b">
        <v>0</v>
      </c>
      <c r="N296" s="14" t="b">
        <v>0</v>
      </c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 hidden="1">
      <c r="A297" s="20"/>
      <c r="B297" s="21" t="s">
        <v>91</v>
      </c>
      <c r="C297" s="17" t="s">
        <v>189</v>
      </c>
      <c r="D297" s="25" t="s">
        <v>756</v>
      </c>
      <c r="E297" s="25" t="s">
        <v>757</v>
      </c>
      <c r="F297" s="121" t="s">
        <v>108</v>
      </c>
      <c r="G297" s="98" t="s">
        <v>245</v>
      </c>
      <c r="H297" s="98" t="s">
        <v>758</v>
      </c>
      <c r="I297" s="98" t="s">
        <v>759</v>
      </c>
      <c r="J297" s="10"/>
      <c r="K297" s="10"/>
      <c r="L297" s="14"/>
      <c r="M297" s="14" t="b">
        <v>0</v>
      </c>
      <c r="N297" s="14" t="b">
        <v>0</v>
      </c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 hidden="1">
      <c r="A298" s="20"/>
      <c r="B298" s="21" t="s">
        <v>91</v>
      </c>
      <c r="C298" s="17"/>
      <c r="D298" s="25"/>
      <c r="E298" s="25"/>
      <c r="F298" s="47"/>
      <c r="G298" s="31"/>
      <c r="H298" s="31"/>
      <c r="I298" s="25"/>
      <c r="J298" s="10"/>
      <c r="K298" s="10"/>
      <c r="L298" s="14"/>
      <c r="M298" s="14" t="b">
        <v>0</v>
      </c>
      <c r="N298" s="14" t="b">
        <v>0</v>
      </c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hidden="1">
      <c r="A299" s="32"/>
      <c r="B299" s="10"/>
      <c r="C299" s="17"/>
      <c r="D299" s="25"/>
      <c r="E299" s="25"/>
      <c r="F299" s="19"/>
      <c r="G299" s="31"/>
      <c r="H299" s="31"/>
      <c r="I299" s="25"/>
      <c r="J299" s="10"/>
      <c r="K299" s="10"/>
      <c r="L299" s="14"/>
      <c r="M299" s="14" t="b">
        <v>0</v>
      </c>
      <c r="N299" s="14" t="b">
        <v>0</v>
      </c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 hidden="1">
      <c r="A300" s="9"/>
      <c r="B300" s="9">
        <v>44363.0</v>
      </c>
      <c r="C300" s="17"/>
      <c r="D300" s="25"/>
      <c r="E300" s="25"/>
      <c r="F300" s="19"/>
      <c r="G300" s="31"/>
      <c r="H300" s="31"/>
      <c r="I300" s="25"/>
      <c r="J300" s="10"/>
      <c r="K300" s="10"/>
      <c r="L300" s="14"/>
      <c r="M300" s="14" t="b">
        <v>0</v>
      </c>
      <c r="N300" s="14" t="b">
        <v>0</v>
      </c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 hidden="1">
      <c r="A301" s="16" t="s">
        <v>408</v>
      </c>
      <c r="B301" s="10"/>
      <c r="C301" s="17"/>
      <c r="D301" s="25"/>
      <c r="E301" s="25"/>
      <c r="F301" s="19"/>
      <c r="G301" s="31"/>
      <c r="H301" s="31"/>
      <c r="I301" s="25"/>
      <c r="J301" s="10"/>
      <c r="K301" s="10"/>
      <c r="L301" s="14"/>
      <c r="M301" s="14" t="b">
        <v>0</v>
      </c>
      <c r="N301" s="14" t="b">
        <v>0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 hidden="1">
      <c r="A302" s="20"/>
      <c r="B302" s="21" t="s">
        <v>91</v>
      </c>
      <c r="C302" s="26" t="s">
        <v>189</v>
      </c>
      <c r="D302" s="50" t="s">
        <v>190</v>
      </c>
      <c r="E302" s="50" t="s">
        <v>191</v>
      </c>
      <c r="F302" s="122">
        <v>0.4583333333333333</v>
      </c>
      <c r="G302" s="26" t="s">
        <v>192</v>
      </c>
      <c r="H302" s="67" t="s">
        <v>760</v>
      </c>
      <c r="I302" s="50" t="s">
        <v>194</v>
      </c>
      <c r="J302" s="17"/>
      <c r="K302" s="10"/>
      <c r="L302" s="14"/>
      <c r="M302" s="14" t="b">
        <v>0</v>
      </c>
      <c r="N302" s="14" t="b">
        <v>0</v>
      </c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 hidden="1">
      <c r="A303" s="20"/>
      <c r="B303" s="21" t="s">
        <v>91</v>
      </c>
      <c r="C303" s="17" t="s">
        <v>257</v>
      </c>
      <c r="D303" s="25" t="s">
        <v>761</v>
      </c>
      <c r="E303" s="25" t="s">
        <v>762</v>
      </c>
      <c r="F303" s="90">
        <v>0.6041666666666666</v>
      </c>
      <c r="G303" s="75" t="s">
        <v>19</v>
      </c>
      <c r="H303" s="98" t="s">
        <v>763</v>
      </c>
      <c r="I303" s="25" t="s">
        <v>764</v>
      </c>
      <c r="J303" s="10"/>
      <c r="K303" s="10"/>
      <c r="L303" s="14"/>
      <c r="M303" s="14" t="b">
        <v>0</v>
      </c>
      <c r="N303" s="14" t="b">
        <v>0</v>
      </c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 hidden="1">
      <c r="A304" s="20"/>
      <c r="B304" s="21" t="s">
        <v>91</v>
      </c>
      <c r="C304" s="17" t="s">
        <v>189</v>
      </c>
      <c r="D304" s="25" t="s">
        <v>765</v>
      </c>
      <c r="E304" s="25" t="s">
        <v>766</v>
      </c>
      <c r="F304" s="90">
        <v>0.6666666666666666</v>
      </c>
      <c r="G304" s="98" t="s">
        <v>767</v>
      </c>
      <c r="H304" s="98" t="s">
        <v>768</v>
      </c>
      <c r="I304" s="25" t="s">
        <v>769</v>
      </c>
      <c r="J304" s="10"/>
      <c r="K304" s="10"/>
      <c r="L304" s="14"/>
      <c r="M304" s="14" t="b">
        <v>0</v>
      </c>
      <c r="N304" s="14" t="b">
        <v>0</v>
      </c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 hidden="1">
      <c r="A305" s="20"/>
      <c r="B305" s="21" t="s">
        <v>91</v>
      </c>
      <c r="C305" s="17" t="s">
        <v>189</v>
      </c>
      <c r="D305" s="25" t="s">
        <v>770</v>
      </c>
      <c r="E305" s="25" t="s">
        <v>771</v>
      </c>
      <c r="F305" s="47" t="s">
        <v>207</v>
      </c>
      <c r="G305" s="31" t="s">
        <v>462</v>
      </c>
      <c r="H305" s="31" t="s">
        <v>772</v>
      </c>
      <c r="I305" s="25" t="s">
        <v>773</v>
      </c>
      <c r="J305" s="10"/>
      <c r="K305" s="10"/>
      <c r="L305" s="14"/>
      <c r="M305" s="14" t="b">
        <v>0</v>
      </c>
      <c r="N305" s="14" t="b">
        <v>0</v>
      </c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 hidden="1">
      <c r="A306" s="32"/>
      <c r="B306" s="10"/>
      <c r="C306" s="17"/>
      <c r="D306" s="25"/>
      <c r="E306" s="25"/>
      <c r="F306" s="23"/>
      <c r="G306" s="31"/>
      <c r="H306" s="31"/>
      <c r="I306" s="25"/>
      <c r="J306" s="10"/>
      <c r="K306" s="17"/>
      <c r="L306" s="14"/>
      <c r="M306" s="14" t="b">
        <v>0</v>
      </c>
      <c r="N306" s="14" t="b">
        <v>0</v>
      </c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 hidden="1">
      <c r="A307" s="9"/>
      <c r="B307" s="9">
        <v>44364.0</v>
      </c>
      <c r="C307" s="17"/>
      <c r="D307" s="25"/>
      <c r="E307" s="25"/>
      <c r="F307" s="19"/>
      <c r="G307" s="31"/>
      <c r="H307" s="31"/>
      <c r="I307" s="25"/>
      <c r="J307" s="10"/>
      <c r="K307" s="10"/>
      <c r="L307" s="14"/>
      <c r="M307" s="14" t="b">
        <v>0</v>
      </c>
      <c r="N307" s="14" t="b">
        <v>0</v>
      </c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 hidden="1">
      <c r="A308" s="16" t="s">
        <v>408</v>
      </c>
      <c r="B308" s="10"/>
      <c r="C308" s="17"/>
      <c r="D308" s="25"/>
      <c r="E308" s="25"/>
      <c r="F308" s="19"/>
      <c r="G308" s="31"/>
      <c r="H308" s="31"/>
      <c r="I308" s="25"/>
      <c r="J308" s="10"/>
      <c r="K308" s="10"/>
      <c r="L308" s="14"/>
      <c r="M308" s="14" t="b">
        <v>0</v>
      </c>
      <c r="N308" s="14" t="b">
        <v>0</v>
      </c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 hidden="1">
      <c r="A309" s="20"/>
      <c r="B309" s="21" t="s">
        <v>91</v>
      </c>
      <c r="C309" s="26" t="s">
        <v>189</v>
      </c>
      <c r="D309" s="86" t="s">
        <v>774</v>
      </c>
      <c r="E309" s="86" t="s">
        <v>775</v>
      </c>
      <c r="F309" s="71" t="s">
        <v>452</v>
      </c>
      <c r="G309" s="26" t="s">
        <v>212</v>
      </c>
      <c r="H309" s="67" t="s">
        <v>776</v>
      </c>
      <c r="I309" s="86" t="s">
        <v>777</v>
      </c>
      <c r="J309" s="10"/>
      <c r="K309" s="10"/>
      <c r="L309" s="14"/>
      <c r="M309" s="14" t="b">
        <v>0</v>
      </c>
      <c r="N309" s="14" t="b">
        <v>0</v>
      </c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 hidden="1">
      <c r="A310" s="20"/>
      <c r="B310" s="21" t="s">
        <v>91</v>
      </c>
      <c r="C310" s="17" t="s">
        <v>189</v>
      </c>
      <c r="D310" s="25" t="s">
        <v>778</v>
      </c>
      <c r="E310" s="25" t="s">
        <v>779</v>
      </c>
      <c r="F310" s="90">
        <v>0.5</v>
      </c>
      <c r="G310" s="98" t="s">
        <v>780</v>
      </c>
      <c r="H310" s="25" t="s">
        <v>781</v>
      </c>
      <c r="I310" s="25" t="s">
        <v>782</v>
      </c>
      <c r="J310" s="10"/>
      <c r="K310" s="10"/>
      <c r="L310" s="14"/>
      <c r="M310" s="14" t="b">
        <v>0</v>
      </c>
      <c r="N310" s="14" t="b">
        <v>0</v>
      </c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 hidden="1">
      <c r="A311" s="20"/>
      <c r="B311" s="21" t="s">
        <v>91</v>
      </c>
      <c r="C311" s="26" t="s">
        <v>189</v>
      </c>
      <c r="D311" s="86" t="s">
        <v>783</v>
      </c>
      <c r="E311" s="86" t="s">
        <v>784</v>
      </c>
      <c r="F311" s="122">
        <v>0.625</v>
      </c>
      <c r="G311" s="86" t="s">
        <v>121</v>
      </c>
      <c r="H311" s="86" t="s">
        <v>785</v>
      </c>
      <c r="I311" s="86" t="s">
        <v>786</v>
      </c>
      <c r="J311" s="10"/>
      <c r="K311" s="10"/>
      <c r="L311" s="14"/>
      <c r="M311" s="14" t="b">
        <v>0</v>
      </c>
      <c r="N311" s="14" t="b">
        <v>0</v>
      </c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 hidden="1">
      <c r="A312" s="20"/>
      <c r="B312" s="21" t="s">
        <v>91</v>
      </c>
      <c r="C312" s="17" t="s">
        <v>189</v>
      </c>
      <c r="D312" s="25" t="s">
        <v>787</v>
      </c>
      <c r="E312" s="25" t="s">
        <v>788</v>
      </c>
      <c r="F312" s="23">
        <v>0.7083333333333334</v>
      </c>
      <c r="G312" s="31" t="s">
        <v>76</v>
      </c>
      <c r="H312" s="31" t="s">
        <v>789</v>
      </c>
      <c r="I312" s="25" t="s">
        <v>68</v>
      </c>
      <c r="J312" s="10"/>
      <c r="K312" s="10"/>
      <c r="L312" s="14"/>
      <c r="M312" s="14" t="b">
        <v>0</v>
      </c>
      <c r="N312" s="14" t="b">
        <v>0</v>
      </c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 hidden="1">
      <c r="A313" s="32"/>
      <c r="B313" s="10"/>
      <c r="C313" s="17"/>
      <c r="D313" s="25"/>
      <c r="E313" s="25"/>
      <c r="F313" s="19"/>
      <c r="G313" s="31"/>
      <c r="H313" s="31"/>
      <c r="I313" s="25"/>
      <c r="J313" s="10"/>
      <c r="K313" s="10"/>
      <c r="L313" s="14"/>
      <c r="M313" s="14" t="b">
        <v>0</v>
      </c>
      <c r="N313" s="14" t="b">
        <v>0</v>
      </c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 hidden="1">
      <c r="A314" s="123"/>
      <c r="B314" s="124"/>
      <c r="C314" s="17"/>
      <c r="D314" s="25"/>
      <c r="E314" s="25"/>
      <c r="F314" s="19"/>
      <c r="G314" s="31"/>
      <c r="H314" s="31"/>
      <c r="I314" s="25"/>
      <c r="J314" s="10"/>
      <c r="K314" s="10"/>
      <c r="L314" s="14"/>
      <c r="M314" s="14" t="b">
        <v>0</v>
      </c>
      <c r="N314" s="14" t="b">
        <v>0</v>
      </c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 hidden="1">
      <c r="A315" s="9"/>
      <c r="B315" s="9">
        <v>44365.0</v>
      </c>
      <c r="C315" s="17"/>
      <c r="D315" s="25"/>
      <c r="E315" s="25"/>
      <c r="F315" s="19"/>
      <c r="G315" s="31"/>
      <c r="H315" s="31"/>
      <c r="I315" s="25"/>
      <c r="J315" s="10"/>
      <c r="K315" s="10"/>
      <c r="L315" s="14"/>
      <c r="M315" s="14" t="b">
        <v>0</v>
      </c>
      <c r="N315" s="14" t="b">
        <v>0</v>
      </c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 hidden="1">
      <c r="A316" s="16" t="s">
        <v>408</v>
      </c>
      <c r="B316" s="10"/>
      <c r="C316" s="17"/>
      <c r="D316" s="25"/>
      <c r="E316" s="25"/>
      <c r="F316" s="19"/>
      <c r="G316" s="31"/>
      <c r="H316" s="31"/>
      <c r="I316" s="25"/>
      <c r="J316" s="10"/>
      <c r="K316" s="10"/>
      <c r="L316" s="14"/>
      <c r="M316" s="14" t="b">
        <v>0</v>
      </c>
      <c r="N316" s="14" t="b">
        <v>0</v>
      </c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 hidden="1">
      <c r="A317" s="20"/>
      <c r="B317" s="21" t="s">
        <v>91</v>
      </c>
      <c r="C317" s="17" t="s">
        <v>189</v>
      </c>
      <c r="D317" s="98" t="s">
        <v>790</v>
      </c>
      <c r="E317" s="98" t="s">
        <v>791</v>
      </c>
      <c r="F317" s="121" t="s">
        <v>452</v>
      </c>
      <c r="G317" s="17" t="s">
        <v>462</v>
      </c>
      <c r="H317" s="21" t="s">
        <v>792</v>
      </c>
      <c r="I317" s="98" t="s">
        <v>793</v>
      </c>
      <c r="J317" s="10"/>
      <c r="K317" s="10"/>
      <c r="L317" s="14"/>
      <c r="M317" s="14" t="b">
        <v>0</v>
      </c>
      <c r="N317" s="14" t="b">
        <v>0</v>
      </c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 hidden="1">
      <c r="A318" s="20"/>
      <c r="B318" s="21" t="s">
        <v>91</v>
      </c>
      <c r="C318" s="125" t="s">
        <v>189</v>
      </c>
      <c r="D318" s="126" t="s">
        <v>794</v>
      </c>
      <c r="E318" s="126" t="s">
        <v>795</v>
      </c>
      <c r="F318" s="127" t="s">
        <v>126</v>
      </c>
      <c r="G318" s="128" t="s">
        <v>608</v>
      </c>
      <c r="H318" s="126" t="s">
        <v>796</v>
      </c>
      <c r="I318" s="126" t="s">
        <v>797</v>
      </c>
      <c r="J318" s="129"/>
      <c r="K318" s="10"/>
      <c r="L318" s="14"/>
      <c r="M318" s="14" t="b">
        <v>0</v>
      </c>
      <c r="N318" s="14" t="b">
        <v>0</v>
      </c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 hidden="1">
      <c r="A319" s="20"/>
      <c r="B319" s="21" t="s">
        <v>91</v>
      </c>
      <c r="C319" s="125" t="s">
        <v>189</v>
      </c>
      <c r="D319" s="128" t="s">
        <v>798</v>
      </c>
      <c r="E319" s="128" t="s">
        <v>799</v>
      </c>
      <c r="F319" s="127" t="s">
        <v>131</v>
      </c>
      <c r="G319" s="128" t="s">
        <v>608</v>
      </c>
      <c r="H319" s="128" t="s">
        <v>796</v>
      </c>
      <c r="I319" s="128" t="s">
        <v>797</v>
      </c>
      <c r="J319" s="129"/>
      <c r="K319" s="10"/>
      <c r="L319" s="14"/>
      <c r="M319" s="14" t="b">
        <v>0</v>
      </c>
      <c r="N319" s="14" t="b">
        <v>0</v>
      </c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 hidden="1">
      <c r="A320" s="20"/>
      <c r="B320" s="21" t="s">
        <v>91</v>
      </c>
      <c r="C320" s="17" t="s">
        <v>189</v>
      </c>
      <c r="D320" s="25" t="s">
        <v>800</v>
      </c>
      <c r="E320" s="25" t="s">
        <v>801</v>
      </c>
      <c r="F320" s="23">
        <v>0.75</v>
      </c>
      <c r="G320" s="31" t="s">
        <v>462</v>
      </c>
      <c r="H320" s="31" t="s">
        <v>802</v>
      </c>
      <c r="I320" s="25" t="s">
        <v>803</v>
      </c>
      <c r="J320" s="10"/>
      <c r="K320" s="10"/>
      <c r="L320" s="14"/>
      <c r="M320" s="14" t="b">
        <v>0</v>
      </c>
      <c r="N320" s="14" t="b">
        <v>0</v>
      </c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 hidden="1">
      <c r="A321" s="32"/>
      <c r="B321" s="10"/>
      <c r="C321" s="17"/>
      <c r="D321" s="25"/>
      <c r="E321" s="25"/>
      <c r="F321" s="19"/>
      <c r="G321" s="31"/>
      <c r="H321" s="31"/>
      <c r="I321" s="25"/>
      <c r="J321" s="10"/>
      <c r="K321" s="10"/>
      <c r="L321" s="14"/>
      <c r="M321" s="14" t="b">
        <v>0</v>
      </c>
      <c r="N321" s="14" t="b">
        <v>0</v>
      </c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 hidden="1">
      <c r="A322" s="9"/>
      <c r="B322" s="9">
        <v>44368.0</v>
      </c>
      <c r="C322" s="17"/>
      <c r="D322" s="25"/>
      <c r="E322" s="25"/>
      <c r="F322" s="19"/>
      <c r="G322" s="31"/>
      <c r="H322" s="31"/>
      <c r="I322" s="25"/>
      <c r="J322" s="10"/>
      <c r="K322" s="10"/>
      <c r="L322" s="14"/>
      <c r="M322" s="14" t="b">
        <v>0</v>
      </c>
      <c r="N322" s="14" t="b">
        <v>0</v>
      </c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 hidden="1">
      <c r="A323" s="16" t="s">
        <v>408</v>
      </c>
      <c r="B323" s="10"/>
      <c r="C323" s="17"/>
      <c r="D323" s="25"/>
      <c r="E323" s="25"/>
      <c r="F323" s="47"/>
      <c r="G323" s="31"/>
      <c r="H323" s="31"/>
      <c r="I323" s="25"/>
      <c r="J323" s="10"/>
      <c r="K323" s="10"/>
      <c r="L323" s="14"/>
      <c r="M323" s="14" t="b">
        <v>0</v>
      </c>
      <c r="N323" s="14" t="b">
        <v>0</v>
      </c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 hidden="1">
      <c r="A324" s="20"/>
      <c r="B324" s="21" t="s">
        <v>91</v>
      </c>
      <c r="C324" s="17" t="s">
        <v>189</v>
      </c>
      <c r="D324" s="25" t="s">
        <v>804</v>
      </c>
      <c r="E324" s="25" t="s">
        <v>805</v>
      </c>
      <c r="F324" s="23">
        <v>0.5</v>
      </c>
      <c r="G324" s="25" t="s">
        <v>806</v>
      </c>
      <c r="H324" s="25" t="s">
        <v>807</v>
      </c>
      <c r="I324" s="25" t="s">
        <v>808</v>
      </c>
      <c r="J324" s="10"/>
      <c r="K324" s="10"/>
      <c r="L324" s="14"/>
      <c r="M324" s="14" t="b">
        <v>0</v>
      </c>
      <c r="N324" s="14" t="b">
        <v>0</v>
      </c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 hidden="1">
      <c r="A325" s="20"/>
      <c r="B325" s="21" t="s">
        <v>91</v>
      </c>
      <c r="C325" s="17" t="s">
        <v>189</v>
      </c>
      <c r="D325" s="25" t="s">
        <v>461</v>
      </c>
      <c r="E325" s="25" t="s">
        <v>809</v>
      </c>
      <c r="F325" s="23">
        <v>0.5833333333333334</v>
      </c>
      <c r="G325" s="31" t="s">
        <v>462</v>
      </c>
      <c r="H325" s="31" t="s">
        <v>463</v>
      </c>
      <c r="I325" s="25" t="s">
        <v>464</v>
      </c>
      <c r="J325" s="10"/>
      <c r="K325" s="10"/>
      <c r="L325" s="14"/>
      <c r="M325" s="69" t="b">
        <v>0</v>
      </c>
      <c r="N325" s="14" t="b">
        <v>0</v>
      </c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 hidden="1">
      <c r="A326" s="20"/>
      <c r="B326" s="21" t="s">
        <v>91</v>
      </c>
      <c r="C326" s="17" t="s">
        <v>189</v>
      </c>
      <c r="D326" s="25" t="s">
        <v>810</v>
      </c>
      <c r="E326" s="25" t="s">
        <v>811</v>
      </c>
      <c r="F326" s="23">
        <v>0.6666666666666666</v>
      </c>
      <c r="G326" s="31" t="s">
        <v>812</v>
      </c>
      <c r="H326" s="31" t="s">
        <v>813</v>
      </c>
      <c r="I326" s="25" t="s">
        <v>814</v>
      </c>
      <c r="J326" s="10"/>
      <c r="K326" s="10"/>
      <c r="L326" s="14"/>
      <c r="M326" s="14" t="b">
        <v>0</v>
      </c>
      <c r="N326" s="14" t="b">
        <v>0</v>
      </c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 hidden="1">
      <c r="A327" s="20"/>
      <c r="B327" s="21" t="s">
        <v>91</v>
      </c>
      <c r="C327" s="17" t="s">
        <v>189</v>
      </c>
      <c r="D327" s="25" t="s">
        <v>815</v>
      </c>
      <c r="E327" s="25" t="s">
        <v>816</v>
      </c>
      <c r="F327" s="23">
        <v>0.7708333333333334</v>
      </c>
      <c r="G327" s="31" t="s">
        <v>817</v>
      </c>
      <c r="H327" s="31" t="s">
        <v>818</v>
      </c>
      <c r="I327" s="25" t="s">
        <v>819</v>
      </c>
      <c r="J327" s="10"/>
      <c r="K327" s="10"/>
      <c r="L327" s="14"/>
      <c r="M327" s="14" t="b">
        <v>0</v>
      </c>
      <c r="N327" s="14" t="b">
        <v>0</v>
      </c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 hidden="1">
      <c r="A328" s="32"/>
      <c r="B328" s="10"/>
      <c r="C328" s="17"/>
      <c r="D328" s="25"/>
      <c r="E328" s="25"/>
      <c r="F328" s="19"/>
      <c r="G328" s="31"/>
      <c r="H328" s="31"/>
      <c r="I328" s="25"/>
      <c r="J328" s="10"/>
      <c r="K328" s="10"/>
      <c r="L328" s="14"/>
      <c r="M328" s="14" t="b">
        <v>0</v>
      </c>
      <c r="N328" s="14" t="b">
        <v>0</v>
      </c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 hidden="1">
      <c r="A329" s="9"/>
      <c r="B329" s="9">
        <v>44369.0</v>
      </c>
      <c r="C329" s="17"/>
      <c r="D329" s="25"/>
      <c r="E329" s="25"/>
      <c r="F329" s="19"/>
      <c r="G329" s="31"/>
      <c r="H329" s="31"/>
      <c r="I329" s="25"/>
      <c r="J329" s="10"/>
      <c r="K329" s="10"/>
      <c r="L329" s="14"/>
      <c r="M329" s="14" t="b">
        <v>0</v>
      </c>
      <c r="N329" s="14" t="b">
        <v>0</v>
      </c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 hidden="1">
      <c r="A330" s="16" t="s">
        <v>408</v>
      </c>
      <c r="B330" s="10"/>
      <c r="C330" s="17"/>
      <c r="D330" s="25"/>
      <c r="E330" s="25"/>
      <c r="F330" s="47"/>
      <c r="G330" s="31"/>
      <c r="H330" s="31"/>
      <c r="I330" s="25"/>
      <c r="J330" s="10"/>
      <c r="K330" s="10"/>
      <c r="L330" s="14"/>
      <c r="M330" s="69" t="b">
        <v>0</v>
      </c>
      <c r="N330" s="14" t="b">
        <v>0</v>
      </c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 hidden="1">
      <c r="A331" s="20"/>
      <c r="B331" s="21" t="s">
        <v>91</v>
      </c>
      <c r="C331" s="17" t="s">
        <v>189</v>
      </c>
      <c r="D331" s="25" t="s">
        <v>373</v>
      </c>
      <c r="E331" s="25" t="s">
        <v>374</v>
      </c>
      <c r="F331" s="23">
        <v>0.5</v>
      </c>
      <c r="G331" s="31" t="s">
        <v>212</v>
      </c>
      <c r="H331" s="31" t="s">
        <v>376</v>
      </c>
      <c r="I331" s="25" t="s">
        <v>377</v>
      </c>
      <c r="J331" s="17"/>
      <c r="K331" s="10"/>
      <c r="L331" s="14"/>
      <c r="M331" s="14" t="b">
        <v>0</v>
      </c>
      <c r="N331" s="14" t="b">
        <v>0</v>
      </c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 hidden="1">
      <c r="A332" s="20"/>
      <c r="B332" s="21" t="s">
        <v>91</v>
      </c>
      <c r="C332" s="17" t="s">
        <v>257</v>
      </c>
      <c r="D332" s="25" t="s">
        <v>515</v>
      </c>
      <c r="E332" s="25" t="s">
        <v>516</v>
      </c>
      <c r="F332" s="23">
        <v>0.5833333333333334</v>
      </c>
      <c r="G332" s="31" t="s">
        <v>260</v>
      </c>
      <c r="H332" s="31" t="s">
        <v>820</v>
      </c>
      <c r="I332" s="25" t="s">
        <v>821</v>
      </c>
      <c r="J332" s="17" t="s">
        <v>745</v>
      </c>
      <c r="K332" s="10"/>
      <c r="L332" s="14"/>
      <c r="M332" s="14" t="b">
        <v>0</v>
      </c>
      <c r="N332" s="14" t="b">
        <v>0</v>
      </c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hidden="1">
      <c r="A333" s="20"/>
      <c r="B333" s="21" t="s">
        <v>91</v>
      </c>
      <c r="C333" s="17" t="s">
        <v>189</v>
      </c>
      <c r="D333" s="25" t="s">
        <v>822</v>
      </c>
      <c r="E333" s="25" t="s">
        <v>823</v>
      </c>
      <c r="F333" s="23">
        <v>0.6666666666666666</v>
      </c>
      <c r="G333" s="31" t="s">
        <v>824</v>
      </c>
      <c r="H333" s="31" t="s">
        <v>825</v>
      </c>
      <c r="I333" s="25" t="s">
        <v>826</v>
      </c>
      <c r="J333" s="10"/>
      <c r="K333" s="10"/>
      <c r="L333" s="14"/>
      <c r="M333" s="14" t="b">
        <v>0</v>
      </c>
      <c r="N333" s="14" t="b">
        <v>0</v>
      </c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</row>
    <row r="334" hidden="1">
      <c r="A334" s="20"/>
      <c r="B334" s="21" t="s">
        <v>91</v>
      </c>
      <c r="C334" s="26" t="s">
        <v>189</v>
      </c>
      <c r="D334" s="50" t="s">
        <v>827</v>
      </c>
      <c r="E334" s="50" t="s">
        <v>828</v>
      </c>
      <c r="F334" s="115">
        <v>0.75</v>
      </c>
      <c r="G334" s="48" t="s">
        <v>829</v>
      </c>
      <c r="H334" s="48" t="s">
        <v>830</v>
      </c>
      <c r="I334" s="50" t="s">
        <v>831</v>
      </c>
      <c r="J334" s="10"/>
      <c r="K334" s="10"/>
      <c r="L334" s="14"/>
      <c r="M334" s="14" t="b">
        <v>0</v>
      </c>
      <c r="N334" s="14" t="b">
        <v>0</v>
      </c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 hidden="1">
      <c r="A335" s="32"/>
      <c r="B335" s="10"/>
      <c r="C335" s="17"/>
      <c r="D335" s="25"/>
      <c r="E335" s="25"/>
      <c r="F335" s="23"/>
      <c r="G335" s="31"/>
      <c r="H335" s="31"/>
      <c r="I335" s="25"/>
      <c r="J335" s="10"/>
      <c r="K335" s="10"/>
      <c r="L335" s="14"/>
      <c r="M335" s="14"/>
      <c r="N335" s="14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 hidden="1">
      <c r="A336" s="9"/>
      <c r="B336" s="9">
        <v>44370.0</v>
      </c>
      <c r="C336" s="17"/>
      <c r="D336" s="25"/>
      <c r="E336" s="25"/>
      <c r="F336" s="19"/>
      <c r="G336" s="31"/>
      <c r="H336" s="31"/>
      <c r="I336" s="25"/>
      <c r="J336" s="10"/>
      <c r="K336" s="10"/>
      <c r="L336" s="14"/>
      <c r="M336" s="14" t="b">
        <v>0</v>
      </c>
      <c r="N336" s="14" t="b">
        <v>0</v>
      </c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hidden="1">
      <c r="A337" s="16" t="s">
        <v>408</v>
      </c>
      <c r="B337" s="10"/>
      <c r="C337" s="17" t="s">
        <v>189</v>
      </c>
      <c r="D337" s="25" t="s">
        <v>832</v>
      </c>
      <c r="E337" s="25" t="s">
        <v>833</v>
      </c>
      <c r="F337" s="23">
        <v>0.4166666666666667</v>
      </c>
      <c r="G337" s="31" t="s">
        <v>334</v>
      </c>
      <c r="H337" s="31" t="s">
        <v>834</v>
      </c>
      <c r="I337" s="25" t="s">
        <v>835</v>
      </c>
      <c r="J337" s="10"/>
      <c r="K337" s="10"/>
      <c r="L337" s="14"/>
      <c r="M337" s="14" t="b">
        <v>0</v>
      </c>
      <c r="N337" s="14" t="b">
        <v>0</v>
      </c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 hidden="1">
      <c r="A338" s="20"/>
      <c r="B338" s="21" t="s">
        <v>91</v>
      </c>
      <c r="C338" s="17" t="s">
        <v>189</v>
      </c>
      <c r="D338" s="25" t="s">
        <v>836</v>
      </c>
      <c r="E338" s="25" t="s">
        <v>837</v>
      </c>
      <c r="F338" s="23">
        <v>0.5</v>
      </c>
      <c r="G338" s="31" t="s">
        <v>334</v>
      </c>
      <c r="H338" s="31" t="s">
        <v>838</v>
      </c>
      <c r="I338" s="25" t="s">
        <v>839</v>
      </c>
      <c r="J338" s="10"/>
      <c r="K338" s="10"/>
      <c r="L338" s="14"/>
      <c r="M338" s="14" t="b">
        <v>0</v>
      </c>
      <c r="N338" s="14" t="b">
        <v>0</v>
      </c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 hidden="1">
      <c r="A339" s="20"/>
      <c r="B339" s="21" t="s">
        <v>91</v>
      </c>
      <c r="C339" s="17" t="s">
        <v>189</v>
      </c>
      <c r="D339" s="50" t="s">
        <v>840</v>
      </c>
      <c r="E339" s="50" t="s">
        <v>841</v>
      </c>
      <c r="F339" s="52">
        <v>0.5833333333333334</v>
      </c>
      <c r="G339" s="48" t="s">
        <v>334</v>
      </c>
      <c r="H339" s="48" t="s">
        <v>842</v>
      </c>
      <c r="I339" s="50" t="s">
        <v>336</v>
      </c>
      <c r="J339" s="130"/>
      <c r="K339" s="130"/>
      <c r="L339" s="14"/>
      <c r="M339" s="14" t="b">
        <v>0</v>
      </c>
      <c r="N339" s="14" t="b">
        <v>0</v>
      </c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 hidden="1">
      <c r="A340" s="20"/>
      <c r="B340" s="21" t="s">
        <v>91</v>
      </c>
      <c r="C340" s="17" t="s">
        <v>189</v>
      </c>
      <c r="D340" s="25" t="s">
        <v>337</v>
      </c>
      <c r="E340" s="25" t="s">
        <v>338</v>
      </c>
      <c r="F340" s="23">
        <v>0.6666666666666666</v>
      </c>
      <c r="G340" s="31" t="s">
        <v>334</v>
      </c>
      <c r="H340" s="31" t="s">
        <v>843</v>
      </c>
      <c r="I340" s="25" t="s">
        <v>341</v>
      </c>
      <c r="J340" s="10"/>
      <c r="K340" s="10"/>
      <c r="L340" s="14"/>
      <c r="M340" s="14" t="b">
        <v>0</v>
      </c>
      <c r="N340" s="14" t="b">
        <v>0</v>
      </c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 hidden="1">
      <c r="A341" s="20"/>
      <c r="B341" s="21" t="s">
        <v>91</v>
      </c>
      <c r="C341" s="17" t="s">
        <v>189</v>
      </c>
      <c r="D341" s="50" t="s">
        <v>385</v>
      </c>
      <c r="E341" s="50" t="s">
        <v>386</v>
      </c>
      <c r="F341" s="52">
        <v>0.75</v>
      </c>
      <c r="G341" s="48" t="s">
        <v>844</v>
      </c>
      <c r="H341" s="48" t="s">
        <v>845</v>
      </c>
      <c r="I341" s="50" t="s">
        <v>390</v>
      </c>
      <c r="J341" s="130"/>
      <c r="K341" s="130"/>
      <c r="L341" s="14"/>
      <c r="M341" s="14" t="b">
        <v>0</v>
      </c>
      <c r="N341" s="14" t="b">
        <v>0</v>
      </c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hidden="1">
      <c r="A342" s="32"/>
      <c r="B342" s="10"/>
      <c r="C342" s="17"/>
      <c r="D342" s="25"/>
      <c r="E342" s="25"/>
      <c r="F342" s="19"/>
      <c r="G342" s="31"/>
      <c r="H342" s="31"/>
      <c r="I342" s="25"/>
      <c r="J342" s="10"/>
      <c r="K342" s="10"/>
      <c r="L342" s="14"/>
      <c r="M342" s="14" t="b">
        <v>0</v>
      </c>
      <c r="N342" s="14" t="b">
        <v>0</v>
      </c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hidden="1">
      <c r="A343" s="9"/>
      <c r="B343" s="9">
        <v>44371.0</v>
      </c>
      <c r="C343" s="17"/>
      <c r="D343" s="25"/>
      <c r="E343" s="25"/>
      <c r="F343" s="19"/>
      <c r="G343" s="31"/>
      <c r="H343" s="31"/>
      <c r="I343" s="25"/>
      <c r="J343" s="10"/>
      <c r="K343" s="10"/>
      <c r="L343" s="14"/>
      <c r="M343" s="14" t="b">
        <v>0</v>
      </c>
      <c r="N343" s="14" t="b">
        <v>0</v>
      </c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hidden="1">
      <c r="A344" s="16" t="s">
        <v>408</v>
      </c>
      <c r="B344" s="10"/>
      <c r="C344" s="17"/>
      <c r="D344" s="25"/>
      <c r="E344" s="25"/>
      <c r="F344" s="19"/>
      <c r="G344" s="31"/>
      <c r="H344" s="31"/>
      <c r="I344" s="25"/>
      <c r="J344" s="10"/>
      <c r="K344" s="10"/>
      <c r="L344" s="14"/>
      <c r="M344" s="14" t="b">
        <v>0</v>
      </c>
      <c r="N344" s="14" t="b">
        <v>0</v>
      </c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 hidden="1">
      <c r="A345" s="20"/>
      <c r="B345" s="21" t="s">
        <v>91</v>
      </c>
      <c r="C345" s="17" t="s">
        <v>257</v>
      </c>
      <c r="D345" s="25" t="s">
        <v>846</v>
      </c>
      <c r="E345" s="25" t="s">
        <v>847</v>
      </c>
      <c r="F345" s="23">
        <v>0.4583333333333333</v>
      </c>
      <c r="G345" s="31" t="s">
        <v>848</v>
      </c>
      <c r="H345" s="31" t="s">
        <v>849</v>
      </c>
      <c r="I345" s="25" t="s">
        <v>850</v>
      </c>
      <c r="J345" s="10"/>
      <c r="K345" s="10"/>
      <c r="L345" s="14"/>
      <c r="M345" s="14" t="b">
        <v>0</v>
      </c>
      <c r="N345" s="14" t="b">
        <v>0</v>
      </c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 hidden="1">
      <c r="A346" s="20"/>
      <c r="B346" s="21" t="s">
        <v>91</v>
      </c>
      <c r="C346" s="18"/>
      <c r="D346" s="18"/>
      <c r="E346" s="18"/>
      <c r="F346" s="23"/>
      <c r="G346" s="18"/>
      <c r="H346" s="18"/>
      <c r="I346" s="18"/>
      <c r="J346" s="18"/>
      <c r="K346" s="18"/>
      <c r="L346" s="18"/>
      <c r="M346" s="14" t="b">
        <v>0</v>
      </c>
      <c r="N346" s="14" t="b">
        <v>0</v>
      </c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 hidden="1">
      <c r="A347" s="20"/>
      <c r="B347" s="21" t="s">
        <v>91</v>
      </c>
      <c r="C347" s="17" t="s">
        <v>257</v>
      </c>
      <c r="D347" s="25" t="s">
        <v>851</v>
      </c>
      <c r="E347" s="25" t="s">
        <v>852</v>
      </c>
      <c r="F347" s="23">
        <v>0.625</v>
      </c>
      <c r="G347" s="31" t="s">
        <v>143</v>
      </c>
      <c r="H347" s="31" t="s">
        <v>853</v>
      </c>
      <c r="I347" s="25" t="s">
        <v>854</v>
      </c>
      <c r="J347" s="10"/>
      <c r="K347" s="10"/>
      <c r="L347" s="14"/>
      <c r="M347" s="14" t="b">
        <v>0</v>
      </c>
      <c r="N347" s="14" t="b">
        <v>0</v>
      </c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 hidden="1">
      <c r="A348" s="20"/>
      <c r="B348" s="21" t="s">
        <v>91</v>
      </c>
      <c r="C348" s="17" t="s">
        <v>257</v>
      </c>
      <c r="D348" s="25" t="s">
        <v>253</v>
      </c>
      <c r="E348" s="25" t="s">
        <v>254</v>
      </c>
      <c r="F348" s="23">
        <v>0.7083333333333334</v>
      </c>
      <c r="G348" s="31" t="s">
        <v>631</v>
      </c>
      <c r="H348" s="31" t="s">
        <v>855</v>
      </c>
      <c r="I348" s="25" t="s">
        <v>256</v>
      </c>
      <c r="J348" s="17" t="s">
        <v>745</v>
      </c>
      <c r="K348" s="10"/>
      <c r="L348" s="14"/>
      <c r="M348" s="14" t="b">
        <v>0</v>
      </c>
      <c r="N348" s="14" t="b">
        <v>0</v>
      </c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 hidden="1">
      <c r="A349" s="32"/>
      <c r="B349" s="10"/>
      <c r="C349" s="17" t="s">
        <v>257</v>
      </c>
      <c r="D349" s="25" t="s">
        <v>396</v>
      </c>
      <c r="E349" s="25" t="s">
        <v>397</v>
      </c>
      <c r="F349" s="131">
        <v>0.7708333333333334</v>
      </c>
      <c r="G349" s="62" t="s">
        <v>829</v>
      </c>
      <c r="H349" s="62" t="s">
        <v>856</v>
      </c>
      <c r="I349" s="132" t="s">
        <v>400</v>
      </c>
      <c r="J349" s="133"/>
      <c r="K349" s="133"/>
      <c r="L349" s="14"/>
      <c r="M349" s="14" t="b">
        <v>0</v>
      </c>
      <c r="N349" s="14" t="b">
        <v>0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 hidden="1">
      <c r="A350" s="9"/>
      <c r="B350" s="9">
        <v>44372.0</v>
      </c>
      <c r="C350" s="17"/>
      <c r="D350" s="25"/>
      <c r="E350" s="25"/>
      <c r="F350" s="19"/>
      <c r="G350" s="31"/>
      <c r="H350" s="31"/>
      <c r="I350" s="25"/>
      <c r="J350" s="10"/>
      <c r="K350" s="10"/>
      <c r="L350" s="14"/>
      <c r="M350" s="14" t="b">
        <v>0</v>
      </c>
      <c r="N350" s="14" t="b">
        <v>0</v>
      </c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 hidden="1">
      <c r="A351" s="16" t="s">
        <v>408</v>
      </c>
      <c r="B351" s="10"/>
      <c r="C351" s="17"/>
      <c r="D351" s="25"/>
      <c r="E351" s="25"/>
      <c r="F351" s="19"/>
      <c r="G351" s="31"/>
      <c r="H351" s="31"/>
      <c r="I351" s="25"/>
      <c r="J351" s="10"/>
      <c r="K351" s="10"/>
      <c r="L351" s="14"/>
      <c r="M351" s="14" t="b">
        <v>0</v>
      </c>
      <c r="N351" s="14" t="b">
        <v>0</v>
      </c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 hidden="1">
      <c r="A352" s="20"/>
      <c r="B352" s="21" t="s">
        <v>91</v>
      </c>
      <c r="C352" s="17"/>
      <c r="D352" s="25"/>
      <c r="E352" s="25"/>
      <c r="F352" s="47"/>
      <c r="G352" s="31"/>
      <c r="H352" s="31"/>
      <c r="I352" s="25"/>
      <c r="J352" s="10"/>
      <c r="K352" s="10"/>
      <c r="L352" s="14"/>
      <c r="M352" s="14" t="b">
        <v>0</v>
      </c>
      <c r="N352" s="14" t="b">
        <v>0</v>
      </c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 hidden="1">
      <c r="A353" s="20"/>
      <c r="B353" s="21" t="s">
        <v>91</v>
      </c>
      <c r="C353" s="17" t="s">
        <v>189</v>
      </c>
      <c r="D353" s="25" t="s">
        <v>857</v>
      </c>
      <c r="E353" s="25" t="s">
        <v>858</v>
      </c>
      <c r="F353" s="47" t="s">
        <v>131</v>
      </c>
      <c r="G353" s="31" t="s">
        <v>859</v>
      </c>
      <c r="H353" s="31" t="s">
        <v>860</v>
      </c>
      <c r="I353" s="25" t="s">
        <v>861</v>
      </c>
      <c r="J353" s="10"/>
      <c r="K353" s="10"/>
      <c r="L353" s="14"/>
      <c r="M353" s="14" t="b">
        <v>0</v>
      </c>
      <c r="N353" s="14" t="b">
        <v>0</v>
      </c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 hidden="1">
      <c r="A354" s="20"/>
      <c r="B354" s="21" t="s">
        <v>91</v>
      </c>
      <c r="C354" s="17" t="s">
        <v>189</v>
      </c>
      <c r="D354" s="25" t="s">
        <v>862</v>
      </c>
      <c r="E354" s="25" t="s">
        <v>863</v>
      </c>
      <c r="F354" s="47" t="s">
        <v>137</v>
      </c>
      <c r="G354" s="31" t="s">
        <v>710</v>
      </c>
      <c r="H354" s="31" t="s">
        <v>864</v>
      </c>
      <c r="I354" s="25" t="s">
        <v>865</v>
      </c>
      <c r="J354" s="10"/>
      <c r="K354" s="10"/>
      <c r="L354" s="14"/>
      <c r="M354" s="14" t="b">
        <v>0</v>
      </c>
      <c r="N354" s="14" t="b">
        <v>0</v>
      </c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hidden="1">
      <c r="A355" s="20"/>
      <c r="B355" s="21" t="s">
        <v>91</v>
      </c>
      <c r="C355" s="17" t="s">
        <v>189</v>
      </c>
      <c r="D355" s="25" t="s">
        <v>866</v>
      </c>
      <c r="E355" s="25" t="s">
        <v>867</v>
      </c>
      <c r="F355" s="47" t="s">
        <v>207</v>
      </c>
      <c r="G355" s="31" t="s">
        <v>868</v>
      </c>
      <c r="H355" s="31" t="s">
        <v>869</v>
      </c>
      <c r="I355" s="25" t="s">
        <v>870</v>
      </c>
      <c r="J355" s="10"/>
      <c r="K355" s="10"/>
      <c r="L355" s="14"/>
      <c r="M355" s="14" t="b">
        <v>0</v>
      </c>
      <c r="N355" s="14" t="b">
        <v>0</v>
      </c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 hidden="1">
      <c r="A356" s="32"/>
      <c r="B356" s="10"/>
      <c r="C356" s="17" t="s">
        <v>189</v>
      </c>
      <c r="D356" s="25" t="s">
        <v>871</v>
      </c>
      <c r="E356" s="25" t="s">
        <v>872</v>
      </c>
      <c r="F356" s="47" t="s">
        <v>873</v>
      </c>
      <c r="G356" s="31" t="s">
        <v>710</v>
      </c>
      <c r="H356" s="31" t="s">
        <v>874</v>
      </c>
      <c r="I356" s="25" t="s">
        <v>875</v>
      </c>
      <c r="J356" s="10"/>
      <c r="K356" s="10"/>
      <c r="L356" s="14"/>
      <c r="M356" s="14" t="b">
        <v>0</v>
      </c>
      <c r="N356" s="14" t="b">
        <v>0</v>
      </c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 hidden="1">
      <c r="A357" s="9"/>
      <c r="B357" s="9">
        <v>44375.0</v>
      </c>
      <c r="C357" s="17"/>
      <c r="D357" s="25"/>
      <c r="E357" s="25"/>
      <c r="F357" s="19"/>
      <c r="G357" s="31"/>
      <c r="H357" s="31"/>
      <c r="I357" s="25"/>
      <c r="J357" s="10"/>
      <c r="K357" s="10"/>
      <c r="L357" s="14"/>
      <c r="M357" s="14" t="b">
        <v>0</v>
      </c>
      <c r="N357" s="14" t="b">
        <v>0</v>
      </c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 hidden="1">
      <c r="A358" s="16" t="s">
        <v>408</v>
      </c>
      <c r="B358" s="10"/>
      <c r="C358" s="17"/>
      <c r="D358" s="25"/>
      <c r="E358" s="25"/>
      <c r="F358" s="19"/>
      <c r="G358" s="31"/>
      <c r="H358" s="31"/>
      <c r="I358" s="25"/>
      <c r="J358" s="10"/>
      <c r="K358" s="10"/>
      <c r="L358" s="14"/>
      <c r="M358" s="14" t="b">
        <v>0</v>
      </c>
      <c r="N358" s="14" t="b">
        <v>0</v>
      </c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 hidden="1">
      <c r="A359" s="20"/>
      <c r="B359" s="21" t="s">
        <v>91</v>
      </c>
      <c r="C359" s="17" t="s">
        <v>189</v>
      </c>
      <c r="D359" s="25" t="s">
        <v>635</v>
      </c>
      <c r="E359" s="25" t="s">
        <v>636</v>
      </c>
      <c r="F359" s="23">
        <v>0.5</v>
      </c>
      <c r="G359" s="31" t="s">
        <v>212</v>
      </c>
      <c r="H359" s="31" t="s">
        <v>637</v>
      </c>
      <c r="I359" s="25" t="s">
        <v>876</v>
      </c>
      <c r="J359" s="10"/>
      <c r="K359" s="10"/>
      <c r="L359" s="14"/>
      <c r="M359" s="14" t="b">
        <v>0</v>
      </c>
      <c r="N359" s="14" t="b">
        <v>0</v>
      </c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 hidden="1">
      <c r="A360" s="20"/>
      <c r="B360" s="21" t="s">
        <v>91</v>
      </c>
      <c r="C360" s="17"/>
      <c r="D360" s="25"/>
      <c r="E360" s="25"/>
      <c r="F360" s="47"/>
      <c r="G360" s="31"/>
      <c r="H360" s="31"/>
      <c r="I360" s="25"/>
      <c r="J360" s="10"/>
      <c r="K360" s="10"/>
      <c r="L360" s="14"/>
      <c r="M360" s="14" t="b">
        <v>0</v>
      </c>
      <c r="N360" s="14" t="b">
        <v>0</v>
      </c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 hidden="1">
      <c r="A361" s="20"/>
      <c r="B361" s="21" t="s">
        <v>91</v>
      </c>
      <c r="C361" s="17" t="s">
        <v>189</v>
      </c>
      <c r="D361" s="25" t="s">
        <v>877</v>
      </c>
      <c r="E361" s="25" t="s">
        <v>878</v>
      </c>
      <c r="F361" s="23">
        <v>0.6666666666666666</v>
      </c>
      <c r="G361" s="31" t="s">
        <v>879</v>
      </c>
      <c r="H361" s="31" t="s">
        <v>880</v>
      </c>
      <c r="I361" s="25" t="s">
        <v>881</v>
      </c>
      <c r="J361" s="10"/>
      <c r="K361" s="10"/>
      <c r="L361" s="14"/>
      <c r="M361" s="14" t="b">
        <v>0</v>
      </c>
      <c r="N361" s="14" t="b">
        <v>0</v>
      </c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 hidden="1">
      <c r="A362" s="20"/>
      <c r="B362" s="21" t="s">
        <v>91</v>
      </c>
      <c r="C362" s="17"/>
      <c r="D362" s="25"/>
      <c r="E362" s="25"/>
      <c r="F362" s="47"/>
      <c r="G362" s="31"/>
      <c r="H362" s="31"/>
      <c r="I362" s="25"/>
      <c r="J362" s="10"/>
      <c r="K362" s="10"/>
      <c r="L362" s="14"/>
      <c r="M362" s="14" t="b">
        <v>0</v>
      </c>
      <c r="N362" s="14" t="b">
        <v>0</v>
      </c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 hidden="1">
      <c r="A363" s="32"/>
      <c r="B363" s="10"/>
      <c r="C363" s="17"/>
      <c r="D363" s="25"/>
      <c r="E363" s="25"/>
      <c r="F363" s="47"/>
      <c r="G363" s="31"/>
      <c r="H363" s="31"/>
      <c r="I363" s="25"/>
      <c r="J363" s="10"/>
      <c r="K363" s="10"/>
      <c r="L363" s="14"/>
      <c r="M363" s="14" t="b">
        <v>0</v>
      </c>
      <c r="N363" s="14" t="b">
        <v>0</v>
      </c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 hidden="1">
      <c r="A364" s="9"/>
      <c r="B364" s="9">
        <v>44376.0</v>
      </c>
      <c r="C364" s="17"/>
      <c r="D364" s="25"/>
      <c r="E364" s="25"/>
      <c r="F364" s="19"/>
      <c r="G364" s="31"/>
      <c r="H364" s="31"/>
      <c r="I364" s="25"/>
      <c r="J364" s="10"/>
      <c r="K364" s="10"/>
      <c r="L364" s="14"/>
      <c r="M364" s="14" t="b">
        <v>0</v>
      </c>
      <c r="N364" s="14" t="b">
        <v>0</v>
      </c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 hidden="1">
      <c r="A365" s="16" t="s">
        <v>408</v>
      </c>
      <c r="B365" s="10"/>
      <c r="C365" s="17"/>
      <c r="D365" s="25"/>
      <c r="E365" s="25"/>
      <c r="F365" s="19"/>
      <c r="G365" s="31"/>
      <c r="H365" s="31"/>
      <c r="I365" s="25"/>
      <c r="J365" s="10"/>
      <c r="K365" s="10"/>
      <c r="L365" s="14"/>
      <c r="M365" s="14" t="b">
        <v>0</v>
      </c>
      <c r="N365" s="14" t="b">
        <v>0</v>
      </c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 hidden="1">
      <c r="A366" s="20"/>
      <c r="B366" s="21" t="s">
        <v>91</v>
      </c>
      <c r="C366" s="17" t="s">
        <v>189</v>
      </c>
      <c r="D366" s="25"/>
      <c r="E366" s="25"/>
      <c r="F366" s="47"/>
      <c r="G366" s="31"/>
      <c r="H366" s="31"/>
      <c r="I366" s="25"/>
      <c r="J366" s="10"/>
      <c r="K366" s="10"/>
      <c r="L366" s="14"/>
      <c r="M366" s="14" t="b">
        <v>0</v>
      </c>
      <c r="N366" s="14" t="b">
        <v>0</v>
      </c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 hidden="1">
      <c r="A367" s="20"/>
      <c r="B367" s="21" t="s">
        <v>91</v>
      </c>
      <c r="C367" s="17" t="s">
        <v>189</v>
      </c>
      <c r="D367" s="25" t="s">
        <v>882</v>
      </c>
      <c r="E367" s="25" t="s">
        <v>883</v>
      </c>
      <c r="F367" s="47" t="s">
        <v>131</v>
      </c>
      <c r="G367" s="31" t="s">
        <v>239</v>
      </c>
      <c r="H367" s="31" t="s">
        <v>884</v>
      </c>
      <c r="I367" s="25" t="s">
        <v>230</v>
      </c>
      <c r="J367" s="10"/>
      <c r="K367" s="10"/>
      <c r="L367" s="14"/>
      <c r="M367" s="14" t="b">
        <v>0</v>
      </c>
      <c r="N367" s="14" t="b">
        <v>0</v>
      </c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hidden="1">
      <c r="A368" s="20"/>
      <c r="B368" s="21" t="s">
        <v>91</v>
      </c>
      <c r="C368" s="17"/>
      <c r="D368" s="25"/>
      <c r="E368" s="25"/>
      <c r="F368" s="47"/>
      <c r="G368" s="31"/>
      <c r="H368" s="31"/>
      <c r="I368" s="25"/>
      <c r="J368" s="10"/>
      <c r="K368" s="10"/>
      <c r="L368" s="14"/>
      <c r="M368" s="14" t="b">
        <v>0</v>
      </c>
      <c r="N368" s="14" t="b">
        <v>0</v>
      </c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 hidden="1">
      <c r="A369" s="20"/>
      <c r="B369" s="21" t="s">
        <v>91</v>
      </c>
      <c r="C369" s="17" t="s">
        <v>189</v>
      </c>
      <c r="D369" s="25" t="s">
        <v>646</v>
      </c>
      <c r="E369" s="25" t="s">
        <v>647</v>
      </c>
      <c r="F369" s="47" t="s">
        <v>207</v>
      </c>
      <c r="G369" s="31" t="s">
        <v>453</v>
      </c>
      <c r="H369" s="31" t="s">
        <v>648</v>
      </c>
      <c r="I369" s="25" t="s">
        <v>649</v>
      </c>
      <c r="J369" s="10"/>
      <c r="K369" s="10"/>
      <c r="L369" s="69" t="s">
        <v>754</v>
      </c>
      <c r="M369" s="14" t="b">
        <v>0</v>
      </c>
      <c r="N369" s="14" t="b">
        <v>0</v>
      </c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 hidden="1">
      <c r="A370" s="32"/>
      <c r="B370" s="10"/>
      <c r="C370" s="17"/>
      <c r="D370" s="25"/>
      <c r="E370" s="25"/>
      <c r="F370" s="19"/>
      <c r="G370" s="31"/>
      <c r="H370" s="31"/>
      <c r="I370" s="25"/>
      <c r="J370" s="10"/>
      <c r="K370" s="10"/>
      <c r="L370" s="14"/>
      <c r="M370" s="14" t="b">
        <v>0</v>
      </c>
      <c r="N370" s="14" t="b">
        <v>0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 hidden="1">
      <c r="A371" s="9"/>
      <c r="B371" s="9">
        <v>44377.0</v>
      </c>
      <c r="C371" s="17"/>
      <c r="D371" s="25"/>
      <c r="E371" s="25"/>
      <c r="F371" s="19"/>
      <c r="G371" s="31"/>
      <c r="H371" s="31"/>
      <c r="I371" s="25"/>
      <c r="J371" s="10"/>
      <c r="K371" s="10"/>
      <c r="L371" s="14"/>
      <c r="M371" s="14" t="b">
        <v>0</v>
      </c>
      <c r="N371" s="14" t="b">
        <v>0</v>
      </c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hidden="1">
      <c r="A372" s="16" t="s">
        <v>408</v>
      </c>
      <c r="B372" s="10"/>
      <c r="C372" s="17"/>
      <c r="D372" s="25"/>
      <c r="E372" s="25"/>
      <c r="F372" s="19"/>
      <c r="G372" s="31"/>
      <c r="H372" s="31"/>
      <c r="I372" s="25"/>
      <c r="J372" s="10"/>
      <c r="K372" s="10"/>
      <c r="L372" s="14"/>
      <c r="M372" s="14" t="b">
        <v>0</v>
      </c>
      <c r="N372" s="14" t="b">
        <v>0</v>
      </c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 hidden="1">
      <c r="A373" s="20"/>
      <c r="B373" s="21" t="s">
        <v>91</v>
      </c>
      <c r="C373" s="17"/>
      <c r="D373" s="25"/>
      <c r="E373" s="25"/>
      <c r="F373" s="19"/>
      <c r="G373" s="31"/>
      <c r="H373" s="31"/>
      <c r="I373" s="25"/>
      <c r="J373" s="10"/>
      <c r="K373" s="10"/>
      <c r="L373" s="14"/>
      <c r="M373" s="14" t="b">
        <v>0</v>
      </c>
      <c r="N373" s="14" t="b">
        <v>0</v>
      </c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 hidden="1">
      <c r="A374" s="20"/>
      <c r="B374" s="21" t="s">
        <v>91</v>
      </c>
      <c r="C374" s="17" t="s">
        <v>189</v>
      </c>
      <c r="D374" s="25"/>
      <c r="E374" s="25"/>
      <c r="F374" s="23"/>
      <c r="G374" s="25"/>
      <c r="H374" s="25"/>
      <c r="I374" s="25"/>
      <c r="J374" s="10"/>
      <c r="K374" s="10"/>
      <c r="L374" s="14"/>
      <c r="M374" s="14" t="b">
        <v>0</v>
      </c>
      <c r="N374" s="14" t="b">
        <v>0</v>
      </c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 hidden="1">
      <c r="A375" s="20"/>
      <c r="B375" s="21" t="s">
        <v>91</v>
      </c>
      <c r="C375" s="17"/>
      <c r="D375" s="25"/>
      <c r="E375" s="25"/>
      <c r="F375" s="23"/>
      <c r="G375" s="31"/>
      <c r="H375" s="25"/>
      <c r="I375" s="25"/>
      <c r="J375" s="17"/>
      <c r="K375" s="10"/>
      <c r="L375" s="14"/>
      <c r="M375" s="14" t="b">
        <v>0</v>
      </c>
      <c r="N375" s="14" t="b">
        <v>0</v>
      </c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 hidden="1">
      <c r="A376" s="20"/>
      <c r="B376" s="21" t="s">
        <v>91</v>
      </c>
      <c r="C376" s="17" t="s">
        <v>189</v>
      </c>
      <c r="D376" s="25" t="s">
        <v>885</v>
      </c>
      <c r="E376" s="25" t="s">
        <v>886</v>
      </c>
      <c r="F376" s="47" t="s">
        <v>233</v>
      </c>
      <c r="G376" s="25" t="s">
        <v>887</v>
      </c>
      <c r="H376" s="25" t="s">
        <v>888</v>
      </c>
      <c r="I376" s="25" t="s">
        <v>889</v>
      </c>
      <c r="J376" s="10"/>
      <c r="K376" s="10"/>
      <c r="L376" s="14"/>
      <c r="M376" s="14" t="b">
        <v>0</v>
      </c>
      <c r="N376" s="14" t="b">
        <v>0</v>
      </c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 hidden="1">
      <c r="A377" s="32"/>
      <c r="B377" s="10"/>
      <c r="C377" s="17" t="s">
        <v>189</v>
      </c>
      <c r="D377" s="25" t="s">
        <v>890</v>
      </c>
      <c r="E377" s="25" t="s">
        <v>891</v>
      </c>
      <c r="F377" s="23">
        <v>0.7916666666666666</v>
      </c>
      <c r="G377" s="31" t="s">
        <v>892</v>
      </c>
      <c r="H377" s="25" t="s">
        <v>893</v>
      </c>
      <c r="I377" s="25" t="s">
        <v>894</v>
      </c>
      <c r="J377" s="10"/>
      <c r="K377" s="10"/>
      <c r="L377" s="14"/>
      <c r="M377" s="14" t="b">
        <v>0</v>
      </c>
      <c r="N377" s="14" t="b">
        <v>0</v>
      </c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 hidden="1">
      <c r="A378" s="9"/>
      <c r="B378" s="9">
        <v>44379.0</v>
      </c>
      <c r="C378" s="17"/>
      <c r="D378" s="25"/>
      <c r="E378" s="25"/>
      <c r="F378" s="19"/>
      <c r="G378" s="31"/>
      <c r="H378" s="31"/>
      <c r="I378" s="25"/>
      <c r="J378" s="10"/>
      <c r="K378" s="10"/>
      <c r="L378" s="14"/>
      <c r="M378" s="14" t="b">
        <v>0</v>
      </c>
      <c r="N378" s="14" t="b">
        <v>0</v>
      </c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 hidden="1">
      <c r="A379" s="16" t="s">
        <v>408</v>
      </c>
      <c r="B379" s="10"/>
      <c r="C379" s="17"/>
      <c r="D379" s="25"/>
      <c r="E379" s="25"/>
      <c r="F379" s="19"/>
      <c r="G379" s="31"/>
      <c r="H379" s="31"/>
      <c r="I379" s="25"/>
      <c r="J379" s="10"/>
      <c r="K379" s="10"/>
      <c r="L379" s="14"/>
      <c r="M379" s="14" t="b">
        <v>0</v>
      </c>
      <c r="N379" s="14" t="b">
        <v>0</v>
      </c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 hidden="1">
      <c r="A380" s="20"/>
      <c r="B380" s="21" t="s">
        <v>91</v>
      </c>
      <c r="C380" s="17" t="s">
        <v>189</v>
      </c>
      <c r="D380" s="25" t="s">
        <v>526</v>
      </c>
      <c r="E380" s="25" t="s">
        <v>527</v>
      </c>
      <c r="F380" s="47" t="s">
        <v>126</v>
      </c>
      <c r="G380" s="31" t="s">
        <v>217</v>
      </c>
      <c r="H380" s="31" t="s">
        <v>895</v>
      </c>
      <c r="I380" s="25" t="s">
        <v>530</v>
      </c>
      <c r="J380" s="10"/>
      <c r="K380" s="10"/>
      <c r="L380" s="69" t="s">
        <v>754</v>
      </c>
      <c r="M380" s="14" t="b">
        <v>0</v>
      </c>
      <c r="N380" s="14" t="b">
        <v>0</v>
      </c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 hidden="1">
      <c r="A381" s="20"/>
      <c r="B381" s="21" t="s">
        <v>91</v>
      </c>
      <c r="C381" s="17" t="s">
        <v>189</v>
      </c>
      <c r="D381" s="25" t="s">
        <v>896</v>
      </c>
      <c r="E381" s="25" t="s">
        <v>897</v>
      </c>
      <c r="F381" s="23">
        <v>0.5833333333333334</v>
      </c>
      <c r="G381" s="31" t="s">
        <v>102</v>
      </c>
      <c r="H381" s="31" t="s">
        <v>898</v>
      </c>
      <c r="I381" s="25" t="s">
        <v>899</v>
      </c>
      <c r="J381" s="10"/>
      <c r="K381" s="10"/>
      <c r="L381" s="14"/>
      <c r="M381" s="14" t="b">
        <v>0</v>
      </c>
      <c r="N381" s="14" t="b">
        <v>0</v>
      </c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 hidden="1">
      <c r="A382" s="20"/>
      <c r="B382" s="21" t="s">
        <v>91</v>
      </c>
      <c r="C382" s="17" t="s">
        <v>189</v>
      </c>
      <c r="D382" s="25" t="s">
        <v>99</v>
      </c>
      <c r="E382" s="25" t="s">
        <v>100</v>
      </c>
      <c r="F382" s="47" t="s">
        <v>137</v>
      </c>
      <c r="G382" s="31" t="s">
        <v>102</v>
      </c>
      <c r="H382" s="31" t="s">
        <v>103</v>
      </c>
      <c r="I382" s="25" t="s">
        <v>104</v>
      </c>
      <c r="J382" s="10"/>
      <c r="K382" s="17" t="s">
        <v>754</v>
      </c>
      <c r="L382" s="14"/>
      <c r="M382" s="14" t="b">
        <v>0</v>
      </c>
      <c r="N382" s="14" t="b">
        <v>0</v>
      </c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 hidden="1">
      <c r="A383" s="20"/>
      <c r="B383" s="21" t="s">
        <v>91</v>
      </c>
      <c r="C383" s="17" t="s">
        <v>189</v>
      </c>
      <c r="D383" s="25" t="s">
        <v>900</v>
      </c>
      <c r="E383" s="25" t="s">
        <v>901</v>
      </c>
      <c r="F383" s="47" t="s">
        <v>207</v>
      </c>
      <c r="G383" s="31" t="s">
        <v>902</v>
      </c>
      <c r="H383" s="25" t="s">
        <v>903</v>
      </c>
      <c r="I383" s="25" t="s">
        <v>904</v>
      </c>
      <c r="J383" s="10"/>
      <c r="K383" s="10"/>
      <c r="L383" s="14"/>
      <c r="M383" s="14" t="b">
        <v>0</v>
      </c>
      <c r="N383" s="14" t="b">
        <v>0</v>
      </c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 hidden="1">
      <c r="A384" s="32"/>
      <c r="B384" s="10"/>
      <c r="C384" s="17"/>
      <c r="D384" s="25"/>
      <c r="E384" s="25"/>
      <c r="F384" s="19"/>
      <c r="G384" s="31"/>
      <c r="H384" s="31"/>
      <c r="I384" s="25"/>
      <c r="J384" s="10"/>
      <c r="K384" s="10"/>
      <c r="L384" s="14"/>
      <c r="M384" s="14" t="b">
        <v>0</v>
      </c>
      <c r="N384" s="14" t="b">
        <v>0</v>
      </c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 hidden="1">
      <c r="A385" s="134"/>
      <c r="B385" s="10"/>
      <c r="C385" s="17"/>
      <c r="D385" s="25"/>
      <c r="E385" s="25"/>
      <c r="F385" s="19"/>
      <c r="G385" s="31"/>
      <c r="H385" s="31"/>
      <c r="I385" s="25"/>
      <c r="J385" s="10"/>
      <c r="K385" s="10"/>
      <c r="L385" s="14"/>
      <c r="M385" s="14" t="b">
        <v>0</v>
      </c>
      <c r="N385" s="14" t="b">
        <v>0</v>
      </c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 hidden="1">
      <c r="A386" s="9"/>
      <c r="B386" s="9">
        <v>44382.0</v>
      </c>
      <c r="C386" s="17"/>
      <c r="D386" s="25"/>
      <c r="E386" s="25"/>
      <c r="F386" s="19"/>
      <c r="G386" s="31"/>
      <c r="H386" s="31"/>
      <c r="I386" s="25"/>
      <c r="J386" s="10"/>
      <c r="K386" s="10"/>
      <c r="L386" s="14"/>
      <c r="M386" s="14" t="b">
        <v>0</v>
      </c>
      <c r="N386" s="14" t="b">
        <v>0</v>
      </c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 hidden="1">
      <c r="A387" s="16" t="s">
        <v>408</v>
      </c>
      <c r="B387" s="10"/>
      <c r="C387" s="17"/>
      <c r="D387" s="25"/>
      <c r="E387" s="25"/>
      <c r="F387" s="19"/>
      <c r="G387" s="31"/>
      <c r="H387" s="31"/>
      <c r="I387" s="25"/>
      <c r="J387" s="10"/>
      <c r="K387" s="10"/>
      <c r="L387" s="14"/>
      <c r="M387" s="14" t="b">
        <v>0</v>
      </c>
      <c r="N387" s="14" t="b">
        <v>0</v>
      </c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 hidden="1">
      <c r="A388" s="20"/>
      <c r="B388" s="21" t="s">
        <v>91</v>
      </c>
      <c r="C388" s="17"/>
      <c r="D388" s="25"/>
      <c r="E388" s="25"/>
      <c r="F388" s="23"/>
      <c r="G388" s="31"/>
      <c r="H388" s="31"/>
      <c r="I388" s="25"/>
      <c r="J388" s="10"/>
      <c r="K388" s="10"/>
      <c r="L388" s="69" t="s">
        <v>754</v>
      </c>
      <c r="M388" s="14" t="b">
        <v>0</v>
      </c>
      <c r="N388" s="14" t="b">
        <v>0</v>
      </c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 hidden="1">
      <c r="A389" s="20"/>
      <c r="B389" s="21" t="s">
        <v>91</v>
      </c>
      <c r="C389" s="17" t="s">
        <v>189</v>
      </c>
      <c r="D389" s="25" t="s">
        <v>905</v>
      </c>
      <c r="E389" s="25" t="s">
        <v>906</v>
      </c>
      <c r="F389" s="23">
        <v>0.5833333333333334</v>
      </c>
      <c r="G389" s="31" t="s">
        <v>824</v>
      </c>
      <c r="H389" s="31" t="s">
        <v>907</v>
      </c>
      <c r="I389" s="25" t="s">
        <v>908</v>
      </c>
      <c r="J389" s="10"/>
      <c r="K389" s="10"/>
      <c r="L389" s="14"/>
      <c r="M389" s="14" t="b">
        <v>0</v>
      </c>
      <c r="N389" s="14" t="b">
        <v>0</v>
      </c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 hidden="1">
      <c r="A390" s="20"/>
      <c r="B390" s="21" t="s">
        <v>91</v>
      </c>
      <c r="C390" s="17" t="s">
        <v>909</v>
      </c>
      <c r="D390" s="25" t="s">
        <v>910</v>
      </c>
      <c r="E390" s="25" t="s">
        <v>911</v>
      </c>
      <c r="F390" s="47" t="s">
        <v>137</v>
      </c>
      <c r="G390" s="31" t="s">
        <v>912</v>
      </c>
      <c r="H390" s="31" t="s">
        <v>913</v>
      </c>
      <c r="I390" s="25" t="s">
        <v>914</v>
      </c>
      <c r="J390" s="10"/>
      <c r="K390" s="17"/>
      <c r="L390" s="14"/>
      <c r="M390" s="14" t="b">
        <v>0</v>
      </c>
      <c r="N390" s="14" t="b">
        <v>0</v>
      </c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 hidden="1">
      <c r="A391" s="20"/>
      <c r="B391" s="21" t="s">
        <v>91</v>
      </c>
      <c r="C391" s="17" t="s">
        <v>189</v>
      </c>
      <c r="D391" s="25" t="s">
        <v>915</v>
      </c>
      <c r="E391" s="25" t="s">
        <v>916</v>
      </c>
      <c r="F391" s="23">
        <v>0.7291666666666666</v>
      </c>
      <c r="G391" s="31" t="s">
        <v>912</v>
      </c>
      <c r="H391" s="25" t="s">
        <v>917</v>
      </c>
      <c r="I391" s="25" t="s">
        <v>918</v>
      </c>
      <c r="J391" s="10"/>
      <c r="K391" s="10"/>
      <c r="L391" s="14"/>
      <c r="M391" s="14" t="b">
        <v>0</v>
      </c>
      <c r="N391" s="14" t="b">
        <v>0</v>
      </c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hidden="1">
      <c r="A392" s="32"/>
      <c r="B392" s="10"/>
      <c r="C392" s="26" t="s">
        <v>189</v>
      </c>
      <c r="D392" s="50" t="s">
        <v>577</v>
      </c>
      <c r="E392" s="50" t="s">
        <v>578</v>
      </c>
      <c r="F392" s="52">
        <v>0.7708333333333334</v>
      </c>
      <c r="G392" s="48" t="s">
        <v>212</v>
      </c>
      <c r="H392" s="48" t="s">
        <v>919</v>
      </c>
      <c r="I392" s="50" t="s">
        <v>580</v>
      </c>
      <c r="J392" s="26" t="s">
        <v>745</v>
      </c>
      <c r="K392" s="10"/>
      <c r="L392" s="14"/>
      <c r="M392" s="14" t="b">
        <v>0</v>
      </c>
      <c r="N392" s="14" t="b">
        <v>0</v>
      </c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 hidden="1">
      <c r="A393" s="9"/>
      <c r="B393" s="9">
        <v>44390.0</v>
      </c>
      <c r="C393" s="17"/>
      <c r="D393" s="25"/>
      <c r="E393" s="25"/>
      <c r="F393" s="19"/>
      <c r="G393" s="31"/>
      <c r="H393" s="31"/>
      <c r="I393" s="25"/>
      <c r="J393" s="10"/>
      <c r="K393" s="10"/>
      <c r="L393" s="14"/>
      <c r="M393" s="14" t="b">
        <v>0</v>
      </c>
      <c r="N393" s="14" t="b">
        <v>0</v>
      </c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 hidden="1">
      <c r="A394" s="16" t="s">
        <v>408</v>
      </c>
      <c r="B394" s="10"/>
      <c r="C394" s="17" t="s">
        <v>189</v>
      </c>
      <c r="D394" s="135" t="s">
        <v>522</v>
      </c>
      <c r="E394" s="135" t="s">
        <v>523</v>
      </c>
      <c r="F394" s="23">
        <v>0.5416666666666666</v>
      </c>
      <c r="G394" s="31" t="s">
        <v>260</v>
      </c>
      <c r="H394" s="31" t="s">
        <v>920</v>
      </c>
      <c r="I394" s="135" t="s">
        <v>525</v>
      </c>
      <c r="J394" s="10"/>
      <c r="K394" s="17" t="s">
        <v>754</v>
      </c>
      <c r="L394" s="14"/>
      <c r="M394" s="14" t="b">
        <v>0</v>
      </c>
      <c r="N394" s="14" t="b">
        <v>0</v>
      </c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</row>
    <row r="395" hidden="1">
      <c r="A395" s="20"/>
      <c r="B395" s="21" t="s">
        <v>91</v>
      </c>
      <c r="C395" s="17" t="s">
        <v>189</v>
      </c>
      <c r="D395" s="135" t="s">
        <v>210</v>
      </c>
      <c r="E395" s="135" t="s">
        <v>211</v>
      </c>
      <c r="F395" s="47" t="s">
        <v>108</v>
      </c>
      <c r="G395" s="31" t="s">
        <v>212</v>
      </c>
      <c r="H395" s="31" t="s">
        <v>921</v>
      </c>
      <c r="I395" s="25" t="s">
        <v>922</v>
      </c>
      <c r="J395" s="10"/>
      <c r="K395" s="17" t="s">
        <v>754</v>
      </c>
      <c r="L395" s="14"/>
      <c r="M395" s="14" t="b">
        <v>0</v>
      </c>
      <c r="N395" s="14" t="b">
        <v>0</v>
      </c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</row>
    <row r="396" hidden="1">
      <c r="A396" s="20"/>
      <c r="B396" s="21" t="s">
        <v>91</v>
      </c>
      <c r="C396" s="17" t="s">
        <v>189</v>
      </c>
      <c r="D396" s="135" t="s">
        <v>469</v>
      </c>
      <c r="E396" s="135" t="s">
        <v>470</v>
      </c>
      <c r="F396" s="23">
        <v>0.7083333333333334</v>
      </c>
      <c r="G396" s="31" t="s">
        <v>471</v>
      </c>
      <c r="H396" s="31" t="s">
        <v>923</v>
      </c>
      <c r="I396" s="25" t="s">
        <v>473</v>
      </c>
      <c r="J396" s="10"/>
      <c r="K396" s="10"/>
      <c r="L396" s="14"/>
      <c r="M396" s="14" t="b">
        <v>0</v>
      </c>
      <c r="N396" s="14" t="b">
        <v>0</v>
      </c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</row>
    <row r="397" hidden="1">
      <c r="A397" s="20"/>
      <c r="B397" s="21" t="s">
        <v>91</v>
      </c>
      <c r="C397" s="17" t="s">
        <v>189</v>
      </c>
      <c r="D397" s="135" t="s">
        <v>924</v>
      </c>
      <c r="E397" s="135" t="s">
        <v>925</v>
      </c>
      <c r="F397" s="23">
        <v>0.7916666666666666</v>
      </c>
      <c r="G397" s="31" t="s">
        <v>879</v>
      </c>
      <c r="H397" s="31" t="s">
        <v>926</v>
      </c>
      <c r="I397" s="25" t="s">
        <v>927</v>
      </c>
      <c r="J397" s="10"/>
      <c r="K397" s="10"/>
      <c r="L397" s="14"/>
      <c r="M397" s="14" t="b">
        <v>0</v>
      </c>
      <c r="N397" s="14" t="b">
        <v>0</v>
      </c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</row>
    <row r="398" hidden="1">
      <c r="A398" s="20"/>
      <c r="B398" s="21" t="s">
        <v>91</v>
      </c>
      <c r="C398" s="17"/>
      <c r="D398" s="25"/>
      <c r="E398" s="25"/>
      <c r="F398" s="19"/>
      <c r="G398" s="31"/>
      <c r="H398" s="31"/>
      <c r="I398" s="25"/>
      <c r="J398" s="10"/>
      <c r="K398" s="10"/>
      <c r="L398" s="14"/>
      <c r="M398" s="14" t="b">
        <v>0</v>
      </c>
      <c r="N398" s="14" t="b">
        <v>0</v>
      </c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</row>
    <row r="399" hidden="1">
      <c r="A399" s="32"/>
      <c r="B399" s="10"/>
      <c r="C399" s="17"/>
      <c r="D399" s="25"/>
      <c r="E399" s="25"/>
      <c r="F399" s="19"/>
      <c r="G399" s="31"/>
      <c r="H399" s="31"/>
      <c r="I399" s="25"/>
      <c r="J399" s="10"/>
      <c r="K399" s="10"/>
      <c r="L399" s="14"/>
      <c r="M399" s="14" t="b">
        <v>0</v>
      </c>
      <c r="N399" s="14" t="b">
        <v>0</v>
      </c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</row>
    <row r="400" hidden="1">
      <c r="A400" s="9"/>
      <c r="B400" s="9">
        <v>44406.0</v>
      </c>
      <c r="C400" s="17"/>
      <c r="D400" s="25"/>
      <c r="E400" s="25"/>
      <c r="F400" s="19"/>
      <c r="G400" s="31"/>
      <c r="H400" s="31"/>
      <c r="I400" s="25"/>
      <c r="J400" s="10"/>
      <c r="K400" s="10"/>
      <c r="L400" s="14"/>
      <c r="M400" s="14" t="b">
        <v>0</v>
      </c>
      <c r="N400" s="14" t="b">
        <v>0</v>
      </c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 hidden="1">
      <c r="A401" s="16" t="s">
        <v>408</v>
      </c>
      <c r="B401" s="10"/>
      <c r="J401" s="10"/>
      <c r="K401" s="10"/>
      <c r="L401" s="14"/>
      <c r="M401" s="14" t="b">
        <v>0</v>
      </c>
      <c r="N401" s="14" t="b">
        <v>0</v>
      </c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 hidden="1">
      <c r="A402" s="20"/>
      <c r="B402" s="21"/>
      <c r="C402" s="17"/>
      <c r="E402" s="135"/>
      <c r="F402" s="23"/>
      <c r="G402" s="31"/>
      <c r="H402" s="135"/>
      <c r="I402" s="135"/>
      <c r="J402" s="10"/>
      <c r="K402" s="10"/>
      <c r="L402" s="14"/>
      <c r="M402" s="14" t="b">
        <v>0</v>
      </c>
      <c r="N402" s="14" t="b">
        <v>0</v>
      </c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hidden="1">
      <c r="A403" s="20"/>
      <c r="B403" s="21" t="s">
        <v>91</v>
      </c>
      <c r="C403" s="17" t="s">
        <v>189</v>
      </c>
      <c r="D403" s="135" t="s">
        <v>928</v>
      </c>
      <c r="E403" s="135" t="s">
        <v>929</v>
      </c>
      <c r="F403" s="23">
        <v>0.5416666666666666</v>
      </c>
      <c r="G403" s="31" t="s">
        <v>930</v>
      </c>
      <c r="H403" s="137" t="s">
        <v>931</v>
      </c>
      <c r="I403" s="135" t="s">
        <v>932</v>
      </c>
      <c r="J403" s="10"/>
      <c r="K403" s="10"/>
      <c r="L403" s="14"/>
      <c r="M403" s="14" t="b">
        <v>0</v>
      </c>
      <c r="N403" s="14" t="b">
        <v>0</v>
      </c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 hidden="1">
      <c r="A404" s="20"/>
      <c r="B404" s="21" t="s">
        <v>91</v>
      </c>
      <c r="C404" s="17" t="s">
        <v>189</v>
      </c>
      <c r="D404" s="135" t="s">
        <v>827</v>
      </c>
      <c r="E404" s="135" t="s">
        <v>828</v>
      </c>
      <c r="F404" s="23">
        <v>0.6041666666666666</v>
      </c>
      <c r="G404" s="31" t="s">
        <v>829</v>
      </c>
      <c r="H404" s="31" t="s">
        <v>830</v>
      </c>
      <c r="I404" s="25" t="s">
        <v>831</v>
      </c>
      <c r="J404" s="10"/>
      <c r="K404" s="10"/>
      <c r="L404" s="14"/>
      <c r="M404" s="14" t="b">
        <v>0</v>
      </c>
      <c r="N404" s="14" t="b">
        <v>0</v>
      </c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 hidden="1">
      <c r="A405" s="20"/>
      <c r="B405" s="21" t="s">
        <v>91</v>
      </c>
      <c r="C405" s="17" t="s">
        <v>189</v>
      </c>
      <c r="D405" s="25" t="s">
        <v>933</v>
      </c>
      <c r="E405" s="25" t="s">
        <v>934</v>
      </c>
      <c r="F405" s="23">
        <v>0.6875</v>
      </c>
      <c r="G405" s="31" t="s">
        <v>102</v>
      </c>
      <c r="H405" s="31" t="s">
        <v>935</v>
      </c>
      <c r="I405" s="25" t="s">
        <v>936</v>
      </c>
      <c r="J405" s="10"/>
      <c r="K405" s="10"/>
      <c r="L405" s="14"/>
      <c r="M405" s="14" t="b">
        <v>0</v>
      </c>
      <c r="N405" s="14" t="b">
        <v>0</v>
      </c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hidden="1">
      <c r="A406" s="32"/>
      <c r="B406" s="21" t="s">
        <v>91</v>
      </c>
      <c r="C406" s="17" t="s">
        <v>189</v>
      </c>
      <c r="D406" s="135" t="s">
        <v>495</v>
      </c>
      <c r="E406" s="135" t="s">
        <v>496</v>
      </c>
      <c r="F406" s="23">
        <v>0.7291666666666666</v>
      </c>
      <c r="G406" s="31" t="s">
        <v>937</v>
      </c>
      <c r="H406" s="135" t="s">
        <v>938</v>
      </c>
      <c r="I406" s="135" t="s">
        <v>499</v>
      </c>
      <c r="J406" s="10"/>
      <c r="K406" s="10"/>
      <c r="L406" s="14"/>
      <c r="M406" s="14" t="b">
        <v>0</v>
      </c>
      <c r="N406" s="14" t="b">
        <v>0</v>
      </c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>
      <c r="A407" s="9"/>
      <c r="B407" s="9">
        <v>44606.0</v>
      </c>
      <c r="C407" s="17"/>
      <c r="D407" s="25"/>
      <c r="E407" s="25"/>
      <c r="F407" s="19"/>
      <c r="G407" s="31"/>
      <c r="H407" s="31"/>
      <c r="I407" s="25"/>
      <c r="J407" s="10"/>
      <c r="K407" s="10"/>
      <c r="L407" s="14"/>
      <c r="M407" s="14" t="b">
        <v>0</v>
      </c>
      <c r="N407" s="14" t="b">
        <v>0</v>
      </c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>
      <c r="A408" s="16" t="s">
        <v>408</v>
      </c>
      <c r="B408" s="10"/>
      <c r="C408" s="17"/>
      <c r="D408" s="25"/>
      <c r="E408" s="138" t="s">
        <v>939</v>
      </c>
      <c r="F408" s="47"/>
      <c r="G408" s="31"/>
      <c r="H408" s="31"/>
      <c r="I408" s="25"/>
      <c r="J408" s="10"/>
      <c r="K408" s="10"/>
      <c r="L408" s="14"/>
      <c r="M408" s="14" t="b">
        <v>0</v>
      </c>
      <c r="N408" s="14" t="b">
        <v>0</v>
      </c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>
      <c r="A409" s="20"/>
      <c r="B409" s="21" t="s">
        <v>940</v>
      </c>
      <c r="C409" s="139" t="s">
        <v>941</v>
      </c>
      <c r="D409" s="140" t="s">
        <v>713</v>
      </c>
      <c r="E409" s="140" t="s">
        <v>714</v>
      </c>
      <c r="F409" s="141">
        <v>0.4166666666666667</v>
      </c>
      <c r="G409" s="142" t="s">
        <v>942</v>
      </c>
      <c r="H409" s="142" t="s">
        <v>943</v>
      </c>
      <c r="I409" s="140" t="s">
        <v>717</v>
      </c>
      <c r="J409" s="10"/>
      <c r="K409" s="10"/>
      <c r="L409" s="14"/>
      <c r="M409" s="14" t="b">
        <v>0</v>
      </c>
      <c r="N409" s="14" t="b">
        <v>0</v>
      </c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>
      <c r="A410" s="20"/>
      <c r="B410" s="21" t="s">
        <v>940</v>
      </c>
      <c r="C410" s="143" t="s">
        <v>941</v>
      </c>
      <c r="D410" s="144" t="s">
        <v>944</v>
      </c>
      <c r="E410" s="144" t="s">
        <v>945</v>
      </c>
      <c r="F410" s="52">
        <v>0.4791666666666667</v>
      </c>
      <c r="G410" s="48" t="s">
        <v>942</v>
      </c>
      <c r="H410" s="48" t="s">
        <v>946</v>
      </c>
      <c r="I410" s="144" t="s">
        <v>947</v>
      </c>
      <c r="J410" s="17" t="s">
        <v>948</v>
      </c>
      <c r="K410" s="10"/>
      <c r="L410" s="14"/>
      <c r="M410" s="14" t="b">
        <v>0</v>
      </c>
      <c r="N410" s="14" t="b">
        <v>0</v>
      </c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>
      <c r="A411" s="20"/>
      <c r="B411" s="21" t="s">
        <v>940</v>
      </c>
      <c r="C411" s="143" t="s">
        <v>941</v>
      </c>
      <c r="D411" s="144" t="s">
        <v>949</v>
      </c>
      <c r="E411" s="144" t="s">
        <v>950</v>
      </c>
      <c r="F411" s="52">
        <v>0.5833333333333334</v>
      </c>
      <c r="G411" s="48" t="s">
        <v>951</v>
      </c>
      <c r="H411" s="145" t="s">
        <v>952</v>
      </c>
      <c r="I411" s="144" t="s">
        <v>953</v>
      </c>
      <c r="J411" s="17" t="s">
        <v>954</v>
      </c>
      <c r="K411" s="10"/>
      <c r="L411" s="14"/>
      <c r="M411" s="14" t="b">
        <v>0</v>
      </c>
      <c r="N411" s="14" t="b">
        <v>0</v>
      </c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>
      <c r="A412" s="20"/>
      <c r="B412" s="21" t="s">
        <v>940</v>
      </c>
      <c r="C412" s="143" t="s">
        <v>941</v>
      </c>
      <c r="D412" s="144" t="s">
        <v>955</v>
      </c>
      <c r="E412" s="144" t="s">
        <v>956</v>
      </c>
      <c r="F412" s="52">
        <v>0.6666666666666666</v>
      </c>
      <c r="G412" s="48" t="s">
        <v>951</v>
      </c>
      <c r="H412" s="48" t="s">
        <v>957</v>
      </c>
      <c r="I412" s="144" t="s">
        <v>958</v>
      </c>
      <c r="J412" s="17" t="s">
        <v>959</v>
      </c>
      <c r="K412" s="10"/>
      <c r="L412" s="14"/>
      <c r="M412" s="14" t="b">
        <v>0</v>
      </c>
      <c r="N412" s="14" t="b">
        <v>0</v>
      </c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>
      <c r="A413" s="32"/>
      <c r="B413" s="21" t="s">
        <v>940</v>
      </c>
      <c r="C413" s="143" t="s">
        <v>941</v>
      </c>
      <c r="D413" s="144" t="s">
        <v>724</v>
      </c>
      <c r="E413" s="144" t="s">
        <v>725</v>
      </c>
      <c r="F413" s="52">
        <v>0.7291666666666666</v>
      </c>
      <c r="G413" s="48" t="s">
        <v>942</v>
      </c>
      <c r="H413" s="48" t="s">
        <v>960</v>
      </c>
      <c r="I413" s="144" t="s">
        <v>727</v>
      </c>
      <c r="J413" s="17" t="s">
        <v>961</v>
      </c>
      <c r="K413" s="10"/>
      <c r="L413" s="14"/>
      <c r="M413" s="14" t="b">
        <v>0</v>
      </c>
      <c r="N413" s="14" t="b">
        <v>0</v>
      </c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>
      <c r="A414" s="9"/>
      <c r="B414" s="9">
        <v>44607.0</v>
      </c>
      <c r="C414" s="17"/>
      <c r="D414" s="25"/>
      <c r="E414" s="25"/>
      <c r="F414" s="19"/>
      <c r="G414" s="31"/>
      <c r="H414" s="31"/>
      <c r="I414" s="25"/>
      <c r="J414" s="10"/>
      <c r="K414" s="10"/>
      <c r="L414" s="14"/>
      <c r="M414" s="14" t="b">
        <v>0</v>
      </c>
      <c r="N414" s="14" t="b">
        <v>0</v>
      </c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>
      <c r="A415" s="16" t="s">
        <v>408</v>
      </c>
      <c r="B415" s="10"/>
      <c r="C415" s="17"/>
      <c r="D415" s="25"/>
      <c r="E415" s="119" t="s">
        <v>962</v>
      </c>
      <c r="F415" s="47"/>
      <c r="G415" s="31"/>
      <c r="H415" s="31"/>
      <c r="I415" s="25"/>
      <c r="J415" s="10"/>
      <c r="K415" s="10"/>
      <c r="L415" s="14"/>
      <c r="M415" s="14" t="b">
        <v>0</v>
      </c>
      <c r="N415" s="14" t="b">
        <v>0</v>
      </c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>
      <c r="A416" s="20"/>
      <c r="B416" s="21" t="s">
        <v>940</v>
      </c>
      <c r="C416" s="125" t="s">
        <v>963</v>
      </c>
      <c r="D416" s="146" t="s">
        <v>964</v>
      </c>
      <c r="E416" s="146" t="s">
        <v>965</v>
      </c>
      <c r="F416" s="141">
        <v>0.5</v>
      </c>
      <c r="G416" s="142" t="s">
        <v>287</v>
      </c>
      <c r="H416" s="142" t="s">
        <v>966</v>
      </c>
      <c r="I416" s="147" t="s">
        <v>967</v>
      </c>
      <c r="J416" s="10"/>
      <c r="K416" s="10"/>
      <c r="L416" s="14"/>
      <c r="M416" s="14" t="b">
        <v>0</v>
      </c>
      <c r="N416" s="14" t="b">
        <v>0</v>
      </c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>
      <c r="A417" s="20"/>
      <c r="B417" s="21" t="s">
        <v>940</v>
      </c>
      <c r="C417" s="125" t="s">
        <v>963</v>
      </c>
      <c r="D417" s="146" t="s">
        <v>968</v>
      </c>
      <c r="E417" s="146" t="s">
        <v>969</v>
      </c>
      <c r="F417" s="141">
        <v>0.5833333333333334</v>
      </c>
      <c r="G417" s="142" t="s">
        <v>287</v>
      </c>
      <c r="H417" s="142" t="s">
        <v>970</v>
      </c>
      <c r="I417" s="147" t="s">
        <v>971</v>
      </c>
      <c r="J417" s="17" t="s">
        <v>972</v>
      </c>
      <c r="K417" s="10"/>
      <c r="L417" s="14"/>
      <c r="M417" s="14" t="b">
        <v>0</v>
      </c>
      <c r="N417" s="14" t="b">
        <v>0</v>
      </c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>
      <c r="A418" s="20"/>
      <c r="B418" s="21" t="s">
        <v>940</v>
      </c>
      <c r="C418" s="125" t="s">
        <v>963</v>
      </c>
      <c r="D418" s="146" t="s">
        <v>973</v>
      </c>
      <c r="E418" s="146" t="s">
        <v>974</v>
      </c>
      <c r="F418" s="141">
        <v>0.6666666666666666</v>
      </c>
      <c r="G418" s="142" t="s">
        <v>287</v>
      </c>
      <c r="H418" s="148" t="s">
        <v>975</v>
      </c>
      <c r="I418" s="146" t="s">
        <v>976</v>
      </c>
      <c r="J418" s="10"/>
      <c r="K418" s="10"/>
      <c r="L418" s="14"/>
      <c r="M418" s="14" t="b">
        <v>0</v>
      </c>
      <c r="N418" s="14" t="b">
        <v>0</v>
      </c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>
      <c r="A419" s="20"/>
      <c r="B419" s="21" t="s">
        <v>940</v>
      </c>
      <c r="C419" s="125" t="s">
        <v>963</v>
      </c>
      <c r="D419" s="147" t="s">
        <v>977</v>
      </c>
      <c r="E419" s="147" t="s">
        <v>978</v>
      </c>
      <c r="F419" s="141">
        <v>0.75</v>
      </c>
      <c r="G419" s="142" t="s">
        <v>287</v>
      </c>
      <c r="H419" s="142" t="s">
        <v>979</v>
      </c>
      <c r="I419" s="147" t="s">
        <v>980</v>
      </c>
      <c r="J419" s="10"/>
      <c r="K419" s="10"/>
      <c r="L419" s="14"/>
      <c r="M419" s="14" t="b">
        <v>0</v>
      </c>
      <c r="N419" s="14" t="b">
        <v>0</v>
      </c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>
      <c r="A420" s="32"/>
      <c r="B420" s="21" t="s">
        <v>940</v>
      </c>
      <c r="C420" s="26" t="s">
        <v>963</v>
      </c>
      <c r="D420" s="149" t="s">
        <v>981</v>
      </c>
      <c r="E420" s="149" t="s">
        <v>982</v>
      </c>
      <c r="F420" s="150">
        <v>0.8125</v>
      </c>
      <c r="G420" s="48" t="s">
        <v>287</v>
      </c>
      <c r="H420" s="151" t="s">
        <v>983</v>
      </c>
      <c r="I420" s="152" t="s">
        <v>984</v>
      </c>
      <c r="J420" s="17" t="s">
        <v>985</v>
      </c>
      <c r="K420" s="10"/>
      <c r="L420" s="14"/>
      <c r="M420" s="14" t="b">
        <v>0</v>
      </c>
      <c r="N420" s="14" t="b">
        <v>0</v>
      </c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>
      <c r="A421" s="9"/>
      <c r="B421" s="9">
        <v>44608.0</v>
      </c>
      <c r="C421" s="17"/>
      <c r="E421" s="153" t="s">
        <v>986</v>
      </c>
      <c r="I421" s="25"/>
      <c r="J421" s="10"/>
      <c r="K421" s="10"/>
      <c r="L421" s="14"/>
      <c r="M421" s="14" t="b">
        <v>0</v>
      </c>
      <c r="N421" s="14" t="b">
        <v>0</v>
      </c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>
      <c r="A422" s="16" t="s">
        <v>408</v>
      </c>
      <c r="B422" s="21" t="s">
        <v>940</v>
      </c>
      <c r="C422" s="139" t="s">
        <v>941</v>
      </c>
      <c r="D422" s="140" t="s">
        <v>944</v>
      </c>
      <c r="E422" s="140" t="s">
        <v>945</v>
      </c>
      <c r="F422" s="141">
        <v>0.4791666666666667</v>
      </c>
      <c r="G422" s="142" t="s">
        <v>942</v>
      </c>
      <c r="H422" s="142" t="s">
        <v>946</v>
      </c>
      <c r="I422" s="140" t="s">
        <v>947</v>
      </c>
      <c r="J422" s="10"/>
      <c r="K422" s="10"/>
      <c r="L422" s="14"/>
      <c r="M422" s="14" t="b">
        <v>0</v>
      </c>
      <c r="N422" s="14" t="b">
        <v>0</v>
      </c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>
      <c r="A423" s="20"/>
      <c r="B423" s="21" t="s">
        <v>940</v>
      </c>
      <c r="C423" s="125" t="s">
        <v>963</v>
      </c>
      <c r="D423" s="140" t="s">
        <v>987</v>
      </c>
      <c r="E423" s="140" t="s">
        <v>988</v>
      </c>
      <c r="F423" s="141">
        <v>0.5833333333333334</v>
      </c>
      <c r="G423" s="142" t="s">
        <v>375</v>
      </c>
      <c r="H423" s="142" t="s">
        <v>989</v>
      </c>
      <c r="I423" s="140" t="s">
        <v>990</v>
      </c>
      <c r="J423" s="10"/>
      <c r="K423" s="10"/>
      <c r="L423" s="14"/>
      <c r="M423" s="14" t="b">
        <v>0</v>
      </c>
      <c r="N423" s="14" t="b">
        <v>0</v>
      </c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>
      <c r="A424" s="20"/>
      <c r="B424" s="21" t="s">
        <v>940</v>
      </c>
      <c r="C424" s="26" t="s">
        <v>963</v>
      </c>
      <c r="D424" s="149" t="s">
        <v>991</v>
      </c>
      <c r="E424" s="149" t="s">
        <v>992</v>
      </c>
      <c r="F424" s="52">
        <v>0.6666666666666666</v>
      </c>
      <c r="G424" s="48" t="s">
        <v>767</v>
      </c>
      <c r="H424" s="154" t="s">
        <v>993</v>
      </c>
      <c r="I424" s="149" t="s">
        <v>994</v>
      </c>
      <c r="J424" s="17" t="s">
        <v>995</v>
      </c>
      <c r="K424" s="10"/>
      <c r="L424" s="14"/>
      <c r="M424" s="14" t="b">
        <v>0</v>
      </c>
      <c r="N424" s="14" t="b">
        <v>0</v>
      </c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>
      <c r="A425" s="20"/>
      <c r="B425" s="21" t="s">
        <v>940</v>
      </c>
      <c r="C425" s="125" t="s">
        <v>963</v>
      </c>
      <c r="D425" s="147" t="s">
        <v>996</v>
      </c>
      <c r="E425" s="147" t="s">
        <v>997</v>
      </c>
      <c r="F425" s="155">
        <v>0.75</v>
      </c>
      <c r="G425" s="156" t="s">
        <v>462</v>
      </c>
      <c r="H425" s="156" t="s">
        <v>998</v>
      </c>
      <c r="I425" s="147" t="s">
        <v>999</v>
      </c>
      <c r="J425" s="105"/>
      <c r="K425" s="10"/>
      <c r="L425" s="14"/>
      <c r="M425" s="14" t="b">
        <v>0</v>
      </c>
      <c r="N425" s="14" t="b">
        <v>0</v>
      </c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>
      <c r="A426" s="20"/>
      <c r="B426" s="21" t="s">
        <v>940</v>
      </c>
      <c r="C426" s="17"/>
      <c r="F426" s="157"/>
      <c r="G426" s="158"/>
      <c r="H426" s="158"/>
      <c r="I426" s="158"/>
      <c r="J426" s="10"/>
      <c r="K426" s="10"/>
      <c r="L426" s="14"/>
      <c r="M426" s="14" t="b">
        <v>0</v>
      </c>
      <c r="N426" s="14" t="b">
        <v>0</v>
      </c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>
      <c r="A427" s="32"/>
      <c r="B427" s="21" t="s">
        <v>940</v>
      </c>
      <c r="C427" s="17"/>
      <c r="D427" s="25"/>
      <c r="E427" s="25"/>
      <c r="F427" s="19"/>
      <c r="G427" s="31"/>
      <c r="H427" s="31"/>
      <c r="I427" s="25"/>
      <c r="J427" s="10"/>
      <c r="K427" s="10"/>
      <c r="L427" s="14"/>
      <c r="M427" s="14" t="b">
        <v>0</v>
      </c>
      <c r="N427" s="14" t="b">
        <v>0</v>
      </c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>
      <c r="A428" s="9"/>
      <c r="B428" s="9">
        <v>44609.0</v>
      </c>
      <c r="C428" s="17"/>
      <c r="D428" s="25"/>
      <c r="E428" s="25"/>
      <c r="F428" s="19"/>
      <c r="G428" s="31"/>
      <c r="H428" s="31"/>
      <c r="I428" s="25"/>
      <c r="J428" s="10"/>
      <c r="K428" s="10"/>
      <c r="L428" s="14"/>
      <c r="M428" s="14" t="b">
        <v>0</v>
      </c>
      <c r="N428" s="14" t="b">
        <v>0</v>
      </c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>
      <c r="A429" s="16" t="s">
        <v>408</v>
      </c>
      <c r="B429" s="10"/>
      <c r="C429" s="17"/>
      <c r="D429" s="25"/>
      <c r="E429" s="159" t="s">
        <v>1000</v>
      </c>
      <c r="F429" s="13"/>
      <c r="G429" s="31"/>
      <c r="H429" s="31"/>
      <c r="I429" s="25"/>
      <c r="J429" s="10"/>
      <c r="K429" s="10"/>
      <c r="L429" s="14"/>
      <c r="M429" s="14" t="b">
        <v>0</v>
      </c>
      <c r="N429" s="14" t="b">
        <v>0</v>
      </c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>
      <c r="A430" s="20"/>
      <c r="B430" s="21" t="s">
        <v>940</v>
      </c>
      <c r="C430" s="126" t="s">
        <v>1001</v>
      </c>
      <c r="D430" s="140" t="s">
        <v>1002</v>
      </c>
      <c r="E430" s="140" t="s">
        <v>1003</v>
      </c>
      <c r="F430" s="160" t="s">
        <v>126</v>
      </c>
      <c r="G430" s="142" t="s">
        <v>743</v>
      </c>
      <c r="H430" s="140" t="s">
        <v>1004</v>
      </c>
      <c r="I430" s="140" t="s">
        <v>1005</v>
      </c>
      <c r="J430" s="133"/>
      <c r="K430" s="10"/>
      <c r="L430" s="14"/>
      <c r="M430" s="14" t="b">
        <v>0</v>
      </c>
      <c r="N430" s="14" t="b">
        <v>0</v>
      </c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>
      <c r="A431" s="20"/>
      <c r="B431" s="21" t="s">
        <v>940</v>
      </c>
      <c r="C431" s="125" t="s">
        <v>1006</v>
      </c>
      <c r="D431" s="140" t="s">
        <v>1007</v>
      </c>
      <c r="E431" s="140" t="s">
        <v>1008</v>
      </c>
      <c r="F431" s="160" t="s">
        <v>131</v>
      </c>
      <c r="G431" s="142" t="s">
        <v>82</v>
      </c>
      <c r="H431" s="142" t="s">
        <v>1009</v>
      </c>
      <c r="I431" s="140" t="s">
        <v>1010</v>
      </c>
      <c r="J431" s="10"/>
      <c r="K431" s="10"/>
      <c r="L431" s="14"/>
      <c r="M431" s="14" t="b">
        <v>0</v>
      </c>
      <c r="N431" s="14" t="b">
        <v>0</v>
      </c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>
      <c r="A432" s="20"/>
      <c r="B432" s="21" t="s">
        <v>940</v>
      </c>
      <c r="C432" s="126" t="s">
        <v>1001</v>
      </c>
      <c r="D432" s="140" t="s">
        <v>1011</v>
      </c>
      <c r="E432" s="140" t="s">
        <v>1012</v>
      </c>
      <c r="F432" s="160" t="s">
        <v>137</v>
      </c>
      <c r="G432" s="156" t="s">
        <v>297</v>
      </c>
      <c r="H432" s="140" t="s">
        <v>1013</v>
      </c>
      <c r="I432" s="140" t="s">
        <v>1014</v>
      </c>
      <c r="K432" s="10"/>
      <c r="L432" s="14"/>
      <c r="M432" s="14" t="b">
        <v>0</v>
      </c>
      <c r="N432" s="14" t="b">
        <v>0</v>
      </c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>
      <c r="A433" s="20"/>
      <c r="B433" s="21" t="s">
        <v>940</v>
      </c>
      <c r="C433" s="126" t="s">
        <v>1001</v>
      </c>
      <c r="D433" s="140" t="s">
        <v>1015</v>
      </c>
      <c r="E433" s="140" t="s">
        <v>1016</v>
      </c>
      <c r="F433" s="160" t="s">
        <v>207</v>
      </c>
      <c r="G433" s="156" t="s">
        <v>297</v>
      </c>
      <c r="H433" s="142" t="s">
        <v>1017</v>
      </c>
      <c r="I433" s="140" t="s">
        <v>1018</v>
      </c>
      <c r="J433" s="10"/>
      <c r="K433" s="10"/>
      <c r="L433" s="14"/>
      <c r="M433" s="14" t="b">
        <v>0</v>
      </c>
      <c r="N433" s="14" t="b">
        <v>0</v>
      </c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>
      <c r="A434" s="32"/>
      <c r="B434" s="21" t="s">
        <v>940</v>
      </c>
      <c r="C434" s="17"/>
      <c r="D434" s="25"/>
      <c r="E434" s="25"/>
      <c r="F434" s="19"/>
      <c r="G434" s="31"/>
      <c r="H434" s="31"/>
      <c r="I434" s="25"/>
      <c r="J434" s="10"/>
      <c r="K434" s="10"/>
      <c r="L434" s="14"/>
      <c r="M434" s="14" t="b">
        <v>0</v>
      </c>
      <c r="N434" s="14" t="b">
        <v>0</v>
      </c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>
      <c r="A435" s="9"/>
      <c r="B435" s="9">
        <v>44610.0</v>
      </c>
      <c r="C435" s="17"/>
      <c r="D435" s="25"/>
      <c r="E435" s="25"/>
      <c r="F435" s="19"/>
      <c r="G435" s="31"/>
      <c r="H435" s="31"/>
      <c r="I435" s="25"/>
      <c r="J435" s="10"/>
      <c r="K435" s="10"/>
      <c r="L435" s="14"/>
      <c r="M435" s="14" t="b">
        <v>0</v>
      </c>
      <c r="N435" s="14" t="b">
        <v>0</v>
      </c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>
      <c r="A436" s="16" t="s">
        <v>408</v>
      </c>
      <c r="B436" s="10"/>
      <c r="C436" s="17"/>
      <c r="D436" s="25"/>
      <c r="E436" s="25"/>
      <c r="F436" s="47"/>
      <c r="G436" s="31"/>
      <c r="H436" s="31"/>
      <c r="I436" s="25"/>
      <c r="J436" s="10"/>
      <c r="K436" s="10"/>
      <c r="L436" s="14"/>
      <c r="M436" s="14" t="b">
        <v>0</v>
      </c>
      <c r="N436" s="14" t="b">
        <v>0</v>
      </c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>
      <c r="A437" s="20"/>
      <c r="B437" s="21" t="s">
        <v>940</v>
      </c>
      <c r="C437" s="26" t="s">
        <v>963</v>
      </c>
      <c r="D437" s="149" t="s">
        <v>1019</v>
      </c>
      <c r="E437" s="149" t="s">
        <v>1020</v>
      </c>
      <c r="F437" s="52">
        <v>0.5</v>
      </c>
      <c r="G437" s="48" t="s">
        <v>212</v>
      </c>
      <c r="H437" s="48" t="s">
        <v>1021</v>
      </c>
      <c r="I437" s="152" t="s">
        <v>1022</v>
      </c>
      <c r="J437" s="17" t="s">
        <v>1023</v>
      </c>
      <c r="K437" s="10"/>
      <c r="L437" s="14"/>
      <c r="M437" s="14" t="b">
        <v>0</v>
      </c>
      <c r="N437" s="14" t="b">
        <v>0</v>
      </c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>
      <c r="A438" s="20"/>
      <c r="B438" s="21" t="s">
        <v>940</v>
      </c>
      <c r="C438" s="125" t="s">
        <v>1024</v>
      </c>
      <c r="D438" s="126" t="s">
        <v>322</v>
      </c>
      <c r="E438" s="126" t="s">
        <v>323</v>
      </c>
      <c r="F438" s="141">
        <v>0.625</v>
      </c>
      <c r="G438" s="126" t="s">
        <v>260</v>
      </c>
      <c r="H438" s="142" t="s">
        <v>1025</v>
      </c>
      <c r="I438" s="126" t="s">
        <v>525</v>
      </c>
      <c r="J438" s="10"/>
      <c r="K438" s="10"/>
      <c r="L438" s="14"/>
      <c r="M438" s="14" t="b">
        <v>0</v>
      </c>
      <c r="N438" s="14" t="b">
        <v>0</v>
      </c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>
      <c r="A439" s="20"/>
      <c r="B439" s="21" t="s">
        <v>940</v>
      </c>
      <c r="C439" s="125" t="s">
        <v>1024</v>
      </c>
      <c r="D439" s="140" t="s">
        <v>1026</v>
      </c>
      <c r="E439" s="126" t="s">
        <v>1027</v>
      </c>
      <c r="F439" s="141">
        <v>0.625</v>
      </c>
      <c r="G439" s="126" t="s">
        <v>260</v>
      </c>
      <c r="H439" s="142" t="s">
        <v>1025</v>
      </c>
      <c r="I439" s="126" t="s">
        <v>525</v>
      </c>
      <c r="J439" s="10"/>
      <c r="K439" s="10"/>
      <c r="L439" s="14"/>
      <c r="M439" s="14" t="b">
        <v>0</v>
      </c>
      <c r="N439" s="14" t="b">
        <v>0</v>
      </c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>
      <c r="A440" s="20"/>
      <c r="B440" s="21" t="s">
        <v>940</v>
      </c>
      <c r="C440" s="125" t="s">
        <v>1024</v>
      </c>
      <c r="D440" s="126" t="s">
        <v>1028</v>
      </c>
      <c r="E440" s="126" t="s">
        <v>1029</v>
      </c>
      <c r="F440" s="141">
        <v>0.6875</v>
      </c>
      <c r="G440" s="140" t="s">
        <v>1030</v>
      </c>
      <c r="H440" s="126" t="s">
        <v>1031</v>
      </c>
      <c r="I440" s="126" t="s">
        <v>1032</v>
      </c>
      <c r="J440" s="10"/>
      <c r="K440" s="10"/>
      <c r="L440" s="14"/>
      <c r="M440" s="14" t="b">
        <v>0</v>
      </c>
      <c r="N440" s="14" t="b">
        <v>0</v>
      </c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>
      <c r="A441" s="20"/>
      <c r="B441" s="21" t="s">
        <v>940</v>
      </c>
      <c r="C441" s="26" t="s">
        <v>963</v>
      </c>
      <c r="D441" s="149" t="s">
        <v>1033</v>
      </c>
      <c r="E441" s="149" t="s">
        <v>1034</v>
      </c>
      <c r="F441" s="52">
        <v>0.7708333333333334</v>
      </c>
      <c r="G441" s="48" t="s">
        <v>1035</v>
      </c>
      <c r="H441" s="48" t="s">
        <v>1036</v>
      </c>
      <c r="I441" s="149" t="s">
        <v>1037</v>
      </c>
      <c r="J441" s="17" t="s">
        <v>1038</v>
      </c>
      <c r="K441" s="10"/>
      <c r="L441" s="14"/>
      <c r="M441" s="14" t="b">
        <v>0</v>
      </c>
      <c r="N441" s="14" t="b">
        <v>0</v>
      </c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>
      <c r="A442" s="32"/>
      <c r="B442" s="21" t="s">
        <v>940</v>
      </c>
      <c r="C442" s="17"/>
      <c r="F442" s="157"/>
      <c r="G442" s="158"/>
      <c r="H442" s="158"/>
      <c r="J442" s="10"/>
      <c r="K442" s="10"/>
      <c r="L442" s="14"/>
      <c r="M442" s="14" t="b">
        <v>0</v>
      </c>
      <c r="N442" s="14" t="b">
        <v>0</v>
      </c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>
      <c r="A443" s="9"/>
      <c r="B443" s="9">
        <v>44613.0</v>
      </c>
      <c r="C443" s="17"/>
      <c r="D443" s="161"/>
      <c r="E443" s="13"/>
      <c r="F443" s="162"/>
      <c r="G443" s="31"/>
      <c r="H443" s="31"/>
      <c r="I443" s="25"/>
      <c r="J443" s="10"/>
      <c r="K443" s="10"/>
      <c r="L443" s="14"/>
      <c r="M443" s="14" t="b">
        <v>0</v>
      </c>
      <c r="N443" s="14" t="b">
        <v>0</v>
      </c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>
      <c r="A444" s="16" t="s">
        <v>408</v>
      </c>
      <c r="B444" s="10"/>
      <c r="C444" s="17"/>
      <c r="D444" s="132"/>
      <c r="E444" s="132"/>
      <c r="F444" s="61"/>
      <c r="G444" s="31"/>
      <c r="H444" s="31"/>
      <c r="I444" s="25"/>
      <c r="J444" s="10"/>
      <c r="K444" s="10"/>
      <c r="L444" s="14"/>
      <c r="M444" s="14" t="b">
        <v>0</v>
      </c>
      <c r="N444" s="14" t="b">
        <v>0</v>
      </c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>
      <c r="A445" s="20"/>
      <c r="B445" s="21" t="s">
        <v>940</v>
      </c>
      <c r="C445" s="29"/>
      <c r="D445" s="62"/>
      <c r="E445" s="163" t="s">
        <v>242</v>
      </c>
      <c r="F445" s="164"/>
      <c r="G445" s="132"/>
      <c r="H445" s="62"/>
      <c r="I445" s="132"/>
      <c r="J445" s="133"/>
      <c r="K445" s="10"/>
      <c r="L445" s="14"/>
      <c r="M445" s="14" t="b">
        <v>0</v>
      </c>
      <c r="N445" s="14" t="b">
        <v>0</v>
      </c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>
      <c r="A446" s="20"/>
      <c r="B446" s="21" t="s">
        <v>940</v>
      </c>
      <c r="C446" s="132"/>
      <c r="D446" s="62"/>
      <c r="E446" s="165"/>
      <c r="F446" s="166"/>
      <c r="G446" s="167"/>
      <c r="H446" s="62"/>
      <c r="I446" s="132"/>
      <c r="J446" s="133"/>
      <c r="K446" s="17" t="s">
        <v>1039</v>
      </c>
      <c r="L446" s="14"/>
      <c r="M446" s="14" t="b">
        <v>0</v>
      </c>
      <c r="N446" s="14" t="b">
        <v>0</v>
      </c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>
      <c r="A447" s="20"/>
      <c r="B447" s="21" t="s">
        <v>940</v>
      </c>
      <c r="C447" s="132"/>
      <c r="D447" s="62"/>
      <c r="E447" s="165"/>
      <c r="F447" s="166"/>
      <c r="G447" s="132"/>
      <c r="H447" s="62"/>
      <c r="I447" s="132"/>
      <c r="J447" s="133"/>
      <c r="K447" s="17" t="s">
        <v>1039</v>
      </c>
      <c r="L447" s="14"/>
      <c r="M447" s="14" t="b">
        <v>0</v>
      </c>
      <c r="N447" s="14" t="b">
        <v>0</v>
      </c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>
      <c r="A448" s="20"/>
      <c r="B448" s="21" t="s">
        <v>940</v>
      </c>
      <c r="C448" s="132"/>
      <c r="D448" s="62"/>
      <c r="E448" s="165"/>
      <c r="F448" s="166"/>
      <c r="G448" s="132"/>
      <c r="H448" s="62"/>
      <c r="I448" s="132"/>
      <c r="J448" s="133"/>
      <c r="K448" s="17" t="s">
        <v>1039</v>
      </c>
      <c r="L448" s="14"/>
      <c r="M448" s="14" t="b">
        <v>0</v>
      </c>
      <c r="N448" s="14" t="b">
        <v>0</v>
      </c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>
      <c r="A449" s="20"/>
      <c r="B449" s="21" t="s">
        <v>940</v>
      </c>
      <c r="C449" s="132"/>
      <c r="D449" s="132"/>
      <c r="E449" s="168"/>
      <c r="F449" s="169"/>
      <c r="G449" s="132"/>
      <c r="H449" s="62"/>
      <c r="I449" s="132"/>
      <c r="J449" s="133"/>
      <c r="K449" s="17" t="s">
        <v>1039</v>
      </c>
      <c r="L449" s="14"/>
      <c r="M449" s="14" t="b">
        <v>0</v>
      </c>
      <c r="N449" s="14" t="b">
        <v>0</v>
      </c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>
      <c r="A450" s="32"/>
      <c r="B450" s="21" t="s">
        <v>940</v>
      </c>
      <c r="C450" s="17"/>
      <c r="D450" s="25"/>
      <c r="E450" s="25"/>
      <c r="F450" s="19"/>
      <c r="G450" s="31"/>
      <c r="H450" s="31"/>
      <c r="I450" s="25"/>
      <c r="J450" s="10"/>
      <c r="K450" s="10"/>
      <c r="L450" s="14"/>
      <c r="M450" s="14" t="b">
        <v>0</v>
      </c>
      <c r="N450" s="14" t="b">
        <v>0</v>
      </c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>
      <c r="A451" s="170"/>
      <c r="B451" s="171">
        <v>44614.0</v>
      </c>
      <c r="C451" s="17"/>
      <c r="D451" s="25"/>
      <c r="E451" s="25"/>
      <c r="F451" s="47"/>
      <c r="G451" s="31"/>
      <c r="H451" s="31"/>
      <c r="I451" s="25"/>
      <c r="J451" s="10"/>
      <c r="K451" s="10"/>
      <c r="L451" s="14"/>
      <c r="M451" s="14" t="b">
        <v>0</v>
      </c>
      <c r="N451" s="14" t="b">
        <v>0</v>
      </c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>
      <c r="A452" s="172" t="s">
        <v>408</v>
      </c>
      <c r="B452" s="173"/>
      <c r="C452" s="17"/>
      <c r="D452" s="174" t="s">
        <v>1040</v>
      </c>
      <c r="E452" s="12"/>
      <c r="F452" s="13"/>
      <c r="G452" s="31"/>
      <c r="H452" s="31"/>
      <c r="I452" s="25"/>
      <c r="J452" s="10"/>
      <c r="K452" s="10"/>
      <c r="L452" s="14"/>
      <c r="M452" s="14" t="b">
        <v>0</v>
      </c>
      <c r="N452" s="14" t="b">
        <v>0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>
      <c r="A453" s="20"/>
      <c r="B453" s="175" t="s">
        <v>940</v>
      </c>
      <c r="C453" s="17"/>
      <c r="D453" s="25"/>
      <c r="E453" s="25"/>
      <c r="F453" s="47"/>
      <c r="G453" s="31"/>
      <c r="H453" s="31"/>
      <c r="I453" s="25"/>
      <c r="J453" s="10"/>
      <c r="K453" s="10"/>
      <c r="L453" s="14"/>
      <c r="M453" s="14" t="b">
        <v>0</v>
      </c>
      <c r="N453" s="14" t="b">
        <v>0</v>
      </c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>
      <c r="A454" s="20"/>
      <c r="B454" s="175" t="s">
        <v>940</v>
      </c>
      <c r="C454" s="126" t="s">
        <v>1041</v>
      </c>
      <c r="D454" s="140" t="s">
        <v>1042</v>
      </c>
      <c r="E454" s="140" t="s">
        <v>1043</v>
      </c>
      <c r="F454" s="160" t="s">
        <v>126</v>
      </c>
      <c r="G454" s="142" t="s">
        <v>82</v>
      </c>
      <c r="H454" s="142" t="s">
        <v>1044</v>
      </c>
      <c r="I454" s="126" t="s">
        <v>1045</v>
      </c>
      <c r="J454" s="129"/>
      <c r="K454" s="10"/>
      <c r="L454" s="14"/>
      <c r="M454" s="14" t="b">
        <v>0</v>
      </c>
      <c r="N454" s="14" t="b">
        <v>0</v>
      </c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>
      <c r="A455" s="20"/>
      <c r="B455" s="175" t="s">
        <v>940</v>
      </c>
      <c r="C455" s="50" t="s">
        <v>1041</v>
      </c>
      <c r="D455" s="144" t="s">
        <v>1046</v>
      </c>
      <c r="E455" s="144" t="s">
        <v>1047</v>
      </c>
      <c r="F455" s="59" t="s">
        <v>131</v>
      </c>
      <c r="G455" s="48" t="s">
        <v>121</v>
      </c>
      <c r="H455" s="48" t="s">
        <v>1048</v>
      </c>
      <c r="I455" s="50" t="s">
        <v>1049</v>
      </c>
      <c r="J455" s="17" t="s">
        <v>1050</v>
      </c>
      <c r="L455" s="14"/>
      <c r="M455" s="14" t="b">
        <v>0</v>
      </c>
      <c r="N455" s="14" t="b">
        <v>0</v>
      </c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>
      <c r="A456" s="20"/>
      <c r="B456" s="175" t="s">
        <v>940</v>
      </c>
      <c r="C456" s="126" t="s">
        <v>1041</v>
      </c>
      <c r="D456" s="140" t="s">
        <v>1051</v>
      </c>
      <c r="E456" s="140" t="s">
        <v>1052</v>
      </c>
      <c r="F456" s="160" t="s">
        <v>137</v>
      </c>
      <c r="G456" s="142" t="s">
        <v>1053</v>
      </c>
      <c r="H456" s="142" t="s">
        <v>1054</v>
      </c>
      <c r="I456" s="126" t="s">
        <v>1055</v>
      </c>
      <c r="J456" s="129"/>
      <c r="K456" s="10"/>
      <c r="L456" s="14"/>
      <c r="M456" s="14" t="b">
        <v>0</v>
      </c>
      <c r="N456" s="14" t="b">
        <v>0</v>
      </c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>
      <c r="A457" s="20"/>
      <c r="B457" s="176" t="s">
        <v>940</v>
      </c>
      <c r="C457" s="126" t="s">
        <v>1041</v>
      </c>
      <c r="D457" s="140" t="s">
        <v>1056</v>
      </c>
      <c r="E457" s="140" t="s">
        <v>1057</v>
      </c>
      <c r="F457" s="160" t="s">
        <v>233</v>
      </c>
      <c r="G457" s="142" t="s">
        <v>892</v>
      </c>
      <c r="H457" s="142" t="s">
        <v>1058</v>
      </c>
      <c r="I457" s="126" t="s">
        <v>1059</v>
      </c>
      <c r="J457" s="129"/>
      <c r="K457" s="10"/>
      <c r="L457" s="14"/>
      <c r="M457" s="14" t="b">
        <v>0</v>
      </c>
      <c r="N457" s="14" t="b">
        <v>0</v>
      </c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>
      <c r="A458" s="32"/>
      <c r="B458" s="177" t="s">
        <v>940</v>
      </c>
      <c r="C458" s="17"/>
      <c r="D458" s="25"/>
      <c r="E458" s="25"/>
      <c r="F458" s="47"/>
      <c r="G458" s="31"/>
      <c r="H458" s="31"/>
      <c r="I458" s="25"/>
      <c r="J458" s="10"/>
      <c r="K458" s="10"/>
      <c r="L458" s="14"/>
      <c r="M458" s="14" t="b">
        <v>0</v>
      </c>
      <c r="N458" s="14" t="b">
        <v>0</v>
      </c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>
      <c r="A459" s="170"/>
      <c r="B459" s="171">
        <v>44615.0</v>
      </c>
      <c r="C459" s="17"/>
      <c r="D459" s="25"/>
      <c r="E459" s="25"/>
      <c r="F459" s="47"/>
      <c r="G459" s="31"/>
      <c r="H459" s="31"/>
      <c r="I459" s="25"/>
      <c r="J459" s="10"/>
      <c r="K459" s="10"/>
      <c r="L459" s="14"/>
      <c r="M459" s="14" t="b">
        <v>0</v>
      </c>
      <c r="N459" s="14" t="b">
        <v>0</v>
      </c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>
      <c r="A460" s="172" t="s">
        <v>408</v>
      </c>
      <c r="B460" s="173"/>
      <c r="C460" s="17"/>
      <c r="D460" s="159" t="s">
        <v>1060</v>
      </c>
      <c r="E460" s="13"/>
      <c r="F460" s="47"/>
      <c r="G460" s="31"/>
      <c r="H460" s="31"/>
      <c r="I460" s="25"/>
      <c r="J460" s="10"/>
      <c r="K460" s="10"/>
      <c r="L460" s="14"/>
      <c r="M460" s="14" t="b">
        <v>0</v>
      </c>
      <c r="N460" s="14" t="b">
        <v>0</v>
      </c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>
      <c r="A461" s="20"/>
      <c r="B461" s="175" t="s">
        <v>940</v>
      </c>
      <c r="C461" s="17"/>
      <c r="D461" s="25"/>
      <c r="E461" s="25"/>
      <c r="F461" s="19"/>
      <c r="G461" s="31"/>
      <c r="H461" s="31"/>
      <c r="I461" s="25"/>
      <c r="J461" s="10"/>
      <c r="K461" s="10"/>
      <c r="L461" s="14"/>
      <c r="M461" s="14" t="b">
        <v>0</v>
      </c>
      <c r="N461" s="14" t="b">
        <v>0</v>
      </c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>
      <c r="A462" s="20"/>
      <c r="B462" s="175" t="s">
        <v>940</v>
      </c>
      <c r="C462" s="17"/>
      <c r="D462" s="25"/>
      <c r="E462" s="25"/>
      <c r="F462" s="19"/>
      <c r="G462" s="31"/>
      <c r="H462" s="31"/>
      <c r="I462" s="25"/>
      <c r="J462" s="10"/>
      <c r="K462" s="10"/>
      <c r="L462" s="14"/>
      <c r="M462" s="14" t="b">
        <v>0</v>
      </c>
      <c r="N462" s="14" t="b">
        <v>0</v>
      </c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>
      <c r="A463" s="20"/>
      <c r="B463" s="175" t="s">
        <v>940</v>
      </c>
      <c r="C463" s="178" t="s">
        <v>1061</v>
      </c>
      <c r="D463" s="140" t="s">
        <v>987</v>
      </c>
      <c r="E463" s="140" t="s">
        <v>988</v>
      </c>
      <c r="F463" s="160" t="s">
        <v>108</v>
      </c>
      <c r="G463" s="142" t="s">
        <v>212</v>
      </c>
      <c r="H463" s="142" t="s">
        <v>1062</v>
      </c>
      <c r="I463" s="126" t="s">
        <v>990</v>
      </c>
      <c r="J463" s="69" t="s">
        <v>1063</v>
      </c>
      <c r="K463" s="10"/>
      <c r="M463" s="14" t="b">
        <v>0</v>
      </c>
      <c r="N463" s="14" t="b">
        <v>0</v>
      </c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>
      <c r="A464" s="20"/>
      <c r="B464" s="176" t="s">
        <v>940</v>
      </c>
      <c r="C464" s="17"/>
      <c r="F464" s="19"/>
      <c r="G464" s="31"/>
      <c r="H464" s="31"/>
      <c r="I464" s="25"/>
      <c r="J464" s="10"/>
      <c r="K464" s="10"/>
      <c r="L464" s="14"/>
      <c r="M464" s="14" t="b">
        <v>0</v>
      </c>
      <c r="N464" s="14" t="b">
        <v>0</v>
      </c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>
      <c r="A465" s="20"/>
      <c r="B465" s="177" t="s">
        <v>940</v>
      </c>
      <c r="C465" s="17"/>
      <c r="D465" s="25"/>
      <c r="E465" s="25"/>
      <c r="F465" s="47"/>
      <c r="G465" s="31"/>
      <c r="H465" s="31"/>
      <c r="I465" s="25"/>
      <c r="J465" s="10"/>
      <c r="K465" s="10"/>
      <c r="L465" s="14"/>
      <c r="M465" s="14" t="b">
        <v>0</v>
      </c>
      <c r="N465" s="14" t="b">
        <v>0</v>
      </c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>
      <c r="A466" s="32"/>
      <c r="B466" s="175" t="s">
        <v>940</v>
      </c>
      <c r="C466" s="17"/>
      <c r="D466" s="25"/>
      <c r="E466" s="25"/>
      <c r="F466" s="47"/>
      <c r="G466" s="31"/>
      <c r="H466" s="31"/>
      <c r="I466" s="25"/>
      <c r="J466" s="10"/>
      <c r="K466" s="10"/>
      <c r="L466" s="14"/>
      <c r="M466" s="14" t="b">
        <v>0</v>
      </c>
      <c r="N466" s="14" t="b">
        <v>0</v>
      </c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>
      <c r="A467" s="170"/>
      <c r="B467" s="171">
        <v>44616.0</v>
      </c>
      <c r="C467" s="17"/>
      <c r="D467" s="159" t="s">
        <v>1064</v>
      </c>
      <c r="E467" s="13"/>
      <c r="F467" s="47"/>
      <c r="G467" s="31"/>
      <c r="H467" s="31"/>
      <c r="I467" s="25"/>
      <c r="J467" s="10"/>
      <c r="K467" s="10"/>
      <c r="L467" s="14"/>
      <c r="M467" s="14" t="b">
        <v>0</v>
      </c>
      <c r="N467" s="14" t="b">
        <v>0</v>
      </c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>
      <c r="A468" s="172" t="s">
        <v>408</v>
      </c>
      <c r="B468" s="173"/>
      <c r="C468" s="17"/>
      <c r="D468" s="25"/>
      <c r="E468" s="25"/>
      <c r="F468" s="19"/>
      <c r="G468" s="31"/>
      <c r="H468" s="31"/>
      <c r="I468" s="25"/>
      <c r="J468" s="10"/>
      <c r="K468" s="10"/>
      <c r="L468" s="14"/>
      <c r="M468" s="14" t="b">
        <v>0</v>
      </c>
      <c r="N468" s="14" t="b">
        <v>0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>
      <c r="A469" s="20"/>
      <c r="B469" s="175" t="s">
        <v>940</v>
      </c>
      <c r="C469" s="17"/>
      <c r="D469" s="25"/>
      <c r="E469" s="25"/>
      <c r="F469" s="19"/>
      <c r="G469" s="31"/>
      <c r="H469" s="31"/>
      <c r="I469" s="25"/>
      <c r="J469" s="10"/>
      <c r="K469" s="10"/>
      <c r="L469" s="14"/>
      <c r="M469" s="14" t="b">
        <v>0</v>
      </c>
      <c r="N469" s="14" t="b">
        <v>0</v>
      </c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>
      <c r="A470" s="20"/>
      <c r="B470" s="175" t="s">
        <v>940</v>
      </c>
      <c r="C470" s="17"/>
      <c r="D470" s="25"/>
      <c r="E470" s="25"/>
      <c r="F470" s="19"/>
      <c r="G470" s="31"/>
      <c r="H470" s="31"/>
      <c r="I470" s="25"/>
      <c r="J470" s="10"/>
      <c r="K470" s="10"/>
      <c r="L470" s="14"/>
      <c r="M470" s="14" t="b">
        <v>0</v>
      </c>
      <c r="N470" s="14" t="b">
        <v>0</v>
      </c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>
      <c r="A471" s="20"/>
      <c r="B471" s="177" t="s">
        <v>940</v>
      </c>
      <c r="C471" s="126" t="s">
        <v>1065</v>
      </c>
      <c r="D471" s="140" t="s">
        <v>1066</v>
      </c>
      <c r="E471" s="140" t="s">
        <v>1067</v>
      </c>
      <c r="F471" s="160" t="s">
        <v>131</v>
      </c>
      <c r="G471" s="142" t="s">
        <v>721</v>
      </c>
      <c r="H471" s="142" t="s">
        <v>1068</v>
      </c>
      <c r="I471" s="126" t="s">
        <v>1069</v>
      </c>
      <c r="J471" s="129"/>
      <c r="K471" s="10"/>
      <c r="L471" s="14"/>
      <c r="M471" s="14" t="b">
        <v>0</v>
      </c>
      <c r="N471" s="14" t="b">
        <v>0</v>
      </c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>
      <c r="A472" s="20"/>
      <c r="B472" s="177" t="s">
        <v>940</v>
      </c>
      <c r="C472" s="50" t="s">
        <v>1065</v>
      </c>
      <c r="D472" s="144" t="s">
        <v>857</v>
      </c>
      <c r="E472" s="144" t="s">
        <v>858</v>
      </c>
      <c r="F472" s="59" t="s">
        <v>137</v>
      </c>
      <c r="G472" s="48" t="s">
        <v>859</v>
      </c>
      <c r="H472" s="48" t="s">
        <v>1070</v>
      </c>
      <c r="I472" s="50" t="s">
        <v>861</v>
      </c>
      <c r="J472" s="17" t="s">
        <v>1071</v>
      </c>
      <c r="L472" s="14"/>
      <c r="M472" s="14" t="b">
        <v>0</v>
      </c>
      <c r="N472" s="14" t="b">
        <v>0</v>
      </c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>
      <c r="A473" s="20"/>
      <c r="B473" s="177" t="s">
        <v>940</v>
      </c>
      <c r="C473" s="17"/>
      <c r="D473" s="25"/>
      <c r="E473" s="25"/>
      <c r="F473" s="19"/>
      <c r="G473" s="31"/>
      <c r="H473" s="31"/>
      <c r="I473" s="25"/>
      <c r="J473" s="10"/>
      <c r="K473" s="10"/>
      <c r="L473" s="14"/>
      <c r="M473" s="14" t="b">
        <v>0</v>
      </c>
      <c r="N473" s="14" t="b">
        <v>0</v>
      </c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>
      <c r="A474" s="32"/>
      <c r="B474" s="177" t="s">
        <v>940</v>
      </c>
      <c r="C474" s="17"/>
      <c r="D474" s="25"/>
      <c r="E474" s="25"/>
      <c r="F474" s="19"/>
      <c r="G474" s="31"/>
      <c r="H474" s="31"/>
      <c r="I474" s="25"/>
      <c r="J474" s="10"/>
      <c r="K474" s="10"/>
      <c r="L474" s="14"/>
      <c r="M474" s="14" t="b">
        <v>0</v>
      </c>
      <c r="N474" s="14" t="b">
        <v>0</v>
      </c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>
      <c r="A475" s="170"/>
      <c r="B475" s="171">
        <v>44622.0</v>
      </c>
      <c r="C475" s="17"/>
      <c r="D475" s="25"/>
      <c r="E475" s="25"/>
      <c r="F475" s="19"/>
      <c r="G475" s="31"/>
      <c r="H475" s="31"/>
      <c r="I475" s="25"/>
      <c r="J475" s="10"/>
      <c r="K475" s="10"/>
      <c r="L475" s="14"/>
      <c r="M475" s="14" t="b">
        <v>0</v>
      </c>
      <c r="N475" s="14" t="b">
        <v>0</v>
      </c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>
      <c r="A476" s="172" t="s">
        <v>408</v>
      </c>
      <c r="B476" s="179"/>
      <c r="C476" s="17"/>
      <c r="D476" s="25"/>
      <c r="E476" s="25" t="s">
        <v>1072</v>
      </c>
      <c r="F476" s="19"/>
      <c r="G476" s="31"/>
      <c r="H476" s="31"/>
      <c r="I476" s="25"/>
      <c r="J476" s="10"/>
      <c r="K476" s="10"/>
      <c r="L476" s="14"/>
      <c r="M476" s="14" t="b">
        <v>0</v>
      </c>
      <c r="N476" s="14" t="b">
        <v>0</v>
      </c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>
      <c r="A477" s="20"/>
      <c r="B477" s="177" t="s">
        <v>940</v>
      </c>
      <c r="C477" s="17"/>
      <c r="D477" s="159" t="s">
        <v>1073</v>
      </c>
      <c r="E477" s="12"/>
      <c r="F477" s="12"/>
      <c r="G477" s="13"/>
      <c r="H477" s="31"/>
      <c r="I477" s="25"/>
      <c r="J477" s="10"/>
      <c r="K477" s="10"/>
      <c r="L477" s="14"/>
      <c r="M477" s="14" t="b">
        <v>0</v>
      </c>
      <c r="N477" s="14" t="b">
        <v>0</v>
      </c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>
      <c r="A478" s="20"/>
      <c r="B478" s="177" t="s">
        <v>940</v>
      </c>
      <c r="C478" s="50" t="s">
        <v>1001</v>
      </c>
      <c r="D478" s="144" t="s">
        <v>1074</v>
      </c>
      <c r="E478" s="144" t="s">
        <v>1075</v>
      </c>
      <c r="F478" s="52">
        <v>0.5</v>
      </c>
      <c r="G478" s="48" t="s">
        <v>19</v>
      </c>
      <c r="H478" s="48" t="s">
        <v>1076</v>
      </c>
      <c r="I478" s="50" t="s">
        <v>1077</v>
      </c>
      <c r="J478" s="17" t="s">
        <v>1078</v>
      </c>
      <c r="K478" s="10"/>
      <c r="L478" s="14"/>
      <c r="M478" s="14" t="b">
        <v>0</v>
      </c>
      <c r="N478" s="14" t="b">
        <v>0</v>
      </c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>
      <c r="A479" s="20"/>
      <c r="B479" s="177" t="s">
        <v>940</v>
      </c>
      <c r="C479" s="26" t="s">
        <v>1024</v>
      </c>
      <c r="D479" s="50" t="s">
        <v>1079</v>
      </c>
      <c r="E479" s="50" t="s">
        <v>1080</v>
      </c>
      <c r="F479" s="52">
        <v>0.5833333333333334</v>
      </c>
      <c r="G479" s="50" t="s">
        <v>1081</v>
      </c>
      <c r="H479" s="50" t="s">
        <v>1082</v>
      </c>
      <c r="I479" s="50" t="s">
        <v>1083</v>
      </c>
      <c r="J479" s="17" t="s">
        <v>1078</v>
      </c>
      <c r="K479" s="10"/>
      <c r="L479" s="14"/>
      <c r="M479" s="14" t="b">
        <v>0</v>
      </c>
      <c r="N479" s="14" t="b">
        <v>0</v>
      </c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>
      <c r="A480" s="20"/>
      <c r="B480" s="177" t="s">
        <v>940</v>
      </c>
      <c r="C480" s="50" t="s">
        <v>1001</v>
      </c>
      <c r="D480" s="144" t="s">
        <v>1084</v>
      </c>
      <c r="E480" s="144" t="s">
        <v>1085</v>
      </c>
      <c r="F480" s="52">
        <v>0.625</v>
      </c>
      <c r="G480" s="48" t="s">
        <v>1086</v>
      </c>
      <c r="H480" s="48" t="s">
        <v>1087</v>
      </c>
      <c r="I480" s="144" t="s">
        <v>1088</v>
      </c>
      <c r="J480" s="17" t="s">
        <v>1078</v>
      </c>
      <c r="K480" s="10"/>
      <c r="L480" s="14"/>
      <c r="M480" s="14" t="b">
        <v>0</v>
      </c>
      <c r="N480" s="14" t="b">
        <v>0</v>
      </c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>
      <c r="A481" s="20"/>
      <c r="B481" s="177" t="s">
        <v>940</v>
      </c>
      <c r="C481" s="180"/>
      <c r="D481" s="181"/>
      <c r="E481" s="181"/>
      <c r="F481" s="131"/>
      <c r="G481" s="62"/>
      <c r="H481" s="62"/>
      <c r="I481" s="181"/>
      <c r="J481" s="10"/>
      <c r="K481" s="10"/>
      <c r="L481" s="14"/>
      <c r="M481" s="14" t="b">
        <v>0</v>
      </c>
      <c r="N481" s="14" t="b">
        <v>0</v>
      </c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>
      <c r="A482" s="20"/>
      <c r="B482" s="177" t="s">
        <v>940</v>
      </c>
      <c r="C482" s="17"/>
      <c r="D482" s="25"/>
      <c r="E482" s="25"/>
      <c r="F482" s="19"/>
      <c r="G482" s="31"/>
      <c r="H482" s="31"/>
      <c r="I482" s="25"/>
      <c r="J482" s="10"/>
      <c r="K482" s="10"/>
      <c r="L482" s="14"/>
      <c r="M482" s="14" t="b">
        <v>0</v>
      </c>
      <c r="N482" s="14" t="b">
        <v>0</v>
      </c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>
      <c r="A483" s="32"/>
      <c r="B483" s="177" t="s">
        <v>940</v>
      </c>
      <c r="C483" s="17"/>
      <c r="D483" s="25"/>
      <c r="E483" s="25"/>
      <c r="F483" s="19"/>
      <c r="G483" s="31"/>
      <c r="H483" s="31"/>
      <c r="I483" s="25"/>
      <c r="J483" s="10"/>
      <c r="K483" s="10"/>
      <c r="L483" s="14"/>
      <c r="M483" s="14" t="b">
        <v>0</v>
      </c>
      <c r="N483" s="14" t="b">
        <v>0</v>
      </c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>
      <c r="A484" s="170"/>
      <c r="B484" s="171">
        <v>44623.0</v>
      </c>
      <c r="C484" s="17"/>
      <c r="D484" s="25"/>
      <c r="E484" s="25"/>
      <c r="F484" s="19"/>
      <c r="G484" s="31"/>
      <c r="H484" s="31"/>
      <c r="I484" s="25"/>
      <c r="J484" s="10"/>
      <c r="K484" s="10"/>
      <c r="L484" s="14"/>
      <c r="M484" s="14" t="b">
        <v>0</v>
      </c>
      <c r="N484" s="14" t="b">
        <v>0</v>
      </c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>
      <c r="A485" s="172" t="s">
        <v>408</v>
      </c>
      <c r="B485" s="179"/>
      <c r="C485" s="17"/>
      <c r="D485" s="25"/>
      <c r="E485" s="25"/>
      <c r="F485" s="19"/>
      <c r="G485" s="31"/>
      <c r="H485" s="31"/>
      <c r="I485" s="25"/>
      <c r="J485" s="10"/>
      <c r="K485" s="10"/>
      <c r="L485" s="14"/>
      <c r="M485" s="14" t="b">
        <v>0</v>
      </c>
      <c r="N485" s="14" t="b">
        <v>0</v>
      </c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>
      <c r="A486" s="20"/>
      <c r="B486" s="177" t="s">
        <v>940</v>
      </c>
      <c r="C486" s="17"/>
      <c r="D486" s="25"/>
      <c r="E486" s="25" t="s">
        <v>1072</v>
      </c>
      <c r="F486" s="19"/>
      <c r="G486" s="31"/>
      <c r="H486" s="31"/>
      <c r="I486" s="25"/>
      <c r="J486" s="10"/>
      <c r="K486" s="10"/>
      <c r="L486" s="14"/>
      <c r="M486" s="14" t="b">
        <v>0</v>
      </c>
      <c r="N486" s="14" t="b">
        <v>0</v>
      </c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>
      <c r="A487" s="20"/>
      <c r="B487" s="177" t="s">
        <v>940</v>
      </c>
      <c r="C487" s="26" t="s">
        <v>1024</v>
      </c>
      <c r="D487" s="50" t="s">
        <v>1089</v>
      </c>
      <c r="E487" s="144" t="s">
        <v>1090</v>
      </c>
      <c r="F487" s="52">
        <v>0.5208333333333334</v>
      </c>
      <c r="G487" s="50" t="s">
        <v>260</v>
      </c>
      <c r="H487" s="50" t="s">
        <v>1091</v>
      </c>
      <c r="I487" s="50" t="s">
        <v>1092</v>
      </c>
      <c r="J487" s="10"/>
      <c r="K487" s="10"/>
      <c r="L487" s="14"/>
      <c r="M487" s="14" t="b">
        <v>0</v>
      </c>
      <c r="N487" s="14" t="b">
        <v>0</v>
      </c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>
      <c r="A488" s="20"/>
      <c r="B488" s="177" t="s">
        <v>940</v>
      </c>
      <c r="C488" s="26" t="s">
        <v>1024</v>
      </c>
      <c r="D488" s="50" t="s">
        <v>1093</v>
      </c>
      <c r="E488" s="50" t="s">
        <v>1094</v>
      </c>
      <c r="F488" s="52">
        <v>0.5833333333333334</v>
      </c>
      <c r="G488" s="144" t="s">
        <v>143</v>
      </c>
      <c r="H488" s="50" t="s">
        <v>1095</v>
      </c>
      <c r="I488" s="144" t="s">
        <v>1096</v>
      </c>
      <c r="J488" s="10"/>
      <c r="K488" s="10"/>
      <c r="L488" s="14"/>
      <c r="M488" s="14" t="b">
        <v>0</v>
      </c>
      <c r="N488" s="14" t="b">
        <v>0</v>
      </c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>
      <c r="A489" s="20"/>
      <c r="B489" s="177" t="s">
        <v>940</v>
      </c>
      <c r="C489" s="17"/>
      <c r="D489" s="135"/>
      <c r="E489" s="25"/>
      <c r="F489" s="23">
        <v>0.6666666666666666</v>
      </c>
      <c r="G489" s="31"/>
      <c r="H489" s="31"/>
      <c r="I489" s="25"/>
      <c r="J489" s="10"/>
      <c r="K489" s="10"/>
      <c r="L489" s="14"/>
      <c r="M489" s="14" t="b">
        <v>0</v>
      </c>
      <c r="N489" s="14" t="b">
        <v>0</v>
      </c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>
      <c r="A490" s="20"/>
      <c r="B490" s="177" t="s">
        <v>940</v>
      </c>
      <c r="C490" s="17"/>
      <c r="D490" s="25"/>
      <c r="E490" s="25"/>
      <c r="F490" s="23">
        <v>0.7291666666666666</v>
      </c>
      <c r="G490" s="31"/>
      <c r="H490" s="31"/>
      <c r="I490" s="25"/>
      <c r="J490" s="10"/>
      <c r="K490" s="10"/>
      <c r="L490" s="14"/>
      <c r="M490" s="14" t="b">
        <v>0</v>
      </c>
      <c r="N490" s="14" t="b">
        <v>0</v>
      </c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>
      <c r="A491" s="32"/>
      <c r="B491" s="177" t="s">
        <v>940</v>
      </c>
      <c r="C491" s="17"/>
      <c r="D491" s="25"/>
      <c r="E491" s="25"/>
      <c r="F491" s="19"/>
      <c r="G491" s="31"/>
      <c r="H491" s="31"/>
      <c r="I491" s="25"/>
      <c r="J491" s="10"/>
      <c r="K491" s="10"/>
      <c r="L491" s="14"/>
      <c r="M491" s="14" t="b">
        <v>0</v>
      </c>
      <c r="N491" s="14" t="b">
        <v>0</v>
      </c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>
      <c r="A492" s="170"/>
      <c r="B492" s="171">
        <v>44624.0</v>
      </c>
      <c r="C492" s="17"/>
      <c r="D492" s="25"/>
      <c r="E492" s="25"/>
      <c r="F492" s="19"/>
      <c r="G492" s="31"/>
      <c r="H492" s="31"/>
      <c r="I492" s="25"/>
      <c r="J492" s="10"/>
      <c r="K492" s="10"/>
      <c r="L492" s="14"/>
      <c r="M492" s="14" t="b">
        <v>0</v>
      </c>
      <c r="N492" s="14" t="b">
        <v>0</v>
      </c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>
      <c r="A493" s="172" t="s">
        <v>408</v>
      </c>
      <c r="B493" s="179"/>
      <c r="C493" s="17"/>
      <c r="D493" s="25"/>
      <c r="E493" s="25" t="s">
        <v>1072</v>
      </c>
      <c r="F493" s="19"/>
      <c r="G493" s="31"/>
      <c r="H493" s="31"/>
      <c r="I493" s="25"/>
      <c r="J493" s="10"/>
      <c r="K493" s="10"/>
      <c r="L493" s="14"/>
      <c r="M493" s="14" t="b">
        <v>0</v>
      </c>
      <c r="N493" s="14" t="b">
        <v>0</v>
      </c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>
      <c r="A494" s="20"/>
      <c r="B494" s="177" t="s">
        <v>940</v>
      </c>
      <c r="C494" s="17"/>
      <c r="D494" s="25"/>
      <c r="E494" s="25"/>
      <c r="F494" s="19"/>
      <c r="G494" s="31"/>
      <c r="H494" s="31"/>
      <c r="I494" s="25"/>
      <c r="J494" s="10"/>
      <c r="K494" s="10"/>
      <c r="L494" s="14"/>
      <c r="M494" s="14" t="b">
        <v>0</v>
      </c>
      <c r="N494" s="14" t="b">
        <v>0</v>
      </c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>
      <c r="A495" s="20"/>
      <c r="B495" s="177" t="s">
        <v>940</v>
      </c>
      <c r="C495" s="17"/>
      <c r="D495" s="25"/>
      <c r="E495" s="25"/>
      <c r="F495" s="23">
        <v>0.5208333333333334</v>
      </c>
      <c r="G495" s="31"/>
      <c r="H495" s="31"/>
      <c r="I495" s="25"/>
      <c r="J495" s="10"/>
      <c r="K495" s="10"/>
      <c r="L495" s="14"/>
      <c r="M495" s="14" t="b">
        <v>0</v>
      </c>
      <c r="N495" s="14" t="b">
        <v>0</v>
      </c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>
      <c r="A496" s="20"/>
      <c r="B496" s="177" t="s">
        <v>940</v>
      </c>
      <c r="C496" s="17"/>
      <c r="D496" s="25"/>
      <c r="E496" s="25"/>
      <c r="F496" s="23">
        <v>0.5833333333333334</v>
      </c>
      <c r="G496" s="31"/>
      <c r="H496" s="31"/>
      <c r="I496" s="25"/>
      <c r="J496" s="10"/>
      <c r="K496" s="10"/>
      <c r="L496" s="14"/>
      <c r="M496" s="14" t="b">
        <v>0</v>
      </c>
      <c r="N496" s="14" t="b">
        <v>0</v>
      </c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>
      <c r="A497" s="20"/>
      <c r="B497" s="177" t="s">
        <v>940</v>
      </c>
      <c r="C497" s="17"/>
      <c r="D497" s="25"/>
      <c r="E497" s="25"/>
      <c r="F497" s="23">
        <v>0.6666666666666666</v>
      </c>
      <c r="G497" s="31"/>
      <c r="H497" s="31"/>
      <c r="I497" s="25"/>
      <c r="J497" s="10"/>
      <c r="K497" s="10"/>
      <c r="L497" s="14"/>
      <c r="M497" s="14" t="b">
        <v>0</v>
      </c>
      <c r="N497" s="14" t="b">
        <v>0</v>
      </c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>
      <c r="A498" s="20"/>
      <c r="B498" s="177" t="s">
        <v>940</v>
      </c>
      <c r="C498" s="26" t="s">
        <v>1024</v>
      </c>
      <c r="D498" s="144" t="s">
        <v>1097</v>
      </c>
      <c r="E498" s="50" t="s">
        <v>1098</v>
      </c>
      <c r="F498" s="52">
        <v>0.7291666666666666</v>
      </c>
      <c r="G498" s="48" t="s">
        <v>297</v>
      </c>
      <c r="H498" s="182" t="s">
        <v>1099</v>
      </c>
      <c r="I498" s="50" t="s">
        <v>1100</v>
      </c>
      <c r="J498" s="10"/>
      <c r="K498" s="10"/>
      <c r="L498" s="14"/>
      <c r="M498" s="14" t="b">
        <v>0</v>
      </c>
      <c r="N498" s="14" t="b">
        <v>0</v>
      </c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>
      <c r="A499" s="32"/>
      <c r="B499" s="177" t="s">
        <v>940</v>
      </c>
      <c r="C499" s="17"/>
      <c r="D499" s="25"/>
      <c r="E499" s="25"/>
      <c r="F499" s="19"/>
      <c r="G499" s="31"/>
      <c r="H499" s="31"/>
      <c r="I499" s="25"/>
      <c r="J499" s="10"/>
      <c r="K499" s="10"/>
      <c r="L499" s="14"/>
      <c r="M499" s="14" t="b">
        <v>0</v>
      </c>
      <c r="N499" s="14" t="b">
        <v>0</v>
      </c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>
      <c r="A500" s="123"/>
      <c r="B500" s="124"/>
      <c r="C500" s="17"/>
      <c r="D500" s="159" t="s">
        <v>1101</v>
      </c>
      <c r="E500" s="12"/>
      <c r="F500" s="13"/>
      <c r="G500" s="31"/>
      <c r="H500" s="31"/>
      <c r="I500" s="25"/>
      <c r="J500" s="10"/>
      <c r="K500" s="10"/>
      <c r="L500" s="14"/>
      <c r="M500" s="14" t="b">
        <v>0</v>
      </c>
      <c r="N500" s="14" t="b">
        <v>0</v>
      </c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>
      <c r="A501" s="123"/>
      <c r="B501" s="124"/>
      <c r="C501" s="17"/>
      <c r="D501" s="25"/>
      <c r="E501" s="25"/>
      <c r="F501" s="19"/>
      <c r="G501" s="31"/>
      <c r="H501" s="31"/>
      <c r="I501" s="25"/>
      <c r="J501" s="10"/>
      <c r="K501" s="10"/>
      <c r="L501" s="14"/>
      <c r="M501" s="14" t="b">
        <v>0</v>
      </c>
      <c r="N501" s="14" t="b">
        <v>0</v>
      </c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>
      <c r="A502" s="123"/>
      <c r="B502" s="124"/>
      <c r="C502" s="17"/>
      <c r="D502" s="25"/>
      <c r="E502" s="25"/>
      <c r="F502" s="19"/>
      <c r="G502" s="31"/>
      <c r="H502" s="31"/>
      <c r="I502" s="25"/>
      <c r="J502" s="10"/>
      <c r="K502" s="10"/>
      <c r="L502" s="14"/>
      <c r="M502" s="14" t="b">
        <v>0</v>
      </c>
      <c r="N502" s="14" t="b">
        <v>0</v>
      </c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>
      <c r="A503" s="123"/>
      <c r="B503" s="124"/>
      <c r="C503" s="17"/>
      <c r="D503" s="25"/>
      <c r="E503" s="25"/>
      <c r="F503" s="19"/>
      <c r="G503" s="31"/>
      <c r="H503" s="31"/>
      <c r="I503" s="25"/>
      <c r="J503" s="10"/>
      <c r="K503" s="10"/>
      <c r="L503" s="14"/>
      <c r="M503" s="14" t="b">
        <v>0</v>
      </c>
      <c r="N503" s="14" t="b">
        <v>0</v>
      </c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>
      <c r="A504" s="123"/>
      <c r="B504" s="124"/>
      <c r="C504" s="17"/>
      <c r="D504" s="25"/>
      <c r="E504" s="25"/>
      <c r="F504" s="19"/>
      <c r="G504" s="31"/>
      <c r="H504" s="31"/>
      <c r="I504" s="25"/>
      <c r="J504" s="10"/>
      <c r="K504" s="10"/>
      <c r="L504" s="14"/>
      <c r="M504" s="14" t="b">
        <v>0</v>
      </c>
      <c r="N504" s="14" t="b">
        <v>0</v>
      </c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>
      <c r="A505" s="123"/>
      <c r="B505" s="124"/>
      <c r="C505" s="17"/>
      <c r="D505" s="25"/>
      <c r="E505" s="25"/>
      <c r="F505" s="19"/>
      <c r="G505" s="31"/>
      <c r="H505" s="31"/>
      <c r="I505" s="25"/>
      <c r="J505" s="10"/>
      <c r="K505" s="10"/>
      <c r="L505" s="14"/>
      <c r="M505" s="14" t="b">
        <v>0</v>
      </c>
      <c r="N505" s="14" t="b">
        <v>0</v>
      </c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>
      <c r="A506" s="123"/>
      <c r="B506" s="124"/>
      <c r="C506" s="17"/>
      <c r="D506" s="25"/>
      <c r="E506" s="25"/>
      <c r="F506" s="19"/>
      <c r="G506" s="31"/>
      <c r="H506" s="31"/>
      <c r="I506" s="25"/>
      <c r="J506" s="10"/>
      <c r="K506" s="10"/>
      <c r="L506" s="14"/>
      <c r="M506" s="14" t="b">
        <v>0</v>
      </c>
      <c r="N506" s="14" t="b">
        <v>0</v>
      </c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>
      <c r="A507" s="123"/>
      <c r="B507" s="124"/>
      <c r="C507" s="17"/>
      <c r="D507" s="25"/>
      <c r="E507" s="25"/>
      <c r="F507" s="19"/>
      <c r="G507" s="31"/>
      <c r="H507" s="31"/>
      <c r="I507" s="25"/>
      <c r="J507" s="10"/>
      <c r="K507" s="10"/>
      <c r="L507" s="14"/>
      <c r="M507" s="14" t="b">
        <v>0</v>
      </c>
      <c r="N507" s="14" t="b">
        <v>0</v>
      </c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>
      <c r="A508" s="123"/>
      <c r="B508" s="124"/>
      <c r="C508" s="17"/>
      <c r="D508" s="25"/>
      <c r="E508" s="25"/>
      <c r="F508" s="19"/>
      <c r="G508" s="31"/>
      <c r="H508" s="31"/>
      <c r="I508" s="25"/>
      <c r="J508" s="10"/>
      <c r="K508" s="10"/>
      <c r="L508" s="14"/>
      <c r="M508" s="14" t="b">
        <v>0</v>
      </c>
      <c r="N508" s="14" t="b">
        <v>0</v>
      </c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>
      <c r="A509" s="123"/>
      <c r="B509" s="124"/>
      <c r="C509" s="17"/>
      <c r="D509" s="25"/>
      <c r="E509" s="25"/>
      <c r="F509" s="19"/>
      <c r="G509" s="31"/>
      <c r="H509" s="31"/>
      <c r="I509" s="25"/>
      <c r="J509" s="10"/>
      <c r="K509" s="10"/>
      <c r="L509" s="14"/>
      <c r="M509" s="14" t="b">
        <v>0</v>
      </c>
      <c r="N509" s="14" t="b">
        <v>0</v>
      </c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>
      <c r="A510" s="123"/>
      <c r="B510" s="124"/>
      <c r="C510" s="17"/>
      <c r="D510" s="25"/>
      <c r="E510" s="25"/>
      <c r="F510" s="19"/>
      <c r="G510" s="31"/>
      <c r="H510" s="31"/>
      <c r="I510" s="25"/>
      <c r="J510" s="10"/>
      <c r="K510" s="10"/>
      <c r="L510" s="14"/>
      <c r="M510" s="14" t="b">
        <v>0</v>
      </c>
      <c r="N510" s="14" t="b">
        <v>0</v>
      </c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>
      <c r="A511" s="123"/>
      <c r="B511" s="124"/>
      <c r="C511" s="17"/>
      <c r="D511" s="25"/>
      <c r="E511" s="25"/>
      <c r="F511" s="19"/>
      <c r="G511" s="31"/>
      <c r="H511" s="31"/>
      <c r="I511" s="25"/>
      <c r="J511" s="10"/>
      <c r="K511" s="10"/>
      <c r="L511" s="14"/>
      <c r="M511" s="14" t="b">
        <v>0</v>
      </c>
      <c r="N511" s="14" t="b">
        <v>0</v>
      </c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>
      <c r="A512" s="123"/>
      <c r="B512" s="124"/>
      <c r="C512" s="17"/>
      <c r="D512" s="25"/>
      <c r="E512" s="25"/>
      <c r="F512" s="19"/>
      <c r="G512" s="31"/>
      <c r="H512" s="31"/>
      <c r="I512" s="25"/>
      <c r="J512" s="10"/>
      <c r="K512" s="10"/>
      <c r="L512" s="14"/>
      <c r="M512" s="14" t="b">
        <v>0</v>
      </c>
      <c r="N512" s="14" t="b">
        <v>0</v>
      </c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>
      <c r="A513" s="123"/>
      <c r="B513" s="124"/>
      <c r="C513" s="17"/>
      <c r="D513" s="25"/>
      <c r="E513" s="25"/>
      <c r="F513" s="19"/>
      <c r="G513" s="31"/>
      <c r="H513" s="31"/>
      <c r="I513" s="25"/>
      <c r="J513" s="10"/>
      <c r="K513" s="10"/>
      <c r="L513" s="14"/>
      <c r="M513" s="14" t="b">
        <v>0</v>
      </c>
      <c r="N513" s="14" t="b">
        <v>0</v>
      </c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>
      <c r="A514" s="123"/>
      <c r="B514" s="124"/>
      <c r="C514" s="17"/>
      <c r="D514" s="25"/>
      <c r="E514" s="25"/>
      <c r="F514" s="19"/>
      <c r="G514" s="31"/>
      <c r="H514" s="31"/>
      <c r="I514" s="25"/>
      <c r="J514" s="10"/>
      <c r="K514" s="10"/>
      <c r="L514" s="14"/>
      <c r="M514" s="14" t="b">
        <v>0</v>
      </c>
      <c r="N514" s="14" t="b">
        <v>0</v>
      </c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>
      <c r="A515" s="123"/>
      <c r="B515" s="124"/>
      <c r="C515" s="17"/>
      <c r="D515" s="25"/>
      <c r="E515" s="25"/>
      <c r="F515" s="19"/>
      <c r="G515" s="31"/>
      <c r="H515" s="31"/>
      <c r="I515" s="25"/>
      <c r="J515" s="10"/>
      <c r="K515" s="10"/>
      <c r="L515" s="14"/>
      <c r="M515" s="14" t="b">
        <v>0</v>
      </c>
      <c r="N515" s="14" t="b">
        <v>0</v>
      </c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>
      <c r="A516" s="123"/>
      <c r="B516" s="124"/>
      <c r="C516" s="17"/>
      <c r="D516" s="25"/>
      <c r="E516" s="25"/>
      <c r="F516" s="19"/>
      <c r="G516" s="31"/>
      <c r="H516" s="31"/>
      <c r="I516" s="25"/>
      <c r="J516" s="10"/>
      <c r="K516" s="10"/>
      <c r="L516" s="14"/>
      <c r="M516" s="14" t="b">
        <v>0</v>
      </c>
      <c r="N516" s="14" t="b">
        <v>0</v>
      </c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>
      <c r="A517" s="123"/>
      <c r="B517" s="124"/>
      <c r="C517" s="17"/>
      <c r="D517" s="25"/>
      <c r="E517" s="25"/>
      <c r="F517" s="19"/>
      <c r="G517" s="31"/>
      <c r="H517" s="31"/>
      <c r="I517" s="25"/>
      <c r="J517" s="10"/>
      <c r="K517" s="10"/>
      <c r="L517" s="14"/>
      <c r="M517" s="14" t="b">
        <v>0</v>
      </c>
      <c r="N517" s="14" t="b">
        <v>0</v>
      </c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>
      <c r="A518" s="123"/>
      <c r="B518" s="124"/>
      <c r="C518" s="17"/>
      <c r="D518" s="25"/>
      <c r="E518" s="25"/>
      <c r="F518" s="19"/>
      <c r="G518" s="31"/>
      <c r="H518" s="31"/>
      <c r="I518" s="25"/>
      <c r="J518" s="10"/>
      <c r="K518" s="10"/>
      <c r="L518" s="14"/>
      <c r="M518" s="14" t="b">
        <v>0</v>
      </c>
      <c r="N518" s="14" t="b">
        <v>0</v>
      </c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>
      <c r="A519" s="123"/>
      <c r="B519" s="124"/>
      <c r="C519" s="17"/>
      <c r="D519" s="25"/>
      <c r="E519" s="25"/>
      <c r="F519" s="19"/>
      <c r="G519" s="31"/>
      <c r="H519" s="31"/>
      <c r="I519" s="25"/>
      <c r="J519" s="10"/>
      <c r="K519" s="10"/>
      <c r="L519" s="14"/>
      <c r="M519" s="14" t="b">
        <v>0</v>
      </c>
      <c r="N519" s="14" t="b">
        <v>0</v>
      </c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>
      <c r="A520" s="123"/>
      <c r="B520" s="124"/>
      <c r="C520" s="17"/>
      <c r="D520" s="25"/>
      <c r="E520" s="25"/>
      <c r="F520" s="19"/>
      <c r="G520" s="31"/>
      <c r="H520" s="31"/>
      <c r="I520" s="25"/>
      <c r="J520" s="10"/>
      <c r="K520" s="10"/>
      <c r="L520" s="14"/>
      <c r="M520" s="14" t="b">
        <v>0</v>
      </c>
      <c r="N520" s="14" t="b">
        <v>0</v>
      </c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>
      <c r="A521" s="123"/>
      <c r="B521" s="124"/>
      <c r="C521" s="17"/>
      <c r="D521" s="25"/>
      <c r="E521" s="25"/>
      <c r="F521" s="19"/>
      <c r="G521" s="31"/>
      <c r="H521" s="31"/>
      <c r="I521" s="25"/>
      <c r="J521" s="10"/>
      <c r="K521" s="10"/>
      <c r="L521" s="14"/>
      <c r="M521" s="14" t="b">
        <v>0</v>
      </c>
      <c r="N521" s="14" t="b">
        <v>0</v>
      </c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>
      <c r="A522" s="123"/>
      <c r="B522" s="124"/>
      <c r="C522" s="17"/>
      <c r="D522" s="25"/>
      <c r="E522" s="25"/>
      <c r="F522" s="19"/>
      <c r="G522" s="31"/>
      <c r="H522" s="31"/>
      <c r="I522" s="25"/>
      <c r="J522" s="10"/>
      <c r="K522" s="10"/>
      <c r="L522" s="14"/>
      <c r="M522" s="14" t="b">
        <v>0</v>
      </c>
      <c r="N522" s="14" t="b">
        <v>0</v>
      </c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>
      <c r="A523" s="123"/>
      <c r="B523" s="124"/>
      <c r="C523" s="17"/>
      <c r="D523" s="25"/>
      <c r="E523" s="25"/>
      <c r="F523" s="19"/>
      <c r="G523" s="31"/>
      <c r="H523" s="31"/>
      <c r="I523" s="25"/>
      <c r="J523" s="10"/>
      <c r="K523" s="10"/>
      <c r="L523" s="14"/>
      <c r="M523" s="14" t="b">
        <v>0</v>
      </c>
      <c r="N523" s="14" t="b">
        <v>0</v>
      </c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>
      <c r="A524" s="123"/>
      <c r="B524" s="124"/>
      <c r="C524" s="17"/>
      <c r="D524" s="25"/>
      <c r="E524" s="25"/>
      <c r="F524" s="19"/>
      <c r="G524" s="31"/>
      <c r="H524" s="31"/>
      <c r="I524" s="25"/>
      <c r="J524" s="10"/>
      <c r="K524" s="10"/>
      <c r="L524" s="14"/>
      <c r="M524" s="14" t="b">
        <v>0</v>
      </c>
      <c r="N524" s="14" t="b">
        <v>0</v>
      </c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>
      <c r="A525" s="123"/>
      <c r="B525" s="124"/>
      <c r="C525" s="17"/>
      <c r="D525" s="25"/>
      <c r="E525" s="25"/>
      <c r="F525" s="19"/>
      <c r="G525" s="31"/>
      <c r="H525" s="31"/>
      <c r="I525" s="25"/>
      <c r="J525" s="10"/>
      <c r="K525" s="10"/>
      <c r="L525" s="14"/>
      <c r="M525" s="14" t="b">
        <v>0</v>
      </c>
      <c r="N525" s="14" t="b">
        <v>0</v>
      </c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</row>
    <row r="526">
      <c r="A526" s="123"/>
      <c r="B526" s="124"/>
      <c r="C526" s="17"/>
      <c r="D526" s="25"/>
      <c r="E526" s="25"/>
      <c r="F526" s="19"/>
      <c r="G526" s="31"/>
      <c r="H526" s="31"/>
      <c r="I526" s="25"/>
      <c r="J526" s="10"/>
      <c r="K526" s="10"/>
      <c r="L526" s="14"/>
      <c r="M526" s="14" t="b">
        <v>0</v>
      </c>
      <c r="N526" s="14" t="b">
        <v>0</v>
      </c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>
      <c r="A527" s="123"/>
      <c r="B527" s="124"/>
      <c r="C527" s="17"/>
      <c r="D527" s="25"/>
      <c r="E527" s="25"/>
      <c r="F527" s="19"/>
      <c r="G527" s="31"/>
      <c r="H527" s="31"/>
      <c r="I527" s="25"/>
      <c r="J527" s="10"/>
      <c r="K527" s="10"/>
      <c r="L527" s="14"/>
      <c r="M527" s="14" t="b">
        <v>0</v>
      </c>
      <c r="N527" s="14" t="b">
        <v>0</v>
      </c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>
      <c r="A528" s="123"/>
      <c r="B528" s="124"/>
      <c r="C528" s="17"/>
      <c r="D528" s="25"/>
      <c r="E528" s="25"/>
      <c r="F528" s="19"/>
      <c r="G528" s="31"/>
      <c r="H528" s="31"/>
      <c r="I528" s="25"/>
      <c r="J528" s="10"/>
      <c r="K528" s="10"/>
      <c r="L528" s="14"/>
      <c r="M528" s="14" t="b">
        <v>0</v>
      </c>
      <c r="N528" s="14" t="b">
        <v>0</v>
      </c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>
      <c r="A529" s="123"/>
      <c r="B529" s="124"/>
      <c r="C529" s="17"/>
      <c r="D529" s="25"/>
      <c r="E529" s="25"/>
      <c r="F529" s="19"/>
      <c r="G529" s="31"/>
      <c r="H529" s="31"/>
      <c r="I529" s="25"/>
      <c r="J529" s="10"/>
      <c r="K529" s="10"/>
      <c r="L529" s="14"/>
      <c r="M529" s="14" t="b">
        <v>0</v>
      </c>
      <c r="N529" s="14" t="b">
        <v>0</v>
      </c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>
      <c r="A530" s="123"/>
      <c r="B530" s="124"/>
      <c r="C530" s="17"/>
      <c r="D530" s="25"/>
      <c r="E530" s="25"/>
      <c r="F530" s="19"/>
      <c r="G530" s="31"/>
      <c r="H530" s="31"/>
      <c r="I530" s="25"/>
      <c r="J530" s="10"/>
      <c r="K530" s="10"/>
      <c r="L530" s="14"/>
      <c r="M530" s="14" t="b">
        <v>0</v>
      </c>
      <c r="N530" s="14" t="b">
        <v>0</v>
      </c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>
      <c r="A531" s="123"/>
      <c r="B531" s="124"/>
      <c r="C531" s="17"/>
      <c r="D531" s="25"/>
      <c r="E531" s="25"/>
      <c r="F531" s="19"/>
      <c r="G531" s="31"/>
      <c r="H531" s="31"/>
      <c r="I531" s="25"/>
      <c r="J531" s="10"/>
      <c r="K531" s="10"/>
      <c r="L531" s="14"/>
      <c r="M531" s="14" t="b">
        <v>0</v>
      </c>
      <c r="N531" s="14" t="b">
        <v>0</v>
      </c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>
      <c r="A532" s="123"/>
      <c r="B532" s="124"/>
      <c r="C532" s="17"/>
      <c r="D532" s="25"/>
      <c r="E532" s="25"/>
      <c r="F532" s="19"/>
      <c r="G532" s="31"/>
      <c r="H532" s="31"/>
      <c r="I532" s="25"/>
      <c r="J532" s="10"/>
      <c r="K532" s="10"/>
      <c r="L532" s="14"/>
      <c r="M532" s="14" t="b">
        <v>0</v>
      </c>
      <c r="N532" s="14" t="b">
        <v>0</v>
      </c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>
      <c r="A533" s="123"/>
      <c r="B533" s="124"/>
      <c r="C533" s="17"/>
      <c r="D533" s="25"/>
      <c r="E533" s="25"/>
      <c r="F533" s="19"/>
      <c r="G533" s="31"/>
      <c r="H533" s="31"/>
      <c r="I533" s="25"/>
      <c r="J533" s="10"/>
      <c r="K533" s="10"/>
      <c r="L533" s="14"/>
      <c r="M533" s="14" t="b">
        <v>0</v>
      </c>
      <c r="N533" s="14" t="b">
        <v>0</v>
      </c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>
      <c r="A534" s="123"/>
      <c r="B534" s="124"/>
      <c r="C534" s="17"/>
      <c r="D534" s="25"/>
      <c r="E534" s="25"/>
      <c r="F534" s="19"/>
      <c r="G534" s="31"/>
      <c r="H534" s="31"/>
      <c r="I534" s="25"/>
      <c r="J534" s="10"/>
      <c r="K534" s="10"/>
      <c r="L534" s="14"/>
      <c r="M534" s="14" t="b">
        <v>0</v>
      </c>
      <c r="N534" s="14" t="b">
        <v>0</v>
      </c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>
      <c r="A535" s="123"/>
      <c r="B535" s="124"/>
      <c r="C535" s="17"/>
      <c r="D535" s="25"/>
      <c r="E535" s="25"/>
      <c r="F535" s="19"/>
      <c r="G535" s="31"/>
      <c r="H535" s="31"/>
      <c r="I535" s="25"/>
      <c r="J535" s="10"/>
      <c r="K535" s="10"/>
      <c r="L535" s="14"/>
      <c r="M535" s="14" t="b">
        <v>0</v>
      </c>
      <c r="N535" s="14" t="b">
        <v>0</v>
      </c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>
      <c r="A536" s="123"/>
      <c r="B536" s="124"/>
      <c r="C536" s="17"/>
      <c r="D536" s="25"/>
      <c r="E536" s="25"/>
      <c r="F536" s="19"/>
      <c r="G536" s="31"/>
      <c r="H536" s="31"/>
      <c r="I536" s="25"/>
      <c r="J536" s="10"/>
      <c r="K536" s="10"/>
      <c r="L536" s="14"/>
      <c r="M536" s="14" t="b">
        <v>0</v>
      </c>
      <c r="N536" s="14" t="b">
        <v>0</v>
      </c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>
      <c r="A537" s="123"/>
      <c r="B537" s="124"/>
      <c r="C537" s="17"/>
      <c r="D537" s="25"/>
      <c r="E537" s="25"/>
      <c r="F537" s="19"/>
      <c r="G537" s="31"/>
      <c r="H537" s="31"/>
      <c r="I537" s="25"/>
      <c r="J537" s="10"/>
      <c r="K537" s="10"/>
      <c r="L537" s="14"/>
      <c r="M537" s="14" t="b">
        <v>0</v>
      </c>
      <c r="N537" s="14" t="b">
        <v>0</v>
      </c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>
      <c r="A538" s="123"/>
      <c r="B538" s="124"/>
      <c r="C538" s="17"/>
      <c r="D538" s="25"/>
      <c r="E538" s="25"/>
      <c r="F538" s="19"/>
      <c r="G538" s="31"/>
      <c r="H538" s="31"/>
      <c r="I538" s="25"/>
      <c r="J538" s="10"/>
      <c r="K538" s="10"/>
      <c r="L538" s="14"/>
      <c r="M538" s="14" t="b">
        <v>0</v>
      </c>
      <c r="N538" s="14" t="b">
        <v>0</v>
      </c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>
      <c r="A539" s="123"/>
      <c r="B539" s="124"/>
      <c r="C539" s="17"/>
      <c r="D539" s="25"/>
      <c r="E539" s="25"/>
      <c r="F539" s="19"/>
      <c r="G539" s="31"/>
      <c r="H539" s="31"/>
      <c r="I539" s="25"/>
      <c r="J539" s="10"/>
      <c r="K539" s="10"/>
      <c r="L539" s="14"/>
      <c r="M539" s="14" t="b">
        <v>0</v>
      </c>
      <c r="N539" s="14" t="b">
        <v>0</v>
      </c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>
      <c r="A540" s="123"/>
      <c r="B540" s="124"/>
      <c r="C540" s="17"/>
      <c r="D540" s="25"/>
      <c r="E540" s="25"/>
      <c r="F540" s="19"/>
      <c r="G540" s="31"/>
      <c r="H540" s="31"/>
      <c r="I540" s="25"/>
      <c r="J540" s="10"/>
      <c r="K540" s="10"/>
      <c r="L540" s="14"/>
      <c r="M540" s="14" t="b">
        <v>0</v>
      </c>
      <c r="N540" s="14" t="b">
        <v>0</v>
      </c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>
      <c r="A541" s="123"/>
      <c r="B541" s="124"/>
      <c r="C541" s="17"/>
      <c r="D541" s="25"/>
      <c r="E541" s="25"/>
      <c r="F541" s="19"/>
      <c r="G541" s="31"/>
      <c r="H541" s="31"/>
      <c r="I541" s="25"/>
      <c r="J541" s="10"/>
      <c r="K541" s="10"/>
      <c r="L541" s="14"/>
      <c r="M541" s="14" t="b">
        <v>0</v>
      </c>
      <c r="N541" s="14" t="b">
        <v>0</v>
      </c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>
      <c r="A542" s="123"/>
      <c r="B542" s="124"/>
      <c r="C542" s="17"/>
      <c r="D542" s="25"/>
      <c r="E542" s="25"/>
      <c r="F542" s="19"/>
      <c r="G542" s="31"/>
      <c r="H542" s="31"/>
      <c r="I542" s="25"/>
      <c r="J542" s="10"/>
      <c r="K542" s="10"/>
      <c r="L542" s="14"/>
      <c r="M542" s="14" t="b">
        <v>0</v>
      </c>
      <c r="N542" s="14" t="b">
        <v>0</v>
      </c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>
      <c r="A543" s="123"/>
      <c r="B543" s="124"/>
      <c r="C543" s="17"/>
      <c r="D543" s="25"/>
      <c r="E543" s="25"/>
      <c r="F543" s="19"/>
      <c r="G543" s="31"/>
      <c r="H543" s="31"/>
      <c r="I543" s="25"/>
      <c r="J543" s="10"/>
      <c r="K543" s="10"/>
      <c r="L543" s="14"/>
      <c r="M543" s="14" t="b">
        <v>0</v>
      </c>
      <c r="N543" s="14" t="b">
        <v>0</v>
      </c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>
      <c r="A544" s="123"/>
      <c r="B544" s="124"/>
      <c r="C544" s="17"/>
      <c r="D544" s="25"/>
      <c r="E544" s="25"/>
      <c r="F544" s="19"/>
      <c r="G544" s="31"/>
      <c r="H544" s="31"/>
      <c r="I544" s="25"/>
      <c r="J544" s="10"/>
      <c r="K544" s="10"/>
      <c r="L544" s="14"/>
      <c r="M544" s="14" t="b">
        <v>0</v>
      </c>
      <c r="N544" s="14" t="b">
        <v>0</v>
      </c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>
      <c r="A545" s="123"/>
      <c r="B545" s="124"/>
      <c r="C545" s="17"/>
      <c r="D545" s="25"/>
      <c r="E545" s="25"/>
      <c r="F545" s="19"/>
      <c r="G545" s="31"/>
      <c r="H545" s="31"/>
      <c r="I545" s="25"/>
      <c r="J545" s="10"/>
      <c r="K545" s="10"/>
      <c r="L545" s="14"/>
      <c r="M545" s="14" t="b">
        <v>0</v>
      </c>
      <c r="N545" s="14" t="b">
        <v>0</v>
      </c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>
      <c r="A546" s="123"/>
      <c r="B546" s="124"/>
      <c r="C546" s="17"/>
      <c r="D546" s="25"/>
      <c r="E546" s="25"/>
      <c r="F546" s="19"/>
      <c r="G546" s="31"/>
      <c r="H546" s="31"/>
      <c r="I546" s="25"/>
      <c r="J546" s="10"/>
      <c r="K546" s="10"/>
      <c r="L546" s="14"/>
      <c r="M546" s="14" t="b">
        <v>0</v>
      </c>
      <c r="N546" s="14" t="b">
        <v>0</v>
      </c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>
      <c r="A547" s="123"/>
      <c r="B547" s="124"/>
      <c r="C547" s="17"/>
      <c r="D547" s="25"/>
      <c r="E547" s="25"/>
      <c r="F547" s="19"/>
      <c r="G547" s="31"/>
      <c r="H547" s="31"/>
      <c r="I547" s="25"/>
      <c r="J547" s="10"/>
      <c r="K547" s="10"/>
      <c r="L547" s="14"/>
      <c r="M547" s="14" t="b">
        <v>0</v>
      </c>
      <c r="N547" s="14" t="b">
        <v>0</v>
      </c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>
      <c r="A548" s="123"/>
      <c r="B548" s="124"/>
      <c r="C548" s="17"/>
      <c r="D548" s="25"/>
      <c r="E548" s="25"/>
      <c r="F548" s="19"/>
      <c r="G548" s="31"/>
      <c r="H548" s="31"/>
      <c r="I548" s="25"/>
      <c r="J548" s="10"/>
      <c r="K548" s="10"/>
      <c r="L548" s="14"/>
      <c r="M548" s="14" t="b">
        <v>0</v>
      </c>
      <c r="N548" s="14" t="b">
        <v>0</v>
      </c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>
      <c r="A549" s="123"/>
      <c r="B549" s="124"/>
      <c r="C549" s="17"/>
      <c r="D549" s="25"/>
      <c r="E549" s="25"/>
      <c r="F549" s="19"/>
      <c r="G549" s="31"/>
      <c r="H549" s="31"/>
      <c r="I549" s="25"/>
      <c r="J549" s="10"/>
      <c r="K549" s="10"/>
      <c r="L549" s="14"/>
      <c r="M549" s="14" t="b">
        <v>0</v>
      </c>
      <c r="N549" s="14" t="b">
        <v>0</v>
      </c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>
      <c r="A550" s="123"/>
      <c r="B550" s="124"/>
      <c r="C550" s="17"/>
      <c r="D550" s="25"/>
      <c r="E550" s="25"/>
      <c r="F550" s="19"/>
      <c r="G550" s="31"/>
      <c r="H550" s="31"/>
      <c r="I550" s="25"/>
      <c r="J550" s="10"/>
      <c r="K550" s="10"/>
      <c r="L550" s="14"/>
      <c r="M550" s="14" t="b">
        <v>0</v>
      </c>
      <c r="N550" s="14" t="b">
        <v>0</v>
      </c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>
      <c r="A551" s="123"/>
      <c r="B551" s="124"/>
      <c r="C551" s="17"/>
      <c r="D551" s="25"/>
      <c r="E551" s="25"/>
      <c r="F551" s="19"/>
      <c r="G551" s="31"/>
      <c r="H551" s="31"/>
      <c r="I551" s="25"/>
      <c r="J551" s="10"/>
      <c r="K551" s="10"/>
      <c r="L551" s="14"/>
      <c r="M551" s="14" t="b">
        <v>0</v>
      </c>
      <c r="N551" s="14" t="b">
        <v>0</v>
      </c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>
      <c r="A552" s="123"/>
      <c r="B552" s="124"/>
      <c r="C552" s="17"/>
      <c r="D552" s="25"/>
      <c r="E552" s="25"/>
      <c r="F552" s="19"/>
      <c r="G552" s="31"/>
      <c r="H552" s="31"/>
      <c r="I552" s="25"/>
      <c r="J552" s="10"/>
      <c r="K552" s="10"/>
      <c r="L552" s="14"/>
      <c r="M552" s="14" t="b">
        <v>0</v>
      </c>
      <c r="N552" s="14" t="b">
        <v>0</v>
      </c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>
      <c r="A553" s="123"/>
      <c r="B553" s="124"/>
      <c r="C553" s="17"/>
      <c r="D553" s="25"/>
      <c r="E553" s="25"/>
      <c r="F553" s="19"/>
      <c r="G553" s="31"/>
      <c r="H553" s="31"/>
      <c r="I553" s="25"/>
      <c r="J553" s="10"/>
      <c r="K553" s="10"/>
      <c r="L553" s="14"/>
      <c r="M553" s="14" t="b">
        <v>0</v>
      </c>
      <c r="N553" s="14" t="b">
        <v>0</v>
      </c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>
      <c r="A554" s="123"/>
      <c r="B554" s="124"/>
      <c r="C554" s="17"/>
      <c r="D554" s="25"/>
      <c r="E554" s="25"/>
      <c r="F554" s="19"/>
      <c r="G554" s="31"/>
      <c r="H554" s="31"/>
      <c r="I554" s="25"/>
      <c r="J554" s="10"/>
      <c r="K554" s="10"/>
      <c r="L554" s="14"/>
      <c r="M554" s="14" t="b">
        <v>0</v>
      </c>
      <c r="N554" s="14" t="b">
        <v>0</v>
      </c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>
      <c r="A555" s="123"/>
      <c r="B555" s="124"/>
      <c r="C555" s="17"/>
      <c r="D555" s="25"/>
      <c r="E555" s="25"/>
      <c r="F555" s="19"/>
      <c r="G555" s="31"/>
      <c r="H555" s="31"/>
      <c r="I555" s="25"/>
      <c r="J555" s="10"/>
      <c r="K555" s="10"/>
      <c r="L555" s="14"/>
      <c r="M555" s="14" t="b">
        <v>0</v>
      </c>
      <c r="N555" s="14" t="b">
        <v>0</v>
      </c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>
      <c r="A556" s="123"/>
      <c r="B556" s="124"/>
      <c r="C556" s="17"/>
      <c r="D556" s="25"/>
      <c r="E556" s="25"/>
      <c r="F556" s="19"/>
      <c r="G556" s="31"/>
      <c r="H556" s="31"/>
      <c r="I556" s="25"/>
      <c r="J556" s="10"/>
      <c r="K556" s="10"/>
      <c r="L556" s="14"/>
      <c r="M556" s="14" t="b">
        <v>0</v>
      </c>
      <c r="N556" s="14" t="b">
        <v>0</v>
      </c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>
      <c r="A557" s="123"/>
      <c r="B557" s="124"/>
      <c r="C557" s="17"/>
      <c r="D557" s="25"/>
      <c r="E557" s="25"/>
      <c r="F557" s="19"/>
      <c r="G557" s="31"/>
      <c r="H557" s="31"/>
      <c r="I557" s="25"/>
      <c r="J557" s="10"/>
      <c r="K557" s="10"/>
      <c r="L557" s="14"/>
      <c r="M557" s="14" t="b">
        <v>0</v>
      </c>
      <c r="N557" s="14" t="b">
        <v>0</v>
      </c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>
      <c r="A558" s="123"/>
      <c r="B558" s="124"/>
      <c r="C558" s="17"/>
      <c r="D558" s="25"/>
      <c r="E558" s="25"/>
      <c r="F558" s="19"/>
      <c r="G558" s="31"/>
      <c r="H558" s="31"/>
      <c r="I558" s="25"/>
      <c r="J558" s="10"/>
      <c r="K558" s="10"/>
      <c r="L558" s="14"/>
      <c r="M558" s="14" t="b">
        <v>0</v>
      </c>
      <c r="N558" s="14" t="b">
        <v>0</v>
      </c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>
      <c r="A559" s="123"/>
      <c r="B559" s="124"/>
      <c r="C559" s="17"/>
      <c r="D559" s="25"/>
      <c r="E559" s="25"/>
      <c r="F559" s="19"/>
      <c r="G559" s="31"/>
      <c r="H559" s="31"/>
      <c r="I559" s="25"/>
      <c r="J559" s="10"/>
      <c r="K559" s="10"/>
      <c r="L559" s="14"/>
      <c r="M559" s="14" t="b">
        <v>0</v>
      </c>
      <c r="N559" s="14" t="b">
        <v>0</v>
      </c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>
      <c r="A560" s="123"/>
      <c r="B560" s="124"/>
      <c r="C560" s="17"/>
      <c r="D560" s="25"/>
      <c r="E560" s="25"/>
      <c r="F560" s="19"/>
      <c r="G560" s="31"/>
      <c r="H560" s="31"/>
      <c r="I560" s="25"/>
      <c r="J560" s="10"/>
      <c r="K560" s="10"/>
      <c r="L560" s="14"/>
      <c r="M560" s="14" t="b">
        <v>0</v>
      </c>
      <c r="N560" s="14" t="b">
        <v>0</v>
      </c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>
      <c r="A561" s="123"/>
      <c r="B561" s="124"/>
      <c r="C561" s="17"/>
      <c r="D561" s="25"/>
      <c r="E561" s="25"/>
      <c r="F561" s="19"/>
      <c r="G561" s="31"/>
      <c r="H561" s="31"/>
      <c r="I561" s="25"/>
      <c r="J561" s="10"/>
      <c r="K561" s="10"/>
      <c r="L561" s="14"/>
      <c r="M561" s="14" t="b">
        <v>0</v>
      </c>
      <c r="N561" s="14" t="b">
        <v>0</v>
      </c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>
      <c r="A562" s="123"/>
      <c r="B562" s="124"/>
      <c r="C562" s="17"/>
      <c r="D562" s="25"/>
      <c r="E562" s="25"/>
      <c r="F562" s="19"/>
      <c r="G562" s="31"/>
      <c r="H562" s="31"/>
      <c r="I562" s="25"/>
      <c r="J562" s="10"/>
      <c r="K562" s="10"/>
      <c r="L562" s="14"/>
      <c r="M562" s="14" t="b">
        <v>0</v>
      </c>
      <c r="N562" s="14" t="b">
        <v>0</v>
      </c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>
      <c r="A563" s="123"/>
      <c r="B563" s="124"/>
      <c r="C563" s="17"/>
      <c r="D563" s="25"/>
      <c r="E563" s="25"/>
      <c r="F563" s="19"/>
      <c r="G563" s="31"/>
      <c r="H563" s="31"/>
      <c r="I563" s="25"/>
      <c r="J563" s="10"/>
      <c r="K563" s="10"/>
      <c r="L563" s="14"/>
      <c r="M563" s="14" t="b">
        <v>0</v>
      </c>
      <c r="N563" s="14" t="b">
        <v>0</v>
      </c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>
      <c r="A564" s="123"/>
      <c r="B564" s="124"/>
      <c r="C564" s="17"/>
      <c r="D564" s="25"/>
      <c r="E564" s="25"/>
      <c r="F564" s="19"/>
      <c r="G564" s="31"/>
      <c r="H564" s="31"/>
      <c r="I564" s="25"/>
      <c r="J564" s="10"/>
      <c r="K564" s="10"/>
      <c r="L564" s="14"/>
      <c r="M564" s="14" t="b">
        <v>0</v>
      </c>
      <c r="N564" s="14" t="b">
        <v>0</v>
      </c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</row>
    <row r="565">
      <c r="A565" s="123"/>
      <c r="B565" s="124"/>
      <c r="C565" s="17"/>
      <c r="D565" s="25"/>
      <c r="E565" s="25"/>
      <c r="F565" s="19"/>
      <c r="G565" s="31"/>
      <c r="H565" s="31"/>
      <c r="I565" s="25"/>
      <c r="J565" s="10"/>
      <c r="K565" s="10"/>
      <c r="L565" s="14"/>
      <c r="M565" s="14" t="b">
        <v>0</v>
      </c>
      <c r="N565" s="14" t="b">
        <v>0</v>
      </c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>
      <c r="A566" s="123"/>
      <c r="B566" s="124"/>
      <c r="C566" s="17"/>
      <c r="D566" s="25"/>
      <c r="E566" s="25"/>
      <c r="F566" s="19"/>
      <c r="G566" s="31"/>
      <c r="H566" s="31"/>
      <c r="I566" s="25"/>
      <c r="J566" s="10"/>
      <c r="K566" s="10"/>
      <c r="L566" s="14"/>
      <c r="M566" s="14" t="b">
        <v>0</v>
      </c>
      <c r="N566" s="14" t="b">
        <v>0</v>
      </c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>
      <c r="A567" s="123"/>
      <c r="B567" s="124"/>
      <c r="C567" s="17"/>
      <c r="D567" s="25"/>
      <c r="E567" s="25"/>
      <c r="F567" s="19"/>
      <c r="G567" s="31"/>
      <c r="H567" s="31"/>
      <c r="I567" s="25"/>
      <c r="J567" s="10"/>
      <c r="K567" s="10"/>
      <c r="L567" s="14"/>
      <c r="M567" s="14" t="b">
        <v>0</v>
      </c>
      <c r="N567" s="14" t="b">
        <v>0</v>
      </c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>
      <c r="A568" s="123"/>
      <c r="B568" s="124"/>
      <c r="C568" s="17"/>
      <c r="D568" s="25"/>
      <c r="E568" s="25"/>
      <c r="F568" s="19"/>
      <c r="G568" s="31"/>
      <c r="H568" s="31"/>
      <c r="I568" s="25"/>
      <c r="J568" s="10"/>
      <c r="K568" s="10"/>
      <c r="L568" s="14"/>
      <c r="M568" s="14" t="b">
        <v>0</v>
      </c>
      <c r="N568" s="14" t="b">
        <v>0</v>
      </c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>
      <c r="A569" s="123"/>
      <c r="B569" s="124"/>
      <c r="C569" s="17"/>
      <c r="D569" s="25"/>
      <c r="E569" s="25"/>
      <c r="F569" s="19"/>
      <c r="G569" s="31"/>
      <c r="H569" s="31"/>
      <c r="I569" s="25"/>
      <c r="J569" s="10"/>
      <c r="K569" s="10"/>
      <c r="L569" s="14"/>
      <c r="M569" s="14" t="b">
        <v>0</v>
      </c>
      <c r="N569" s="14" t="b">
        <v>0</v>
      </c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>
      <c r="A570" s="123"/>
      <c r="B570" s="124"/>
      <c r="C570" s="17"/>
      <c r="D570" s="25"/>
      <c r="E570" s="25"/>
      <c r="F570" s="19"/>
      <c r="G570" s="31"/>
      <c r="H570" s="31"/>
      <c r="I570" s="25"/>
      <c r="J570" s="10"/>
      <c r="K570" s="10"/>
      <c r="L570" s="14"/>
      <c r="M570" s="14" t="b">
        <v>0</v>
      </c>
      <c r="N570" s="14" t="b">
        <v>0</v>
      </c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>
      <c r="A571" s="123"/>
      <c r="B571" s="124"/>
      <c r="C571" s="17"/>
      <c r="D571" s="25"/>
      <c r="E571" s="25"/>
      <c r="F571" s="19"/>
      <c r="G571" s="31"/>
      <c r="H571" s="31"/>
      <c r="I571" s="25"/>
      <c r="J571" s="10"/>
      <c r="K571" s="10"/>
      <c r="L571" s="14"/>
      <c r="M571" s="14" t="b">
        <v>0</v>
      </c>
      <c r="N571" s="14" t="b">
        <v>0</v>
      </c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>
      <c r="A572" s="123"/>
      <c r="B572" s="124"/>
      <c r="C572" s="17"/>
      <c r="D572" s="25"/>
      <c r="E572" s="25"/>
      <c r="F572" s="19"/>
      <c r="G572" s="31"/>
      <c r="H572" s="31"/>
      <c r="I572" s="25"/>
      <c r="J572" s="10"/>
      <c r="K572" s="10"/>
      <c r="L572" s="14"/>
      <c r="M572" s="14" t="b">
        <v>0</v>
      </c>
      <c r="N572" s="14" t="b">
        <v>0</v>
      </c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>
      <c r="A573" s="123"/>
      <c r="B573" s="124"/>
      <c r="C573" s="17"/>
      <c r="D573" s="25"/>
      <c r="E573" s="25"/>
      <c r="F573" s="19"/>
      <c r="G573" s="31"/>
      <c r="H573" s="31"/>
      <c r="I573" s="25"/>
      <c r="J573" s="10"/>
      <c r="K573" s="10"/>
      <c r="L573" s="14"/>
      <c r="M573" s="14" t="b">
        <v>0</v>
      </c>
      <c r="N573" s="14" t="b">
        <v>0</v>
      </c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>
      <c r="A574" s="123"/>
      <c r="B574" s="124"/>
      <c r="C574" s="17"/>
      <c r="D574" s="25"/>
      <c r="E574" s="25"/>
      <c r="F574" s="19"/>
      <c r="G574" s="31"/>
      <c r="H574" s="31"/>
      <c r="I574" s="25"/>
      <c r="J574" s="10"/>
      <c r="K574" s="10"/>
      <c r="L574" s="14"/>
      <c r="M574" s="14" t="b">
        <v>0</v>
      </c>
      <c r="N574" s="14" t="b">
        <v>0</v>
      </c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>
      <c r="A575" s="123"/>
      <c r="B575" s="124"/>
      <c r="C575" s="17"/>
      <c r="D575" s="25"/>
      <c r="E575" s="25"/>
      <c r="F575" s="19"/>
      <c r="G575" s="31"/>
      <c r="H575" s="31"/>
      <c r="I575" s="25"/>
      <c r="J575" s="10"/>
      <c r="K575" s="10"/>
      <c r="L575" s="14"/>
      <c r="M575" s="14" t="b">
        <v>0</v>
      </c>
      <c r="N575" s="14" t="b">
        <v>0</v>
      </c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>
      <c r="A576" s="123"/>
      <c r="B576" s="124"/>
      <c r="C576" s="17"/>
      <c r="D576" s="25"/>
      <c r="E576" s="25"/>
      <c r="F576" s="19"/>
      <c r="G576" s="31"/>
      <c r="H576" s="31"/>
      <c r="I576" s="25"/>
      <c r="J576" s="10"/>
      <c r="K576" s="10"/>
      <c r="L576" s="14"/>
      <c r="M576" s="14" t="b">
        <v>0</v>
      </c>
      <c r="N576" s="14" t="b">
        <v>0</v>
      </c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>
      <c r="A577" s="123"/>
      <c r="B577" s="124"/>
      <c r="C577" s="17"/>
      <c r="D577" s="25"/>
      <c r="E577" s="25"/>
      <c r="F577" s="19"/>
      <c r="G577" s="31"/>
      <c r="H577" s="31"/>
      <c r="I577" s="25"/>
      <c r="J577" s="10"/>
      <c r="K577" s="10"/>
      <c r="L577" s="14"/>
      <c r="M577" s="14" t="b">
        <v>0</v>
      </c>
      <c r="N577" s="14" t="b">
        <v>0</v>
      </c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>
      <c r="A578" s="123"/>
      <c r="B578" s="124"/>
      <c r="C578" s="17"/>
      <c r="D578" s="25"/>
      <c r="E578" s="25"/>
      <c r="F578" s="19"/>
      <c r="G578" s="31"/>
      <c r="H578" s="31"/>
      <c r="I578" s="25"/>
      <c r="J578" s="10"/>
      <c r="K578" s="10"/>
      <c r="L578" s="14"/>
      <c r="M578" s="14" t="b">
        <v>0</v>
      </c>
      <c r="N578" s="14" t="b">
        <v>0</v>
      </c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>
      <c r="A579" s="123"/>
      <c r="B579" s="124"/>
      <c r="C579" s="17"/>
      <c r="D579" s="25"/>
      <c r="E579" s="25"/>
      <c r="F579" s="19"/>
      <c r="G579" s="31"/>
      <c r="H579" s="31"/>
      <c r="I579" s="25"/>
      <c r="J579" s="10"/>
      <c r="K579" s="10"/>
      <c r="L579" s="14"/>
      <c r="M579" s="14" t="b">
        <v>0</v>
      </c>
      <c r="N579" s="14" t="b">
        <v>0</v>
      </c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>
      <c r="A580" s="123"/>
      <c r="B580" s="124"/>
      <c r="C580" s="17"/>
      <c r="D580" s="25"/>
      <c r="E580" s="25"/>
      <c r="F580" s="19"/>
      <c r="G580" s="31"/>
      <c r="H580" s="31"/>
      <c r="I580" s="25"/>
      <c r="J580" s="10"/>
      <c r="K580" s="10"/>
      <c r="L580" s="14"/>
      <c r="M580" s="14" t="b">
        <v>0</v>
      </c>
      <c r="N580" s="14" t="b">
        <v>0</v>
      </c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>
      <c r="A581" s="123"/>
      <c r="B581" s="124"/>
      <c r="C581" s="17"/>
      <c r="D581" s="25"/>
      <c r="E581" s="25"/>
      <c r="F581" s="19"/>
      <c r="G581" s="31"/>
      <c r="H581" s="31"/>
      <c r="I581" s="25"/>
      <c r="J581" s="10"/>
      <c r="K581" s="10"/>
      <c r="L581" s="14"/>
      <c r="M581" s="14" t="b">
        <v>0</v>
      </c>
      <c r="N581" s="14" t="b">
        <v>0</v>
      </c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>
      <c r="A582" s="123"/>
      <c r="B582" s="124"/>
      <c r="C582" s="17"/>
      <c r="D582" s="25"/>
      <c r="E582" s="25"/>
      <c r="F582" s="19"/>
      <c r="G582" s="31"/>
      <c r="H582" s="31"/>
      <c r="I582" s="25"/>
      <c r="J582" s="10"/>
      <c r="K582" s="10"/>
      <c r="L582" s="14"/>
      <c r="M582" s="14" t="b">
        <v>0</v>
      </c>
      <c r="N582" s="14" t="b">
        <v>0</v>
      </c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>
      <c r="A583" s="123"/>
      <c r="B583" s="124"/>
      <c r="C583" s="17"/>
      <c r="D583" s="25"/>
      <c r="E583" s="25"/>
      <c r="F583" s="19"/>
      <c r="G583" s="31"/>
      <c r="H583" s="31"/>
      <c r="I583" s="25"/>
      <c r="J583" s="10"/>
      <c r="K583" s="10"/>
      <c r="L583" s="14"/>
      <c r="M583" s="14" t="b">
        <v>0</v>
      </c>
      <c r="N583" s="14" t="b">
        <v>0</v>
      </c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>
      <c r="A584" s="123"/>
      <c r="B584" s="124"/>
      <c r="C584" s="17"/>
      <c r="D584" s="25"/>
      <c r="E584" s="25"/>
      <c r="F584" s="19"/>
      <c r="G584" s="31"/>
      <c r="H584" s="31"/>
      <c r="I584" s="25"/>
      <c r="J584" s="10"/>
      <c r="K584" s="10"/>
      <c r="L584" s="14"/>
      <c r="M584" s="14" t="b">
        <v>0</v>
      </c>
      <c r="N584" s="14" t="b">
        <v>0</v>
      </c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>
      <c r="A585" s="123"/>
      <c r="B585" s="124"/>
      <c r="C585" s="17"/>
      <c r="D585" s="25"/>
      <c r="E585" s="25"/>
      <c r="F585" s="19"/>
      <c r="G585" s="31"/>
      <c r="H585" s="31"/>
      <c r="I585" s="25"/>
      <c r="J585" s="10"/>
      <c r="K585" s="10"/>
      <c r="L585" s="14"/>
      <c r="M585" s="14" t="b">
        <v>0</v>
      </c>
      <c r="N585" s="14" t="b">
        <v>0</v>
      </c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>
      <c r="A586" s="123"/>
      <c r="B586" s="124"/>
      <c r="C586" s="17"/>
      <c r="D586" s="25"/>
      <c r="E586" s="25"/>
      <c r="F586" s="19"/>
      <c r="G586" s="31"/>
      <c r="H586" s="31"/>
      <c r="I586" s="25"/>
      <c r="J586" s="10"/>
      <c r="K586" s="10"/>
      <c r="L586" s="14"/>
      <c r="M586" s="14" t="b">
        <v>0</v>
      </c>
      <c r="N586" s="14" t="b">
        <v>0</v>
      </c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>
      <c r="A587" s="123"/>
      <c r="B587" s="124"/>
      <c r="C587" s="17"/>
      <c r="D587" s="25"/>
      <c r="E587" s="25"/>
      <c r="F587" s="19"/>
      <c r="G587" s="31"/>
      <c r="H587" s="31"/>
      <c r="I587" s="25"/>
      <c r="J587" s="10"/>
      <c r="K587" s="10"/>
      <c r="L587" s="14"/>
      <c r="M587" s="14" t="b">
        <v>0</v>
      </c>
      <c r="N587" s="14" t="b">
        <v>0</v>
      </c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>
      <c r="A588" s="123"/>
      <c r="B588" s="124"/>
      <c r="C588" s="17"/>
      <c r="D588" s="25"/>
      <c r="E588" s="25"/>
      <c r="F588" s="19"/>
      <c r="G588" s="31"/>
      <c r="H588" s="31"/>
      <c r="I588" s="25"/>
      <c r="J588" s="10"/>
      <c r="K588" s="10"/>
      <c r="L588" s="14"/>
      <c r="M588" s="14" t="b">
        <v>0</v>
      </c>
      <c r="N588" s="14" t="b">
        <v>0</v>
      </c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>
      <c r="A589" s="123"/>
      <c r="B589" s="124"/>
      <c r="C589" s="17"/>
      <c r="D589" s="25"/>
      <c r="E589" s="25"/>
      <c r="F589" s="19"/>
      <c r="G589" s="31"/>
      <c r="H589" s="31"/>
      <c r="I589" s="25"/>
      <c r="J589" s="10"/>
      <c r="K589" s="10"/>
      <c r="L589" s="14"/>
      <c r="M589" s="14" t="b">
        <v>0</v>
      </c>
      <c r="N589" s="14" t="b">
        <v>0</v>
      </c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>
      <c r="A590" s="123"/>
      <c r="B590" s="124"/>
      <c r="C590" s="17"/>
      <c r="D590" s="25"/>
      <c r="E590" s="25"/>
      <c r="F590" s="19"/>
      <c r="G590" s="31"/>
      <c r="H590" s="31"/>
      <c r="I590" s="25"/>
      <c r="J590" s="10"/>
      <c r="K590" s="10"/>
      <c r="L590" s="14"/>
      <c r="M590" s="14" t="b">
        <v>0</v>
      </c>
      <c r="N590" s="14" t="b">
        <v>0</v>
      </c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>
      <c r="A591" s="123"/>
      <c r="B591" s="124"/>
      <c r="C591" s="17"/>
      <c r="D591" s="25"/>
      <c r="E591" s="25"/>
      <c r="F591" s="19"/>
      <c r="G591" s="31"/>
      <c r="H591" s="31"/>
      <c r="I591" s="25"/>
      <c r="J591" s="10"/>
      <c r="K591" s="10"/>
      <c r="L591" s="14"/>
      <c r="M591" s="14" t="b">
        <v>0</v>
      </c>
      <c r="N591" s="14" t="b">
        <v>0</v>
      </c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>
      <c r="A592" s="123"/>
      <c r="B592" s="124"/>
      <c r="C592" s="17"/>
      <c r="D592" s="25"/>
      <c r="E592" s="25"/>
      <c r="F592" s="19"/>
      <c r="G592" s="31"/>
      <c r="H592" s="31"/>
      <c r="I592" s="25"/>
      <c r="J592" s="10"/>
      <c r="K592" s="10"/>
      <c r="L592" s="14"/>
      <c r="M592" s="14" t="b">
        <v>0</v>
      </c>
      <c r="N592" s="14" t="b">
        <v>0</v>
      </c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>
      <c r="A593" s="123"/>
      <c r="B593" s="124"/>
      <c r="C593" s="17"/>
      <c r="D593" s="25"/>
      <c r="E593" s="25"/>
      <c r="F593" s="19"/>
      <c r="G593" s="31"/>
      <c r="H593" s="31"/>
      <c r="I593" s="25"/>
      <c r="J593" s="10"/>
      <c r="K593" s="10"/>
      <c r="L593" s="14"/>
      <c r="M593" s="14" t="b">
        <v>0</v>
      </c>
      <c r="N593" s="14" t="b">
        <v>0</v>
      </c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>
      <c r="A594" s="123"/>
      <c r="B594" s="124"/>
      <c r="C594" s="17"/>
      <c r="D594" s="25"/>
      <c r="E594" s="25"/>
      <c r="F594" s="19"/>
      <c r="G594" s="31"/>
      <c r="H594" s="31"/>
      <c r="I594" s="25"/>
      <c r="J594" s="10"/>
      <c r="K594" s="10"/>
      <c r="L594" s="14"/>
      <c r="M594" s="14" t="b">
        <v>0</v>
      </c>
      <c r="N594" s="14" t="b">
        <v>0</v>
      </c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>
      <c r="A595" s="123"/>
      <c r="B595" s="124"/>
      <c r="C595" s="17"/>
      <c r="D595" s="25"/>
      <c r="E595" s="25"/>
      <c r="F595" s="19"/>
      <c r="G595" s="31"/>
      <c r="H595" s="31"/>
      <c r="I595" s="25"/>
      <c r="J595" s="10"/>
      <c r="K595" s="10"/>
      <c r="L595" s="14"/>
      <c r="M595" s="14" t="b">
        <v>0</v>
      </c>
      <c r="N595" s="14" t="b">
        <v>0</v>
      </c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>
      <c r="A596" s="123"/>
      <c r="B596" s="124"/>
      <c r="C596" s="17"/>
      <c r="D596" s="25"/>
      <c r="E596" s="25"/>
      <c r="F596" s="19"/>
      <c r="G596" s="31"/>
      <c r="H596" s="31"/>
      <c r="I596" s="25"/>
      <c r="J596" s="10"/>
      <c r="K596" s="10"/>
      <c r="L596" s="14"/>
      <c r="M596" s="14" t="b">
        <v>0</v>
      </c>
      <c r="N596" s="14" t="b">
        <v>0</v>
      </c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>
      <c r="A597" s="123"/>
      <c r="B597" s="124"/>
      <c r="C597" s="17"/>
      <c r="D597" s="25"/>
      <c r="E597" s="25"/>
      <c r="F597" s="19"/>
      <c r="G597" s="31"/>
      <c r="H597" s="31"/>
      <c r="I597" s="25"/>
      <c r="J597" s="10"/>
      <c r="K597" s="10"/>
      <c r="L597" s="14"/>
      <c r="M597" s="14" t="b">
        <v>0</v>
      </c>
      <c r="N597" s="14" t="b">
        <v>0</v>
      </c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>
      <c r="A598" s="123"/>
      <c r="B598" s="124"/>
      <c r="C598" s="17"/>
      <c r="D598" s="25"/>
      <c r="E598" s="25"/>
      <c r="F598" s="19"/>
      <c r="G598" s="31"/>
      <c r="H598" s="31"/>
      <c r="I598" s="25"/>
      <c r="J598" s="10"/>
      <c r="K598" s="10"/>
      <c r="L598" s="14"/>
      <c r="M598" s="14" t="b">
        <v>0</v>
      </c>
      <c r="N598" s="14" t="b">
        <v>0</v>
      </c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>
      <c r="A599" s="123"/>
      <c r="B599" s="124"/>
      <c r="C599" s="17"/>
      <c r="D599" s="25"/>
      <c r="E599" s="25"/>
      <c r="F599" s="19"/>
      <c r="G599" s="31"/>
      <c r="H599" s="31"/>
      <c r="I599" s="25"/>
      <c r="J599" s="10"/>
      <c r="K599" s="10"/>
      <c r="L599" s="14"/>
      <c r="M599" s="14" t="b">
        <v>0</v>
      </c>
      <c r="N599" s="14" t="b">
        <v>0</v>
      </c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>
      <c r="A600" s="123"/>
      <c r="B600" s="124"/>
      <c r="C600" s="17"/>
      <c r="D600" s="25"/>
      <c r="E600" s="25"/>
      <c r="F600" s="19"/>
      <c r="G600" s="31"/>
      <c r="H600" s="31"/>
      <c r="I600" s="25"/>
      <c r="J600" s="10"/>
      <c r="K600" s="10"/>
      <c r="L600" s="14"/>
      <c r="M600" s="14" t="b">
        <v>0</v>
      </c>
      <c r="N600" s="14" t="b">
        <v>0</v>
      </c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>
      <c r="A601" s="123"/>
      <c r="B601" s="124"/>
      <c r="C601" s="17"/>
      <c r="D601" s="25"/>
      <c r="E601" s="25"/>
      <c r="F601" s="19"/>
      <c r="G601" s="31"/>
      <c r="H601" s="31"/>
      <c r="I601" s="25"/>
      <c r="J601" s="10"/>
      <c r="K601" s="10"/>
      <c r="L601" s="14"/>
      <c r="M601" s="14" t="b">
        <v>0</v>
      </c>
      <c r="N601" s="14" t="b">
        <v>0</v>
      </c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>
      <c r="A602" s="123"/>
      <c r="B602" s="124"/>
      <c r="C602" s="17"/>
      <c r="D602" s="25"/>
      <c r="E602" s="25"/>
      <c r="F602" s="19"/>
      <c r="G602" s="31"/>
      <c r="H602" s="31"/>
      <c r="I602" s="25"/>
      <c r="J602" s="10"/>
      <c r="K602" s="10"/>
      <c r="L602" s="14"/>
      <c r="M602" s="14" t="b">
        <v>0</v>
      </c>
      <c r="N602" s="14" t="b">
        <v>0</v>
      </c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>
      <c r="A603" s="123"/>
      <c r="B603" s="124"/>
      <c r="C603" s="17"/>
      <c r="D603" s="25"/>
      <c r="E603" s="25"/>
      <c r="F603" s="19"/>
      <c r="G603" s="31"/>
      <c r="H603" s="31"/>
      <c r="I603" s="25"/>
      <c r="J603" s="10"/>
      <c r="K603" s="10"/>
      <c r="L603" s="14"/>
      <c r="M603" s="14" t="b">
        <v>0</v>
      </c>
      <c r="N603" s="14" t="b">
        <v>0</v>
      </c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>
      <c r="A604" s="123"/>
      <c r="B604" s="124"/>
      <c r="C604" s="17"/>
      <c r="D604" s="25"/>
      <c r="E604" s="25"/>
      <c r="F604" s="19"/>
      <c r="G604" s="31"/>
      <c r="H604" s="31"/>
      <c r="I604" s="25"/>
      <c r="J604" s="10"/>
      <c r="K604" s="10"/>
      <c r="L604" s="14"/>
      <c r="M604" s="14" t="b">
        <v>0</v>
      </c>
      <c r="N604" s="14" t="b">
        <v>0</v>
      </c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>
      <c r="A605" s="123"/>
      <c r="B605" s="124"/>
      <c r="C605" s="17"/>
      <c r="D605" s="25"/>
      <c r="E605" s="25"/>
      <c r="F605" s="19"/>
      <c r="G605" s="31"/>
      <c r="H605" s="31"/>
      <c r="I605" s="25"/>
      <c r="J605" s="10"/>
      <c r="K605" s="10"/>
      <c r="L605" s="14"/>
      <c r="M605" s="14" t="b">
        <v>0</v>
      </c>
      <c r="N605" s="14" t="b">
        <v>0</v>
      </c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>
      <c r="A606" s="123"/>
      <c r="B606" s="124"/>
      <c r="C606" s="17"/>
      <c r="D606" s="25"/>
      <c r="E606" s="25"/>
      <c r="F606" s="19"/>
      <c r="G606" s="31"/>
      <c r="H606" s="31"/>
      <c r="I606" s="25"/>
      <c r="J606" s="10"/>
      <c r="K606" s="10"/>
      <c r="L606" s="14"/>
      <c r="M606" s="14" t="b">
        <v>0</v>
      </c>
      <c r="N606" s="14" t="b">
        <v>0</v>
      </c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>
      <c r="A607" s="123"/>
      <c r="B607" s="124"/>
      <c r="C607" s="17"/>
      <c r="D607" s="25"/>
      <c r="E607" s="25"/>
      <c r="F607" s="19"/>
      <c r="G607" s="31"/>
      <c r="H607" s="31"/>
      <c r="I607" s="25"/>
      <c r="J607" s="10"/>
      <c r="K607" s="10"/>
      <c r="L607" s="14"/>
      <c r="M607" s="14" t="b">
        <v>0</v>
      </c>
      <c r="N607" s="14" t="b">
        <v>0</v>
      </c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>
      <c r="A608" s="123"/>
      <c r="B608" s="124"/>
      <c r="C608" s="17"/>
      <c r="D608" s="25"/>
      <c r="E608" s="25"/>
      <c r="F608" s="19"/>
      <c r="G608" s="31"/>
      <c r="H608" s="31"/>
      <c r="I608" s="25"/>
      <c r="J608" s="10"/>
      <c r="K608" s="10"/>
      <c r="L608" s="14"/>
      <c r="M608" s="14" t="b">
        <v>0</v>
      </c>
      <c r="N608" s="14" t="b">
        <v>0</v>
      </c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>
      <c r="A609" s="123"/>
      <c r="B609" s="124"/>
      <c r="C609" s="17"/>
      <c r="D609" s="25"/>
      <c r="E609" s="25"/>
      <c r="F609" s="19"/>
      <c r="G609" s="31"/>
      <c r="H609" s="31"/>
      <c r="I609" s="25"/>
      <c r="J609" s="10"/>
      <c r="K609" s="10"/>
      <c r="L609" s="14"/>
      <c r="M609" s="14" t="b">
        <v>0</v>
      </c>
      <c r="N609" s="14" t="b">
        <v>0</v>
      </c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>
      <c r="A610" s="123"/>
      <c r="B610" s="124"/>
      <c r="C610" s="17"/>
      <c r="D610" s="25"/>
      <c r="E610" s="25"/>
      <c r="F610" s="19"/>
      <c r="G610" s="31"/>
      <c r="H610" s="31"/>
      <c r="I610" s="25"/>
      <c r="J610" s="10"/>
      <c r="K610" s="10"/>
      <c r="L610" s="14"/>
      <c r="M610" s="14" t="b">
        <v>0</v>
      </c>
      <c r="N610" s="14" t="b">
        <v>0</v>
      </c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>
      <c r="A611" s="123"/>
      <c r="B611" s="124"/>
      <c r="C611" s="17"/>
      <c r="D611" s="25"/>
      <c r="E611" s="25"/>
      <c r="F611" s="19"/>
      <c r="G611" s="31"/>
      <c r="H611" s="31"/>
      <c r="I611" s="25"/>
      <c r="J611" s="10"/>
      <c r="K611" s="10"/>
      <c r="L611" s="14"/>
      <c r="M611" s="14" t="b">
        <v>0</v>
      </c>
      <c r="N611" s="14" t="b">
        <v>0</v>
      </c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>
      <c r="A612" s="123"/>
      <c r="B612" s="124"/>
      <c r="C612" s="17"/>
      <c r="D612" s="25"/>
      <c r="E612" s="25"/>
      <c r="F612" s="19"/>
      <c r="G612" s="31"/>
      <c r="H612" s="31"/>
      <c r="I612" s="25"/>
      <c r="J612" s="10"/>
      <c r="K612" s="10"/>
      <c r="L612" s="14"/>
      <c r="M612" s="14" t="b">
        <v>0</v>
      </c>
      <c r="N612" s="14" t="b">
        <v>0</v>
      </c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>
      <c r="A613" s="123"/>
      <c r="B613" s="124"/>
      <c r="C613" s="17"/>
      <c r="D613" s="25"/>
      <c r="E613" s="25"/>
      <c r="F613" s="19"/>
      <c r="G613" s="31"/>
      <c r="H613" s="31"/>
      <c r="I613" s="25"/>
      <c r="J613" s="10"/>
      <c r="K613" s="10"/>
      <c r="L613" s="14"/>
      <c r="M613" s="14" t="b">
        <v>0</v>
      </c>
      <c r="N613" s="14" t="b">
        <v>0</v>
      </c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>
      <c r="A614" s="123"/>
      <c r="B614" s="124"/>
      <c r="C614" s="17"/>
      <c r="D614" s="25"/>
      <c r="E614" s="25"/>
      <c r="F614" s="19"/>
      <c r="G614" s="31"/>
      <c r="H614" s="31"/>
      <c r="I614" s="25"/>
      <c r="J614" s="10"/>
      <c r="K614" s="10"/>
      <c r="L614" s="14"/>
      <c r="M614" s="14" t="b">
        <v>0</v>
      </c>
      <c r="N614" s="14" t="b">
        <v>0</v>
      </c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>
      <c r="A615" s="123"/>
      <c r="B615" s="124"/>
      <c r="C615" s="17"/>
      <c r="D615" s="25"/>
      <c r="E615" s="25"/>
      <c r="F615" s="19"/>
      <c r="G615" s="31"/>
      <c r="H615" s="31"/>
      <c r="I615" s="25"/>
      <c r="J615" s="10"/>
      <c r="K615" s="10"/>
      <c r="L615" s="14"/>
      <c r="M615" s="14" t="b">
        <v>0</v>
      </c>
      <c r="N615" s="14" t="b">
        <v>0</v>
      </c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>
      <c r="A616" s="123"/>
      <c r="B616" s="124"/>
      <c r="C616" s="17"/>
      <c r="D616" s="25"/>
      <c r="E616" s="25"/>
      <c r="F616" s="19"/>
      <c r="G616" s="31"/>
      <c r="H616" s="31"/>
      <c r="I616" s="25"/>
      <c r="J616" s="10"/>
      <c r="K616" s="10"/>
      <c r="L616" s="14"/>
      <c r="M616" s="14" t="b">
        <v>0</v>
      </c>
      <c r="N616" s="14" t="b">
        <v>0</v>
      </c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>
      <c r="A617" s="123"/>
      <c r="B617" s="124"/>
      <c r="C617" s="17"/>
      <c r="D617" s="25"/>
      <c r="E617" s="25"/>
      <c r="F617" s="19"/>
      <c r="G617" s="31"/>
      <c r="H617" s="31"/>
      <c r="I617" s="25"/>
      <c r="J617" s="10"/>
      <c r="K617" s="10"/>
      <c r="L617" s="14"/>
      <c r="M617" s="14" t="b">
        <v>0</v>
      </c>
      <c r="N617" s="14" t="b">
        <v>0</v>
      </c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>
      <c r="A618" s="123"/>
      <c r="B618" s="124"/>
      <c r="C618" s="17"/>
      <c r="D618" s="25"/>
      <c r="E618" s="25"/>
      <c r="F618" s="19"/>
      <c r="G618" s="31"/>
      <c r="H618" s="31"/>
      <c r="I618" s="25"/>
      <c r="J618" s="10"/>
      <c r="K618" s="10"/>
      <c r="L618" s="14"/>
      <c r="M618" s="14" t="b">
        <v>0</v>
      </c>
      <c r="N618" s="14" t="b">
        <v>0</v>
      </c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</row>
    <row r="619">
      <c r="A619" s="123"/>
      <c r="B619" s="124"/>
      <c r="C619" s="17"/>
      <c r="D619" s="25"/>
      <c r="E619" s="25"/>
      <c r="F619" s="19"/>
      <c r="G619" s="31"/>
      <c r="H619" s="31"/>
      <c r="I619" s="25"/>
      <c r="J619" s="10"/>
      <c r="K619" s="10"/>
      <c r="L619" s="14"/>
      <c r="M619" s="14" t="b">
        <v>0</v>
      </c>
      <c r="N619" s="14" t="b">
        <v>0</v>
      </c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>
      <c r="A620" s="123"/>
      <c r="B620" s="124"/>
      <c r="C620" s="17"/>
      <c r="D620" s="25"/>
      <c r="E620" s="25"/>
      <c r="F620" s="19"/>
      <c r="G620" s="31"/>
      <c r="H620" s="31"/>
      <c r="I620" s="25"/>
      <c r="J620" s="10"/>
      <c r="K620" s="10"/>
      <c r="L620" s="14"/>
      <c r="M620" s="14" t="b">
        <v>0</v>
      </c>
      <c r="N620" s="14" t="b">
        <v>0</v>
      </c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>
      <c r="A621" s="123"/>
      <c r="B621" s="124"/>
      <c r="C621" s="17"/>
      <c r="D621" s="25"/>
      <c r="E621" s="25"/>
      <c r="F621" s="19"/>
      <c r="G621" s="31"/>
      <c r="H621" s="31"/>
      <c r="I621" s="25"/>
      <c r="J621" s="10"/>
      <c r="K621" s="10"/>
      <c r="L621" s="14"/>
      <c r="M621" s="14" t="b">
        <v>0</v>
      </c>
      <c r="N621" s="14" t="b">
        <v>0</v>
      </c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>
      <c r="A622" s="123"/>
      <c r="B622" s="124"/>
      <c r="C622" s="17"/>
      <c r="D622" s="25"/>
      <c r="E622" s="25"/>
      <c r="F622" s="19"/>
      <c r="G622" s="31"/>
      <c r="H622" s="31"/>
      <c r="I622" s="25"/>
      <c r="J622" s="10"/>
      <c r="K622" s="10"/>
      <c r="L622" s="14"/>
      <c r="M622" s="14" t="b">
        <v>0</v>
      </c>
      <c r="N622" s="14" t="b">
        <v>0</v>
      </c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>
      <c r="A623" s="123"/>
      <c r="B623" s="124"/>
      <c r="C623" s="17"/>
      <c r="D623" s="25"/>
      <c r="E623" s="25"/>
      <c r="F623" s="19"/>
      <c r="G623" s="31"/>
      <c r="H623" s="31"/>
      <c r="I623" s="25"/>
      <c r="J623" s="10"/>
      <c r="K623" s="10"/>
      <c r="L623" s="14"/>
      <c r="M623" s="14" t="b">
        <v>0</v>
      </c>
      <c r="N623" s="14" t="b">
        <v>0</v>
      </c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>
      <c r="A624" s="123"/>
      <c r="B624" s="124"/>
      <c r="C624" s="17"/>
      <c r="D624" s="25"/>
      <c r="E624" s="25"/>
      <c r="F624" s="19"/>
      <c r="G624" s="31"/>
      <c r="H624" s="31"/>
      <c r="I624" s="25"/>
      <c r="J624" s="10"/>
      <c r="K624" s="10"/>
      <c r="L624" s="14"/>
      <c r="M624" s="14" t="b">
        <v>0</v>
      </c>
      <c r="N624" s="14" t="b">
        <v>0</v>
      </c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>
      <c r="A625" s="123"/>
      <c r="B625" s="124"/>
      <c r="C625" s="17"/>
      <c r="D625" s="25"/>
      <c r="E625" s="25"/>
      <c r="F625" s="19"/>
      <c r="G625" s="31"/>
      <c r="H625" s="31"/>
      <c r="I625" s="25"/>
      <c r="J625" s="10"/>
      <c r="K625" s="10"/>
      <c r="L625" s="14"/>
      <c r="M625" s="14" t="b">
        <v>0</v>
      </c>
      <c r="N625" s="14" t="b">
        <v>0</v>
      </c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>
      <c r="A626" s="123"/>
      <c r="B626" s="124"/>
      <c r="C626" s="17"/>
      <c r="D626" s="25"/>
      <c r="E626" s="25"/>
      <c r="F626" s="19"/>
      <c r="G626" s="31"/>
      <c r="H626" s="31"/>
      <c r="I626" s="25"/>
      <c r="J626" s="10"/>
      <c r="K626" s="10"/>
      <c r="L626" s="14"/>
      <c r="M626" s="14" t="b">
        <v>0</v>
      </c>
      <c r="N626" s="14" t="b">
        <v>0</v>
      </c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>
      <c r="A627" s="123"/>
      <c r="B627" s="124"/>
      <c r="C627" s="17"/>
      <c r="D627" s="25"/>
      <c r="E627" s="25"/>
      <c r="F627" s="19"/>
      <c r="G627" s="31"/>
      <c r="H627" s="31"/>
      <c r="I627" s="25"/>
      <c r="J627" s="10"/>
      <c r="K627" s="10"/>
      <c r="L627" s="14"/>
      <c r="M627" s="14" t="b">
        <v>0</v>
      </c>
      <c r="N627" s="14" t="b">
        <v>0</v>
      </c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>
      <c r="A628" s="123"/>
      <c r="B628" s="124"/>
      <c r="C628" s="17"/>
      <c r="D628" s="25"/>
      <c r="E628" s="25"/>
      <c r="F628" s="19"/>
      <c r="G628" s="31"/>
      <c r="H628" s="31"/>
      <c r="I628" s="25"/>
      <c r="J628" s="10"/>
      <c r="K628" s="10"/>
      <c r="L628" s="14"/>
      <c r="M628" s="14" t="b">
        <v>0</v>
      </c>
      <c r="N628" s="14" t="b">
        <v>0</v>
      </c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>
      <c r="A629" s="123"/>
      <c r="B629" s="124"/>
      <c r="C629" s="17"/>
      <c r="D629" s="25"/>
      <c r="E629" s="25"/>
      <c r="F629" s="19"/>
      <c r="G629" s="31"/>
      <c r="H629" s="31"/>
      <c r="I629" s="25"/>
      <c r="J629" s="10"/>
      <c r="K629" s="10"/>
      <c r="L629" s="14"/>
      <c r="M629" s="14" t="b">
        <v>0</v>
      </c>
      <c r="N629" s="14" t="b">
        <v>0</v>
      </c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>
      <c r="A630" s="123"/>
      <c r="B630" s="124"/>
      <c r="C630" s="17"/>
      <c r="D630" s="25"/>
      <c r="E630" s="25"/>
      <c r="F630" s="19"/>
      <c r="G630" s="31"/>
      <c r="H630" s="31"/>
      <c r="I630" s="25"/>
      <c r="J630" s="10"/>
      <c r="K630" s="10"/>
      <c r="L630" s="14"/>
      <c r="M630" s="14" t="b">
        <v>0</v>
      </c>
      <c r="N630" s="14" t="b">
        <v>0</v>
      </c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>
      <c r="A631" s="123"/>
      <c r="B631" s="124"/>
      <c r="C631" s="17"/>
      <c r="D631" s="25"/>
      <c r="E631" s="25"/>
      <c r="F631" s="19"/>
      <c r="G631" s="31"/>
      <c r="H631" s="31"/>
      <c r="I631" s="25"/>
      <c r="J631" s="10"/>
      <c r="K631" s="10"/>
      <c r="L631" s="14"/>
      <c r="M631" s="14" t="b">
        <v>0</v>
      </c>
      <c r="N631" s="14" t="b">
        <v>0</v>
      </c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>
      <c r="A632" s="123"/>
      <c r="B632" s="124"/>
      <c r="C632" s="17"/>
      <c r="D632" s="25"/>
      <c r="E632" s="25"/>
      <c r="F632" s="19"/>
      <c r="G632" s="31"/>
      <c r="H632" s="31"/>
      <c r="I632" s="25"/>
      <c r="J632" s="10"/>
      <c r="K632" s="10"/>
      <c r="L632" s="14"/>
      <c r="M632" s="14" t="b">
        <v>0</v>
      </c>
      <c r="N632" s="14" t="b">
        <v>0</v>
      </c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>
      <c r="A633" s="123"/>
      <c r="B633" s="124"/>
      <c r="C633" s="17"/>
      <c r="D633" s="25"/>
      <c r="E633" s="25"/>
      <c r="F633" s="19"/>
      <c r="G633" s="31"/>
      <c r="H633" s="31"/>
      <c r="I633" s="25"/>
      <c r="J633" s="10"/>
      <c r="K633" s="10"/>
      <c r="L633" s="14"/>
      <c r="M633" s="14" t="b">
        <v>0</v>
      </c>
      <c r="N633" s="14" t="b">
        <v>0</v>
      </c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</row>
    <row r="634">
      <c r="A634" s="123"/>
      <c r="B634" s="124"/>
      <c r="C634" s="17"/>
      <c r="D634" s="25"/>
      <c r="E634" s="25"/>
      <c r="F634" s="19"/>
      <c r="G634" s="31"/>
      <c r="H634" s="31"/>
      <c r="I634" s="25"/>
      <c r="J634" s="10"/>
      <c r="K634" s="10"/>
      <c r="L634" s="14"/>
      <c r="M634" s="14" t="b">
        <v>0</v>
      </c>
      <c r="N634" s="14" t="b">
        <v>0</v>
      </c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>
      <c r="A635" s="123"/>
      <c r="B635" s="124"/>
      <c r="C635" s="17"/>
      <c r="D635" s="25"/>
      <c r="E635" s="25"/>
      <c r="F635" s="19"/>
      <c r="G635" s="31"/>
      <c r="H635" s="31"/>
      <c r="I635" s="25"/>
      <c r="J635" s="10"/>
      <c r="K635" s="10"/>
      <c r="L635" s="14"/>
      <c r="M635" s="14" t="b">
        <v>0</v>
      </c>
      <c r="N635" s="14" t="b">
        <v>0</v>
      </c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>
      <c r="A636" s="123"/>
      <c r="B636" s="124"/>
      <c r="C636" s="17"/>
      <c r="D636" s="25"/>
      <c r="E636" s="25"/>
      <c r="F636" s="19"/>
      <c r="G636" s="31"/>
      <c r="H636" s="31"/>
      <c r="I636" s="25"/>
      <c r="J636" s="10"/>
      <c r="K636" s="10"/>
      <c r="L636" s="14"/>
      <c r="M636" s="14" t="b">
        <v>0</v>
      </c>
      <c r="N636" s="14" t="b">
        <v>0</v>
      </c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>
      <c r="A637" s="123"/>
      <c r="B637" s="124"/>
      <c r="C637" s="17"/>
      <c r="D637" s="25"/>
      <c r="E637" s="25"/>
      <c r="F637" s="19"/>
      <c r="G637" s="31"/>
      <c r="H637" s="31"/>
      <c r="I637" s="25"/>
      <c r="J637" s="10"/>
      <c r="K637" s="10"/>
      <c r="L637" s="14"/>
      <c r="M637" s="14" t="b">
        <v>0</v>
      </c>
      <c r="N637" s="14" t="b">
        <v>0</v>
      </c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>
      <c r="A638" s="123"/>
      <c r="B638" s="124"/>
      <c r="C638" s="17"/>
      <c r="D638" s="25"/>
      <c r="E638" s="25"/>
      <c r="F638" s="19"/>
      <c r="G638" s="31"/>
      <c r="H638" s="31"/>
      <c r="I638" s="25"/>
      <c r="J638" s="10"/>
      <c r="K638" s="10"/>
      <c r="L638" s="14"/>
      <c r="M638" s="14" t="b">
        <v>0</v>
      </c>
      <c r="N638" s="14" t="b">
        <v>0</v>
      </c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>
      <c r="A639" s="123"/>
      <c r="B639" s="124"/>
      <c r="C639" s="17"/>
      <c r="D639" s="25"/>
      <c r="E639" s="25"/>
      <c r="F639" s="19"/>
      <c r="G639" s="31"/>
      <c r="H639" s="31"/>
      <c r="I639" s="25"/>
      <c r="J639" s="10"/>
      <c r="K639" s="10"/>
      <c r="L639" s="14"/>
      <c r="M639" s="14" t="b">
        <v>0</v>
      </c>
      <c r="N639" s="14" t="b">
        <v>0</v>
      </c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>
      <c r="A640" s="123"/>
      <c r="B640" s="124"/>
      <c r="C640" s="17"/>
      <c r="D640" s="25"/>
      <c r="E640" s="25"/>
      <c r="F640" s="19"/>
      <c r="G640" s="31"/>
      <c r="H640" s="31"/>
      <c r="I640" s="25"/>
      <c r="J640" s="10"/>
      <c r="K640" s="10"/>
      <c r="L640" s="14"/>
      <c r="M640" s="14" t="b">
        <v>0</v>
      </c>
      <c r="N640" s="14" t="b">
        <v>0</v>
      </c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>
      <c r="A641" s="123"/>
      <c r="B641" s="124"/>
      <c r="C641" s="17"/>
      <c r="D641" s="25"/>
      <c r="E641" s="25"/>
      <c r="F641" s="19"/>
      <c r="G641" s="31"/>
      <c r="H641" s="31"/>
      <c r="I641" s="25"/>
      <c r="J641" s="10"/>
      <c r="K641" s="10"/>
      <c r="L641" s="14"/>
      <c r="M641" s="14" t="b">
        <v>0</v>
      </c>
      <c r="N641" s="14" t="b">
        <v>0</v>
      </c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>
      <c r="A642" s="123"/>
      <c r="B642" s="124"/>
      <c r="C642" s="17"/>
      <c r="D642" s="25"/>
      <c r="E642" s="25"/>
      <c r="F642" s="19"/>
      <c r="G642" s="31"/>
      <c r="H642" s="31"/>
      <c r="I642" s="25"/>
      <c r="J642" s="10"/>
      <c r="K642" s="10"/>
      <c r="L642" s="14"/>
      <c r="M642" s="14" t="b">
        <v>0</v>
      </c>
      <c r="N642" s="14" t="b">
        <v>0</v>
      </c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>
      <c r="A643" s="123"/>
      <c r="B643" s="124"/>
      <c r="C643" s="17"/>
      <c r="D643" s="25"/>
      <c r="E643" s="25"/>
      <c r="F643" s="19"/>
      <c r="G643" s="31"/>
      <c r="H643" s="31"/>
      <c r="I643" s="25"/>
      <c r="J643" s="10"/>
      <c r="K643" s="10"/>
      <c r="L643" s="14"/>
      <c r="M643" s="14" t="b">
        <v>0</v>
      </c>
      <c r="N643" s="14" t="b">
        <v>0</v>
      </c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>
      <c r="A644" s="123"/>
      <c r="B644" s="124"/>
      <c r="C644" s="17"/>
      <c r="D644" s="25"/>
      <c r="E644" s="25"/>
      <c r="F644" s="19"/>
      <c r="G644" s="31"/>
      <c r="H644" s="31"/>
      <c r="I644" s="25"/>
      <c r="J644" s="10"/>
      <c r="K644" s="10"/>
      <c r="L644" s="14"/>
      <c r="M644" s="14" t="b">
        <v>0</v>
      </c>
      <c r="N644" s="14" t="b">
        <v>0</v>
      </c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>
      <c r="A645" s="123"/>
      <c r="B645" s="124"/>
      <c r="C645" s="17"/>
      <c r="D645" s="25"/>
      <c r="E645" s="25"/>
      <c r="F645" s="19"/>
      <c r="G645" s="31"/>
      <c r="H645" s="31"/>
      <c r="I645" s="25"/>
      <c r="J645" s="10"/>
      <c r="K645" s="10"/>
      <c r="L645" s="14"/>
      <c r="M645" s="14" t="b">
        <v>0</v>
      </c>
      <c r="N645" s="14" t="b">
        <v>0</v>
      </c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>
      <c r="A646" s="123"/>
      <c r="B646" s="124"/>
      <c r="C646" s="17"/>
      <c r="D646" s="25"/>
      <c r="E646" s="25"/>
      <c r="F646" s="19"/>
      <c r="G646" s="31"/>
      <c r="H646" s="31"/>
      <c r="I646" s="25"/>
      <c r="J646" s="10"/>
      <c r="K646" s="10"/>
      <c r="L646" s="14"/>
      <c r="M646" s="14" t="b">
        <v>0</v>
      </c>
      <c r="N646" s="14" t="b">
        <v>0</v>
      </c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>
      <c r="A647" s="123"/>
      <c r="B647" s="124"/>
      <c r="C647" s="17"/>
      <c r="D647" s="25"/>
      <c r="E647" s="25"/>
      <c r="F647" s="19"/>
      <c r="G647" s="31"/>
      <c r="H647" s="31"/>
      <c r="I647" s="25"/>
      <c r="J647" s="10"/>
      <c r="K647" s="10"/>
      <c r="L647" s="14"/>
      <c r="M647" s="14" t="b">
        <v>0</v>
      </c>
      <c r="N647" s="14" t="b">
        <v>0</v>
      </c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>
      <c r="A648" s="123"/>
      <c r="B648" s="124"/>
      <c r="C648" s="17"/>
      <c r="D648" s="25"/>
      <c r="E648" s="25"/>
      <c r="F648" s="19"/>
      <c r="G648" s="31"/>
      <c r="H648" s="31"/>
      <c r="I648" s="25"/>
      <c r="J648" s="10"/>
      <c r="K648" s="10"/>
      <c r="L648" s="14"/>
      <c r="M648" s="14" t="b">
        <v>0</v>
      </c>
      <c r="N648" s="14" t="b">
        <v>0</v>
      </c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>
      <c r="A649" s="123"/>
      <c r="B649" s="124"/>
      <c r="C649" s="17"/>
      <c r="D649" s="25"/>
      <c r="E649" s="25"/>
      <c r="F649" s="19"/>
      <c r="G649" s="31"/>
      <c r="H649" s="31"/>
      <c r="I649" s="25"/>
      <c r="J649" s="10"/>
      <c r="K649" s="10"/>
      <c r="L649" s="14"/>
      <c r="M649" s="14" t="b">
        <v>0</v>
      </c>
      <c r="N649" s="14" t="b">
        <v>0</v>
      </c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</row>
    <row r="650">
      <c r="A650" s="123"/>
      <c r="B650" s="124"/>
      <c r="C650" s="17"/>
      <c r="D650" s="25"/>
      <c r="E650" s="25"/>
      <c r="F650" s="19"/>
      <c r="G650" s="31"/>
      <c r="H650" s="31"/>
      <c r="I650" s="25"/>
      <c r="J650" s="10"/>
      <c r="K650" s="10"/>
      <c r="L650" s="14"/>
      <c r="M650" s="14" t="b">
        <v>0</v>
      </c>
      <c r="N650" s="14" t="b">
        <v>0</v>
      </c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>
      <c r="A651" s="123"/>
      <c r="B651" s="124"/>
      <c r="C651" s="17"/>
      <c r="D651" s="25"/>
      <c r="E651" s="25"/>
      <c r="F651" s="19"/>
      <c r="G651" s="31"/>
      <c r="H651" s="31"/>
      <c r="I651" s="25"/>
      <c r="J651" s="10"/>
      <c r="K651" s="10"/>
      <c r="L651" s="14"/>
      <c r="M651" s="14" t="b">
        <v>0</v>
      </c>
      <c r="N651" s="14" t="b">
        <v>0</v>
      </c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>
      <c r="A652" s="123"/>
      <c r="B652" s="124"/>
      <c r="C652" s="17"/>
      <c r="D652" s="25"/>
      <c r="E652" s="25"/>
      <c r="F652" s="19"/>
      <c r="G652" s="31"/>
      <c r="H652" s="31"/>
      <c r="I652" s="25"/>
      <c r="J652" s="10"/>
      <c r="K652" s="10"/>
      <c r="L652" s="14"/>
      <c r="M652" s="14" t="b">
        <v>0</v>
      </c>
      <c r="N652" s="14" t="b">
        <v>0</v>
      </c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>
      <c r="A653" s="123"/>
      <c r="B653" s="124"/>
      <c r="C653" s="17"/>
      <c r="D653" s="25"/>
      <c r="E653" s="25"/>
      <c r="F653" s="19"/>
      <c r="G653" s="31"/>
      <c r="H653" s="31"/>
      <c r="I653" s="25"/>
      <c r="J653" s="10"/>
      <c r="K653" s="10"/>
      <c r="L653" s="14"/>
      <c r="M653" s="14" t="b">
        <v>0</v>
      </c>
      <c r="N653" s="14" t="b">
        <v>0</v>
      </c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>
      <c r="A654" s="123"/>
      <c r="B654" s="124"/>
      <c r="C654" s="17"/>
      <c r="D654" s="25"/>
      <c r="E654" s="25"/>
      <c r="F654" s="19"/>
      <c r="G654" s="31"/>
      <c r="H654" s="31"/>
      <c r="I654" s="25"/>
      <c r="J654" s="10"/>
      <c r="K654" s="10"/>
      <c r="L654" s="14"/>
      <c r="M654" s="14" t="b">
        <v>0</v>
      </c>
      <c r="N654" s="14" t="b">
        <v>0</v>
      </c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>
      <c r="A655" s="123"/>
      <c r="B655" s="124"/>
      <c r="C655" s="17"/>
      <c r="D655" s="25"/>
      <c r="E655" s="25"/>
      <c r="F655" s="19"/>
      <c r="G655" s="31"/>
      <c r="H655" s="31"/>
      <c r="I655" s="25"/>
      <c r="J655" s="10"/>
      <c r="K655" s="10"/>
      <c r="L655" s="14"/>
      <c r="M655" s="14" t="b">
        <v>0</v>
      </c>
      <c r="N655" s="14" t="b">
        <v>0</v>
      </c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>
      <c r="A656" s="123"/>
      <c r="B656" s="124"/>
      <c r="C656" s="17"/>
      <c r="D656" s="25"/>
      <c r="E656" s="25"/>
      <c r="F656" s="19"/>
      <c r="G656" s="31"/>
      <c r="H656" s="31"/>
      <c r="I656" s="25"/>
      <c r="J656" s="10"/>
      <c r="K656" s="10"/>
      <c r="L656" s="14"/>
      <c r="M656" s="14" t="b">
        <v>0</v>
      </c>
      <c r="N656" s="14" t="b">
        <v>0</v>
      </c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>
      <c r="A657" s="123"/>
      <c r="B657" s="124"/>
      <c r="C657" s="17"/>
      <c r="D657" s="25"/>
      <c r="E657" s="25"/>
      <c r="F657" s="19"/>
      <c r="G657" s="31"/>
      <c r="H657" s="31"/>
      <c r="I657" s="25"/>
      <c r="J657" s="10"/>
      <c r="K657" s="10"/>
      <c r="L657" s="14"/>
      <c r="M657" s="14" t="b">
        <v>0</v>
      </c>
      <c r="N657" s="14" t="b">
        <v>0</v>
      </c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>
      <c r="A658" s="123"/>
      <c r="B658" s="124"/>
      <c r="C658" s="17"/>
      <c r="D658" s="25"/>
      <c r="E658" s="25"/>
      <c r="F658" s="19"/>
      <c r="G658" s="31"/>
      <c r="H658" s="31"/>
      <c r="I658" s="25"/>
      <c r="J658" s="10"/>
      <c r="K658" s="10"/>
      <c r="L658" s="14"/>
      <c r="M658" s="14" t="b">
        <v>0</v>
      </c>
      <c r="N658" s="14" t="b">
        <v>0</v>
      </c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>
      <c r="A659" s="123"/>
      <c r="B659" s="124"/>
      <c r="C659" s="17"/>
      <c r="D659" s="25"/>
      <c r="E659" s="25"/>
      <c r="F659" s="19"/>
      <c r="G659" s="31"/>
      <c r="H659" s="31"/>
      <c r="I659" s="25"/>
      <c r="J659" s="10"/>
      <c r="K659" s="10"/>
      <c r="L659" s="14"/>
      <c r="M659" s="14" t="b">
        <v>0</v>
      </c>
      <c r="N659" s="14" t="b">
        <v>0</v>
      </c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>
      <c r="A660" s="123"/>
      <c r="B660" s="124"/>
      <c r="C660" s="17"/>
      <c r="D660" s="25"/>
      <c r="E660" s="25"/>
      <c r="F660" s="19"/>
      <c r="G660" s="31"/>
      <c r="H660" s="31"/>
      <c r="I660" s="25"/>
      <c r="J660" s="10"/>
      <c r="K660" s="10"/>
      <c r="L660" s="14"/>
      <c r="M660" s="14" t="b">
        <v>0</v>
      </c>
      <c r="N660" s="14" t="b">
        <v>0</v>
      </c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>
      <c r="A661" s="123"/>
      <c r="B661" s="124"/>
      <c r="C661" s="17"/>
      <c r="D661" s="25"/>
      <c r="E661" s="25"/>
      <c r="F661" s="19"/>
      <c r="G661" s="31"/>
      <c r="H661" s="31"/>
      <c r="I661" s="25"/>
      <c r="J661" s="10"/>
      <c r="K661" s="10"/>
      <c r="L661" s="14"/>
      <c r="M661" s="14" t="b">
        <v>0</v>
      </c>
      <c r="N661" s="14" t="b">
        <v>0</v>
      </c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>
      <c r="A662" s="123"/>
      <c r="B662" s="124"/>
      <c r="C662" s="17"/>
      <c r="D662" s="25"/>
      <c r="E662" s="25"/>
      <c r="F662" s="19"/>
      <c r="G662" s="31"/>
      <c r="H662" s="31"/>
      <c r="I662" s="25"/>
      <c r="J662" s="10"/>
      <c r="K662" s="10"/>
      <c r="L662" s="14"/>
      <c r="M662" s="14" t="b">
        <v>0</v>
      </c>
      <c r="N662" s="14" t="b">
        <v>0</v>
      </c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>
      <c r="A663" s="123"/>
      <c r="B663" s="124"/>
      <c r="C663" s="17"/>
      <c r="D663" s="25"/>
      <c r="E663" s="25"/>
      <c r="F663" s="19"/>
      <c r="G663" s="31"/>
      <c r="H663" s="31"/>
      <c r="I663" s="25"/>
      <c r="J663" s="10"/>
      <c r="K663" s="10"/>
      <c r="L663" s="14"/>
      <c r="M663" s="14" t="b">
        <v>0</v>
      </c>
      <c r="N663" s="14" t="b">
        <v>0</v>
      </c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>
      <c r="A664" s="123"/>
      <c r="B664" s="124"/>
      <c r="C664" s="17"/>
      <c r="D664" s="25"/>
      <c r="E664" s="25"/>
      <c r="F664" s="19"/>
      <c r="G664" s="31"/>
      <c r="H664" s="31"/>
      <c r="I664" s="25"/>
      <c r="J664" s="10"/>
      <c r="K664" s="10"/>
      <c r="L664" s="14"/>
      <c r="M664" s="14" t="b">
        <v>0</v>
      </c>
      <c r="N664" s="14" t="b">
        <v>0</v>
      </c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>
      <c r="A665" s="123"/>
      <c r="B665" s="124"/>
      <c r="C665" s="17"/>
      <c r="D665" s="25"/>
      <c r="E665" s="25"/>
      <c r="F665" s="19"/>
      <c r="G665" s="31"/>
      <c r="H665" s="31"/>
      <c r="I665" s="25"/>
      <c r="J665" s="10"/>
      <c r="K665" s="10"/>
      <c r="L665" s="14"/>
      <c r="M665" s="14" t="b">
        <v>0</v>
      </c>
      <c r="N665" s="14" t="b">
        <v>0</v>
      </c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>
      <c r="A666" s="123"/>
      <c r="B666" s="124"/>
      <c r="C666" s="17"/>
      <c r="D666" s="25"/>
      <c r="E666" s="25"/>
      <c r="F666" s="19"/>
      <c r="G666" s="31"/>
      <c r="H666" s="31"/>
      <c r="I666" s="25"/>
      <c r="J666" s="10"/>
      <c r="K666" s="10"/>
      <c r="L666" s="14"/>
      <c r="M666" s="14" t="b">
        <v>0</v>
      </c>
      <c r="N666" s="14" t="b">
        <v>0</v>
      </c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>
      <c r="A667" s="123"/>
      <c r="B667" s="124"/>
      <c r="C667" s="17"/>
      <c r="D667" s="25"/>
      <c r="E667" s="25"/>
      <c r="F667" s="19"/>
      <c r="G667" s="31"/>
      <c r="H667" s="31"/>
      <c r="I667" s="25"/>
      <c r="J667" s="10"/>
      <c r="K667" s="10"/>
      <c r="L667" s="14"/>
      <c r="M667" s="14" t="b">
        <v>0</v>
      </c>
      <c r="N667" s="14" t="b">
        <v>0</v>
      </c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>
      <c r="A668" s="123"/>
      <c r="B668" s="124"/>
      <c r="C668" s="17"/>
      <c r="D668" s="25"/>
      <c r="E668" s="25"/>
      <c r="F668" s="19"/>
      <c r="G668" s="31"/>
      <c r="H668" s="31"/>
      <c r="I668" s="25"/>
      <c r="J668" s="10"/>
      <c r="K668" s="10"/>
      <c r="L668" s="14"/>
      <c r="M668" s="14" t="b">
        <v>0</v>
      </c>
      <c r="N668" s="14" t="b">
        <v>0</v>
      </c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>
      <c r="A669" s="123"/>
      <c r="B669" s="124"/>
      <c r="C669" s="17"/>
      <c r="D669" s="25"/>
      <c r="E669" s="25"/>
      <c r="F669" s="19"/>
      <c r="G669" s="31"/>
      <c r="H669" s="31"/>
      <c r="I669" s="25"/>
      <c r="J669" s="10"/>
      <c r="K669" s="10"/>
      <c r="L669" s="14"/>
      <c r="M669" s="14" t="b">
        <v>0</v>
      </c>
      <c r="N669" s="14" t="b">
        <v>0</v>
      </c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>
      <c r="A670" s="123"/>
      <c r="B670" s="124"/>
      <c r="C670" s="17"/>
      <c r="D670" s="25"/>
      <c r="E670" s="25"/>
      <c r="F670" s="19"/>
      <c r="G670" s="31"/>
      <c r="H670" s="31"/>
      <c r="I670" s="25"/>
      <c r="J670" s="10"/>
      <c r="K670" s="10"/>
      <c r="L670" s="14"/>
      <c r="M670" s="14" t="b">
        <v>0</v>
      </c>
      <c r="N670" s="14" t="b">
        <v>0</v>
      </c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>
      <c r="A671" s="123"/>
      <c r="B671" s="124"/>
      <c r="C671" s="17"/>
      <c r="D671" s="25"/>
      <c r="E671" s="25"/>
      <c r="F671" s="19"/>
      <c r="G671" s="31"/>
      <c r="H671" s="31"/>
      <c r="I671" s="25"/>
      <c r="J671" s="10"/>
      <c r="K671" s="10"/>
      <c r="L671" s="14"/>
      <c r="M671" s="14" t="b">
        <v>0</v>
      </c>
      <c r="N671" s="14" t="b">
        <v>0</v>
      </c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>
      <c r="A672" s="123"/>
      <c r="B672" s="124"/>
      <c r="C672" s="17"/>
      <c r="D672" s="25"/>
      <c r="E672" s="25"/>
      <c r="F672" s="19"/>
      <c r="G672" s="31"/>
      <c r="H672" s="31"/>
      <c r="I672" s="25"/>
      <c r="J672" s="10"/>
      <c r="K672" s="10"/>
      <c r="L672" s="14"/>
      <c r="M672" s="14" t="b">
        <v>0</v>
      </c>
      <c r="N672" s="14" t="b">
        <v>0</v>
      </c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>
      <c r="A673" s="123"/>
      <c r="B673" s="124"/>
      <c r="C673" s="17"/>
      <c r="D673" s="25"/>
      <c r="E673" s="25"/>
      <c r="F673" s="19"/>
      <c r="G673" s="31"/>
      <c r="H673" s="31"/>
      <c r="I673" s="25"/>
      <c r="J673" s="10"/>
      <c r="K673" s="10"/>
      <c r="L673" s="14"/>
      <c r="M673" s="14" t="b">
        <v>0</v>
      </c>
      <c r="N673" s="14" t="b">
        <v>0</v>
      </c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>
      <c r="A674" s="123"/>
      <c r="B674" s="124"/>
      <c r="C674" s="17"/>
      <c r="D674" s="25"/>
      <c r="E674" s="25"/>
      <c r="F674" s="19"/>
      <c r="G674" s="31"/>
      <c r="H674" s="31"/>
      <c r="I674" s="25"/>
      <c r="J674" s="10"/>
      <c r="K674" s="10"/>
      <c r="L674" s="14"/>
      <c r="M674" s="14" t="b">
        <v>0</v>
      </c>
      <c r="N674" s="14" t="b">
        <v>0</v>
      </c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>
      <c r="A675" s="123"/>
      <c r="B675" s="124"/>
      <c r="C675" s="17"/>
      <c r="D675" s="25"/>
      <c r="E675" s="25"/>
      <c r="F675" s="19"/>
      <c r="G675" s="31"/>
      <c r="H675" s="31"/>
      <c r="I675" s="25"/>
      <c r="J675" s="10"/>
      <c r="K675" s="10"/>
      <c r="L675" s="14"/>
      <c r="M675" s="14" t="b">
        <v>0</v>
      </c>
      <c r="N675" s="14" t="b">
        <v>0</v>
      </c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>
      <c r="A676" s="123"/>
      <c r="B676" s="124"/>
      <c r="C676" s="17"/>
      <c r="D676" s="25"/>
      <c r="E676" s="25"/>
      <c r="F676" s="19"/>
      <c r="G676" s="31"/>
      <c r="H676" s="31"/>
      <c r="I676" s="25"/>
      <c r="J676" s="10"/>
      <c r="K676" s="10"/>
      <c r="L676" s="14"/>
      <c r="M676" s="14" t="b">
        <v>0</v>
      </c>
      <c r="N676" s="14" t="b">
        <v>0</v>
      </c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>
      <c r="A677" s="123"/>
      <c r="B677" s="124"/>
      <c r="C677" s="17"/>
      <c r="D677" s="25"/>
      <c r="E677" s="25"/>
      <c r="F677" s="19"/>
      <c r="G677" s="31"/>
      <c r="H677" s="31"/>
      <c r="I677" s="25"/>
      <c r="J677" s="10"/>
      <c r="K677" s="10"/>
      <c r="L677" s="14"/>
      <c r="M677" s="14" t="b">
        <v>0</v>
      </c>
      <c r="N677" s="14" t="b">
        <v>0</v>
      </c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>
      <c r="A678" s="123"/>
      <c r="B678" s="124"/>
      <c r="C678" s="17"/>
      <c r="D678" s="25"/>
      <c r="E678" s="25"/>
      <c r="F678" s="19"/>
      <c r="G678" s="31"/>
      <c r="H678" s="31"/>
      <c r="I678" s="25"/>
      <c r="J678" s="10"/>
      <c r="K678" s="10"/>
      <c r="L678" s="14"/>
      <c r="M678" s="14" t="b">
        <v>0</v>
      </c>
      <c r="N678" s="14" t="b">
        <v>0</v>
      </c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>
      <c r="A679" s="123"/>
      <c r="B679" s="124"/>
      <c r="C679" s="17"/>
      <c r="D679" s="25"/>
      <c r="E679" s="25"/>
      <c r="F679" s="19"/>
      <c r="G679" s="31"/>
      <c r="H679" s="31"/>
      <c r="I679" s="25"/>
      <c r="J679" s="10"/>
      <c r="K679" s="10"/>
      <c r="L679" s="14"/>
      <c r="M679" s="14" t="b">
        <v>0</v>
      </c>
      <c r="N679" s="14" t="b">
        <v>0</v>
      </c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>
      <c r="A680" s="123"/>
      <c r="B680" s="124"/>
      <c r="C680" s="17"/>
      <c r="D680" s="25"/>
      <c r="E680" s="25"/>
      <c r="F680" s="19"/>
      <c r="G680" s="31"/>
      <c r="H680" s="31"/>
      <c r="I680" s="25"/>
      <c r="J680" s="10"/>
      <c r="K680" s="10"/>
      <c r="L680" s="14"/>
      <c r="M680" s="14" t="b">
        <v>0</v>
      </c>
      <c r="N680" s="14" t="b">
        <v>0</v>
      </c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>
      <c r="A681" s="123"/>
      <c r="B681" s="124"/>
      <c r="C681" s="17"/>
      <c r="D681" s="25"/>
      <c r="E681" s="25"/>
      <c r="F681" s="19"/>
      <c r="G681" s="31"/>
      <c r="H681" s="31"/>
      <c r="I681" s="25"/>
      <c r="J681" s="10"/>
      <c r="K681" s="10"/>
      <c r="L681" s="14"/>
      <c r="M681" s="14" t="b">
        <v>0</v>
      </c>
      <c r="N681" s="14" t="b">
        <v>0</v>
      </c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>
      <c r="A682" s="123"/>
      <c r="B682" s="124"/>
      <c r="C682" s="17"/>
      <c r="D682" s="25"/>
      <c r="E682" s="25"/>
      <c r="F682" s="19"/>
      <c r="G682" s="31"/>
      <c r="H682" s="31"/>
      <c r="I682" s="25"/>
      <c r="J682" s="10"/>
      <c r="K682" s="10"/>
      <c r="L682" s="14"/>
      <c r="M682" s="14" t="b">
        <v>0</v>
      </c>
      <c r="N682" s="14" t="b">
        <v>0</v>
      </c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>
      <c r="A683" s="123"/>
      <c r="B683" s="124"/>
      <c r="C683" s="17"/>
      <c r="D683" s="25"/>
      <c r="E683" s="25"/>
      <c r="F683" s="19"/>
      <c r="G683" s="31"/>
      <c r="H683" s="31"/>
      <c r="I683" s="25"/>
      <c r="J683" s="10"/>
      <c r="K683" s="10"/>
      <c r="L683" s="14"/>
      <c r="M683" s="14" t="b">
        <v>0</v>
      </c>
      <c r="N683" s="14" t="b">
        <v>0</v>
      </c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>
      <c r="A684" s="123"/>
      <c r="B684" s="124"/>
      <c r="C684" s="17"/>
      <c r="D684" s="25"/>
      <c r="E684" s="25"/>
      <c r="F684" s="19"/>
      <c r="G684" s="31"/>
      <c r="H684" s="31"/>
      <c r="I684" s="25"/>
      <c r="J684" s="10"/>
      <c r="K684" s="10"/>
      <c r="L684" s="14"/>
      <c r="M684" s="14" t="b">
        <v>0</v>
      </c>
      <c r="N684" s="14" t="b">
        <v>0</v>
      </c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>
      <c r="A685" s="123"/>
      <c r="B685" s="124"/>
      <c r="C685" s="17"/>
      <c r="D685" s="25"/>
      <c r="E685" s="25"/>
      <c r="F685" s="19"/>
      <c r="G685" s="31"/>
      <c r="H685" s="31"/>
      <c r="I685" s="25"/>
      <c r="J685" s="10"/>
      <c r="K685" s="10"/>
      <c r="L685" s="14"/>
      <c r="M685" s="14" t="b">
        <v>0</v>
      </c>
      <c r="N685" s="14" t="b">
        <v>0</v>
      </c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>
      <c r="A686" s="123"/>
      <c r="B686" s="124"/>
      <c r="C686" s="17"/>
      <c r="D686" s="25"/>
      <c r="E686" s="25"/>
      <c r="F686" s="19"/>
      <c r="G686" s="31"/>
      <c r="H686" s="31"/>
      <c r="I686" s="25"/>
      <c r="J686" s="10"/>
      <c r="K686" s="10"/>
      <c r="L686" s="14"/>
      <c r="M686" s="14" t="b">
        <v>0</v>
      </c>
      <c r="N686" s="14" t="b">
        <v>0</v>
      </c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>
      <c r="A687" s="123"/>
      <c r="B687" s="124"/>
      <c r="C687" s="17"/>
      <c r="D687" s="25"/>
      <c r="E687" s="25"/>
      <c r="F687" s="19"/>
      <c r="G687" s="31"/>
      <c r="H687" s="31"/>
      <c r="I687" s="25"/>
      <c r="J687" s="10"/>
      <c r="K687" s="10"/>
      <c r="L687" s="14"/>
      <c r="M687" s="14" t="b">
        <v>0</v>
      </c>
      <c r="N687" s="14" t="b">
        <v>0</v>
      </c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>
      <c r="A688" s="123"/>
      <c r="B688" s="124"/>
      <c r="C688" s="17"/>
      <c r="D688" s="25"/>
      <c r="E688" s="25"/>
      <c r="F688" s="19"/>
      <c r="G688" s="31"/>
      <c r="H688" s="31"/>
      <c r="I688" s="25"/>
      <c r="J688" s="10"/>
      <c r="K688" s="10"/>
      <c r="L688" s="14"/>
      <c r="M688" s="14" t="b">
        <v>0</v>
      </c>
      <c r="N688" s="14" t="b">
        <v>0</v>
      </c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>
      <c r="A689" s="123"/>
      <c r="B689" s="124"/>
      <c r="C689" s="17"/>
      <c r="D689" s="25"/>
      <c r="E689" s="25"/>
      <c r="F689" s="19"/>
      <c r="G689" s="31"/>
      <c r="H689" s="31"/>
      <c r="I689" s="25"/>
      <c r="J689" s="10"/>
      <c r="K689" s="10"/>
      <c r="L689" s="14"/>
      <c r="M689" s="14" t="b">
        <v>0</v>
      </c>
      <c r="N689" s="14" t="b">
        <v>0</v>
      </c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>
      <c r="A690" s="123"/>
      <c r="B690" s="124"/>
      <c r="C690" s="17"/>
      <c r="D690" s="25"/>
      <c r="E690" s="25"/>
      <c r="F690" s="19"/>
      <c r="G690" s="31"/>
      <c r="H690" s="31"/>
      <c r="I690" s="25"/>
      <c r="J690" s="10"/>
      <c r="K690" s="10"/>
      <c r="L690" s="14"/>
      <c r="M690" s="14" t="b">
        <v>0</v>
      </c>
      <c r="N690" s="14" t="b">
        <v>0</v>
      </c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>
      <c r="A691" s="123"/>
      <c r="B691" s="124"/>
      <c r="C691" s="17"/>
      <c r="D691" s="25"/>
      <c r="E691" s="25"/>
      <c r="F691" s="19"/>
      <c r="G691" s="31"/>
      <c r="H691" s="31"/>
      <c r="I691" s="25"/>
      <c r="J691" s="10"/>
      <c r="K691" s="10"/>
      <c r="L691" s="14"/>
      <c r="M691" s="14" t="b">
        <v>0</v>
      </c>
      <c r="N691" s="14" t="b">
        <v>0</v>
      </c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>
      <c r="A692" s="123"/>
      <c r="B692" s="124"/>
      <c r="C692" s="17"/>
      <c r="D692" s="25"/>
      <c r="E692" s="25"/>
      <c r="F692" s="19"/>
      <c r="G692" s="31"/>
      <c r="H692" s="31"/>
      <c r="I692" s="25"/>
      <c r="J692" s="10"/>
      <c r="K692" s="10"/>
      <c r="L692" s="14"/>
      <c r="M692" s="14" t="b">
        <v>0</v>
      </c>
      <c r="N692" s="14" t="b">
        <v>0</v>
      </c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>
      <c r="A693" s="123"/>
      <c r="B693" s="124"/>
      <c r="C693" s="17"/>
      <c r="D693" s="25"/>
      <c r="E693" s="25"/>
      <c r="F693" s="19"/>
      <c r="G693" s="31"/>
      <c r="H693" s="31"/>
      <c r="I693" s="25"/>
      <c r="J693" s="10"/>
      <c r="K693" s="10"/>
      <c r="L693" s="14"/>
      <c r="M693" s="14" t="b">
        <v>0</v>
      </c>
      <c r="N693" s="14" t="b">
        <v>0</v>
      </c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>
      <c r="A694" s="123"/>
      <c r="B694" s="124"/>
      <c r="C694" s="17"/>
      <c r="D694" s="25"/>
      <c r="E694" s="25"/>
      <c r="F694" s="19"/>
      <c r="G694" s="31"/>
      <c r="H694" s="31"/>
      <c r="I694" s="25"/>
      <c r="J694" s="10"/>
      <c r="K694" s="10"/>
      <c r="L694" s="14"/>
      <c r="M694" s="14" t="b">
        <v>0</v>
      </c>
      <c r="N694" s="14" t="b">
        <v>0</v>
      </c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>
      <c r="A695" s="123"/>
      <c r="B695" s="124"/>
      <c r="C695" s="17"/>
      <c r="D695" s="25"/>
      <c r="E695" s="25"/>
      <c r="F695" s="19"/>
      <c r="G695" s="31"/>
      <c r="H695" s="31"/>
      <c r="I695" s="25"/>
      <c r="J695" s="10"/>
      <c r="K695" s="10"/>
      <c r="L695" s="14"/>
      <c r="M695" s="14" t="b">
        <v>0</v>
      </c>
      <c r="N695" s="14" t="b">
        <v>0</v>
      </c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>
      <c r="A696" s="123"/>
      <c r="B696" s="124"/>
      <c r="C696" s="17"/>
      <c r="D696" s="25"/>
      <c r="E696" s="25"/>
      <c r="F696" s="19"/>
      <c r="G696" s="31"/>
      <c r="H696" s="31"/>
      <c r="I696" s="25"/>
      <c r="J696" s="10"/>
      <c r="K696" s="10"/>
      <c r="L696" s="14"/>
      <c r="M696" s="14" t="b">
        <v>0</v>
      </c>
      <c r="N696" s="14" t="b">
        <v>0</v>
      </c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>
      <c r="A697" s="123"/>
      <c r="B697" s="124"/>
      <c r="C697" s="17"/>
      <c r="D697" s="25"/>
      <c r="E697" s="25"/>
      <c r="F697" s="19"/>
      <c r="G697" s="31"/>
      <c r="H697" s="31"/>
      <c r="I697" s="25"/>
      <c r="J697" s="10"/>
      <c r="K697" s="10"/>
      <c r="L697" s="14"/>
      <c r="M697" s="14" t="b">
        <v>0</v>
      </c>
      <c r="N697" s="14" t="b">
        <v>0</v>
      </c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>
      <c r="A698" s="123"/>
      <c r="B698" s="124"/>
      <c r="C698" s="17"/>
      <c r="D698" s="25"/>
      <c r="E698" s="25"/>
      <c r="F698" s="19"/>
      <c r="G698" s="31"/>
      <c r="H698" s="31"/>
      <c r="I698" s="25"/>
      <c r="J698" s="10"/>
      <c r="K698" s="10"/>
      <c r="L698" s="14"/>
      <c r="M698" s="14" t="b">
        <v>0</v>
      </c>
      <c r="N698" s="14" t="b">
        <v>0</v>
      </c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>
      <c r="A699" s="123"/>
      <c r="B699" s="124"/>
      <c r="C699" s="17"/>
      <c r="D699" s="25"/>
      <c r="E699" s="25"/>
      <c r="F699" s="19"/>
      <c r="G699" s="31"/>
      <c r="H699" s="31"/>
      <c r="I699" s="25"/>
      <c r="J699" s="10"/>
      <c r="K699" s="10"/>
      <c r="L699" s="14"/>
      <c r="M699" s="14" t="b">
        <v>0</v>
      </c>
      <c r="N699" s="14" t="b">
        <v>0</v>
      </c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>
      <c r="A700" s="123"/>
      <c r="B700" s="124"/>
      <c r="C700" s="17"/>
      <c r="D700" s="25"/>
      <c r="E700" s="25"/>
      <c r="F700" s="19"/>
      <c r="G700" s="31"/>
      <c r="H700" s="31"/>
      <c r="I700" s="25"/>
      <c r="J700" s="10"/>
      <c r="K700" s="10"/>
      <c r="L700" s="14"/>
      <c r="M700" s="14" t="b">
        <v>0</v>
      </c>
      <c r="N700" s="14" t="b">
        <v>0</v>
      </c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>
      <c r="A701" s="123"/>
      <c r="B701" s="124"/>
      <c r="C701" s="17"/>
      <c r="D701" s="25"/>
      <c r="E701" s="25"/>
      <c r="F701" s="19"/>
      <c r="G701" s="31"/>
      <c r="H701" s="31"/>
      <c r="I701" s="25"/>
      <c r="J701" s="10"/>
      <c r="K701" s="10"/>
      <c r="L701" s="14"/>
      <c r="M701" s="14" t="b">
        <v>0</v>
      </c>
      <c r="N701" s="14" t="b">
        <v>0</v>
      </c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>
      <c r="A702" s="123"/>
      <c r="B702" s="124"/>
      <c r="C702" s="17"/>
      <c r="D702" s="25"/>
      <c r="E702" s="25"/>
      <c r="F702" s="19"/>
      <c r="G702" s="31"/>
      <c r="H702" s="31"/>
      <c r="I702" s="25"/>
      <c r="J702" s="10"/>
      <c r="K702" s="10"/>
      <c r="L702" s="14"/>
      <c r="M702" s="14" t="b">
        <v>0</v>
      </c>
      <c r="N702" s="14" t="b">
        <v>0</v>
      </c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>
      <c r="A703" s="123"/>
      <c r="B703" s="124"/>
      <c r="C703" s="17"/>
      <c r="D703" s="25"/>
      <c r="E703" s="25"/>
      <c r="F703" s="19"/>
      <c r="G703" s="31"/>
      <c r="H703" s="31"/>
      <c r="I703" s="25"/>
      <c r="J703" s="10"/>
      <c r="K703" s="10"/>
      <c r="L703" s="14"/>
      <c r="M703" s="14" t="b">
        <v>0</v>
      </c>
      <c r="N703" s="14" t="b">
        <v>0</v>
      </c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>
      <c r="A704" s="123"/>
      <c r="B704" s="124"/>
      <c r="C704" s="17"/>
      <c r="D704" s="25"/>
      <c r="E704" s="25"/>
      <c r="F704" s="19"/>
      <c r="G704" s="31"/>
      <c r="H704" s="31"/>
      <c r="I704" s="25"/>
      <c r="J704" s="10"/>
      <c r="K704" s="10"/>
      <c r="L704" s="14"/>
      <c r="M704" s="14" t="b">
        <v>0</v>
      </c>
      <c r="N704" s="14" t="b">
        <v>0</v>
      </c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>
      <c r="A705" s="123"/>
      <c r="B705" s="124"/>
      <c r="C705" s="17"/>
      <c r="D705" s="25"/>
      <c r="E705" s="25"/>
      <c r="F705" s="19"/>
      <c r="G705" s="31"/>
      <c r="H705" s="31"/>
      <c r="I705" s="25"/>
      <c r="J705" s="10"/>
      <c r="K705" s="10"/>
      <c r="L705" s="14"/>
      <c r="M705" s="14" t="b">
        <v>0</v>
      </c>
      <c r="N705" s="14" t="b">
        <v>0</v>
      </c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>
      <c r="A706" s="123"/>
      <c r="B706" s="124"/>
      <c r="C706" s="17"/>
      <c r="D706" s="25"/>
      <c r="E706" s="25"/>
      <c r="F706" s="19"/>
      <c r="G706" s="31"/>
      <c r="H706" s="31"/>
      <c r="I706" s="25"/>
      <c r="J706" s="10"/>
      <c r="K706" s="10"/>
      <c r="L706" s="14"/>
      <c r="M706" s="14" t="b">
        <v>0</v>
      </c>
      <c r="N706" s="14" t="b">
        <v>0</v>
      </c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>
      <c r="A707" s="123"/>
      <c r="B707" s="124"/>
      <c r="C707" s="17"/>
      <c r="D707" s="25"/>
      <c r="E707" s="25"/>
      <c r="F707" s="19"/>
      <c r="G707" s="31"/>
      <c r="H707" s="31"/>
      <c r="I707" s="25"/>
      <c r="J707" s="10"/>
      <c r="K707" s="10"/>
      <c r="L707" s="14"/>
      <c r="M707" s="14" t="b">
        <v>0</v>
      </c>
      <c r="N707" s="14" t="b">
        <v>0</v>
      </c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>
      <c r="A708" s="123"/>
      <c r="B708" s="124"/>
      <c r="C708" s="17"/>
      <c r="D708" s="25"/>
      <c r="E708" s="25"/>
      <c r="F708" s="19"/>
      <c r="G708" s="31"/>
      <c r="H708" s="31"/>
      <c r="I708" s="25"/>
      <c r="J708" s="10"/>
      <c r="K708" s="10"/>
      <c r="L708" s="14"/>
      <c r="M708" s="14" t="b">
        <v>0</v>
      </c>
      <c r="N708" s="14" t="b">
        <v>0</v>
      </c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>
      <c r="A709" s="123"/>
      <c r="B709" s="124"/>
      <c r="C709" s="17"/>
      <c r="D709" s="25"/>
      <c r="E709" s="25"/>
      <c r="F709" s="19"/>
      <c r="G709" s="31"/>
      <c r="H709" s="31"/>
      <c r="I709" s="25"/>
      <c r="J709" s="10"/>
      <c r="K709" s="10"/>
      <c r="L709" s="14"/>
      <c r="M709" s="14" t="b">
        <v>0</v>
      </c>
      <c r="N709" s="14" t="b">
        <v>0</v>
      </c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>
      <c r="A710" s="123"/>
      <c r="B710" s="124"/>
      <c r="C710" s="17"/>
      <c r="D710" s="25"/>
      <c r="E710" s="25"/>
      <c r="F710" s="19"/>
      <c r="G710" s="31"/>
      <c r="H710" s="31"/>
      <c r="I710" s="25"/>
      <c r="J710" s="10"/>
      <c r="K710" s="10"/>
      <c r="L710" s="14"/>
      <c r="M710" s="14" t="b">
        <v>0</v>
      </c>
      <c r="N710" s="14" t="b">
        <v>0</v>
      </c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>
      <c r="A711" s="123"/>
      <c r="B711" s="124"/>
      <c r="C711" s="17"/>
      <c r="D711" s="25"/>
      <c r="E711" s="25"/>
      <c r="F711" s="19"/>
      <c r="G711" s="31"/>
      <c r="H711" s="31"/>
      <c r="I711" s="25"/>
      <c r="J711" s="10"/>
      <c r="K711" s="10"/>
      <c r="L711" s="14"/>
      <c r="M711" s="14" t="b">
        <v>0</v>
      </c>
      <c r="N711" s="14" t="b">
        <v>0</v>
      </c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>
      <c r="A712" s="123"/>
      <c r="B712" s="124"/>
      <c r="C712" s="17"/>
      <c r="D712" s="25"/>
      <c r="E712" s="25"/>
      <c r="F712" s="19"/>
      <c r="G712" s="31"/>
      <c r="H712" s="31"/>
      <c r="I712" s="25"/>
      <c r="J712" s="10"/>
      <c r="K712" s="10"/>
      <c r="L712" s="14"/>
      <c r="M712" s="14" t="b">
        <v>0</v>
      </c>
      <c r="N712" s="14" t="b">
        <v>0</v>
      </c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>
      <c r="A713" s="123"/>
      <c r="B713" s="124"/>
      <c r="C713" s="17"/>
      <c r="D713" s="25"/>
      <c r="E713" s="25"/>
      <c r="F713" s="19"/>
      <c r="G713" s="31"/>
      <c r="H713" s="31"/>
      <c r="I713" s="25"/>
      <c r="J713" s="10"/>
      <c r="K713" s="10"/>
      <c r="L713" s="14"/>
      <c r="M713" s="14" t="b">
        <v>0</v>
      </c>
      <c r="N713" s="14" t="b">
        <v>0</v>
      </c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>
      <c r="A714" s="123"/>
      <c r="B714" s="124"/>
      <c r="C714" s="17"/>
      <c r="D714" s="25"/>
      <c r="E714" s="25"/>
      <c r="F714" s="19"/>
      <c r="G714" s="31"/>
      <c r="H714" s="31"/>
      <c r="I714" s="25"/>
      <c r="J714" s="10"/>
      <c r="K714" s="10"/>
      <c r="L714" s="14"/>
      <c r="M714" s="14" t="b">
        <v>0</v>
      </c>
      <c r="N714" s="14" t="b">
        <v>0</v>
      </c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>
      <c r="A715" s="123"/>
      <c r="B715" s="124"/>
      <c r="C715" s="17"/>
      <c r="D715" s="25"/>
      <c r="E715" s="25"/>
      <c r="F715" s="19"/>
      <c r="G715" s="31"/>
      <c r="H715" s="31"/>
      <c r="I715" s="25"/>
      <c r="J715" s="10"/>
      <c r="K715" s="10"/>
      <c r="L715" s="14"/>
      <c r="M715" s="14" t="b">
        <v>0</v>
      </c>
      <c r="N715" s="14" t="b">
        <v>0</v>
      </c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>
      <c r="A716" s="123"/>
      <c r="B716" s="124"/>
      <c r="C716" s="17"/>
      <c r="D716" s="25"/>
      <c r="E716" s="25"/>
      <c r="F716" s="19"/>
      <c r="G716" s="31"/>
      <c r="H716" s="31"/>
      <c r="I716" s="25"/>
      <c r="J716" s="10"/>
      <c r="K716" s="10"/>
      <c r="L716" s="14"/>
      <c r="M716" s="14" t="b">
        <v>0</v>
      </c>
      <c r="N716" s="14" t="b">
        <v>0</v>
      </c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>
      <c r="A717" s="123"/>
      <c r="B717" s="124"/>
      <c r="C717" s="17"/>
      <c r="D717" s="25"/>
      <c r="E717" s="25"/>
      <c r="F717" s="19"/>
      <c r="G717" s="31"/>
      <c r="H717" s="31"/>
      <c r="I717" s="25"/>
      <c r="J717" s="10"/>
      <c r="K717" s="10"/>
      <c r="L717" s="14"/>
      <c r="M717" s="14" t="b">
        <v>0</v>
      </c>
      <c r="N717" s="14" t="b">
        <v>0</v>
      </c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>
      <c r="A718" s="123"/>
      <c r="B718" s="124"/>
      <c r="C718" s="17"/>
      <c r="D718" s="25"/>
      <c r="E718" s="25"/>
      <c r="F718" s="19"/>
      <c r="G718" s="31"/>
      <c r="H718" s="31"/>
      <c r="I718" s="25"/>
      <c r="J718" s="10"/>
      <c r="K718" s="10"/>
      <c r="L718" s="14"/>
      <c r="M718" s="14" t="b">
        <v>0</v>
      </c>
      <c r="N718" s="14" t="b">
        <v>0</v>
      </c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>
      <c r="A719" s="123"/>
      <c r="B719" s="124"/>
      <c r="C719" s="17"/>
      <c r="D719" s="25"/>
      <c r="E719" s="25"/>
      <c r="F719" s="19"/>
      <c r="G719" s="31"/>
      <c r="H719" s="31"/>
      <c r="I719" s="25"/>
      <c r="J719" s="10"/>
      <c r="K719" s="10"/>
      <c r="L719" s="14"/>
      <c r="M719" s="14" t="b">
        <v>0</v>
      </c>
      <c r="N719" s="14" t="b">
        <v>0</v>
      </c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>
      <c r="A720" s="123"/>
      <c r="B720" s="124"/>
      <c r="C720" s="17"/>
      <c r="D720" s="25"/>
      <c r="E720" s="25"/>
      <c r="F720" s="19"/>
      <c r="G720" s="31"/>
      <c r="H720" s="31"/>
      <c r="I720" s="25"/>
      <c r="J720" s="10"/>
      <c r="K720" s="10"/>
      <c r="L720" s="14"/>
      <c r="M720" s="14" t="b">
        <v>0</v>
      </c>
      <c r="N720" s="14" t="b">
        <v>0</v>
      </c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>
      <c r="A721" s="123"/>
      <c r="B721" s="124"/>
      <c r="C721" s="17"/>
      <c r="D721" s="25"/>
      <c r="E721" s="25"/>
      <c r="F721" s="19"/>
      <c r="G721" s="31"/>
      <c r="H721" s="31"/>
      <c r="I721" s="25"/>
      <c r="J721" s="10"/>
      <c r="K721" s="10"/>
      <c r="L721" s="14"/>
      <c r="M721" s="14" t="b">
        <v>0</v>
      </c>
      <c r="N721" s="14" t="b">
        <v>0</v>
      </c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>
      <c r="A722" s="123"/>
      <c r="B722" s="124"/>
      <c r="C722" s="17"/>
      <c r="D722" s="25"/>
      <c r="E722" s="25"/>
      <c r="F722" s="19"/>
      <c r="G722" s="31"/>
      <c r="H722" s="31"/>
      <c r="I722" s="25"/>
      <c r="J722" s="10"/>
      <c r="K722" s="10"/>
      <c r="L722" s="14"/>
      <c r="M722" s="14" t="b">
        <v>0</v>
      </c>
      <c r="N722" s="14" t="b">
        <v>0</v>
      </c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>
      <c r="A723" s="123"/>
      <c r="B723" s="124"/>
      <c r="C723" s="17"/>
      <c r="D723" s="25"/>
      <c r="E723" s="25"/>
      <c r="F723" s="19"/>
      <c r="G723" s="31"/>
      <c r="H723" s="31"/>
      <c r="I723" s="25"/>
      <c r="J723" s="10"/>
      <c r="K723" s="10"/>
      <c r="L723" s="14"/>
      <c r="M723" s="14" t="b">
        <v>0</v>
      </c>
      <c r="N723" s="14" t="b">
        <v>0</v>
      </c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>
      <c r="A724" s="123"/>
      <c r="B724" s="124"/>
      <c r="C724" s="17"/>
      <c r="D724" s="25"/>
      <c r="E724" s="25"/>
      <c r="F724" s="19"/>
      <c r="G724" s="31"/>
      <c r="H724" s="31"/>
      <c r="I724" s="25"/>
      <c r="J724" s="10"/>
      <c r="K724" s="10"/>
      <c r="L724" s="14"/>
      <c r="M724" s="14" t="b">
        <v>0</v>
      </c>
      <c r="N724" s="14" t="b">
        <v>0</v>
      </c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>
      <c r="A725" s="123"/>
      <c r="B725" s="124"/>
      <c r="C725" s="17"/>
      <c r="D725" s="25"/>
      <c r="E725" s="25"/>
      <c r="F725" s="19"/>
      <c r="G725" s="31"/>
      <c r="H725" s="31"/>
      <c r="I725" s="25"/>
      <c r="J725" s="10"/>
      <c r="K725" s="10"/>
      <c r="L725" s="14"/>
      <c r="M725" s="14" t="b">
        <v>0</v>
      </c>
      <c r="N725" s="14" t="b">
        <v>0</v>
      </c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>
      <c r="A726" s="123"/>
      <c r="B726" s="124"/>
      <c r="C726" s="17"/>
      <c r="D726" s="25"/>
      <c r="E726" s="25"/>
      <c r="F726" s="19"/>
      <c r="G726" s="31"/>
      <c r="H726" s="31"/>
      <c r="I726" s="25"/>
      <c r="J726" s="10"/>
      <c r="K726" s="10"/>
      <c r="L726" s="14"/>
      <c r="M726" s="14" t="b">
        <v>0</v>
      </c>
      <c r="N726" s="14" t="b">
        <v>0</v>
      </c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>
      <c r="A727" s="123"/>
      <c r="B727" s="124"/>
      <c r="C727" s="17"/>
      <c r="D727" s="25"/>
      <c r="E727" s="25"/>
      <c r="F727" s="19"/>
      <c r="G727" s="31"/>
      <c r="H727" s="31"/>
      <c r="I727" s="25"/>
      <c r="J727" s="10"/>
      <c r="K727" s="10"/>
      <c r="L727" s="14"/>
      <c r="M727" s="14" t="b">
        <v>0</v>
      </c>
      <c r="N727" s="14" t="b">
        <v>0</v>
      </c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>
      <c r="A728" s="123"/>
      <c r="B728" s="124"/>
      <c r="C728" s="17"/>
      <c r="D728" s="25"/>
      <c r="E728" s="25"/>
      <c r="F728" s="19"/>
      <c r="G728" s="31"/>
      <c r="H728" s="31"/>
      <c r="I728" s="25"/>
      <c r="J728" s="10"/>
      <c r="K728" s="10"/>
      <c r="L728" s="14"/>
      <c r="M728" s="14" t="b">
        <v>0</v>
      </c>
      <c r="N728" s="14" t="b">
        <v>0</v>
      </c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>
      <c r="A729" s="123"/>
      <c r="B729" s="124"/>
      <c r="C729" s="17"/>
      <c r="D729" s="25"/>
      <c r="E729" s="25"/>
      <c r="F729" s="19"/>
      <c r="G729" s="31"/>
      <c r="H729" s="31"/>
      <c r="I729" s="25"/>
      <c r="J729" s="10"/>
      <c r="K729" s="10"/>
      <c r="L729" s="14"/>
      <c r="M729" s="14" t="b">
        <v>0</v>
      </c>
      <c r="N729" s="14" t="b">
        <v>0</v>
      </c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>
      <c r="A730" s="123"/>
      <c r="B730" s="124"/>
      <c r="C730" s="17"/>
      <c r="D730" s="25"/>
      <c r="E730" s="25"/>
      <c r="F730" s="19"/>
      <c r="G730" s="31"/>
      <c r="H730" s="31"/>
      <c r="I730" s="25"/>
      <c r="J730" s="10"/>
      <c r="K730" s="10"/>
      <c r="L730" s="14"/>
      <c r="M730" s="14" t="b">
        <v>0</v>
      </c>
      <c r="N730" s="14" t="b">
        <v>0</v>
      </c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>
      <c r="A731" s="123"/>
      <c r="B731" s="124"/>
      <c r="C731" s="17"/>
      <c r="D731" s="25"/>
      <c r="E731" s="25"/>
      <c r="F731" s="19"/>
      <c r="G731" s="31"/>
      <c r="H731" s="31"/>
      <c r="I731" s="25"/>
      <c r="J731" s="10"/>
      <c r="K731" s="10"/>
      <c r="L731" s="14"/>
      <c r="M731" s="14" t="b">
        <v>0</v>
      </c>
      <c r="N731" s="14" t="b">
        <v>0</v>
      </c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>
      <c r="A732" s="123"/>
      <c r="B732" s="124"/>
      <c r="C732" s="17"/>
      <c r="D732" s="25"/>
      <c r="E732" s="25"/>
      <c r="F732" s="19"/>
      <c r="G732" s="31"/>
      <c r="H732" s="31"/>
      <c r="I732" s="25"/>
      <c r="J732" s="10"/>
      <c r="K732" s="10"/>
      <c r="L732" s="14"/>
      <c r="M732" s="14" t="b">
        <v>0</v>
      </c>
      <c r="N732" s="14" t="b">
        <v>0</v>
      </c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>
      <c r="A733" s="123"/>
      <c r="B733" s="124"/>
      <c r="C733" s="17"/>
      <c r="D733" s="25"/>
      <c r="E733" s="25"/>
      <c r="F733" s="19"/>
      <c r="G733" s="31"/>
      <c r="H733" s="31"/>
      <c r="I733" s="25"/>
      <c r="J733" s="10"/>
      <c r="K733" s="10"/>
      <c r="L733" s="14"/>
      <c r="M733" s="14" t="b">
        <v>0</v>
      </c>
      <c r="N733" s="14" t="b">
        <v>0</v>
      </c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>
      <c r="A734" s="123"/>
      <c r="B734" s="124"/>
      <c r="C734" s="17"/>
      <c r="D734" s="25"/>
      <c r="E734" s="25"/>
      <c r="F734" s="19"/>
      <c r="G734" s="31"/>
      <c r="H734" s="31"/>
      <c r="I734" s="25"/>
      <c r="J734" s="10"/>
      <c r="K734" s="10"/>
      <c r="L734" s="14"/>
      <c r="M734" s="14" t="b">
        <v>0</v>
      </c>
      <c r="N734" s="14" t="b">
        <v>0</v>
      </c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>
      <c r="A735" s="123"/>
      <c r="B735" s="124"/>
      <c r="C735" s="17"/>
      <c r="D735" s="25"/>
      <c r="E735" s="25"/>
      <c r="F735" s="19"/>
      <c r="G735" s="31"/>
      <c r="H735" s="31"/>
      <c r="I735" s="25"/>
      <c r="J735" s="10"/>
      <c r="K735" s="10"/>
      <c r="L735" s="14"/>
      <c r="M735" s="14" t="b">
        <v>0</v>
      </c>
      <c r="N735" s="14" t="b">
        <v>0</v>
      </c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>
      <c r="A736" s="123"/>
      <c r="B736" s="124"/>
      <c r="C736" s="17"/>
      <c r="D736" s="25"/>
      <c r="E736" s="25"/>
      <c r="F736" s="19"/>
      <c r="G736" s="31"/>
      <c r="H736" s="31"/>
      <c r="I736" s="25"/>
      <c r="J736" s="10"/>
      <c r="K736" s="10"/>
      <c r="L736" s="14"/>
      <c r="M736" s="14" t="b">
        <v>0</v>
      </c>
      <c r="N736" s="14" t="b">
        <v>0</v>
      </c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>
      <c r="A737" s="123"/>
      <c r="B737" s="124"/>
      <c r="C737" s="17"/>
      <c r="D737" s="25"/>
      <c r="E737" s="25"/>
      <c r="F737" s="19"/>
      <c r="G737" s="31"/>
      <c r="H737" s="31"/>
      <c r="I737" s="25"/>
      <c r="J737" s="10"/>
      <c r="K737" s="10"/>
      <c r="L737" s="14"/>
      <c r="M737" s="14" t="b">
        <v>0</v>
      </c>
      <c r="N737" s="14" t="b">
        <v>0</v>
      </c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>
      <c r="A738" s="123"/>
      <c r="B738" s="124"/>
      <c r="C738" s="17"/>
      <c r="D738" s="25"/>
      <c r="E738" s="25"/>
      <c r="F738" s="19"/>
      <c r="G738" s="31"/>
      <c r="H738" s="31"/>
      <c r="I738" s="25"/>
      <c r="J738" s="10"/>
      <c r="K738" s="10"/>
      <c r="L738" s="14"/>
      <c r="M738" s="14" t="b">
        <v>0</v>
      </c>
      <c r="N738" s="14" t="b">
        <v>0</v>
      </c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>
      <c r="A739" s="123"/>
      <c r="B739" s="124"/>
      <c r="C739" s="17"/>
      <c r="D739" s="25"/>
      <c r="E739" s="25"/>
      <c r="F739" s="19"/>
      <c r="G739" s="31"/>
      <c r="H739" s="31"/>
      <c r="I739" s="25"/>
      <c r="J739" s="10"/>
      <c r="K739" s="10"/>
      <c r="L739" s="14"/>
      <c r="M739" s="14" t="b">
        <v>0</v>
      </c>
      <c r="N739" s="14" t="b">
        <v>0</v>
      </c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>
      <c r="A740" s="123"/>
      <c r="B740" s="124"/>
      <c r="C740" s="17"/>
      <c r="D740" s="25"/>
      <c r="E740" s="25"/>
      <c r="F740" s="19"/>
      <c r="G740" s="31"/>
      <c r="H740" s="31"/>
      <c r="I740" s="25"/>
      <c r="J740" s="10"/>
      <c r="K740" s="10"/>
      <c r="L740" s="14"/>
      <c r="M740" s="14" t="b">
        <v>0</v>
      </c>
      <c r="N740" s="14" t="b">
        <v>0</v>
      </c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>
      <c r="A741" s="123"/>
      <c r="B741" s="124"/>
      <c r="C741" s="17"/>
      <c r="D741" s="25"/>
      <c r="E741" s="25"/>
      <c r="F741" s="19"/>
      <c r="G741" s="31"/>
      <c r="H741" s="31"/>
      <c r="I741" s="25"/>
      <c r="J741" s="10"/>
      <c r="K741" s="10"/>
      <c r="L741" s="14"/>
      <c r="M741" s="14" t="b">
        <v>0</v>
      </c>
      <c r="N741" s="14" t="b">
        <v>0</v>
      </c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>
      <c r="A742" s="123"/>
      <c r="B742" s="124"/>
      <c r="C742" s="17"/>
      <c r="D742" s="25"/>
      <c r="E742" s="25"/>
      <c r="F742" s="19"/>
      <c r="G742" s="31"/>
      <c r="H742" s="31"/>
      <c r="I742" s="25"/>
      <c r="J742" s="10"/>
      <c r="K742" s="10"/>
      <c r="L742" s="14"/>
      <c r="M742" s="14" t="b">
        <v>0</v>
      </c>
      <c r="N742" s="14" t="b">
        <v>0</v>
      </c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>
      <c r="A743" s="123"/>
      <c r="B743" s="124"/>
      <c r="C743" s="17"/>
      <c r="D743" s="25"/>
      <c r="E743" s="25"/>
      <c r="F743" s="19"/>
      <c r="G743" s="31"/>
      <c r="H743" s="31"/>
      <c r="I743" s="25"/>
      <c r="J743" s="10"/>
      <c r="K743" s="10"/>
      <c r="L743" s="14"/>
      <c r="M743" s="14" t="b">
        <v>0</v>
      </c>
      <c r="N743" s="14" t="b">
        <v>0</v>
      </c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>
      <c r="A744" s="123"/>
      <c r="B744" s="124"/>
      <c r="C744" s="17"/>
      <c r="D744" s="25"/>
      <c r="E744" s="25"/>
      <c r="F744" s="19"/>
      <c r="G744" s="31"/>
      <c r="H744" s="31"/>
      <c r="I744" s="25"/>
      <c r="J744" s="10"/>
      <c r="K744" s="10"/>
      <c r="L744" s="14"/>
      <c r="M744" s="14" t="b">
        <v>0</v>
      </c>
      <c r="N744" s="14" t="b">
        <v>0</v>
      </c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>
      <c r="A745" s="123"/>
      <c r="B745" s="124"/>
      <c r="C745" s="17"/>
      <c r="D745" s="25"/>
      <c r="E745" s="25"/>
      <c r="F745" s="19"/>
      <c r="G745" s="31"/>
      <c r="H745" s="31"/>
      <c r="I745" s="25"/>
      <c r="J745" s="10"/>
      <c r="K745" s="10"/>
      <c r="L745" s="14"/>
      <c r="M745" s="14" t="b">
        <v>0</v>
      </c>
      <c r="N745" s="14" t="b">
        <v>0</v>
      </c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>
      <c r="A746" s="123"/>
      <c r="B746" s="124"/>
      <c r="C746" s="17"/>
      <c r="D746" s="25"/>
      <c r="E746" s="25"/>
      <c r="F746" s="19"/>
      <c r="G746" s="31"/>
      <c r="H746" s="31"/>
      <c r="I746" s="25"/>
      <c r="J746" s="10"/>
      <c r="K746" s="10"/>
      <c r="L746" s="14"/>
      <c r="M746" s="14" t="b">
        <v>0</v>
      </c>
      <c r="N746" s="14" t="b">
        <v>0</v>
      </c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>
      <c r="A747" s="123"/>
      <c r="B747" s="124"/>
      <c r="C747" s="17"/>
      <c r="D747" s="25"/>
      <c r="E747" s="25"/>
      <c r="F747" s="19"/>
      <c r="G747" s="31"/>
      <c r="H747" s="31"/>
      <c r="I747" s="25"/>
      <c r="J747" s="10"/>
      <c r="K747" s="10"/>
      <c r="L747" s="14"/>
      <c r="M747" s="14" t="b">
        <v>0</v>
      </c>
      <c r="N747" s="14" t="b">
        <v>0</v>
      </c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>
      <c r="A748" s="123"/>
      <c r="B748" s="124"/>
      <c r="C748" s="17"/>
      <c r="D748" s="25"/>
      <c r="E748" s="25"/>
      <c r="F748" s="19"/>
      <c r="G748" s="31"/>
      <c r="H748" s="31"/>
      <c r="I748" s="25"/>
      <c r="J748" s="10"/>
      <c r="K748" s="10"/>
      <c r="L748" s="14"/>
      <c r="M748" s="14" t="b">
        <v>0</v>
      </c>
      <c r="N748" s="14" t="b">
        <v>0</v>
      </c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>
      <c r="A749" s="123"/>
      <c r="B749" s="124"/>
      <c r="C749" s="17"/>
      <c r="D749" s="25"/>
      <c r="E749" s="25"/>
      <c r="F749" s="19"/>
      <c r="G749" s="31"/>
      <c r="H749" s="31"/>
      <c r="I749" s="25"/>
      <c r="J749" s="10"/>
      <c r="K749" s="10"/>
      <c r="L749" s="14"/>
      <c r="M749" s="14" t="b">
        <v>0</v>
      </c>
      <c r="N749" s="14" t="b">
        <v>0</v>
      </c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>
      <c r="A750" s="123"/>
      <c r="B750" s="124"/>
      <c r="C750" s="17"/>
      <c r="D750" s="25"/>
      <c r="E750" s="25"/>
      <c r="F750" s="19"/>
      <c r="G750" s="31"/>
      <c r="H750" s="31"/>
      <c r="I750" s="25"/>
      <c r="J750" s="10"/>
      <c r="K750" s="10"/>
      <c r="L750" s="14"/>
      <c r="M750" s="14" t="b">
        <v>0</v>
      </c>
      <c r="N750" s="14" t="b">
        <v>0</v>
      </c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>
      <c r="A751" s="123"/>
      <c r="B751" s="124"/>
      <c r="C751" s="17"/>
      <c r="D751" s="25"/>
      <c r="E751" s="25"/>
      <c r="F751" s="19"/>
      <c r="G751" s="31"/>
      <c r="H751" s="31"/>
      <c r="I751" s="25"/>
      <c r="J751" s="10"/>
      <c r="K751" s="10"/>
      <c r="L751" s="14"/>
      <c r="M751" s="14" t="b">
        <v>0</v>
      </c>
      <c r="N751" s="14" t="b">
        <v>0</v>
      </c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>
      <c r="A752" s="123"/>
      <c r="B752" s="124"/>
      <c r="C752" s="17"/>
      <c r="D752" s="25"/>
      <c r="E752" s="25"/>
      <c r="F752" s="19"/>
      <c r="G752" s="31"/>
      <c r="H752" s="31"/>
      <c r="I752" s="25"/>
      <c r="J752" s="10"/>
      <c r="K752" s="10"/>
      <c r="L752" s="14"/>
      <c r="M752" s="14" t="b">
        <v>0</v>
      </c>
      <c r="N752" s="14" t="b">
        <v>0</v>
      </c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>
      <c r="A753" s="123"/>
      <c r="B753" s="124"/>
      <c r="C753" s="17"/>
      <c r="D753" s="25"/>
      <c r="E753" s="25"/>
      <c r="F753" s="19"/>
      <c r="G753" s="31"/>
      <c r="H753" s="31"/>
      <c r="I753" s="25"/>
      <c r="J753" s="10"/>
      <c r="K753" s="10"/>
      <c r="L753" s="14"/>
      <c r="M753" s="14" t="b">
        <v>0</v>
      </c>
      <c r="N753" s="14" t="b">
        <v>0</v>
      </c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>
      <c r="A754" s="123"/>
      <c r="B754" s="124"/>
      <c r="C754" s="17"/>
      <c r="D754" s="25"/>
      <c r="E754" s="25"/>
      <c r="F754" s="19"/>
      <c r="G754" s="31"/>
      <c r="H754" s="31"/>
      <c r="I754" s="25"/>
      <c r="J754" s="10"/>
      <c r="K754" s="10"/>
      <c r="L754" s="14"/>
      <c r="M754" s="14" t="b">
        <v>0</v>
      </c>
      <c r="N754" s="14" t="b">
        <v>0</v>
      </c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>
      <c r="A755" s="123"/>
      <c r="B755" s="124"/>
      <c r="C755" s="17"/>
      <c r="D755" s="25"/>
      <c r="E755" s="25"/>
      <c r="F755" s="19"/>
      <c r="G755" s="31"/>
      <c r="H755" s="31"/>
      <c r="I755" s="25"/>
      <c r="J755" s="10"/>
      <c r="K755" s="10"/>
      <c r="L755" s="14"/>
      <c r="M755" s="14" t="b">
        <v>0</v>
      </c>
      <c r="N755" s="14" t="b">
        <v>0</v>
      </c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>
      <c r="A756" s="123"/>
      <c r="B756" s="124"/>
      <c r="C756" s="17"/>
      <c r="D756" s="25"/>
      <c r="E756" s="25"/>
      <c r="F756" s="19"/>
      <c r="G756" s="31"/>
      <c r="H756" s="31"/>
      <c r="I756" s="25"/>
      <c r="J756" s="10"/>
      <c r="K756" s="10"/>
      <c r="L756" s="14"/>
      <c r="M756" s="14" t="b">
        <v>0</v>
      </c>
      <c r="N756" s="14" t="b">
        <v>0</v>
      </c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>
      <c r="A757" s="123"/>
      <c r="B757" s="124"/>
      <c r="C757" s="17"/>
      <c r="D757" s="25"/>
      <c r="E757" s="25"/>
      <c r="F757" s="19"/>
      <c r="G757" s="31"/>
      <c r="H757" s="31"/>
      <c r="I757" s="25"/>
      <c r="J757" s="10"/>
      <c r="K757" s="10"/>
      <c r="L757" s="14"/>
      <c r="M757" s="14" t="b">
        <v>0</v>
      </c>
      <c r="N757" s="14" t="b">
        <v>0</v>
      </c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>
      <c r="A758" s="123"/>
      <c r="B758" s="124"/>
      <c r="C758" s="17"/>
      <c r="D758" s="25"/>
      <c r="E758" s="25"/>
      <c r="F758" s="19"/>
      <c r="G758" s="31"/>
      <c r="H758" s="31"/>
      <c r="I758" s="25"/>
      <c r="J758" s="10"/>
      <c r="K758" s="10"/>
      <c r="L758" s="14"/>
      <c r="M758" s="14" t="b">
        <v>0</v>
      </c>
      <c r="N758" s="14" t="b">
        <v>0</v>
      </c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>
      <c r="A759" s="123"/>
      <c r="B759" s="124"/>
      <c r="C759" s="17"/>
      <c r="D759" s="25"/>
      <c r="E759" s="25"/>
      <c r="F759" s="19"/>
      <c r="G759" s="31"/>
      <c r="H759" s="31"/>
      <c r="I759" s="25"/>
      <c r="J759" s="10"/>
      <c r="K759" s="10"/>
      <c r="L759" s="14"/>
      <c r="M759" s="14" t="b">
        <v>0</v>
      </c>
      <c r="N759" s="14" t="b">
        <v>0</v>
      </c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>
      <c r="A760" s="123"/>
      <c r="B760" s="124"/>
      <c r="C760" s="17"/>
      <c r="D760" s="25"/>
      <c r="E760" s="25"/>
      <c r="F760" s="19"/>
      <c r="G760" s="31"/>
      <c r="H760" s="31"/>
      <c r="I760" s="25"/>
      <c r="J760" s="10"/>
      <c r="K760" s="10"/>
      <c r="L760" s="14"/>
      <c r="M760" s="14" t="b">
        <v>0</v>
      </c>
      <c r="N760" s="14" t="b">
        <v>0</v>
      </c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>
      <c r="A761" s="123"/>
      <c r="B761" s="124"/>
      <c r="C761" s="17"/>
      <c r="D761" s="25"/>
      <c r="E761" s="25"/>
      <c r="F761" s="19"/>
      <c r="G761" s="31"/>
      <c r="H761" s="31"/>
      <c r="I761" s="25"/>
      <c r="J761" s="10"/>
      <c r="K761" s="10"/>
      <c r="L761" s="14"/>
      <c r="M761" s="14" t="b">
        <v>0</v>
      </c>
      <c r="N761" s="14" t="b">
        <v>0</v>
      </c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>
      <c r="A762" s="123"/>
      <c r="B762" s="124"/>
      <c r="C762" s="17"/>
      <c r="D762" s="25"/>
      <c r="E762" s="25"/>
      <c r="F762" s="19"/>
      <c r="G762" s="31"/>
      <c r="H762" s="31"/>
      <c r="I762" s="25"/>
      <c r="J762" s="10"/>
      <c r="K762" s="10"/>
      <c r="L762" s="14"/>
      <c r="M762" s="14" t="b">
        <v>0</v>
      </c>
      <c r="N762" s="14" t="b">
        <v>0</v>
      </c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>
      <c r="A763" s="123"/>
      <c r="B763" s="124"/>
      <c r="C763" s="17"/>
      <c r="D763" s="25"/>
      <c r="E763" s="25"/>
      <c r="F763" s="19"/>
      <c r="G763" s="31"/>
      <c r="H763" s="31"/>
      <c r="I763" s="25"/>
      <c r="J763" s="10"/>
      <c r="K763" s="10"/>
      <c r="L763" s="14"/>
      <c r="M763" s="14" t="b">
        <v>0</v>
      </c>
      <c r="N763" s="14" t="b">
        <v>0</v>
      </c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>
      <c r="A764" s="123"/>
      <c r="B764" s="124"/>
      <c r="C764" s="17"/>
      <c r="D764" s="25"/>
      <c r="E764" s="25"/>
      <c r="F764" s="19"/>
      <c r="G764" s="31"/>
      <c r="H764" s="31"/>
      <c r="I764" s="25"/>
      <c r="J764" s="10"/>
      <c r="K764" s="10"/>
      <c r="L764" s="14"/>
      <c r="M764" s="14" t="b">
        <v>0</v>
      </c>
      <c r="N764" s="14" t="b">
        <v>0</v>
      </c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>
      <c r="A765" s="123"/>
      <c r="B765" s="124"/>
      <c r="C765" s="17"/>
      <c r="D765" s="25"/>
      <c r="E765" s="25"/>
      <c r="F765" s="19"/>
      <c r="G765" s="31"/>
      <c r="H765" s="31"/>
      <c r="I765" s="25"/>
      <c r="J765" s="10"/>
      <c r="K765" s="10"/>
      <c r="L765" s="14"/>
      <c r="M765" s="14" t="b">
        <v>0</v>
      </c>
      <c r="N765" s="14" t="b">
        <v>0</v>
      </c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>
      <c r="A766" s="123"/>
      <c r="B766" s="124"/>
      <c r="C766" s="17"/>
      <c r="D766" s="25"/>
      <c r="E766" s="25"/>
      <c r="F766" s="19"/>
      <c r="G766" s="31"/>
      <c r="H766" s="31"/>
      <c r="I766" s="25"/>
      <c r="J766" s="10"/>
      <c r="K766" s="10"/>
      <c r="L766" s="14"/>
      <c r="M766" s="14" t="b">
        <v>0</v>
      </c>
      <c r="N766" s="14" t="b">
        <v>0</v>
      </c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>
      <c r="A767" s="123"/>
      <c r="B767" s="124"/>
      <c r="C767" s="17"/>
      <c r="D767" s="25"/>
      <c r="E767" s="25"/>
      <c r="F767" s="19"/>
      <c r="G767" s="31"/>
      <c r="H767" s="31"/>
      <c r="I767" s="25"/>
      <c r="J767" s="10"/>
      <c r="K767" s="10"/>
      <c r="L767" s="14"/>
      <c r="M767" s="14" t="b">
        <v>0</v>
      </c>
      <c r="N767" s="14" t="b">
        <v>0</v>
      </c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>
      <c r="A768" s="123"/>
      <c r="B768" s="124"/>
      <c r="C768" s="17"/>
      <c r="D768" s="25"/>
      <c r="E768" s="25"/>
      <c r="F768" s="19"/>
      <c r="G768" s="31"/>
      <c r="H768" s="31"/>
      <c r="I768" s="25"/>
      <c r="J768" s="10"/>
      <c r="K768" s="10"/>
      <c r="L768" s="14"/>
      <c r="M768" s="14" t="b">
        <v>0</v>
      </c>
      <c r="N768" s="14" t="b">
        <v>0</v>
      </c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>
      <c r="A769" s="123"/>
      <c r="B769" s="124"/>
      <c r="C769" s="17"/>
      <c r="D769" s="25"/>
      <c r="E769" s="25"/>
      <c r="F769" s="19"/>
      <c r="G769" s="31"/>
      <c r="H769" s="31"/>
      <c r="I769" s="25"/>
      <c r="J769" s="10"/>
      <c r="K769" s="10"/>
      <c r="L769" s="14"/>
      <c r="M769" s="14" t="b">
        <v>0</v>
      </c>
      <c r="N769" s="14" t="b">
        <v>0</v>
      </c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>
      <c r="A770" s="123"/>
      <c r="B770" s="124"/>
      <c r="C770" s="17"/>
      <c r="D770" s="25"/>
      <c r="E770" s="25"/>
      <c r="F770" s="19"/>
      <c r="G770" s="31"/>
      <c r="H770" s="31"/>
      <c r="I770" s="25"/>
      <c r="J770" s="10"/>
      <c r="K770" s="10"/>
      <c r="L770" s="14"/>
      <c r="M770" s="14" t="b">
        <v>0</v>
      </c>
      <c r="N770" s="14" t="b">
        <v>0</v>
      </c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>
      <c r="A771" s="123"/>
      <c r="B771" s="124"/>
      <c r="C771" s="17"/>
      <c r="D771" s="25"/>
      <c r="E771" s="25"/>
      <c r="F771" s="19"/>
      <c r="G771" s="31"/>
      <c r="H771" s="31"/>
      <c r="I771" s="25"/>
      <c r="J771" s="10"/>
      <c r="K771" s="10"/>
      <c r="L771" s="14"/>
      <c r="M771" s="14" t="b">
        <v>0</v>
      </c>
      <c r="N771" s="14" t="b">
        <v>0</v>
      </c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>
      <c r="A772" s="123"/>
      <c r="B772" s="124"/>
      <c r="C772" s="17"/>
      <c r="D772" s="25"/>
      <c r="E772" s="25"/>
      <c r="F772" s="19"/>
      <c r="G772" s="31"/>
      <c r="H772" s="31"/>
      <c r="I772" s="25"/>
      <c r="J772" s="10"/>
      <c r="K772" s="10"/>
      <c r="L772" s="14"/>
      <c r="M772" s="14" t="b">
        <v>0</v>
      </c>
      <c r="N772" s="14" t="b">
        <v>0</v>
      </c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>
      <c r="A773" s="123"/>
      <c r="B773" s="124"/>
      <c r="C773" s="17"/>
      <c r="D773" s="25"/>
      <c r="E773" s="25"/>
      <c r="F773" s="19"/>
      <c r="G773" s="31"/>
      <c r="H773" s="31"/>
      <c r="I773" s="25"/>
      <c r="J773" s="10"/>
      <c r="K773" s="10"/>
      <c r="L773" s="14"/>
      <c r="M773" s="14" t="b">
        <v>0</v>
      </c>
      <c r="N773" s="14" t="b">
        <v>0</v>
      </c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>
      <c r="A774" s="123"/>
      <c r="B774" s="124"/>
      <c r="C774" s="17"/>
      <c r="D774" s="25"/>
      <c r="E774" s="25"/>
      <c r="F774" s="19"/>
      <c r="G774" s="31"/>
      <c r="H774" s="31"/>
      <c r="I774" s="25"/>
      <c r="J774" s="10"/>
      <c r="K774" s="10"/>
      <c r="L774" s="14"/>
      <c r="M774" s="14" t="b">
        <v>0</v>
      </c>
      <c r="N774" s="14" t="b">
        <v>0</v>
      </c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>
      <c r="A775" s="123"/>
      <c r="B775" s="124"/>
      <c r="C775" s="17"/>
      <c r="D775" s="25"/>
      <c r="E775" s="25"/>
      <c r="F775" s="19"/>
      <c r="G775" s="31"/>
      <c r="H775" s="31"/>
      <c r="I775" s="25"/>
      <c r="J775" s="10"/>
      <c r="K775" s="10"/>
      <c r="L775" s="14"/>
      <c r="M775" s="14" t="b">
        <v>0</v>
      </c>
      <c r="N775" s="14" t="b">
        <v>0</v>
      </c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>
      <c r="A776" s="123"/>
      <c r="B776" s="124"/>
      <c r="C776" s="17"/>
      <c r="D776" s="25"/>
      <c r="E776" s="25"/>
      <c r="F776" s="19"/>
      <c r="G776" s="31"/>
      <c r="H776" s="31"/>
      <c r="I776" s="25"/>
      <c r="J776" s="10"/>
      <c r="K776" s="10"/>
      <c r="L776" s="14"/>
      <c r="M776" s="14" t="b">
        <v>0</v>
      </c>
      <c r="N776" s="14" t="b">
        <v>0</v>
      </c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>
      <c r="A777" s="123"/>
      <c r="B777" s="124"/>
      <c r="C777" s="17"/>
      <c r="D777" s="25"/>
      <c r="E777" s="25"/>
      <c r="F777" s="19"/>
      <c r="G777" s="31"/>
      <c r="H777" s="31"/>
      <c r="I777" s="25"/>
      <c r="J777" s="10"/>
      <c r="K777" s="10"/>
      <c r="L777" s="14"/>
      <c r="M777" s="14" t="b">
        <v>0</v>
      </c>
      <c r="N777" s="14" t="b">
        <v>0</v>
      </c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>
      <c r="A778" s="123"/>
      <c r="B778" s="124"/>
      <c r="C778" s="17"/>
      <c r="D778" s="25"/>
      <c r="E778" s="25"/>
      <c r="F778" s="19"/>
      <c r="G778" s="31"/>
      <c r="H778" s="31"/>
      <c r="I778" s="25"/>
      <c r="J778" s="10"/>
      <c r="K778" s="10"/>
      <c r="L778" s="14"/>
      <c r="M778" s="14" t="b">
        <v>0</v>
      </c>
      <c r="N778" s="14" t="b">
        <v>0</v>
      </c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>
      <c r="A779" s="123"/>
      <c r="B779" s="124"/>
      <c r="C779" s="17"/>
      <c r="D779" s="25"/>
      <c r="E779" s="25"/>
      <c r="F779" s="19"/>
      <c r="G779" s="31"/>
      <c r="H779" s="31"/>
      <c r="I779" s="25"/>
      <c r="J779" s="10"/>
      <c r="K779" s="10"/>
      <c r="L779" s="14"/>
      <c r="M779" s="14" t="b">
        <v>0</v>
      </c>
      <c r="N779" s="14" t="b">
        <v>0</v>
      </c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>
      <c r="A780" s="123"/>
      <c r="B780" s="124"/>
      <c r="C780" s="17"/>
      <c r="D780" s="25"/>
      <c r="E780" s="25"/>
      <c r="F780" s="19"/>
      <c r="G780" s="31"/>
      <c r="H780" s="31"/>
      <c r="I780" s="25"/>
      <c r="J780" s="10"/>
      <c r="K780" s="10"/>
      <c r="L780" s="14"/>
      <c r="M780" s="14" t="b">
        <v>0</v>
      </c>
      <c r="N780" s="14" t="b">
        <v>0</v>
      </c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>
      <c r="A781" s="123"/>
      <c r="B781" s="124"/>
      <c r="C781" s="17"/>
      <c r="D781" s="25"/>
      <c r="E781" s="25"/>
      <c r="F781" s="19"/>
      <c r="G781" s="31"/>
      <c r="H781" s="31"/>
      <c r="I781" s="25"/>
      <c r="J781" s="10"/>
      <c r="K781" s="10"/>
      <c r="L781" s="14"/>
      <c r="M781" s="14" t="b">
        <v>0</v>
      </c>
      <c r="N781" s="14" t="b">
        <v>0</v>
      </c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>
      <c r="A782" s="123"/>
      <c r="B782" s="124"/>
      <c r="C782" s="17"/>
      <c r="D782" s="25"/>
      <c r="E782" s="25"/>
      <c r="F782" s="19"/>
      <c r="G782" s="31"/>
      <c r="H782" s="31"/>
      <c r="I782" s="25"/>
      <c r="J782" s="10"/>
      <c r="K782" s="10"/>
      <c r="L782" s="14"/>
      <c r="M782" s="14" t="b">
        <v>0</v>
      </c>
      <c r="N782" s="14" t="b">
        <v>0</v>
      </c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>
      <c r="A783" s="123"/>
      <c r="B783" s="124"/>
      <c r="C783" s="17"/>
      <c r="D783" s="25"/>
      <c r="E783" s="25"/>
      <c r="F783" s="19"/>
      <c r="G783" s="31"/>
      <c r="H783" s="31"/>
      <c r="I783" s="25"/>
      <c r="J783" s="10"/>
      <c r="K783" s="10"/>
      <c r="L783" s="14"/>
      <c r="M783" s="14" t="b">
        <v>0</v>
      </c>
      <c r="N783" s="14" t="b">
        <v>0</v>
      </c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>
      <c r="A784" s="123"/>
      <c r="B784" s="124"/>
      <c r="C784" s="17"/>
      <c r="D784" s="25"/>
      <c r="E784" s="25"/>
      <c r="F784" s="19"/>
      <c r="G784" s="31"/>
      <c r="H784" s="31"/>
      <c r="I784" s="25"/>
      <c r="J784" s="10"/>
      <c r="K784" s="10"/>
      <c r="L784" s="14"/>
      <c r="M784" s="14" t="b">
        <v>0</v>
      </c>
      <c r="N784" s="14" t="b">
        <v>0</v>
      </c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>
      <c r="A785" s="123"/>
      <c r="B785" s="124"/>
      <c r="C785" s="17"/>
      <c r="D785" s="25"/>
      <c r="E785" s="25"/>
      <c r="F785" s="19"/>
      <c r="G785" s="31"/>
      <c r="H785" s="31"/>
      <c r="I785" s="25"/>
      <c r="J785" s="10"/>
      <c r="K785" s="10"/>
      <c r="L785" s="14"/>
      <c r="M785" s="14" t="b">
        <v>0</v>
      </c>
      <c r="N785" s="14" t="b">
        <v>0</v>
      </c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>
      <c r="A786" s="123"/>
      <c r="B786" s="124"/>
      <c r="C786" s="17"/>
      <c r="D786" s="25"/>
      <c r="E786" s="25"/>
      <c r="F786" s="19"/>
      <c r="G786" s="31"/>
      <c r="H786" s="31"/>
      <c r="I786" s="25"/>
      <c r="J786" s="10"/>
      <c r="K786" s="10"/>
      <c r="L786" s="14"/>
      <c r="M786" s="14" t="b">
        <v>0</v>
      </c>
      <c r="N786" s="14" t="b">
        <v>0</v>
      </c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>
      <c r="A787" s="123"/>
      <c r="B787" s="124"/>
      <c r="C787" s="17"/>
      <c r="D787" s="25"/>
      <c r="E787" s="25"/>
      <c r="F787" s="19"/>
      <c r="G787" s="31"/>
      <c r="H787" s="31"/>
      <c r="I787" s="25"/>
      <c r="J787" s="10"/>
      <c r="K787" s="10"/>
      <c r="L787" s="14"/>
      <c r="M787" s="14" t="b">
        <v>0</v>
      </c>
      <c r="N787" s="14" t="b">
        <v>0</v>
      </c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>
      <c r="A788" s="123"/>
      <c r="B788" s="124"/>
      <c r="C788" s="17"/>
      <c r="D788" s="25"/>
      <c r="E788" s="25"/>
      <c r="F788" s="19"/>
      <c r="G788" s="31"/>
      <c r="H788" s="31"/>
      <c r="I788" s="25"/>
      <c r="J788" s="10"/>
      <c r="K788" s="10"/>
      <c r="L788" s="14"/>
      <c r="M788" s="14" t="b">
        <v>0</v>
      </c>
      <c r="N788" s="14" t="b">
        <v>0</v>
      </c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>
      <c r="A789" s="123"/>
      <c r="B789" s="124"/>
      <c r="C789" s="17"/>
      <c r="D789" s="25"/>
      <c r="E789" s="25"/>
      <c r="F789" s="19"/>
      <c r="G789" s="31"/>
      <c r="H789" s="31"/>
      <c r="I789" s="25"/>
      <c r="J789" s="10"/>
      <c r="K789" s="10"/>
      <c r="L789" s="14"/>
      <c r="M789" s="14" t="b">
        <v>0</v>
      </c>
      <c r="N789" s="14" t="b">
        <v>0</v>
      </c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>
      <c r="A790" s="123"/>
      <c r="B790" s="124"/>
      <c r="C790" s="17"/>
      <c r="D790" s="25"/>
      <c r="E790" s="25"/>
      <c r="F790" s="19"/>
      <c r="G790" s="31"/>
      <c r="H790" s="31"/>
      <c r="I790" s="25"/>
      <c r="J790" s="10"/>
      <c r="K790" s="10"/>
      <c r="L790" s="14"/>
      <c r="M790" s="14" t="b">
        <v>0</v>
      </c>
      <c r="N790" s="14" t="b">
        <v>0</v>
      </c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>
      <c r="A791" s="123"/>
      <c r="B791" s="124"/>
      <c r="C791" s="17"/>
      <c r="D791" s="25"/>
      <c r="E791" s="25"/>
      <c r="F791" s="19"/>
      <c r="G791" s="31"/>
      <c r="H791" s="31"/>
      <c r="I791" s="25"/>
      <c r="J791" s="10"/>
      <c r="K791" s="10"/>
      <c r="L791" s="14"/>
      <c r="M791" s="14" t="b">
        <v>0</v>
      </c>
      <c r="N791" s="14" t="b">
        <v>0</v>
      </c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>
      <c r="A792" s="123"/>
      <c r="B792" s="124"/>
      <c r="C792" s="17"/>
      <c r="D792" s="25"/>
      <c r="E792" s="25"/>
      <c r="F792" s="19"/>
      <c r="G792" s="31"/>
      <c r="H792" s="31"/>
      <c r="I792" s="25"/>
      <c r="J792" s="10"/>
      <c r="K792" s="10"/>
      <c r="L792" s="14"/>
      <c r="M792" s="14" t="b">
        <v>0</v>
      </c>
      <c r="N792" s="14" t="b">
        <v>0</v>
      </c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>
      <c r="A793" s="123"/>
      <c r="B793" s="124"/>
      <c r="C793" s="17"/>
      <c r="D793" s="25"/>
      <c r="E793" s="25"/>
      <c r="F793" s="19"/>
      <c r="G793" s="31"/>
      <c r="H793" s="31"/>
      <c r="I793" s="25"/>
      <c r="J793" s="10"/>
      <c r="K793" s="10"/>
      <c r="L793" s="14"/>
      <c r="M793" s="14" t="b">
        <v>0</v>
      </c>
      <c r="N793" s="14" t="b">
        <v>0</v>
      </c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>
      <c r="A794" s="123"/>
      <c r="B794" s="124"/>
      <c r="C794" s="17"/>
      <c r="D794" s="25"/>
      <c r="E794" s="25"/>
      <c r="F794" s="19"/>
      <c r="G794" s="31"/>
      <c r="H794" s="31"/>
      <c r="I794" s="25"/>
      <c r="J794" s="10"/>
      <c r="K794" s="10"/>
      <c r="L794" s="14"/>
      <c r="M794" s="14" t="b">
        <v>0</v>
      </c>
      <c r="N794" s="14" t="b">
        <v>0</v>
      </c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>
      <c r="A795" s="123"/>
      <c r="B795" s="124"/>
      <c r="C795" s="17"/>
      <c r="D795" s="25"/>
      <c r="E795" s="25"/>
      <c r="F795" s="19"/>
      <c r="G795" s="31"/>
      <c r="H795" s="31"/>
      <c r="I795" s="25"/>
      <c r="J795" s="10"/>
      <c r="K795" s="10"/>
      <c r="L795" s="14"/>
      <c r="M795" s="14" t="b">
        <v>0</v>
      </c>
      <c r="N795" s="14" t="b">
        <v>0</v>
      </c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>
      <c r="A796" s="123"/>
      <c r="B796" s="124"/>
      <c r="C796" s="17"/>
      <c r="D796" s="25"/>
      <c r="E796" s="25"/>
      <c r="F796" s="19"/>
      <c r="G796" s="31"/>
      <c r="H796" s="31"/>
      <c r="I796" s="25"/>
      <c r="J796" s="10"/>
      <c r="K796" s="10"/>
      <c r="L796" s="14"/>
      <c r="M796" s="14" t="b">
        <v>0</v>
      </c>
      <c r="N796" s="14" t="b">
        <v>0</v>
      </c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>
      <c r="A797" s="123"/>
      <c r="B797" s="124"/>
      <c r="C797" s="17"/>
      <c r="D797" s="25"/>
      <c r="E797" s="25"/>
      <c r="F797" s="19"/>
      <c r="G797" s="31"/>
      <c r="H797" s="31"/>
      <c r="I797" s="25"/>
      <c r="J797" s="10"/>
      <c r="K797" s="10"/>
      <c r="L797" s="14"/>
      <c r="M797" s="14" t="b">
        <v>0</v>
      </c>
      <c r="N797" s="14" t="b">
        <v>0</v>
      </c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>
      <c r="A798" s="123"/>
      <c r="B798" s="124"/>
      <c r="C798" s="17"/>
      <c r="D798" s="25"/>
      <c r="E798" s="25"/>
      <c r="F798" s="19"/>
      <c r="G798" s="31"/>
      <c r="H798" s="31"/>
      <c r="I798" s="25"/>
      <c r="J798" s="10"/>
      <c r="K798" s="10"/>
      <c r="L798" s="14"/>
      <c r="M798" s="14" t="b">
        <v>0</v>
      </c>
      <c r="N798" s="14" t="b">
        <v>0</v>
      </c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>
      <c r="A799" s="123"/>
      <c r="B799" s="124"/>
      <c r="C799" s="17"/>
      <c r="D799" s="25"/>
      <c r="E799" s="25"/>
      <c r="F799" s="19"/>
      <c r="G799" s="31"/>
      <c r="H799" s="31"/>
      <c r="I799" s="25"/>
      <c r="J799" s="10"/>
      <c r="K799" s="10"/>
      <c r="L799" s="14"/>
      <c r="M799" s="14" t="b">
        <v>0</v>
      </c>
      <c r="N799" s="14" t="b">
        <v>0</v>
      </c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>
      <c r="A800" s="123"/>
      <c r="B800" s="124"/>
      <c r="C800" s="17"/>
      <c r="D800" s="25"/>
      <c r="E800" s="25"/>
      <c r="F800" s="19"/>
      <c r="G800" s="31"/>
      <c r="H800" s="31"/>
      <c r="I800" s="25"/>
      <c r="J800" s="10"/>
      <c r="K800" s="10"/>
      <c r="L800" s="14"/>
      <c r="M800" s="14" t="b">
        <v>0</v>
      </c>
      <c r="N800" s="14" t="b">
        <v>0</v>
      </c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>
      <c r="A801" s="123"/>
      <c r="B801" s="124"/>
      <c r="C801" s="17"/>
      <c r="D801" s="25"/>
      <c r="E801" s="25"/>
      <c r="F801" s="19"/>
      <c r="G801" s="31"/>
      <c r="H801" s="31"/>
      <c r="I801" s="25"/>
      <c r="J801" s="10"/>
      <c r="K801" s="10"/>
      <c r="L801" s="14"/>
      <c r="M801" s="14" t="b">
        <v>0</v>
      </c>
      <c r="N801" s="14" t="b">
        <v>0</v>
      </c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>
      <c r="A802" s="123"/>
      <c r="B802" s="124"/>
      <c r="C802" s="17"/>
      <c r="D802" s="25"/>
      <c r="E802" s="25"/>
      <c r="F802" s="19"/>
      <c r="G802" s="31"/>
      <c r="H802" s="31"/>
      <c r="I802" s="25"/>
      <c r="J802" s="10"/>
      <c r="K802" s="10"/>
      <c r="L802" s="14"/>
      <c r="M802" s="14" t="b">
        <v>0</v>
      </c>
      <c r="N802" s="14" t="b">
        <v>0</v>
      </c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>
      <c r="A803" s="123"/>
      <c r="B803" s="124"/>
      <c r="C803" s="17"/>
      <c r="D803" s="25"/>
      <c r="E803" s="25"/>
      <c r="F803" s="19"/>
      <c r="G803" s="31"/>
      <c r="H803" s="31"/>
      <c r="I803" s="25"/>
      <c r="J803" s="10"/>
      <c r="K803" s="10"/>
      <c r="L803" s="14"/>
      <c r="M803" s="14" t="b">
        <v>0</v>
      </c>
      <c r="N803" s="14" t="b">
        <v>0</v>
      </c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>
      <c r="A804" s="123"/>
      <c r="B804" s="124"/>
      <c r="C804" s="17"/>
      <c r="D804" s="25"/>
      <c r="E804" s="25"/>
      <c r="F804" s="19"/>
      <c r="G804" s="31"/>
      <c r="H804" s="31"/>
      <c r="I804" s="25"/>
      <c r="J804" s="10"/>
      <c r="K804" s="10"/>
      <c r="L804" s="14"/>
      <c r="M804" s="14" t="b">
        <v>0</v>
      </c>
      <c r="N804" s="14" t="b">
        <v>0</v>
      </c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>
      <c r="A805" s="123"/>
      <c r="B805" s="124"/>
      <c r="C805" s="17"/>
      <c r="D805" s="25"/>
      <c r="E805" s="25"/>
      <c r="F805" s="19"/>
      <c r="G805" s="31"/>
      <c r="H805" s="31"/>
      <c r="I805" s="25"/>
      <c r="J805" s="10"/>
      <c r="K805" s="10"/>
      <c r="L805" s="14"/>
      <c r="M805" s="14" t="b">
        <v>0</v>
      </c>
      <c r="N805" s="14" t="b">
        <v>0</v>
      </c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>
      <c r="A806" s="123"/>
      <c r="B806" s="124"/>
      <c r="C806" s="17"/>
      <c r="D806" s="25"/>
      <c r="E806" s="25"/>
      <c r="F806" s="19"/>
      <c r="G806" s="31"/>
      <c r="H806" s="31"/>
      <c r="I806" s="25"/>
      <c r="J806" s="10"/>
      <c r="K806" s="10"/>
      <c r="L806" s="14"/>
      <c r="M806" s="14" t="b">
        <v>0</v>
      </c>
      <c r="N806" s="14" t="b">
        <v>0</v>
      </c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>
      <c r="A807" s="123"/>
      <c r="B807" s="124"/>
      <c r="C807" s="17"/>
      <c r="D807" s="25"/>
      <c r="E807" s="25"/>
      <c r="F807" s="19"/>
      <c r="G807" s="31"/>
      <c r="H807" s="31"/>
      <c r="I807" s="25"/>
      <c r="J807" s="10"/>
      <c r="K807" s="10"/>
      <c r="L807" s="14"/>
      <c r="M807" s="14" t="b">
        <v>0</v>
      </c>
      <c r="N807" s="14" t="b">
        <v>0</v>
      </c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>
      <c r="A808" s="123"/>
      <c r="B808" s="124"/>
      <c r="C808" s="17"/>
      <c r="D808" s="25"/>
      <c r="E808" s="25"/>
      <c r="F808" s="19"/>
      <c r="G808" s="31"/>
      <c r="H808" s="31"/>
      <c r="I808" s="25"/>
      <c r="J808" s="10"/>
      <c r="K808" s="10"/>
      <c r="L808" s="14"/>
      <c r="M808" s="14" t="b">
        <v>0</v>
      </c>
      <c r="N808" s="14" t="b">
        <v>0</v>
      </c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>
      <c r="A809" s="123"/>
      <c r="B809" s="124"/>
      <c r="C809" s="17"/>
      <c r="D809" s="25"/>
      <c r="E809" s="25"/>
      <c r="F809" s="19"/>
      <c r="G809" s="31"/>
      <c r="H809" s="31"/>
      <c r="I809" s="25"/>
      <c r="J809" s="10"/>
      <c r="K809" s="10"/>
      <c r="L809" s="14"/>
      <c r="M809" s="14" t="b">
        <v>0</v>
      </c>
      <c r="N809" s="14" t="b">
        <v>0</v>
      </c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>
      <c r="A810" s="123"/>
      <c r="B810" s="124"/>
      <c r="C810" s="17"/>
      <c r="D810" s="25"/>
      <c r="E810" s="25"/>
      <c r="F810" s="19"/>
      <c r="G810" s="31"/>
      <c r="H810" s="31"/>
      <c r="I810" s="25"/>
      <c r="J810" s="10"/>
      <c r="K810" s="10"/>
      <c r="L810" s="14"/>
      <c r="M810" s="14" t="b">
        <v>0</v>
      </c>
      <c r="N810" s="14" t="b">
        <v>0</v>
      </c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>
      <c r="A811" s="123"/>
      <c r="B811" s="124"/>
      <c r="C811" s="17"/>
      <c r="D811" s="25"/>
      <c r="E811" s="25"/>
      <c r="F811" s="19"/>
      <c r="G811" s="31"/>
      <c r="H811" s="31"/>
      <c r="I811" s="25"/>
      <c r="J811" s="10"/>
      <c r="K811" s="10"/>
      <c r="L811" s="14"/>
      <c r="M811" s="14" t="b">
        <v>0</v>
      </c>
      <c r="N811" s="14" t="b">
        <v>0</v>
      </c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>
      <c r="A812" s="123"/>
      <c r="B812" s="124"/>
      <c r="C812" s="17"/>
      <c r="D812" s="25"/>
      <c r="E812" s="25"/>
      <c r="F812" s="19"/>
      <c r="G812" s="31"/>
      <c r="H812" s="31"/>
      <c r="I812" s="25"/>
      <c r="J812" s="10"/>
      <c r="K812" s="10"/>
      <c r="L812" s="14"/>
      <c r="M812" s="14" t="b">
        <v>0</v>
      </c>
      <c r="N812" s="14" t="b">
        <v>0</v>
      </c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>
      <c r="A813" s="123"/>
      <c r="B813" s="124"/>
      <c r="C813" s="17"/>
      <c r="D813" s="25"/>
      <c r="E813" s="25"/>
      <c r="F813" s="19"/>
      <c r="G813" s="31"/>
      <c r="H813" s="31"/>
      <c r="I813" s="25"/>
      <c r="J813" s="10"/>
      <c r="K813" s="10"/>
      <c r="L813" s="14"/>
      <c r="M813" s="14" t="b">
        <v>0</v>
      </c>
      <c r="N813" s="14" t="b">
        <v>0</v>
      </c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>
      <c r="A814" s="123"/>
      <c r="B814" s="124"/>
      <c r="C814" s="17"/>
      <c r="D814" s="25"/>
      <c r="E814" s="25"/>
      <c r="F814" s="19"/>
      <c r="G814" s="31"/>
      <c r="H814" s="31"/>
      <c r="I814" s="25"/>
      <c r="J814" s="10"/>
      <c r="K814" s="10"/>
      <c r="L814" s="14"/>
      <c r="M814" s="14" t="b">
        <v>0</v>
      </c>
      <c r="N814" s="14" t="b">
        <v>0</v>
      </c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>
      <c r="A815" s="123"/>
      <c r="B815" s="124"/>
      <c r="C815" s="17"/>
      <c r="D815" s="25"/>
      <c r="E815" s="25"/>
      <c r="F815" s="19"/>
      <c r="G815" s="31"/>
      <c r="H815" s="31"/>
      <c r="I815" s="25"/>
      <c r="J815" s="10"/>
      <c r="K815" s="10"/>
      <c r="L815" s="14"/>
      <c r="M815" s="14" t="b">
        <v>0</v>
      </c>
      <c r="N815" s="14" t="b">
        <v>0</v>
      </c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>
      <c r="A816" s="123"/>
      <c r="B816" s="124"/>
      <c r="C816" s="17"/>
      <c r="D816" s="25"/>
      <c r="E816" s="25"/>
      <c r="F816" s="19"/>
      <c r="G816" s="31"/>
      <c r="H816" s="31"/>
      <c r="I816" s="25"/>
      <c r="J816" s="10"/>
      <c r="K816" s="10"/>
      <c r="L816" s="14"/>
      <c r="M816" s="14" t="b">
        <v>0</v>
      </c>
      <c r="N816" s="14" t="b">
        <v>0</v>
      </c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>
      <c r="A817" s="123"/>
      <c r="B817" s="124"/>
      <c r="C817" s="17"/>
      <c r="D817" s="25"/>
      <c r="E817" s="25"/>
      <c r="F817" s="19"/>
      <c r="G817" s="31"/>
      <c r="H817" s="31"/>
      <c r="I817" s="25"/>
      <c r="J817" s="10"/>
      <c r="K817" s="10"/>
      <c r="L817" s="14"/>
      <c r="M817" s="14" t="b">
        <v>0</v>
      </c>
      <c r="N817" s="14" t="b">
        <v>0</v>
      </c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>
      <c r="A818" s="123"/>
      <c r="B818" s="124"/>
      <c r="C818" s="17"/>
      <c r="D818" s="25"/>
      <c r="E818" s="25"/>
      <c r="F818" s="19"/>
      <c r="G818" s="31"/>
      <c r="H818" s="31"/>
      <c r="I818" s="25"/>
      <c r="J818" s="10"/>
      <c r="K818" s="10"/>
      <c r="L818" s="14"/>
      <c r="M818" s="14" t="b">
        <v>0</v>
      </c>
      <c r="N818" s="14" t="b">
        <v>0</v>
      </c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>
      <c r="A819" s="123"/>
      <c r="B819" s="124"/>
      <c r="C819" s="17"/>
      <c r="D819" s="25"/>
      <c r="E819" s="25"/>
      <c r="F819" s="19"/>
      <c r="G819" s="31"/>
      <c r="H819" s="31"/>
      <c r="I819" s="25"/>
      <c r="J819" s="10"/>
      <c r="K819" s="10"/>
      <c r="L819" s="14"/>
      <c r="M819" s="14" t="b">
        <v>0</v>
      </c>
      <c r="N819" s="14" t="b">
        <v>0</v>
      </c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>
      <c r="A820" s="123"/>
      <c r="B820" s="124"/>
      <c r="C820" s="17"/>
      <c r="D820" s="25"/>
      <c r="E820" s="25"/>
      <c r="F820" s="19"/>
      <c r="G820" s="31"/>
      <c r="H820" s="31"/>
      <c r="I820" s="25"/>
      <c r="J820" s="10"/>
      <c r="K820" s="10"/>
      <c r="L820" s="14"/>
      <c r="M820" s="14" t="b">
        <v>0</v>
      </c>
      <c r="N820" s="14" t="b">
        <v>0</v>
      </c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>
      <c r="A821" s="123"/>
      <c r="B821" s="124"/>
      <c r="C821" s="17"/>
      <c r="D821" s="25"/>
      <c r="E821" s="25"/>
      <c r="F821" s="19"/>
      <c r="G821" s="31"/>
      <c r="H821" s="31"/>
      <c r="I821" s="25"/>
      <c r="J821" s="10"/>
      <c r="K821" s="10"/>
      <c r="L821" s="14"/>
      <c r="M821" s="14" t="b">
        <v>0</v>
      </c>
      <c r="N821" s="14" t="b">
        <v>0</v>
      </c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>
      <c r="A822" s="123"/>
      <c r="B822" s="124"/>
      <c r="C822" s="17"/>
      <c r="D822" s="25"/>
      <c r="E822" s="25"/>
      <c r="F822" s="19"/>
      <c r="G822" s="31"/>
      <c r="H822" s="31"/>
      <c r="I822" s="25"/>
      <c r="J822" s="10"/>
      <c r="K822" s="10"/>
      <c r="L822" s="14"/>
      <c r="M822" s="14" t="b">
        <v>0</v>
      </c>
      <c r="N822" s="14" t="b">
        <v>0</v>
      </c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</row>
    <row r="823">
      <c r="A823" s="123"/>
      <c r="B823" s="124"/>
      <c r="C823" s="17"/>
      <c r="D823" s="25"/>
      <c r="E823" s="25"/>
      <c r="F823" s="19"/>
      <c r="G823" s="31"/>
      <c r="H823" s="31"/>
      <c r="I823" s="25"/>
      <c r="J823" s="10"/>
      <c r="K823" s="10"/>
      <c r="L823" s="14"/>
      <c r="M823" s="14" t="b">
        <v>0</v>
      </c>
      <c r="N823" s="14" t="b">
        <v>0</v>
      </c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>
      <c r="A824" s="123"/>
      <c r="B824" s="124"/>
      <c r="C824" s="17"/>
      <c r="D824" s="25"/>
      <c r="E824" s="25"/>
      <c r="F824" s="19"/>
      <c r="G824" s="31"/>
      <c r="H824" s="31"/>
      <c r="I824" s="25"/>
      <c r="J824" s="10"/>
      <c r="K824" s="10"/>
      <c r="L824" s="14"/>
      <c r="M824" s="14" t="b">
        <v>0</v>
      </c>
      <c r="N824" s="14" t="b">
        <v>0</v>
      </c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>
      <c r="A825" s="123"/>
      <c r="B825" s="124"/>
      <c r="C825" s="17"/>
      <c r="D825" s="25"/>
      <c r="E825" s="25"/>
      <c r="F825" s="19"/>
      <c r="G825" s="31"/>
      <c r="H825" s="31"/>
      <c r="I825" s="25"/>
      <c r="J825" s="10"/>
      <c r="K825" s="10"/>
      <c r="L825" s="14"/>
      <c r="M825" s="14" t="b">
        <v>0</v>
      </c>
      <c r="N825" s="14" t="b">
        <v>0</v>
      </c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>
      <c r="A826" s="123"/>
      <c r="B826" s="124"/>
      <c r="C826" s="17"/>
      <c r="D826" s="25"/>
      <c r="E826" s="25"/>
      <c r="F826" s="19"/>
      <c r="G826" s="31"/>
      <c r="H826" s="31"/>
      <c r="I826" s="25"/>
      <c r="J826" s="10"/>
      <c r="K826" s="10"/>
      <c r="L826" s="14"/>
      <c r="M826" s="14" t="b">
        <v>0</v>
      </c>
      <c r="N826" s="14" t="b">
        <v>0</v>
      </c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>
      <c r="A827" s="123"/>
      <c r="B827" s="124"/>
      <c r="C827" s="17"/>
      <c r="D827" s="25"/>
      <c r="E827" s="25"/>
      <c r="F827" s="19"/>
      <c r="G827" s="31"/>
      <c r="H827" s="31"/>
      <c r="I827" s="25"/>
      <c r="J827" s="10"/>
      <c r="K827" s="10"/>
      <c r="L827" s="14"/>
      <c r="M827" s="14" t="b">
        <v>0</v>
      </c>
      <c r="N827" s="14" t="b">
        <v>0</v>
      </c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>
      <c r="A828" s="123"/>
      <c r="B828" s="124"/>
      <c r="C828" s="17"/>
      <c r="D828" s="25"/>
      <c r="E828" s="25"/>
      <c r="F828" s="19"/>
      <c r="G828" s="31"/>
      <c r="H828" s="31"/>
      <c r="I828" s="25"/>
      <c r="J828" s="10"/>
      <c r="K828" s="10"/>
      <c r="L828" s="14"/>
      <c r="M828" s="14" t="b">
        <v>0</v>
      </c>
      <c r="N828" s="14" t="b">
        <v>0</v>
      </c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>
      <c r="A829" s="123"/>
      <c r="B829" s="124"/>
      <c r="C829" s="17"/>
      <c r="D829" s="25"/>
      <c r="E829" s="25"/>
      <c r="F829" s="19"/>
      <c r="G829" s="31"/>
      <c r="H829" s="31"/>
      <c r="I829" s="25"/>
      <c r="J829" s="10"/>
      <c r="K829" s="10"/>
      <c r="L829" s="14"/>
      <c r="M829" s="14" t="b">
        <v>0</v>
      </c>
      <c r="N829" s="14" t="b">
        <v>0</v>
      </c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>
      <c r="A830" s="123"/>
      <c r="B830" s="124"/>
      <c r="C830" s="17"/>
      <c r="D830" s="25"/>
      <c r="E830" s="25"/>
      <c r="F830" s="19"/>
      <c r="G830" s="31"/>
      <c r="H830" s="31"/>
      <c r="I830" s="25"/>
      <c r="J830" s="10"/>
      <c r="K830" s="10"/>
      <c r="L830" s="14"/>
      <c r="M830" s="14" t="b">
        <v>0</v>
      </c>
      <c r="N830" s="14" t="b">
        <v>0</v>
      </c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>
      <c r="A831" s="123"/>
      <c r="B831" s="124"/>
      <c r="C831" s="17"/>
      <c r="D831" s="25"/>
      <c r="E831" s="25"/>
      <c r="F831" s="19"/>
      <c r="G831" s="31"/>
      <c r="H831" s="31"/>
      <c r="I831" s="25"/>
      <c r="J831" s="10"/>
      <c r="K831" s="10"/>
      <c r="L831" s="14"/>
      <c r="M831" s="14" t="b">
        <v>0</v>
      </c>
      <c r="N831" s="14" t="b">
        <v>0</v>
      </c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>
      <c r="A832" s="123"/>
      <c r="B832" s="124"/>
      <c r="C832" s="17"/>
      <c r="D832" s="25"/>
      <c r="E832" s="25"/>
      <c r="F832" s="19"/>
      <c r="G832" s="31"/>
      <c r="H832" s="31"/>
      <c r="I832" s="25"/>
      <c r="J832" s="10"/>
      <c r="K832" s="10"/>
      <c r="L832" s="14"/>
      <c r="M832" s="14" t="b">
        <v>0</v>
      </c>
      <c r="N832" s="14" t="b">
        <v>0</v>
      </c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>
      <c r="A833" s="123"/>
      <c r="B833" s="124"/>
      <c r="C833" s="17"/>
      <c r="D833" s="25"/>
      <c r="E833" s="25"/>
      <c r="F833" s="19"/>
      <c r="G833" s="31"/>
      <c r="H833" s="31"/>
      <c r="I833" s="25"/>
      <c r="J833" s="10"/>
      <c r="K833" s="10"/>
      <c r="L833" s="14"/>
      <c r="M833" s="14" t="b">
        <v>0</v>
      </c>
      <c r="N833" s="14" t="b">
        <v>0</v>
      </c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>
      <c r="A834" s="123"/>
      <c r="B834" s="124"/>
      <c r="C834" s="17"/>
      <c r="D834" s="25"/>
      <c r="E834" s="25"/>
      <c r="F834" s="19"/>
      <c r="G834" s="31"/>
      <c r="H834" s="31"/>
      <c r="I834" s="25"/>
      <c r="J834" s="10"/>
      <c r="K834" s="10"/>
      <c r="L834" s="14"/>
      <c r="M834" s="14" t="b">
        <v>0</v>
      </c>
      <c r="N834" s="14" t="b">
        <v>0</v>
      </c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>
      <c r="A835" s="123"/>
      <c r="B835" s="124"/>
      <c r="C835" s="17"/>
      <c r="D835" s="25"/>
      <c r="E835" s="25"/>
      <c r="F835" s="19"/>
      <c r="G835" s="31"/>
      <c r="H835" s="31"/>
      <c r="I835" s="25"/>
      <c r="J835" s="10"/>
      <c r="K835" s="10"/>
      <c r="L835" s="14"/>
      <c r="M835" s="14" t="b">
        <v>0</v>
      </c>
      <c r="N835" s="14" t="b">
        <v>0</v>
      </c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>
      <c r="A836" s="123"/>
      <c r="B836" s="124"/>
      <c r="C836" s="17"/>
      <c r="D836" s="25"/>
      <c r="E836" s="25"/>
      <c r="F836" s="19"/>
      <c r="G836" s="31"/>
      <c r="H836" s="31"/>
      <c r="I836" s="25"/>
      <c r="J836" s="10"/>
      <c r="K836" s="10"/>
      <c r="L836" s="14"/>
      <c r="M836" s="14" t="b">
        <v>0</v>
      </c>
      <c r="N836" s="14" t="b">
        <v>0</v>
      </c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>
      <c r="A837" s="123"/>
      <c r="B837" s="124"/>
      <c r="C837" s="17"/>
      <c r="D837" s="25"/>
      <c r="E837" s="25"/>
      <c r="F837" s="19"/>
      <c r="G837" s="31"/>
      <c r="H837" s="31"/>
      <c r="I837" s="25"/>
      <c r="J837" s="10"/>
      <c r="K837" s="10"/>
      <c r="L837" s="14"/>
      <c r="M837" s="14" t="b">
        <v>0</v>
      </c>
      <c r="N837" s="14" t="b">
        <v>0</v>
      </c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>
      <c r="A838" s="123"/>
      <c r="B838" s="124"/>
      <c r="C838" s="17"/>
      <c r="D838" s="25"/>
      <c r="E838" s="25"/>
      <c r="F838" s="19"/>
      <c r="G838" s="31"/>
      <c r="H838" s="31"/>
      <c r="I838" s="25"/>
      <c r="J838" s="10"/>
      <c r="K838" s="10"/>
      <c r="L838" s="14"/>
      <c r="M838" s="14" t="b">
        <v>0</v>
      </c>
      <c r="N838" s="14" t="b">
        <v>0</v>
      </c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>
      <c r="A839" s="123"/>
      <c r="B839" s="124"/>
      <c r="C839" s="17"/>
      <c r="D839" s="25"/>
      <c r="E839" s="25"/>
      <c r="F839" s="19"/>
      <c r="G839" s="31"/>
      <c r="H839" s="31"/>
      <c r="I839" s="25"/>
      <c r="J839" s="10"/>
      <c r="K839" s="10"/>
      <c r="L839" s="14"/>
      <c r="M839" s="14" t="b">
        <v>0</v>
      </c>
      <c r="N839" s="14" t="b">
        <v>0</v>
      </c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>
      <c r="A840" s="123"/>
      <c r="B840" s="124"/>
      <c r="C840" s="17"/>
      <c r="D840" s="25"/>
      <c r="E840" s="25"/>
      <c r="F840" s="19"/>
      <c r="G840" s="31"/>
      <c r="H840" s="31"/>
      <c r="I840" s="25"/>
      <c r="J840" s="10"/>
      <c r="K840" s="10"/>
      <c r="L840" s="14"/>
      <c r="M840" s="14" t="b">
        <v>0</v>
      </c>
      <c r="N840" s="14" t="b">
        <v>0</v>
      </c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>
      <c r="A841" s="123"/>
      <c r="B841" s="124"/>
      <c r="C841" s="17"/>
      <c r="D841" s="25"/>
      <c r="E841" s="25"/>
      <c r="F841" s="19"/>
      <c r="G841" s="31"/>
      <c r="H841" s="31"/>
      <c r="I841" s="25"/>
      <c r="J841" s="10"/>
      <c r="K841" s="10"/>
      <c r="L841" s="14"/>
      <c r="M841" s="14" t="b">
        <v>0</v>
      </c>
      <c r="N841" s="14" t="b">
        <v>0</v>
      </c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>
      <c r="A842" s="123"/>
      <c r="B842" s="124"/>
      <c r="C842" s="17"/>
      <c r="D842" s="25"/>
      <c r="E842" s="25"/>
      <c r="F842" s="19"/>
      <c r="G842" s="31"/>
      <c r="H842" s="31"/>
      <c r="I842" s="25"/>
      <c r="J842" s="10"/>
      <c r="K842" s="10"/>
      <c r="L842" s="14"/>
      <c r="M842" s="14" t="b">
        <v>0</v>
      </c>
      <c r="N842" s="14" t="b">
        <v>0</v>
      </c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>
      <c r="A843" s="123"/>
      <c r="B843" s="124"/>
      <c r="C843" s="17"/>
      <c r="D843" s="25"/>
      <c r="E843" s="25"/>
      <c r="F843" s="19"/>
      <c r="G843" s="31"/>
      <c r="H843" s="31"/>
      <c r="I843" s="25"/>
      <c r="J843" s="10"/>
      <c r="K843" s="10"/>
      <c r="L843" s="14"/>
      <c r="M843" s="14" t="b">
        <v>0</v>
      </c>
      <c r="N843" s="14" t="b">
        <v>0</v>
      </c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</row>
    <row r="844">
      <c r="A844" s="123"/>
      <c r="B844" s="124"/>
      <c r="C844" s="17"/>
      <c r="D844" s="25"/>
      <c r="E844" s="25"/>
      <c r="F844" s="19"/>
      <c r="G844" s="31"/>
      <c r="H844" s="31"/>
      <c r="I844" s="25"/>
      <c r="J844" s="10"/>
      <c r="K844" s="10"/>
      <c r="L844" s="14"/>
      <c r="M844" s="14" t="b">
        <v>0</v>
      </c>
      <c r="N844" s="14" t="b">
        <v>0</v>
      </c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>
      <c r="A845" s="123"/>
      <c r="B845" s="124"/>
      <c r="C845" s="17"/>
      <c r="D845" s="25"/>
      <c r="E845" s="25"/>
      <c r="F845" s="19"/>
      <c r="G845" s="31"/>
      <c r="H845" s="31"/>
      <c r="I845" s="25"/>
      <c r="J845" s="10"/>
      <c r="K845" s="10"/>
      <c r="L845" s="14"/>
      <c r="M845" s="14" t="b">
        <v>0</v>
      </c>
      <c r="N845" s="14" t="b">
        <v>0</v>
      </c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>
      <c r="A846" s="123"/>
      <c r="B846" s="124"/>
      <c r="C846" s="17"/>
      <c r="D846" s="25"/>
      <c r="E846" s="25"/>
      <c r="F846" s="19"/>
      <c r="G846" s="31"/>
      <c r="H846" s="31"/>
      <c r="I846" s="25"/>
      <c r="J846" s="10"/>
      <c r="K846" s="10"/>
      <c r="L846" s="14"/>
      <c r="M846" s="14" t="b">
        <v>0</v>
      </c>
      <c r="N846" s="14" t="b">
        <v>0</v>
      </c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>
      <c r="A847" s="123"/>
      <c r="B847" s="124"/>
      <c r="C847" s="17"/>
      <c r="D847" s="25"/>
      <c r="E847" s="25"/>
      <c r="F847" s="19"/>
      <c r="G847" s="31"/>
      <c r="H847" s="31"/>
      <c r="I847" s="25"/>
      <c r="J847" s="10"/>
      <c r="K847" s="10"/>
      <c r="L847" s="14"/>
      <c r="M847" s="14" t="b">
        <v>0</v>
      </c>
      <c r="N847" s="14" t="b">
        <v>0</v>
      </c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>
      <c r="A848" s="123"/>
      <c r="B848" s="124"/>
      <c r="C848" s="17"/>
      <c r="D848" s="25"/>
      <c r="E848" s="25"/>
      <c r="F848" s="19"/>
      <c r="G848" s="31"/>
      <c r="H848" s="31"/>
      <c r="I848" s="25"/>
      <c r="J848" s="10"/>
      <c r="K848" s="10"/>
      <c r="L848" s="14"/>
      <c r="M848" s="14" t="b">
        <v>0</v>
      </c>
      <c r="N848" s="14" t="b">
        <v>0</v>
      </c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>
      <c r="A849" s="123"/>
      <c r="B849" s="124"/>
      <c r="C849" s="17"/>
      <c r="D849" s="25"/>
      <c r="E849" s="25"/>
      <c r="F849" s="19"/>
      <c r="G849" s="31"/>
      <c r="H849" s="31"/>
      <c r="I849" s="25"/>
      <c r="J849" s="10"/>
      <c r="K849" s="10"/>
      <c r="L849" s="14"/>
      <c r="M849" s="14" t="b">
        <v>0</v>
      </c>
      <c r="N849" s="14" t="b">
        <v>0</v>
      </c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>
      <c r="A850" s="123"/>
      <c r="B850" s="124"/>
      <c r="C850" s="17"/>
      <c r="D850" s="25"/>
      <c r="E850" s="25"/>
      <c r="F850" s="19"/>
      <c r="G850" s="31"/>
      <c r="H850" s="31"/>
      <c r="I850" s="25"/>
      <c r="J850" s="10"/>
      <c r="K850" s="10"/>
      <c r="L850" s="14"/>
      <c r="M850" s="14" t="b">
        <v>0</v>
      </c>
      <c r="N850" s="14" t="b">
        <v>0</v>
      </c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>
      <c r="A851" s="123"/>
      <c r="B851" s="124"/>
      <c r="C851" s="17"/>
      <c r="D851" s="25"/>
      <c r="E851" s="25"/>
      <c r="F851" s="19"/>
      <c r="G851" s="31"/>
      <c r="H851" s="31"/>
      <c r="I851" s="25"/>
      <c r="J851" s="10"/>
      <c r="K851" s="10"/>
      <c r="L851" s="14"/>
      <c r="M851" s="14" t="b">
        <v>0</v>
      </c>
      <c r="N851" s="14" t="b">
        <v>0</v>
      </c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>
      <c r="A852" s="123"/>
      <c r="B852" s="124"/>
      <c r="C852" s="17"/>
      <c r="D852" s="25"/>
      <c r="E852" s="25"/>
      <c r="F852" s="19"/>
      <c r="G852" s="31"/>
      <c r="H852" s="31"/>
      <c r="I852" s="25"/>
      <c r="J852" s="10"/>
      <c r="K852" s="10"/>
      <c r="L852" s="14"/>
      <c r="M852" s="14" t="b">
        <v>0</v>
      </c>
      <c r="N852" s="14" t="b">
        <v>0</v>
      </c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>
      <c r="A853" s="123"/>
      <c r="B853" s="124"/>
      <c r="C853" s="17"/>
      <c r="D853" s="25"/>
      <c r="E853" s="25"/>
      <c r="F853" s="19"/>
      <c r="G853" s="31"/>
      <c r="H853" s="31"/>
      <c r="I853" s="25"/>
      <c r="J853" s="10"/>
      <c r="K853" s="10"/>
      <c r="L853" s="14"/>
      <c r="M853" s="14" t="b">
        <v>0</v>
      </c>
      <c r="N853" s="14" t="b">
        <v>0</v>
      </c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>
      <c r="A854" s="123"/>
      <c r="B854" s="124"/>
      <c r="C854" s="17"/>
      <c r="D854" s="25"/>
      <c r="E854" s="25"/>
      <c r="F854" s="19"/>
      <c r="G854" s="31"/>
      <c r="H854" s="31"/>
      <c r="I854" s="25"/>
      <c r="J854" s="10"/>
      <c r="K854" s="10"/>
      <c r="L854" s="14"/>
      <c r="M854" s="14" t="b">
        <v>0</v>
      </c>
      <c r="N854" s="14" t="b">
        <v>0</v>
      </c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>
      <c r="A855" s="123"/>
      <c r="B855" s="124"/>
      <c r="C855" s="17"/>
      <c r="D855" s="25"/>
      <c r="E855" s="25"/>
      <c r="F855" s="19"/>
      <c r="G855" s="31"/>
      <c r="H855" s="31"/>
      <c r="I855" s="25"/>
      <c r="J855" s="10"/>
      <c r="K855" s="10"/>
      <c r="L855" s="14"/>
      <c r="M855" s="14" t="b">
        <v>0</v>
      </c>
      <c r="N855" s="14" t="b">
        <v>0</v>
      </c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>
      <c r="A856" s="123"/>
      <c r="B856" s="124"/>
      <c r="C856" s="17"/>
      <c r="D856" s="25"/>
      <c r="E856" s="25"/>
      <c r="F856" s="19"/>
      <c r="G856" s="31"/>
      <c r="H856" s="31"/>
      <c r="I856" s="25"/>
      <c r="J856" s="10"/>
      <c r="K856" s="10"/>
      <c r="L856" s="14"/>
      <c r="M856" s="14" t="b">
        <v>0</v>
      </c>
      <c r="N856" s="14" t="b">
        <v>0</v>
      </c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>
      <c r="A857" s="123"/>
      <c r="B857" s="124"/>
      <c r="C857" s="17"/>
      <c r="D857" s="25"/>
      <c r="E857" s="25"/>
      <c r="F857" s="19"/>
      <c r="G857" s="31"/>
      <c r="H857" s="31"/>
      <c r="I857" s="25"/>
      <c r="J857" s="10"/>
      <c r="K857" s="10"/>
      <c r="L857" s="14"/>
      <c r="M857" s="14" t="b">
        <v>0</v>
      </c>
      <c r="N857" s="14" t="b">
        <v>0</v>
      </c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>
      <c r="A858" s="123"/>
      <c r="B858" s="124"/>
      <c r="C858" s="17"/>
      <c r="D858" s="25"/>
      <c r="E858" s="25"/>
      <c r="F858" s="19"/>
      <c r="G858" s="31"/>
      <c r="H858" s="31"/>
      <c r="I858" s="25"/>
      <c r="J858" s="10"/>
      <c r="K858" s="10"/>
      <c r="L858" s="14"/>
      <c r="M858" s="14" t="b">
        <v>0</v>
      </c>
      <c r="N858" s="14" t="b">
        <v>0</v>
      </c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>
      <c r="A859" s="123"/>
      <c r="B859" s="124"/>
      <c r="C859" s="17"/>
      <c r="D859" s="25"/>
      <c r="E859" s="25"/>
      <c r="F859" s="19"/>
      <c r="G859" s="31"/>
      <c r="H859" s="31"/>
      <c r="I859" s="25"/>
      <c r="J859" s="10"/>
      <c r="K859" s="10"/>
      <c r="L859" s="14"/>
      <c r="M859" s="14" t="b">
        <v>0</v>
      </c>
      <c r="N859" s="14" t="b">
        <v>0</v>
      </c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>
      <c r="A860" s="123"/>
      <c r="B860" s="124"/>
      <c r="C860" s="17"/>
      <c r="D860" s="25"/>
      <c r="E860" s="25"/>
      <c r="F860" s="19"/>
      <c r="G860" s="31"/>
      <c r="H860" s="31"/>
      <c r="I860" s="25"/>
      <c r="J860" s="10"/>
      <c r="K860" s="10"/>
      <c r="L860" s="14"/>
      <c r="M860" s="14" t="b">
        <v>0</v>
      </c>
      <c r="N860" s="14" t="b">
        <v>0</v>
      </c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>
      <c r="A861" s="123"/>
      <c r="B861" s="124"/>
      <c r="C861" s="17"/>
      <c r="D861" s="25"/>
      <c r="E861" s="25"/>
      <c r="F861" s="19"/>
      <c r="G861" s="31"/>
      <c r="H861" s="31"/>
      <c r="I861" s="25"/>
      <c r="J861" s="10"/>
      <c r="K861" s="10"/>
      <c r="L861" s="14"/>
      <c r="M861" s="14" t="b">
        <v>0</v>
      </c>
      <c r="N861" s="14" t="b">
        <v>0</v>
      </c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>
      <c r="A862" s="123"/>
      <c r="B862" s="124"/>
      <c r="C862" s="17"/>
      <c r="D862" s="25"/>
      <c r="E862" s="25"/>
      <c r="F862" s="19"/>
      <c r="G862" s="31"/>
      <c r="H862" s="31"/>
      <c r="I862" s="25"/>
      <c r="J862" s="10"/>
      <c r="K862" s="10"/>
      <c r="L862" s="14"/>
      <c r="M862" s="14" t="b">
        <v>0</v>
      </c>
      <c r="N862" s="14" t="b">
        <v>0</v>
      </c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>
      <c r="A863" s="123"/>
      <c r="B863" s="124"/>
      <c r="C863" s="17"/>
      <c r="D863" s="25"/>
      <c r="E863" s="25"/>
      <c r="F863" s="19"/>
      <c r="G863" s="31"/>
      <c r="H863" s="31"/>
      <c r="I863" s="25"/>
      <c r="J863" s="10"/>
      <c r="K863" s="10"/>
      <c r="L863" s="14"/>
      <c r="M863" s="14" t="b">
        <v>0</v>
      </c>
      <c r="N863" s="14" t="b">
        <v>0</v>
      </c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>
      <c r="A864" s="123"/>
      <c r="B864" s="124"/>
      <c r="C864" s="17"/>
      <c r="D864" s="25"/>
      <c r="E864" s="25"/>
      <c r="F864" s="19"/>
      <c r="G864" s="31"/>
      <c r="H864" s="31"/>
      <c r="I864" s="25"/>
      <c r="J864" s="10"/>
      <c r="K864" s="10"/>
      <c r="L864" s="14"/>
      <c r="M864" s="14" t="b">
        <v>0</v>
      </c>
      <c r="N864" s="14" t="b">
        <v>0</v>
      </c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>
      <c r="A865" s="123"/>
      <c r="B865" s="124"/>
      <c r="C865" s="17"/>
      <c r="D865" s="25"/>
      <c r="E865" s="25"/>
      <c r="F865" s="19"/>
      <c r="G865" s="31"/>
      <c r="H865" s="31"/>
      <c r="I865" s="25"/>
      <c r="J865" s="10"/>
      <c r="K865" s="10"/>
      <c r="L865" s="14"/>
      <c r="M865" s="14" t="b">
        <v>0</v>
      </c>
      <c r="N865" s="14" t="b">
        <v>0</v>
      </c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>
      <c r="A866" s="123"/>
      <c r="B866" s="124"/>
      <c r="C866" s="17"/>
      <c r="D866" s="25"/>
      <c r="E866" s="25"/>
      <c r="F866" s="19"/>
      <c r="G866" s="31"/>
      <c r="H866" s="31"/>
      <c r="I866" s="25"/>
      <c r="J866" s="10"/>
      <c r="K866" s="10"/>
      <c r="L866" s="14"/>
      <c r="M866" s="14" t="b">
        <v>0</v>
      </c>
      <c r="N866" s="14" t="b">
        <v>0</v>
      </c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</row>
    <row r="867">
      <c r="A867" s="123"/>
      <c r="B867" s="124"/>
      <c r="C867" s="17"/>
      <c r="D867" s="25"/>
      <c r="E867" s="25"/>
      <c r="F867" s="19"/>
      <c r="G867" s="31"/>
      <c r="H867" s="31"/>
      <c r="I867" s="25"/>
      <c r="J867" s="10"/>
      <c r="K867" s="10"/>
      <c r="L867" s="14"/>
      <c r="M867" s="14" t="b">
        <v>0</v>
      </c>
      <c r="N867" s="14" t="b">
        <v>0</v>
      </c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>
      <c r="A868" s="123"/>
      <c r="B868" s="124"/>
      <c r="C868" s="17"/>
      <c r="D868" s="25"/>
      <c r="E868" s="25"/>
      <c r="F868" s="19"/>
      <c r="G868" s="31"/>
      <c r="H868" s="31"/>
      <c r="I868" s="25"/>
      <c r="J868" s="10"/>
      <c r="K868" s="10"/>
      <c r="L868" s="14"/>
      <c r="M868" s="14" t="b">
        <v>0</v>
      </c>
      <c r="N868" s="14" t="b">
        <v>0</v>
      </c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>
      <c r="A869" s="123"/>
      <c r="B869" s="124"/>
      <c r="C869" s="17"/>
      <c r="D869" s="25"/>
      <c r="E869" s="25"/>
      <c r="F869" s="19"/>
      <c r="G869" s="31"/>
      <c r="H869" s="31"/>
      <c r="I869" s="25"/>
      <c r="J869" s="10"/>
      <c r="K869" s="10"/>
      <c r="L869" s="14"/>
      <c r="M869" s="14" t="b">
        <v>0</v>
      </c>
      <c r="N869" s="14" t="b">
        <v>0</v>
      </c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>
      <c r="A870" s="123"/>
      <c r="B870" s="124"/>
      <c r="C870" s="17"/>
      <c r="D870" s="25"/>
      <c r="E870" s="25"/>
      <c r="F870" s="19"/>
      <c r="G870" s="31"/>
      <c r="H870" s="31"/>
      <c r="I870" s="25"/>
      <c r="J870" s="10"/>
      <c r="K870" s="10"/>
      <c r="L870" s="14"/>
      <c r="M870" s="14" t="b">
        <v>0</v>
      </c>
      <c r="N870" s="14" t="b">
        <v>0</v>
      </c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>
      <c r="A871" s="123"/>
      <c r="B871" s="124"/>
      <c r="C871" s="17"/>
      <c r="D871" s="25"/>
      <c r="E871" s="25"/>
      <c r="F871" s="19"/>
      <c r="G871" s="31"/>
      <c r="H871" s="31"/>
      <c r="I871" s="25"/>
      <c r="J871" s="10"/>
      <c r="K871" s="10"/>
      <c r="L871" s="14"/>
      <c r="M871" s="14" t="b">
        <v>0</v>
      </c>
      <c r="N871" s="14" t="b">
        <v>0</v>
      </c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>
      <c r="A872" s="123"/>
      <c r="B872" s="124"/>
      <c r="C872" s="17"/>
      <c r="D872" s="25"/>
      <c r="E872" s="25"/>
      <c r="F872" s="19"/>
      <c r="G872" s="31"/>
      <c r="H872" s="31"/>
      <c r="I872" s="25"/>
      <c r="J872" s="10"/>
      <c r="K872" s="10"/>
      <c r="L872" s="14"/>
      <c r="M872" s="14" t="b">
        <v>0</v>
      </c>
      <c r="N872" s="14" t="b">
        <v>0</v>
      </c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>
      <c r="A873" s="123"/>
      <c r="B873" s="124"/>
      <c r="C873" s="17"/>
      <c r="D873" s="25"/>
      <c r="E873" s="25"/>
      <c r="F873" s="19"/>
      <c r="G873" s="31"/>
      <c r="H873" s="31"/>
      <c r="I873" s="25"/>
      <c r="J873" s="10"/>
      <c r="K873" s="10"/>
      <c r="L873" s="14"/>
      <c r="M873" s="14" t="b">
        <v>0</v>
      </c>
      <c r="N873" s="14" t="b">
        <v>0</v>
      </c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>
      <c r="A874" s="123"/>
      <c r="B874" s="124"/>
      <c r="C874" s="17"/>
      <c r="D874" s="25"/>
      <c r="E874" s="25"/>
      <c r="F874" s="19"/>
      <c r="G874" s="31"/>
      <c r="H874" s="31"/>
      <c r="I874" s="25"/>
      <c r="J874" s="10"/>
      <c r="K874" s="10"/>
      <c r="L874" s="14"/>
      <c r="M874" s="14" t="b">
        <v>0</v>
      </c>
      <c r="N874" s="14" t="b">
        <v>0</v>
      </c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>
      <c r="A875" s="123"/>
      <c r="B875" s="124"/>
      <c r="C875" s="17"/>
      <c r="D875" s="25"/>
      <c r="E875" s="25"/>
      <c r="F875" s="19"/>
      <c r="G875" s="31"/>
      <c r="H875" s="31"/>
      <c r="I875" s="25"/>
      <c r="J875" s="10"/>
      <c r="K875" s="10"/>
      <c r="L875" s="14"/>
      <c r="M875" s="14" t="b">
        <v>0</v>
      </c>
      <c r="N875" s="14" t="b">
        <v>0</v>
      </c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>
      <c r="A876" s="123"/>
      <c r="B876" s="124"/>
      <c r="C876" s="17"/>
      <c r="D876" s="25"/>
      <c r="E876" s="25"/>
      <c r="F876" s="19"/>
      <c r="G876" s="31"/>
      <c r="H876" s="31"/>
      <c r="I876" s="25"/>
      <c r="J876" s="10"/>
      <c r="K876" s="10"/>
      <c r="L876" s="14"/>
      <c r="M876" s="14" t="b">
        <v>0</v>
      </c>
      <c r="N876" s="14" t="b">
        <v>0</v>
      </c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>
      <c r="A877" s="123"/>
      <c r="B877" s="124"/>
      <c r="C877" s="17"/>
      <c r="D877" s="25"/>
      <c r="E877" s="25"/>
      <c r="F877" s="19"/>
      <c r="G877" s="31"/>
      <c r="H877" s="31"/>
      <c r="I877" s="25"/>
      <c r="J877" s="10"/>
      <c r="K877" s="10"/>
      <c r="L877" s="14"/>
      <c r="M877" s="14" t="b">
        <v>0</v>
      </c>
      <c r="N877" s="14" t="b">
        <v>0</v>
      </c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>
      <c r="A878" s="123"/>
      <c r="B878" s="124"/>
      <c r="C878" s="17"/>
      <c r="D878" s="25"/>
      <c r="E878" s="25"/>
      <c r="F878" s="19"/>
      <c r="G878" s="31"/>
      <c r="H878" s="31"/>
      <c r="I878" s="25"/>
      <c r="J878" s="10"/>
      <c r="K878" s="10"/>
      <c r="L878" s="14"/>
      <c r="M878" s="14" t="b">
        <v>0</v>
      </c>
      <c r="N878" s="14" t="b">
        <v>0</v>
      </c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>
      <c r="A879" s="123"/>
      <c r="B879" s="124"/>
      <c r="C879" s="17"/>
      <c r="D879" s="25"/>
      <c r="E879" s="25"/>
      <c r="F879" s="19"/>
      <c r="G879" s="31"/>
      <c r="H879" s="31"/>
      <c r="I879" s="25"/>
      <c r="J879" s="10"/>
      <c r="K879" s="10"/>
      <c r="L879" s="14"/>
      <c r="M879" s="14" t="b">
        <v>0</v>
      </c>
      <c r="N879" s="14" t="b">
        <v>0</v>
      </c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>
      <c r="A880" s="123"/>
      <c r="B880" s="124"/>
      <c r="C880" s="17"/>
      <c r="D880" s="25"/>
      <c r="E880" s="25"/>
      <c r="F880" s="19"/>
      <c r="G880" s="31"/>
      <c r="H880" s="31"/>
      <c r="I880" s="25"/>
      <c r="J880" s="10"/>
      <c r="K880" s="10"/>
      <c r="L880" s="14"/>
      <c r="M880" s="14" t="b">
        <v>0</v>
      </c>
      <c r="N880" s="14" t="b">
        <v>0</v>
      </c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>
      <c r="A881" s="123"/>
      <c r="B881" s="124"/>
      <c r="C881" s="17"/>
      <c r="D881" s="25"/>
      <c r="E881" s="25"/>
      <c r="F881" s="19"/>
      <c r="G881" s="31"/>
      <c r="H881" s="31"/>
      <c r="I881" s="25"/>
      <c r="J881" s="10"/>
      <c r="K881" s="10"/>
      <c r="L881" s="14"/>
      <c r="M881" s="14" t="b">
        <v>0</v>
      </c>
      <c r="N881" s="14" t="b">
        <v>0</v>
      </c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>
      <c r="A882" s="123"/>
      <c r="B882" s="124"/>
      <c r="C882" s="17"/>
      <c r="D882" s="25"/>
      <c r="E882" s="25"/>
      <c r="F882" s="19"/>
      <c r="G882" s="31"/>
      <c r="H882" s="31"/>
      <c r="I882" s="25"/>
      <c r="J882" s="10"/>
      <c r="K882" s="10"/>
      <c r="L882" s="14"/>
      <c r="M882" s="14" t="b">
        <v>0</v>
      </c>
      <c r="N882" s="14" t="b">
        <v>0</v>
      </c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>
      <c r="A883" s="123"/>
      <c r="B883" s="124"/>
      <c r="C883" s="17"/>
      <c r="D883" s="25"/>
      <c r="E883" s="25"/>
      <c r="F883" s="19"/>
      <c r="G883" s="31"/>
      <c r="H883" s="31"/>
      <c r="I883" s="25"/>
      <c r="J883" s="10"/>
      <c r="K883" s="10"/>
      <c r="L883" s="14"/>
      <c r="M883" s="14" t="b">
        <v>0</v>
      </c>
      <c r="N883" s="14" t="b">
        <v>0</v>
      </c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>
      <c r="A884" s="123"/>
      <c r="B884" s="124"/>
      <c r="C884" s="17"/>
      <c r="D884" s="25"/>
      <c r="E884" s="25"/>
      <c r="F884" s="19"/>
      <c r="G884" s="31"/>
      <c r="H884" s="31"/>
      <c r="I884" s="25"/>
      <c r="J884" s="10"/>
      <c r="K884" s="10"/>
      <c r="L884" s="14"/>
      <c r="M884" s="14" t="b">
        <v>0</v>
      </c>
      <c r="N884" s="14" t="b">
        <v>0</v>
      </c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>
      <c r="A885" s="123"/>
      <c r="B885" s="124"/>
      <c r="C885" s="17"/>
      <c r="D885" s="25"/>
      <c r="E885" s="25"/>
      <c r="F885" s="19"/>
      <c r="G885" s="31"/>
      <c r="H885" s="31"/>
      <c r="I885" s="25"/>
      <c r="J885" s="10"/>
      <c r="K885" s="10"/>
      <c r="L885" s="14"/>
      <c r="M885" s="14" t="b">
        <v>0</v>
      </c>
      <c r="N885" s="14" t="b">
        <v>0</v>
      </c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>
      <c r="A886" s="123"/>
      <c r="B886" s="124"/>
      <c r="C886" s="17"/>
      <c r="D886" s="25"/>
      <c r="E886" s="25"/>
      <c r="F886" s="19"/>
      <c r="G886" s="31"/>
      <c r="H886" s="31"/>
      <c r="I886" s="25"/>
      <c r="J886" s="10"/>
      <c r="K886" s="10"/>
      <c r="L886" s="14"/>
      <c r="M886" s="14" t="b">
        <v>0</v>
      </c>
      <c r="N886" s="14" t="b">
        <v>0</v>
      </c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>
      <c r="A887" s="123"/>
      <c r="B887" s="124"/>
      <c r="C887" s="17"/>
      <c r="D887" s="25"/>
      <c r="E887" s="25"/>
      <c r="F887" s="19"/>
      <c r="G887" s="31"/>
      <c r="H887" s="31"/>
      <c r="I887" s="25"/>
      <c r="J887" s="10"/>
      <c r="K887" s="10"/>
      <c r="L887" s="14"/>
      <c r="M887" s="14" t="b">
        <v>0</v>
      </c>
      <c r="N887" s="14" t="b">
        <v>0</v>
      </c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>
      <c r="A888" s="123"/>
      <c r="B888" s="124"/>
      <c r="C888" s="17"/>
      <c r="D888" s="25"/>
      <c r="E888" s="25"/>
      <c r="F888" s="19"/>
      <c r="G888" s="31"/>
      <c r="H888" s="31"/>
      <c r="I888" s="25"/>
      <c r="J888" s="10"/>
      <c r="K888" s="10"/>
      <c r="L888" s="14"/>
      <c r="M888" s="14" t="b">
        <v>0</v>
      </c>
      <c r="N888" s="14" t="b">
        <v>0</v>
      </c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>
      <c r="A889" s="123"/>
      <c r="B889" s="124"/>
      <c r="C889" s="17"/>
      <c r="D889" s="25"/>
      <c r="E889" s="25"/>
      <c r="F889" s="19"/>
      <c r="G889" s="31"/>
      <c r="H889" s="31"/>
      <c r="I889" s="25"/>
      <c r="J889" s="10"/>
      <c r="K889" s="10"/>
      <c r="L889" s="14"/>
      <c r="M889" s="14" t="b">
        <v>0</v>
      </c>
      <c r="N889" s="14" t="b">
        <v>0</v>
      </c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>
      <c r="A890" s="123"/>
      <c r="B890" s="124"/>
      <c r="C890" s="17"/>
      <c r="D890" s="25"/>
      <c r="E890" s="25"/>
      <c r="F890" s="19"/>
      <c r="G890" s="31"/>
      <c r="H890" s="31"/>
      <c r="I890" s="25"/>
      <c r="J890" s="10"/>
      <c r="K890" s="10"/>
      <c r="L890" s="14"/>
      <c r="M890" s="14" t="b">
        <v>0</v>
      </c>
      <c r="N890" s="14" t="b">
        <v>0</v>
      </c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>
      <c r="A891" s="123"/>
      <c r="B891" s="124"/>
      <c r="C891" s="17"/>
      <c r="D891" s="25"/>
      <c r="E891" s="25"/>
      <c r="F891" s="19"/>
      <c r="G891" s="31"/>
      <c r="H891" s="31"/>
      <c r="I891" s="25"/>
      <c r="J891" s="10"/>
      <c r="K891" s="10"/>
      <c r="L891" s="14"/>
      <c r="M891" s="14" t="b">
        <v>0</v>
      </c>
      <c r="N891" s="14" t="b">
        <v>0</v>
      </c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>
      <c r="A892" s="123"/>
      <c r="B892" s="124"/>
      <c r="C892" s="17"/>
      <c r="D892" s="25"/>
      <c r="E892" s="25"/>
      <c r="F892" s="19"/>
      <c r="G892" s="31"/>
      <c r="H892" s="31"/>
      <c r="I892" s="25"/>
      <c r="J892" s="10"/>
      <c r="K892" s="10"/>
      <c r="L892" s="14"/>
      <c r="M892" s="14" t="b">
        <v>0</v>
      </c>
      <c r="N892" s="14" t="b">
        <v>0</v>
      </c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>
      <c r="A893" s="123"/>
      <c r="B893" s="124"/>
      <c r="C893" s="17"/>
      <c r="D893" s="25"/>
      <c r="E893" s="25"/>
      <c r="F893" s="19"/>
      <c r="G893" s="31"/>
      <c r="H893" s="31"/>
      <c r="I893" s="25"/>
      <c r="J893" s="10"/>
      <c r="K893" s="10"/>
      <c r="L893" s="14"/>
      <c r="M893" s="14" t="b">
        <v>0</v>
      </c>
      <c r="N893" s="14" t="b">
        <v>0</v>
      </c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>
      <c r="A894" s="123"/>
      <c r="B894" s="124"/>
      <c r="C894" s="17"/>
      <c r="D894" s="25"/>
      <c r="E894" s="25"/>
      <c r="F894" s="19"/>
      <c r="G894" s="31"/>
      <c r="H894" s="31"/>
      <c r="I894" s="25"/>
      <c r="J894" s="10"/>
      <c r="K894" s="10"/>
      <c r="L894" s="14"/>
      <c r="M894" s="14" t="b">
        <v>0</v>
      </c>
      <c r="N894" s="14" t="b">
        <v>0</v>
      </c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>
      <c r="A895" s="123"/>
      <c r="B895" s="124"/>
      <c r="C895" s="17"/>
      <c r="D895" s="25"/>
      <c r="E895" s="25"/>
      <c r="F895" s="19"/>
      <c r="G895" s="31"/>
      <c r="H895" s="31"/>
      <c r="I895" s="25"/>
      <c r="J895" s="10"/>
      <c r="K895" s="10"/>
      <c r="L895" s="14"/>
      <c r="M895" s="14" t="b">
        <v>0</v>
      </c>
      <c r="N895" s="14" t="b">
        <v>0</v>
      </c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>
      <c r="A896" s="123"/>
      <c r="B896" s="124"/>
      <c r="C896" s="17"/>
      <c r="D896" s="25"/>
      <c r="E896" s="25"/>
      <c r="F896" s="19"/>
      <c r="G896" s="31"/>
      <c r="H896" s="31"/>
      <c r="I896" s="25"/>
      <c r="J896" s="10"/>
      <c r="K896" s="10"/>
      <c r="L896" s="14"/>
      <c r="M896" s="14" t="b">
        <v>0</v>
      </c>
      <c r="N896" s="14" t="b">
        <v>0</v>
      </c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>
      <c r="A897" s="123"/>
      <c r="B897" s="124"/>
      <c r="C897" s="17"/>
      <c r="D897" s="25"/>
      <c r="E897" s="25"/>
      <c r="F897" s="19"/>
      <c r="G897" s="31"/>
      <c r="H897" s="31"/>
      <c r="I897" s="25"/>
      <c r="J897" s="10"/>
      <c r="K897" s="10"/>
      <c r="L897" s="14"/>
      <c r="M897" s="14" t="b">
        <v>0</v>
      </c>
      <c r="N897" s="14" t="b">
        <v>0</v>
      </c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>
      <c r="A898" s="123"/>
      <c r="B898" s="124"/>
      <c r="C898" s="17"/>
      <c r="D898" s="25"/>
      <c r="E898" s="25"/>
      <c r="F898" s="19"/>
      <c r="G898" s="31"/>
      <c r="H898" s="31"/>
      <c r="I898" s="25"/>
      <c r="J898" s="10"/>
      <c r="K898" s="10"/>
      <c r="L898" s="14"/>
      <c r="M898" s="14" t="b">
        <v>0</v>
      </c>
      <c r="N898" s="14" t="b">
        <v>0</v>
      </c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>
      <c r="A899" s="123"/>
      <c r="B899" s="124"/>
      <c r="C899" s="17"/>
      <c r="D899" s="25"/>
      <c r="E899" s="25"/>
      <c r="F899" s="19"/>
      <c r="G899" s="31"/>
      <c r="H899" s="31"/>
      <c r="I899" s="25"/>
      <c r="J899" s="10"/>
      <c r="K899" s="10"/>
      <c r="L899" s="14"/>
      <c r="M899" s="14" t="b">
        <v>0</v>
      </c>
      <c r="N899" s="14" t="b">
        <v>0</v>
      </c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>
      <c r="A900" s="123"/>
      <c r="B900" s="124"/>
      <c r="C900" s="17"/>
      <c r="D900" s="25"/>
      <c r="E900" s="25"/>
      <c r="F900" s="19"/>
      <c r="G900" s="31"/>
      <c r="H900" s="31"/>
      <c r="I900" s="25"/>
      <c r="J900" s="10"/>
      <c r="K900" s="10"/>
      <c r="L900" s="14"/>
      <c r="M900" s="14" t="b">
        <v>0</v>
      </c>
      <c r="N900" s="14" t="b">
        <v>0</v>
      </c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>
      <c r="A901" s="123"/>
      <c r="B901" s="124"/>
      <c r="C901" s="17"/>
      <c r="D901" s="25"/>
      <c r="E901" s="25"/>
      <c r="F901" s="19"/>
      <c r="G901" s="31"/>
      <c r="H901" s="31"/>
      <c r="I901" s="25"/>
      <c r="J901" s="10"/>
      <c r="K901" s="10"/>
      <c r="L901" s="14"/>
      <c r="M901" s="14" t="b">
        <v>0</v>
      </c>
      <c r="N901" s="14" t="b">
        <v>0</v>
      </c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>
      <c r="A902" s="123"/>
      <c r="B902" s="124"/>
      <c r="C902" s="17"/>
      <c r="D902" s="25"/>
      <c r="E902" s="25"/>
      <c r="F902" s="19"/>
      <c r="G902" s="31"/>
      <c r="H902" s="31"/>
      <c r="I902" s="25"/>
      <c r="J902" s="10"/>
      <c r="K902" s="10"/>
      <c r="L902" s="14"/>
      <c r="M902" s="14" t="b">
        <v>0</v>
      </c>
      <c r="N902" s="14" t="b">
        <v>0</v>
      </c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>
      <c r="A903" s="123"/>
      <c r="B903" s="124"/>
      <c r="C903" s="17"/>
      <c r="D903" s="25"/>
      <c r="E903" s="25"/>
      <c r="F903" s="19"/>
      <c r="G903" s="31"/>
      <c r="H903" s="31"/>
      <c r="I903" s="25"/>
      <c r="J903" s="10"/>
      <c r="K903" s="10"/>
      <c r="L903" s="14"/>
      <c r="M903" s="14" t="b">
        <v>0</v>
      </c>
      <c r="N903" s="14" t="b">
        <v>0</v>
      </c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>
      <c r="A904" s="123"/>
      <c r="B904" s="124"/>
      <c r="C904" s="17"/>
      <c r="D904" s="25"/>
      <c r="E904" s="25"/>
      <c r="F904" s="19"/>
      <c r="G904" s="31"/>
      <c r="H904" s="31"/>
      <c r="I904" s="25"/>
      <c r="J904" s="10"/>
      <c r="K904" s="10"/>
      <c r="L904" s="14"/>
      <c r="M904" s="14" t="b">
        <v>0</v>
      </c>
      <c r="N904" s="14" t="b">
        <v>0</v>
      </c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>
      <c r="A905" s="123"/>
      <c r="B905" s="124"/>
      <c r="C905" s="17"/>
      <c r="D905" s="25"/>
      <c r="E905" s="25"/>
      <c r="F905" s="19"/>
      <c r="G905" s="31"/>
      <c r="H905" s="31"/>
      <c r="I905" s="25"/>
      <c r="J905" s="10"/>
      <c r="K905" s="10"/>
      <c r="L905" s="14"/>
      <c r="M905" s="14" t="b">
        <v>0</v>
      </c>
      <c r="N905" s="14" t="b">
        <v>0</v>
      </c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>
      <c r="A906" s="123"/>
      <c r="B906" s="124"/>
      <c r="C906" s="17"/>
      <c r="D906" s="25"/>
      <c r="E906" s="25"/>
      <c r="F906" s="19"/>
      <c r="G906" s="31"/>
      <c r="H906" s="31"/>
      <c r="I906" s="25"/>
      <c r="J906" s="10"/>
      <c r="K906" s="10"/>
      <c r="L906" s="14"/>
      <c r="M906" s="14" t="b">
        <v>0</v>
      </c>
      <c r="N906" s="14" t="b">
        <v>0</v>
      </c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>
      <c r="A907" s="123"/>
      <c r="B907" s="124"/>
      <c r="C907" s="17"/>
      <c r="D907" s="25"/>
      <c r="E907" s="25"/>
      <c r="F907" s="19"/>
      <c r="G907" s="31"/>
      <c r="H907" s="31"/>
      <c r="I907" s="25"/>
      <c r="J907" s="10"/>
      <c r="K907" s="10"/>
      <c r="L907" s="14"/>
      <c r="M907" s="14" t="b">
        <v>0</v>
      </c>
      <c r="N907" s="14" t="b">
        <v>0</v>
      </c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>
      <c r="A908" s="123"/>
      <c r="B908" s="124"/>
      <c r="C908" s="17"/>
      <c r="D908" s="25"/>
      <c r="E908" s="25"/>
      <c r="F908" s="19"/>
      <c r="G908" s="31"/>
      <c r="H908" s="31"/>
      <c r="I908" s="25"/>
      <c r="J908" s="10"/>
      <c r="K908" s="10"/>
      <c r="L908" s="14"/>
      <c r="M908" s="14" t="b">
        <v>0</v>
      </c>
      <c r="N908" s="14" t="b">
        <v>0</v>
      </c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>
      <c r="A909" s="123"/>
      <c r="B909" s="124"/>
      <c r="C909" s="17"/>
      <c r="D909" s="25"/>
      <c r="E909" s="25"/>
      <c r="F909" s="19"/>
      <c r="G909" s="31"/>
      <c r="H909" s="31"/>
      <c r="I909" s="25"/>
      <c r="J909" s="10"/>
      <c r="K909" s="10"/>
      <c r="L909" s="14"/>
      <c r="M909" s="14" t="b">
        <v>0</v>
      </c>
      <c r="N909" s="14" t="b">
        <v>0</v>
      </c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>
      <c r="A910" s="123"/>
      <c r="B910" s="124"/>
      <c r="C910" s="17"/>
      <c r="D910" s="25"/>
      <c r="E910" s="25"/>
      <c r="F910" s="19"/>
      <c r="G910" s="31"/>
      <c r="H910" s="31"/>
      <c r="I910" s="25"/>
      <c r="J910" s="10"/>
      <c r="K910" s="10"/>
      <c r="L910" s="14"/>
      <c r="M910" s="14" t="b">
        <v>0</v>
      </c>
      <c r="N910" s="14" t="b">
        <v>0</v>
      </c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>
      <c r="A911" s="123"/>
      <c r="B911" s="124"/>
      <c r="C911" s="17"/>
      <c r="D911" s="25"/>
      <c r="E911" s="25"/>
      <c r="F911" s="19"/>
      <c r="G911" s="31"/>
      <c r="H911" s="31"/>
      <c r="I911" s="25"/>
      <c r="J911" s="10"/>
      <c r="K911" s="10"/>
      <c r="L911" s="14"/>
      <c r="M911" s="14" t="b">
        <v>0</v>
      </c>
      <c r="N911" s="14" t="b">
        <v>0</v>
      </c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>
      <c r="A912" s="123"/>
      <c r="B912" s="124"/>
      <c r="C912" s="17"/>
      <c r="D912" s="25"/>
      <c r="E912" s="25"/>
      <c r="F912" s="19"/>
      <c r="G912" s="31"/>
      <c r="H912" s="31"/>
      <c r="I912" s="25"/>
      <c r="J912" s="10"/>
      <c r="K912" s="10"/>
      <c r="L912" s="14"/>
      <c r="M912" s="14" t="b">
        <v>0</v>
      </c>
      <c r="N912" s="14" t="b">
        <v>0</v>
      </c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</row>
    <row r="913">
      <c r="A913" s="123"/>
      <c r="B913" s="124"/>
      <c r="C913" s="17"/>
      <c r="D913" s="25"/>
      <c r="E913" s="25"/>
      <c r="F913" s="19"/>
      <c r="G913" s="31"/>
      <c r="H913" s="31"/>
      <c r="I913" s="25"/>
      <c r="J913" s="10"/>
      <c r="K913" s="10"/>
      <c r="L913" s="14"/>
      <c r="M913" s="14" t="b">
        <v>0</v>
      </c>
      <c r="N913" s="14" t="b">
        <v>0</v>
      </c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>
      <c r="A914" s="123"/>
      <c r="B914" s="124"/>
      <c r="C914" s="17"/>
      <c r="D914" s="25"/>
      <c r="E914" s="25"/>
      <c r="F914" s="19"/>
      <c r="G914" s="31"/>
      <c r="H914" s="31"/>
      <c r="I914" s="25"/>
      <c r="J914" s="10"/>
      <c r="K914" s="10"/>
      <c r="L914" s="14"/>
      <c r="M914" s="14" t="b">
        <v>0</v>
      </c>
      <c r="N914" s="14" t="b">
        <v>0</v>
      </c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>
      <c r="A915" s="123"/>
      <c r="B915" s="124"/>
      <c r="C915" s="17"/>
      <c r="D915" s="25"/>
      <c r="E915" s="25"/>
      <c r="F915" s="19"/>
      <c r="G915" s="31"/>
      <c r="H915" s="31"/>
      <c r="I915" s="25"/>
      <c r="J915" s="10"/>
      <c r="K915" s="10"/>
      <c r="L915" s="14"/>
      <c r="M915" s="14" t="b">
        <v>0</v>
      </c>
      <c r="N915" s="14" t="b">
        <v>0</v>
      </c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>
      <c r="A916" s="123"/>
      <c r="B916" s="124"/>
      <c r="C916" s="17"/>
      <c r="D916" s="25"/>
      <c r="E916" s="25"/>
      <c r="F916" s="19"/>
      <c r="G916" s="31"/>
      <c r="H916" s="31"/>
      <c r="I916" s="25"/>
      <c r="J916" s="10"/>
      <c r="K916" s="10"/>
      <c r="L916" s="14"/>
      <c r="M916" s="14" t="b">
        <v>0</v>
      </c>
      <c r="N916" s="14" t="b">
        <v>0</v>
      </c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>
      <c r="A917" s="123"/>
      <c r="B917" s="124"/>
      <c r="C917" s="17"/>
      <c r="D917" s="25"/>
      <c r="E917" s="25"/>
      <c r="F917" s="19"/>
      <c r="G917" s="31"/>
      <c r="H917" s="31"/>
      <c r="I917" s="25"/>
      <c r="J917" s="10"/>
      <c r="K917" s="10"/>
      <c r="L917" s="14"/>
      <c r="M917" s="14" t="b">
        <v>0</v>
      </c>
      <c r="N917" s="14" t="b">
        <v>0</v>
      </c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>
      <c r="A918" s="123"/>
      <c r="B918" s="124"/>
      <c r="C918" s="17"/>
      <c r="D918" s="25"/>
      <c r="E918" s="25"/>
      <c r="F918" s="19"/>
      <c r="G918" s="31"/>
      <c r="H918" s="31"/>
      <c r="I918" s="25"/>
      <c r="J918" s="10"/>
      <c r="K918" s="10"/>
      <c r="L918" s="14"/>
      <c r="M918" s="14" t="b">
        <v>0</v>
      </c>
      <c r="N918" s="14" t="b">
        <v>0</v>
      </c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>
      <c r="A919" s="123"/>
      <c r="B919" s="124"/>
      <c r="C919" s="17"/>
      <c r="D919" s="25"/>
      <c r="E919" s="25"/>
      <c r="F919" s="19"/>
      <c r="G919" s="31"/>
      <c r="H919" s="31"/>
      <c r="I919" s="25"/>
      <c r="J919" s="10"/>
      <c r="K919" s="10"/>
      <c r="L919" s="14"/>
      <c r="M919" s="14" t="b">
        <v>0</v>
      </c>
      <c r="N919" s="14" t="b">
        <v>0</v>
      </c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>
      <c r="A920" s="123"/>
      <c r="B920" s="124"/>
      <c r="C920" s="17"/>
      <c r="D920" s="25"/>
      <c r="E920" s="25"/>
      <c r="F920" s="19"/>
      <c r="G920" s="31"/>
      <c r="H920" s="31"/>
      <c r="I920" s="25"/>
      <c r="J920" s="10"/>
      <c r="K920" s="10"/>
      <c r="L920" s="14"/>
      <c r="M920" s="14" t="b">
        <v>0</v>
      </c>
      <c r="N920" s="14" t="b">
        <v>0</v>
      </c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>
      <c r="A921" s="123"/>
      <c r="B921" s="124"/>
      <c r="C921" s="17"/>
      <c r="D921" s="25"/>
      <c r="E921" s="25"/>
      <c r="F921" s="19"/>
      <c r="G921" s="31"/>
      <c r="H921" s="31"/>
      <c r="I921" s="25"/>
      <c r="J921" s="10"/>
      <c r="K921" s="10"/>
      <c r="L921" s="14"/>
      <c r="M921" s="14" t="b">
        <v>0</v>
      </c>
      <c r="N921" s="14" t="b">
        <v>0</v>
      </c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>
      <c r="A922" s="123"/>
      <c r="B922" s="124"/>
      <c r="C922" s="17"/>
      <c r="D922" s="25"/>
      <c r="E922" s="25"/>
      <c r="F922" s="19"/>
      <c r="G922" s="31"/>
      <c r="H922" s="31"/>
      <c r="I922" s="25"/>
      <c r="J922" s="10"/>
      <c r="K922" s="10"/>
      <c r="L922" s="14"/>
      <c r="M922" s="14" t="b">
        <v>0</v>
      </c>
      <c r="N922" s="14" t="b">
        <v>0</v>
      </c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>
      <c r="A923" s="123"/>
      <c r="B923" s="124"/>
      <c r="C923" s="17"/>
      <c r="D923" s="25"/>
      <c r="E923" s="25"/>
      <c r="F923" s="19"/>
      <c r="G923" s="31"/>
      <c r="H923" s="31"/>
      <c r="I923" s="25"/>
      <c r="J923" s="10"/>
      <c r="K923" s="10"/>
      <c r="L923" s="14"/>
      <c r="M923" s="14" t="b">
        <v>0</v>
      </c>
      <c r="N923" s="14" t="b">
        <v>0</v>
      </c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>
      <c r="A924" s="123"/>
      <c r="B924" s="124"/>
      <c r="C924" s="17"/>
      <c r="D924" s="25"/>
      <c r="E924" s="25"/>
      <c r="F924" s="19"/>
      <c r="G924" s="31"/>
      <c r="H924" s="31"/>
      <c r="I924" s="25"/>
      <c r="J924" s="10"/>
      <c r="K924" s="10"/>
      <c r="L924" s="14"/>
      <c r="M924" s="14" t="b">
        <v>0</v>
      </c>
      <c r="N924" s="14" t="b">
        <v>0</v>
      </c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>
      <c r="A925" s="123"/>
      <c r="B925" s="124"/>
      <c r="C925" s="17"/>
      <c r="D925" s="25"/>
      <c r="E925" s="25"/>
      <c r="F925" s="19"/>
      <c r="G925" s="31"/>
      <c r="H925" s="31"/>
      <c r="I925" s="25"/>
      <c r="J925" s="10"/>
      <c r="K925" s="10"/>
      <c r="L925" s="14"/>
      <c r="M925" s="14" t="b">
        <v>0</v>
      </c>
      <c r="N925" s="14" t="b">
        <v>0</v>
      </c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>
      <c r="A926" s="123"/>
      <c r="B926" s="124"/>
      <c r="C926" s="17"/>
      <c r="D926" s="25"/>
      <c r="E926" s="25"/>
      <c r="F926" s="19"/>
      <c r="G926" s="31"/>
      <c r="H926" s="31"/>
      <c r="I926" s="25"/>
      <c r="J926" s="10"/>
      <c r="K926" s="10"/>
      <c r="L926" s="14"/>
      <c r="M926" s="14" t="b">
        <v>0</v>
      </c>
      <c r="N926" s="14" t="b">
        <v>0</v>
      </c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</row>
    <row r="927">
      <c r="A927" s="123"/>
      <c r="B927" s="124"/>
      <c r="C927" s="17"/>
      <c r="D927" s="25"/>
      <c r="E927" s="25"/>
      <c r="F927" s="19"/>
      <c r="G927" s="31"/>
      <c r="H927" s="31"/>
      <c r="I927" s="25"/>
      <c r="J927" s="10"/>
      <c r="K927" s="10"/>
      <c r="L927" s="14"/>
      <c r="M927" s="14" t="b">
        <v>0</v>
      </c>
      <c r="N927" s="14" t="b">
        <v>0</v>
      </c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>
      <c r="A928" s="123"/>
      <c r="B928" s="124"/>
      <c r="C928" s="17"/>
      <c r="D928" s="25"/>
      <c r="E928" s="25"/>
      <c r="F928" s="19"/>
      <c r="G928" s="31"/>
      <c r="H928" s="31"/>
      <c r="I928" s="25"/>
      <c r="J928" s="10"/>
      <c r="K928" s="10"/>
      <c r="L928" s="14"/>
      <c r="M928" s="14" t="b">
        <v>0</v>
      </c>
      <c r="N928" s="14" t="b">
        <v>0</v>
      </c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>
      <c r="A929" s="123"/>
      <c r="B929" s="124"/>
      <c r="C929" s="17"/>
      <c r="D929" s="25"/>
      <c r="E929" s="25"/>
      <c r="F929" s="19"/>
      <c r="G929" s="31"/>
      <c r="H929" s="31"/>
      <c r="I929" s="25"/>
      <c r="J929" s="10"/>
      <c r="K929" s="10"/>
      <c r="L929" s="14"/>
      <c r="M929" s="14" t="b">
        <v>0</v>
      </c>
      <c r="N929" s="14" t="b">
        <v>0</v>
      </c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>
      <c r="A930" s="123"/>
      <c r="B930" s="124"/>
      <c r="C930" s="17"/>
      <c r="D930" s="25"/>
      <c r="E930" s="25"/>
      <c r="F930" s="19"/>
      <c r="G930" s="31"/>
      <c r="H930" s="31"/>
      <c r="I930" s="25"/>
      <c r="J930" s="10"/>
      <c r="K930" s="10"/>
      <c r="L930" s="14"/>
      <c r="M930" s="14" t="b">
        <v>0</v>
      </c>
      <c r="N930" s="14" t="b">
        <v>0</v>
      </c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>
      <c r="A931" s="123"/>
      <c r="B931" s="124"/>
      <c r="C931" s="17"/>
      <c r="D931" s="25"/>
      <c r="E931" s="25"/>
      <c r="F931" s="19"/>
      <c r="G931" s="31"/>
      <c r="H931" s="31"/>
      <c r="I931" s="25"/>
      <c r="J931" s="10"/>
      <c r="K931" s="10"/>
      <c r="L931" s="14"/>
      <c r="M931" s="14" t="b">
        <v>0</v>
      </c>
      <c r="N931" s="14" t="b">
        <v>0</v>
      </c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>
      <c r="A932" s="123"/>
      <c r="B932" s="124"/>
      <c r="C932" s="17"/>
      <c r="D932" s="25"/>
      <c r="E932" s="25"/>
      <c r="F932" s="19"/>
      <c r="G932" s="31"/>
      <c r="H932" s="31"/>
      <c r="I932" s="25"/>
      <c r="J932" s="10"/>
      <c r="K932" s="10"/>
      <c r="L932" s="14"/>
      <c r="M932" s="14" t="b">
        <v>0</v>
      </c>
      <c r="N932" s="14" t="b">
        <v>0</v>
      </c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>
      <c r="A933" s="123"/>
      <c r="B933" s="124"/>
      <c r="C933" s="17"/>
      <c r="D933" s="25"/>
      <c r="E933" s="25"/>
      <c r="F933" s="19"/>
      <c r="G933" s="31"/>
      <c r="H933" s="31"/>
      <c r="I933" s="25"/>
      <c r="J933" s="10"/>
      <c r="K933" s="10"/>
      <c r="L933" s="14"/>
      <c r="M933" s="14" t="b">
        <v>0</v>
      </c>
      <c r="N933" s="14" t="b">
        <v>0</v>
      </c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>
      <c r="A934" s="123"/>
      <c r="B934" s="124"/>
      <c r="C934" s="17"/>
      <c r="D934" s="25"/>
      <c r="E934" s="25"/>
      <c r="F934" s="19"/>
      <c r="G934" s="31"/>
      <c r="H934" s="31"/>
      <c r="I934" s="25"/>
      <c r="J934" s="10"/>
      <c r="K934" s="10"/>
      <c r="L934" s="14"/>
      <c r="M934" s="14" t="b">
        <v>0</v>
      </c>
      <c r="N934" s="14" t="b">
        <v>0</v>
      </c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>
      <c r="A935" s="123"/>
      <c r="B935" s="124"/>
      <c r="C935" s="17"/>
      <c r="D935" s="25"/>
      <c r="E935" s="25"/>
      <c r="F935" s="19"/>
      <c r="G935" s="31"/>
      <c r="H935" s="31"/>
      <c r="I935" s="25"/>
      <c r="J935" s="10"/>
      <c r="K935" s="10"/>
      <c r="L935" s="14"/>
      <c r="M935" s="14" t="b">
        <v>0</v>
      </c>
      <c r="N935" s="14" t="b">
        <v>0</v>
      </c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>
      <c r="A936" s="123"/>
      <c r="B936" s="124"/>
      <c r="C936" s="17"/>
      <c r="D936" s="25"/>
      <c r="E936" s="25"/>
      <c r="F936" s="19"/>
      <c r="G936" s="31"/>
      <c r="H936" s="31"/>
      <c r="I936" s="25"/>
      <c r="J936" s="10"/>
      <c r="K936" s="10"/>
      <c r="L936" s="14"/>
      <c r="M936" s="14" t="b">
        <v>0</v>
      </c>
      <c r="N936" s="14" t="b">
        <v>0</v>
      </c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>
      <c r="A937" s="123"/>
      <c r="B937" s="124"/>
      <c r="C937" s="17"/>
      <c r="D937" s="25"/>
      <c r="E937" s="25"/>
      <c r="F937" s="19"/>
      <c r="G937" s="31"/>
      <c r="H937" s="31"/>
      <c r="I937" s="25"/>
      <c r="J937" s="10"/>
      <c r="K937" s="10"/>
      <c r="L937" s="14"/>
      <c r="M937" s="14" t="b">
        <v>0</v>
      </c>
      <c r="N937" s="14" t="b">
        <v>0</v>
      </c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>
      <c r="A938" s="123"/>
      <c r="B938" s="124"/>
      <c r="C938" s="17"/>
      <c r="D938" s="25"/>
      <c r="E938" s="25"/>
      <c r="F938" s="19"/>
      <c r="G938" s="31"/>
      <c r="H938" s="31"/>
      <c r="I938" s="25"/>
      <c r="J938" s="10"/>
      <c r="K938" s="10"/>
      <c r="L938" s="14"/>
      <c r="M938" s="14" t="b">
        <v>0</v>
      </c>
      <c r="N938" s="14" t="b">
        <v>0</v>
      </c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>
      <c r="A939" s="123"/>
      <c r="B939" s="124"/>
      <c r="C939" s="17"/>
      <c r="D939" s="25"/>
      <c r="E939" s="25"/>
      <c r="F939" s="19"/>
      <c r="G939" s="31"/>
      <c r="H939" s="31"/>
      <c r="I939" s="25"/>
      <c r="J939" s="10"/>
      <c r="K939" s="10"/>
      <c r="L939" s="14"/>
      <c r="M939" s="14" t="b">
        <v>0</v>
      </c>
      <c r="N939" s="14" t="b">
        <v>0</v>
      </c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>
      <c r="A940" s="123"/>
      <c r="B940" s="124"/>
      <c r="C940" s="17"/>
      <c r="D940" s="25"/>
      <c r="E940" s="25"/>
      <c r="F940" s="19"/>
      <c r="G940" s="31"/>
      <c r="H940" s="31"/>
      <c r="I940" s="25"/>
      <c r="J940" s="10"/>
      <c r="K940" s="10"/>
      <c r="L940" s="14"/>
      <c r="M940" s="14" t="b">
        <v>0</v>
      </c>
      <c r="N940" s="14" t="b">
        <v>0</v>
      </c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>
      <c r="A941" s="123"/>
      <c r="B941" s="124"/>
      <c r="C941" s="17"/>
      <c r="D941" s="25"/>
      <c r="E941" s="25"/>
      <c r="F941" s="19"/>
      <c r="G941" s="31"/>
      <c r="H941" s="31"/>
      <c r="I941" s="25"/>
      <c r="J941" s="10"/>
      <c r="K941" s="10"/>
      <c r="L941" s="14"/>
      <c r="M941" s="14" t="b">
        <v>0</v>
      </c>
      <c r="N941" s="14" t="b">
        <v>0</v>
      </c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>
      <c r="A942" s="123"/>
      <c r="B942" s="124"/>
      <c r="C942" s="17"/>
      <c r="D942" s="25"/>
      <c r="E942" s="25"/>
      <c r="F942" s="19"/>
      <c r="G942" s="31"/>
      <c r="H942" s="31"/>
      <c r="I942" s="25"/>
      <c r="J942" s="10"/>
      <c r="K942" s="10"/>
      <c r="L942" s="14"/>
      <c r="M942" s="14" t="b">
        <v>0</v>
      </c>
      <c r="N942" s="14" t="b">
        <v>0</v>
      </c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>
      <c r="A943" s="123"/>
      <c r="B943" s="124"/>
      <c r="C943" s="17"/>
      <c r="D943" s="25"/>
      <c r="E943" s="25"/>
      <c r="F943" s="19"/>
      <c r="G943" s="31"/>
      <c r="H943" s="31"/>
      <c r="I943" s="25"/>
      <c r="J943" s="10"/>
      <c r="K943" s="10"/>
      <c r="L943" s="14"/>
      <c r="M943" s="14" t="b">
        <v>0</v>
      </c>
      <c r="N943" s="14" t="b">
        <v>0</v>
      </c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>
      <c r="A944" s="123"/>
      <c r="B944" s="124"/>
      <c r="C944" s="17"/>
      <c r="D944" s="25"/>
      <c r="E944" s="25"/>
      <c r="F944" s="19"/>
      <c r="G944" s="31"/>
      <c r="H944" s="31"/>
      <c r="I944" s="25"/>
      <c r="J944" s="10"/>
      <c r="K944" s="10"/>
      <c r="L944" s="14"/>
      <c r="M944" s="14" t="b">
        <v>0</v>
      </c>
      <c r="N944" s="14" t="b">
        <v>0</v>
      </c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>
      <c r="A945" s="123"/>
      <c r="B945" s="124"/>
      <c r="C945" s="17"/>
      <c r="D945" s="25"/>
      <c r="E945" s="25"/>
      <c r="F945" s="19"/>
      <c r="G945" s="31"/>
      <c r="H945" s="31"/>
      <c r="I945" s="25"/>
      <c r="J945" s="10"/>
      <c r="K945" s="10"/>
      <c r="L945" s="14"/>
      <c r="M945" s="14" t="b">
        <v>0</v>
      </c>
      <c r="N945" s="14" t="b">
        <v>0</v>
      </c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>
      <c r="A946" s="123"/>
      <c r="B946" s="124"/>
      <c r="C946" s="17"/>
      <c r="D946" s="25"/>
      <c r="E946" s="25"/>
      <c r="F946" s="19"/>
      <c r="G946" s="31"/>
      <c r="H946" s="31"/>
      <c r="I946" s="25"/>
      <c r="J946" s="10"/>
      <c r="K946" s="10"/>
      <c r="L946" s="14"/>
      <c r="M946" s="14" t="b">
        <v>0</v>
      </c>
      <c r="N946" s="14" t="b">
        <v>0</v>
      </c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>
      <c r="A947" s="123"/>
      <c r="B947" s="124"/>
      <c r="C947" s="17"/>
      <c r="D947" s="25"/>
      <c r="E947" s="25"/>
      <c r="F947" s="19"/>
      <c r="G947" s="31"/>
      <c r="H947" s="31"/>
      <c r="I947" s="25"/>
      <c r="J947" s="10"/>
      <c r="K947" s="10"/>
      <c r="L947" s="14"/>
      <c r="M947" s="14" t="b">
        <v>0</v>
      </c>
      <c r="N947" s="14" t="b">
        <v>0</v>
      </c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>
      <c r="A948" s="123"/>
      <c r="B948" s="124"/>
      <c r="C948" s="17"/>
      <c r="D948" s="25"/>
      <c r="E948" s="25"/>
      <c r="F948" s="19"/>
      <c r="G948" s="31"/>
      <c r="H948" s="31"/>
      <c r="I948" s="25"/>
      <c r="J948" s="10"/>
      <c r="K948" s="10"/>
      <c r="L948" s="14"/>
      <c r="M948" s="14" t="b">
        <v>0</v>
      </c>
      <c r="N948" s="14" t="b">
        <v>0</v>
      </c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>
      <c r="A949" s="123"/>
      <c r="B949" s="124"/>
      <c r="C949" s="17"/>
      <c r="D949" s="25"/>
      <c r="E949" s="25"/>
      <c r="F949" s="19"/>
      <c r="G949" s="31"/>
      <c r="H949" s="31"/>
      <c r="I949" s="25"/>
      <c r="J949" s="10"/>
      <c r="K949" s="10"/>
      <c r="L949" s="14"/>
      <c r="M949" s="14" t="b">
        <v>0</v>
      </c>
      <c r="N949" s="14" t="b">
        <v>0</v>
      </c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>
      <c r="A950" s="123"/>
      <c r="B950" s="124"/>
      <c r="C950" s="17"/>
      <c r="D950" s="25"/>
      <c r="E950" s="25"/>
      <c r="F950" s="19"/>
      <c r="G950" s="31"/>
      <c r="H950" s="31"/>
      <c r="I950" s="25"/>
      <c r="J950" s="10"/>
      <c r="K950" s="10"/>
      <c r="L950" s="14"/>
      <c r="M950" s="14" t="b">
        <v>0</v>
      </c>
      <c r="N950" s="14" t="b">
        <v>0</v>
      </c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>
      <c r="A951" s="123"/>
      <c r="B951" s="124"/>
      <c r="C951" s="17"/>
      <c r="D951" s="25"/>
      <c r="E951" s="25"/>
      <c r="F951" s="19"/>
      <c r="G951" s="31"/>
      <c r="H951" s="31"/>
      <c r="I951" s="25"/>
      <c r="J951" s="10"/>
      <c r="K951" s="10"/>
      <c r="L951" s="14"/>
      <c r="M951" s="14" t="b">
        <v>0</v>
      </c>
      <c r="N951" s="14" t="b">
        <v>0</v>
      </c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>
      <c r="A952" s="123"/>
      <c r="B952" s="124"/>
      <c r="C952" s="17"/>
      <c r="D952" s="25"/>
      <c r="E952" s="25"/>
      <c r="F952" s="19"/>
      <c r="G952" s="31"/>
      <c r="H952" s="31"/>
      <c r="I952" s="25"/>
      <c r="J952" s="10"/>
      <c r="K952" s="10"/>
      <c r="L952" s="14"/>
      <c r="M952" s="14" t="b">
        <v>0</v>
      </c>
      <c r="N952" s="14" t="b">
        <v>0</v>
      </c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>
      <c r="A953" s="123"/>
      <c r="B953" s="124"/>
      <c r="C953" s="17"/>
      <c r="D953" s="25"/>
      <c r="E953" s="25"/>
      <c r="F953" s="19"/>
      <c r="G953" s="31"/>
      <c r="H953" s="31"/>
      <c r="I953" s="25"/>
      <c r="J953" s="10"/>
      <c r="K953" s="10"/>
      <c r="L953" s="14"/>
      <c r="M953" s="14" t="b">
        <v>0</v>
      </c>
      <c r="N953" s="14" t="b">
        <v>0</v>
      </c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>
      <c r="A954" s="123"/>
      <c r="B954" s="124"/>
      <c r="C954" s="17"/>
      <c r="D954" s="25"/>
      <c r="E954" s="25"/>
      <c r="F954" s="19"/>
      <c r="G954" s="31"/>
      <c r="H954" s="31"/>
      <c r="I954" s="25"/>
      <c r="J954" s="10"/>
      <c r="K954" s="10"/>
      <c r="L954" s="14"/>
      <c r="M954" s="14" t="b">
        <v>0</v>
      </c>
      <c r="N954" s="14" t="b">
        <v>0</v>
      </c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>
      <c r="A955" s="123"/>
      <c r="B955" s="124"/>
      <c r="C955" s="17"/>
      <c r="D955" s="25"/>
      <c r="E955" s="25"/>
      <c r="F955" s="19"/>
      <c r="G955" s="31"/>
      <c r="H955" s="31"/>
      <c r="I955" s="25"/>
      <c r="J955" s="10"/>
      <c r="K955" s="10"/>
      <c r="L955" s="14"/>
      <c r="M955" s="14" t="b">
        <v>0</v>
      </c>
      <c r="N955" s="14" t="b">
        <v>0</v>
      </c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>
      <c r="A956" s="123"/>
      <c r="B956" s="124"/>
      <c r="C956" s="17"/>
      <c r="D956" s="25"/>
      <c r="E956" s="25"/>
      <c r="F956" s="19"/>
      <c r="G956" s="31"/>
      <c r="H956" s="31"/>
      <c r="I956" s="25"/>
      <c r="J956" s="10"/>
      <c r="K956" s="10"/>
      <c r="L956" s="14"/>
      <c r="M956" s="14" t="b">
        <v>0</v>
      </c>
      <c r="N956" s="14" t="b">
        <v>0</v>
      </c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>
      <c r="A957" s="123"/>
      <c r="B957" s="124"/>
      <c r="C957" s="17"/>
      <c r="D957" s="25"/>
      <c r="E957" s="25"/>
      <c r="F957" s="19"/>
      <c r="G957" s="31"/>
      <c r="H957" s="31"/>
      <c r="I957" s="25"/>
      <c r="J957" s="10"/>
      <c r="K957" s="10"/>
      <c r="L957" s="14"/>
      <c r="M957" s="14" t="b">
        <v>0</v>
      </c>
      <c r="N957" s="14" t="b">
        <v>0</v>
      </c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>
      <c r="A958" s="123"/>
      <c r="B958" s="124"/>
      <c r="C958" s="17"/>
      <c r="D958" s="25"/>
      <c r="E958" s="25"/>
      <c r="F958" s="19"/>
      <c r="G958" s="31"/>
      <c r="H958" s="31"/>
      <c r="I958" s="25"/>
      <c r="J958" s="10"/>
      <c r="K958" s="10"/>
      <c r="L958" s="14"/>
      <c r="M958" s="14" t="b">
        <v>0</v>
      </c>
      <c r="N958" s="14" t="b">
        <v>0</v>
      </c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>
      <c r="A959" s="123"/>
      <c r="B959" s="124"/>
      <c r="C959" s="17"/>
      <c r="D959" s="25"/>
      <c r="E959" s="25"/>
      <c r="F959" s="19"/>
      <c r="G959" s="31"/>
      <c r="H959" s="31"/>
      <c r="I959" s="25"/>
      <c r="J959" s="10"/>
      <c r="K959" s="10"/>
      <c r="L959" s="14"/>
      <c r="M959" s="14" t="b">
        <v>0</v>
      </c>
      <c r="N959" s="14" t="b">
        <v>0</v>
      </c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>
      <c r="A960" s="123"/>
      <c r="B960" s="124"/>
      <c r="C960" s="17"/>
      <c r="D960" s="25"/>
      <c r="E960" s="25"/>
      <c r="F960" s="19"/>
      <c r="G960" s="31"/>
      <c r="H960" s="31"/>
      <c r="I960" s="25"/>
      <c r="J960" s="10"/>
      <c r="K960" s="10"/>
      <c r="L960" s="14"/>
      <c r="M960" s="14" t="b">
        <v>0</v>
      </c>
      <c r="N960" s="14" t="b">
        <v>0</v>
      </c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>
      <c r="A961" s="123"/>
      <c r="B961" s="124"/>
      <c r="C961" s="17"/>
      <c r="D961" s="25"/>
      <c r="E961" s="25"/>
      <c r="F961" s="19"/>
      <c r="G961" s="31"/>
      <c r="H961" s="31"/>
      <c r="I961" s="25"/>
      <c r="J961" s="10"/>
      <c r="K961" s="10"/>
      <c r="L961" s="14"/>
      <c r="M961" s="14" t="b">
        <v>0</v>
      </c>
      <c r="N961" s="14" t="b">
        <v>0</v>
      </c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>
      <c r="A962" s="123"/>
      <c r="B962" s="124"/>
      <c r="C962" s="17"/>
      <c r="D962" s="25"/>
      <c r="E962" s="25"/>
      <c r="F962" s="19"/>
      <c r="G962" s="31"/>
      <c r="H962" s="31"/>
      <c r="I962" s="25"/>
      <c r="J962" s="10"/>
      <c r="K962" s="10"/>
      <c r="L962" s="14"/>
      <c r="M962" s="14" t="b">
        <v>0</v>
      </c>
      <c r="N962" s="14" t="b">
        <v>0</v>
      </c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>
      <c r="A963" s="123"/>
      <c r="B963" s="124"/>
      <c r="C963" s="17"/>
      <c r="D963" s="25"/>
      <c r="E963" s="25"/>
      <c r="F963" s="19"/>
      <c r="G963" s="31"/>
      <c r="H963" s="31"/>
      <c r="I963" s="25"/>
      <c r="J963" s="10"/>
      <c r="K963" s="10"/>
      <c r="L963" s="14"/>
      <c r="M963" s="14" t="b">
        <v>0</v>
      </c>
      <c r="N963" s="14" t="b">
        <v>0</v>
      </c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>
      <c r="A964" s="123"/>
      <c r="B964" s="124"/>
      <c r="C964" s="17"/>
      <c r="D964" s="25"/>
      <c r="E964" s="25"/>
      <c r="F964" s="19"/>
      <c r="G964" s="31"/>
      <c r="H964" s="31"/>
      <c r="I964" s="25"/>
      <c r="J964" s="10"/>
      <c r="K964" s="10"/>
      <c r="L964" s="14"/>
      <c r="M964" s="14" t="b">
        <v>0</v>
      </c>
      <c r="N964" s="14" t="b">
        <v>0</v>
      </c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>
      <c r="A965" s="123"/>
      <c r="B965" s="124"/>
      <c r="C965" s="17"/>
      <c r="D965" s="25"/>
      <c r="E965" s="25"/>
      <c r="F965" s="19"/>
      <c r="G965" s="31"/>
      <c r="H965" s="31"/>
      <c r="I965" s="25"/>
      <c r="J965" s="10"/>
      <c r="K965" s="10"/>
      <c r="L965" s="14"/>
      <c r="M965" s="14" t="b">
        <v>0</v>
      </c>
      <c r="N965" s="14" t="b">
        <v>0</v>
      </c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>
      <c r="A966" s="123"/>
      <c r="B966" s="124"/>
      <c r="C966" s="17"/>
      <c r="D966" s="25"/>
      <c r="E966" s="25"/>
      <c r="F966" s="19"/>
      <c r="G966" s="31"/>
      <c r="H966" s="31"/>
      <c r="I966" s="25"/>
      <c r="J966" s="10"/>
      <c r="K966" s="10"/>
      <c r="L966" s="14"/>
      <c r="M966" s="14" t="b">
        <v>0</v>
      </c>
      <c r="N966" s="14" t="b">
        <v>0</v>
      </c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>
      <c r="A967" s="123"/>
      <c r="B967" s="124"/>
      <c r="C967" s="17"/>
      <c r="D967" s="25"/>
      <c r="E967" s="25"/>
      <c r="F967" s="19"/>
      <c r="G967" s="31"/>
      <c r="H967" s="31"/>
      <c r="I967" s="25"/>
      <c r="J967" s="10"/>
      <c r="K967" s="10"/>
      <c r="L967" s="14"/>
      <c r="M967" s="14" t="b">
        <v>0</v>
      </c>
      <c r="N967" s="14" t="b">
        <v>0</v>
      </c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>
      <c r="A968" s="123"/>
      <c r="B968" s="124"/>
      <c r="C968" s="17"/>
      <c r="D968" s="25"/>
      <c r="E968" s="25"/>
      <c r="F968" s="19"/>
      <c r="G968" s="31"/>
      <c r="H968" s="31"/>
      <c r="I968" s="25"/>
      <c r="J968" s="10"/>
      <c r="K968" s="10"/>
      <c r="L968" s="14"/>
      <c r="M968" s="14" t="b">
        <v>0</v>
      </c>
      <c r="N968" s="14" t="b">
        <v>0</v>
      </c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>
      <c r="A969" s="123"/>
      <c r="B969" s="124"/>
      <c r="C969" s="17"/>
      <c r="D969" s="25"/>
      <c r="E969" s="25"/>
      <c r="F969" s="19"/>
      <c r="G969" s="31"/>
      <c r="H969" s="31"/>
      <c r="I969" s="25"/>
      <c r="J969" s="10"/>
      <c r="K969" s="10"/>
      <c r="L969" s="14"/>
      <c r="M969" s="14" t="b">
        <v>0</v>
      </c>
      <c r="N969" s="14" t="b">
        <v>0</v>
      </c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</row>
    <row r="970">
      <c r="A970" s="123"/>
      <c r="B970" s="124"/>
      <c r="C970" s="17"/>
      <c r="D970" s="25"/>
      <c r="E970" s="25"/>
      <c r="F970" s="19"/>
      <c r="G970" s="31"/>
      <c r="H970" s="31"/>
      <c r="I970" s="25"/>
      <c r="J970" s="10"/>
      <c r="K970" s="10"/>
      <c r="L970" s="14"/>
      <c r="M970" s="14" t="b">
        <v>0</v>
      </c>
      <c r="N970" s="14" t="b">
        <v>0</v>
      </c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>
      <c r="A971" s="123"/>
      <c r="B971" s="124"/>
      <c r="C971" s="17"/>
      <c r="D971" s="25"/>
      <c r="E971" s="25"/>
      <c r="F971" s="19"/>
      <c r="G971" s="31"/>
      <c r="H971" s="31"/>
      <c r="I971" s="25"/>
      <c r="J971" s="10"/>
      <c r="K971" s="10"/>
      <c r="L971" s="14"/>
      <c r="M971" s="14" t="b">
        <v>0</v>
      </c>
      <c r="N971" s="14" t="b">
        <v>0</v>
      </c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>
      <c r="A972" s="123"/>
      <c r="B972" s="124"/>
      <c r="C972" s="17"/>
      <c r="D972" s="25"/>
      <c r="E972" s="25"/>
      <c r="F972" s="19"/>
      <c r="G972" s="31"/>
      <c r="H972" s="31"/>
      <c r="I972" s="25"/>
      <c r="J972" s="10"/>
      <c r="K972" s="10"/>
      <c r="L972" s="14"/>
      <c r="M972" s="14" t="b">
        <v>0</v>
      </c>
      <c r="N972" s="14" t="b">
        <v>0</v>
      </c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>
      <c r="A973" s="123"/>
      <c r="B973" s="124"/>
      <c r="C973" s="17"/>
      <c r="D973" s="25"/>
      <c r="E973" s="25"/>
      <c r="F973" s="19"/>
      <c r="G973" s="31"/>
      <c r="H973" s="31"/>
      <c r="I973" s="25"/>
      <c r="J973" s="10"/>
      <c r="K973" s="10"/>
      <c r="L973" s="14"/>
      <c r="M973" s="14" t="b">
        <v>0</v>
      </c>
      <c r="N973" s="14" t="b">
        <v>0</v>
      </c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>
      <c r="A974" s="123"/>
      <c r="B974" s="124"/>
      <c r="C974" s="17"/>
      <c r="D974" s="25"/>
      <c r="E974" s="25"/>
      <c r="F974" s="19"/>
      <c r="G974" s="31"/>
      <c r="H974" s="31"/>
      <c r="I974" s="25"/>
      <c r="J974" s="10"/>
      <c r="K974" s="10"/>
      <c r="L974" s="14"/>
      <c r="M974" s="14" t="b">
        <v>0</v>
      </c>
      <c r="N974" s="14" t="b">
        <v>0</v>
      </c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>
      <c r="A975" s="123"/>
      <c r="B975" s="124"/>
      <c r="C975" s="17"/>
      <c r="D975" s="25"/>
      <c r="E975" s="25"/>
      <c r="F975" s="19"/>
      <c r="G975" s="31"/>
      <c r="H975" s="31"/>
      <c r="I975" s="25"/>
      <c r="J975" s="10"/>
      <c r="K975" s="10"/>
      <c r="L975" s="14"/>
      <c r="M975" s="14" t="b">
        <v>0</v>
      </c>
      <c r="N975" s="14" t="b">
        <v>0</v>
      </c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>
      <c r="A976" s="123"/>
      <c r="B976" s="124"/>
      <c r="C976" s="17"/>
      <c r="D976" s="25"/>
      <c r="E976" s="25"/>
      <c r="F976" s="19"/>
      <c r="G976" s="31"/>
      <c r="H976" s="31"/>
      <c r="I976" s="25"/>
      <c r="J976" s="10"/>
      <c r="K976" s="10"/>
      <c r="L976" s="14"/>
      <c r="M976" s="14" t="b">
        <v>0</v>
      </c>
      <c r="N976" s="14" t="b">
        <v>0</v>
      </c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>
      <c r="A977" s="123"/>
      <c r="B977" s="124"/>
      <c r="C977" s="17"/>
      <c r="D977" s="25"/>
      <c r="E977" s="25"/>
      <c r="F977" s="19"/>
      <c r="G977" s="31"/>
      <c r="H977" s="31"/>
      <c r="I977" s="25"/>
      <c r="J977" s="10"/>
      <c r="K977" s="10"/>
      <c r="L977" s="14"/>
      <c r="M977" s="14" t="b">
        <v>0</v>
      </c>
      <c r="N977" s="14" t="b">
        <v>0</v>
      </c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>
      <c r="A978" s="123"/>
      <c r="B978" s="124"/>
      <c r="C978" s="17"/>
      <c r="D978" s="25"/>
      <c r="E978" s="25"/>
      <c r="F978" s="19"/>
      <c r="G978" s="31"/>
      <c r="H978" s="31"/>
      <c r="I978" s="25"/>
      <c r="J978" s="10"/>
      <c r="K978" s="10"/>
      <c r="L978" s="14"/>
      <c r="M978" s="14" t="b">
        <v>0</v>
      </c>
      <c r="N978" s="14" t="b">
        <v>0</v>
      </c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>
      <c r="A979" s="123"/>
      <c r="B979" s="124"/>
      <c r="C979" s="17"/>
      <c r="D979" s="25"/>
      <c r="E979" s="25"/>
      <c r="F979" s="19"/>
      <c r="G979" s="31"/>
      <c r="H979" s="31"/>
      <c r="I979" s="25"/>
      <c r="J979" s="10"/>
      <c r="K979" s="10"/>
      <c r="L979" s="14"/>
      <c r="M979" s="14" t="b">
        <v>0</v>
      </c>
      <c r="N979" s="14" t="b">
        <v>0</v>
      </c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>
      <c r="A980" s="123"/>
      <c r="B980" s="124"/>
      <c r="C980" s="17"/>
      <c r="D980" s="25"/>
      <c r="E980" s="25"/>
      <c r="F980" s="19"/>
      <c r="G980" s="31"/>
      <c r="H980" s="31"/>
      <c r="I980" s="25"/>
      <c r="J980" s="10"/>
      <c r="K980" s="10"/>
      <c r="L980" s="14"/>
      <c r="M980" s="14" t="b">
        <v>0</v>
      </c>
      <c r="N980" s="14" t="b">
        <v>0</v>
      </c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>
      <c r="A981" s="123"/>
      <c r="B981" s="124"/>
      <c r="C981" s="17"/>
      <c r="D981" s="25"/>
      <c r="E981" s="25"/>
      <c r="F981" s="19"/>
      <c r="G981" s="31"/>
      <c r="H981" s="31"/>
      <c r="I981" s="25"/>
      <c r="J981" s="10"/>
      <c r="K981" s="10"/>
      <c r="L981" s="14"/>
      <c r="M981" s="14" t="b">
        <v>0</v>
      </c>
      <c r="N981" s="14" t="b">
        <v>0</v>
      </c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>
      <c r="A982" s="123"/>
      <c r="B982" s="124"/>
      <c r="C982" s="17"/>
      <c r="D982" s="25"/>
      <c r="E982" s="25"/>
      <c r="F982" s="19"/>
      <c r="G982" s="31"/>
      <c r="H982" s="31"/>
      <c r="I982" s="25"/>
      <c r="J982" s="10"/>
      <c r="K982" s="10"/>
      <c r="L982" s="14"/>
      <c r="M982" s="14" t="b">
        <v>0</v>
      </c>
      <c r="N982" s="14" t="b">
        <v>0</v>
      </c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>
      <c r="A983" s="123"/>
      <c r="B983" s="124"/>
      <c r="C983" s="17"/>
      <c r="D983" s="25"/>
      <c r="E983" s="25"/>
      <c r="F983" s="19"/>
      <c r="G983" s="31"/>
      <c r="H983" s="31"/>
      <c r="I983" s="25"/>
      <c r="J983" s="10"/>
      <c r="K983" s="10"/>
      <c r="L983" s="14"/>
      <c r="M983" s="14" t="b">
        <v>0</v>
      </c>
      <c r="N983" s="14" t="b">
        <v>0</v>
      </c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>
      <c r="A984" s="123"/>
      <c r="B984" s="124"/>
      <c r="C984" s="17"/>
      <c r="D984" s="25"/>
      <c r="E984" s="25"/>
      <c r="F984" s="19"/>
      <c r="G984" s="31"/>
      <c r="H984" s="31"/>
      <c r="I984" s="25"/>
      <c r="J984" s="10"/>
      <c r="K984" s="10"/>
      <c r="L984" s="14"/>
      <c r="M984" s="14" t="b">
        <v>0</v>
      </c>
      <c r="N984" s="14" t="b">
        <v>0</v>
      </c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>
      <c r="A985" s="123"/>
      <c r="B985" s="124"/>
      <c r="C985" s="17"/>
      <c r="D985" s="25"/>
      <c r="E985" s="25"/>
      <c r="F985" s="19"/>
      <c r="G985" s="31"/>
      <c r="H985" s="31"/>
      <c r="I985" s="25"/>
      <c r="J985" s="10"/>
      <c r="K985" s="10"/>
      <c r="L985" s="14"/>
      <c r="M985" s="14" t="b">
        <v>0</v>
      </c>
      <c r="N985" s="14" t="b">
        <v>0</v>
      </c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>
      <c r="A986" s="123"/>
      <c r="B986" s="124"/>
      <c r="C986" s="17"/>
      <c r="D986" s="25"/>
      <c r="E986" s="25"/>
      <c r="F986" s="19"/>
      <c r="G986" s="31"/>
      <c r="H986" s="31"/>
      <c r="I986" s="25"/>
      <c r="J986" s="10"/>
      <c r="K986" s="10"/>
      <c r="L986" s="14"/>
      <c r="M986" s="14" t="b">
        <v>0</v>
      </c>
      <c r="N986" s="14" t="b">
        <v>0</v>
      </c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>
      <c r="A987" s="123"/>
      <c r="B987" s="124"/>
      <c r="C987" s="17"/>
      <c r="D987" s="25"/>
      <c r="E987" s="25"/>
      <c r="F987" s="19"/>
      <c r="G987" s="31"/>
      <c r="H987" s="31"/>
      <c r="I987" s="25"/>
      <c r="J987" s="10"/>
      <c r="K987" s="10"/>
      <c r="L987" s="14"/>
      <c r="M987" s="14" t="b">
        <v>0</v>
      </c>
      <c r="N987" s="14" t="b">
        <v>0</v>
      </c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>
      <c r="A988" s="123"/>
      <c r="B988" s="124"/>
      <c r="C988" s="17"/>
      <c r="D988" s="25"/>
      <c r="E988" s="25"/>
      <c r="F988" s="19"/>
      <c r="G988" s="31"/>
      <c r="H988" s="31"/>
      <c r="I988" s="25"/>
      <c r="J988" s="10"/>
      <c r="K988" s="10"/>
      <c r="L988" s="14"/>
      <c r="M988" s="14" t="b">
        <v>0</v>
      </c>
      <c r="N988" s="14" t="b">
        <v>0</v>
      </c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>
      <c r="A989" s="123"/>
      <c r="B989" s="124"/>
      <c r="C989" s="17"/>
      <c r="D989" s="25"/>
      <c r="E989" s="25"/>
      <c r="F989" s="19"/>
      <c r="G989" s="31"/>
      <c r="H989" s="31"/>
      <c r="I989" s="25"/>
      <c r="J989" s="10"/>
      <c r="K989" s="10"/>
      <c r="L989" s="14"/>
      <c r="M989" s="14" t="b">
        <v>0</v>
      </c>
      <c r="N989" s="14" t="b">
        <v>0</v>
      </c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>
      <c r="A990" s="123"/>
      <c r="B990" s="124"/>
      <c r="C990" s="17"/>
      <c r="D990" s="25"/>
      <c r="E990" s="25"/>
      <c r="F990" s="19"/>
      <c r="G990" s="31"/>
      <c r="H990" s="31"/>
      <c r="I990" s="25"/>
      <c r="J990" s="10"/>
      <c r="K990" s="10"/>
      <c r="L990" s="14"/>
      <c r="M990" s="14" t="b">
        <v>0</v>
      </c>
      <c r="N990" s="14" t="b">
        <v>0</v>
      </c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>
      <c r="A991" s="123"/>
      <c r="B991" s="124"/>
      <c r="C991" s="17"/>
      <c r="D991" s="25"/>
      <c r="E991" s="25"/>
      <c r="F991" s="19"/>
      <c r="G991" s="31"/>
      <c r="H991" s="31"/>
      <c r="I991" s="25"/>
      <c r="J991" s="10"/>
      <c r="K991" s="10"/>
      <c r="L991" s="14"/>
      <c r="M991" s="14" t="b">
        <v>0</v>
      </c>
      <c r="N991" s="14" t="b">
        <v>0</v>
      </c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>
      <c r="A992" s="123"/>
      <c r="B992" s="124"/>
      <c r="C992" s="17"/>
      <c r="D992" s="25"/>
      <c r="E992" s="25"/>
      <c r="F992" s="19"/>
      <c r="G992" s="31"/>
      <c r="H992" s="31"/>
      <c r="I992" s="25"/>
      <c r="J992" s="10"/>
      <c r="K992" s="10"/>
      <c r="L992" s="14"/>
      <c r="M992" s="14" t="b">
        <v>0</v>
      </c>
      <c r="N992" s="14" t="b">
        <v>0</v>
      </c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>
      <c r="A993" s="123"/>
      <c r="B993" s="124"/>
      <c r="C993" s="17"/>
      <c r="D993" s="25"/>
      <c r="E993" s="25"/>
      <c r="F993" s="19"/>
      <c r="G993" s="31"/>
      <c r="H993" s="31"/>
      <c r="I993" s="25"/>
      <c r="J993" s="10"/>
      <c r="K993" s="10"/>
      <c r="L993" s="14"/>
      <c r="M993" s="14" t="b">
        <v>0</v>
      </c>
      <c r="N993" s="14" t="b">
        <v>0</v>
      </c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>
      <c r="A994" s="123"/>
      <c r="B994" s="124"/>
      <c r="C994" s="17"/>
      <c r="D994" s="25"/>
      <c r="E994" s="25"/>
      <c r="F994" s="19"/>
      <c r="G994" s="31"/>
      <c r="H994" s="31"/>
      <c r="I994" s="25"/>
      <c r="J994" s="10"/>
      <c r="K994" s="10"/>
      <c r="L994" s="14"/>
      <c r="M994" s="14" t="b">
        <v>0</v>
      </c>
      <c r="N994" s="14" t="b">
        <v>0</v>
      </c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>
      <c r="A995" s="123"/>
      <c r="B995" s="124"/>
      <c r="C995" s="17"/>
      <c r="D995" s="25"/>
      <c r="E995" s="25"/>
      <c r="F995" s="19"/>
      <c r="G995" s="31"/>
      <c r="H995" s="31"/>
      <c r="I995" s="25"/>
      <c r="J995" s="10"/>
      <c r="K995" s="10"/>
      <c r="L995" s="14"/>
      <c r="M995" s="14" t="b">
        <v>0</v>
      </c>
      <c r="N995" s="14" t="b">
        <v>0</v>
      </c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>
      <c r="A996" s="123"/>
      <c r="B996" s="124"/>
      <c r="C996" s="17"/>
      <c r="D996" s="25"/>
      <c r="E996" s="25"/>
      <c r="F996" s="19"/>
      <c r="G996" s="31"/>
      <c r="H996" s="31"/>
      <c r="I996" s="25"/>
      <c r="J996" s="10"/>
      <c r="K996" s="10"/>
      <c r="L996" s="14"/>
      <c r="M996" s="14" t="b">
        <v>0</v>
      </c>
      <c r="N996" s="14" t="b">
        <v>0</v>
      </c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>
      <c r="A997" s="123"/>
      <c r="B997" s="124"/>
      <c r="C997" s="17"/>
      <c r="D997" s="25"/>
      <c r="E997" s="25"/>
      <c r="F997" s="19"/>
      <c r="G997" s="31"/>
      <c r="H997" s="31"/>
      <c r="I997" s="25"/>
      <c r="J997" s="10"/>
      <c r="K997" s="10"/>
      <c r="L997" s="14"/>
      <c r="M997" s="14" t="b">
        <v>0</v>
      </c>
      <c r="N997" s="14" t="b">
        <v>0</v>
      </c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  <row r="998">
      <c r="A998" s="123"/>
      <c r="B998" s="124"/>
      <c r="C998" s="17"/>
      <c r="D998" s="25"/>
      <c r="E998" s="25"/>
      <c r="F998" s="19"/>
      <c r="G998" s="31"/>
      <c r="H998" s="31"/>
      <c r="I998" s="25"/>
      <c r="J998" s="10"/>
      <c r="K998" s="10"/>
      <c r="L998" s="14"/>
      <c r="M998" s="14" t="b">
        <v>0</v>
      </c>
      <c r="N998" s="14" t="b">
        <v>0</v>
      </c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</row>
    <row r="999">
      <c r="A999" s="123"/>
      <c r="B999" s="124"/>
      <c r="C999" s="17"/>
      <c r="D999" s="25"/>
      <c r="E999" s="25"/>
      <c r="F999" s="19"/>
      <c r="G999" s="31"/>
      <c r="H999" s="31"/>
      <c r="I999" s="25"/>
      <c r="J999" s="10"/>
      <c r="K999" s="10"/>
      <c r="L999" s="14"/>
      <c r="M999" s="14" t="b">
        <v>0</v>
      </c>
      <c r="N999" s="14" t="b">
        <v>0</v>
      </c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</row>
    <row r="1000">
      <c r="A1000" s="123"/>
      <c r="B1000" s="124"/>
      <c r="C1000" s="17"/>
      <c r="D1000" s="25"/>
      <c r="E1000" s="25"/>
      <c r="F1000" s="19"/>
      <c r="G1000" s="31"/>
      <c r="H1000" s="31"/>
      <c r="I1000" s="25"/>
      <c r="J1000" s="10"/>
      <c r="K1000" s="10"/>
      <c r="L1000" s="14"/>
      <c r="M1000" s="14" t="b">
        <v>0</v>
      </c>
      <c r="N1000" s="14" t="b">
        <v>0</v>
      </c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</row>
    <row r="1001">
      <c r="A1001" s="123"/>
      <c r="B1001" s="124"/>
      <c r="C1001" s="17"/>
      <c r="D1001" s="25"/>
      <c r="E1001" s="25"/>
      <c r="F1001" s="19"/>
      <c r="G1001" s="31"/>
      <c r="H1001" s="31"/>
      <c r="I1001" s="25"/>
      <c r="J1001" s="10"/>
      <c r="K1001" s="10"/>
      <c r="L1001" s="14"/>
      <c r="M1001" s="14" t="b">
        <v>0</v>
      </c>
      <c r="N1001" s="14" t="b">
        <v>0</v>
      </c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</row>
    <row r="1002">
      <c r="A1002" s="123"/>
      <c r="B1002" s="124"/>
      <c r="C1002" s="17"/>
      <c r="D1002" s="25"/>
      <c r="E1002" s="25"/>
      <c r="F1002" s="19"/>
      <c r="G1002" s="31"/>
      <c r="H1002" s="31"/>
      <c r="I1002" s="25"/>
      <c r="J1002" s="10"/>
      <c r="K1002" s="10"/>
      <c r="L1002" s="14"/>
      <c r="M1002" s="14" t="b">
        <v>0</v>
      </c>
      <c r="N1002" s="14" t="b">
        <v>0</v>
      </c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</row>
    <row r="1003">
      <c r="A1003" s="123"/>
      <c r="B1003" s="124"/>
      <c r="C1003" s="17"/>
      <c r="D1003" s="25"/>
      <c r="E1003" s="25"/>
      <c r="F1003" s="19"/>
      <c r="G1003" s="31"/>
      <c r="H1003" s="31"/>
      <c r="I1003" s="25"/>
      <c r="J1003" s="10"/>
      <c r="K1003" s="10"/>
      <c r="L1003" s="14"/>
      <c r="M1003" s="14" t="b">
        <v>0</v>
      </c>
      <c r="N1003" s="14" t="b">
        <v>0</v>
      </c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</row>
    <row r="1004">
      <c r="A1004" s="123"/>
      <c r="B1004" s="124"/>
      <c r="C1004" s="17"/>
      <c r="D1004" s="25"/>
      <c r="E1004" s="25"/>
      <c r="F1004" s="19"/>
      <c r="G1004" s="31"/>
      <c r="H1004" s="31"/>
      <c r="I1004" s="25"/>
      <c r="J1004" s="10"/>
      <c r="K1004" s="10"/>
      <c r="L1004" s="14"/>
      <c r="M1004" s="14" t="b">
        <v>0</v>
      </c>
      <c r="N1004" s="14" t="b">
        <v>0</v>
      </c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</row>
    <row r="1005">
      <c r="A1005" s="123"/>
      <c r="B1005" s="124"/>
      <c r="C1005" s="17"/>
      <c r="D1005" s="25"/>
      <c r="E1005" s="25"/>
      <c r="F1005" s="19"/>
      <c r="G1005" s="31"/>
      <c r="H1005" s="31"/>
      <c r="I1005" s="25"/>
      <c r="J1005" s="10"/>
      <c r="K1005" s="10"/>
      <c r="L1005" s="14"/>
      <c r="M1005" s="14" t="b">
        <v>0</v>
      </c>
      <c r="N1005" s="14" t="b">
        <v>0</v>
      </c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</row>
    <row r="1006">
      <c r="A1006" s="123"/>
      <c r="B1006" s="124"/>
      <c r="C1006" s="17"/>
      <c r="D1006" s="25"/>
      <c r="E1006" s="25"/>
      <c r="F1006" s="19"/>
      <c r="G1006" s="31"/>
      <c r="H1006" s="31"/>
      <c r="I1006" s="25"/>
      <c r="J1006" s="10"/>
      <c r="K1006" s="10"/>
      <c r="L1006" s="14"/>
      <c r="M1006" s="14" t="b">
        <v>0</v>
      </c>
      <c r="N1006" s="14" t="b">
        <v>0</v>
      </c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</row>
    <row r="1007">
      <c r="A1007" s="123"/>
      <c r="B1007" s="124"/>
      <c r="C1007" s="17"/>
      <c r="D1007" s="25"/>
      <c r="E1007" s="25"/>
      <c r="F1007" s="19"/>
      <c r="G1007" s="31"/>
      <c r="H1007" s="31"/>
      <c r="I1007" s="25"/>
      <c r="J1007" s="10"/>
      <c r="K1007" s="10"/>
      <c r="L1007" s="14"/>
      <c r="M1007" s="14" t="b">
        <v>0</v>
      </c>
      <c r="N1007" s="14" t="b">
        <v>0</v>
      </c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</row>
    <row r="1008">
      <c r="A1008" s="123"/>
      <c r="B1008" s="124"/>
      <c r="C1008" s="17"/>
      <c r="D1008" s="25"/>
      <c r="E1008" s="25"/>
      <c r="F1008" s="19"/>
      <c r="G1008" s="31"/>
      <c r="H1008" s="31"/>
      <c r="I1008" s="25"/>
      <c r="J1008" s="10"/>
      <c r="K1008" s="10"/>
      <c r="L1008" s="14"/>
      <c r="M1008" s="14" t="b">
        <v>0</v>
      </c>
      <c r="N1008" s="14" t="b">
        <v>0</v>
      </c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</row>
    <row r="1009">
      <c r="A1009" s="123"/>
      <c r="B1009" s="124"/>
      <c r="C1009" s="17"/>
      <c r="D1009" s="25"/>
      <c r="E1009" s="25"/>
      <c r="F1009" s="19"/>
      <c r="G1009" s="31"/>
      <c r="H1009" s="31"/>
      <c r="I1009" s="25"/>
      <c r="J1009" s="10"/>
      <c r="K1009" s="10"/>
      <c r="L1009" s="14"/>
      <c r="M1009" s="14" t="b">
        <v>0</v>
      </c>
      <c r="N1009" s="14" t="b">
        <v>0</v>
      </c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</row>
    <row r="1010">
      <c r="A1010" s="123"/>
      <c r="B1010" s="124"/>
      <c r="C1010" s="17"/>
      <c r="D1010" s="25"/>
      <c r="E1010" s="25"/>
      <c r="F1010" s="19"/>
      <c r="G1010" s="31"/>
      <c r="H1010" s="31"/>
      <c r="I1010" s="25"/>
      <c r="J1010" s="10"/>
      <c r="K1010" s="10"/>
      <c r="L1010" s="14"/>
      <c r="M1010" s="14" t="b">
        <v>0</v>
      </c>
      <c r="N1010" s="14" t="b">
        <v>0</v>
      </c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</row>
    <row r="1011">
      <c r="A1011" s="123"/>
      <c r="B1011" s="124"/>
      <c r="C1011" s="17"/>
      <c r="D1011" s="25"/>
      <c r="E1011" s="25"/>
      <c r="F1011" s="19"/>
      <c r="G1011" s="31"/>
      <c r="H1011" s="31"/>
      <c r="I1011" s="25"/>
      <c r="J1011" s="10"/>
      <c r="K1011" s="10"/>
      <c r="L1011" s="14"/>
      <c r="M1011" s="14" t="b">
        <v>0</v>
      </c>
      <c r="N1011" s="14" t="b">
        <v>0</v>
      </c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</row>
    <row r="1012">
      <c r="A1012" s="123"/>
      <c r="B1012" s="124"/>
      <c r="C1012" s="17"/>
      <c r="D1012" s="25"/>
      <c r="E1012" s="25"/>
      <c r="F1012" s="19"/>
      <c r="G1012" s="31"/>
      <c r="H1012" s="31"/>
      <c r="I1012" s="25"/>
      <c r="J1012" s="10"/>
      <c r="K1012" s="10"/>
      <c r="L1012" s="14"/>
      <c r="M1012" s="14" t="b">
        <v>0</v>
      </c>
      <c r="N1012" s="14" t="b">
        <v>0</v>
      </c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</row>
    <row r="1013">
      <c r="A1013" s="123"/>
      <c r="B1013" s="124"/>
      <c r="C1013" s="17"/>
      <c r="D1013" s="25"/>
      <c r="E1013" s="25"/>
      <c r="F1013" s="19"/>
      <c r="G1013" s="31"/>
      <c r="H1013" s="31"/>
      <c r="I1013" s="25"/>
      <c r="J1013" s="10"/>
      <c r="K1013" s="10"/>
      <c r="L1013" s="14"/>
      <c r="M1013" s="14" t="b">
        <v>0</v>
      </c>
      <c r="N1013" s="14" t="b">
        <v>0</v>
      </c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</row>
    <row r="1014">
      <c r="A1014" s="123"/>
      <c r="B1014" s="124"/>
      <c r="C1014" s="17"/>
      <c r="D1014" s="25"/>
      <c r="E1014" s="25"/>
      <c r="F1014" s="19"/>
      <c r="G1014" s="31"/>
      <c r="H1014" s="31"/>
      <c r="I1014" s="25"/>
      <c r="J1014" s="10"/>
      <c r="K1014" s="10"/>
      <c r="L1014" s="14"/>
      <c r="M1014" s="14" t="b">
        <v>0</v>
      </c>
      <c r="N1014" s="14" t="b">
        <v>0</v>
      </c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</row>
    <row r="1015">
      <c r="A1015" s="123"/>
      <c r="B1015" s="124"/>
      <c r="C1015" s="17"/>
      <c r="D1015" s="25"/>
      <c r="E1015" s="25"/>
      <c r="F1015" s="19"/>
      <c r="G1015" s="31"/>
      <c r="H1015" s="31"/>
      <c r="I1015" s="25"/>
      <c r="J1015" s="10"/>
      <c r="K1015" s="10"/>
      <c r="L1015" s="14"/>
      <c r="M1015" s="14" t="b">
        <v>0</v>
      </c>
      <c r="N1015" s="14" t="b">
        <v>0</v>
      </c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</row>
    <row r="1016">
      <c r="A1016" s="123"/>
      <c r="B1016" s="124"/>
      <c r="C1016" s="17"/>
      <c r="D1016" s="25"/>
      <c r="E1016" s="25"/>
      <c r="F1016" s="19"/>
      <c r="G1016" s="31"/>
      <c r="H1016" s="31"/>
      <c r="I1016" s="25"/>
      <c r="J1016" s="10"/>
      <c r="K1016" s="10"/>
      <c r="L1016" s="14"/>
      <c r="M1016" s="14" t="b">
        <v>0</v>
      </c>
      <c r="N1016" s="14" t="b">
        <v>0</v>
      </c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</row>
    <row r="1017">
      <c r="A1017" s="123"/>
      <c r="B1017" s="124"/>
      <c r="C1017" s="17"/>
      <c r="D1017" s="25"/>
      <c r="E1017" s="25"/>
      <c r="F1017" s="19"/>
      <c r="G1017" s="31"/>
      <c r="H1017" s="31"/>
      <c r="I1017" s="25"/>
      <c r="J1017" s="10"/>
      <c r="K1017" s="10"/>
      <c r="L1017" s="14"/>
      <c r="M1017" s="14" t="b">
        <v>0</v>
      </c>
      <c r="N1017" s="14" t="b">
        <v>0</v>
      </c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</row>
    <row r="1018">
      <c r="A1018" s="123"/>
      <c r="B1018" s="124"/>
      <c r="C1018" s="17"/>
      <c r="D1018" s="25"/>
      <c r="E1018" s="25"/>
      <c r="F1018" s="19"/>
      <c r="G1018" s="31"/>
      <c r="H1018" s="31"/>
      <c r="I1018" s="25"/>
      <c r="J1018" s="10"/>
      <c r="K1018" s="10"/>
      <c r="L1018" s="14"/>
      <c r="M1018" s="14" t="b">
        <v>0</v>
      </c>
      <c r="N1018" s="14" t="b">
        <v>0</v>
      </c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</row>
    <row r="1019">
      <c r="A1019" s="123"/>
      <c r="B1019" s="124"/>
      <c r="C1019" s="17"/>
      <c r="D1019" s="25"/>
      <c r="E1019" s="25"/>
      <c r="F1019" s="19"/>
      <c r="G1019" s="31"/>
      <c r="H1019" s="31"/>
      <c r="I1019" s="25"/>
      <c r="J1019" s="10"/>
      <c r="K1019" s="10"/>
      <c r="L1019" s="14"/>
      <c r="M1019" s="14" t="b">
        <v>0</v>
      </c>
      <c r="N1019" s="14" t="b">
        <v>0</v>
      </c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</row>
    <row r="1020">
      <c r="A1020" s="123"/>
      <c r="B1020" s="124"/>
      <c r="C1020" s="17"/>
      <c r="D1020" s="25"/>
      <c r="E1020" s="25"/>
      <c r="F1020" s="19"/>
      <c r="G1020" s="31"/>
      <c r="H1020" s="31"/>
      <c r="I1020" s="25"/>
      <c r="J1020" s="10"/>
      <c r="K1020" s="10"/>
      <c r="L1020" s="14"/>
      <c r="M1020" s="14" t="b">
        <v>0</v>
      </c>
      <c r="N1020" s="14" t="b">
        <v>0</v>
      </c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</row>
    <row r="1021">
      <c r="A1021" s="123"/>
      <c r="B1021" s="124"/>
      <c r="C1021" s="17"/>
      <c r="D1021" s="25"/>
      <c r="E1021" s="25"/>
      <c r="F1021" s="19"/>
      <c r="G1021" s="31"/>
      <c r="H1021" s="31"/>
      <c r="I1021" s="25"/>
      <c r="J1021" s="10"/>
      <c r="K1021" s="10"/>
      <c r="L1021" s="14"/>
      <c r="M1021" s="14" t="b">
        <v>0</v>
      </c>
      <c r="N1021" s="14" t="b">
        <v>0</v>
      </c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</row>
    <row r="1022">
      <c r="A1022" s="123"/>
      <c r="B1022" s="124"/>
      <c r="C1022" s="17"/>
      <c r="D1022" s="25"/>
      <c r="E1022" s="25"/>
      <c r="F1022" s="19"/>
      <c r="G1022" s="31"/>
      <c r="H1022" s="31"/>
      <c r="I1022" s="25"/>
      <c r="J1022" s="10"/>
      <c r="K1022" s="10"/>
      <c r="L1022" s="14"/>
      <c r="M1022" s="14" t="b">
        <v>0</v>
      </c>
      <c r="N1022" s="14" t="b">
        <v>0</v>
      </c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</row>
    <row r="1023">
      <c r="A1023" s="123"/>
      <c r="B1023" s="124"/>
      <c r="C1023" s="17"/>
      <c r="D1023" s="25"/>
      <c r="E1023" s="25"/>
      <c r="F1023" s="19"/>
      <c r="G1023" s="31"/>
      <c r="H1023" s="31"/>
      <c r="I1023" s="25"/>
      <c r="J1023" s="10"/>
      <c r="K1023" s="10"/>
      <c r="L1023" s="14"/>
      <c r="M1023" s="14" t="b">
        <v>0</v>
      </c>
      <c r="N1023" s="14" t="b">
        <v>0</v>
      </c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</row>
    <row r="1024">
      <c r="A1024" s="123"/>
      <c r="B1024" s="124"/>
      <c r="C1024" s="17"/>
      <c r="D1024" s="25"/>
      <c r="E1024" s="25"/>
      <c r="F1024" s="19"/>
      <c r="G1024" s="31"/>
      <c r="H1024" s="31"/>
      <c r="I1024" s="25"/>
      <c r="J1024" s="10"/>
      <c r="K1024" s="10"/>
      <c r="L1024" s="14"/>
      <c r="M1024" s="14" t="b">
        <v>0</v>
      </c>
      <c r="N1024" s="14" t="b">
        <v>0</v>
      </c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</row>
    <row r="1025">
      <c r="A1025" s="123"/>
      <c r="B1025" s="124"/>
      <c r="C1025" s="17"/>
      <c r="D1025" s="25"/>
      <c r="E1025" s="25"/>
      <c r="F1025" s="19"/>
      <c r="G1025" s="31"/>
      <c r="H1025" s="31"/>
      <c r="I1025" s="25"/>
      <c r="J1025" s="10"/>
      <c r="K1025" s="10"/>
      <c r="L1025" s="14"/>
      <c r="M1025" s="14" t="b">
        <v>0</v>
      </c>
      <c r="N1025" s="14" t="b">
        <v>0</v>
      </c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</row>
    <row r="1026">
      <c r="A1026" s="123"/>
      <c r="B1026" s="124"/>
      <c r="C1026" s="17"/>
      <c r="D1026" s="25"/>
      <c r="E1026" s="25"/>
      <c r="F1026" s="19"/>
      <c r="G1026" s="31"/>
      <c r="H1026" s="31"/>
      <c r="I1026" s="25"/>
      <c r="J1026" s="10"/>
      <c r="K1026" s="10"/>
      <c r="L1026" s="14"/>
      <c r="M1026" s="14" t="b">
        <v>0</v>
      </c>
      <c r="N1026" s="14" t="b">
        <v>0</v>
      </c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</row>
    <row r="1027">
      <c r="A1027" s="123"/>
      <c r="B1027" s="124"/>
      <c r="C1027" s="17"/>
      <c r="D1027" s="25"/>
      <c r="E1027" s="25"/>
      <c r="F1027" s="19"/>
      <c r="G1027" s="31"/>
      <c r="H1027" s="31"/>
      <c r="I1027" s="25"/>
      <c r="J1027" s="10"/>
      <c r="K1027" s="10"/>
      <c r="L1027" s="14"/>
      <c r="M1027" s="14" t="b">
        <v>0</v>
      </c>
      <c r="N1027" s="14" t="b">
        <v>0</v>
      </c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</row>
    <row r="1028">
      <c r="A1028" s="123"/>
      <c r="B1028" s="124"/>
      <c r="C1028" s="17"/>
      <c r="D1028" s="25"/>
      <c r="E1028" s="25"/>
      <c r="F1028" s="19"/>
      <c r="G1028" s="31"/>
      <c r="H1028" s="31"/>
      <c r="I1028" s="25"/>
      <c r="J1028" s="10"/>
      <c r="K1028" s="10"/>
      <c r="L1028" s="14"/>
      <c r="M1028" s="14" t="b">
        <v>0</v>
      </c>
      <c r="N1028" s="14" t="b">
        <v>0</v>
      </c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</row>
    <row r="1029">
      <c r="A1029" s="123"/>
      <c r="B1029" s="124"/>
      <c r="C1029" s="17"/>
      <c r="D1029" s="25"/>
      <c r="E1029" s="25"/>
      <c r="F1029" s="19"/>
      <c r="G1029" s="31"/>
      <c r="H1029" s="31"/>
      <c r="I1029" s="25"/>
      <c r="J1029" s="10"/>
      <c r="K1029" s="10"/>
      <c r="L1029" s="14"/>
      <c r="M1029" s="14" t="b">
        <v>0</v>
      </c>
      <c r="N1029" s="14" t="b">
        <v>0</v>
      </c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</row>
    <row r="1030">
      <c r="A1030" s="123"/>
      <c r="B1030" s="124"/>
      <c r="C1030" s="17"/>
      <c r="D1030" s="25"/>
      <c r="E1030" s="25"/>
      <c r="F1030" s="19"/>
      <c r="G1030" s="31"/>
      <c r="H1030" s="31"/>
      <c r="I1030" s="25"/>
      <c r="J1030" s="10"/>
      <c r="K1030" s="10"/>
      <c r="L1030" s="14"/>
      <c r="M1030" s="14" t="b">
        <v>0</v>
      </c>
      <c r="N1030" s="14" t="b">
        <v>0</v>
      </c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</row>
    <row r="1031">
      <c r="A1031" s="123"/>
      <c r="B1031" s="124"/>
      <c r="C1031" s="17"/>
      <c r="D1031" s="25"/>
      <c r="E1031" s="25"/>
      <c r="F1031" s="19"/>
      <c r="G1031" s="31"/>
      <c r="H1031" s="31"/>
      <c r="I1031" s="25"/>
      <c r="J1031" s="10"/>
      <c r="K1031" s="10"/>
      <c r="L1031" s="14"/>
      <c r="M1031" s="14" t="b">
        <v>0</v>
      </c>
      <c r="N1031" s="14" t="b">
        <v>0</v>
      </c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</row>
    <row r="1032">
      <c r="A1032" s="123"/>
      <c r="B1032" s="124"/>
      <c r="C1032" s="17"/>
      <c r="D1032" s="25"/>
      <c r="E1032" s="25"/>
      <c r="F1032" s="19"/>
      <c r="G1032" s="31"/>
      <c r="H1032" s="31"/>
      <c r="I1032" s="25"/>
      <c r="J1032" s="10"/>
      <c r="K1032" s="10"/>
      <c r="L1032" s="14"/>
      <c r="M1032" s="14" t="b">
        <v>0</v>
      </c>
      <c r="N1032" s="14" t="b">
        <v>0</v>
      </c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</row>
    <row r="1033">
      <c r="A1033" s="123"/>
      <c r="B1033" s="124"/>
      <c r="C1033" s="17"/>
      <c r="D1033" s="25"/>
      <c r="E1033" s="25"/>
      <c r="F1033" s="19"/>
      <c r="G1033" s="31"/>
      <c r="H1033" s="31"/>
      <c r="I1033" s="25"/>
      <c r="J1033" s="10"/>
      <c r="K1033" s="10"/>
      <c r="L1033" s="14"/>
      <c r="M1033" s="14" t="b">
        <v>0</v>
      </c>
      <c r="N1033" s="14" t="b">
        <v>0</v>
      </c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</row>
    <row r="1034">
      <c r="A1034" s="123"/>
      <c r="B1034" s="124"/>
      <c r="C1034" s="17"/>
      <c r="D1034" s="25"/>
      <c r="E1034" s="25"/>
      <c r="F1034" s="19"/>
      <c r="G1034" s="31"/>
      <c r="H1034" s="31"/>
      <c r="I1034" s="25"/>
      <c r="J1034" s="10"/>
      <c r="K1034" s="10"/>
      <c r="L1034" s="14"/>
      <c r="M1034" s="14" t="b">
        <v>0</v>
      </c>
      <c r="N1034" s="14" t="b">
        <v>0</v>
      </c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</row>
    <row r="1035">
      <c r="A1035" s="123"/>
      <c r="B1035" s="124"/>
      <c r="C1035" s="17"/>
      <c r="D1035" s="25"/>
      <c r="E1035" s="25"/>
      <c r="F1035" s="19"/>
      <c r="G1035" s="31"/>
      <c r="H1035" s="31"/>
      <c r="I1035" s="25"/>
      <c r="J1035" s="10"/>
      <c r="K1035" s="10"/>
      <c r="L1035" s="14"/>
      <c r="M1035" s="14" t="b">
        <v>0</v>
      </c>
      <c r="N1035" s="14" t="b">
        <v>0</v>
      </c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</row>
    <row r="1036">
      <c r="A1036" s="123"/>
      <c r="B1036" s="124"/>
      <c r="C1036" s="17"/>
      <c r="D1036" s="25"/>
      <c r="E1036" s="25"/>
      <c r="F1036" s="19"/>
      <c r="G1036" s="31"/>
      <c r="H1036" s="31"/>
      <c r="I1036" s="25"/>
      <c r="J1036" s="10"/>
      <c r="K1036" s="10"/>
      <c r="L1036" s="14"/>
      <c r="M1036" s="14" t="b">
        <v>0</v>
      </c>
      <c r="N1036" s="14" t="b">
        <v>0</v>
      </c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</row>
    <row r="1037">
      <c r="A1037" s="123"/>
      <c r="B1037" s="124"/>
      <c r="C1037" s="17"/>
      <c r="D1037" s="25"/>
      <c r="E1037" s="25"/>
      <c r="F1037" s="19"/>
      <c r="G1037" s="31"/>
      <c r="H1037" s="31"/>
      <c r="I1037" s="25"/>
      <c r="J1037" s="10"/>
      <c r="K1037" s="10"/>
      <c r="L1037" s="14"/>
      <c r="M1037" s="14" t="b">
        <v>0</v>
      </c>
      <c r="N1037" s="14" t="b">
        <v>0</v>
      </c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</row>
    <row r="1038">
      <c r="A1038" s="123"/>
      <c r="B1038" s="124"/>
      <c r="C1038" s="17"/>
      <c r="D1038" s="25"/>
      <c r="E1038" s="25"/>
      <c r="F1038" s="19"/>
      <c r="G1038" s="31"/>
      <c r="H1038" s="31"/>
      <c r="I1038" s="25"/>
      <c r="J1038" s="10"/>
      <c r="K1038" s="10"/>
      <c r="L1038" s="14"/>
      <c r="M1038" s="14" t="b">
        <v>0</v>
      </c>
      <c r="N1038" s="14" t="b">
        <v>0</v>
      </c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</row>
    <row r="1039">
      <c r="A1039" s="123"/>
      <c r="B1039" s="124"/>
      <c r="C1039" s="17"/>
      <c r="D1039" s="25"/>
      <c r="E1039" s="25"/>
      <c r="F1039" s="19"/>
      <c r="G1039" s="31"/>
      <c r="H1039" s="31"/>
      <c r="I1039" s="25"/>
      <c r="J1039" s="10"/>
      <c r="K1039" s="10"/>
      <c r="L1039" s="14"/>
      <c r="M1039" s="14" t="b">
        <v>0</v>
      </c>
      <c r="N1039" s="14" t="b">
        <v>0</v>
      </c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</row>
    <row r="1040">
      <c r="A1040" s="123"/>
      <c r="B1040" s="124"/>
      <c r="C1040" s="17"/>
      <c r="D1040" s="25"/>
      <c r="E1040" s="25"/>
      <c r="F1040" s="19"/>
      <c r="G1040" s="31"/>
      <c r="H1040" s="31"/>
      <c r="I1040" s="25"/>
      <c r="J1040" s="10"/>
      <c r="K1040" s="10"/>
      <c r="L1040" s="14"/>
      <c r="M1040" s="14" t="b">
        <v>0</v>
      </c>
      <c r="N1040" s="14" t="b">
        <v>0</v>
      </c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</row>
    <row r="1041">
      <c r="A1041" s="123"/>
      <c r="B1041" s="124"/>
      <c r="C1041" s="17"/>
      <c r="D1041" s="25"/>
      <c r="E1041" s="25"/>
      <c r="F1041" s="19"/>
      <c r="G1041" s="31"/>
      <c r="H1041" s="31"/>
      <c r="I1041" s="25"/>
      <c r="J1041" s="10"/>
      <c r="K1041" s="10"/>
      <c r="L1041" s="14"/>
      <c r="M1041" s="14" t="b">
        <v>0</v>
      </c>
      <c r="N1041" s="14" t="b">
        <v>0</v>
      </c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</row>
    <row r="1042">
      <c r="A1042" s="123"/>
      <c r="B1042" s="124"/>
      <c r="C1042" s="17"/>
      <c r="D1042" s="25"/>
      <c r="E1042" s="25"/>
      <c r="F1042" s="19"/>
      <c r="G1042" s="31"/>
      <c r="H1042" s="31"/>
      <c r="I1042" s="25"/>
      <c r="J1042" s="10"/>
      <c r="K1042" s="10"/>
      <c r="L1042" s="14"/>
      <c r="M1042" s="14" t="b">
        <v>0</v>
      </c>
      <c r="N1042" s="14" t="b">
        <v>0</v>
      </c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</row>
    <row r="1043">
      <c r="A1043" s="123"/>
      <c r="B1043" s="124"/>
      <c r="C1043" s="17"/>
      <c r="D1043" s="25"/>
      <c r="E1043" s="25"/>
      <c r="F1043" s="19"/>
      <c r="G1043" s="31"/>
      <c r="H1043" s="31"/>
      <c r="I1043" s="25"/>
      <c r="J1043" s="10"/>
      <c r="K1043" s="10"/>
      <c r="L1043" s="14"/>
      <c r="M1043" s="14" t="b">
        <v>0</v>
      </c>
      <c r="N1043" s="14" t="b">
        <v>0</v>
      </c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</row>
    <row r="1044">
      <c r="A1044" s="123"/>
      <c r="B1044" s="124"/>
      <c r="C1044" s="17"/>
      <c r="D1044" s="25"/>
      <c r="E1044" s="25"/>
      <c r="F1044" s="19"/>
      <c r="G1044" s="31"/>
      <c r="H1044" s="31"/>
      <c r="I1044" s="25"/>
      <c r="J1044" s="10"/>
      <c r="K1044" s="10"/>
      <c r="L1044" s="14"/>
      <c r="M1044" s="14" t="b">
        <v>0</v>
      </c>
      <c r="N1044" s="14" t="b">
        <v>0</v>
      </c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</row>
    <row r="1045">
      <c r="A1045" s="123"/>
      <c r="B1045" s="124"/>
      <c r="C1045" s="17"/>
      <c r="D1045" s="25"/>
      <c r="E1045" s="25"/>
      <c r="F1045" s="19"/>
      <c r="G1045" s="31"/>
      <c r="H1045" s="31"/>
      <c r="I1045" s="25"/>
      <c r="J1045" s="10"/>
      <c r="K1045" s="10"/>
      <c r="L1045" s="14"/>
      <c r="M1045" s="14" t="b">
        <v>0</v>
      </c>
      <c r="N1045" s="14" t="b">
        <v>0</v>
      </c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</row>
    <row r="1046">
      <c r="A1046" s="123"/>
      <c r="B1046" s="124"/>
      <c r="C1046" s="17"/>
      <c r="D1046" s="25"/>
      <c r="E1046" s="25"/>
      <c r="F1046" s="19"/>
      <c r="G1046" s="31"/>
      <c r="H1046" s="31"/>
      <c r="I1046" s="25"/>
      <c r="J1046" s="10"/>
      <c r="K1046" s="10"/>
      <c r="L1046" s="14"/>
      <c r="M1046" s="14" t="b">
        <v>0</v>
      </c>
      <c r="N1046" s="14" t="b">
        <v>0</v>
      </c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</row>
    <row r="1047">
      <c r="A1047" s="123"/>
      <c r="B1047" s="124"/>
      <c r="C1047" s="17"/>
      <c r="D1047" s="25"/>
      <c r="E1047" s="25"/>
      <c r="F1047" s="19"/>
      <c r="G1047" s="31"/>
      <c r="H1047" s="31"/>
      <c r="I1047" s="25"/>
      <c r="J1047" s="10"/>
      <c r="K1047" s="10"/>
      <c r="L1047" s="14"/>
      <c r="M1047" s="14" t="b">
        <v>0</v>
      </c>
      <c r="N1047" s="14" t="b">
        <v>0</v>
      </c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</row>
    <row r="1048">
      <c r="A1048" s="123"/>
      <c r="B1048" s="124"/>
      <c r="C1048" s="17"/>
      <c r="D1048" s="25"/>
      <c r="E1048" s="25"/>
      <c r="F1048" s="19"/>
      <c r="G1048" s="31"/>
      <c r="H1048" s="31"/>
      <c r="I1048" s="25"/>
      <c r="J1048" s="10"/>
      <c r="K1048" s="10"/>
      <c r="L1048" s="14"/>
      <c r="M1048" s="14" t="b">
        <v>0</v>
      </c>
      <c r="N1048" s="14" t="b">
        <v>0</v>
      </c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</row>
    <row r="1049">
      <c r="A1049" s="123"/>
      <c r="B1049" s="124"/>
      <c r="C1049" s="17"/>
      <c r="D1049" s="25"/>
      <c r="E1049" s="25"/>
      <c r="F1049" s="19"/>
      <c r="G1049" s="31"/>
      <c r="H1049" s="31"/>
      <c r="I1049" s="25"/>
      <c r="J1049" s="10"/>
      <c r="K1049" s="10"/>
      <c r="L1049" s="14"/>
      <c r="M1049" s="14" t="b">
        <v>0</v>
      </c>
      <c r="N1049" s="14" t="b">
        <v>0</v>
      </c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</row>
    <row r="1050">
      <c r="A1050" s="123"/>
      <c r="B1050" s="124"/>
      <c r="C1050" s="17"/>
      <c r="D1050" s="25"/>
      <c r="E1050" s="25"/>
      <c r="F1050" s="19"/>
      <c r="G1050" s="31"/>
      <c r="H1050" s="31"/>
      <c r="I1050" s="25"/>
      <c r="J1050" s="10"/>
      <c r="K1050" s="10"/>
      <c r="L1050" s="14"/>
      <c r="M1050" s="14" t="b">
        <v>0</v>
      </c>
      <c r="N1050" s="14" t="b">
        <v>0</v>
      </c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</row>
    <row r="1051">
      <c r="A1051" s="123"/>
      <c r="B1051" s="124"/>
      <c r="C1051" s="17"/>
      <c r="D1051" s="25"/>
      <c r="E1051" s="25"/>
      <c r="F1051" s="19"/>
      <c r="G1051" s="31"/>
      <c r="H1051" s="31"/>
      <c r="I1051" s="25"/>
      <c r="J1051" s="10"/>
      <c r="K1051" s="10"/>
      <c r="L1051" s="14"/>
      <c r="M1051" s="14" t="b">
        <v>0</v>
      </c>
      <c r="N1051" s="14" t="b">
        <v>0</v>
      </c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</row>
    <row r="1052">
      <c r="A1052" s="123"/>
      <c r="B1052" s="124"/>
      <c r="C1052" s="17"/>
      <c r="D1052" s="25"/>
      <c r="E1052" s="25"/>
      <c r="F1052" s="19"/>
      <c r="G1052" s="31"/>
      <c r="H1052" s="31"/>
      <c r="I1052" s="25"/>
      <c r="J1052" s="10"/>
      <c r="K1052" s="10"/>
      <c r="L1052" s="14"/>
      <c r="M1052" s="14" t="b">
        <v>0</v>
      </c>
      <c r="N1052" s="14" t="b">
        <v>0</v>
      </c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</row>
    <row r="1053">
      <c r="A1053" s="123"/>
      <c r="B1053" s="124"/>
      <c r="C1053" s="17"/>
      <c r="D1053" s="25"/>
      <c r="E1053" s="25"/>
      <c r="F1053" s="19"/>
      <c r="G1053" s="31"/>
      <c r="H1053" s="31"/>
      <c r="I1053" s="25"/>
      <c r="J1053" s="10"/>
      <c r="K1053" s="10"/>
      <c r="L1053" s="14"/>
      <c r="M1053" s="14" t="b">
        <v>0</v>
      </c>
      <c r="N1053" s="14" t="b">
        <v>0</v>
      </c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</row>
    <row r="1054">
      <c r="A1054" s="123"/>
      <c r="B1054" s="124"/>
      <c r="C1054" s="17"/>
      <c r="D1054" s="25"/>
      <c r="E1054" s="25"/>
      <c r="F1054" s="19"/>
      <c r="G1054" s="31"/>
      <c r="H1054" s="31"/>
      <c r="I1054" s="25"/>
      <c r="J1054" s="10"/>
      <c r="K1054" s="10"/>
      <c r="L1054" s="14"/>
      <c r="M1054" s="14" t="b">
        <v>0</v>
      </c>
      <c r="N1054" s="14" t="b">
        <v>0</v>
      </c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</row>
    <row r="1055">
      <c r="A1055" s="123"/>
      <c r="B1055" s="124"/>
      <c r="C1055" s="17"/>
      <c r="D1055" s="25"/>
      <c r="E1055" s="25"/>
      <c r="F1055" s="19"/>
      <c r="G1055" s="31"/>
      <c r="H1055" s="31"/>
      <c r="I1055" s="25"/>
      <c r="J1055" s="10"/>
      <c r="K1055" s="10"/>
      <c r="L1055" s="14"/>
      <c r="M1055" s="14" t="b">
        <v>0</v>
      </c>
      <c r="N1055" s="14" t="b">
        <v>0</v>
      </c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</row>
    <row r="1056">
      <c r="A1056" s="123"/>
      <c r="B1056" s="124"/>
      <c r="C1056" s="17"/>
      <c r="D1056" s="25"/>
      <c r="E1056" s="25"/>
      <c r="F1056" s="19"/>
      <c r="G1056" s="31"/>
      <c r="H1056" s="31"/>
      <c r="I1056" s="25"/>
      <c r="J1056" s="10"/>
      <c r="K1056" s="10"/>
      <c r="L1056" s="14"/>
      <c r="M1056" s="14" t="b">
        <v>0</v>
      </c>
      <c r="N1056" s="14" t="b">
        <v>0</v>
      </c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</row>
    <row r="1057">
      <c r="A1057" s="123"/>
      <c r="B1057" s="124"/>
      <c r="C1057" s="17"/>
      <c r="D1057" s="25"/>
      <c r="E1057" s="25"/>
      <c r="F1057" s="19"/>
      <c r="G1057" s="31"/>
      <c r="H1057" s="31"/>
      <c r="I1057" s="25"/>
      <c r="J1057" s="10"/>
      <c r="K1057" s="10"/>
      <c r="L1057" s="14"/>
      <c r="M1057" s="14" t="b">
        <v>0</v>
      </c>
      <c r="N1057" s="14" t="b">
        <v>0</v>
      </c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</row>
    <row r="1058">
      <c r="A1058" s="123"/>
      <c r="B1058" s="124"/>
      <c r="C1058" s="17"/>
      <c r="D1058" s="25"/>
      <c r="E1058" s="25"/>
      <c r="F1058" s="19"/>
      <c r="G1058" s="31"/>
      <c r="H1058" s="31"/>
      <c r="I1058" s="25"/>
      <c r="J1058" s="10"/>
      <c r="K1058" s="10"/>
      <c r="L1058" s="14"/>
      <c r="M1058" s="14" t="b">
        <v>0</v>
      </c>
      <c r="N1058" s="14" t="b">
        <v>0</v>
      </c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</row>
    <row r="1059">
      <c r="A1059" s="123"/>
      <c r="B1059" s="124"/>
      <c r="C1059" s="17"/>
      <c r="D1059" s="25"/>
      <c r="E1059" s="25"/>
      <c r="F1059" s="19"/>
      <c r="G1059" s="31"/>
      <c r="H1059" s="31"/>
      <c r="I1059" s="25"/>
      <c r="J1059" s="10"/>
      <c r="K1059" s="10"/>
      <c r="L1059" s="14"/>
      <c r="M1059" s="14" t="b">
        <v>0</v>
      </c>
      <c r="N1059" s="14" t="b">
        <v>0</v>
      </c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</row>
    <row r="1060">
      <c r="A1060" s="123"/>
      <c r="B1060" s="124"/>
      <c r="C1060" s="17"/>
      <c r="D1060" s="25"/>
      <c r="E1060" s="25"/>
      <c r="F1060" s="19"/>
      <c r="G1060" s="31"/>
      <c r="H1060" s="31"/>
      <c r="I1060" s="25"/>
      <c r="J1060" s="10"/>
      <c r="K1060" s="10"/>
      <c r="L1060" s="14"/>
      <c r="M1060" s="14" t="b">
        <v>0</v>
      </c>
      <c r="N1060" s="14" t="b">
        <v>0</v>
      </c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</row>
    <row r="1061">
      <c r="A1061" s="123"/>
      <c r="B1061" s="124"/>
      <c r="C1061" s="17"/>
      <c r="D1061" s="25"/>
      <c r="E1061" s="25"/>
      <c r="F1061" s="19"/>
      <c r="G1061" s="31"/>
      <c r="H1061" s="31"/>
      <c r="I1061" s="25"/>
      <c r="J1061" s="10"/>
      <c r="K1061" s="10"/>
      <c r="L1061" s="14"/>
      <c r="M1061" s="14" t="b">
        <v>0</v>
      </c>
      <c r="N1061" s="14" t="b">
        <v>0</v>
      </c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</row>
    <row r="1062">
      <c r="A1062" s="123"/>
      <c r="B1062" s="124"/>
      <c r="C1062" s="17"/>
      <c r="D1062" s="25"/>
      <c r="E1062" s="25"/>
      <c r="F1062" s="19"/>
      <c r="G1062" s="31"/>
      <c r="H1062" s="31"/>
      <c r="I1062" s="25"/>
      <c r="J1062" s="10"/>
      <c r="K1062" s="10"/>
      <c r="L1062" s="14"/>
      <c r="M1062" s="14" t="b">
        <v>0</v>
      </c>
      <c r="N1062" s="14" t="b">
        <v>0</v>
      </c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</row>
    <row r="1063">
      <c r="A1063" s="123"/>
      <c r="B1063" s="124"/>
      <c r="C1063" s="17"/>
      <c r="D1063" s="25"/>
      <c r="E1063" s="25"/>
      <c r="F1063" s="19"/>
      <c r="G1063" s="31"/>
      <c r="H1063" s="31"/>
      <c r="I1063" s="25"/>
      <c r="J1063" s="10"/>
      <c r="K1063" s="10"/>
      <c r="L1063" s="14"/>
      <c r="M1063" s="14" t="b">
        <v>0</v>
      </c>
      <c r="N1063" s="14" t="b">
        <v>0</v>
      </c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</row>
    <row r="1064">
      <c r="A1064" s="123"/>
      <c r="B1064" s="124"/>
      <c r="C1064" s="17"/>
      <c r="D1064" s="25"/>
      <c r="E1064" s="25"/>
      <c r="F1064" s="19"/>
      <c r="G1064" s="31"/>
      <c r="H1064" s="31"/>
      <c r="I1064" s="25"/>
      <c r="J1064" s="10"/>
      <c r="K1064" s="10"/>
      <c r="L1064" s="14"/>
      <c r="M1064" s="14" t="b">
        <v>0</v>
      </c>
      <c r="N1064" s="14" t="b">
        <v>0</v>
      </c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</row>
    <row r="1065">
      <c r="A1065" s="123"/>
      <c r="B1065" s="124"/>
      <c r="C1065" s="17"/>
      <c r="D1065" s="25"/>
      <c r="E1065" s="25"/>
      <c r="F1065" s="19"/>
      <c r="G1065" s="31"/>
      <c r="H1065" s="31"/>
      <c r="I1065" s="25"/>
      <c r="J1065" s="10"/>
      <c r="K1065" s="10"/>
      <c r="L1065" s="14"/>
      <c r="M1065" s="14" t="b">
        <v>0</v>
      </c>
      <c r="N1065" s="14" t="b">
        <v>0</v>
      </c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</row>
    <row r="1066">
      <c r="A1066" s="123"/>
      <c r="B1066" s="124"/>
      <c r="C1066" s="17"/>
      <c r="D1066" s="25"/>
      <c r="E1066" s="25"/>
      <c r="F1066" s="19"/>
      <c r="G1066" s="31"/>
      <c r="H1066" s="31"/>
      <c r="I1066" s="25"/>
      <c r="J1066" s="10"/>
      <c r="K1066" s="10"/>
      <c r="L1066" s="14"/>
      <c r="M1066" s="14" t="b">
        <v>0</v>
      </c>
      <c r="N1066" s="14" t="b">
        <v>0</v>
      </c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</row>
    <row r="1067">
      <c r="A1067" s="123"/>
      <c r="B1067" s="124"/>
      <c r="C1067" s="17"/>
      <c r="D1067" s="25"/>
      <c r="E1067" s="25"/>
      <c r="F1067" s="19"/>
      <c r="G1067" s="31"/>
      <c r="H1067" s="31"/>
      <c r="I1067" s="25"/>
      <c r="J1067" s="10"/>
      <c r="K1067" s="10"/>
      <c r="L1067" s="14"/>
      <c r="M1067" s="14" t="b">
        <v>0</v>
      </c>
      <c r="N1067" s="14" t="b">
        <v>0</v>
      </c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</row>
    <row r="1068">
      <c r="A1068" s="123"/>
      <c r="B1068" s="124"/>
      <c r="C1068" s="17"/>
      <c r="D1068" s="25"/>
      <c r="E1068" s="25"/>
      <c r="F1068" s="19"/>
      <c r="G1068" s="31"/>
      <c r="H1068" s="31"/>
      <c r="I1068" s="25"/>
      <c r="J1068" s="10"/>
      <c r="K1068" s="10"/>
      <c r="L1068" s="14"/>
      <c r="M1068" s="14" t="b">
        <v>0</v>
      </c>
      <c r="N1068" s="14" t="b">
        <v>0</v>
      </c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</row>
    <row r="1069">
      <c r="A1069" s="123"/>
      <c r="B1069" s="124"/>
      <c r="C1069" s="17"/>
      <c r="D1069" s="25"/>
      <c r="E1069" s="25"/>
      <c r="F1069" s="19"/>
      <c r="G1069" s="31"/>
      <c r="H1069" s="31"/>
      <c r="I1069" s="25"/>
      <c r="J1069" s="10"/>
      <c r="K1069" s="10"/>
      <c r="L1069" s="14"/>
      <c r="M1069" s="14" t="b">
        <v>0</v>
      </c>
      <c r="N1069" s="14" t="b">
        <v>0</v>
      </c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</row>
    <row r="1070">
      <c r="A1070" s="123"/>
      <c r="B1070" s="124"/>
      <c r="C1070" s="17"/>
      <c r="D1070" s="25"/>
      <c r="E1070" s="25"/>
      <c r="F1070" s="19"/>
      <c r="G1070" s="31"/>
      <c r="H1070" s="31"/>
      <c r="I1070" s="25"/>
      <c r="J1070" s="10"/>
      <c r="K1070" s="10"/>
      <c r="L1070" s="14"/>
      <c r="M1070" s="14" t="b">
        <v>0</v>
      </c>
      <c r="N1070" s="14" t="b">
        <v>0</v>
      </c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</row>
    <row r="1071">
      <c r="A1071" s="123"/>
      <c r="B1071" s="124"/>
      <c r="C1071" s="17"/>
      <c r="D1071" s="25"/>
      <c r="E1071" s="25"/>
      <c r="F1071" s="19"/>
      <c r="G1071" s="31"/>
      <c r="H1071" s="31"/>
      <c r="I1071" s="25"/>
      <c r="J1071" s="10"/>
      <c r="K1071" s="10"/>
      <c r="L1071" s="14"/>
      <c r="M1071" s="14" t="b">
        <v>0</v>
      </c>
      <c r="N1071" s="14" t="b">
        <v>0</v>
      </c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</row>
    <row r="1072">
      <c r="A1072" s="123"/>
      <c r="B1072" s="124"/>
      <c r="C1072" s="17"/>
      <c r="D1072" s="25"/>
      <c r="E1072" s="25"/>
      <c r="F1072" s="19"/>
      <c r="G1072" s="31"/>
      <c r="H1072" s="31"/>
      <c r="I1072" s="25"/>
      <c r="J1072" s="10"/>
      <c r="K1072" s="10"/>
      <c r="L1072" s="14"/>
      <c r="M1072" s="14" t="b">
        <v>0</v>
      </c>
      <c r="N1072" s="14" t="b">
        <v>0</v>
      </c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</row>
    <row r="1073">
      <c r="A1073" s="123"/>
      <c r="B1073" s="124"/>
      <c r="C1073" s="17"/>
      <c r="D1073" s="25"/>
      <c r="E1073" s="25"/>
      <c r="F1073" s="19"/>
      <c r="G1073" s="31"/>
      <c r="H1073" s="31"/>
      <c r="I1073" s="25"/>
      <c r="J1073" s="10"/>
      <c r="K1073" s="10"/>
      <c r="L1073" s="14"/>
      <c r="M1073" s="14" t="b">
        <v>0</v>
      </c>
      <c r="N1073" s="14" t="b">
        <v>0</v>
      </c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</row>
    <row r="1074">
      <c r="A1074" s="123"/>
      <c r="B1074" s="124"/>
      <c r="C1074" s="17"/>
      <c r="D1074" s="25"/>
      <c r="E1074" s="25"/>
      <c r="F1074" s="19"/>
      <c r="G1074" s="31"/>
      <c r="H1074" s="31"/>
      <c r="I1074" s="25"/>
      <c r="J1074" s="10"/>
      <c r="K1074" s="10"/>
      <c r="L1074" s="14"/>
      <c r="M1074" s="14" t="b">
        <v>0</v>
      </c>
      <c r="N1074" s="14" t="b">
        <v>0</v>
      </c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</row>
    <row r="1075">
      <c r="A1075" s="123"/>
      <c r="B1075" s="124"/>
      <c r="C1075" s="17"/>
      <c r="D1075" s="25"/>
      <c r="E1075" s="25"/>
      <c r="F1075" s="19"/>
      <c r="G1075" s="31"/>
      <c r="H1075" s="31"/>
      <c r="I1075" s="25"/>
      <c r="J1075" s="10"/>
      <c r="K1075" s="10"/>
      <c r="L1075" s="14"/>
      <c r="M1075" s="14" t="b">
        <v>0</v>
      </c>
      <c r="N1075" s="14" t="b">
        <v>0</v>
      </c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</row>
    <row r="1076">
      <c r="A1076" s="123"/>
      <c r="B1076" s="124"/>
      <c r="C1076" s="17"/>
      <c r="D1076" s="25"/>
      <c r="E1076" s="25"/>
      <c r="F1076" s="19"/>
      <c r="G1076" s="31"/>
      <c r="H1076" s="31"/>
      <c r="I1076" s="25"/>
      <c r="J1076" s="10"/>
      <c r="K1076" s="10"/>
      <c r="L1076" s="14"/>
      <c r="M1076" s="14" t="b">
        <v>0</v>
      </c>
      <c r="N1076" s="14" t="b">
        <v>0</v>
      </c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</row>
    <row r="1077">
      <c r="A1077" s="123"/>
      <c r="B1077" s="124"/>
      <c r="C1077" s="17"/>
      <c r="D1077" s="25"/>
      <c r="E1077" s="25"/>
      <c r="F1077" s="19"/>
      <c r="G1077" s="31"/>
      <c r="H1077" s="31"/>
      <c r="I1077" s="25"/>
      <c r="J1077" s="10"/>
      <c r="K1077" s="10"/>
      <c r="L1077" s="14"/>
      <c r="M1077" s="14" t="b">
        <v>0</v>
      </c>
      <c r="N1077" s="14" t="b">
        <v>0</v>
      </c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</row>
    <row r="1078">
      <c r="A1078" s="123"/>
      <c r="B1078" s="124"/>
      <c r="C1078" s="17"/>
      <c r="D1078" s="25"/>
      <c r="E1078" s="25"/>
      <c r="F1078" s="19"/>
      <c r="G1078" s="31"/>
      <c r="H1078" s="31"/>
      <c r="I1078" s="25"/>
      <c r="J1078" s="10"/>
      <c r="K1078" s="10"/>
      <c r="L1078" s="14"/>
      <c r="M1078" s="14" t="b">
        <v>0</v>
      </c>
      <c r="N1078" s="14" t="b">
        <v>0</v>
      </c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</row>
    <row r="1079">
      <c r="A1079" s="123"/>
      <c r="B1079" s="124"/>
      <c r="C1079" s="17"/>
      <c r="D1079" s="25"/>
      <c r="E1079" s="25"/>
      <c r="F1079" s="19"/>
      <c r="G1079" s="31"/>
      <c r="H1079" s="31"/>
      <c r="I1079" s="25"/>
      <c r="J1079" s="10"/>
      <c r="K1079" s="10"/>
      <c r="L1079" s="14"/>
      <c r="M1079" s="14" t="b">
        <v>0</v>
      </c>
      <c r="N1079" s="14" t="b">
        <v>0</v>
      </c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</row>
    <row r="1080">
      <c r="A1080" s="123"/>
      <c r="B1080" s="124"/>
      <c r="C1080" s="17"/>
      <c r="D1080" s="25"/>
      <c r="E1080" s="25"/>
      <c r="F1080" s="19"/>
      <c r="G1080" s="31"/>
      <c r="H1080" s="31"/>
      <c r="I1080" s="25"/>
      <c r="J1080" s="10"/>
      <c r="K1080" s="10"/>
      <c r="L1080" s="14"/>
      <c r="M1080" s="14" t="b">
        <v>0</v>
      </c>
      <c r="N1080" s="14" t="b">
        <v>0</v>
      </c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</row>
    <row r="1081">
      <c r="A1081" s="123"/>
      <c r="B1081" s="124"/>
      <c r="C1081" s="17"/>
      <c r="D1081" s="25"/>
      <c r="E1081" s="25"/>
      <c r="F1081" s="19"/>
      <c r="G1081" s="31"/>
      <c r="H1081" s="31"/>
      <c r="I1081" s="25"/>
      <c r="J1081" s="10"/>
      <c r="K1081" s="10"/>
      <c r="L1081" s="14"/>
      <c r="M1081" s="14" t="b">
        <v>0</v>
      </c>
      <c r="N1081" s="14" t="b">
        <v>0</v>
      </c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</row>
    <row r="1082">
      <c r="A1082" s="123"/>
      <c r="B1082" s="124"/>
      <c r="C1082" s="17"/>
      <c r="D1082" s="25"/>
      <c r="E1082" s="25"/>
      <c r="F1082" s="19"/>
      <c r="G1082" s="31"/>
      <c r="H1082" s="31"/>
      <c r="I1082" s="25"/>
      <c r="J1082" s="10"/>
      <c r="K1082" s="10"/>
      <c r="L1082" s="14"/>
      <c r="M1082" s="14" t="b">
        <v>0</v>
      </c>
      <c r="N1082" s="14" t="b">
        <v>0</v>
      </c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</row>
    <row r="1083">
      <c r="A1083" s="123"/>
      <c r="B1083" s="124"/>
      <c r="C1083" s="17"/>
      <c r="D1083" s="25"/>
      <c r="E1083" s="25"/>
      <c r="F1083" s="19"/>
      <c r="G1083" s="31"/>
      <c r="H1083" s="31"/>
      <c r="I1083" s="25"/>
      <c r="J1083" s="10"/>
      <c r="K1083" s="10"/>
      <c r="L1083" s="14"/>
      <c r="M1083" s="14" t="b">
        <v>0</v>
      </c>
      <c r="N1083" s="14" t="b">
        <v>0</v>
      </c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</row>
    <row r="1084">
      <c r="A1084" s="123"/>
      <c r="B1084" s="124"/>
      <c r="C1084" s="17"/>
      <c r="D1084" s="25"/>
      <c r="E1084" s="25"/>
      <c r="F1084" s="19"/>
      <c r="G1084" s="31"/>
      <c r="H1084" s="31"/>
      <c r="I1084" s="25"/>
      <c r="J1084" s="10"/>
      <c r="K1084" s="10"/>
      <c r="L1084" s="14"/>
      <c r="M1084" s="14" t="b">
        <v>0</v>
      </c>
      <c r="N1084" s="14" t="b">
        <v>0</v>
      </c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</row>
    <row r="1085">
      <c r="A1085" s="123"/>
      <c r="B1085" s="124"/>
      <c r="C1085" s="17"/>
      <c r="D1085" s="25"/>
      <c r="E1085" s="25"/>
      <c r="F1085" s="19"/>
      <c r="G1085" s="31"/>
      <c r="H1085" s="31"/>
      <c r="I1085" s="25"/>
      <c r="J1085" s="10"/>
      <c r="K1085" s="10"/>
      <c r="L1085" s="14"/>
      <c r="M1085" s="14" t="b">
        <v>0</v>
      </c>
      <c r="N1085" s="14" t="b">
        <v>0</v>
      </c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</row>
    <row r="1086">
      <c r="A1086" s="123"/>
      <c r="B1086" s="124"/>
      <c r="C1086" s="17"/>
      <c r="D1086" s="25"/>
      <c r="E1086" s="25"/>
      <c r="F1086" s="19"/>
      <c r="G1086" s="31"/>
      <c r="H1086" s="31"/>
      <c r="I1086" s="25"/>
      <c r="J1086" s="10"/>
      <c r="K1086" s="10"/>
      <c r="L1086" s="14"/>
      <c r="M1086" s="14" t="b">
        <v>0</v>
      </c>
      <c r="N1086" s="14" t="b">
        <v>0</v>
      </c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</row>
    <row r="1087">
      <c r="A1087" s="123"/>
      <c r="B1087" s="124"/>
      <c r="C1087" s="17"/>
      <c r="D1087" s="25"/>
      <c r="E1087" s="25"/>
      <c r="F1087" s="19"/>
      <c r="G1087" s="31"/>
      <c r="H1087" s="31"/>
      <c r="I1087" s="25"/>
      <c r="J1087" s="10"/>
      <c r="K1087" s="10"/>
      <c r="L1087" s="14"/>
      <c r="M1087" s="14" t="b">
        <v>0</v>
      </c>
      <c r="N1087" s="14" t="b">
        <v>0</v>
      </c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</row>
    <row r="1088">
      <c r="A1088" s="123"/>
      <c r="B1088" s="124"/>
      <c r="C1088" s="17"/>
      <c r="D1088" s="25"/>
      <c r="E1088" s="25"/>
      <c r="F1088" s="19"/>
      <c r="G1088" s="31"/>
      <c r="H1088" s="31"/>
      <c r="I1088" s="25"/>
      <c r="J1088" s="10"/>
      <c r="K1088" s="10"/>
      <c r="L1088" s="14"/>
      <c r="M1088" s="14" t="b">
        <v>0</v>
      </c>
      <c r="N1088" s="14" t="b">
        <v>0</v>
      </c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</row>
    <row r="1089">
      <c r="A1089" s="123"/>
      <c r="B1089" s="124"/>
      <c r="C1089" s="17"/>
      <c r="D1089" s="25"/>
      <c r="E1089" s="25"/>
      <c r="F1089" s="19"/>
      <c r="G1089" s="31"/>
      <c r="H1089" s="31"/>
      <c r="I1089" s="25"/>
      <c r="J1089" s="10"/>
      <c r="K1089" s="10"/>
      <c r="L1089" s="14"/>
      <c r="M1089" s="14" t="b">
        <v>0</v>
      </c>
      <c r="N1089" s="14" t="b">
        <v>0</v>
      </c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</row>
    <row r="1090">
      <c r="A1090" s="123"/>
      <c r="B1090" s="124"/>
      <c r="C1090" s="17"/>
      <c r="D1090" s="25"/>
      <c r="E1090" s="25"/>
      <c r="F1090" s="19"/>
      <c r="G1090" s="31"/>
      <c r="H1090" s="31"/>
      <c r="I1090" s="25"/>
      <c r="J1090" s="10"/>
      <c r="K1090" s="10"/>
      <c r="L1090" s="14"/>
      <c r="M1090" s="14" t="b">
        <v>0</v>
      </c>
      <c r="N1090" s="14" t="b">
        <v>0</v>
      </c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</row>
    <row r="1091">
      <c r="A1091" s="123"/>
      <c r="B1091" s="124"/>
      <c r="C1091" s="17"/>
      <c r="D1091" s="25"/>
      <c r="E1091" s="25"/>
      <c r="F1091" s="19"/>
      <c r="G1091" s="31"/>
      <c r="H1091" s="31"/>
      <c r="I1091" s="25"/>
      <c r="J1091" s="10"/>
      <c r="K1091" s="10"/>
      <c r="L1091" s="14"/>
      <c r="M1091" s="14" t="b">
        <v>0</v>
      </c>
      <c r="N1091" s="14" t="b">
        <v>0</v>
      </c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</row>
    <row r="1092">
      <c r="A1092" s="123"/>
      <c r="B1092" s="124"/>
      <c r="C1092" s="17"/>
      <c r="D1092" s="25"/>
      <c r="E1092" s="25"/>
      <c r="F1092" s="19"/>
      <c r="G1092" s="31"/>
      <c r="H1092" s="31"/>
      <c r="I1092" s="25"/>
      <c r="J1092" s="10"/>
      <c r="K1092" s="10"/>
      <c r="L1092" s="14"/>
      <c r="M1092" s="14" t="b">
        <v>0</v>
      </c>
      <c r="N1092" s="14" t="b">
        <v>0</v>
      </c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</row>
    <row r="1093">
      <c r="A1093" s="123"/>
      <c r="B1093" s="124"/>
      <c r="C1093" s="17"/>
      <c r="D1093" s="25"/>
      <c r="E1093" s="25"/>
      <c r="F1093" s="19"/>
      <c r="G1093" s="31"/>
      <c r="H1093" s="31"/>
      <c r="I1093" s="25"/>
      <c r="J1093" s="10"/>
      <c r="K1093" s="10"/>
      <c r="L1093" s="14"/>
      <c r="M1093" s="14" t="b">
        <v>0</v>
      </c>
      <c r="N1093" s="14" t="b">
        <v>0</v>
      </c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</row>
    <row r="1094">
      <c r="A1094" s="123"/>
      <c r="B1094" s="124"/>
      <c r="C1094" s="17"/>
      <c r="D1094" s="25"/>
      <c r="E1094" s="25"/>
      <c r="F1094" s="19"/>
      <c r="G1094" s="31"/>
      <c r="H1094" s="31"/>
      <c r="I1094" s="25"/>
      <c r="J1094" s="10"/>
      <c r="K1094" s="10"/>
      <c r="L1094" s="14"/>
      <c r="M1094" s="14" t="b">
        <v>0</v>
      </c>
      <c r="N1094" s="14" t="b">
        <v>0</v>
      </c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</row>
    <row r="1095">
      <c r="A1095" s="123"/>
      <c r="B1095" s="124"/>
      <c r="C1095" s="17"/>
      <c r="D1095" s="25"/>
      <c r="E1095" s="25"/>
      <c r="F1095" s="19"/>
      <c r="G1095" s="31"/>
      <c r="H1095" s="31"/>
      <c r="I1095" s="25"/>
      <c r="J1095" s="10"/>
      <c r="K1095" s="10"/>
      <c r="L1095" s="14"/>
      <c r="M1095" s="14" t="b">
        <v>0</v>
      </c>
      <c r="N1095" s="14" t="b">
        <v>0</v>
      </c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</row>
    <row r="1096">
      <c r="A1096" s="123"/>
      <c r="B1096" s="124"/>
      <c r="C1096" s="17"/>
      <c r="D1096" s="25"/>
      <c r="E1096" s="25"/>
      <c r="F1096" s="19"/>
      <c r="G1096" s="31"/>
      <c r="H1096" s="31"/>
      <c r="I1096" s="25"/>
      <c r="J1096" s="10"/>
      <c r="K1096" s="10"/>
      <c r="L1096" s="14"/>
      <c r="M1096" s="14" t="b">
        <v>0</v>
      </c>
      <c r="N1096" s="14" t="b">
        <v>0</v>
      </c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</row>
    <row r="1097">
      <c r="A1097" s="123"/>
      <c r="B1097" s="124"/>
      <c r="C1097" s="17"/>
      <c r="D1097" s="25"/>
      <c r="E1097" s="25"/>
      <c r="F1097" s="19"/>
      <c r="G1097" s="31"/>
      <c r="H1097" s="31"/>
      <c r="I1097" s="25"/>
      <c r="J1097" s="10"/>
      <c r="K1097" s="10"/>
      <c r="L1097" s="14"/>
      <c r="M1097" s="14" t="b">
        <v>0</v>
      </c>
      <c r="N1097" s="14" t="b">
        <v>0</v>
      </c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</row>
    <row r="1098">
      <c r="A1098" s="123"/>
      <c r="B1098" s="124"/>
      <c r="C1098" s="17"/>
      <c r="D1098" s="25"/>
      <c r="E1098" s="25"/>
      <c r="F1098" s="19"/>
      <c r="G1098" s="31"/>
      <c r="H1098" s="31"/>
      <c r="I1098" s="25"/>
      <c r="J1098" s="10"/>
      <c r="K1098" s="10"/>
      <c r="L1098" s="14"/>
      <c r="M1098" s="14" t="b">
        <v>0</v>
      </c>
      <c r="N1098" s="14" t="b">
        <v>0</v>
      </c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</row>
    <row r="1099">
      <c r="A1099" s="123"/>
      <c r="B1099" s="124"/>
      <c r="C1099" s="17"/>
      <c r="D1099" s="25"/>
      <c r="E1099" s="25"/>
      <c r="F1099" s="19"/>
      <c r="G1099" s="31"/>
      <c r="H1099" s="31"/>
      <c r="I1099" s="25"/>
      <c r="J1099" s="10"/>
      <c r="K1099" s="10"/>
      <c r="L1099" s="14"/>
      <c r="M1099" s="14" t="b">
        <v>0</v>
      </c>
      <c r="N1099" s="14" t="b">
        <v>0</v>
      </c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</row>
    <row r="1100">
      <c r="A1100" s="123"/>
      <c r="B1100" s="124"/>
      <c r="C1100" s="17"/>
      <c r="D1100" s="25"/>
      <c r="E1100" s="25"/>
      <c r="F1100" s="19"/>
      <c r="G1100" s="31"/>
      <c r="H1100" s="31"/>
      <c r="I1100" s="25"/>
      <c r="J1100" s="10"/>
      <c r="K1100" s="10"/>
      <c r="L1100" s="14"/>
      <c r="M1100" s="14" t="b">
        <v>0</v>
      </c>
      <c r="N1100" s="14" t="b">
        <v>0</v>
      </c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</row>
    <row r="1101">
      <c r="A1101" s="123"/>
      <c r="B1101" s="124"/>
      <c r="C1101" s="17"/>
      <c r="D1101" s="25"/>
      <c r="E1101" s="25"/>
      <c r="F1101" s="19"/>
      <c r="G1101" s="31"/>
      <c r="H1101" s="31"/>
      <c r="I1101" s="25"/>
      <c r="J1101" s="10"/>
      <c r="K1101" s="10"/>
      <c r="L1101" s="14"/>
      <c r="M1101" s="14" t="b">
        <v>0</v>
      </c>
      <c r="N1101" s="14" t="b">
        <v>0</v>
      </c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</row>
    <row r="1102">
      <c r="A1102" s="123"/>
      <c r="B1102" s="124"/>
      <c r="C1102" s="17"/>
      <c r="D1102" s="25"/>
      <c r="E1102" s="25"/>
      <c r="F1102" s="19"/>
      <c r="G1102" s="31"/>
      <c r="H1102" s="31"/>
      <c r="I1102" s="25"/>
      <c r="J1102" s="10"/>
      <c r="K1102" s="10"/>
      <c r="L1102" s="14"/>
      <c r="M1102" s="14" t="b">
        <v>0</v>
      </c>
      <c r="N1102" s="14" t="b">
        <v>0</v>
      </c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</row>
    <row r="1103">
      <c r="A1103" s="123"/>
      <c r="B1103" s="124"/>
      <c r="C1103" s="17"/>
      <c r="D1103" s="25"/>
      <c r="E1103" s="25"/>
      <c r="F1103" s="19"/>
      <c r="G1103" s="31"/>
      <c r="H1103" s="31"/>
      <c r="I1103" s="25"/>
      <c r="J1103" s="10"/>
      <c r="K1103" s="10"/>
      <c r="L1103" s="14"/>
      <c r="M1103" s="14" t="b">
        <v>0</v>
      </c>
      <c r="N1103" s="14" t="b">
        <v>0</v>
      </c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</row>
    <row r="1104">
      <c r="A1104" s="123"/>
      <c r="B1104" s="124"/>
      <c r="C1104" s="17"/>
      <c r="D1104" s="25"/>
      <c r="E1104" s="25"/>
      <c r="F1104" s="19"/>
      <c r="G1104" s="31"/>
      <c r="H1104" s="31"/>
      <c r="I1104" s="25"/>
      <c r="J1104" s="10"/>
      <c r="K1104" s="10"/>
      <c r="L1104" s="14"/>
      <c r="M1104" s="14" t="b">
        <v>0</v>
      </c>
      <c r="N1104" s="14" t="b">
        <v>0</v>
      </c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</row>
    <row r="1105">
      <c r="A1105" s="123"/>
      <c r="B1105" s="124"/>
      <c r="C1105" s="17"/>
      <c r="D1105" s="25"/>
      <c r="E1105" s="25"/>
      <c r="F1105" s="19"/>
      <c r="G1105" s="31"/>
      <c r="H1105" s="31"/>
      <c r="I1105" s="25"/>
      <c r="J1105" s="10"/>
      <c r="K1105" s="10"/>
      <c r="L1105" s="14"/>
      <c r="M1105" s="14" t="b">
        <v>0</v>
      </c>
      <c r="N1105" s="14" t="b">
        <v>0</v>
      </c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</row>
    <row r="1106">
      <c r="A1106" s="123"/>
      <c r="B1106" s="124"/>
      <c r="C1106" s="17"/>
      <c r="D1106" s="25"/>
      <c r="E1106" s="25"/>
      <c r="F1106" s="19"/>
      <c r="G1106" s="31"/>
      <c r="H1106" s="31"/>
      <c r="I1106" s="25"/>
      <c r="J1106" s="10"/>
      <c r="K1106" s="10"/>
      <c r="L1106" s="14"/>
      <c r="M1106" s="14" t="b">
        <v>0</v>
      </c>
      <c r="N1106" s="14" t="b">
        <v>0</v>
      </c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</row>
    <row r="1107">
      <c r="A1107" s="123"/>
      <c r="B1107" s="124"/>
      <c r="C1107" s="17"/>
      <c r="D1107" s="25"/>
      <c r="E1107" s="25"/>
      <c r="F1107" s="19"/>
      <c r="G1107" s="31"/>
      <c r="H1107" s="31"/>
      <c r="I1107" s="25"/>
      <c r="J1107" s="10"/>
      <c r="K1107" s="10"/>
      <c r="L1107" s="14"/>
      <c r="M1107" s="14" t="b">
        <v>0</v>
      </c>
      <c r="N1107" s="14" t="b">
        <v>0</v>
      </c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</row>
    <row r="1108">
      <c r="A1108" s="123"/>
      <c r="B1108" s="124"/>
      <c r="C1108" s="17"/>
      <c r="D1108" s="25"/>
      <c r="E1108" s="25"/>
      <c r="F1108" s="19"/>
      <c r="G1108" s="31"/>
      <c r="H1108" s="31"/>
      <c r="I1108" s="25"/>
      <c r="J1108" s="10"/>
      <c r="K1108" s="10"/>
      <c r="L1108" s="14"/>
      <c r="M1108" s="14" t="b">
        <v>0</v>
      </c>
      <c r="N1108" s="14" t="b">
        <v>0</v>
      </c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</row>
    <row r="1109">
      <c r="A1109" s="123"/>
      <c r="B1109" s="124"/>
      <c r="C1109" s="17"/>
      <c r="D1109" s="25"/>
      <c r="E1109" s="25"/>
      <c r="F1109" s="19"/>
      <c r="G1109" s="31"/>
      <c r="H1109" s="31"/>
      <c r="I1109" s="25"/>
      <c r="J1109" s="10"/>
      <c r="K1109" s="10"/>
      <c r="L1109" s="14"/>
      <c r="M1109" s="14" t="b">
        <v>0</v>
      </c>
      <c r="N1109" s="14" t="b">
        <v>0</v>
      </c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</row>
    <row r="1110">
      <c r="A1110" s="123"/>
      <c r="B1110" s="124"/>
      <c r="C1110" s="17"/>
      <c r="D1110" s="25"/>
      <c r="E1110" s="25"/>
      <c r="F1110" s="19"/>
      <c r="G1110" s="31"/>
      <c r="H1110" s="31"/>
      <c r="I1110" s="25"/>
      <c r="J1110" s="10"/>
      <c r="K1110" s="10"/>
      <c r="L1110" s="14"/>
      <c r="M1110" s="14" t="b">
        <v>0</v>
      </c>
      <c r="N1110" s="14" t="b">
        <v>0</v>
      </c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</row>
    <row r="1111">
      <c r="A1111" s="123"/>
      <c r="B1111" s="124"/>
      <c r="C1111" s="17"/>
      <c r="D1111" s="25"/>
      <c r="E1111" s="25"/>
      <c r="F1111" s="19"/>
      <c r="G1111" s="31"/>
      <c r="H1111" s="31"/>
      <c r="I1111" s="25"/>
      <c r="J1111" s="10"/>
      <c r="K1111" s="10"/>
      <c r="L1111" s="14"/>
      <c r="M1111" s="14" t="b">
        <v>0</v>
      </c>
      <c r="N1111" s="14" t="b">
        <v>0</v>
      </c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</row>
    <row r="1112">
      <c r="A1112" s="123"/>
      <c r="B1112" s="124"/>
      <c r="C1112" s="17"/>
      <c r="D1112" s="25"/>
      <c r="E1112" s="25"/>
      <c r="F1112" s="19"/>
      <c r="G1112" s="31"/>
      <c r="H1112" s="31"/>
      <c r="I1112" s="25"/>
      <c r="J1112" s="10"/>
      <c r="K1112" s="10"/>
      <c r="L1112" s="14"/>
      <c r="M1112" s="14" t="b">
        <v>0</v>
      </c>
      <c r="N1112" s="14" t="b">
        <v>0</v>
      </c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</row>
    <row r="1113">
      <c r="A1113" s="123"/>
      <c r="B1113" s="124"/>
      <c r="C1113" s="17"/>
      <c r="D1113" s="25"/>
      <c r="E1113" s="25"/>
      <c r="F1113" s="19"/>
      <c r="G1113" s="31"/>
      <c r="H1113" s="31"/>
      <c r="I1113" s="25"/>
      <c r="J1113" s="10"/>
      <c r="K1113" s="10"/>
      <c r="L1113" s="14"/>
      <c r="M1113" s="14" t="b">
        <v>0</v>
      </c>
      <c r="N1113" s="14" t="b">
        <v>0</v>
      </c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</row>
    <row r="1114">
      <c r="A1114" s="123"/>
      <c r="B1114" s="124"/>
      <c r="C1114" s="17"/>
      <c r="D1114" s="25"/>
      <c r="E1114" s="25"/>
      <c r="F1114" s="19"/>
      <c r="G1114" s="31"/>
      <c r="H1114" s="31"/>
      <c r="I1114" s="25"/>
      <c r="J1114" s="10"/>
      <c r="K1114" s="10"/>
      <c r="L1114" s="14"/>
      <c r="M1114" s="14" t="b">
        <v>0</v>
      </c>
      <c r="N1114" s="14" t="b">
        <v>0</v>
      </c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</row>
    <row r="1115">
      <c r="A1115" s="123"/>
      <c r="B1115" s="124"/>
      <c r="C1115" s="17"/>
      <c r="D1115" s="25"/>
      <c r="E1115" s="25"/>
      <c r="F1115" s="19"/>
      <c r="G1115" s="31"/>
      <c r="H1115" s="31"/>
      <c r="I1115" s="25"/>
      <c r="J1115" s="10"/>
      <c r="K1115" s="10"/>
      <c r="L1115" s="14"/>
      <c r="M1115" s="14" t="b">
        <v>0</v>
      </c>
      <c r="N1115" s="14" t="b">
        <v>0</v>
      </c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</row>
    <row r="1116">
      <c r="A1116" s="123"/>
      <c r="B1116" s="124"/>
      <c r="C1116" s="17"/>
      <c r="D1116" s="25"/>
      <c r="E1116" s="25"/>
      <c r="F1116" s="19"/>
      <c r="G1116" s="31"/>
      <c r="H1116" s="31"/>
      <c r="I1116" s="25"/>
      <c r="J1116" s="10"/>
      <c r="K1116" s="10"/>
      <c r="L1116" s="14"/>
      <c r="M1116" s="14" t="b">
        <v>0</v>
      </c>
      <c r="N1116" s="14" t="b">
        <v>0</v>
      </c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</row>
    <row r="1117">
      <c r="A1117" s="123"/>
      <c r="B1117" s="124"/>
      <c r="C1117" s="17"/>
      <c r="D1117" s="25"/>
      <c r="E1117" s="25"/>
      <c r="F1117" s="19"/>
      <c r="G1117" s="31"/>
      <c r="H1117" s="31"/>
      <c r="I1117" s="25"/>
      <c r="J1117" s="10"/>
      <c r="K1117" s="10"/>
      <c r="L1117" s="14"/>
      <c r="M1117" s="14" t="b">
        <v>0</v>
      </c>
      <c r="N1117" s="14" t="b">
        <v>0</v>
      </c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</row>
    <row r="1118">
      <c r="A1118" s="123"/>
      <c r="B1118" s="124"/>
      <c r="C1118" s="17"/>
      <c r="D1118" s="25"/>
      <c r="E1118" s="25"/>
      <c r="F1118" s="19"/>
      <c r="G1118" s="31"/>
      <c r="H1118" s="31"/>
      <c r="I1118" s="25"/>
      <c r="J1118" s="10"/>
      <c r="K1118" s="10"/>
      <c r="L1118" s="14"/>
      <c r="M1118" s="14" t="b">
        <v>0</v>
      </c>
      <c r="N1118" s="14" t="b">
        <v>0</v>
      </c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</row>
    <row r="1119">
      <c r="A1119" s="123"/>
      <c r="B1119" s="124"/>
      <c r="C1119" s="17"/>
      <c r="D1119" s="25"/>
      <c r="E1119" s="25"/>
      <c r="F1119" s="19"/>
      <c r="G1119" s="31"/>
      <c r="H1119" s="31"/>
      <c r="I1119" s="25"/>
      <c r="J1119" s="10"/>
      <c r="K1119" s="10"/>
      <c r="L1119" s="14"/>
      <c r="M1119" s="14" t="b">
        <v>0</v>
      </c>
      <c r="N1119" s="14" t="b">
        <v>0</v>
      </c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</row>
    <row r="1120">
      <c r="A1120" s="123"/>
      <c r="B1120" s="124"/>
      <c r="C1120" s="17"/>
      <c r="D1120" s="25"/>
      <c r="E1120" s="25"/>
      <c r="F1120" s="19"/>
      <c r="G1120" s="31"/>
      <c r="H1120" s="31"/>
      <c r="I1120" s="25"/>
      <c r="J1120" s="10"/>
      <c r="K1120" s="10"/>
      <c r="L1120" s="14"/>
      <c r="M1120" s="14" t="b">
        <v>0</v>
      </c>
      <c r="N1120" s="14" t="b">
        <v>0</v>
      </c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</row>
    <row r="1121">
      <c r="A1121" s="123"/>
      <c r="B1121" s="124"/>
      <c r="C1121" s="17"/>
      <c r="D1121" s="25"/>
      <c r="E1121" s="25"/>
      <c r="F1121" s="19"/>
      <c r="G1121" s="31"/>
      <c r="H1121" s="31"/>
      <c r="I1121" s="25"/>
      <c r="J1121" s="10"/>
      <c r="K1121" s="10"/>
      <c r="L1121" s="14"/>
      <c r="M1121" s="14" t="b">
        <v>0</v>
      </c>
      <c r="N1121" s="14" t="b">
        <v>0</v>
      </c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</row>
    <row r="1122">
      <c r="A1122" s="123"/>
      <c r="B1122" s="124"/>
      <c r="C1122" s="17"/>
      <c r="D1122" s="25"/>
      <c r="E1122" s="25"/>
      <c r="F1122" s="19"/>
      <c r="G1122" s="31"/>
      <c r="H1122" s="31"/>
      <c r="I1122" s="25"/>
      <c r="J1122" s="10"/>
      <c r="K1122" s="10"/>
      <c r="L1122" s="14"/>
      <c r="M1122" s="14" t="b">
        <v>0</v>
      </c>
      <c r="N1122" s="14" t="b">
        <v>0</v>
      </c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</row>
    <row r="1123">
      <c r="A1123" s="123"/>
      <c r="B1123" s="124"/>
      <c r="C1123" s="17"/>
      <c r="D1123" s="25"/>
      <c r="E1123" s="25"/>
      <c r="F1123" s="19"/>
      <c r="G1123" s="31"/>
      <c r="H1123" s="31"/>
      <c r="I1123" s="25"/>
      <c r="J1123" s="10"/>
      <c r="K1123" s="10"/>
      <c r="L1123" s="14"/>
      <c r="M1123" s="14" t="b">
        <v>0</v>
      </c>
      <c r="N1123" s="14" t="b">
        <v>0</v>
      </c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</row>
    <row r="1124">
      <c r="A1124" s="123"/>
      <c r="B1124" s="124"/>
      <c r="C1124" s="17"/>
      <c r="D1124" s="25"/>
      <c r="E1124" s="25"/>
      <c r="F1124" s="19"/>
      <c r="G1124" s="31"/>
      <c r="H1124" s="31"/>
      <c r="I1124" s="25"/>
      <c r="J1124" s="10"/>
      <c r="K1124" s="10"/>
      <c r="L1124" s="14"/>
      <c r="M1124" s="14" t="b">
        <v>0</v>
      </c>
      <c r="N1124" s="14" t="b">
        <v>0</v>
      </c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</row>
    <row r="1125">
      <c r="A1125" s="123"/>
      <c r="B1125" s="124"/>
      <c r="C1125" s="17"/>
      <c r="D1125" s="25"/>
      <c r="E1125" s="25"/>
      <c r="F1125" s="19"/>
      <c r="G1125" s="31"/>
      <c r="H1125" s="31"/>
      <c r="I1125" s="25"/>
      <c r="J1125" s="10"/>
      <c r="K1125" s="10"/>
      <c r="L1125" s="14"/>
      <c r="M1125" s="14" t="b">
        <v>0</v>
      </c>
      <c r="N1125" s="14" t="b">
        <v>0</v>
      </c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</row>
    <row r="1126">
      <c r="A1126" s="123"/>
      <c r="B1126" s="124"/>
      <c r="C1126" s="17"/>
      <c r="D1126" s="25"/>
      <c r="E1126" s="25"/>
      <c r="F1126" s="19"/>
      <c r="G1126" s="31"/>
      <c r="H1126" s="31"/>
      <c r="I1126" s="25"/>
      <c r="J1126" s="10"/>
      <c r="K1126" s="10"/>
      <c r="L1126" s="14"/>
      <c r="M1126" s="14" t="b">
        <v>0</v>
      </c>
      <c r="N1126" s="14" t="b">
        <v>0</v>
      </c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</row>
    <row r="1127">
      <c r="A1127" s="123"/>
      <c r="B1127" s="124"/>
      <c r="C1127" s="17"/>
      <c r="D1127" s="25"/>
      <c r="E1127" s="25"/>
      <c r="F1127" s="19"/>
      <c r="G1127" s="31"/>
      <c r="H1127" s="31"/>
      <c r="I1127" s="25"/>
      <c r="J1127" s="10"/>
      <c r="K1127" s="10"/>
      <c r="L1127" s="14"/>
      <c r="M1127" s="14" t="b">
        <v>0</v>
      </c>
      <c r="N1127" s="14" t="b">
        <v>0</v>
      </c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</row>
    <row r="1128">
      <c r="A1128" s="123"/>
      <c r="B1128" s="124"/>
      <c r="C1128" s="17"/>
      <c r="D1128" s="25"/>
      <c r="E1128" s="25"/>
      <c r="F1128" s="19"/>
      <c r="G1128" s="31"/>
      <c r="H1128" s="31"/>
      <c r="I1128" s="25"/>
      <c r="J1128" s="10"/>
      <c r="K1128" s="10"/>
      <c r="L1128" s="14"/>
      <c r="M1128" s="14" t="b">
        <v>0</v>
      </c>
      <c r="N1128" s="14" t="b">
        <v>0</v>
      </c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</row>
    <row r="1129">
      <c r="A1129" s="123"/>
      <c r="B1129" s="124"/>
      <c r="C1129" s="17"/>
      <c r="D1129" s="25"/>
      <c r="E1129" s="25"/>
      <c r="F1129" s="19"/>
      <c r="G1129" s="31"/>
      <c r="H1129" s="31"/>
      <c r="I1129" s="25"/>
      <c r="J1129" s="10"/>
      <c r="K1129" s="10"/>
      <c r="L1129" s="14"/>
      <c r="M1129" s="14" t="b">
        <v>0</v>
      </c>
      <c r="N1129" s="14" t="b">
        <v>0</v>
      </c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</row>
    <row r="1130">
      <c r="A1130" s="123"/>
      <c r="B1130" s="124"/>
      <c r="C1130" s="17"/>
      <c r="D1130" s="25"/>
      <c r="E1130" s="25"/>
      <c r="F1130" s="19"/>
      <c r="G1130" s="31"/>
      <c r="H1130" s="31"/>
      <c r="I1130" s="25"/>
      <c r="J1130" s="10"/>
      <c r="K1130" s="10"/>
      <c r="L1130" s="14"/>
      <c r="M1130" s="14" t="b">
        <v>0</v>
      </c>
      <c r="N1130" s="14" t="b">
        <v>0</v>
      </c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</row>
    <row r="1131">
      <c r="A1131" s="123"/>
      <c r="B1131" s="124"/>
      <c r="C1131" s="17"/>
      <c r="D1131" s="25"/>
      <c r="E1131" s="25"/>
      <c r="F1131" s="19"/>
      <c r="G1131" s="31"/>
      <c r="H1131" s="31"/>
      <c r="I1131" s="25"/>
      <c r="J1131" s="10"/>
      <c r="K1131" s="10"/>
      <c r="L1131" s="14"/>
      <c r="M1131" s="14" t="b">
        <v>0</v>
      </c>
      <c r="N1131" s="14" t="b">
        <v>0</v>
      </c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</row>
    <row r="1132">
      <c r="A1132" s="123"/>
      <c r="B1132" s="124"/>
      <c r="C1132" s="17"/>
      <c r="D1132" s="25"/>
      <c r="E1132" s="25"/>
      <c r="F1132" s="19"/>
      <c r="G1132" s="31"/>
      <c r="H1132" s="31"/>
      <c r="I1132" s="25"/>
      <c r="J1132" s="10"/>
      <c r="K1132" s="10"/>
      <c r="L1132" s="14"/>
      <c r="M1132" s="14" t="b">
        <v>0</v>
      </c>
      <c r="N1132" s="14" t="b">
        <v>0</v>
      </c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</row>
    <row r="1133">
      <c r="A1133" s="123"/>
      <c r="B1133" s="124"/>
      <c r="C1133" s="17"/>
      <c r="D1133" s="25"/>
      <c r="E1133" s="25"/>
      <c r="F1133" s="19"/>
      <c r="G1133" s="31"/>
      <c r="H1133" s="31"/>
      <c r="I1133" s="25"/>
      <c r="J1133" s="10"/>
      <c r="K1133" s="10"/>
      <c r="L1133" s="14"/>
      <c r="M1133" s="14" t="b">
        <v>0</v>
      </c>
      <c r="N1133" s="14" t="b">
        <v>0</v>
      </c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</row>
    <row r="1134">
      <c r="A1134" s="123"/>
      <c r="B1134" s="124"/>
      <c r="C1134" s="17"/>
      <c r="D1134" s="25"/>
      <c r="E1134" s="25"/>
      <c r="F1134" s="19"/>
      <c r="G1134" s="31"/>
      <c r="H1134" s="31"/>
      <c r="I1134" s="25"/>
      <c r="J1134" s="10"/>
      <c r="K1134" s="10"/>
      <c r="L1134" s="14"/>
      <c r="M1134" s="14" t="b">
        <v>0</v>
      </c>
      <c r="N1134" s="14" t="b">
        <v>0</v>
      </c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</row>
    <row r="1135">
      <c r="A1135" s="123"/>
      <c r="B1135" s="124"/>
      <c r="C1135" s="17"/>
      <c r="D1135" s="25"/>
      <c r="E1135" s="25"/>
      <c r="F1135" s="19"/>
      <c r="G1135" s="31"/>
      <c r="H1135" s="31"/>
      <c r="I1135" s="25"/>
      <c r="J1135" s="10"/>
      <c r="K1135" s="10"/>
      <c r="L1135" s="14"/>
      <c r="M1135" s="14" t="b">
        <v>0</v>
      </c>
      <c r="N1135" s="14" t="b">
        <v>0</v>
      </c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</row>
    <row r="1136">
      <c r="A1136" s="123"/>
      <c r="B1136" s="124"/>
      <c r="C1136" s="17"/>
      <c r="D1136" s="25"/>
      <c r="E1136" s="25"/>
      <c r="F1136" s="19"/>
      <c r="G1136" s="31"/>
      <c r="H1136" s="31"/>
      <c r="I1136" s="25"/>
      <c r="J1136" s="10"/>
      <c r="K1136" s="10"/>
      <c r="L1136" s="14"/>
      <c r="M1136" s="14" t="b">
        <v>0</v>
      </c>
      <c r="N1136" s="14" t="b">
        <v>0</v>
      </c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</row>
    <row r="1137">
      <c r="A1137" s="123"/>
      <c r="B1137" s="124"/>
      <c r="C1137" s="17"/>
      <c r="D1137" s="25"/>
      <c r="E1137" s="25"/>
      <c r="F1137" s="19"/>
      <c r="G1137" s="31"/>
      <c r="H1137" s="31"/>
      <c r="I1137" s="25"/>
      <c r="J1137" s="10"/>
      <c r="K1137" s="10"/>
      <c r="L1137" s="14"/>
      <c r="M1137" s="14" t="b">
        <v>0</v>
      </c>
      <c r="N1137" s="14" t="b">
        <v>0</v>
      </c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</row>
    <row r="1138">
      <c r="A1138" s="123"/>
      <c r="B1138" s="124"/>
      <c r="C1138" s="17"/>
      <c r="D1138" s="25"/>
      <c r="E1138" s="25"/>
      <c r="F1138" s="19"/>
      <c r="G1138" s="31"/>
      <c r="H1138" s="31"/>
      <c r="I1138" s="25"/>
      <c r="J1138" s="10"/>
      <c r="K1138" s="10"/>
      <c r="L1138" s="14"/>
      <c r="M1138" s="14" t="b">
        <v>0</v>
      </c>
      <c r="N1138" s="14" t="b">
        <v>0</v>
      </c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</row>
    <row r="1139">
      <c r="A1139" s="123"/>
      <c r="B1139" s="124"/>
      <c r="C1139" s="17"/>
      <c r="D1139" s="25"/>
      <c r="E1139" s="25"/>
      <c r="F1139" s="19"/>
      <c r="G1139" s="31"/>
      <c r="H1139" s="31"/>
      <c r="I1139" s="25"/>
      <c r="J1139" s="10"/>
      <c r="K1139" s="10"/>
      <c r="L1139" s="14"/>
      <c r="M1139" s="14" t="b">
        <v>0</v>
      </c>
      <c r="N1139" s="14" t="b">
        <v>0</v>
      </c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</row>
    <row r="1140">
      <c r="A1140" s="123"/>
      <c r="B1140" s="124"/>
      <c r="C1140" s="17"/>
      <c r="D1140" s="25"/>
      <c r="E1140" s="25"/>
      <c r="F1140" s="19"/>
      <c r="G1140" s="31"/>
      <c r="H1140" s="31"/>
      <c r="I1140" s="25"/>
      <c r="J1140" s="10"/>
      <c r="K1140" s="10"/>
      <c r="L1140" s="14"/>
      <c r="M1140" s="14" t="b">
        <v>0</v>
      </c>
      <c r="N1140" s="14" t="b">
        <v>0</v>
      </c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</row>
    <row r="1141">
      <c r="A1141" s="123"/>
      <c r="B1141" s="124"/>
      <c r="C1141" s="17"/>
      <c r="D1141" s="25"/>
      <c r="E1141" s="25"/>
      <c r="F1141" s="19"/>
      <c r="G1141" s="31"/>
      <c r="H1141" s="31"/>
      <c r="I1141" s="25"/>
      <c r="J1141" s="10"/>
      <c r="K1141" s="10"/>
      <c r="L1141" s="14"/>
      <c r="M1141" s="14" t="b">
        <v>0</v>
      </c>
      <c r="N1141" s="14" t="b">
        <v>0</v>
      </c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</row>
    <row r="1142">
      <c r="A1142" s="123"/>
      <c r="B1142" s="124"/>
      <c r="C1142" s="17"/>
      <c r="D1142" s="25"/>
      <c r="E1142" s="25"/>
      <c r="F1142" s="19"/>
      <c r="G1142" s="31"/>
      <c r="H1142" s="31"/>
      <c r="I1142" s="25"/>
      <c r="J1142" s="10"/>
      <c r="K1142" s="10"/>
      <c r="L1142" s="14"/>
      <c r="M1142" s="14" t="b">
        <v>0</v>
      </c>
      <c r="N1142" s="14" t="b">
        <v>0</v>
      </c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</row>
    <row r="1143">
      <c r="A1143" s="123"/>
      <c r="B1143" s="124"/>
      <c r="C1143" s="17"/>
      <c r="D1143" s="25"/>
      <c r="E1143" s="25"/>
      <c r="F1143" s="19"/>
      <c r="G1143" s="31"/>
      <c r="H1143" s="31"/>
      <c r="I1143" s="25"/>
      <c r="J1143" s="10"/>
      <c r="K1143" s="10"/>
      <c r="L1143" s="14"/>
      <c r="M1143" s="14" t="b">
        <v>0</v>
      </c>
      <c r="N1143" s="14" t="b">
        <v>0</v>
      </c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</row>
    <row r="1144">
      <c r="A1144" s="123"/>
      <c r="B1144" s="124"/>
      <c r="C1144" s="17"/>
      <c r="D1144" s="25"/>
      <c r="E1144" s="25"/>
      <c r="F1144" s="19"/>
      <c r="G1144" s="31"/>
      <c r="H1144" s="31"/>
      <c r="I1144" s="25"/>
      <c r="J1144" s="10"/>
      <c r="K1144" s="10"/>
      <c r="L1144" s="14"/>
      <c r="M1144" s="14" t="b">
        <v>0</v>
      </c>
      <c r="N1144" s="14" t="b">
        <v>0</v>
      </c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</row>
    <row r="1145">
      <c r="A1145" s="123"/>
      <c r="B1145" s="124"/>
      <c r="C1145" s="17"/>
      <c r="D1145" s="25"/>
      <c r="E1145" s="25"/>
      <c r="F1145" s="19"/>
      <c r="G1145" s="31"/>
      <c r="H1145" s="31"/>
      <c r="I1145" s="25"/>
      <c r="J1145" s="10"/>
      <c r="K1145" s="10"/>
      <c r="L1145" s="14"/>
      <c r="M1145" s="14" t="b">
        <v>0</v>
      </c>
      <c r="N1145" s="14" t="b">
        <v>0</v>
      </c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</row>
    <row r="1146">
      <c r="A1146" s="123"/>
      <c r="B1146" s="124"/>
      <c r="C1146" s="17"/>
      <c r="D1146" s="25"/>
      <c r="E1146" s="25"/>
      <c r="F1146" s="19"/>
      <c r="G1146" s="31"/>
      <c r="H1146" s="31"/>
      <c r="I1146" s="25"/>
      <c r="J1146" s="10"/>
      <c r="K1146" s="10"/>
      <c r="L1146" s="14"/>
      <c r="M1146" s="14" t="b">
        <v>0</v>
      </c>
      <c r="N1146" s="14" t="b">
        <v>0</v>
      </c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</row>
    <row r="1147">
      <c r="A1147" s="123"/>
      <c r="B1147" s="124"/>
      <c r="C1147" s="17"/>
      <c r="D1147" s="25"/>
      <c r="E1147" s="25"/>
      <c r="F1147" s="19"/>
      <c r="G1147" s="31"/>
      <c r="H1147" s="31"/>
      <c r="I1147" s="25"/>
      <c r="J1147" s="10"/>
      <c r="K1147" s="10"/>
      <c r="L1147" s="14"/>
      <c r="M1147" s="14" t="b">
        <v>0</v>
      </c>
      <c r="N1147" s="14" t="b">
        <v>0</v>
      </c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</row>
    <row r="1148">
      <c r="A1148" s="123"/>
      <c r="B1148" s="124"/>
      <c r="C1148" s="17"/>
      <c r="D1148" s="25"/>
      <c r="E1148" s="25"/>
      <c r="F1148" s="19"/>
      <c r="G1148" s="31"/>
      <c r="H1148" s="31"/>
      <c r="I1148" s="25"/>
      <c r="J1148" s="10"/>
      <c r="K1148" s="10"/>
      <c r="L1148" s="14"/>
      <c r="M1148" s="14" t="b">
        <v>0</v>
      </c>
      <c r="N1148" s="14" t="b">
        <v>0</v>
      </c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</row>
    <row r="1149">
      <c r="A1149" s="123"/>
      <c r="B1149" s="124"/>
      <c r="C1149" s="17"/>
      <c r="D1149" s="25"/>
      <c r="E1149" s="25"/>
      <c r="F1149" s="19"/>
      <c r="G1149" s="31"/>
      <c r="H1149" s="31"/>
      <c r="I1149" s="25"/>
      <c r="J1149" s="10"/>
      <c r="K1149" s="10"/>
      <c r="L1149" s="14"/>
      <c r="M1149" s="14" t="b">
        <v>0</v>
      </c>
      <c r="N1149" s="14" t="b">
        <v>0</v>
      </c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</row>
    <row r="1150">
      <c r="A1150" s="123"/>
      <c r="B1150" s="124"/>
      <c r="C1150" s="17"/>
      <c r="D1150" s="25"/>
      <c r="E1150" s="25"/>
      <c r="F1150" s="19"/>
      <c r="G1150" s="31"/>
      <c r="H1150" s="31"/>
      <c r="I1150" s="25"/>
      <c r="J1150" s="10"/>
      <c r="K1150" s="10"/>
      <c r="L1150" s="14"/>
      <c r="M1150" s="14" t="b">
        <v>0</v>
      </c>
      <c r="N1150" s="14" t="b">
        <v>0</v>
      </c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</row>
    <row r="1151">
      <c r="A1151" s="123"/>
      <c r="B1151" s="124"/>
      <c r="C1151" s="17"/>
      <c r="D1151" s="25"/>
      <c r="E1151" s="25"/>
      <c r="F1151" s="19"/>
      <c r="G1151" s="31"/>
      <c r="H1151" s="31"/>
      <c r="I1151" s="25"/>
      <c r="J1151" s="10"/>
      <c r="K1151" s="10"/>
      <c r="L1151" s="14"/>
      <c r="M1151" s="14" t="b">
        <v>0</v>
      </c>
      <c r="N1151" s="14" t="b">
        <v>0</v>
      </c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</row>
    <row r="1152">
      <c r="A1152" s="123"/>
      <c r="B1152" s="124"/>
      <c r="C1152" s="17"/>
      <c r="D1152" s="25"/>
      <c r="E1152" s="25"/>
      <c r="F1152" s="19"/>
      <c r="G1152" s="31"/>
      <c r="H1152" s="31"/>
      <c r="I1152" s="25"/>
      <c r="J1152" s="10"/>
      <c r="K1152" s="10"/>
      <c r="L1152" s="14"/>
      <c r="M1152" s="14" t="b">
        <v>0</v>
      </c>
      <c r="N1152" s="14" t="b">
        <v>0</v>
      </c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</row>
    <row r="1153">
      <c r="A1153" s="123"/>
      <c r="B1153" s="124"/>
      <c r="C1153" s="17"/>
      <c r="D1153" s="25"/>
      <c r="E1153" s="25"/>
      <c r="F1153" s="19"/>
      <c r="G1153" s="31"/>
      <c r="H1153" s="31"/>
      <c r="I1153" s="25"/>
      <c r="J1153" s="10"/>
      <c r="K1153" s="10"/>
      <c r="L1153" s="14"/>
      <c r="M1153" s="14" t="b">
        <v>0</v>
      </c>
      <c r="N1153" s="14" t="b">
        <v>0</v>
      </c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</row>
    <row r="1154">
      <c r="A1154" s="123"/>
      <c r="B1154" s="124"/>
      <c r="C1154" s="17"/>
      <c r="D1154" s="25"/>
      <c r="E1154" s="25"/>
      <c r="F1154" s="19"/>
      <c r="G1154" s="31"/>
      <c r="H1154" s="31"/>
      <c r="I1154" s="25"/>
      <c r="J1154" s="10"/>
      <c r="K1154" s="10"/>
      <c r="L1154" s="14"/>
      <c r="M1154" s="14" t="b">
        <v>0</v>
      </c>
      <c r="N1154" s="14" t="b">
        <v>0</v>
      </c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</row>
    <row r="1155">
      <c r="A1155" s="123"/>
      <c r="B1155" s="124"/>
      <c r="C1155" s="17"/>
      <c r="D1155" s="25"/>
      <c r="E1155" s="25"/>
      <c r="F1155" s="19"/>
      <c r="G1155" s="31"/>
      <c r="H1155" s="31"/>
      <c r="I1155" s="25"/>
      <c r="J1155" s="10"/>
      <c r="K1155" s="10"/>
      <c r="L1155" s="14"/>
      <c r="M1155" s="14" t="b">
        <v>0</v>
      </c>
      <c r="N1155" s="14" t="b">
        <v>0</v>
      </c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</row>
    <row r="1156">
      <c r="A1156" s="123"/>
      <c r="B1156" s="124"/>
      <c r="C1156" s="17"/>
      <c r="D1156" s="25"/>
      <c r="E1156" s="25"/>
      <c r="F1156" s="19"/>
      <c r="G1156" s="31"/>
      <c r="H1156" s="31"/>
      <c r="I1156" s="25"/>
      <c r="J1156" s="10"/>
      <c r="K1156" s="10"/>
      <c r="L1156" s="14"/>
      <c r="M1156" s="14" t="b">
        <v>0</v>
      </c>
      <c r="N1156" s="14" t="b">
        <v>0</v>
      </c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</row>
    <row r="1157">
      <c r="A1157" s="123"/>
      <c r="B1157" s="124"/>
      <c r="C1157" s="17"/>
      <c r="D1157" s="25"/>
      <c r="E1157" s="25"/>
      <c r="F1157" s="19"/>
      <c r="G1157" s="31"/>
      <c r="H1157" s="31"/>
      <c r="I1157" s="25"/>
      <c r="J1157" s="10"/>
      <c r="K1157" s="10"/>
      <c r="L1157" s="14"/>
      <c r="M1157" s="14" t="b">
        <v>0</v>
      </c>
      <c r="N1157" s="14" t="b">
        <v>0</v>
      </c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</row>
    <row r="1158">
      <c r="A1158" s="123"/>
      <c r="B1158" s="124"/>
      <c r="C1158" s="17"/>
      <c r="D1158" s="25"/>
      <c r="E1158" s="25"/>
      <c r="F1158" s="19"/>
      <c r="G1158" s="31"/>
      <c r="H1158" s="31"/>
      <c r="I1158" s="25"/>
      <c r="J1158" s="10"/>
      <c r="K1158" s="10"/>
      <c r="L1158" s="14"/>
      <c r="M1158" s="14" t="b">
        <v>0</v>
      </c>
      <c r="N1158" s="14" t="b">
        <v>0</v>
      </c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</row>
    <row r="1159">
      <c r="A1159" s="123"/>
      <c r="B1159" s="124"/>
      <c r="C1159" s="17"/>
      <c r="D1159" s="25"/>
      <c r="E1159" s="25"/>
      <c r="F1159" s="19"/>
      <c r="G1159" s="31"/>
      <c r="H1159" s="31"/>
      <c r="I1159" s="25"/>
      <c r="J1159" s="10"/>
      <c r="K1159" s="10"/>
      <c r="L1159" s="14"/>
      <c r="M1159" s="14" t="b">
        <v>0</v>
      </c>
      <c r="N1159" s="14" t="b">
        <v>0</v>
      </c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</row>
    <row r="1160">
      <c r="A1160" s="123"/>
      <c r="B1160" s="124"/>
      <c r="C1160" s="17"/>
      <c r="D1160" s="25"/>
      <c r="E1160" s="25"/>
      <c r="F1160" s="19"/>
      <c r="G1160" s="31"/>
      <c r="H1160" s="31"/>
      <c r="I1160" s="25"/>
      <c r="J1160" s="10"/>
      <c r="K1160" s="10"/>
      <c r="L1160" s="14"/>
      <c r="M1160" s="14" t="b">
        <v>0</v>
      </c>
      <c r="N1160" s="14" t="b">
        <v>0</v>
      </c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</row>
    <row r="1161">
      <c r="A1161" s="123"/>
      <c r="B1161" s="124"/>
      <c r="C1161" s="17"/>
      <c r="D1161" s="25"/>
      <c r="E1161" s="25"/>
      <c r="F1161" s="19"/>
      <c r="G1161" s="31"/>
      <c r="H1161" s="31"/>
      <c r="I1161" s="25"/>
      <c r="J1161" s="10"/>
      <c r="K1161" s="10"/>
      <c r="L1161" s="14"/>
      <c r="M1161" s="14" t="b">
        <v>0</v>
      </c>
      <c r="N1161" s="14" t="b">
        <v>0</v>
      </c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</row>
    <row r="1162">
      <c r="A1162" s="123"/>
      <c r="B1162" s="124"/>
      <c r="C1162" s="17"/>
      <c r="D1162" s="25"/>
      <c r="E1162" s="25"/>
      <c r="F1162" s="19"/>
      <c r="G1162" s="31"/>
      <c r="H1162" s="31"/>
      <c r="I1162" s="25"/>
      <c r="J1162" s="10"/>
      <c r="K1162" s="10"/>
      <c r="L1162" s="14"/>
      <c r="M1162" s="14" t="b">
        <v>0</v>
      </c>
      <c r="N1162" s="14" t="b">
        <v>0</v>
      </c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</row>
    <row r="1163">
      <c r="A1163" s="123"/>
      <c r="B1163" s="124"/>
      <c r="C1163" s="17"/>
      <c r="D1163" s="25"/>
      <c r="E1163" s="25"/>
      <c r="F1163" s="19"/>
      <c r="G1163" s="31"/>
      <c r="H1163" s="31"/>
      <c r="I1163" s="25"/>
      <c r="J1163" s="10"/>
      <c r="K1163" s="10"/>
      <c r="L1163" s="14"/>
      <c r="M1163" s="14" t="b">
        <v>0</v>
      </c>
      <c r="N1163" s="14" t="b">
        <v>0</v>
      </c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</row>
    <row r="1164">
      <c r="A1164" s="123"/>
      <c r="B1164" s="124"/>
      <c r="C1164" s="17"/>
      <c r="D1164" s="25"/>
      <c r="E1164" s="25"/>
      <c r="F1164" s="19"/>
      <c r="G1164" s="31"/>
      <c r="H1164" s="31"/>
      <c r="I1164" s="25"/>
      <c r="J1164" s="10"/>
      <c r="K1164" s="10"/>
      <c r="L1164" s="14"/>
      <c r="M1164" s="14" t="b">
        <v>0</v>
      </c>
      <c r="N1164" s="14" t="b">
        <v>0</v>
      </c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</row>
    <row r="1165">
      <c r="A1165" s="123"/>
      <c r="B1165" s="124"/>
      <c r="C1165" s="17"/>
      <c r="D1165" s="25"/>
      <c r="E1165" s="25"/>
      <c r="F1165" s="19"/>
      <c r="G1165" s="31"/>
      <c r="H1165" s="31"/>
      <c r="I1165" s="25"/>
      <c r="J1165" s="10"/>
      <c r="K1165" s="10"/>
      <c r="L1165" s="14"/>
      <c r="M1165" s="14" t="b">
        <v>0</v>
      </c>
      <c r="N1165" s="14" t="b">
        <v>0</v>
      </c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</row>
  </sheetData>
  <mergeCells count="102">
    <mergeCell ref="D23:K23"/>
    <mergeCell ref="D30:K30"/>
    <mergeCell ref="D2:K2"/>
    <mergeCell ref="A3:A8"/>
    <mergeCell ref="D9:K9"/>
    <mergeCell ref="A10:A15"/>
    <mergeCell ref="D16:K16"/>
    <mergeCell ref="A17:A22"/>
    <mergeCell ref="A24:A29"/>
    <mergeCell ref="A31:A36"/>
    <mergeCell ref="D37:K37"/>
    <mergeCell ref="A38:A43"/>
    <mergeCell ref="D44:K44"/>
    <mergeCell ref="A45:A50"/>
    <mergeCell ref="D51:K51"/>
    <mergeCell ref="D61:K61"/>
    <mergeCell ref="A52:A58"/>
    <mergeCell ref="A62:A67"/>
    <mergeCell ref="A69:A75"/>
    <mergeCell ref="A77:A82"/>
    <mergeCell ref="A84:A89"/>
    <mergeCell ref="A91:A96"/>
    <mergeCell ref="A98:A103"/>
    <mergeCell ref="D118:K118"/>
    <mergeCell ref="D125:K125"/>
    <mergeCell ref="D132:K132"/>
    <mergeCell ref="D138:K138"/>
    <mergeCell ref="D146:K146"/>
    <mergeCell ref="D153:K153"/>
    <mergeCell ref="D68:K68"/>
    <mergeCell ref="D76:K76"/>
    <mergeCell ref="D83:K83"/>
    <mergeCell ref="D90:K90"/>
    <mergeCell ref="D97:K97"/>
    <mergeCell ref="D104:K104"/>
    <mergeCell ref="D111:K111"/>
    <mergeCell ref="A105:A110"/>
    <mergeCell ref="A112:A117"/>
    <mergeCell ref="A119:A124"/>
    <mergeCell ref="A126:A131"/>
    <mergeCell ref="A133:A137"/>
    <mergeCell ref="A139:A143"/>
    <mergeCell ref="A147:A152"/>
    <mergeCell ref="A408:A413"/>
    <mergeCell ref="A415:A420"/>
    <mergeCell ref="E421:G421"/>
    <mergeCell ref="E429:F429"/>
    <mergeCell ref="D477:G477"/>
    <mergeCell ref="D500:F500"/>
    <mergeCell ref="A422:A427"/>
    <mergeCell ref="A429:A434"/>
    <mergeCell ref="A436:A442"/>
    <mergeCell ref="D443:E443"/>
    <mergeCell ref="A444:A450"/>
    <mergeCell ref="E445:F449"/>
    <mergeCell ref="D452:F452"/>
    <mergeCell ref="A154:A159"/>
    <mergeCell ref="A161:A166"/>
    <mergeCell ref="A168:A173"/>
    <mergeCell ref="A175:A180"/>
    <mergeCell ref="A182:A187"/>
    <mergeCell ref="A189:A194"/>
    <mergeCell ref="A196:A201"/>
    <mergeCell ref="A252:A257"/>
    <mergeCell ref="A259:A264"/>
    <mergeCell ref="D265:E265"/>
    <mergeCell ref="A203:A208"/>
    <mergeCell ref="A210:A215"/>
    <mergeCell ref="A217:A222"/>
    <mergeCell ref="A224:A229"/>
    <mergeCell ref="A231:A236"/>
    <mergeCell ref="A238:A243"/>
    <mergeCell ref="A245:A250"/>
    <mergeCell ref="A266:A271"/>
    <mergeCell ref="A273:A278"/>
    <mergeCell ref="A280:A285"/>
    <mergeCell ref="E281:E284"/>
    <mergeCell ref="A287:A292"/>
    <mergeCell ref="A294:A299"/>
    <mergeCell ref="A301:A306"/>
    <mergeCell ref="A308:A313"/>
    <mergeCell ref="A316:A321"/>
    <mergeCell ref="A323:A328"/>
    <mergeCell ref="A330:A335"/>
    <mergeCell ref="A337:A342"/>
    <mergeCell ref="A344:A349"/>
    <mergeCell ref="A351:A356"/>
    <mergeCell ref="A358:A363"/>
    <mergeCell ref="A365:A370"/>
    <mergeCell ref="A372:A377"/>
    <mergeCell ref="A379:A384"/>
    <mergeCell ref="A387:A392"/>
    <mergeCell ref="A394:A399"/>
    <mergeCell ref="A401:A406"/>
    <mergeCell ref="A452:A458"/>
    <mergeCell ref="A460:A466"/>
    <mergeCell ref="D460:E460"/>
    <mergeCell ref="D467:E467"/>
    <mergeCell ref="A468:A474"/>
    <mergeCell ref="A476:A483"/>
    <mergeCell ref="A485:A491"/>
    <mergeCell ref="A493:A499"/>
  </mergeCells>
  <dataValidations>
    <dataValidation type="list" allowBlank="1" showErrorMessage="1" sqref="C2:C52 C54:C98 C100:C200 C202:C214 C216:C234 C236:C345 C347:C400 C402:C408 C414:C421 C423:C429 C431 C434:C445 C450:C453 C458:C462 C464:C470 C473:C477 C479 C482:C1165">
      <formula1>'Durum Parametreler'!$H:$H</formula1>
    </dataValidation>
    <dataValidation type="list" allowBlank="1" showErrorMessage="1" sqref="C409:C413 C422 C481">
      <formula1>'Durum Parametreler'!$F$11:$F$49</formula1>
    </dataValidation>
  </dataValidations>
  <hyperlinks>
    <hyperlink r:id="rId1" ref="I46"/>
    <hyperlink r:id="rId2" ref="I47"/>
    <hyperlink r:id="rId3" ref="I4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9.75"/>
    <col customWidth="1" min="5" max="5" width="10.5"/>
    <col customWidth="1" min="6" max="6" width="10.13"/>
    <col customWidth="1" min="8" max="8" width="11.38"/>
    <col customWidth="1" min="9" max="9" width="10.5"/>
    <col customWidth="1" min="10" max="10" width="7.13"/>
    <col customWidth="1" min="11" max="11" width="19.63"/>
    <col customWidth="1" min="15" max="15" width="23.63"/>
    <col customWidth="1" min="16" max="16" width="9.75"/>
    <col customWidth="1" min="17" max="17" width="19.0"/>
  </cols>
  <sheetData>
    <row r="1">
      <c r="A1" s="183" t="s">
        <v>1102</v>
      </c>
      <c r="B1" s="184" t="s">
        <v>1103</v>
      </c>
      <c r="C1" s="185" t="s">
        <v>1104</v>
      </c>
      <c r="D1" s="183" t="s">
        <v>1105</v>
      </c>
      <c r="E1" s="184" t="s">
        <v>1106</v>
      </c>
      <c r="F1" s="184" t="s">
        <v>1107</v>
      </c>
      <c r="G1" s="186" t="s">
        <v>1108</v>
      </c>
      <c r="H1" s="186" t="s">
        <v>1109</v>
      </c>
      <c r="I1" s="186" t="s">
        <v>1110</v>
      </c>
      <c r="J1" s="187" t="s">
        <v>1111</v>
      </c>
      <c r="K1" s="183" t="s">
        <v>1112</v>
      </c>
      <c r="L1" s="183" t="s">
        <v>1113</v>
      </c>
      <c r="M1" s="183" t="s">
        <v>1114</v>
      </c>
      <c r="N1" s="183" t="s">
        <v>1115</v>
      </c>
      <c r="O1" s="183" t="s">
        <v>8</v>
      </c>
      <c r="P1" s="184" t="s">
        <v>1116</v>
      </c>
      <c r="Q1" s="188" t="s">
        <v>1117</v>
      </c>
      <c r="R1" s="189" t="s">
        <v>1118</v>
      </c>
      <c r="S1" s="189" t="s">
        <v>1119</v>
      </c>
      <c r="T1" s="190" t="s">
        <v>1120</v>
      </c>
      <c r="U1" s="189" t="s">
        <v>2</v>
      </c>
      <c r="V1" s="189" t="s">
        <v>1121</v>
      </c>
      <c r="W1" s="189" t="s">
        <v>1122</v>
      </c>
      <c r="X1" s="191" t="s">
        <v>1123</v>
      </c>
      <c r="Y1" s="191" t="s">
        <v>1124</v>
      </c>
      <c r="Z1" s="192" t="s">
        <v>1125</v>
      </c>
      <c r="AA1" s="193" t="s">
        <v>1126</v>
      </c>
      <c r="AB1" s="192" t="s">
        <v>1127</v>
      </c>
      <c r="AC1" s="193" t="s">
        <v>1128</v>
      </c>
      <c r="AD1" s="192" t="s">
        <v>1129</v>
      </c>
      <c r="AE1" s="193" t="s">
        <v>1130</v>
      </c>
      <c r="AF1" s="192" t="s">
        <v>1131</v>
      </c>
      <c r="AG1" s="193" t="s">
        <v>1132</v>
      </c>
      <c r="AH1" s="192" t="s">
        <v>1133</v>
      </c>
      <c r="AI1" s="193" t="s">
        <v>1134</v>
      </c>
      <c r="AJ1" s="192" t="s">
        <v>1135</v>
      </c>
      <c r="AK1" s="192" t="s">
        <v>1136</v>
      </c>
      <c r="AL1" s="192" t="s">
        <v>1137</v>
      </c>
      <c r="AM1" s="192" t="s">
        <v>1138</v>
      </c>
      <c r="AN1" s="192" t="s">
        <v>1139</v>
      </c>
      <c r="AO1" s="192" t="s">
        <v>1140</v>
      </c>
      <c r="AP1" s="192" t="s">
        <v>1141</v>
      </c>
      <c r="AQ1" s="192" t="s">
        <v>1142</v>
      </c>
    </row>
    <row r="2">
      <c r="A2" s="135" t="s">
        <v>1143</v>
      </c>
      <c r="B2" s="135" t="s">
        <v>1144</v>
      </c>
      <c r="C2" s="135" t="str">
        <f>VLOOKUP(A2,import!A:C,3,0)</f>
        <v>YANLIŞ</v>
      </c>
      <c r="D2" s="135" t="s">
        <v>1145</v>
      </c>
      <c r="E2" s="194" t="str">
        <f>VLOOKUP(A2,import!A:AA,5,0)</f>
        <v/>
      </c>
      <c r="F2" s="194" t="str">
        <f>VLOOKUP(A2,import!A:AA,6,0)</f>
        <v/>
      </c>
      <c r="G2" s="135">
        <f>VLOOKUP(A2,import!A:AA,7,0)</f>
        <v>15</v>
      </c>
      <c r="H2" s="135">
        <f>VLOOKUP(A2,import!A:AA,8,0)</f>
        <v>4</v>
      </c>
      <c r="I2" s="135">
        <f>VLOOKUP(A2,import!A:AA,9,0)</f>
        <v>19</v>
      </c>
      <c r="J2" s="195">
        <f>VLOOKUP(A2,import!A:AA,10,0)</f>
        <v>0.79</v>
      </c>
      <c r="K2" s="135" t="s">
        <v>1146</v>
      </c>
      <c r="L2" s="135">
        <v>5.394067198E9</v>
      </c>
      <c r="M2" s="135" t="s">
        <v>1147</v>
      </c>
      <c r="N2" s="135" t="s">
        <v>1148</v>
      </c>
      <c r="O2" s="135" t="s">
        <v>1149</v>
      </c>
      <c r="P2" s="135" t="str">
        <f>VLOOKUP(A2,import!A:P,16,0)</f>
        <v>Geleneksel</v>
      </c>
      <c r="Q2" s="196"/>
      <c r="R2" s="196" t="b">
        <v>1</v>
      </c>
      <c r="S2" s="196" t="b">
        <v>1</v>
      </c>
      <c r="T2" s="197"/>
      <c r="U2" s="197"/>
      <c r="V2" s="197"/>
      <c r="W2" s="197" t="s">
        <v>1150</v>
      </c>
      <c r="X2" s="198"/>
      <c r="Y2" s="198"/>
      <c r="Z2" s="199"/>
      <c r="AA2" s="200" t="s">
        <v>1151</v>
      </c>
      <c r="AB2" s="201">
        <v>44379.0</v>
      </c>
      <c r="AC2" s="199"/>
      <c r="AD2" s="199"/>
      <c r="AE2" s="105"/>
      <c r="AF2" s="199"/>
      <c r="AG2" s="105"/>
      <c r="AH2" s="199"/>
      <c r="AI2" s="199"/>
      <c r="AJ2" s="199"/>
      <c r="AK2" s="200" t="s">
        <v>257</v>
      </c>
      <c r="AL2" s="199"/>
      <c r="AM2" s="199"/>
      <c r="AN2" s="199"/>
      <c r="AO2" s="199"/>
      <c r="AP2" s="202" t="s">
        <v>1152</v>
      </c>
      <c r="AQ2" s="199"/>
    </row>
    <row r="3">
      <c r="A3" s="135" t="s">
        <v>1153</v>
      </c>
      <c r="B3" s="135" t="s">
        <v>1154</v>
      </c>
      <c r="C3" s="135" t="str">
        <f>VLOOKUP(A3,import!A:C,3,0)</f>
        <v>DOĞRU</v>
      </c>
      <c r="D3" s="135" t="s">
        <v>1155</v>
      </c>
      <c r="E3" s="194">
        <f>VLOOKUP(A3,import!A:AA,5,0)</f>
        <v>120</v>
      </c>
      <c r="F3" s="194" t="str">
        <f>VLOOKUP(A3,import!A:AA,6,0)</f>
        <v/>
      </c>
      <c r="G3" s="135">
        <f>VLOOKUP(A3,import!A:AA,7,0)</f>
        <v>0</v>
      </c>
      <c r="H3" s="135">
        <f>VLOOKUP(A3,import!A:AA,8,0)</f>
        <v>41</v>
      </c>
      <c r="I3" s="135">
        <f>VLOOKUP(A3,import!A:AA,9,0)</f>
        <v>41</v>
      </c>
      <c r="J3" s="195">
        <f>VLOOKUP(A3,import!A:AA,10,0)</f>
        <v>0</v>
      </c>
      <c r="K3" s="135" t="s">
        <v>1156</v>
      </c>
      <c r="L3" s="135">
        <v>5.380593677E9</v>
      </c>
      <c r="M3" s="135" t="s">
        <v>1147</v>
      </c>
      <c r="N3" s="135" t="s">
        <v>1157</v>
      </c>
      <c r="O3" s="135" t="s">
        <v>1158</v>
      </c>
      <c r="P3" s="135" t="str">
        <f>VLOOKUP(A3,import!A:P,16,0)</f>
        <v>Geleneksel</v>
      </c>
      <c r="Q3" s="196"/>
      <c r="R3" s="196" t="b">
        <v>1</v>
      </c>
      <c r="S3" s="196" t="b">
        <v>0</v>
      </c>
      <c r="T3" s="197" t="s">
        <v>1159</v>
      </c>
      <c r="U3" s="197"/>
      <c r="V3" s="197"/>
      <c r="W3" s="197" t="s">
        <v>1160</v>
      </c>
      <c r="X3" s="198"/>
      <c r="Y3" s="198"/>
      <c r="Z3" s="199"/>
      <c r="AA3" s="200" t="s">
        <v>1151</v>
      </c>
      <c r="AB3" s="201">
        <v>44606.0</v>
      </c>
      <c r="AC3" s="199"/>
      <c r="AD3" s="199"/>
      <c r="AE3" s="105"/>
      <c r="AF3" s="199"/>
      <c r="AG3" s="105"/>
      <c r="AH3" s="199"/>
      <c r="AI3" s="199"/>
      <c r="AJ3" s="199"/>
      <c r="AK3" s="200" t="s">
        <v>1161</v>
      </c>
      <c r="AL3" s="199"/>
      <c r="AM3" s="199"/>
      <c r="AN3" s="199"/>
      <c r="AO3" s="199"/>
      <c r="AP3" s="202"/>
      <c r="AQ3" s="199"/>
    </row>
    <row r="4">
      <c r="A4" s="135" t="s">
        <v>205</v>
      </c>
      <c r="B4" s="135" t="s">
        <v>206</v>
      </c>
      <c r="C4" s="135" t="str">
        <f>VLOOKUP(A4,import!A:C,3,0)</f>
        <v>DOĞRU</v>
      </c>
      <c r="D4" s="135" t="s">
        <v>1162</v>
      </c>
      <c r="E4" s="194">
        <f>VLOOKUP(A4,import!A:AA,5,0)</f>
        <v>563</v>
      </c>
      <c r="F4" s="194" t="str">
        <f>VLOOKUP(A4,import!A:AA,6,0)</f>
        <v/>
      </c>
      <c r="G4" s="135">
        <f>VLOOKUP(A4,import!A:AA,7,0)</f>
        <v>12</v>
      </c>
      <c r="H4" s="135">
        <f>VLOOKUP(A4,import!A:AA,8,0)</f>
        <v>15</v>
      </c>
      <c r="I4" s="135">
        <f>VLOOKUP(A4,import!A:AA,9,0)</f>
        <v>27</v>
      </c>
      <c r="J4" s="195">
        <f>VLOOKUP(A4,import!A:AA,10,0)</f>
        <v>0.44</v>
      </c>
      <c r="K4" s="135" t="s">
        <v>1163</v>
      </c>
      <c r="L4" s="135">
        <v>5.436606666E9</v>
      </c>
      <c r="M4" s="135" t="s">
        <v>1147</v>
      </c>
      <c r="N4" s="135" t="s">
        <v>1164</v>
      </c>
      <c r="O4" s="135" t="s">
        <v>1018</v>
      </c>
      <c r="P4" s="135" t="str">
        <f>VLOOKUP(A4,import!A:P,16,0)</f>
        <v>Geleneksel</v>
      </c>
      <c r="Q4" s="196"/>
      <c r="R4" s="196" t="b">
        <v>1</v>
      </c>
      <c r="S4" s="196" t="b">
        <v>0</v>
      </c>
      <c r="T4" s="197" t="s">
        <v>1165</v>
      </c>
      <c r="U4" s="197" t="s">
        <v>189</v>
      </c>
      <c r="V4" s="197" t="s">
        <v>91</v>
      </c>
      <c r="W4" s="197" t="s">
        <v>1166</v>
      </c>
      <c r="X4" s="198">
        <v>44299.0</v>
      </c>
      <c r="Y4" s="198">
        <v>44300.0</v>
      </c>
      <c r="Z4" s="199"/>
      <c r="AA4" s="200" t="s">
        <v>1151</v>
      </c>
      <c r="AB4" s="201">
        <v>44363.0</v>
      </c>
      <c r="AC4" s="199"/>
      <c r="AD4" s="199"/>
      <c r="AE4" s="105"/>
      <c r="AF4" s="199"/>
      <c r="AG4" s="105"/>
      <c r="AH4" s="199"/>
      <c r="AI4" s="199"/>
      <c r="AJ4" s="199"/>
      <c r="AK4" s="200" t="s">
        <v>1167</v>
      </c>
      <c r="AL4" s="199"/>
      <c r="AM4" s="199"/>
      <c r="AN4" s="199"/>
      <c r="AO4" s="199"/>
      <c r="AP4" s="202" t="s">
        <v>1152</v>
      </c>
      <c r="AQ4" s="199"/>
    </row>
    <row r="5">
      <c r="A5" s="135" t="s">
        <v>1168</v>
      </c>
      <c r="B5" s="135" t="s">
        <v>1169</v>
      </c>
      <c r="C5" s="135" t="str">
        <f>VLOOKUP(A5,import!A:C,3,0)</f>
        <v>DOĞRU</v>
      </c>
      <c r="D5" s="135" t="s">
        <v>1170</v>
      </c>
      <c r="E5" s="194">
        <f>VLOOKUP(A5,import!A:AA,5,0)</f>
        <v>46</v>
      </c>
      <c r="F5" s="194">
        <f>VLOOKUP(A5,import!A:AA,6,0)</f>
        <v>20</v>
      </c>
      <c r="G5" s="135">
        <f>VLOOKUP(A5,import!A:AA,7,0)</f>
        <v>0</v>
      </c>
      <c r="H5" s="135">
        <f>VLOOKUP(A5,import!A:AA,8,0)</f>
        <v>20</v>
      </c>
      <c r="I5" s="135">
        <f>VLOOKUP(A5,import!A:AA,9,0)</f>
        <v>20</v>
      </c>
      <c r="J5" s="195">
        <f>VLOOKUP(A5,import!A:AA,10,0)</f>
        <v>0</v>
      </c>
      <c r="K5" s="135" t="s">
        <v>1171</v>
      </c>
      <c r="L5" s="135">
        <v>5.493773444E9</v>
      </c>
      <c r="M5" s="135" t="s">
        <v>1172</v>
      </c>
      <c r="N5" s="135" t="s">
        <v>1173</v>
      </c>
      <c r="O5" s="135" t="s">
        <v>1174</v>
      </c>
      <c r="P5" s="135" t="str">
        <f>VLOOKUP(A5,import!A:P,16,0)</f>
        <v>Geleneksel</v>
      </c>
      <c r="Q5" s="196"/>
      <c r="R5" s="196" t="b">
        <v>0</v>
      </c>
      <c r="S5" s="196" t="b">
        <v>0</v>
      </c>
      <c r="T5" s="197"/>
      <c r="U5" s="197"/>
      <c r="V5" s="203"/>
      <c r="W5" s="197"/>
      <c r="X5" s="198"/>
      <c r="Y5" s="198"/>
      <c r="Z5" s="199"/>
      <c r="AA5" s="200"/>
      <c r="AB5" s="201"/>
      <c r="AC5" s="199"/>
      <c r="AD5" s="199"/>
      <c r="AE5" s="105"/>
      <c r="AF5" s="199"/>
      <c r="AG5" s="105"/>
      <c r="AH5" s="199"/>
      <c r="AI5" s="199"/>
      <c r="AJ5" s="199"/>
      <c r="AK5" s="200"/>
      <c r="AL5" s="199"/>
      <c r="AM5" s="199"/>
      <c r="AN5" s="199"/>
      <c r="AO5" s="199"/>
      <c r="AP5" s="202"/>
      <c r="AQ5" s="199"/>
    </row>
    <row r="6">
      <c r="A6" s="135" t="s">
        <v>402</v>
      </c>
      <c r="B6" s="135" t="s">
        <v>403</v>
      </c>
      <c r="C6" s="135" t="str">
        <f>VLOOKUP(A6,import!A:C,3,0)</f>
        <v>YANLIŞ</v>
      </c>
      <c r="D6" s="135" t="s">
        <v>1175</v>
      </c>
      <c r="E6" s="194">
        <f>VLOOKUP(A6,import!A:AA,5,0)</f>
        <v>44</v>
      </c>
      <c r="F6" s="194" t="str">
        <f>VLOOKUP(A6,import!A:AA,6,0)</f>
        <v/>
      </c>
      <c r="G6" s="135">
        <f>VLOOKUP(A6,import!A:AA,7,0)</f>
        <v>7</v>
      </c>
      <c r="H6" s="135">
        <f>VLOOKUP(A6,import!A:AA,8,0)</f>
        <v>11</v>
      </c>
      <c r="I6" s="135">
        <f>VLOOKUP(A6,import!A:AA,9,0)</f>
        <v>18</v>
      </c>
      <c r="J6" s="195">
        <f>VLOOKUP(A6,import!A:AA,10,0)</f>
        <v>0.39</v>
      </c>
      <c r="K6" s="135" t="s">
        <v>1176</v>
      </c>
      <c r="L6" s="135">
        <v>5.42833075E9</v>
      </c>
      <c r="M6" s="135" t="s">
        <v>1177</v>
      </c>
      <c r="N6" s="135" t="s">
        <v>1178</v>
      </c>
      <c r="O6" s="135" t="s">
        <v>407</v>
      </c>
      <c r="P6" s="135" t="str">
        <f>VLOOKUP(A6,import!A:P,16,0)</f>
        <v>Geleneksel</v>
      </c>
      <c r="Q6" s="196"/>
      <c r="R6" s="196" t="b">
        <v>1</v>
      </c>
      <c r="S6" s="196" t="b">
        <v>0</v>
      </c>
      <c r="T6" s="197" t="s">
        <v>1165</v>
      </c>
      <c r="U6" s="197" t="s">
        <v>310</v>
      </c>
      <c r="V6" s="197" t="s">
        <v>91</v>
      </c>
      <c r="W6" s="197" t="s">
        <v>1179</v>
      </c>
      <c r="X6" s="198">
        <v>44314.0</v>
      </c>
      <c r="Y6" s="198">
        <v>44315.0</v>
      </c>
      <c r="Z6" s="199"/>
      <c r="AA6" s="199"/>
      <c r="AB6" s="199"/>
      <c r="AC6" s="199"/>
      <c r="AD6" s="199"/>
      <c r="AE6" s="105"/>
      <c r="AF6" s="199"/>
      <c r="AG6" s="105"/>
      <c r="AH6" s="199"/>
      <c r="AI6" s="199"/>
      <c r="AJ6" s="199"/>
      <c r="AK6" s="199"/>
      <c r="AL6" s="199"/>
      <c r="AM6" s="199"/>
      <c r="AN6" s="199"/>
      <c r="AO6" s="199"/>
      <c r="AP6" s="202" t="s">
        <v>1152</v>
      </c>
      <c r="AQ6" s="199"/>
    </row>
    <row r="7">
      <c r="A7" s="202" t="s">
        <v>1180</v>
      </c>
      <c r="B7" s="202" t="s">
        <v>1181</v>
      </c>
      <c r="C7" s="135" t="str">
        <f>VLOOKUP(A7,import!A:C,3,0)</f>
        <v>DOĞRU</v>
      </c>
      <c r="D7" s="202" t="s">
        <v>1182</v>
      </c>
      <c r="E7" s="194" t="str">
        <f>VLOOKUP(A7,import!A:AA,5,0)</f>
        <v/>
      </c>
      <c r="F7" s="194" t="str">
        <f>VLOOKUP(A7,import!A:AA,6,0)</f>
        <v/>
      </c>
      <c r="G7" s="135">
        <f>VLOOKUP(A7,import!A:AA,7,0)</f>
        <v>0</v>
      </c>
      <c r="H7" s="135">
        <f>VLOOKUP(A7,import!A:AA,8,0)</f>
        <v>4</v>
      </c>
      <c r="I7" s="135">
        <f>VLOOKUP(A7,import!A:AA,9,0)</f>
        <v>4</v>
      </c>
      <c r="J7" s="195">
        <f>VLOOKUP(A7,import!A:AA,10,0)</f>
        <v>0</v>
      </c>
      <c r="K7" s="202" t="s">
        <v>1183</v>
      </c>
      <c r="L7" s="202">
        <v>5.417338374E9</v>
      </c>
      <c r="M7" s="202" t="s">
        <v>1177</v>
      </c>
      <c r="N7" s="202" t="s">
        <v>1184</v>
      </c>
      <c r="O7" s="202" t="s">
        <v>1185</v>
      </c>
      <c r="P7" s="135" t="str">
        <f>VLOOKUP(A7,import!A:P,16,0)</f>
        <v>Geleneksel</v>
      </c>
      <c r="Q7" s="196"/>
      <c r="R7" s="196" t="b">
        <v>0</v>
      </c>
      <c r="S7" s="196" t="b">
        <v>0</v>
      </c>
      <c r="T7" s="197"/>
      <c r="U7" s="197"/>
      <c r="V7" s="197"/>
      <c r="W7" s="197"/>
      <c r="X7" s="198"/>
      <c r="Y7" s="198"/>
      <c r="Z7" s="199"/>
      <c r="AA7" s="200"/>
      <c r="AB7" s="201"/>
      <c r="AC7" s="199"/>
      <c r="AD7" s="199"/>
      <c r="AE7" s="105"/>
      <c r="AF7" s="199"/>
      <c r="AG7" s="105"/>
      <c r="AH7" s="199"/>
      <c r="AI7" s="199"/>
      <c r="AJ7" s="199"/>
      <c r="AK7" s="200"/>
      <c r="AL7" s="199"/>
      <c r="AM7" s="199"/>
      <c r="AN7" s="199"/>
      <c r="AO7" s="199"/>
      <c r="AP7" s="202"/>
      <c r="AQ7" s="199"/>
    </row>
    <row r="8">
      <c r="A8" s="202" t="s">
        <v>1186</v>
      </c>
      <c r="B8" s="202" t="s">
        <v>1187</v>
      </c>
      <c r="C8" s="135" t="str">
        <f>VLOOKUP(A8,import!A:C,3,0)</f>
        <v>DOĞRU</v>
      </c>
      <c r="D8" s="202" t="s">
        <v>1188</v>
      </c>
      <c r="E8" s="194" t="str">
        <f>VLOOKUP(A8,import!A:AA,5,0)</f>
        <v/>
      </c>
      <c r="F8" s="194" t="str">
        <f>VLOOKUP(A8,import!A:AA,6,0)</f>
        <v/>
      </c>
      <c r="G8" s="135">
        <f>VLOOKUP(A8,import!A:AA,7,0)</f>
        <v>0</v>
      </c>
      <c r="H8" s="135">
        <f>VLOOKUP(A8,import!A:AA,8,0)</f>
        <v>20</v>
      </c>
      <c r="I8" s="135">
        <f>VLOOKUP(A8,import!A:AA,9,0)</f>
        <v>20</v>
      </c>
      <c r="J8" s="195">
        <f>VLOOKUP(A8,import!A:AA,10,0)</f>
        <v>0</v>
      </c>
      <c r="K8" s="202" t="s">
        <v>1189</v>
      </c>
      <c r="L8" s="202">
        <v>5.354313106E9</v>
      </c>
      <c r="M8" s="202" t="s">
        <v>1172</v>
      </c>
      <c r="N8" s="202" t="s">
        <v>1190</v>
      </c>
      <c r="O8" s="202" t="s">
        <v>1191</v>
      </c>
      <c r="P8" s="135" t="str">
        <f>VLOOKUP(A8,import!A:P,16,0)</f>
        <v>Geleneksel</v>
      </c>
      <c r="Q8" s="196"/>
      <c r="R8" s="196" t="b">
        <v>0</v>
      </c>
      <c r="S8" s="196" t="b">
        <v>0</v>
      </c>
      <c r="T8" s="197"/>
      <c r="U8" s="197"/>
      <c r="V8" s="197"/>
      <c r="W8" s="197"/>
      <c r="X8" s="198"/>
      <c r="Y8" s="198"/>
      <c r="Z8" s="199"/>
      <c r="AA8" s="200"/>
      <c r="AB8" s="201"/>
      <c r="AC8" s="199"/>
      <c r="AD8" s="199"/>
      <c r="AE8" s="105"/>
      <c r="AF8" s="199"/>
      <c r="AG8" s="105"/>
      <c r="AH8" s="199"/>
      <c r="AI8" s="199"/>
      <c r="AJ8" s="199"/>
      <c r="AK8" s="200"/>
      <c r="AL8" s="199"/>
      <c r="AM8" s="199"/>
      <c r="AN8" s="199"/>
      <c r="AO8" s="199"/>
      <c r="AP8" s="202"/>
      <c r="AQ8" s="199"/>
    </row>
    <row r="9">
      <c r="A9" s="135" t="s">
        <v>804</v>
      </c>
      <c r="B9" s="135" t="s">
        <v>805</v>
      </c>
      <c r="C9" s="135" t="str">
        <f>VLOOKUP(A9,import!A:C,3,0)</f>
        <v>DOĞRU</v>
      </c>
      <c r="D9" s="135" t="s">
        <v>1188</v>
      </c>
      <c r="E9" s="194">
        <f>VLOOKUP(A9,import!A:AA,5,0)</f>
        <v>3106</v>
      </c>
      <c r="F9" s="194">
        <f>VLOOKUP(A9,import!A:AA,6,0)</f>
        <v>104</v>
      </c>
      <c r="G9" s="135">
        <f>VLOOKUP(A9,import!A:AA,7,0)</f>
        <v>12</v>
      </c>
      <c r="H9" s="135">
        <f>VLOOKUP(A9,import!A:AA,8,0)</f>
        <v>9</v>
      </c>
      <c r="I9" s="135">
        <f>VLOOKUP(A9,import!A:AA,9,0)</f>
        <v>21</v>
      </c>
      <c r="J9" s="195">
        <f>VLOOKUP(A9,import!A:AA,10,0)</f>
        <v>0.57</v>
      </c>
      <c r="K9" s="135" t="s">
        <v>1192</v>
      </c>
      <c r="L9" s="135">
        <v>5.338174818E9</v>
      </c>
      <c r="M9" s="135" t="s">
        <v>1172</v>
      </c>
      <c r="N9" s="135" t="s">
        <v>1193</v>
      </c>
      <c r="O9" s="135" t="s">
        <v>808</v>
      </c>
      <c r="P9" s="135" t="str">
        <f>VLOOKUP(A9,import!A:P,16,0)</f>
        <v>Geleneksel</v>
      </c>
      <c r="Q9" s="196"/>
      <c r="R9" s="196" t="b">
        <v>1</v>
      </c>
      <c r="S9" s="196" t="b">
        <v>0</v>
      </c>
      <c r="T9" s="197" t="s">
        <v>1165</v>
      </c>
      <c r="U9" s="197" t="s">
        <v>189</v>
      </c>
      <c r="V9" s="197" t="s">
        <v>91</v>
      </c>
      <c r="W9" s="197" t="s">
        <v>1194</v>
      </c>
      <c r="X9" s="198">
        <v>44363.0</v>
      </c>
      <c r="Y9" s="198">
        <v>44368.0</v>
      </c>
      <c r="Z9" s="199"/>
      <c r="AA9" s="199"/>
      <c r="AB9" s="199"/>
      <c r="AC9" s="199"/>
      <c r="AD9" s="199"/>
      <c r="AE9" s="105"/>
      <c r="AF9" s="199"/>
      <c r="AG9" s="105"/>
      <c r="AH9" s="199"/>
      <c r="AI9" s="199"/>
      <c r="AJ9" s="199"/>
      <c r="AK9" s="199"/>
      <c r="AL9" s="199"/>
      <c r="AM9" s="199"/>
      <c r="AN9" s="199"/>
      <c r="AO9" s="199"/>
      <c r="AP9" s="202" t="s">
        <v>1152</v>
      </c>
      <c r="AQ9" s="199"/>
    </row>
    <row r="10">
      <c r="A10" s="135" t="s">
        <v>243</v>
      </c>
      <c r="B10" s="135" t="s">
        <v>244</v>
      </c>
      <c r="C10" s="135" t="str">
        <f>VLOOKUP(A10,import!A:C,3,0)</f>
        <v>DOĞRU</v>
      </c>
      <c r="D10" s="135" t="s">
        <v>1155</v>
      </c>
      <c r="E10" s="194">
        <f>VLOOKUP(A10,import!A:AA,5,0)</f>
        <v>30</v>
      </c>
      <c r="F10" s="194" t="str">
        <f>VLOOKUP(A10,import!A:AA,6,0)</f>
        <v/>
      </c>
      <c r="G10" s="135">
        <f>VLOOKUP(A10,import!A:AA,7,0)</f>
        <v>10</v>
      </c>
      <c r="H10" s="135">
        <f>VLOOKUP(A10,import!A:AA,8,0)</f>
        <v>10</v>
      </c>
      <c r="I10" s="135">
        <f>VLOOKUP(A10,import!A:AA,9,0)</f>
        <v>20</v>
      </c>
      <c r="J10" s="195">
        <f>VLOOKUP(A10,import!A:AA,10,0)</f>
        <v>0.5</v>
      </c>
      <c r="K10" s="135" t="s">
        <v>1195</v>
      </c>
      <c r="L10" s="135">
        <v>5.42583995E9</v>
      </c>
      <c r="M10" s="135" t="s">
        <v>1172</v>
      </c>
      <c r="N10" s="135" t="s">
        <v>1196</v>
      </c>
      <c r="O10" s="135" t="s">
        <v>247</v>
      </c>
      <c r="P10" s="135" t="str">
        <f>VLOOKUP(A10,import!A:P,16,0)</f>
        <v>Geleneksel</v>
      </c>
      <c r="Q10" s="196"/>
      <c r="R10" s="196" t="b">
        <v>1</v>
      </c>
      <c r="S10" s="196" t="b">
        <v>0</v>
      </c>
      <c r="T10" s="197" t="s">
        <v>1165</v>
      </c>
      <c r="U10" s="197" t="s">
        <v>189</v>
      </c>
      <c r="V10" s="197" t="s">
        <v>91</v>
      </c>
      <c r="W10" s="197" t="s">
        <v>754</v>
      </c>
      <c r="X10" s="198">
        <v>44340.0</v>
      </c>
      <c r="Y10" s="198">
        <v>44340.0</v>
      </c>
      <c r="Z10" s="199"/>
      <c r="AA10" s="199"/>
      <c r="AB10" s="199"/>
      <c r="AC10" s="199"/>
      <c r="AD10" s="199"/>
      <c r="AE10" s="105"/>
      <c r="AF10" s="199"/>
      <c r="AG10" s="105"/>
      <c r="AH10" s="199"/>
      <c r="AI10" s="199"/>
      <c r="AJ10" s="199"/>
      <c r="AK10" s="199"/>
      <c r="AL10" s="199"/>
      <c r="AM10" s="199"/>
      <c r="AN10" s="199"/>
      <c r="AO10" s="199"/>
      <c r="AP10" s="202" t="s">
        <v>1152</v>
      </c>
      <c r="AQ10" s="199"/>
    </row>
    <row r="11">
      <c r="A11" s="135" t="s">
        <v>1197</v>
      </c>
      <c r="B11" s="135" t="s">
        <v>1198</v>
      </c>
      <c r="C11" s="135" t="str">
        <f>VLOOKUP(A11,import!A:C,3,0)</f>
        <v>YANLIŞ</v>
      </c>
      <c r="D11" s="135" t="s">
        <v>1188</v>
      </c>
      <c r="E11" s="194">
        <f>VLOOKUP(A11,import!A:AA,5,0)</f>
        <v>366</v>
      </c>
      <c r="F11" s="194" t="str">
        <f>VLOOKUP(A11,import!A:AA,6,0)</f>
        <v/>
      </c>
      <c r="G11" s="135">
        <f>VLOOKUP(A11,import!A:AA,7,0)</f>
        <v>0</v>
      </c>
      <c r="H11" s="135">
        <f>VLOOKUP(A11,import!A:AA,8,0)</f>
        <v>24</v>
      </c>
      <c r="I11" s="135">
        <f>VLOOKUP(A11,import!A:AA,9,0)</f>
        <v>24</v>
      </c>
      <c r="J11" s="195">
        <f>VLOOKUP(A11,import!A:AA,10,0)</f>
        <v>0</v>
      </c>
      <c r="K11" s="135" t="s">
        <v>1199</v>
      </c>
      <c r="L11" s="135">
        <v>5.525305454E9</v>
      </c>
      <c r="M11" s="135" t="s">
        <v>1147</v>
      </c>
      <c r="N11" s="135" t="s">
        <v>1200</v>
      </c>
      <c r="O11" s="135" t="s">
        <v>1201</v>
      </c>
      <c r="P11" s="135" t="str">
        <f>VLOOKUP(A11,import!A:P,16,0)</f>
        <v>Geleneksel</v>
      </c>
      <c r="Q11" s="196"/>
      <c r="R11" s="196" t="b">
        <v>1</v>
      </c>
      <c r="S11" s="196" t="b">
        <v>0</v>
      </c>
      <c r="T11" s="197" t="s">
        <v>1202</v>
      </c>
      <c r="U11" s="204"/>
      <c r="V11" s="204"/>
      <c r="W11" s="205" t="s">
        <v>1203</v>
      </c>
      <c r="X11" s="206"/>
      <c r="Y11" s="206"/>
      <c r="Z11" s="199"/>
      <c r="AA11" s="200" t="s">
        <v>1202</v>
      </c>
      <c r="AB11" s="201">
        <v>44350.0</v>
      </c>
      <c r="AC11" s="200" t="s">
        <v>1202</v>
      </c>
      <c r="AD11" s="201">
        <v>44351.0</v>
      </c>
      <c r="AE11" s="200" t="s">
        <v>1202</v>
      </c>
      <c r="AF11" s="201">
        <v>44358.0</v>
      </c>
      <c r="AG11" s="200" t="s">
        <v>1202</v>
      </c>
      <c r="AH11" s="201">
        <v>44368.0</v>
      </c>
      <c r="AI11" s="200" t="s">
        <v>1202</v>
      </c>
      <c r="AJ11" s="201">
        <v>44405.0</v>
      </c>
      <c r="AK11" s="200" t="s">
        <v>1204</v>
      </c>
      <c r="AL11" s="200" t="s">
        <v>257</v>
      </c>
      <c r="AM11" s="200" t="s">
        <v>1167</v>
      </c>
      <c r="AN11" s="200" t="s">
        <v>92</v>
      </c>
      <c r="AO11" s="200" t="s">
        <v>92</v>
      </c>
      <c r="AP11" s="202" t="s">
        <v>1152</v>
      </c>
      <c r="AQ11" s="200"/>
    </row>
    <row r="12">
      <c r="A12" s="135" t="s">
        <v>1205</v>
      </c>
      <c r="B12" s="135" t="s">
        <v>1206</v>
      </c>
      <c r="C12" s="135" t="str">
        <f>VLOOKUP(A12,import!A:C,3,0)</f>
        <v>YANLIŞ</v>
      </c>
      <c r="D12" s="135" t="s">
        <v>1170</v>
      </c>
      <c r="E12" s="194">
        <f>VLOOKUP(A12,import!A:AA,5,0)</f>
        <v>21</v>
      </c>
      <c r="F12" s="194" t="str">
        <f>VLOOKUP(A12,import!A:AA,6,0)</f>
        <v/>
      </c>
      <c r="G12" s="135">
        <f>VLOOKUP(A12,import!A:AA,7,0)</f>
        <v>0</v>
      </c>
      <c r="H12" s="135">
        <f>VLOOKUP(A12,import!A:AA,8,0)</f>
        <v>6</v>
      </c>
      <c r="I12" s="135">
        <f>VLOOKUP(A12,import!A:AA,9,0)</f>
        <v>6</v>
      </c>
      <c r="J12" s="195">
        <f>VLOOKUP(A12,import!A:AA,10,0)</f>
        <v>0</v>
      </c>
      <c r="K12" s="135" t="s">
        <v>1207</v>
      </c>
      <c r="L12" s="135">
        <v>5.52828321E9</v>
      </c>
      <c r="M12" s="135" t="s">
        <v>1147</v>
      </c>
      <c r="N12" s="135" t="s">
        <v>1148</v>
      </c>
      <c r="O12" s="135" t="s">
        <v>1208</v>
      </c>
      <c r="P12" s="135" t="str">
        <f>VLOOKUP(A12,import!A:P,16,0)</f>
        <v>Geleneksel</v>
      </c>
      <c r="Q12" s="196"/>
      <c r="R12" s="196" t="b">
        <v>1</v>
      </c>
      <c r="S12" s="196" t="b">
        <v>0</v>
      </c>
      <c r="T12" s="197" t="s">
        <v>1209</v>
      </c>
      <c r="U12" s="204"/>
      <c r="V12" s="204"/>
      <c r="W12" s="197"/>
      <c r="X12" s="206"/>
      <c r="Y12" s="206"/>
      <c r="Z12" s="199"/>
      <c r="AA12" s="199"/>
      <c r="AB12" s="199"/>
      <c r="AC12" s="199"/>
      <c r="AD12" s="199"/>
      <c r="AE12" s="105"/>
      <c r="AF12" s="199"/>
      <c r="AG12" s="105"/>
      <c r="AH12" s="199"/>
      <c r="AI12" s="199"/>
      <c r="AJ12" s="199"/>
      <c r="AK12" s="199"/>
      <c r="AL12" s="199"/>
      <c r="AM12" s="199"/>
      <c r="AN12" s="199"/>
      <c r="AO12" s="199"/>
      <c r="AP12" s="202" t="s">
        <v>1152</v>
      </c>
      <c r="AQ12" s="199"/>
    </row>
    <row r="13">
      <c r="A13" s="135" t="s">
        <v>1210</v>
      </c>
      <c r="B13" s="135" t="s">
        <v>1211</v>
      </c>
      <c r="C13" s="135" t="str">
        <f>VLOOKUP(A13,import!A:C,3,0)</f>
        <v>DOĞRU</v>
      </c>
      <c r="D13" s="135" t="s">
        <v>1170</v>
      </c>
      <c r="E13" s="194">
        <f>VLOOKUP(A13,import!A:AA,5,0)</f>
        <v>14</v>
      </c>
      <c r="F13" s="194" t="str">
        <f>VLOOKUP(A13,import!A:AA,6,0)</f>
        <v/>
      </c>
      <c r="G13" s="135">
        <f>VLOOKUP(A13,import!A:AA,7,0)</f>
        <v>0</v>
      </c>
      <c r="H13" s="135">
        <f>VLOOKUP(A13,import!A:AA,8,0)</f>
        <v>5</v>
      </c>
      <c r="I13" s="135">
        <f>VLOOKUP(A13,import!A:AA,9,0)</f>
        <v>5</v>
      </c>
      <c r="J13" s="195">
        <f>VLOOKUP(A13,import!A:AA,10,0)</f>
        <v>0</v>
      </c>
      <c r="K13" s="135" t="s">
        <v>1207</v>
      </c>
      <c r="L13" s="135">
        <v>5.52828321E9</v>
      </c>
      <c r="M13" s="135" t="s">
        <v>1147</v>
      </c>
      <c r="N13" s="135" t="s">
        <v>1148</v>
      </c>
      <c r="O13" s="135" t="s">
        <v>1212</v>
      </c>
      <c r="P13" s="135" t="str">
        <f>VLOOKUP(A13,import!A:P,16,0)</f>
        <v>Geleneksel</v>
      </c>
      <c r="Q13" s="196"/>
      <c r="R13" s="196" t="b">
        <v>1</v>
      </c>
      <c r="S13" s="196" t="b">
        <v>0</v>
      </c>
      <c r="T13" s="197" t="s">
        <v>1209</v>
      </c>
      <c r="U13" s="204"/>
      <c r="V13" s="204"/>
      <c r="W13" s="197" t="s">
        <v>1213</v>
      </c>
      <c r="X13" s="206"/>
      <c r="Y13" s="206"/>
      <c r="Z13" s="199"/>
      <c r="AA13" s="199"/>
      <c r="AB13" s="199"/>
      <c r="AC13" s="199"/>
      <c r="AD13" s="199"/>
      <c r="AE13" s="105"/>
      <c r="AF13" s="199"/>
      <c r="AG13" s="105"/>
      <c r="AH13" s="199"/>
      <c r="AI13" s="199"/>
      <c r="AJ13" s="199"/>
      <c r="AK13" s="199"/>
      <c r="AL13" s="199"/>
      <c r="AM13" s="199"/>
      <c r="AN13" s="199"/>
      <c r="AO13" s="199"/>
      <c r="AP13" s="202" t="s">
        <v>1152</v>
      </c>
      <c r="AQ13" s="199"/>
    </row>
    <row r="14">
      <c r="A14" s="202" t="s">
        <v>1214</v>
      </c>
      <c r="B14" s="202" t="s">
        <v>1215</v>
      </c>
      <c r="C14" s="135" t="str">
        <f>VLOOKUP(A14,import!A:C,3,0)</f>
        <v>DOĞRU</v>
      </c>
      <c r="D14" s="202" t="s">
        <v>1216</v>
      </c>
      <c r="E14" s="194" t="str">
        <f>VLOOKUP(A14,import!A:AA,5,0)</f>
        <v/>
      </c>
      <c r="F14" s="194" t="str">
        <f>VLOOKUP(A14,import!A:AA,6,0)</f>
        <v/>
      </c>
      <c r="G14" s="135">
        <f>VLOOKUP(A14,import!A:AA,7,0)</f>
        <v>0</v>
      </c>
      <c r="H14" s="135">
        <f>VLOOKUP(A14,import!A:AA,8,0)</f>
        <v>14</v>
      </c>
      <c r="I14" s="135">
        <f>VLOOKUP(A14,import!A:AA,9,0)</f>
        <v>14</v>
      </c>
      <c r="J14" s="195">
        <f>VLOOKUP(A14,import!A:AA,10,0)</f>
        <v>0</v>
      </c>
      <c r="K14" s="202" t="s">
        <v>1217</v>
      </c>
      <c r="L14" s="202">
        <v>2.64275606E9</v>
      </c>
      <c r="M14" s="202" t="s">
        <v>1147</v>
      </c>
      <c r="N14" s="202" t="s">
        <v>1218</v>
      </c>
      <c r="O14" s="202" t="s">
        <v>1219</v>
      </c>
      <c r="P14" s="135" t="str">
        <f>VLOOKUP(A14,import!A:P,16,0)</f>
        <v>Geleneksel</v>
      </c>
      <c r="Q14" s="196"/>
      <c r="R14" s="196" t="b">
        <v>0</v>
      </c>
      <c r="S14" s="196" t="b">
        <v>0</v>
      </c>
      <c r="T14" s="197"/>
      <c r="U14" s="197"/>
      <c r="V14" s="197"/>
      <c r="W14" s="197"/>
      <c r="X14" s="198"/>
      <c r="Y14" s="198"/>
      <c r="Z14" s="199"/>
      <c r="AA14" s="200"/>
      <c r="AB14" s="201"/>
      <c r="AC14" s="199"/>
      <c r="AD14" s="199"/>
      <c r="AE14" s="105"/>
      <c r="AF14" s="199"/>
      <c r="AG14" s="105"/>
      <c r="AH14" s="199"/>
      <c r="AI14" s="199"/>
      <c r="AJ14" s="199"/>
      <c r="AK14" s="200"/>
      <c r="AL14" s="199"/>
      <c r="AM14" s="199"/>
      <c r="AN14" s="199"/>
      <c r="AO14" s="199"/>
      <c r="AP14" s="202"/>
      <c r="AQ14" s="199"/>
    </row>
    <row r="15">
      <c r="A15" s="135" t="s">
        <v>778</v>
      </c>
      <c r="B15" s="135" t="s">
        <v>779</v>
      </c>
      <c r="C15" s="135" t="str">
        <f>VLOOKUP(A15,import!A:C,3,0)</f>
        <v>YANLIŞ</v>
      </c>
      <c r="D15" s="135" t="s">
        <v>1220</v>
      </c>
      <c r="E15" s="194">
        <f>VLOOKUP(A15,import!A:AA,5,0)</f>
        <v>1</v>
      </c>
      <c r="F15" s="194" t="str">
        <f>VLOOKUP(A15,import!A:AA,6,0)</f>
        <v/>
      </c>
      <c r="G15" s="135">
        <f>VLOOKUP(A15,import!A:AA,7,0)</f>
        <v>8</v>
      </c>
      <c r="H15" s="135">
        <f>VLOOKUP(A15,import!A:AA,8,0)</f>
        <v>10</v>
      </c>
      <c r="I15" s="135">
        <f>VLOOKUP(A15,import!A:AA,9,0)</f>
        <v>18</v>
      </c>
      <c r="J15" s="195">
        <f>VLOOKUP(A15,import!A:AA,10,0)</f>
        <v>0.44</v>
      </c>
      <c r="K15" s="135" t="s">
        <v>1221</v>
      </c>
      <c r="L15" s="135">
        <v>5.543149053E9</v>
      </c>
      <c r="M15" s="135" t="s">
        <v>1172</v>
      </c>
      <c r="N15" s="135" t="s">
        <v>1222</v>
      </c>
      <c r="O15" s="135" t="s">
        <v>1223</v>
      </c>
      <c r="P15" s="135" t="str">
        <f>VLOOKUP(A15,import!A:P,16,0)</f>
        <v>Geleneksel</v>
      </c>
      <c r="Q15" s="196"/>
      <c r="R15" s="196" t="b">
        <v>1</v>
      </c>
      <c r="S15" s="196" t="b">
        <v>0</v>
      </c>
      <c r="T15" s="197" t="s">
        <v>1165</v>
      </c>
      <c r="U15" s="197" t="s">
        <v>1204</v>
      </c>
      <c r="V15" s="197" t="s">
        <v>91</v>
      </c>
      <c r="W15" s="197"/>
      <c r="X15" s="198">
        <v>44362.0</v>
      </c>
      <c r="Y15" s="198">
        <v>44364.0</v>
      </c>
      <c r="Z15" s="199"/>
      <c r="AA15" s="200" t="s">
        <v>1151</v>
      </c>
      <c r="AB15" s="201">
        <v>44362.0</v>
      </c>
      <c r="AC15" s="199"/>
      <c r="AD15" s="199"/>
      <c r="AE15" s="105"/>
      <c r="AF15" s="199"/>
      <c r="AG15" s="105"/>
      <c r="AH15" s="199"/>
      <c r="AI15" s="199"/>
      <c r="AJ15" s="199"/>
      <c r="AK15" s="200" t="s">
        <v>1204</v>
      </c>
      <c r="AL15" s="199"/>
      <c r="AM15" s="199"/>
      <c r="AN15" s="199"/>
      <c r="AO15" s="199"/>
      <c r="AP15" s="202" t="s">
        <v>1152</v>
      </c>
      <c r="AQ15" s="199"/>
    </row>
    <row r="16">
      <c r="A16" s="135" t="s">
        <v>1224</v>
      </c>
      <c r="B16" s="135" t="s">
        <v>1225</v>
      </c>
      <c r="C16" s="135" t="str">
        <f>VLOOKUP(A16,import!A:C,3,0)</f>
        <v>YANLIŞ</v>
      </c>
      <c r="D16" s="135" t="s">
        <v>1226</v>
      </c>
      <c r="E16" s="194">
        <f>VLOOKUP(A16,import!A:AA,5,0)</f>
        <v>6</v>
      </c>
      <c r="F16" s="194" t="str">
        <f>VLOOKUP(A16,import!A:AA,6,0)</f>
        <v/>
      </c>
      <c r="G16" s="135">
        <f>VLOOKUP(A16,import!A:AA,7,0)</f>
        <v>0</v>
      </c>
      <c r="H16" s="135">
        <f>VLOOKUP(A16,import!A:AA,8,0)</f>
        <v>8</v>
      </c>
      <c r="I16" s="135">
        <f>VLOOKUP(A16,import!A:AA,9,0)</f>
        <v>8</v>
      </c>
      <c r="J16" s="195">
        <f>VLOOKUP(A16,import!A:AA,10,0)</f>
        <v>0</v>
      </c>
      <c r="K16" s="135" t="s">
        <v>1227</v>
      </c>
      <c r="L16" s="135">
        <v>5.342256045E9</v>
      </c>
      <c r="M16" s="135" t="s">
        <v>1172</v>
      </c>
      <c r="N16" s="135" t="s">
        <v>1228</v>
      </c>
      <c r="O16" s="135" t="s">
        <v>1229</v>
      </c>
      <c r="P16" s="135" t="str">
        <f>VLOOKUP(A16,import!A:P,16,0)</f>
        <v>Geleneksel</v>
      </c>
      <c r="Q16" s="196"/>
      <c r="R16" s="196" t="b">
        <v>1</v>
      </c>
      <c r="S16" s="196" t="b">
        <v>0</v>
      </c>
      <c r="T16" s="197" t="s">
        <v>1230</v>
      </c>
      <c r="U16" s="204"/>
      <c r="V16" s="204"/>
      <c r="W16" s="197" t="s">
        <v>1231</v>
      </c>
      <c r="X16" s="206"/>
      <c r="Y16" s="206"/>
      <c r="Z16" s="199"/>
      <c r="AA16" s="200" t="s">
        <v>1151</v>
      </c>
      <c r="AB16" s="201">
        <v>44356.0</v>
      </c>
      <c r="AC16" s="200" t="s">
        <v>1151</v>
      </c>
      <c r="AD16" s="201">
        <v>44363.0</v>
      </c>
      <c r="AE16" s="200" t="s">
        <v>1202</v>
      </c>
      <c r="AF16" s="199"/>
      <c r="AG16" s="200" t="s">
        <v>1202</v>
      </c>
      <c r="AH16" s="201">
        <v>44405.0</v>
      </c>
      <c r="AI16" s="199"/>
      <c r="AJ16" s="199"/>
      <c r="AK16" s="200" t="s">
        <v>92</v>
      </c>
      <c r="AL16" s="200" t="s">
        <v>1232</v>
      </c>
      <c r="AM16" s="200" t="s">
        <v>189</v>
      </c>
      <c r="AN16" s="200" t="s">
        <v>92</v>
      </c>
      <c r="AO16" s="199"/>
      <c r="AP16" s="202" t="s">
        <v>1152</v>
      </c>
      <c r="AQ16" s="199"/>
    </row>
    <row r="17">
      <c r="A17" s="135" t="s">
        <v>1233</v>
      </c>
      <c r="B17" s="135" t="s">
        <v>1234</v>
      </c>
      <c r="C17" s="135" t="str">
        <f>VLOOKUP(A17,import!A:C,3,0)</f>
        <v>DOĞRU</v>
      </c>
      <c r="D17" s="135" t="s">
        <v>1235</v>
      </c>
      <c r="E17" s="194">
        <f>VLOOKUP(A17,import!A:AA,5,0)</f>
        <v>10650</v>
      </c>
      <c r="F17" s="194">
        <f>VLOOKUP(A17,import!A:AA,6,0)</f>
        <v>419</v>
      </c>
      <c r="G17" s="135">
        <f>VLOOKUP(A17,import!A:AA,7,0)</f>
        <v>3</v>
      </c>
      <c r="H17" s="135">
        <f>VLOOKUP(A17,import!A:AA,8,0)</f>
        <v>22</v>
      </c>
      <c r="I17" s="135">
        <f>VLOOKUP(A17,import!A:AA,9,0)</f>
        <v>25</v>
      </c>
      <c r="J17" s="195">
        <f>VLOOKUP(A17,import!A:AA,10,0)</f>
        <v>0.12</v>
      </c>
      <c r="K17" s="135" t="s">
        <v>1236</v>
      </c>
      <c r="L17" s="135">
        <v>5.388201124E9</v>
      </c>
      <c r="M17" s="135" t="s">
        <v>1147</v>
      </c>
      <c r="N17" s="135" t="s">
        <v>1200</v>
      </c>
      <c r="O17" s="135" t="s">
        <v>1237</v>
      </c>
      <c r="P17" s="135" t="str">
        <f>VLOOKUP(A17,import!A:P,16,0)</f>
        <v>Geleneksel</v>
      </c>
      <c r="Q17" s="196"/>
      <c r="R17" s="196" t="b">
        <v>1</v>
      </c>
      <c r="S17" s="196" t="b">
        <v>0</v>
      </c>
      <c r="T17" s="197" t="s">
        <v>1202</v>
      </c>
      <c r="U17" s="197"/>
      <c r="V17" s="197"/>
      <c r="W17" s="197" t="s">
        <v>1238</v>
      </c>
      <c r="X17" s="198"/>
      <c r="Y17" s="198"/>
      <c r="Z17" s="199"/>
      <c r="AA17" s="200" t="s">
        <v>1202</v>
      </c>
      <c r="AB17" s="201">
        <v>44606.0</v>
      </c>
      <c r="AC17" s="199"/>
      <c r="AD17" s="199"/>
      <c r="AE17" s="105"/>
      <c r="AF17" s="199"/>
      <c r="AG17" s="105"/>
      <c r="AH17" s="199"/>
      <c r="AI17" s="199"/>
      <c r="AJ17" s="199"/>
      <c r="AK17" s="200" t="s">
        <v>1161</v>
      </c>
      <c r="AL17" s="199"/>
      <c r="AM17" s="199"/>
      <c r="AN17" s="199"/>
      <c r="AO17" s="199"/>
      <c r="AP17" s="202" t="s">
        <v>1152</v>
      </c>
      <c r="AQ17" s="199"/>
    </row>
    <row r="18">
      <c r="A18" s="135" t="s">
        <v>1239</v>
      </c>
      <c r="B18" s="135" t="s">
        <v>1240</v>
      </c>
      <c r="C18" s="135" t="str">
        <f>VLOOKUP(A18,import!A:C,3,0)</f>
        <v>DOĞRU</v>
      </c>
      <c r="D18" s="135" t="s">
        <v>1170</v>
      </c>
      <c r="E18" s="194">
        <f>VLOOKUP(A18,import!A:AA,5,0)</f>
        <v>565</v>
      </c>
      <c r="F18" s="194" t="str">
        <f>VLOOKUP(A18,import!A:AA,6,0)</f>
        <v/>
      </c>
      <c r="G18" s="135">
        <f>VLOOKUP(A18,import!A:AA,7,0)</f>
        <v>1</v>
      </c>
      <c r="H18" s="135">
        <f>VLOOKUP(A18,import!A:AA,8,0)</f>
        <v>18</v>
      </c>
      <c r="I18" s="135">
        <f>VLOOKUP(A18,import!A:AA,9,0)</f>
        <v>19</v>
      </c>
      <c r="J18" s="195">
        <f>VLOOKUP(A18,import!A:AA,10,0)</f>
        <v>0.05</v>
      </c>
      <c r="K18" s="135" t="s">
        <v>1241</v>
      </c>
      <c r="L18" s="135">
        <v>5.434705404E9</v>
      </c>
      <c r="M18" s="135" t="s">
        <v>1242</v>
      </c>
      <c r="N18" s="135" t="s">
        <v>1243</v>
      </c>
      <c r="O18" s="135" t="s">
        <v>1244</v>
      </c>
      <c r="P18" s="135" t="str">
        <f>VLOOKUP(A18,import!A:P,16,0)</f>
        <v>Geleneksel</v>
      </c>
      <c r="Q18" s="196"/>
      <c r="R18" s="196" t="b">
        <v>0</v>
      </c>
      <c r="S18" s="196" t="b">
        <v>0</v>
      </c>
      <c r="T18" s="204"/>
      <c r="U18" s="204"/>
      <c r="V18" s="204"/>
      <c r="W18" s="197"/>
      <c r="X18" s="206"/>
      <c r="Y18" s="206"/>
      <c r="Z18" s="199"/>
      <c r="AA18" s="200"/>
      <c r="AB18" s="201"/>
      <c r="AC18" s="199"/>
      <c r="AD18" s="199"/>
      <c r="AE18" s="105"/>
      <c r="AF18" s="199"/>
      <c r="AG18" s="105"/>
      <c r="AH18" s="199"/>
      <c r="AI18" s="199"/>
      <c r="AJ18" s="199"/>
      <c r="AK18" s="200" t="s">
        <v>189</v>
      </c>
      <c r="AL18" s="199"/>
      <c r="AM18" s="199"/>
      <c r="AN18" s="199"/>
      <c r="AO18" s="199"/>
      <c r="AP18" s="202" t="s">
        <v>1152</v>
      </c>
      <c r="AQ18" s="199"/>
    </row>
    <row r="19">
      <c r="A19" s="135" t="s">
        <v>65</v>
      </c>
      <c r="B19" s="135" t="s">
        <v>66</v>
      </c>
      <c r="C19" s="135" t="str">
        <f>VLOOKUP(A19,import!A:C,3,0)</f>
        <v>DOĞRU</v>
      </c>
      <c r="D19" s="135" t="s">
        <v>1170</v>
      </c>
      <c r="E19" s="194">
        <f>VLOOKUP(A19,import!A:AA,5,0)</f>
        <v>2916</v>
      </c>
      <c r="F19" s="194">
        <f>VLOOKUP(A19,import!A:AA,6,0)</f>
        <v>315</v>
      </c>
      <c r="G19" s="135">
        <f>VLOOKUP(A19,import!A:AA,7,0)</f>
        <v>14</v>
      </c>
      <c r="H19" s="135">
        <f>VLOOKUP(A19,import!A:AA,8,0)</f>
        <v>25</v>
      </c>
      <c r="I19" s="135">
        <f>VLOOKUP(A19,import!A:AA,9,0)</f>
        <v>39</v>
      </c>
      <c r="J19" s="195">
        <f>VLOOKUP(A19,import!A:AA,10,0)</f>
        <v>0.36</v>
      </c>
      <c r="K19" s="135" t="s">
        <v>1245</v>
      </c>
      <c r="L19" s="135">
        <v>2.645024549E9</v>
      </c>
      <c r="M19" s="135" t="s">
        <v>1147</v>
      </c>
      <c r="N19" s="135" t="s">
        <v>1200</v>
      </c>
      <c r="O19" s="135" t="s">
        <v>68</v>
      </c>
      <c r="P19" s="135" t="str">
        <f>VLOOKUP(A19,import!A:P,16,0)</f>
        <v>Geleneksel</v>
      </c>
      <c r="Q19" s="196"/>
      <c r="R19" s="196" t="b">
        <v>1</v>
      </c>
      <c r="S19" s="196" t="b">
        <v>0</v>
      </c>
      <c r="T19" s="197" t="s">
        <v>1165</v>
      </c>
      <c r="U19" s="197" t="s">
        <v>16</v>
      </c>
      <c r="V19" s="197" t="s">
        <v>15</v>
      </c>
      <c r="W19" s="197" t="s">
        <v>1246</v>
      </c>
      <c r="X19" s="198">
        <v>44285.0</v>
      </c>
      <c r="Y19" s="198">
        <v>44288.0</v>
      </c>
      <c r="Z19" s="199"/>
      <c r="AA19" s="200" t="s">
        <v>1151</v>
      </c>
      <c r="AB19" s="201">
        <v>44351.0</v>
      </c>
      <c r="AC19" s="199"/>
      <c r="AD19" s="199"/>
      <c r="AE19" s="105"/>
      <c r="AF19" s="199"/>
      <c r="AG19" s="105"/>
      <c r="AH19" s="199"/>
      <c r="AI19" s="199"/>
      <c r="AJ19" s="199"/>
      <c r="AK19" s="200" t="s">
        <v>257</v>
      </c>
      <c r="AL19" s="199"/>
      <c r="AM19" s="199"/>
      <c r="AN19" s="199"/>
      <c r="AO19" s="199"/>
      <c r="AP19" s="202" t="s">
        <v>1152</v>
      </c>
      <c r="AQ19" s="199"/>
    </row>
    <row r="20">
      <c r="A20" s="135" t="s">
        <v>1247</v>
      </c>
      <c r="B20" s="135" t="s">
        <v>1248</v>
      </c>
      <c r="C20" s="135" t="str">
        <f>VLOOKUP(A20,import!A:C,3,0)</f>
        <v>DOĞRU</v>
      </c>
      <c r="D20" s="135" t="s">
        <v>1188</v>
      </c>
      <c r="E20" s="194">
        <f>VLOOKUP(A20,import!A:AA,5,0)</f>
        <v>637</v>
      </c>
      <c r="F20" s="194">
        <f>VLOOKUP(A20,import!A:AA,6,0)</f>
        <v>237</v>
      </c>
      <c r="G20" s="135">
        <f>VLOOKUP(A20,import!A:AA,7,0)</f>
        <v>0</v>
      </c>
      <c r="H20" s="135">
        <f>VLOOKUP(A20,import!A:AA,8,0)</f>
        <v>40</v>
      </c>
      <c r="I20" s="135">
        <f>VLOOKUP(A20,import!A:AA,9,0)</f>
        <v>40</v>
      </c>
      <c r="J20" s="195">
        <f>VLOOKUP(A20,import!A:AA,10,0)</f>
        <v>0</v>
      </c>
      <c r="K20" s="135" t="s">
        <v>1249</v>
      </c>
      <c r="L20" s="135">
        <v>5.312105658E9</v>
      </c>
      <c r="M20" s="135" t="s">
        <v>1147</v>
      </c>
      <c r="N20" s="135" t="s">
        <v>1200</v>
      </c>
      <c r="O20" s="135" t="s">
        <v>1250</v>
      </c>
      <c r="P20" s="135" t="str">
        <f>VLOOKUP(A20,import!A:P,16,0)</f>
        <v>Geleneksel</v>
      </c>
      <c r="Q20" s="196"/>
      <c r="R20" s="196" t="b">
        <v>1</v>
      </c>
      <c r="S20" s="196" t="b">
        <v>0</v>
      </c>
      <c r="T20" s="197" t="s">
        <v>1251</v>
      </c>
      <c r="U20" s="204"/>
      <c r="V20" s="204"/>
      <c r="W20" s="197" t="s">
        <v>1252</v>
      </c>
      <c r="X20" s="206"/>
      <c r="Y20" s="206"/>
      <c r="Z20" s="199"/>
      <c r="AA20" s="200" t="s">
        <v>1253</v>
      </c>
      <c r="AB20" s="201">
        <v>44384.0</v>
      </c>
      <c r="AC20" s="200" t="s">
        <v>1202</v>
      </c>
      <c r="AD20" s="201">
        <v>44389.0</v>
      </c>
      <c r="AE20" s="200" t="s">
        <v>1202</v>
      </c>
      <c r="AF20" s="201">
        <v>44404.0</v>
      </c>
      <c r="AG20" s="200" t="s">
        <v>1254</v>
      </c>
      <c r="AH20" s="201">
        <v>44405.0</v>
      </c>
      <c r="AI20" s="199"/>
      <c r="AJ20" s="199"/>
      <c r="AK20" s="200" t="s">
        <v>189</v>
      </c>
      <c r="AL20" s="200" t="s">
        <v>189</v>
      </c>
      <c r="AM20" s="200" t="s">
        <v>1255</v>
      </c>
      <c r="AN20" s="200" t="s">
        <v>92</v>
      </c>
      <c r="AO20" s="199"/>
      <c r="AP20" s="202" t="s">
        <v>1152</v>
      </c>
      <c r="AQ20" s="199"/>
    </row>
    <row r="21">
      <c r="A21" s="135" t="s">
        <v>1002</v>
      </c>
      <c r="B21" s="135" t="s">
        <v>1003</v>
      </c>
      <c r="C21" s="135" t="str">
        <f>VLOOKUP(A21,import!A:C,3,0)</f>
        <v>DOĞRU</v>
      </c>
      <c r="D21" s="135" t="s">
        <v>1256</v>
      </c>
      <c r="E21" s="194">
        <f>VLOOKUP(A21,import!A:AA,5,0)</f>
        <v>383</v>
      </c>
      <c r="F21" s="194">
        <f>VLOOKUP(A21,import!A:AA,6,0)</f>
        <v>132</v>
      </c>
      <c r="G21" s="135">
        <f>VLOOKUP(A21,import!A:AA,7,0)</f>
        <v>52</v>
      </c>
      <c r="H21" s="135">
        <f>VLOOKUP(A21,import!A:AA,8,0)</f>
        <v>18</v>
      </c>
      <c r="I21" s="135">
        <f>VLOOKUP(A21,import!A:AA,9,0)</f>
        <v>70</v>
      </c>
      <c r="J21" s="195">
        <f>VLOOKUP(A21,import!A:AA,10,0)</f>
        <v>0.74</v>
      </c>
      <c r="K21" s="135" t="s">
        <v>1257</v>
      </c>
      <c r="L21" s="135">
        <v>5.323403401E9</v>
      </c>
      <c r="M21" s="135" t="s">
        <v>1147</v>
      </c>
      <c r="N21" s="135" t="s">
        <v>1148</v>
      </c>
      <c r="O21" s="135" t="s">
        <v>1005</v>
      </c>
      <c r="P21" s="135" t="str">
        <f>VLOOKUP(A21,import!A:P,16,0)</f>
        <v>Geleneksel</v>
      </c>
      <c r="Q21" s="196"/>
      <c r="R21" s="196" t="b">
        <v>1</v>
      </c>
      <c r="S21" s="196" t="b">
        <v>0</v>
      </c>
      <c r="T21" s="197" t="s">
        <v>1165</v>
      </c>
      <c r="U21" s="197" t="s">
        <v>1006</v>
      </c>
      <c r="V21" s="207" t="s">
        <v>940</v>
      </c>
      <c r="W21" s="197"/>
      <c r="X21" s="198">
        <v>44608.0</v>
      </c>
      <c r="Y21" s="198">
        <v>44609.0</v>
      </c>
      <c r="Z21" s="199"/>
      <c r="AA21" s="200" t="s">
        <v>1151</v>
      </c>
      <c r="AB21" s="201">
        <v>44608.0</v>
      </c>
      <c r="AC21" s="199"/>
      <c r="AD21" s="199"/>
      <c r="AE21" s="105"/>
      <c r="AF21" s="199"/>
      <c r="AG21" s="105"/>
      <c r="AH21" s="199"/>
      <c r="AI21" s="199"/>
      <c r="AJ21" s="199"/>
      <c r="AK21" s="200" t="s">
        <v>1006</v>
      </c>
      <c r="AL21" s="199"/>
      <c r="AM21" s="199"/>
      <c r="AN21" s="199"/>
      <c r="AO21" s="199"/>
      <c r="AP21" s="202"/>
      <c r="AQ21" s="199"/>
    </row>
    <row r="22">
      <c r="A22" s="135" t="s">
        <v>1258</v>
      </c>
      <c r="B22" s="135" t="s">
        <v>1259</v>
      </c>
      <c r="C22" s="135" t="str">
        <f>VLOOKUP(A22,import!A:C,3,0)</f>
        <v>DOĞRU</v>
      </c>
      <c r="D22" s="135" t="s">
        <v>1145</v>
      </c>
      <c r="E22" s="194">
        <f>VLOOKUP(A22,import!A:AA,5,0)</f>
        <v>2504</v>
      </c>
      <c r="F22" s="194">
        <f>VLOOKUP(A22,import!A:AA,6,0)</f>
        <v>29</v>
      </c>
      <c r="G22" s="135">
        <f>VLOOKUP(A22,import!A:AA,7,0)</f>
        <v>4</v>
      </c>
      <c r="H22" s="135">
        <f>VLOOKUP(A22,import!A:AA,8,0)</f>
        <v>25</v>
      </c>
      <c r="I22" s="135">
        <f>VLOOKUP(A22,import!A:AA,9,0)</f>
        <v>29</v>
      </c>
      <c r="J22" s="195">
        <f>VLOOKUP(A22,import!A:AA,10,0)</f>
        <v>0.14</v>
      </c>
      <c r="K22" s="135" t="s">
        <v>1260</v>
      </c>
      <c r="L22" s="135">
        <v>5.324095676E9</v>
      </c>
      <c r="M22" s="135" t="s">
        <v>1172</v>
      </c>
      <c r="N22" s="135" t="s">
        <v>1261</v>
      </c>
      <c r="O22" s="135" t="s">
        <v>1262</v>
      </c>
      <c r="P22" s="135" t="str">
        <f>VLOOKUP(A22,import!A:P,16,0)</f>
        <v>Geleneksel</v>
      </c>
      <c r="Q22" s="196"/>
      <c r="R22" s="196" t="b">
        <v>1</v>
      </c>
      <c r="S22" s="196" t="b">
        <v>0</v>
      </c>
      <c r="T22" s="197" t="s">
        <v>1253</v>
      </c>
      <c r="U22" s="197"/>
      <c r="V22" s="208"/>
      <c r="W22" s="197" t="s">
        <v>1263</v>
      </c>
      <c r="X22" s="198"/>
      <c r="Y22" s="198"/>
      <c r="Z22" s="199"/>
      <c r="AA22" s="200" t="s">
        <v>1151</v>
      </c>
      <c r="AB22" s="201">
        <v>44356.0</v>
      </c>
      <c r="AC22" s="200" t="s">
        <v>1151</v>
      </c>
      <c r="AD22" s="201">
        <v>44363.0</v>
      </c>
      <c r="AE22" s="200" t="s">
        <v>1151</v>
      </c>
      <c r="AF22" s="201">
        <v>44371.0</v>
      </c>
      <c r="AG22" s="200" t="s">
        <v>1151</v>
      </c>
      <c r="AH22" s="201">
        <v>44371.0</v>
      </c>
      <c r="AI22" s="200" t="s">
        <v>1151</v>
      </c>
      <c r="AJ22" s="201">
        <v>44390.0</v>
      </c>
      <c r="AK22" s="200" t="s">
        <v>92</v>
      </c>
      <c r="AL22" s="200" t="s">
        <v>1167</v>
      </c>
      <c r="AM22" s="200" t="s">
        <v>1204</v>
      </c>
      <c r="AN22" s="200" t="s">
        <v>189</v>
      </c>
      <c r="AO22" s="200" t="s">
        <v>1264</v>
      </c>
      <c r="AP22" s="202" t="s">
        <v>1152</v>
      </c>
      <c r="AQ22" s="200"/>
    </row>
    <row r="23">
      <c r="A23" s="135" t="s">
        <v>1265</v>
      </c>
      <c r="B23" s="135" t="s">
        <v>1266</v>
      </c>
      <c r="C23" s="135" t="str">
        <f>VLOOKUP(A23,import!A:C,3,0)</f>
        <v>DOĞRU</v>
      </c>
      <c r="D23" s="135" t="s">
        <v>1155</v>
      </c>
      <c r="E23" s="194">
        <f>VLOOKUP(A23,import!A:AA,5,0)</f>
        <v>799</v>
      </c>
      <c r="F23" s="194" t="str">
        <f>VLOOKUP(A23,import!A:AA,6,0)</f>
        <v/>
      </c>
      <c r="G23" s="135">
        <f>VLOOKUP(A23,import!A:AA,7,0)</f>
        <v>0</v>
      </c>
      <c r="H23" s="135">
        <f>VLOOKUP(A23,import!A:AA,8,0)</f>
        <v>35</v>
      </c>
      <c r="I23" s="135">
        <f>VLOOKUP(A23,import!A:AA,9,0)</f>
        <v>35</v>
      </c>
      <c r="J23" s="195">
        <f>VLOOKUP(A23,import!A:AA,10,0)</f>
        <v>0</v>
      </c>
      <c r="K23" s="135" t="s">
        <v>1267</v>
      </c>
      <c r="L23" s="135">
        <v>5.464985001E9</v>
      </c>
      <c r="M23" s="135" t="s">
        <v>1172</v>
      </c>
      <c r="N23" s="135" t="s">
        <v>1268</v>
      </c>
      <c r="O23" s="135" t="s">
        <v>1269</v>
      </c>
      <c r="P23" s="135" t="str">
        <f>VLOOKUP(A23,import!A:P,16,0)</f>
        <v>Geleneksel</v>
      </c>
      <c r="Q23" s="196"/>
      <c r="R23" s="196" t="b">
        <v>1</v>
      </c>
      <c r="S23" s="196" t="b">
        <v>1</v>
      </c>
      <c r="T23" s="197"/>
      <c r="U23" s="197"/>
      <c r="V23" s="197"/>
      <c r="W23" s="197" t="s">
        <v>1270</v>
      </c>
      <c r="X23" s="198"/>
      <c r="Y23" s="198"/>
      <c r="Z23" s="199"/>
      <c r="AA23" s="200" t="s">
        <v>1202</v>
      </c>
      <c r="AB23" s="201">
        <v>44379.0</v>
      </c>
      <c r="AC23" s="200" t="s">
        <v>1202</v>
      </c>
      <c r="AD23" s="201">
        <v>44384.0</v>
      </c>
      <c r="AE23" s="200" t="s">
        <v>1151</v>
      </c>
      <c r="AF23" s="201">
        <v>44390.0</v>
      </c>
      <c r="AG23" s="105"/>
      <c r="AH23" s="199"/>
      <c r="AI23" s="199"/>
      <c r="AJ23" s="199"/>
      <c r="AK23" s="200" t="s">
        <v>257</v>
      </c>
      <c r="AL23" s="200" t="s">
        <v>189</v>
      </c>
      <c r="AM23" s="200" t="s">
        <v>1255</v>
      </c>
      <c r="AN23" s="199"/>
      <c r="AO23" s="199"/>
      <c r="AP23" s="202" t="s">
        <v>1152</v>
      </c>
      <c r="AQ23" s="199"/>
    </row>
    <row r="24">
      <c r="A24" s="135" t="s">
        <v>1271</v>
      </c>
      <c r="B24" s="135" t="s">
        <v>1272</v>
      </c>
      <c r="C24" s="135" t="str">
        <f>VLOOKUP(A24,import!A:C,3,0)</f>
        <v>DOĞRU</v>
      </c>
      <c r="D24" s="135" t="s">
        <v>1226</v>
      </c>
      <c r="E24" s="194">
        <f>VLOOKUP(A24,import!A:AA,5,0)</f>
        <v>2182</v>
      </c>
      <c r="F24" s="194">
        <f>VLOOKUP(A24,import!A:AA,6,0)</f>
        <v>47</v>
      </c>
      <c r="G24" s="135">
        <f>VLOOKUP(A24,import!A:AA,7,0)</f>
        <v>0</v>
      </c>
      <c r="H24" s="135">
        <f>VLOOKUP(A24,import!A:AA,8,0)</f>
        <v>31</v>
      </c>
      <c r="I24" s="135">
        <f>VLOOKUP(A24,import!A:AA,9,0)</f>
        <v>31</v>
      </c>
      <c r="J24" s="195">
        <f>VLOOKUP(A24,import!A:AA,10,0)</f>
        <v>0</v>
      </c>
      <c r="K24" s="135" t="s">
        <v>1273</v>
      </c>
      <c r="L24" s="135">
        <v>5.325100864E9</v>
      </c>
      <c r="M24" s="135" t="s">
        <v>1172</v>
      </c>
      <c r="N24" s="135" t="s">
        <v>1268</v>
      </c>
      <c r="O24" s="135" t="s">
        <v>1274</v>
      </c>
      <c r="P24" s="135" t="str">
        <f>VLOOKUP(A24,import!A:P,16,0)</f>
        <v>Geleneksel</v>
      </c>
      <c r="Q24" s="196"/>
      <c r="R24" s="196" t="b">
        <v>1</v>
      </c>
      <c r="S24" s="196" t="b">
        <v>0</v>
      </c>
      <c r="T24" s="197" t="s">
        <v>1275</v>
      </c>
      <c r="U24" s="197"/>
      <c r="V24" s="197"/>
      <c r="W24" s="197" t="s">
        <v>1276</v>
      </c>
      <c r="X24" s="198"/>
      <c r="Y24" s="198"/>
      <c r="Z24" s="199"/>
      <c r="AA24" s="200" t="s">
        <v>1151</v>
      </c>
      <c r="AB24" s="201">
        <v>44365.0</v>
      </c>
      <c r="AC24" s="200" t="s">
        <v>1277</v>
      </c>
      <c r="AD24" s="201">
        <v>44371.0</v>
      </c>
      <c r="AE24" s="200" t="s">
        <v>1254</v>
      </c>
      <c r="AF24" s="201">
        <v>44389.0</v>
      </c>
      <c r="AG24" s="200" t="s">
        <v>1151</v>
      </c>
      <c r="AH24" s="201">
        <v>44609.0</v>
      </c>
      <c r="AI24" s="199"/>
      <c r="AJ24" s="199"/>
      <c r="AK24" s="200" t="s">
        <v>1278</v>
      </c>
      <c r="AL24" s="200" t="s">
        <v>189</v>
      </c>
      <c r="AM24" s="200" t="s">
        <v>189</v>
      </c>
      <c r="AN24" s="200" t="s">
        <v>1024</v>
      </c>
      <c r="AO24" s="199"/>
      <c r="AP24" s="202" t="s">
        <v>1152</v>
      </c>
      <c r="AQ24" s="199"/>
    </row>
    <row r="25">
      <c r="A25" s="135" t="s">
        <v>1279</v>
      </c>
      <c r="B25" s="135" t="s">
        <v>1280</v>
      </c>
      <c r="C25" s="135" t="str">
        <f>VLOOKUP(A25,import!A:C,3,0)</f>
        <v>DOĞRU</v>
      </c>
      <c r="D25" s="135" t="s">
        <v>1281</v>
      </c>
      <c r="E25" s="194">
        <f>VLOOKUP(A25,import!A:AA,5,0)</f>
        <v>308</v>
      </c>
      <c r="F25" s="194" t="str">
        <f>VLOOKUP(A25,import!A:AA,6,0)</f>
        <v/>
      </c>
      <c r="G25" s="135">
        <f>VLOOKUP(A25,import!A:AA,7,0)</f>
        <v>0</v>
      </c>
      <c r="H25" s="135">
        <f>VLOOKUP(A25,import!A:AA,8,0)</f>
        <v>45</v>
      </c>
      <c r="I25" s="135">
        <f>VLOOKUP(A25,import!A:AA,9,0)</f>
        <v>45</v>
      </c>
      <c r="J25" s="195">
        <f>VLOOKUP(A25,import!A:AA,10,0)</f>
        <v>0</v>
      </c>
      <c r="K25" s="135" t="s">
        <v>1282</v>
      </c>
      <c r="L25" s="135">
        <v>5.344117719E9</v>
      </c>
      <c r="M25" s="135" t="s">
        <v>1242</v>
      </c>
      <c r="N25" s="135" t="s">
        <v>1283</v>
      </c>
      <c r="O25" s="135" t="s">
        <v>1284</v>
      </c>
      <c r="P25" s="135" t="str">
        <f>VLOOKUP(A25,import!A:P,16,0)</f>
        <v>Geleneksel</v>
      </c>
      <c r="Q25" s="196"/>
      <c r="R25" s="196" t="b">
        <v>0</v>
      </c>
      <c r="S25" s="196" t="b">
        <v>0</v>
      </c>
      <c r="T25" s="197"/>
      <c r="U25" s="197"/>
      <c r="V25" s="197"/>
      <c r="W25" s="197"/>
      <c r="X25" s="198"/>
      <c r="Y25" s="198"/>
      <c r="Z25" s="199"/>
      <c r="AA25" s="200"/>
      <c r="AB25" s="201"/>
      <c r="AC25" s="199"/>
      <c r="AD25" s="199"/>
      <c r="AE25" s="105"/>
      <c r="AF25" s="199"/>
      <c r="AG25" s="105"/>
      <c r="AH25" s="199"/>
      <c r="AI25" s="199"/>
      <c r="AJ25" s="199"/>
      <c r="AK25" s="200"/>
      <c r="AL25" s="199"/>
      <c r="AM25" s="199"/>
      <c r="AN25" s="199"/>
      <c r="AO25" s="199"/>
      <c r="AP25" s="202" t="s">
        <v>1152</v>
      </c>
      <c r="AQ25" s="199"/>
    </row>
    <row r="26">
      <c r="A26" s="135" t="s">
        <v>1285</v>
      </c>
      <c r="B26" s="135" t="s">
        <v>1286</v>
      </c>
      <c r="C26" s="135" t="str">
        <f>VLOOKUP(A26,import!A:C,3,0)</f>
        <v>DOĞRU</v>
      </c>
      <c r="D26" s="135" t="s">
        <v>1216</v>
      </c>
      <c r="E26" s="194">
        <f>VLOOKUP(A26,import!A:AA,5,0)</f>
        <v>577</v>
      </c>
      <c r="F26" s="194">
        <f>VLOOKUP(A26,import!A:AA,6,0)</f>
        <v>44</v>
      </c>
      <c r="G26" s="135">
        <f>VLOOKUP(A26,import!A:AA,7,0)</f>
        <v>0</v>
      </c>
      <c r="H26" s="135">
        <f>VLOOKUP(A26,import!A:AA,8,0)</f>
        <v>61</v>
      </c>
      <c r="I26" s="135">
        <f>VLOOKUP(A26,import!A:AA,9,0)</f>
        <v>61</v>
      </c>
      <c r="J26" s="195">
        <f>VLOOKUP(A26,import!A:AA,10,0)</f>
        <v>0</v>
      </c>
      <c r="K26" s="135" t="s">
        <v>1287</v>
      </c>
      <c r="L26" s="135">
        <v>5.428270692E9</v>
      </c>
      <c r="M26" s="135" t="s">
        <v>1147</v>
      </c>
      <c r="N26" s="135" t="s">
        <v>1148</v>
      </c>
      <c r="O26" s="135" t="s">
        <v>1288</v>
      </c>
      <c r="P26" s="135" t="str">
        <f>VLOOKUP(A26,import!A:P,16,0)</f>
        <v>Geleneksel</v>
      </c>
      <c r="Q26" s="196"/>
      <c r="R26" s="196" t="b">
        <v>1</v>
      </c>
      <c r="S26" s="196" t="b">
        <v>0</v>
      </c>
      <c r="T26" s="197" t="s">
        <v>1289</v>
      </c>
      <c r="U26" s="197" t="s">
        <v>189</v>
      </c>
      <c r="V26" s="197" t="s">
        <v>91</v>
      </c>
      <c r="W26" s="197" t="s">
        <v>1290</v>
      </c>
      <c r="X26" s="198">
        <v>44348.0</v>
      </c>
      <c r="Y26" s="198">
        <v>44349.0</v>
      </c>
      <c r="Z26" s="199"/>
      <c r="AA26" s="200" t="s">
        <v>1151</v>
      </c>
      <c r="AB26" s="201">
        <v>44349.0</v>
      </c>
      <c r="AC26" s="200" t="s">
        <v>1151</v>
      </c>
      <c r="AD26" s="201">
        <v>44384.0</v>
      </c>
      <c r="AE26" s="105"/>
      <c r="AF26" s="199"/>
      <c r="AG26" s="105"/>
      <c r="AH26" s="199"/>
      <c r="AI26" s="199"/>
      <c r="AJ26" s="199"/>
      <c r="AK26" s="200" t="s">
        <v>1232</v>
      </c>
      <c r="AL26" s="200" t="s">
        <v>189</v>
      </c>
      <c r="AM26" s="199"/>
      <c r="AN26" s="199"/>
      <c r="AO26" s="199"/>
      <c r="AP26" s="202" t="s">
        <v>1152</v>
      </c>
      <c r="AQ26" s="199"/>
    </row>
    <row r="27">
      <c r="A27" s="135" t="s">
        <v>639</v>
      </c>
      <c r="B27" s="135" t="s">
        <v>640</v>
      </c>
      <c r="C27" s="135" t="str">
        <f>VLOOKUP(A27,import!A:C,3,0)</f>
        <v>DOĞRU</v>
      </c>
      <c r="D27" s="135" t="s">
        <v>1216</v>
      </c>
      <c r="E27" s="194">
        <f>VLOOKUP(A27,import!A:AA,5,0)</f>
        <v>168</v>
      </c>
      <c r="F27" s="194">
        <f>VLOOKUP(A27,import!A:AA,6,0)</f>
        <v>10</v>
      </c>
      <c r="G27" s="135">
        <f>VLOOKUP(A27,import!A:AA,7,0)</f>
        <v>18</v>
      </c>
      <c r="H27" s="135">
        <f>VLOOKUP(A27,import!A:AA,8,0)</f>
        <v>44</v>
      </c>
      <c r="I27" s="135">
        <f>VLOOKUP(A27,import!A:AA,9,0)</f>
        <v>62</v>
      </c>
      <c r="J27" s="195">
        <f>VLOOKUP(A27,import!A:AA,10,0)</f>
        <v>0.29</v>
      </c>
      <c r="K27" s="135" t="s">
        <v>1287</v>
      </c>
      <c r="L27" s="135">
        <v>5.428270692E9</v>
      </c>
      <c r="M27" s="135" t="s">
        <v>1172</v>
      </c>
      <c r="N27" s="135" t="s">
        <v>1190</v>
      </c>
      <c r="O27" s="135" t="s">
        <v>1291</v>
      </c>
      <c r="P27" s="135" t="str">
        <f>VLOOKUP(A27,import!A:P,16,0)</f>
        <v>Geleneksel</v>
      </c>
      <c r="Q27" s="196"/>
      <c r="R27" s="196" t="b">
        <v>1</v>
      </c>
      <c r="S27" s="196" t="b">
        <v>0</v>
      </c>
      <c r="T27" s="197" t="s">
        <v>1165</v>
      </c>
      <c r="U27" s="197" t="s">
        <v>189</v>
      </c>
      <c r="V27" s="197" t="s">
        <v>91</v>
      </c>
      <c r="W27" s="197" t="s">
        <v>1292</v>
      </c>
      <c r="X27" s="198">
        <v>44344.0</v>
      </c>
      <c r="Y27" s="198">
        <v>44349.0</v>
      </c>
      <c r="Z27" s="199"/>
      <c r="AA27" s="200" t="s">
        <v>1151</v>
      </c>
      <c r="AB27" s="201">
        <v>44384.0</v>
      </c>
      <c r="AC27" s="200" t="s">
        <v>1151</v>
      </c>
      <c r="AD27" s="201">
        <v>44404.0</v>
      </c>
      <c r="AE27" s="105"/>
      <c r="AF27" s="199"/>
      <c r="AG27" s="105"/>
      <c r="AH27" s="199"/>
      <c r="AI27" s="199"/>
      <c r="AJ27" s="199"/>
      <c r="AK27" s="200" t="s">
        <v>189</v>
      </c>
      <c r="AL27" s="200" t="s">
        <v>189</v>
      </c>
      <c r="AM27" s="199"/>
      <c r="AN27" s="199"/>
      <c r="AO27" s="199"/>
      <c r="AP27" s="202" t="s">
        <v>1152</v>
      </c>
      <c r="AQ27" s="199"/>
    </row>
    <row r="28">
      <c r="A28" s="202" t="s">
        <v>1293</v>
      </c>
      <c r="B28" s="202" t="s">
        <v>1294</v>
      </c>
      <c r="C28" s="135" t="str">
        <f>VLOOKUP(A28,import!A:C,3,0)</f>
        <v>DOĞRU</v>
      </c>
      <c r="D28" s="202" t="s">
        <v>1182</v>
      </c>
      <c r="E28" s="194" t="str">
        <f>VLOOKUP(A28,import!A:AA,5,0)</f>
        <v/>
      </c>
      <c r="F28" s="194" t="str">
        <f>VLOOKUP(A28,import!A:AA,6,0)</f>
        <v/>
      </c>
      <c r="G28" s="135">
        <f>VLOOKUP(A28,import!A:AA,7,0)</f>
        <v>0</v>
      </c>
      <c r="H28" s="135">
        <f>VLOOKUP(A28,import!A:AA,8,0)</f>
        <v>31</v>
      </c>
      <c r="I28" s="135">
        <f>VLOOKUP(A28,import!A:AA,9,0)</f>
        <v>31</v>
      </c>
      <c r="J28" s="195">
        <f>VLOOKUP(A28,import!A:AA,10,0)</f>
        <v>0</v>
      </c>
      <c r="K28" s="202" t="s">
        <v>1295</v>
      </c>
      <c r="L28" s="202">
        <v>5.424601841E9</v>
      </c>
      <c r="M28" s="202" t="s">
        <v>1177</v>
      </c>
      <c r="N28" s="202" t="s">
        <v>1177</v>
      </c>
      <c r="O28" s="202" t="s">
        <v>1296</v>
      </c>
      <c r="P28" s="135" t="str">
        <f>VLOOKUP(A28,import!A:P,16,0)</f>
        <v>Geleneksel</v>
      </c>
      <c r="Q28" s="196"/>
      <c r="R28" s="196" t="b">
        <v>0</v>
      </c>
      <c r="S28" s="196" t="b">
        <v>0</v>
      </c>
      <c r="T28" s="197"/>
      <c r="U28" s="197"/>
      <c r="V28" s="197"/>
      <c r="W28" s="197"/>
      <c r="X28" s="198"/>
      <c r="Y28" s="198"/>
      <c r="Z28" s="199"/>
      <c r="AA28" s="200"/>
      <c r="AB28" s="201"/>
      <c r="AC28" s="199"/>
      <c r="AD28" s="199"/>
      <c r="AE28" s="105"/>
      <c r="AF28" s="199"/>
      <c r="AG28" s="105"/>
      <c r="AH28" s="199"/>
      <c r="AI28" s="199"/>
      <c r="AJ28" s="199"/>
      <c r="AK28" s="200"/>
      <c r="AL28" s="199"/>
      <c r="AM28" s="199"/>
      <c r="AN28" s="199"/>
      <c r="AO28" s="199"/>
      <c r="AP28" s="202"/>
      <c r="AQ28" s="199"/>
    </row>
    <row r="29">
      <c r="A29" s="135" t="s">
        <v>1297</v>
      </c>
      <c r="B29" s="135" t="s">
        <v>1298</v>
      </c>
      <c r="C29" s="135" t="str">
        <f>VLOOKUP(A29,import!A:C,3,0)</f>
        <v>DOĞRU</v>
      </c>
      <c r="D29" s="135" t="s">
        <v>1182</v>
      </c>
      <c r="E29" s="194" t="str">
        <f>VLOOKUP(A29,import!A:AA,5,0)</f>
        <v/>
      </c>
      <c r="F29" s="194" t="str">
        <f>VLOOKUP(A29,import!A:AA,6,0)</f>
        <v/>
      </c>
      <c r="G29" s="135">
        <f>VLOOKUP(A29,import!A:AA,7,0)</f>
        <v>0</v>
      </c>
      <c r="H29" s="135">
        <f>VLOOKUP(A29,import!A:AA,8,0)</f>
        <v>13</v>
      </c>
      <c r="I29" s="135">
        <f>VLOOKUP(A29,import!A:AA,9,0)</f>
        <v>13</v>
      </c>
      <c r="J29" s="195">
        <f>VLOOKUP(A29,import!A:AA,10,0)</f>
        <v>0</v>
      </c>
      <c r="K29" s="135" t="s">
        <v>1299</v>
      </c>
      <c r="L29" s="135">
        <v>5.322824382E9</v>
      </c>
      <c r="M29" s="135" t="s">
        <v>1172</v>
      </c>
      <c r="N29" s="135" t="s">
        <v>1300</v>
      </c>
      <c r="O29" s="135" t="s">
        <v>1301</v>
      </c>
      <c r="P29" s="135" t="str">
        <f>VLOOKUP(A29,import!A:P,16,0)</f>
        <v>Geleneksel</v>
      </c>
      <c r="Q29" s="196"/>
      <c r="R29" s="196" t="b">
        <v>1</v>
      </c>
      <c r="S29" s="196" t="b">
        <v>0</v>
      </c>
      <c r="T29" s="197" t="s">
        <v>1202</v>
      </c>
      <c r="U29" s="197"/>
      <c r="V29" s="197"/>
      <c r="W29" s="197"/>
      <c r="X29" s="198"/>
      <c r="Y29" s="198"/>
      <c r="Z29" s="199"/>
      <c r="AA29" s="200" t="s">
        <v>1202</v>
      </c>
      <c r="AB29" s="201">
        <v>44389.0</v>
      </c>
      <c r="AC29" s="200" t="s">
        <v>1202</v>
      </c>
      <c r="AD29" s="201">
        <v>44404.0</v>
      </c>
      <c r="AE29" s="105"/>
      <c r="AF29" s="199"/>
      <c r="AG29" s="105"/>
      <c r="AH29" s="199"/>
      <c r="AI29" s="199"/>
      <c r="AJ29" s="199"/>
      <c r="AK29" s="200" t="s">
        <v>92</v>
      </c>
      <c r="AL29" s="200" t="s">
        <v>189</v>
      </c>
      <c r="AM29" s="199"/>
      <c r="AN29" s="199"/>
      <c r="AO29" s="199"/>
      <c r="AP29" s="202" t="s">
        <v>1152</v>
      </c>
      <c r="AQ29" s="199"/>
    </row>
    <row r="30">
      <c r="A30" s="135" t="s">
        <v>253</v>
      </c>
      <c r="B30" s="135" t="s">
        <v>254</v>
      </c>
      <c r="C30" s="135" t="str">
        <f>VLOOKUP(A30,import!A:C,3,0)</f>
        <v>DOĞRU</v>
      </c>
      <c r="D30" s="135" t="s">
        <v>1302</v>
      </c>
      <c r="E30" s="194">
        <f>VLOOKUP(A30,import!A:AA,5,0)</f>
        <v>565</v>
      </c>
      <c r="F30" s="194">
        <f>VLOOKUP(A30,import!A:AA,6,0)</f>
        <v>12</v>
      </c>
      <c r="G30" s="135">
        <f>VLOOKUP(A30,import!A:AA,7,0)</f>
        <v>27</v>
      </c>
      <c r="H30" s="135">
        <f>VLOOKUP(A30,import!A:AA,8,0)</f>
        <v>11</v>
      </c>
      <c r="I30" s="135">
        <f>VLOOKUP(A30,import!A:AA,9,0)</f>
        <v>38</v>
      </c>
      <c r="J30" s="195">
        <f>VLOOKUP(A30,import!A:AA,10,0)</f>
        <v>0.71</v>
      </c>
      <c r="K30" s="135" t="s">
        <v>1303</v>
      </c>
      <c r="L30" s="135">
        <v>5.315130658E9</v>
      </c>
      <c r="M30" s="135" t="s">
        <v>1172</v>
      </c>
      <c r="N30" s="135" t="s">
        <v>1190</v>
      </c>
      <c r="O30" s="135" t="s">
        <v>256</v>
      </c>
      <c r="P30" s="135" t="str">
        <f>VLOOKUP(A30,import!A:P,16,0)</f>
        <v>Geleneksel</v>
      </c>
      <c r="Q30" s="196"/>
      <c r="R30" s="196" t="b">
        <v>1</v>
      </c>
      <c r="S30" s="196" t="b">
        <v>0</v>
      </c>
      <c r="T30" s="197" t="s">
        <v>1165</v>
      </c>
      <c r="U30" s="197" t="s">
        <v>257</v>
      </c>
      <c r="V30" s="197" t="s">
        <v>91</v>
      </c>
      <c r="W30" s="197" t="s">
        <v>1304</v>
      </c>
      <c r="X30" s="198">
        <v>44368.0</v>
      </c>
      <c r="Y30" s="198">
        <v>44371.0</v>
      </c>
      <c r="Z30" s="199"/>
      <c r="AA30" s="200" t="s">
        <v>1151</v>
      </c>
      <c r="AB30" s="201">
        <v>44368.0</v>
      </c>
      <c r="AC30" s="199"/>
      <c r="AD30" s="199"/>
      <c r="AE30" s="105"/>
      <c r="AF30" s="199"/>
      <c r="AG30" s="105"/>
      <c r="AH30" s="199"/>
      <c r="AI30" s="199"/>
      <c r="AJ30" s="199"/>
      <c r="AK30" s="200" t="s">
        <v>257</v>
      </c>
      <c r="AL30" s="199"/>
      <c r="AM30" s="199"/>
      <c r="AN30" s="199"/>
      <c r="AO30" s="199"/>
      <c r="AP30" s="202" t="s">
        <v>1152</v>
      </c>
      <c r="AQ30" s="199"/>
    </row>
    <row r="31">
      <c r="A31" s="135" t="s">
        <v>1305</v>
      </c>
      <c r="B31" s="135" t="s">
        <v>1306</v>
      </c>
      <c r="C31" s="135" t="str">
        <f>VLOOKUP(A31,import!A:C,3,0)</f>
        <v>DOĞRU</v>
      </c>
      <c r="D31" s="135" t="s">
        <v>1170</v>
      </c>
      <c r="E31" s="194">
        <f>VLOOKUP(A31,import!A:AA,5,0)</f>
        <v>49</v>
      </c>
      <c r="F31" s="194">
        <f>VLOOKUP(A31,import!A:AA,6,0)</f>
        <v>32</v>
      </c>
      <c r="G31" s="135">
        <f>VLOOKUP(A31,import!A:AA,7,0)</f>
        <v>0</v>
      </c>
      <c r="H31" s="135">
        <f>VLOOKUP(A31,import!A:AA,8,0)</f>
        <v>11</v>
      </c>
      <c r="I31" s="135">
        <f>VLOOKUP(A31,import!A:AA,9,0)</f>
        <v>11</v>
      </c>
      <c r="J31" s="195">
        <f>VLOOKUP(A31,import!A:AA,10,0)</f>
        <v>0</v>
      </c>
      <c r="K31" s="135" t="s">
        <v>1307</v>
      </c>
      <c r="L31" s="135">
        <v>5.302006954E9</v>
      </c>
      <c r="M31" s="135" t="s">
        <v>1147</v>
      </c>
      <c r="N31" s="135" t="s">
        <v>1164</v>
      </c>
      <c r="O31" s="135" t="s">
        <v>1308</v>
      </c>
      <c r="P31" s="135" t="str">
        <f>VLOOKUP(A31,import!A:P,16,0)</f>
        <v>Geleneksel</v>
      </c>
      <c r="Q31" s="196"/>
      <c r="R31" s="196" t="b">
        <v>0</v>
      </c>
      <c r="S31" s="196" t="b">
        <v>0</v>
      </c>
      <c r="T31" s="197"/>
      <c r="U31" s="197"/>
      <c r="V31" s="197"/>
      <c r="W31" s="197"/>
      <c r="X31" s="198"/>
      <c r="Y31" s="198"/>
      <c r="Z31" s="199"/>
      <c r="AA31" s="200"/>
      <c r="AB31" s="201"/>
      <c r="AC31" s="199"/>
      <c r="AD31" s="199"/>
      <c r="AE31" s="105"/>
      <c r="AF31" s="199"/>
      <c r="AG31" s="105"/>
      <c r="AH31" s="199"/>
      <c r="AI31" s="199"/>
      <c r="AJ31" s="199"/>
      <c r="AK31" s="200"/>
      <c r="AL31" s="199"/>
      <c r="AM31" s="199"/>
      <c r="AN31" s="199"/>
      <c r="AO31" s="199"/>
      <c r="AP31" s="202"/>
      <c r="AQ31" s="199"/>
    </row>
    <row r="32">
      <c r="A32" s="135" t="s">
        <v>1309</v>
      </c>
      <c r="B32" s="135" t="s">
        <v>1310</v>
      </c>
      <c r="C32" s="135" t="str">
        <f>VLOOKUP(A32,import!A:C,3,0)</f>
        <v>YANLIŞ</v>
      </c>
      <c r="D32" s="135" t="s">
        <v>1311</v>
      </c>
      <c r="E32" s="194" t="str">
        <f>VLOOKUP(A32,import!A:AA,5,0)</f>
        <v/>
      </c>
      <c r="F32" s="194" t="str">
        <f>VLOOKUP(A32,import!A:AA,6,0)</f>
        <v/>
      </c>
      <c r="G32" s="135">
        <f>VLOOKUP(A32,import!A:AA,7,0)</f>
        <v>0</v>
      </c>
      <c r="H32" s="135">
        <f>VLOOKUP(A32,import!A:AA,8,0)</f>
        <v>27</v>
      </c>
      <c r="I32" s="135">
        <f>VLOOKUP(A32,import!A:AA,9,0)</f>
        <v>27</v>
      </c>
      <c r="J32" s="195">
        <f>VLOOKUP(A32,import!A:AA,10,0)</f>
        <v>0</v>
      </c>
      <c r="K32" s="135" t="s">
        <v>1312</v>
      </c>
      <c r="L32" s="135">
        <v>5.061060077E9</v>
      </c>
      <c r="M32" s="135" t="s">
        <v>1172</v>
      </c>
      <c r="N32" s="135" t="s">
        <v>1190</v>
      </c>
      <c r="O32" s="135" t="s">
        <v>1313</v>
      </c>
      <c r="P32" s="135" t="str">
        <f>VLOOKUP(A32,import!A:P,16,0)</f>
        <v>Geleneksel</v>
      </c>
      <c r="Q32" s="196"/>
      <c r="R32" s="196" t="b">
        <v>1</v>
      </c>
      <c r="S32" s="196" t="b">
        <v>1</v>
      </c>
      <c r="T32" s="197"/>
      <c r="U32" s="197"/>
      <c r="V32" s="197"/>
      <c r="W32" s="197"/>
      <c r="X32" s="198"/>
      <c r="Y32" s="198"/>
      <c r="Z32" s="199"/>
      <c r="AA32" s="200" t="s">
        <v>1151</v>
      </c>
      <c r="AB32" s="201">
        <v>44379.0</v>
      </c>
      <c r="AC32" s="200" t="s">
        <v>1151</v>
      </c>
      <c r="AD32" s="201">
        <v>44392.0</v>
      </c>
      <c r="AE32" s="200" t="s">
        <v>1254</v>
      </c>
      <c r="AF32" s="201">
        <v>44405.0</v>
      </c>
      <c r="AG32" s="105"/>
      <c r="AH32" s="199"/>
      <c r="AI32" s="199"/>
      <c r="AJ32" s="199"/>
      <c r="AK32" s="200" t="s">
        <v>1264</v>
      </c>
      <c r="AL32" s="200" t="s">
        <v>1167</v>
      </c>
      <c r="AM32" s="200" t="s">
        <v>1255</v>
      </c>
      <c r="AN32" s="199"/>
      <c r="AO32" s="199"/>
      <c r="AP32" s="202" t="s">
        <v>1152</v>
      </c>
      <c r="AQ32" s="199"/>
    </row>
    <row r="33">
      <c r="A33" s="135" t="s">
        <v>1314</v>
      </c>
      <c r="B33" s="135" t="s">
        <v>1315</v>
      </c>
      <c r="C33" s="135" t="str">
        <f>VLOOKUP(A33,import!A:C,3,0)</f>
        <v>DOĞRU</v>
      </c>
      <c r="D33" s="135" t="s">
        <v>1316</v>
      </c>
      <c r="E33" s="194">
        <f>VLOOKUP(A33,import!A:AA,5,0)</f>
        <v>8</v>
      </c>
      <c r="F33" s="194" t="str">
        <f>VLOOKUP(A33,import!A:AA,6,0)</f>
        <v/>
      </c>
      <c r="G33" s="135">
        <f>VLOOKUP(A33,import!A:AA,7,0)</f>
        <v>0</v>
      </c>
      <c r="H33" s="135">
        <f>VLOOKUP(A33,import!A:AA,8,0)</f>
        <v>11</v>
      </c>
      <c r="I33" s="135">
        <f>VLOOKUP(A33,import!A:AA,9,0)</f>
        <v>11</v>
      </c>
      <c r="J33" s="195">
        <f>VLOOKUP(A33,import!A:AA,10,0)</f>
        <v>0</v>
      </c>
      <c r="K33" s="135" t="s">
        <v>1317</v>
      </c>
      <c r="L33" s="135">
        <v>5.382918185E9</v>
      </c>
      <c r="M33" s="135" t="s">
        <v>1318</v>
      </c>
      <c r="N33" s="135" t="s">
        <v>1319</v>
      </c>
      <c r="O33" s="135" t="s">
        <v>1320</v>
      </c>
      <c r="P33" s="135" t="str">
        <f>VLOOKUP(A33,import!A:P,16,0)</f>
        <v>Geleneksel</v>
      </c>
      <c r="Q33" s="196"/>
      <c r="R33" s="196" t="b">
        <v>0</v>
      </c>
      <c r="S33" s="196" t="b">
        <v>0</v>
      </c>
      <c r="T33" s="197"/>
      <c r="U33" s="197"/>
      <c r="V33" s="197"/>
      <c r="W33" s="197"/>
      <c r="X33" s="198"/>
      <c r="Y33" s="198"/>
      <c r="Z33" s="199"/>
      <c r="AA33" s="200"/>
      <c r="AB33" s="201"/>
      <c r="AC33" s="199"/>
      <c r="AD33" s="199"/>
      <c r="AE33" s="105"/>
      <c r="AF33" s="199"/>
      <c r="AG33" s="105"/>
      <c r="AH33" s="199"/>
      <c r="AI33" s="199"/>
      <c r="AJ33" s="199"/>
      <c r="AK33" s="200"/>
      <c r="AL33" s="199"/>
      <c r="AM33" s="199"/>
      <c r="AN33" s="199"/>
      <c r="AO33" s="199"/>
      <c r="AP33" s="202"/>
      <c r="AQ33" s="199"/>
    </row>
    <row r="34">
      <c r="A34" s="135" t="s">
        <v>1321</v>
      </c>
      <c r="B34" s="135" t="s">
        <v>1322</v>
      </c>
      <c r="C34" s="135" t="str">
        <f>VLOOKUP(A34,import!A:C,3,0)</f>
        <v>DOĞRU</v>
      </c>
      <c r="D34" s="135" t="s">
        <v>1145</v>
      </c>
      <c r="E34" s="194" t="str">
        <f>VLOOKUP(A34,import!A:AA,5,0)</f>
        <v/>
      </c>
      <c r="F34" s="194" t="str">
        <f>VLOOKUP(A34,import!A:AA,6,0)</f>
        <v/>
      </c>
      <c r="G34" s="135">
        <f>VLOOKUP(A34,import!A:AA,7,0)</f>
        <v>0</v>
      </c>
      <c r="H34" s="135">
        <f>VLOOKUP(A34,import!A:AA,8,0)</f>
        <v>62</v>
      </c>
      <c r="I34" s="135">
        <f>VLOOKUP(A34,import!A:AA,9,0)</f>
        <v>62</v>
      </c>
      <c r="J34" s="195">
        <f>VLOOKUP(A34,import!A:AA,10,0)</f>
        <v>0</v>
      </c>
      <c r="K34" s="135" t="s">
        <v>1323</v>
      </c>
      <c r="L34" s="135">
        <v>5.491323535E9</v>
      </c>
      <c r="M34" s="135" t="s">
        <v>1318</v>
      </c>
      <c r="N34" s="135" t="s">
        <v>1324</v>
      </c>
      <c r="O34" s="135" t="s">
        <v>1325</v>
      </c>
      <c r="P34" s="135" t="str">
        <f>VLOOKUP(A34,import!A:P,16,0)</f>
        <v>Geleneksel</v>
      </c>
      <c r="Q34" s="196"/>
      <c r="R34" s="196" t="b">
        <v>0</v>
      </c>
      <c r="S34" s="196" t="b">
        <v>0</v>
      </c>
      <c r="T34" s="197"/>
      <c r="U34" s="197"/>
      <c r="V34" s="197"/>
      <c r="W34" s="197"/>
      <c r="X34" s="198"/>
      <c r="Y34" s="198"/>
      <c r="Z34" s="199"/>
      <c r="AA34" s="200"/>
      <c r="AB34" s="201"/>
      <c r="AC34" s="199"/>
      <c r="AD34" s="199"/>
      <c r="AE34" s="105"/>
      <c r="AF34" s="199"/>
      <c r="AG34" s="105"/>
      <c r="AH34" s="199"/>
      <c r="AI34" s="199"/>
      <c r="AJ34" s="199"/>
      <c r="AK34" s="200"/>
      <c r="AL34" s="199"/>
      <c r="AM34" s="199"/>
      <c r="AN34" s="199"/>
      <c r="AO34" s="199"/>
      <c r="AP34" s="202"/>
      <c r="AQ34" s="199"/>
    </row>
    <row r="35">
      <c r="A35" s="135" t="s">
        <v>1326</v>
      </c>
      <c r="B35" s="135" t="s">
        <v>1327</v>
      </c>
      <c r="C35" s="135" t="str">
        <f>VLOOKUP(A35,import!A:C,3,0)</f>
        <v>DOĞRU</v>
      </c>
      <c r="D35" s="135" t="s">
        <v>1170</v>
      </c>
      <c r="E35" s="194">
        <f>VLOOKUP(A35,import!A:AA,5,0)</f>
        <v>7</v>
      </c>
      <c r="F35" s="194" t="str">
        <f>VLOOKUP(A35,import!A:AA,6,0)</f>
        <v/>
      </c>
      <c r="G35" s="135">
        <f>VLOOKUP(A35,import!A:AA,7,0)</f>
        <v>0</v>
      </c>
      <c r="H35" s="135">
        <f>VLOOKUP(A35,import!A:AA,8,0)</f>
        <v>40</v>
      </c>
      <c r="I35" s="135">
        <f>VLOOKUP(A35,import!A:AA,9,0)</f>
        <v>40</v>
      </c>
      <c r="J35" s="195">
        <f>VLOOKUP(A35,import!A:AA,10,0)</f>
        <v>0</v>
      </c>
      <c r="K35" s="135" t="s">
        <v>1328</v>
      </c>
      <c r="L35" s="135">
        <v>5.050346475E9</v>
      </c>
      <c r="M35" s="135" t="s">
        <v>1172</v>
      </c>
      <c r="N35" s="135" t="s">
        <v>1329</v>
      </c>
      <c r="O35" s="135" t="s">
        <v>1330</v>
      </c>
      <c r="P35" s="135" t="str">
        <f>VLOOKUP(A35,import!A:P,16,0)</f>
        <v>Geleneksel</v>
      </c>
      <c r="Q35" s="196"/>
      <c r="R35" s="196" t="b">
        <v>1</v>
      </c>
      <c r="S35" s="196" t="b">
        <v>0</v>
      </c>
      <c r="T35" s="197" t="s">
        <v>1202</v>
      </c>
      <c r="U35" s="197"/>
      <c r="V35" s="197"/>
      <c r="W35" s="197" t="s">
        <v>1331</v>
      </c>
      <c r="X35" s="198"/>
      <c r="Y35" s="198"/>
      <c r="Z35" s="199"/>
      <c r="AA35" s="200" t="s">
        <v>1202</v>
      </c>
      <c r="AB35" s="201">
        <v>44607.0</v>
      </c>
      <c r="AC35" s="199"/>
      <c r="AD35" s="199"/>
      <c r="AE35" s="105"/>
      <c r="AF35" s="199"/>
      <c r="AG35" s="105"/>
      <c r="AH35" s="199"/>
      <c r="AI35" s="199"/>
      <c r="AJ35" s="199"/>
      <c r="AK35" s="200" t="s">
        <v>1161</v>
      </c>
      <c r="AL35" s="199"/>
      <c r="AM35" s="199"/>
      <c r="AN35" s="199"/>
      <c r="AO35" s="199"/>
      <c r="AP35" s="202" t="s">
        <v>1152</v>
      </c>
      <c r="AQ35" s="199"/>
    </row>
    <row r="36">
      <c r="A36" s="135" t="s">
        <v>1332</v>
      </c>
      <c r="B36" s="135" t="s">
        <v>1333</v>
      </c>
      <c r="C36" s="135" t="str">
        <f>VLOOKUP(A36,import!A:C,3,0)</f>
        <v>DOĞRU</v>
      </c>
      <c r="D36" s="135" t="s">
        <v>1334</v>
      </c>
      <c r="E36" s="194">
        <f>VLOOKUP(A36,import!A:AA,5,0)</f>
        <v>201</v>
      </c>
      <c r="F36" s="194" t="str">
        <f>VLOOKUP(A36,import!A:AA,6,0)</f>
        <v/>
      </c>
      <c r="G36" s="135">
        <f>VLOOKUP(A36,import!A:AA,7,0)</f>
        <v>0</v>
      </c>
      <c r="H36" s="135">
        <f>VLOOKUP(A36,import!A:AA,8,0)</f>
        <v>4</v>
      </c>
      <c r="I36" s="135">
        <f>VLOOKUP(A36,import!A:AA,9,0)</f>
        <v>4</v>
      </c>
      <c r="J36" s="195">
        <f>VLOOKUP(A36,import!A:AA,10,0)</f>
        <v>0</v>
      </c>
      <c r="K36" s="135" t="s">
        <v>1335</v>
      </c>
      <c r="L36" s="135">
        <v>5.32600991E9</v>
      </c>
      <c r="M36" s="135" t="s">
        <v>1172</v>
      </c>
      <c r="N36" s="135" t="s">
        <v>1336</v>
      </c>
      <c r="O36" s="135" t="s">
        <v>1337</v>
      </c>
      <c r="P36" s="135" t="str">
        <f>VLOOKUP(A36,import!A:P,16,0)</f>
        <v>Geleneksel</v>
      </c>
      <c r="Q36" s="196"/>
      <c r="R36" s="196" t="b">
        <v>1</v>
      </c>
      <c r="S36" s="196" t="b">
        <v>0</v>
      </c>
      <c r="T36" s="197" t="s">
        <v>1289</v>
      </c>
      <c r="U36" s="197"/>
      <c r="V36" s="197"/>
      <c r="W36" s="197" t="s">
        <v>1338</v>
      </c>
      <c r="X36" s="198"/>
      <c r="Y36" s="198"/>
      <c r="Z36" s="199"/>
      <c r="AA36" s="200" t="s">
        <v>1151</v>
      </c>
      <c r="AB36" s="199"/>
      <c r="AC36" s="200" t="s">
        <v>1151</v>
      </c>
      <c r="AD36" s="201">
        <v>44404.0</v>
      </c>
      <c r="AE36" s="105"/>
      <c r="AF36" s="199"/>
      <c r="AG36" s="105"/>
      <c r="AH36" s="199"/>
      <c r="AI36" s="199"/>
      <c r="AJ36" s="199"/>
      <c r="AK36" s="199"/>
      <c r="AL36" s="199"/>
      <c r="AM36" s="199"/>
      <c r="AN36" s="199"/>
      <c r="AO36" s="199"/>
      <c r="AP36" s="202" t="s">
        <v>1152</v>
      </c>
      <c r="AQ36" s="199"/>
    </row>
    <row r="37">
      <c r="A37" s="135" t="s">
        <v>1339</v>
      </c>
      <c r="B37" s="135" t="s">
        <v>1340</v>
      </c>
      <c r="C37" s="135" t="str">
        <f>VLOOKUP(A37,import!A:C,3,0)</f>
        <v>DOĞRU</v>
      </c>
      <c r="D37" s="135" t="s">
        <v>1341</v>
      </c>
      <c r="E37" s="194">
        <f>VLOOKUP(A37,import!A:AA,5,0)</f>
        <v>34</v>
      </c>
      <c r="F37" s="194" t="str">
        <f>VLOOKUP(A37,import!A:AA,6,0)</f>
        <v/>
      </c>
      <c r="G37" s="135">
        <f>VLOOKUP(A37,import!A:AA,7,0)</f>
        <v>0</v>
      </c>
      <c r="H37" s="135">
        <f>VLOOKUP(A37,import!A:AA,8,0)</f>
        <v>23</v>
      </c>
      <c r="I37" s="135">
        <f>VLOOKUP(A37,import!A:AA,9,0)</f>
        <v>23</v>
      </c>
      <c r="J37" s="195">
        <f>VLOOKUP(A37,import!A:AA,10,0)</f>
        <v>0</v>
      </c>
      <c r="K37" s="135" t="s">
        <v>1342</v>
      </c>
      <c r="L37" s="135">
        <v>5.161669161E9</v>
      </c>
      <c r="M37" s="135" t="s">
        <v>1147</v>
      </c>
      <c r="N37" s="135" t="s">
        <v>1164</v>
      </c>
      <c r="O37" s="135" t="s">
        <v>315</v>
      </c>
      <c r="P37" s="135" t="str">
        <f>VLOOKUP(A37,import!A:P,16,0)</f>
        <v>Geleneksel</v>
      </c>
      <c r="Q37" s="196"/>
      <c r="R37" s="196" t="b">
        <v>1</v>
      </c>
      <c r="S37" s="196" t="b">
        <v>0</v>
      </c>
      <c r="T37" s="197" t="s">
        <v>1289</v>
      </c>
      <c r="U37" s="204"/>
      <c r="V37" s="204"/>
      <c r="W37" s="197" t="s">
        <v>1343</v>
      </c>
      <c r="X37" s="206"/>
      <c r="Y37" s="206"/>
      <c r="Z37" s="199"/>
      <c r="AA37" s="200" t="s">
        <v>1151</v>
      </c>
      <c r="AB37" s="201">
        <v>44358.0</v>
      </c>
      <c r="AC37" s="200" t="s">
        <v>1151</v>
      </c>
      <c r="AD37" s="201">
        <v>44376.0</v>
      </c>
      <c r="AE37" s="200" t="s">
        <v>1151</v>
      </c>
      <c r="AF37" s="201">
        <v>44405.0</v>
      </c>
      <c r="AG37" s="105"/>
      <c r="AH37" s="199"/>
      <c r="AI37" s="199"/>
      <c r="AJ37" s="199"/>
      <c r="AK37" s="200" t="s">
        <v>1167</v>
      </c>
      <c r="AL37" s="200" t="s">
        <v>189</v>
      </c>
      <c r="AM37" s="200" t="s">
        <v>1264</v>
      </c>
      <c r="AN37" s="199"/>
      <c r="AO37" s="199"/>
      <c r="AP37" s="202" t="s">
        <v>1152</v>
      </c>
      <c r="AQ37" s="199"/>
    </row>
    <row r="38">
      <c r="A38" s="135" t="s">
        <v>1007</v>
      </c>
      <c r="B38" s="135" t="s">
        <v>1008</v>
      </c>
      <c r="C38" s="135" t="str">
        <f>VLOOKUP(A38,import!A:C,3,0)</f>
        <v>DOĞRU</v>
      </c>
      <c r="D38" s="135" t="s">
        <v>1182</v>
      </c>
      <c r="E38" s="194">
        <f>VLOOKUP(A38,import!A:AA,5,0)</f>
        <v>121</v>
      </c>
      <c r="F38" s="194" t="str">
        <f>VLOOKUP(A38,import!A:AA,6,0)</f>
        <v/>
      </c>
      <c r="G38" s="135">
        <f>VLOOKUP(A38,import!A:AA,7,0)</f>
        <v>5</v>
      </c>
      <c r="H38" s="135">
        <f>VLOOKUP(A38,import!A:AA,8,0)</f>
        <v>2</v>
      </c>
      <c r="I38" s="135">
        <f>VLOOKUP(A38,import!A:AA,9,0)</f>
        <v>7</v>
      </c>
      <c r="J38" s="195">
        <f>VLOOKUP(A38,import!A:AA,10,0)</f>
        <v>0.71</v>
      </c>
      <c r="K38" s="135" t="s">
        <v>1344</v>
      </c>
      <c r="L38" s="135">
        <v>5.424542934E9</v>
      </c>
      <c r="M38" s="135" t="s">
        <v>1147</v>
      </c>
      <c r="N38" s="135" t="s">
        <v>1164</v>
      </c>
      <c r="O38" s="135" t="s">
        <v>1010</v>
      </c>
      <c r="P38" s="135" t="str">
        <f>VLOOKUP(A38,import!A:P,16,0)</f>
        <v>Geleneksel</v>
      </c>
      <c r="Q38" s="196"/>
      <c r="R38" s="196" t="b">
        <v>1</v>
      </c>
      <c r="S38" s="196" t="b">
        <v>0</v>
      </c>
      <c r="T38" s="197" t="s">
        <v>1165</v>
      </c>
      <c r="U38" s="197" t="s">
        <v>1006</v>
      </c>
      <c r="V38" s="197"/>
      <c r="W38" s="197"/>
      <c r="X38" s="198">
        <v>44608.0</v>
      </c>
      <c r="Y38" s="198">
        <v>44609.0</v>
      </c>
      <c r="Z38" s="199"/>
      <c r="AA38" s="200" t="s">
        <v>1151</v>
      </c>
      <c r="AB38" s="201">
        <v>44608.0</v>
      </c>
      <c r="AC38" s="199"/>
      <c r="AD38" s="199"/>
      <c r="AE38" s="105"/>
      <c r="AF38" s="199"/>
      <c r="AG38" s="105"/>
      <c r="AH38" s="199"/>
      <c r="AI38" s="199"/>
      <c r="AJ38" s="199"/>
      <c r="AK38" s="200" t="s">
        <v>1006</v>
      </c>
      <c r="AL38" s="199"/>
      <c r="AM38" s="199"/>
      <c r="AN38" s="199"/>
      <c r="AO38" s="199"/>
      <c r="AP38" s="202" t="s">
        <v>1152</v>
      </c>
      <c r="AQ38" s="199"/>
    </row>
    <row r="39">
      <c r="A39" s="202" t="s">
        <v>1345</v>
      </c>
      <c r="B39" s="202" t="s">
        <v>1346</v>
      </c>
      <c r="C39" s="135" t="str">
        <f>VLOOKUP(A39,import!A:C,3,0)</f>
        <v>DOĞRU</v>
      </c>
      <c r="D39" s="202" t="s">
        <v>1155</v>
      </c>
      <c r="E39" s="194" t="str">
        <f>VLOOKUP(A39,import!A:AA,5,0)</f>
        <v/>
      </c>
      <c r="F39" s="194" t="str">
        <f>VLOOKUP(A39,import!A:AA,6,0)</f>
        <v/>
      </c>
      <c r="G39" s="135">
        <f>VLOOKUP(A39,import!A:AA,7,0)</f>
        <v>0</v>
      </c>
      <c r="H39" s="135">
        <f>VLOOKUP(A39,import!A:AA,8,0)</f>
        <v>39</v>
      </c>
      <c r="I39" s="135">
        <f>VLOOKUP(A39,import!A:AA,9,0)</f>
        <v>39</v>
      </c>
      <c r="J39" s="195">
        <f>VLOOKUP(A39,import!A:AA,10,0)</f>
        <v>0</v>
      </c>
      <c r="K39" s="202" t="s">
        <v>1347</v>
      </c>
      <c r="L39" s="202">
        <v>5.317865383E9</v>
      </c>
      <c r="M39" s="202" t="s">
        <v>1348</v>
      </c>
      <c r="N39" s="202" t="s">
        <v>1349</v>
      </c>
      <c r="O39" s="202" t="s">
        <v>1350</v>
      </c>
      <c r="P39" s="135" t="str">
        <f>VLOOKUP(A39,import!A:P,16,0)</f>
        <v>Geleneksel</v>
      </c>
      <c r="Q39" s="196"/>
      <c r="R39" s="196" t="b">
        <v>0</v>
      </c>
      <c r="S39" s="196" t="b">
        <v>0</v>
      </c>
      <c r="T39" s="197"/>
      <c r="U39" s="197"/>
      <c r="V39" s="197"/>
      <c r="W39" s="197"/>
      <c r="X39" s="198"/>
      <c r="Y39" s="198"/>
      <c r="Z39" s="199"/>
      <c r="AA39" s="200"/>
      <c r="AB39" s="201"/>
      <c r="AC39" s="199"/>
      <c r="AD39" s="199"/>
      <c r="AE39" s="105"/>
      <c r="AF39" s="199"/>
      <c r="AG39" s="105"/>
      <c r="AH39" s="199"/>
      <c r="AI39" s="199"/>
      <c r="AJ39" s="199"/>
      <c r="AK39" s="200"/>
      <c r="AL39" s="199"/>
      <c r="AM39" s="199"/>
      <c r="AN39" s="199"/>
      <c r="AO39" s="199"/>
      <c r="AP39" s="202"/>
      <c r="AQ39" s="199"/>
    </row>
    <row r="40">
      <c r="A40" s="135" t="s">
        <v>1056</v>
      </c>
      <c r="B40" s="135" t="s">
        <v>1057</v>
      </c>
      <c r="C40" s="135" t="str">
        <f>VLOOKUP(A40,import!A:C,3,0)</f>
        <v>DOĞRU</v>
      </c>
      <c r="D40" s="135" t="s">
        <v>1302</v>
      </c>
      <c r="E40" s="194">
        <f>VLOOKUP(A40,import!A:AA,5,0)</f>
        <v>932</v>
      </c>
      <c r="F40" s="194">
        <f>VLOOKUP(A40,import!A:AA,6,0)</f>
        <v>68</v>
      </c>
      <c r="G40" s="135">
        <f>VLOOKUP(A40,import!A:AA,7,0)</f>
        <v>4</v>
      </c>
      <c r="H40" s="135">
        <f>VLOOKUP(A40,import!A:AA,8,0)</f>
        <v>6</v>
      </c>
      <c r="I40" s="135">
        <f>VLOOKUP(A40,import!A:AA,9,0)</f>
        <v>10</v>
      </c>
      <c r="J40" s="195">
        <f>VLOOKUP(A40,import!A:AA,10,0)</f>
        <v>0.4</v>
      </c>
      <c r="K40" s="135" t="s">
        <v>1351</v>
      </c>
      <c r="L40" s="135">
        <v>5.075015557E9</v>
      </c>
      <c r="M40" s="135" t="s">
        <v>1147</v>
      </c>
      <c r="N40" s="135" t="s">
        <v>1352</v>
      </c>
      <c r="O40" s="135" t="s">
        <v>1059</v>
      </c>
      <c r="P40" s="135" t="str">
        <f>VLOOKUP(A40,import!A:P,16,0)</f>
        <v>Geleneksel</v>
      </c>
      <c r="Q40" s="196"/>
      <c r="R40" s="196" t="b">
        <v>1</v>
      </c>
      <c r="S40" s="196" t="b">
        <v>0</v>
      </c>
      <c r="T40" s="197" t="s">
        <v>1165</v>
      </c>
      <c r="U40" s="197" t="s">
        <v>1061</v>
      </c>
      <c r="V40" s="197" t="s">
        <v>940</v>
      </c>
      <c r="W40" s="197"/>
      <c r="X40" s="198">
        <v>44610.0</v>
      </c>
      <c r="Y40" s="198">
        <v>44613.0</v>
      </c>
      <c r="Z40" s="199"/>
      <c r="AA40" s="200" t="s">
        <v>1151</v>
      </c>
      <c r="AB40" s="201">
        <v>44610.0</v>
      </c>
      <c r="AC40" s="199"/>
      <c r="AD40" s="199"/>
      <c r="AE40" s="105"/>
      <c r="AF40" s="199"/>
      <c r="AG40" s="105"/>
      <c r="AH40" s="199"/>
      <c r="AI40" s="199"/>
      <c r="AJ40" s="199"/>
      <c r="AK40" s="200" t="s">
        <v>1061</v>
      </c>
      <c r="AL40" s="199"/>
      <c r="AM40" s="199"/>
      <c r="AN40" s="199"/>
      <c r="AO40" s="199"/>
      <c r="AP40" s="202" t="s">
        <v>1152</v>
      </c>
      <c r="AQ40" s="199"/>
    </row>
    <row r="41">
      <c r="A41" s="135" t="s">
        <v>1353</v>
      </c>
      <c r="B41" s="135" t="s">
        <v>1354</v>
      </c>
      <c r="C41" s="135" t="str">
        <f>VLOOKUP(A41,import!A:C,3,0)</f>
        <v>DOĞRU</v>
      </c>
      <c r="D41" s="135" t="s">
        <v>1302</v>
      </c>
      <c r="E41" s="194">
        <f>VLOOKUP(A41,import!A:AA,5,0)</f>
        <v>12</v>
      </c>
      <c r="F41" s="194">
        <f>VLOOKUP(A41,import!A:AA,6,0)</f>
        <v>5</v>
      </c>
      <c r="G41" s="135">
        <f>VLOOKUP(A41,import!A:AA,7,0)</f>
        <v>0</v>
      </c>
      <c r="H41" s="135">
        <f>VLOOKUP(A41,import!A:AA,8,0)</f>
        <v>43</v>
      </c>
      <c r="I41" s="135">
        <f>VLOOKUP(A41,import!A:AA,9,0)</f>
        <v>43</v>
      </c>
      <c r="J41" s="195">
        <f>VLOOKUP(A41,import!A:AA,10,0)</f>
        <v>0</v>
      </c>
      <c r="K41" s="135" t="s">
        <v>1355</v>
      </c>
      <c r="L41" s="135">
        <v>2.642735859E9</v>
      </c>
      <c r="M41" s="135" t="s">
        <v>1172</v>
      </c>
      <c r="N41" s="135" t="s">
        <v>1356</v>
      </c>
      <c r="O41" s="135" t="s">
        <v>1357</v>
      </c>
      <c r="P41" s="135" t="str">
        <f>VLOOKUP(A41,import!A:P,16,0)</f>
        <v>Geleneksel</v>
      </c>
      <c r="Q41" s="196"/>
      <c r="R41" s="196" t="b">
        <v>1</v>
      </c>
      <c r="S41" s="196" t="b">
        <v>0</v>
      </c>
      <c r="T41" s="197" t="s">
        <v>1251</v>
      </c>
      <c r="U41" s="197"/>
      <c r="V41" s="197"/>
      <c r="W41" s="197" t="s">
        <v>1358</v>
      </c>
      <c r="X41" s="198"/>
      <c r="Y41" s="198"/>
      <c r="Z41" s="199"/>
      <c r="AA41" s="200" t="s">
        <v>1151</v>
      </c>
      <c r="AB41" s="201">
        <v>44621.0</v>
      </c>
      <c r="AC41" s="199"/>
      <c r="AD41" s="199"/>
      <c r="AE41" s="105"/>
      <c r="AF41" s="199"/>
      <c r="AG41" s="105"/>
      <c r="AH41" s="199"/>
      <c r="AI41" s="199"/>
      <c r="AJ41" s="199"/>
      <c r="AK41" s="200" t="s">
        <v>1024</v>
      </c>
      <c r="AL41" s="199"/>
      <c r="AM41" s="199"/>
      <c r="AN41" s="199"/>
      <c r="AO41" s="199"/>
      <c r="AP41" s="202"/>
      <c r="AQ41" s="199"/>
    </row>
    <row r="42">
      <c r="A42" s="202" t="s">
        <v>1359</v>
      </c>
      <c r="B42" s="202" t="s">
        <v>1360</v>
      </c>
      <c r="C42" s="135" t="str">
        <f>VLOOKUP(A42,import!A:C,3,0)</f>
        <v>DOĞRU</v>
      </c>
      <c r="D42" s="202" t="s">
        <v>1235</v>
      </c>
      <c r="E42" s="194">
        <f>VLOOKUP(A42,import!A:AA,5,0)</f>
        <v>4</v>
      </c>
      <c r="F42" s="194" t="str">
        <f>VLOOKUP(A42,import!A:AA,6,0)</f>
        <v/>
      </c>
      <c r="G42" s="135">
        <f>VLOOKUP(A42,import!A:AA,7,0)</f>
        <v>0</v>
      </c>
      <c r="H42" s="135">
        <f>VLOOKUP(A42,import!A:AA,8,0)</f>
        <v>55</v>
      </c>
      <c r="I42" s="135">
        <f>VLOOKUP(A42,import!A:AA,9,0)</f>
        <v>55</v>
      </c>
      <c r="J42" s="195">
        <f>VLOOKUP(A42,import!A:AA,10,0)</f>
        <v>0</v>
      </c>
      <c r="K42" s="202" t="s">
        <v>1361</v>
      </c>
      <c r="L42" s="202">
        <v>2.643331233E9</v>
      </c>
      <c r="M42" s="202" t="s">
        <v>1147</v>
      </c>
      <c r="N42" s="202" t="s">
        <v>1362</v>
      </c>
      <c r="O42" s="202" t="s">
        <v>671</v>
      </c>
      <c r="P42" s="135" t="str">
        <f>VLOOKUP(A42,import!A:P,16,0)</f>
        <v>Geleneksel</v>
      </c>
      <c r="Q42" s="196"/>
      <c r="R42" s="196" t="b">
        <v>0</v>
      </c>
      <c r="S42" s="196" t="b">
        <v>0</v>
      </c>
      <c r="T42" s="197"/>
      <c r="U42" s="197"/>
      <c r="V42" s="197"/>
      <c r="W42" s="197"/>
      <c r="X42" s="198"/>
      <c r="Y42" s="198"/>
      <c r="Z42" s="199"/>
      <c r="AA42" s="200"/>
      <c r="AB42" s="201"/>
      <c r="AC42" s="199"/>
      <c r="AD42" s="199"/>
      <c r="AE42" s="105"/>
      <c r="AF42" s="199"/>
      <c r="AG42" s="105"/>
      <c r="AH42" s="199"/>
      <c r="AI42" s="199"/>
      <c r="AJ42" s="199"/>
      <c r="AK42" s="200"/>
      <c r="AL42" s="199"/>
      <c r="AM42" s="199"/>
      <c r="AN42" s="199"/>
      <c r="AO42" s="199"/>
      <c r="AP42" s="202"/>
      <c r="AQ42" s="199"/>
    </row>
    <row r="43">
      <c r="A43" s="135" t="s">
        <v>1363</v>
      </c>
      <c r="B43" s="135" t="s">
        <v>1364</v>
      </c>
      <c r="C43" s="135" t="str">
        <f>VLOOKUP(A43,import!A:C,3,0)</f>
        <v>DOĞRU</v>
      </c>
      <c r="D43" s="135" t="s">
        <v>1182</v>
      </c>
      <c r="E43" s="194">
        <f>VLOOKUP(A43,import!A:AA,5,0)</f>
        <v>621</v>
      </c>
      <c r="F43" s="194" t="str">
        <f>VLOOKUP(A43,import!A:AA,6,0)</f>
        <v/>
      </c>
      <c r="G43" s="135">
        <f>VLOOKUP(A43,import!A:AA,7,0)</f>
        <v>7</v>
      </c>
      <c r="H43" s="135">
        <f>VLOOKUP(A43,import!A:AA,8,0)</f>
        <v>5</v>
      </c>
      <c r="I43" s="135">
        <f>VLOOKUP(A43,import!A:AA,9,0)</f>
        <v>12</v>
      </c>
      <c r="J43" s="195">
        <f>VLOOKUP(A43,import!A:AA,10,0)</f>
        <v>0.58</v>
      </c>
      <c r="K43" s="135" t="s">
        <v>1365</v>
      </c>
      <c r="L43" s="135">
        <v>5.326782084E9</v>
      </c>
      <c r="M43" s="135" t="s">
        <v>1242</v>
      </c>
      <c r="N43" s="135" t="s">
        <v>1243</v>
      </c>
      <c r="O43" s="135" t="s">
        <v>1366</v>
      </c>
      <c r="P43" s="135" t="str">
        <f>VLOOKUP(A43,import!A:P,16,0)</f>
        <v>Geleneksel</v>
      </c>
      <c r="Q43" s="196"/>
      <c r="R43" s="196" t="b">
        <v>1</v>
      </c>
      <c r="S43" s="196" t="b">
        <v>0</v>
      </c>
      <c r="T43" s="197" t="s">
        <v>1202</v>
      </c>
      <c r="U43" s="204"/>
      <c r="V43" s="204"/>
      <c r="W43" s="197" t="s">
        <v>1367</v>
      </c>
      <c r="X43" s="206"/>
      <c r="Y43" s="206"/>
      <c r="Z43" s="199"/>
      <c r="AA43" s="209" t="s">
        <v>1202</v>
      </c>
      <c r="AB43" s="201">
        <v>44379.0</v>
      </c>
      <c r="AC43" s="199"/>
      <c r="AD43" s="199"/>
      <c r="AE43" s="105"/>
      <c r="AF43" s="199"/>
      <c r="AG43" s="105"/>
      <c r="AH43" s="199"/>
      <c r="AI43" s="199"/>
      <c r="AJ43" s="199"/>
      <c r="AK43" s="200" t="s">
        <v>1264</v>
      </c>
      <c r="AL43" s="199"/>
      <c r="AM43" s="199"/>
      <c r="AN43" s="199"/>
      <c r="AO43" s="199"/>
      <c r="AP43" s="202" t="s">
        <v>1152</v>
      </c>
      <c r="AQ43" s="199"/>
    </row>
    <row r="44">
      <c r="A44" s="135" t="s">
        <v>1368</v>
      </c>
      <c r="B44" s="135" t="s">
        <v>1369</v>
      </c>
      <c r="C44" s="135" t="str">
        <f>VLOOKUP(A44,import!A:C,3,0)</f>
        <v>DOĞRU</v>
      </c>
      <c r="D44" s="135" t="s">
        <v>1182</v>
      </c>
      <c r="E44" s="194">
        <f>VLOOKUP(A44,import!A:AA,5,0)</f>
        <v>249</v>
      </c>
      <c r="F44" s="194">
        <f>VLOOKUP(A44,import!A:AA,6,0)</f>
        <v>5</v>
      </c>
      <c r="G44" s="135">
        <f>VLOOKUP(A44,import!A:AA,7,0)</f>
        <v>6</v>
      </c>
      <c r="H44" s="135">
        <f>VLOOKUP(A44,import!A:AA,8,0)</f>
        <v>7</v>
      </c>
      <c r="I44" s="135">
        <f>VLOOKUP(A44,import!A:AA,9,0)</f>
        <v>13</v>
      </c>
      <c r="J44" s="195">
        <f>VLOOKUP(A44,import!A:AA,10,0)</f>
        <v>0.46</v>
      </c>
      <c r="K44" s="135" t="s">
        <v>1370</v>
      </c>
      <c r="L44" s="135">
        <v>5.532943089E9</v>
      </c>
      <c r="M44" s="135" t="s">
        <v>1318</v>
      </c>
      <c r="N44" s="135" t="s">
        <v>1371</v>
      </c>
      <c r="O44" s="135" t="s">
        <v>1372</v>
      </c>
      <c r="P44" s="135" t="str">
        <f>VLOOKUP(A44,import!A:P,16,0)</f>
        <v>Geleneksel</v>
      </c>
      <c r="Q44" s="196"/>
      <c r="R44" s="196" t="b">
        <v>1</v>
      </c>
      <c r="S44" s="196" t="b">
        <v>0</v>
      </c>
      <c r="T44" s="197" t="s">
        <v>1373</v>
      </c>
      <c r="U44" s="197"/>
      <c r="V44" s="197"/>
      <c r="W44" s="197"/>
      <c r="X44" s="198"/>
      <c r="Y44" s="198"/>
      <c r="Z44" s="199"/>
      <c r="AA44" s="199"/>
      <c r="AB44" s="199"/>
      <c r="AC44" s="199"/>
      <c r="AD44" s="199"/>
      <c r="AE44" s="105"/>
      <c r="AF44" s="199"/>
      <c r="AG44" s="105"/>
      <c r="AH44" s="199"/>
      <c r="AI44" s="199"/>
      <c r="AJ44" s="199"/>
      <c r="AK44" s="199"/>
      <c r="AL44" s="199"/>
      <c r="AM44" s="199"/>
      <c r="AN44" s="199"/>
      <c r="AO44" s="199"/>
      <c r="AP44" s="202" t="s">
        <v>1152</v>
      </c>
      <c r="AQ44" s="199"/>
    </row>
    <row r="45">
      <c r="A45" s="202" t="s">
        <v>1374</v>
      </c>
      <c r="B45" s="202" t="s">
        <v>1375</v>
      </c>
      <c r="C45" s="135" t="str">
        <f>VLOOKUP(A45,import!A:C,3,0)</f>
        <v>DOĞRU</v>
      </c>
      <c r="D45" s="202" t="s">
        <v>1170</v>
      </c>
      <c r="E45" s="194" t="str">
        <f>VLOOKUP(A45,import!A:AA,5,0)</f>
        <v/>
      </c>
      <c r="F45" s="194" t="str">
        <f>VLOOKUP(A45,import!A:AA,6,0)</f>
        <v/>
      </c>
      <c r="G45" s="135">
        <f>VLOOKUP(A45,import!A:AA,7,0)</f>
        <v>0</v>
      </c>
      <c r="H45" s="135">
        <f>VLOOKUP(A45,import!A:AA,8,0)</f>
        <v>15</v>
      </c>
      <c r="I45" s="135">
        <f>VLOOKUP(A45,import!A:AA,9,0)</f>
        <v>15</v>
      </c>
      <c r="J45" s="195">
        <f>VLOOKUP(A45,import!A:AA,10,0)</f>
        <v>0</v>
      </c>
      <c r="K45" s="202" t="s">
        <v>1376</v>
      </c>
      <c r="L45" s="202">
        <v>5.300230654E9</v>
      </c>
      <c r="M45" s="202" t="s">
        <v>1147</v>
      </c>
      <c r="N45" s="202" t="s">
        <v>1157</v>
      </c>
      <c r="O45" s="202" t="s">
        <v>1377</v>
      </c>
      <c r="P45" s="135" t="str">
        <f>VLOOKUP(A45,import!A:P,16,0)</f>
        <v>Geleneksel</v>
      </c>
      <c r="Q45" s="196"/>
      <c r="R45" s="196" t="b">
        <v>0</v>
      </c>
      <c r="S45" s="196" t="b">
        <v>0</v>
      </c>
      <c r="T45" s="197"/>
      <c r="U45" s="197"/>
      <c r="V45" s="197"/>
      <c r="W45" s="197"/>
      <c r="X45" s="198"/>
      <c r="Y45" s="198"/>
      <c r="Z45" s="199"/>
      <c r="AA45" s="200"/>
      <c r="AB45" s="201"/>
      <c r="AC45" s="199"/>
      <c r="AD45" s="199"/>
      <c r="AE45" s="105"/>
      <c r="AF45" s="199"/>
      <c r="AG45" s="105"/>
      <c r="AH45" s="199"/>
      <c r="AI45" s="199"/>
      <c r="AJ45" s="199"/>
      <c r="AK45" s="200"/>
      <c r="AL45" s="199"/>
      <c r="AM45" s="199"/>
      <c r="AN45" s="199"/>
      <c r="AO45" s="199"/>
      <c r="AP45" s="202"/>
      <c r="AQ45" s="199"/>
    </row>
    <row r="46">
      <c r="A46" s="135" t="s">
        <v>915</v>
      </c>
      <c r="B46" s="135" t="s">
        <v>916</v>
      </c>
      <c r="C46" s="135" t="str">
        <f>VLOOKUP(A46,import!A:C,3,0)</f>
        <v>DOĞRU</v>
      </c>
      <c r="D46" s="135" t="s">
        <v>1155</v>
      </c>
      <c r="E46" s="194">
        <f>VLOOKUP(A46,import!A:AA,5,0)</f>
        <v>260</v>
      </c>
      <c r="F46" s="194">
        <f>VLOOKUP(A46,import!A:AA,6,0)</f>
        <v>7</v>
      </c>
      <c r="G46" s="135">
        <f>VLOOKUP(A46,import!A:AA,7,0)</f>
        <v>16</v>
      </c>
      <c r="H46" s="135">
        <f>VLOOKUP(A46,import!A:AA,8,0)</f>
        <v>23</v>
      </c>
      <c r="I46" s="135">
        <f>VLOOKUP(A46,import!A:AA,9,0)</f>
        <v>39</v>
      </c>
      <c r="J46" s="195">
        <f>VLOOKUP(A46,import!A:AA,10,0)</f>
        <v>0.41</v>
      </c>
      <c r="K46" s="135" t="s">
        <v>1378</v>
      </c>
      <c r="L46" s="135">
        <v>5.322454924E9</v>
      </c>
      <c r="M46" s="135" t="s">
        <v>1172</v>
      </c>
      <c r="N46" s="135" t="s">
        <v>1379</v>
      </c>
      <c r="O46" s="135" t="s">
        <v>918</v>
      </c>
      <c r="P46" s="135" t="str">
        <f>VLOOKUP(A46,import!A:P,16,0)</f>
        <v>Geleneksel</v>
      </c>
      <c r="Q46" s="196"/>
      <c r="R46" s="196" t="b">
        <v>1</v>
      </c>
      <c r="S46" s="196" t="b">
        <v>0</v>
      </c>
      <c r="T46" s="197" t="s">
        <v>1165</v>
      </c>
      <c r="U46" s="197" t="s">
        <v>1264</v>
      </c>
      <c r="V46" s="197" t="s">
        <v>91</v>
      </c>
      <c r="W46" s="197" t="s">
        <v>1380</v>
      </c>
      <c r="X46" s="198">
        <v>44379.0</v>
      </c>
      <c r="Y46" s="198">
        <v>44382.0</v>
      </c>
      <c r="Z46" s="199"/>
      <c r="AA46" s="200" t="s">
        <v>1202</v>
      </c>
      <c r="AB46" s="201">
        <v>44350.0</v>
      </c>
      <c r="AC46" s="200" t="s">
        <v>1202</v>
      </c>
      <c r="AD46" s="201">
        <v>44356.0</v>
      </c>
      <c r="AE46" s="200" t="s">
        <v>1202</v>
      </c>
      <c r="AF46" s="201">
        <v>44358.0</v>
      </c>
      <c r="AG46" s="200" t="s">
        <v>1202</v>
      </c>
      <c r="AH46" s="201">
        <v>44363.0</v>
      </c>
      <c r="AI46" s="200" t="s">
        <v>1151</v>
      </c>
      <c r="AJ46" s="201">
        <v>44379.0</v>
      </c>
      <c r="AK46" s="200" t="s">
        <v>1204</v>
      </c>
      <c r="AL46" s="200" t="s">
        <v>92</v>
      </c>
      <c r="AM46" s="200" t="s">
        <v>92</v>
      </c>
      <c r="AN46" s="200" t="s">
        <v>1167</v>
      </c>
      <c r="AO46" s="200" t="s">
        <v>1264</v>
      </c>
      <c r="AP46" s="202" t="s">
        <v>1152</v>
      </c>
      <c r="AQ46" s="200"/>
    </row>
    <row r="47">
      <c r="A47" s="135" t="s">
        <v>1381</v>
      </c>
      <c r="B47" s="135" t="s">
        <v>1382</v>
      </c>
      <c r="C47" s="135" t="str">
        <f>VLOOKUP(A47,import!A:C,3,0)</f>
        <v>DOĞRU</v>
      </c>
      <c r="D47" s="135" t="s">
        <v>1188</v>
      </c>
      <c r="E47" s="194">
        <f>VLOOKUP(A47,import!A:AA,5,0)</f>
        <v>1</v>
      </c>
      <c r="F47" s="194" t="str">
        <f>VLOOKUP(A47,import!A:AA,6,0)</f>
        <v/>
      </c>
      <c r="G47" s="135">
        <f>VLOOKUP(A47,import!A:AA,7,0)</f>
        <v>0</v>
      </c>
      <c r="H47" s="135">
        <f>VLOOKUP(A47,import!A:AA,8,0)</f>
        <v>14</v>
      </c>
      <c r="I47" s="135">
        <f>VLOOKUP(A47,import!A:AA,9,0)</f>
        <v>14</v>
      </c>
      <c r="J47" s="195">
        <f>VLOOKUP(A47,import!A:AA,10,0)</f>
        <v>0</v>
      </c>
      <c r="K47" s="135" t="s">
        <v>1383</v>
      </c>
      <c r="L47" s="135">
        <v>5.331378554E9</v>
      </c>
      <c r="M47" s="135" t="s">
        <v>1147</v>
      </c>
      <c r="N47" s="135" t="s">
        <v>1157</v>
      </c>
      <c r="O47" s="135" t="s">
        <v>1384</v>
      </c>
      <c r="P47" s="135" t="str">
        <f>VLOOKUP(A47,import!A:P,16,0)</f>
        <v>Geleneksel</v>
      </c>
      <c r="Q47" s="196"/>
      <c r="R47" s="196" t="b">
        <v>0</v>
      </c>
      <c r="S47" s="196" t="b">
        <v>0</v>
      </c>
      <c r="T47" s="197"/>
      <c r="U47" s="197"/>
      <c r="V47" s="197"/>
      <c r="W47" s="197"/>
      <c r="X47" s="198"/>
      <c r="Y47" s="198"/>
      <c r="Z47" s="199"/>
      <c r="AA47" s="200"/>
      <c r="AB47" s="201"/>
      <c r="AC47" s="199"/>
      <c r="AD47" s="199"/>
      <c r="AE47" s="105"/>
      <c r="AF47" s="199"/>
      <c r="AG47" s="105"/>
      <c r="AH47" s="199"/>
      <c r="AI47" s="199"/>
      <c r="AJ47" s="199"/>
      <c r="AK47" s="200"/>
      <c r="AL47" s="199"/>
      <c r="AM47" s="199"/>
      <c r="AN47" s="199"/>
      <c r="AO47" s="199"/>
      <c r="AP47" s="202"/>
      <c r="AQ47" s="199"/>
    </row>
    <row r="48">
      <c r="A48" s="135" t="s">
        <v>905</v>
      </c>
      <c r="B48" s="135" t="s">
        <v>906</v>
      </c>
      <c r="C48" s="135" t="str">
        <f>VLOOKUP(A48,import!A:C,3,0)</f>
        <v>DOĞRU</v>
      </c>
      <c r="D48" s="135" t="s">
        <v>1235</v>
      </c>
      <c r="E48" s="194">
        <f>VLOOKUP(A48,import!A:AA,5,0)</f>
        <v>258</v>
      </c>
      <c r="F48" s="194">
        <f>VLOOKUP(A48,import!A:AA,6,0)</f>
        <v>4</v>
      </c>
      <c r="G48" s="135">
        <f>VLOOKUP(A48,import!A:AA,7,0)</f>
        <v>6</v>
      </c>
      <c r="H48" s="135">
        <f>VLOOKUP(A48,import!A:AA,8,0)</f>
        <v>12</v>
      </c>
      <c r="I48" s="135">
        <f>VLOOKUP(A48,import!A:AA,9,0)</f>
        <v>18</v>
      </c>
      <c r="J48" s="195">
        <f>VLOOKUP(A48,import!A:AA,10,0)</f>
        <v>0.33</v>
      </c>
      <c r="K48" s="135" t="s">
        <v>1385</v>
      </c>
      <c r="L48" s="135">
        <v>2.642784441E9</v>
      </c>
      <c r="M48" s="135" t="s">
        <v>1172</v>
      </c>
      <c r="N48" s="135" t="s">
        <v>1386</v>
      </c>
      <c r="O48" s="135" t="s">
        <v>908</v>
      </c>
      <c r="P48" s="135" t="str">
        <f>VLOOKUP(A48,import!A:P,16,0)</f>
        <v>Geleneksel</v>
      </c>
      <c r="Q48" s="196"/>
      <c r="R48" s="196" t="b">
        <v>1</v>
      </c>
      <c r="S48" s="196" t="b">
        <v>0</v>
      </c>
      <c r="T48" s="197" t="s">
        <v>1165</v>
      </c>
      <c r="U48" s="197" t="s">
        <v>92</v>
      </c>
      <c r="V48" s="197" t="s">
        <v>91</v>
      </c>
      <c r="W48" s="197"/>
      <c r="X48" s="198">
        <v>44379.0</v>
      </c>
      <c r="Y48" s="198">
        <v>44382.0</v>
      </c>
      <c r="Z48" s="199"/>
      <c r="AA48" s="200" t="s">
        <v>1151</v>
      </c>
      <c r="AB48" s="201">
        <v>44379.0</v>
      </c>
      <c r="AC48" s="199"/>
      <c r="AD48" s="199"/>
      <c r="AE48" s="105"/>
      <c r="AF48" s="199"/>
      <c r="AG48" s="105"/>
      <c r="AH48" s="199"/>
      <c r="AI48" s="199"/>
      <c r="AJ48" s="199"/>
      <c r="AK48" s="200" t="s">
        <v>92</v>
      </c>
      <c r="AL48" s="199"/>
      <c r="AM48" s="199"/>
      <c r="AN48" s="199"/>
      <c r="AO48" s="199"/>
      <c r="AP48" s="202" t="s">
        <v>1152</v>
      </c>
      <c r="AQ48" s="199"/>
    </row>
    <row r="49">
      <c r="A49" s="135" t="s">
        <v>1387</v>
      </c>
      <c r="B49" s="135" t="s">
        <v>1388</v>
      </c>
      <c r="C49" s="135" t="str">
        <f>VLOOKUP(A49,import!A:C,3,0)</f>
        <v>DOĞRU</v>
      </c>
      <c r="D49" s="135" t="s">
        <v>1145</v>
      </c>
      <c r="E49" s="194" t="str">
        <f>VLOOKUP(A49,import!A:AA,5,0)</f>
        <v/>
      </c>
      <c r="F49" s="194" t="str">
        <f>VLOOKUP(A49,import!A:AA,6,0)</f>
        <v/>
      </c>
      <c r="G49" s="135">
        <f>VLOOKUP(A49,import!A:AA,7,0)</f>
        <v>0</v>
      </c>
      <c r="H49" s="135">
        <f>VLOOKUP(A49,import!A:AA,8,0)</f>
        <v>31</v>
      </c>
      <c r="I49" s="135">
        <f>VLOOKUP(A49,import!A:AA,9,0)</f>
        <v>31</v>
      </c>
      <c r="J49" s="195">
        <f>VLOOKUP(A49,import!A:AA,10,0)</f>
        <v>0</v>
      </c>
      <c r="K49" s="135" t="s">
        <v>1389</v>
      </c>
      <c r="L49" s="135">
        <v>5.451665454E9</v>
      </c>
      <c r="M49" s="135" t="s">
        <v>1147</v>
      </c>
      <c r="N49" s="135" t="s">
        <v>1157</v>
      </c>
      <c r="O49" s="135" t="s">
        <v>1390</v>
      </c>
      <c r="P49" s="135" t="str">
        <f>VLOOKUP(A49,import!A:P,16,0)</f>
        <v>Geleneksel</v>
      </c>
      <c r="Q49" s="196"/>
      <c r="R49" s="196" t="b">
        <v>0</v>
      </c>
      <c r="S49" s="196" t="b">
        <v>0</v>
      </c>
      <c r="T49" s="197"/>
      <c r="U49" s="197"/>
      <c r="V49" s="197"/>
      <c r="W49" s="197"/>
      <c r="X49" s="198"/>
      <c r="Y49" s="198"/>
      <c r="Z49" s="199"/>
      <c r="AA49" s="200"/>
      <c r="AB49" s="201"/>
      <c r="AC49" s="199"/>
      <c r="AD49" s="199"/>
      <c r="AE49" s="105"/>
      <c r="AF49" s="199"/>
      <c r="AG49" s="105"/>
      <c r="AH49" s="199"/>
      <c r="AI49" s="199"/>
      <c r="AJ49" s="199"/>
      <c r="AK49" s="200"/>
      <c r="AL49" s="199"/>
      <c r="AM49" s="199"/>
      <c r="AN49" s="199"/>
      <c r="AO49" s="199"/>
      <c r="AP49" s="202"/>
      <c r="AQ49" s="199"/>
    </row>
    <row r="50">
      <c r="A50" s="135" t="s">
        <v>106</v>
      </c>
      <c r="B50" s="135" t="s">
        <v>107</v>
      </c>
      <c r="C50" s="135" t="str">
        <f>VLOOKUP(A50,import!A:C,3,0)</f>
        <v>DOĞRU</v>
      </c>
      <c r="D50" s="135" t="s">
        <v>1188</v>
      </c>
      <c r="E50" s="194">
        <f>VLOOKUP(A50,import!A:AA,5,0)</f>
        <v>906</v>
      </c>
      <c r="F50" s="194" t="str">
        <f>VLOOKUP(A50,import!A:AA,6,0)</f>
        <v/>
      </c>
      <c r="G50" s="135">
        <f>VLOOKUP(A50,import!A:AA,7,0)</f>
        <v>8</v>
      </c>
      <c r="H50" s="135">
        <f>VLOOKUP(A50,import!A:AA,8,0)</f>
        <v>5</v>
      </c>
      <c r="I50" s="135">
        <f>VLOOKUP(A50,import!A:AA,9,0)</f>
        <v>13</v>
      </c>
      <c r="J50" s="195">
        <f>VLOOKUP(A50,import!A:AA,10,0)</f>
        <v>0.62</v>
      </c>
      <c r="K50" s="135" t="s">
        <v>1391</v>
      </c>
      <c r="L50" s="135">
        <v>5.537510354E9</v>
      </c>
      <c r="M50" s="135" t="s">
        <v>1177</v>
      </c>
      <c r="N50" s="135" t="s">
        <v>1177</v>
      </c>
      <c r="O50" s="135" t="s">
        <v>111</v>
      </c>
      <c r="P50" s="135" t="str">
        <f>VLOOKUP(A50,import!A:P,16,0)</f>
        <v>Geleneksel</v>
      </c>
      <c r="Q50" s="196"/>
      <c r="R50" s="196" t="b">
        <v>1</v>
      </c>
      <c r="S50" s="196" t="b">
        <v>0</v>
      </c>
      <c r="T50" s="197" t="s">
        <v>1165</v>
      </c>
      <c r="U50" s="197" t="s">
        <v>105</v>
      </c>
      <c r="V50" s="197" t="s">
        <v>91</v>
      </c>
      <c r="W50" s="197" t="s">
        <v>1392</v>
      </c>
      <c r="X50" s="198">
        <v>44293.0</v>
      </c>
      <c r="Y50" s="198">
        <v>44294.0</v>
      </c>
      <c r="Z50" s="199"/>
      <c r="AA50" s="199"/>
      <c r="AB50" s="199"/>
      <c r="AC50" s="199"/>
      <c r="AD50" s="199"/>
      <c r="AE50" s="105"/>
      <c r="AF50" s="199"/>
      <c r="AG50" s="105"/>
      <c r="AH50" s="199"/>
      <c r="AI50" s="199"/>
      <c r="AJ50" s="199"/>
      <c r="AK50" s="199"/>
      <c r="AL50" s="199"/>
      <c r="AM50" s="199"/>
      <c r="AN50" s="199"/>
      <c r="AO50" s="199"/>
      <c r="AP50" s="202" t="s">
        <v>1152</v>
      </c>
      <c r="AQ50" s="199"/>
    </row>
    <row r="51">
      <c r="A51" s="135" t="s">
        <v>1074</v>
      </c>
      <c r="B51" s="135" t="s">
        <v>1075</v>
      </c>
      <c r="C51" s="135" t="str">
        <f>VLOOKUP(A51,import!A:C,3,0)</f>
        <v>DOĞRU</v>
      </c>
      <c r="D51" s="135" t="s">
        <v>1162</v>
      </c>
      <c r="E51" s="194">
        <f>VLOOKUP(A51,import!A:AA,5,0)</f>
        <v>249</v>
      </c>
      <c r="F51" s="194">
        <f>VLOOKUP(A51,import!A:AA,6,0)</f>
        <v>2</v>
      </c>
      <c r="G51" s="135">
        <f>VLOOKUP(A51,import!A:AA,7,0)</f>
        <v>0</v>
      </c>
      <c r="H51" s="135">
        <f>VLOOKUP(A51,import!A:AA,8,0)</f>
        <v>6</v>
      </c>
      <c r="I51" s="135">
        <f>VLOOKUP(A51,import!A:AA,9,0)</f>
        <v>6</v>
      </c>
      <c r="J51" s="195">
        <f>VLOOKUP(A51,import!A:AA,10,0)</f>
        <v>0</v>
      </c>
      <c r="K51" s="135" t="s">
        <v>1393</v>
      </c>
      <c r="L51" s="135">
        <v>5.387168726E9</v>
      </c>
      <c r="M51" s="135" t="s">
        <v>1147</v>
      </c>
      <c r="N51" s="135" t="s">
        <v>1157</v>
      </c>
      <c r="O51" s="135" t="s">
        <v>1077</v>
      </c>
      <c r="P51" s="135" t="str">
        <f>VLOOKUP(A51,import!A:P,16,0)</f>
        <v>Geleneksel</v>
      </c>
      <c r="Q51" s="196"/>
      <c r="R51" s="196" t="b">
        <v>1</v>
      </c>
      <c r="S51" s="196" t="b">
        <v>0</v>
      </c>
      <c r="T51" s="197" t="s">
        <v>1289</v>
      </c>
      <c r="U51" s="197" t="s">
        <v>1006</v>
      </c>
      <c r="V51" s="210" t="s">
        <v>940</v>
      </c>
      <c r="W51" s="197"/>
      <c r="X51" s="198">
        <v>44621.0</v>
      </c>
      <c r="Y51" s="198">
        <v>44622.0</v>
      </c>
      <c r="Z51" s="199"/>
      <c r="AA51" s="200" t="s">
        <v>1151</v>
      </c>
      <c r="AB51" s="201">
        <v>44621.0</v>
      </c>
      <c r="AC51" s="199"/>
      <c r="AD51" s="199"/>
      <c r="AE51" s="105"/>
      <c r="AF51" s="199"/>
      <c r="AG51" s="105"/>
      <c r="AH51" s="199"/>
      <c r="AI51" s="199"/>
      <c r="AJ51" s="199"/>
      <c r="AK51" s="200" t="s">
        <v>1006</v>
      </c>
      <c r="AL51" s="199"/>
      <c r="AM51" s="199"/>
      <c r="AN51" s="199"/>
      <c r="AO51" s="199"/>
      <c r="AP51" s="202"/>
      <c r="AQ51" s="199"/>
    </row>
    <row r="52">
      <c r="A52" s="135" t="s">
        <v>1394</v>
      </c>
      <c r="B52" s="135" t="s">
        <v>1395</v>
      </c>
      <c r="C52" s="135" t="str">
        <f>VLOOKUP(A52,import!A:C,3,0)</f>
        <v>DOĞRU</v>
      </c>
      <c r="D52" s="135" t="s">
        <v>1155</v>
      </c>
      <c r="E52" s="194">
        <f>VLOOKUP(A52,import!A:AA,5,0)</f>
        <v>999</v>
      </c>
      <c r="F52" s="194">
        <f>VLOOKUP(A52,import!A:AA,6,0)</f>
        <v>22</v>
      </c>
      <c r="G52" s="135">
        <f>VLOOKUP(A52,import!A:AA,7,0)</f>
        <v>3</v>
      </c>
      <c r="H52" s="135">
        <f>VLOOKUP(A52,import!A:AA,8,0)</f>
        <v>16</v>
      </c>
      <c r="I52" s="135">
        <f>VLOOKUP(A52,import!A:AA,9,0)</f>
        <v>19</v>
      </c>
      <c r="J52" s="195">
        <f>VLOOKUP(A52,import!A:AA,10,0)</f>
        <v>0.16</v>
      </c>
      <c r="K52" s="135" t="s">
        <v>1396</v>
      </c>
      <c r="L52" s="135">
        <v>5.418954334E9</v>
      </c>
      <c r="M52" s="135" t="s">
        <v>1242</v>
      </c>
      <c r="N52" s="135" t="s">
        <v>1397</v>
      </c>
      <c r="O52" s="135" t="s">
        <v>1398</v>
      </c>
      <c r="P52" s="135" t="str">
        <f>VLOOKUP(A52,import!A:P,16,0)</f>
        <v>Geleneksel</v>
      </c>
      <c r="Q52" s="196"/>
      <c r="R52" s="196" t="b">
        <v>0</v>
      </c>
      <c r="S52" s="196" t="b">
        <v>0</v>
      </c>
      <c r="T52" s="197"/>
      <c r="U52" s="197"/>
      <c r="V52" s="197"/>
      <c r="W52" s="197"/>
      <c r="X52" s="198"/>
      <c r="Y52" s="198"/>
      <c r="Z52" s="199"/>
      <c r="AA52" s="199"/>
      <c r="AB52" s="199"/>
      <c r="AC52" s="199"/>
      <c r="AD52" s="199"/>
      <c r="AE52" s="105"/>
      <c r="AF52" s="199"/>
      <c r="AG52" s="105"/>
      <c r="AH52" s="199"/>
      <c r="AI52" s="199"/>
      <c r="AJ52" s="199"/>
      <c r="AK52" s="199"/>
      <c r="AL52" s="199"/>
      <c r="AM52" s="199"/>
      <c r="AN52" s="199"/>
      <c r="AO52" s="199"/>
      <c r="AP52" s="202" t="s">
        <v>1152</v>
      </c>
      <c r="AQ52" s="199"/>
    </row>
    <row r="53">
      <c r="A53" s="135" t="s">
        <v>572</v>
      </c>
      <c r="B53" s="135" t="s">
        <v>573</v>
      </c>
      <c r="C53" s="135" t="str">
        <f>VLOOKUP(A53,import!A:C,3,0)</f>
        <v>YANLIŞ</v>
      </c>
      <c r="D53" s="135" t="s">
        <v>1162</v>
      </c>
      <c r="E53" s="194">
        <f>VLOOKUP(A53,import!A:AA,5,0)</f>
        <v>42</v>
      </c>
      <c r="F53" s="194" t="str">
        <f>VLOOKUP(A53,import!A:AA,6,0)</f>
        <v/>
      </c>
      <c r="G53" s="135">
        <f>VLOOKUP(A53,import!A:AA,7,0)</f>
        <v>8</v>
      </c>
      <c r="H53" s="135">
        <f>VLOOKUP(A53,import!A:AA,8,0)</f>
        <v>16</v>
      </c>
      <c r="I53" s="135">
        <f>VLOOKUP(A53,import!A:AA,9,0)</f>
        <v>24</v>
      </c>
      <c r="J53" s="195">
        <f>VLOOKUP(A53,import!A:AA,10,0)</f>
        <v>0.33</v>
      </c>
      <c r="K53" s="135" t="s">
        <v>1399</v>
      </c>
      <c r="L53" s="135">
        <v>5.309116493E9</v>
      </c>
      <c r="M53" s="135" t="s">
        <v>1172</v>
      </c>
      <c r="N53" s="135" t="s">
        <v>1173</v>
      </c>
      <c r="O53" s="135" t="s">
        <v>1400</v>
      </c>
      <c r="P53" s="135" t="str">
        <f>VLOOKUP(A53,import!A:P,16,0)</f>
        <v>Geleneksel</v>
      </c>
      <c r="Q53" s="196"/>
      <c r="R53" s="196" t="b">
        <v>1</v>
      </c>
      <c r="S53" s="196" t="b">
        <v>0</v>
      </c>
      <c r="T53" s="197" t="s">
        <v>1165</v>
      </c>
      <c r="U53" s="197" t="s">
        <v>189</v>
      </c>
      <c r="V53" s="197" t="s">
        <v>91</v>
      </c>
      <c r="W53" s="197" t="s">
        <v>1401</v>
      </c>
      <c r="X53" s="198">
        <v>44342.0</v>
      </c>
      <c r="Y53" s="198">
        <v>44343.0</v>
      </c>
      <c r="Z53" s="199"/>
      <c r="AA53" s="199"/>
      <c r="AB53" s="199"/>
      <c r="AC53" s="199"/>
      <c r="AD53" s="199"/>
      <c r="AE53" s="105"/>
      <c r="AF53" s="199"/>
      <c r="AG53" s="105"/>
      <c r="AH53" s="199"/>
      <c r="AI53" s="199"/>
      <c r="AJ53" s="199"/>
      <c r="AK53" s="199"/>
      <c r="AL53" s="199"/>
      <c r="AM53" s="199"/>
      <c r="AN53" s="199"/>
      <c r="AO53" s="199"/>
      <c r="AP53" s="202" t="s">
        <v>1152</v>
      </c>
      <c r="AQ53" s="199"/>
    </row>
    <row r="54">
      <c r="A54" s="135" t="s">
        <v>1402</v>
      </c>
      <c r="B54" s="135" t="s">
        <v>1403</v>
      </c>
      <c r="C54" s="135" t="str">
        <f>VLOOKUP(A54,import!A:C,3,0)</f>
        <v>DOĞRU</v>
      </c>
      <c r="D54" s="135" t="s">
        <v>1170</v>
      </c>
      <c r="E54" s="194">
        <f>VLOOKUP(A54,import!A:AA,5,0)</f>
        <v>121</v>
      </c>
      <c r="F54" s="194">
        <f>VLOOKUP(A54,import!A:AA,6,0)</f>
        <v>2</v>
      </c>
      <c r="G54" s="135">
        <f>VLOOKUP(A54,import!A:AA,7,0)</f>
        <v>0</v>
      </c>
      <c r="H54" s="135">
        <f>VLOOKUP(A54,import!A:AA,8,0)</f>
        <v>97</v>
      </c>
      <c r="I54" s="135">
        <f>VLOOKUP(A54,import!A:AA,9,0)</f>
        <v>97</v>
      </c>
      <c r="J54" s="195">
        <f>VLOOKUP(A54,import!A:AA,10,0)</f>
        <v>0</v>
      </c>
      <c r="K54" s="135" t="s">
        <v>1404</v>
      </c>
      <c r="L54" s="135">
        <v>5.445479454E9</v>
      </c>
      <c r="M54" s="135" t="s">
        <v>1172</v>
      </c>
      <c r="N54" s="135" t="s">
        <v>1405</v>
      </c>
      <c r="O54" s="135" t="s">
        <v>1406</v>
      </c>
      <c r="P54" s="135" t="str">
        <f>VLOOKUP(A54,import!A:P,16,0)</f>
        <v>Geleneksel</v>
      </c>
      <c r="Q54" s="196"/>
      <c r="R54" s="196" t="b">
        <v>0</v>
      </c>
      <c r="S54" s="196" t="b">
        <v>0</v>
      </c>
      <c r="T54" s="197"/>
      <c r="U54" s="197"/>
      <c r="V54" s="197"/>
      <c r="W54" s="197"/>
      <c r="X54" s="198"/>
      <c r="Y54" s="198"/>
      <c r="Z54" s="199"/>
      <c r="AA54" s="200"/>
      <c r="AB54" s="201"/>
      <c r="AC54" s="199"/>
      <c r="AD54" s="199"/>
      <c r="AE54" s="105"/>
      <c r="AF54" s="199"/>
      <c r="AG54" s="105"/>
      <c r="AH54" s="199"/>
      <c r="AI54" s="199"/>
      <c r="AJ54" s="199"/>
      <c r="AK54" s="200"/>
      <c r="AL54" s="199"/>
      <c r="AM54" s="199"/>
      <c r="AN54" s="199"/>
      <c r="AO54" s="199"/>
      <c r="AP54" s="202"/>
      <c r="AQ54" s="199"/>
    </row>
    <row r="55">
      <c r="A55" s="135" t="s">
        <v>1407</v>
      </c>
      <c r="B55" s="135" t="s">
        <v>1408</v>
      </c>
      <c r="C55" s="135" t="str">
        <f>VLOOKUP(A55,import!A:C,3,0)</f>
        <v>DOĞRU</v>
      </c>
      <c r="D55" s="135" t="s">
        <v>1182</v>
      </c>
      <c r="E55" s="194">
        <f>VLOOKUP(A55,import!A:AA,5,0)</f>
        <v>1</v>
      </c>
      <c r="F55" s="194" t="str">
        <f>VLOOKUP(A55,import!A:AA,6,0)</f>
        <v/>
      </c>
      <c r="G55" s="135">
        <f>VLOOKUP(A55,import!A:AA,7,0)</f>
        <v>0</v>
      </c>
      <c r="H55" s="135">
        <f>VLOOKUP(A55,import!A:AA,8,0)</f>
        <v>14</v>
      </c>
      <c r="I55" s="135">
        <f>VLOOKUP(A55,import!A:AA,9,0)</f>
        <v>14</v>
      </c>
      <c r="J55" s="195">
        <f>VLOOKUP(A55,import!A:AA,10,0)</f>
        <v>0</v>
      </c>
      <c r="K55" s="135" t="s">
        <v>1409</v>
      </c>
      <c r="L55" s="135">
        <v>5.395657582E9</v>
      </c>
      <c r="M55" s="135" t="s">
        <v>1172</v>
      </c>
      <c r="N55" s="135" t="s">
        <v>1356</v>
      </c>
      <c r="O55" s="135" t="s">
        <v>1410</v>
      </c>
      <c r="P55" s="135" t="str">
        <f>VLOOKUP(A55,import!A:P,16,0)</f>
        <v>Geleneksel</v>
      </c>
      <c r="Q55" s="196"/>
      <c r="R55" s="196" t="b">
        <v>0</v>
      </c>
      <c r="S55" s="196" t="b">
        <v>0</v>
      </c>
      <c r="T55" s="197"/>
      <c r="U55" s="197"/>
      <c r="V55" s="197"/>
      <c r="W55" s="197"/>
      <c r="X55" s="198"/>
      <c r="Y55" s="198"/>
      <c r="Z55" s="199"/>
      <c r="AA55" s="200"/>
      <c r="AB55" s="201"/>
      <c r="AC55" s="199"/>
      <c r="AD55" s="199"/>
      <c r="AE55" s="105"/>
      <c r="AF55" s="199"/>
      <c r="AG55" s="105"/>
      <c r="AH55" s="199"/>
      <c r="AI55" s="199"/>
      <c r="AJ55" s="199"/>
      <c r="AK55" s="200"/>
      <c r="AL55" s="199"/>
      <c r="AM55" s="199"/>
      <c r="AN55" s="199"/>
      <c r="AO55" s="199"/>
      <c r="AP55" s="202"/>
      <c r="AQ55" s="199"/>
    </row>
    <row r="56">
      <c r="A56" s="135" t="s">
        <v>832</v>
      </c>
      <c r="B56" s="135" t="s">
        <v>833</v>
      </c>
      <c r="C56" s="135" t="str">
        <f>VLOOKUP(A56,import!A:C,3,0)</f>
        <v>DOĞRU</v>
      </c>
      <c r="D56" s="135" t="s">
        <v>1145</v>
      </c>
      <c r="E56" s="194">
        <f>VLOOKUP(A56,import!A:AA,5,0)</f>
        <v>141</v>
      </c>
      <c r="F56" s="194" t="str">
        <f>VLOOKUP(A56,import!A:AA,6,0)</f>
        <v/>
      </c>
      <c r="G56" s="135">
        <f>VLOOKUP(A56,import!A:AA,7,0)</f>
        <v>12</v>
      </c>
      <c r="H56" s="135">
        <f>VLOOKUP(A56,import!A:AA,8,0)</f>
        <v>16</v>
      </c>
      <c r="I56" s="135">
        <f>VLOOKUP(A56,import!A:AA,9,0)</f>
        <v>28</v>
      </c>
      <c r="J56" s="195">
        <f>VLOOKUP(A56,import!A:AA,10,0)</f>
        <v>0.43</v>
      </c>
      <c r="K56" s="135" t="s">
        <v>1411</v>
      </c>
      <c r="L56" s="135">
        <v>5.41440109E9</v>
      </c>
      <c r="M56" s="135" t="s">
        <v>1172</v>
      </c>
      <c r="N56" s="135" t="s">
        <v>1336</v>
      </c>
      <c r="O56" s="135" t="s">
        <v>835</v>
      </c>
      <c r="P56" s="135" t="str">
        <f>VLOOKUP(A56,import!A:P,16,0)</f>
        <v>Geleneksel</v>
      </c>
      <c r="Q56" s="196"/>
      <c r="R56" s="196" t="b">
        <v>1</v>
      </c>
      <c r="S56" s="196" t="b">
        <v>0</v>
      </c>
      <c r="T56" s="197" t="s">
        <v>1165</v>
      </c>
      <c r="U56" s="197" t="s">
        <v>1278</v>
      </c>
      <c r="V56" s="197" t="s">
        <v>91</v>
      </c>
      <c r="W56" s="197" t="s">
        <v>1412</v>
      </c>
      <c r="X56" s="198">
        <v>44365.0</v>
      </c>
      <c r="Y56" s="198">
        <v>44370.0</v>
      </c>
      <c r="Z56" s="199"/>
      <c r="AA56" s="200" t="s">
        <v>1202</v>
      </c>
      <c r="AB56" s="201">
        <v>44350.0</v>
      </c>
      <c r="AC56" s="200" t="s">
        <v>1151</v>
      </c>
      <c r="AD56" s="201">
        <v>44365.0</v>
      </c>
      <c r="AE56" s="105"/>
      <c r="AF56" s="199"/>
      <c r="AG56" s="105"/>
      <c r="AH56" s="199"/>
      <c r="AI56" s="199"/>
      <c r="AJ56" s="199"/>
      <c r="AK56" s="200" t="s">
        <v>1204</v>
      </c>
      <c r="AL56" s="200" t="s">
        <v>1278</v>
      </c>
      <c r="AM56" s="199"/>
      <c r="AN56" s="199"/>
      <c r="AO56" s="199"/>
      <c r="AP56" s="202" t="s">
        <v>1152</v>
      </c>
      <c r="AQ56" s="199"/>
    </row>
    <row r="57">
      <c r="A57" s="135" t="s">
        <v>1413</v>
      </c>
      <c r="B57" s="135" t="s">
        <v>1414</v>
      </c>
      <c r="C57" s="135" t="str">
        <f>VLOOKUP(A57,import!A:C,3,0)</f>
        <v>DOĞRU</v>
      </c>
      <c r="D57" s="135" t="s">
        <v>1302</v>
      </c>
      <c r="E57" s="194">
        <f>VLOOKUP(A57,import!A:AA,5,0)</f>
        <v>217</v>
      </c>
      <c r="F57" s="194">
        <f>VLOOKUP(A57,import!A:AA,6,0)</f>
        <v>56</v>
      </c>
      <c r="G57" s="135">
        <f>VLOOKUP(A57,import!A:AA,7,0)</f>
        <v>0</v>
      </c>
      <c r="H57" s="135">
        <f>VLOOKUP(A57,import!A:AA,8,0)</f>
        <v>34</v>
      </c>
      <c r="I57" s="135">
        <f>VLOOKUP(A57,import!A:AA,9,0)</f>
        <v>34</v>
      </c>
      <c r="J57" s="195">
        <f>VLOOKUP(A57,import!A:AA,10,0)</f>
        <v>0</v>
      </c>
      <c r="K57" s="135" t="s">
        <v>1415</v>
      </c>
      <c r="L57" s="135">
        <v>5.444985323E9</v>
      </c>
      <c r="M57" s="135" t="s">
        <v>1147</v>
      </c>
      <c r="N57" s="135" t="s">
        <v>1164</v>
      </c>
      <c r="O57" s="135" t="s">
        <v>1416</v>
      </c>
      <c r="P57" s="135" t="str">
        <f>VLOOKUP(A57,import!A:P,16,0)</f>
        <v>Geleneksel</v>
      </c>
      <c r="Q57" s="196"/>
      <c r="R57" s="196" t="b">
        <v>1</v>
      </c>
      <c r="S57" s="196" t="b">
        <v>1</v>
      </c>
      <c r="T57" s="197"/>
      <c r="U57" s="197"/>
      <c r="V57" s="197"/>
      <c r="W57" s="197" t="s">
        <v>1417</v>
      </c>
      <c r="X57" s="198"/>
      <c r="Y57" s="198"/>
      <c r="Z57" s="199"/>
      <c r="AA57" s="200" t="s">
        <v>1151</v>
      </c>
      <c r="AB57" s="201">
        <v>44351.0</v>
      </c>
      <c r="AC57" s="200" t="s">
        <v>1151</v>
      </c>
      <c r="AD57" s="201">
        <v>44379.0</v>
      </c>
      <c r="AE57" s="105"/>
      <c r="AF57" s="199"/>
      <c r="AG57" s="105"/>
      <c r="AH57" s="199"/>
      <c r="AI57" s="199"/>
      <c r="AJ57" s="199"/>
      <c r="AK57" s="200" t="s">
        <v>1232</v>
      </c>
      <c r="AL57" s="200" t="s">
        <v>257</v>
      </c>
      <c r="AM57" s="199"/>
      <c r="AN57" s="199"/>
      <c r="AO57" s="199"/>
      <c r="AP57" s="202" t="s">
        <v>1152</v>
      </c>
      <c r="AQ57" s="199"/>
    </row>
    <row r="58">
      <c r="A58" s="135" t="s">
        <v>1066</v>
      </c>
      <c r="B58" s="135" t="s">
        <v>1067</v>
      </c>
      <c r="C58" s="135" t="str">
        <f>VLOOKUP(A58,import!A:C,3,0)</f>
        <v>DOĞRU</v>
      </c>
      <c r="D58" s="135" t="s">
        <v>1145</v>
      </c>
      <c r="E58" s="194">
        <f>VLOOKUP(A58,import!A:AA,5,0)</f>
        <v>1084</v>
      </c>
      <c r="F58" s="194">
        <f>VLOOKUP(A58,import!A:AA,6,0)</f>
        <v>39</v>
      </c>
      <c r="G58" s="135">
        <f>VLOOKUP(A58,import!A:AA,7,0)</f>
        <v>4</v>
      </c>
      <c r="H58" s="135">
        <f>VLOOKUP(A58,import!A:AA,8,0)</f>
        <v>54</v>
      </c>
      <c r="I58" s="135">
        <f>VLOOKUP(A58,import!A:AA,9,0)</f>
        <v>58</v>
      </c>
      <c r="J58" s="195">
        <f>VLOOKUP(A58,import!A:AA,10,0)</f>
        <v>0.07</v>
      </c>
      <c r="K58" s="135" t="s">
        <v>1418</v>
      </c>
      <c r="L58" s="135">
        <v>5.550148961E9</v>
      </c>
      <c r="M58" s="135" t="s">
        <v>1348</v>
      </c>
      <c r="N58" s="135" t="s">
        <v>1419</v>
      </c>
      <c r="O58" s="135" t="s">
        <v>1069</v>
      </c>
      <c r="P58" s="135" t="str">
        <f>VLOOKUP(A58,import!A:P,16,0)</f>
        <v>Geleneksel</v>
      </c>
      <c r="Q58" s="196"/>
      <c r="R58" s="196" t="b">
        <v>1</v>
      </c>
      <c r="S58" s="196" t="b">
        <v>0</v>
      </c>
      <c r="T58" s="197" t="s">
        <v>1165</v>
      </c>
      <c r="U58" s="197" t="s">
        <v>1061</v>
      </c>
      <c r="V58" s="207" t="s">
        <v>940</v>
      </c>
      <c r="W58" s="197" t="s">
        <v>1420</v>
      </c>
      <c r="X58" s="198">
        <v>44615.0</v>
      </c>
      <c r="Y58" s="198">
        <v>44616.0</v>
      </c>
      <c r="Z58" s="199"/>
      <c r="AA58" s="200" t="s">
        <v>1202</v>
      </c>
      <c r="AB58" s="201">
        <v>44354.0</v>
      </c>
      <c r="AC58" s="200" t="s">
        <v>1202</v>
      </c>
      <c r="AD58" s="201">
        <v>44368.0</v>
      </c>
      <c r="AE58" s="200" t="s">
        <v>1151</v>
      </c>
      <c r="AF58" s="201">
        <v>44379.0</v>
      </c>
      <c r="AG58" s="200" t="s">
        <v>1202</v>
      </c>
      <c r="AH58" s="201">
        <v>44389.0</v>
      </c>
      <c r="AI58" s="200" t="s">
        <v>1151</v>
      </c>
      <c r="AJ58" s="201">
        <v>44615.0</v>
      </c>
      <c r="AK58" s="200" t="s">
        <v>189</v>
      </c>
      <c r="AL58" s="200" t="s">
        <v>92</v>
      </c>
      <c r="AM58" s="200" t="s">
        <v>257</v>
      </c>
      <c r="AN58" s="200" t="s">
        <v>1421</v>
      </c>
      <c r="AO58" s="200" t="s">
        <v>1061</v>
      </c>
      <c r="AP58" s="202" t="s">
        <v>1152</v>
      </c>
      <c r="AQ58" s="200"/>
    </row>
    <row r="59">
      <c r="A59" s="135" t="s">
        <v>1422</v>
      </c>
      <c r="B59" s="135" t="s">
        <v>1423</v>
      </c>
      <c r="C59" s="135" t="str">
        <f>VLOOKUP(A59,import!A:C,3,0)</f>
        <v>DOĞRU</v>
      </c>
      <c r="D59" s="135" t="s">
        <v>1170</v>
      </c>
      <c r="E59" s="194">
        <f>VLOOKUP(A59,import!A:AA,5,0)</f>
        <v>133</v>
      </c>
      <c r="F59" s="194" t="str">
        <f>VLOOKUP(A59,import!A:AA,6,0)</f>
        <v/>
      </c>
      <c r="G59" s="135">
        <f>VLOOKUP(A59,import!A:AA,7,0)</f>
        <v>0</v>
      </c>
      <c r="H59" s="135">
        <f>VLOOKUP(A59,import!A:AA,8,0)</f>
        <v>29</v>
      </c>
      <c r="I59" s="135">
        <f>VLOOKUP(A59,import!A:AA,9,0)</f>
        <v>29</v>
      </c>
      <c r="J59" s="195">
        <f>VLOOKUP(A59,import!A:AA,10,0)</f>
        <v>0</v>
      </c>
      <c r="K59" s="135" t="s">
        <v>1424</v>
      </c>
      <c r="L59" s="135">
        <v>5.4179701E9</v>
      </c>
      <c r="M59" s="135" t="s">
        <v>1147</v>
      </c>
      <c r="N59" s="135" t="s">
        <v>1200</v>
      </c>
      <c r="O59" s="135" t="s">
        <v>1425</v>
      </c>
      <c r="P59" s="135" t="str">
        <f>VLOOKUP(A59,import!A:P,16,0)</f>
        <v>Geleneksel</v>
      </c>
      <c r="Q59" s="196"/>
      <c r="R59" s="196" t="b">
        <v>0</v>
      </c>
      <c r="S59" s="196" t="b">
        <v>0</v>
      </c>
      <c r="T59" s="197"/>
      <c r="U59" s="197"/>
      <c r="V59" s="208"/>
      <c r="W59" s="197"/>
      <c r="X59" s="198"/>
      <c r="Y59" s="198"/>
      <c r="Z59" s="199"/>
      <c r="AA59" s="200"/>
      <c r="AB59" s="201"/>
      <c r="AC59" s="199"/>
      <c r="AD59" s="199"/>
      <c r="AE59" s="105"/>
      <c r="AF59" s="199"/>
      <c r="AG59" s="105"/>
      <c r="AH59" s="199"/>
      <c r="AI59" s="199"/>
      <c r="AJ59" s="199"/>
      <c r="AK59" s="200"/>
      <c r="AL59" s="199"/>
      <c r="AM59" s="199"/>
      <c r="AN59" s="199"/>
      <c r="AO59" s="199"/>
      <c r="AP59" s="202"/>
      <c r="AQ59" s="199"/>
    </row>
    <row r="60">
      <c r="A60" s="135" t="s">
        <v>146</v>
      </c>
      <c r="B60" s="135" t="s">
        <v>1426</v>
      </c>
      <c r="C60" s="135" t="str">
        <f>VLOOKUP(A60,import!A:C,3,0)</f>
        <v>DOĞRU</v>
      </c>
      <c r="D60" s="135" t="s">
        <v>1226</v>
      </c>
      <c r="E60" s="194">
        <f>VLOOKUP(A60,import!A:AA,5,0)</f>
        <v>1324</v>
      </c>
      <c r="F60" s="194">
        <f>VLOOKUP(A60,import!A:AA,6,0)</f>
        <v>9</v>
      </c>
      <c r="G60" s="135">
        <f>VLOOKUP(A60,import!A:AA,7,0)</f>
        <v>10</v>
      </c>
      <c r="H60" s="135">
        <f>VLOOKUP(A60,import!A:AA,8,0)</f>
        <v>5</v>
      </c>
      <c r="I60" s="135">
        <f>VLOOKUP(A60,import!A:AA,9,0)</f>
        <v>15</v>
      </c>
      <c r="J60" s="195">
        <f>VLOOKUP(A60,import!A:AA,10,0)</f>
        <v>0.67</v>
      </c>
      <c r="K60" s="135" t="s">
        <v>1427</v>
      </c>
      <c r="L60" s="135">
        <v>5.321762554E9</v>
      </c>
      <c r="M60" s="135" t="s">
        <v>1172</v>
      </c>
      <c r="N60" s="135" t="s">
        <v>1379</v>
      </c>
      <c r="O60" s="135" t="s">
        <v>1428</v>
      </c>
      <c r="P60" s="135" t="str">
        <f>VLOOKUP(A60,import!A:P,16,0)</f>
        <v>Geleneksel</v>
      </c>
      <c r="Q60" s="196"/>
      <c r="R60" s="196" t="b">
        <v>1</v>
      </c>
      <c r="S60" s="196" t="b">
        <v>0</v>
      </c>
      <c r="T60" s="197" t="s">
        <v>1165</v>
      </c>
      <c r="U60" s="197" t="s">
        <v>140</v>
      </c>
      <c r="V60" s="204"/>
      <c r="W60" s="197"/>
      <c r="X60" s="198">
        <v>44295.0</v>
      </c>
      <c r="Y60" s="198">
        <v>44298.0</v>
      </c>
      <c r="Z60" s="199"/>
      <c r="AA60" s="199"/>
      <c r="AB60" s="199"/>
      <c r="AC60" s="199"/>
      <c r="AD60" s="199"/>
      <c r="AE60" s="105"/>
      <c r="AF60" s="199"/>
      <c r="AG60" s="105"/>
      <c r="AH60" s="199"/>
      <c r="AI60" s="199"/>
      <c r="AJ60" s="199"/>
      <c r="AK60" s="199"/>
      <c r="AL60" s="199"/>
      <c r="AM60" s="199"/>
      <c r="AN60" s="199"/>
      <c r="AO60" s="199"/>
      <c r="AP60" s="202" t="s">
        <v>1152</v>
      </c>
      <c r="AQ60" s="199"/>
    </row>
    <row r="61">
      <c r="A61" s="135" t="s">
        <v>756</v>
      </c>
      <c r="B61" s="135" t="s">
        <v>757</v>
      </c>
      <c r="C61" s="135" t="str">
        <f>VLOOKUP(A61,import!A:C,3,0)</f>
        <v>DOĞRU</v>
      </c>
      <c r="D61" s="135" t="s">
        <v>1188</v>
      </c>
      <c r="E61" s="194">
        <f>VLOOKUP(A61,import!A:AA,5,0)</f>
        <v>128</v>
      </c>
      <c r="F61" s="194" t="str">
        <f>VLOOKUP(A61,import!A:AA,6,0)</f>
        <v/>
      </c>
      <c r="G61" s="135">
        <f>VLOOKUP(A61,import!A:AA,7,0)</f>
        <v>8</v>
      </c>
      <c r="H61" s="135">
        <f>VLOOKUP(A61,import!A:AA,8,0)</f>
        <v>7</v>
      </c>
      <c r="I61" s="135">
        <f>VLOOKUP(A61,import!A:AA,9,0)</f>
        <v>15</v>
      </c>
      <c r="J61" s="195">
        <f>VLOOKUP(A61,import!A:AA,10,0)</f>
        <v>0.53</v>
      </c>
      <c r="K61" s="135" t="s">
        <v>1429</v>
      </c>
      <c r="L61" s="135">
        <v>5.419192026E9</v>
      </c>
      <c r="M61" s="135" t="s">
        <v>1172</v>
      </c>
      <c r="N61" s="135" t="s">
        <v>1196</v>
      </c>
      <c r="O61" s="135" t="s">
        <v>759</v>
      </c>
      <c r="P61" s="135" t="str">
        <f>VLOOKUP(A61,import!A:P,16,0)</f>
        <v>Geleneksel</v>
      </c>
      <c r="Q61" s="196"/>
      <c r="R61" s="196" t="b">
        <v>1</v>
      </c>
      <c r="S61" s="196" t="b">
        <v>0</v>
      </c>
      <c r="T61" s="197" t="s">
        <v>1165</v>
      </c>
      <c r="U61" s="197" t="s">
        <v>92</v>
      </c>
      <c r="V61" s="197" t="s">
        <v>91</v>
      </c>
      <c r="W61" s="197"/>
      <c r="X61" s="198">
        <v>44356.0</v>
      </c>
      <c r="Y61" s="198">
        <v>44362.0</v>
      </c>
      <c r="Z61" s="199"/>
      <c r="AA61" s="200" t="s">
        <v>1151</v>
      </c>
      <c r="AB61" s="201">
        <v>44356.0</v>
      </c>
      <c r="AC61" s="199"/>
      <c r="AD61" s="199"/>
      <c r="AE61" s="105"/>
      <c r="AF61" s="199"/>
      <c r="AG61" s="105"/>
      <c r="AH61" s="199"/>
      <c r="AI61" s="199"/>
      <c r="AJ61" s="199"/>
      <c r="AK61" s="200" t="s">
        <v>92</v>
      </c>
      <c r="AL61" s="199"/>
      <c r="AM61" s="199"/>
      <c r="AN61" s="199"/>
      <c r="AO61" s="199"/>
      <c r="AP61" s="202" t="s">
        <v>1152</v>
      </c>
      <c r="AQ61" s="199"/>
    </row>
    <row r="62">
      <c r="A62" s="135" t="s">
        <v>1430</v>
      </c>
      <c r="B62" s="135" t="s">
        <v>1431</v>
      </c>
      <c r="C62" s="135" t="str">
        <f>VLOOKUP(A62,import!A:C,3,0)</f>
        <v>YANLIŞ</v>
      </c>
      <c r="D62" s="135" t="s">
        <v>1302</v>
      </c>
      <c r="E62" s="194">
        <f>VLOOKUP(A62,import!A:AA,5,0)</f>
        <v>1</v>
      </c>
      <c r="F62" s="194" t="str">
        <f>VLOOKUP(A62,import!A:AA,6,0)</f>
        <v/>
      </c>
      <c r="G62" s="135">
        <f>VLOOKUP(A62,import!A:AA,7,0)</f>
        <v>0</v>
      </c>
      <c r="H62" s="135">
        <f>VLOOKUP(A62,import!A:AA,8,0)</f>
        <v>50</v>
      </c>
      <c r="I62" s="135">
        <f>VLOOKUP(A62,import!A:AA,9,0)</f>
        <v>50</v>
      </c>
      <c r="J62" s="195">
        <f>VLOOKUP(A62,import!A:AA,10,0)</f>
        <v>0</v>
      </c>
      <c r="K62" s="135" t="s">
        <v>1432</v>
      </c>
      <c r="L62" s="135">
        <v>5.314555888E9</v>
      </c>
      <c r="M62" s="135" t="s">
        <v>1172</v>
      </c>
      <c r="N62" s="135" t="s">
        <v>1433</v>
      </c>
      <c r="O62" s="135" t="s">
        <v>1434</v>
      </c>
      <c r="P62" s="135" t="str">
        <f>VLOOKUP(A62,import!A:P,16,0)</f>
        <v>Geleneksel</v>
      </c>
      <c r="Q62" s="196"/>
      <c r="R62" s="196" t="b">
        <v>1</v>
      </c>
      <c r="S62" s="196" t="b">
        <v>0</v>
      </c>
      <c r="T62" s="197" t="s">
        <v>1251</v>
      </c>
      <c r="U62" s="197"/>
      <c r="V62" s="197"/>
      <c r="W62" s="197" t="s">
        <v>1435</v>
      </c>
      <c r="X62" s="198"/>
      <c r="Y62" s="198"/>
      <c r="Z62" s="199"/>
      <c r="AA62" s="200" t="s">
        <v>1202</v>
      </c>
      <c r="AB62" s="201">
        <v>44384.0</v>
      </c>
      <c r="AC62" s="199"/>
      <c r="AD62" s="199"/>
      <c r="AE62" s="105"/>
      <c r="AF62" s="199"/>
      <c r="AG62" s="105"/>
      <c r="AH62" s="199"/>
      <c r="AI62" s="199"/>
      <c r="AJ62" s="199"/>
      <c r="AK62" s="200" t="s">
        <v>189</v>
      </c>
      <c r="AL62" s="199"/>
      <c r="AM62" s="199"/>
      <c r="AN62" s="199"/>
      <c r="AO62" s="199"/>
      <c r="AP62" s="202" t="s">
        <v>1152</v>
      </c>
      <c r="AQ62" s="199"/>
    </row>
    <row r="63">
      <c r="A63" s="135" t="s">
        <v>577</v>
      </c>
      <c r="B63" s="135" t="s">
        <v>578</v>
      </c>
      <c r="C63" s="135" t="str">
        <f>VLOOKUP(A63,import!A:C,3,0)</f>
        <v>YANLIŞ</v>
      </c>
      <c r="D63" s="135" t="s">
        <v>1302</v>
      </c>
      <c r="E63" s="194">
        <f>VLOOKUP(A63,import!A:AA,5,0)</f>
        <v>2</v>
      </c>
      <c r="F63" s="194" t="str">
        <f>VLOOKUP(A63,import!A:AA,6,0)</f>
        <v/>
      </c>
      <c r="G63" s="135">
        <f>VLOOKUP(A63,import!A:AA,7,0)</f>
        <v>32</v>
      </c>
      <c r="H63" s="135">
        <f>VLOOKUP(A63,import!A:AA,8,0)</f>
        <v>18</v>
      </c>
      <c r="I63" s="135">
        <f>VLOOKUP(A63,import!A:AA,9,0)</f>
        <v>50</v>
      </c>
      <c r="J63" s="195">
        <f>VLOOKUP(A63,import!A:AA,10,0)</f>
        <v>0.64</v>
      </c>
      <c r="K63" s="135" t="s">
        <v>1432</v>
      </c>
      <c r="L63" s="135">
        <v>5.314555888E9</v>
      </c>
      <c r="M63" s="135" t="s">
        <v>1172</v>
      </c>
      <c r="N63" s="135" t="s">
        <v>1190</v>
      </c>
      <c r="O63" s="135" t="s">
        <v>580</v>
      </c>
      <c r="P63" s="135" t="str">
        <f>VLOOKUP(A63,import!A:P,16,0)</f>
        <v>Geleneksel</v>
      </c>
      <c r="Q63" s="196"/>
      <c r="R63" s="196" t="b">
        <v>1</v>
      </c>
      <c r="S63" s="196" t="b">
        <v>0</v>
      </c>
      <c r="T63" s="197" t="s">
        <v>1436</v>
      </c>
      <c r="U63" s="197" t="s">
        <v>1167</v>
      </c>
      <c r="V63" s="197" t="s">
        <v>91</v>
      </c>
      <c r="W63" s="197" t="s">
        <v>1437</v>
      </c>
      <c r="X63" s="198">
        <v>44379.0</v>
      </c>
      <c r="Y63" s="198">
        <v>44382.0</v>
      </c>
      <c r="Z63" s="199"/>
      <c r="AA63" s="200" t="s">
        <v>1151</v>
      </c>
      <c r="AB63" s="201">
        <v>44379.0</v>
      </c>
      <c r="AC63" s="200" t="s">
        <v>1151</v>
      </c>
      <c r="AD63" s="201">
        <v>44379.0</v>
      </c>
      <c r="AE63" s="105"/>
      <c r="AF63" s="199"/>
      <c r="AG63" s="105"/>
      <c r="AH63" s="199"/>
      <c r="AI63" s="199"/>
      <c r="AJ63" s="199"/>
      <c r="AK63" s="200" t="s">
        <v>1264</v>
      </c>
      <c r="AL63" s="200" t="s">
        <v>1167</v>
      </c>
      <c r="AM63" s="200" t="s">
        <v>189</v>
      </c>
      <c r="AN63" s="199"/>
      <c r="AO63" s="199"/>
      <c r="AP63" s="202" t="s">
        <v>1152</v>
      </c>
      <c r="AQ63" s="199"/>
    </row>
    <row r="64">
      <c r="A64" s="135" t="s">
        <v>1438</v>
      </c>
      <c r="B64" s="135" t="s">
        <v>1439</v>
      </c>
      <c r="C64" s="135" t="str">
        <f>VLOOKUP(A64,import!A:C,3,0)</f>
        <v>YANLIŞ</v>
      </c>
      <c r="D64" s="135" t="s">
        <v>1302</v>
      </c>
      <c r="E64" s="194" t="str">
        <f>VLOOKUP(A64,import!A:AA,5,0)</f>
        <v/>
      </c>
      <c r="F64" s="194" t="str">
        <f>VLOOKUP(A64,import!A:AA,6,0)</f>
        <v/>
      </c>
      <c r="G64" s="135">
        <f>VLOOKUP(A64,import!A:AA,7,0)</f>
        <v>0</v>
      </c>
      <c r="H64" s="135">
        <f>VLOOKUP(A64,import!A:AA,8,0)</f>
        <v>50</v>
      </c>
      <c r="I64" s="135">
        <f>VLOOKUP(A64,import!A:AA,9,0)</f>
        <v>50</v>
      </c>
      <c r="J64" s="195">
        <f>VLOOKUP(A64,import!A:AA,10,0)</f>
        <v>0</v>
      </c>
      <c r="K64" s="135" t="s">
        <v>1432</v>
      </c>
      <c r="L64" s="135">
        <v>5.314555888E9</v>
      </c>
      <c r="M64" s="135" t="s">
        <v>1172</v>
      </c>
      <c r="N64" s="135" t="s">
        <v>1300</v>
      </c>
      <c r="O64" s="135" t="s">
        <v>1440</v>
      </c>
      <c r="P64" s="135" t="str">
        <f>VLOOKUP(A64,import!A:P,16,0)</f>
        <v>Geleneksel</v>
      </c>
      <c r="Q64" s="196"/>
      <c r="R64" s="196" t="b">
        <v>1</v>
      </c>
      <c r="S64" s="196" t="b">
        <v>0</v>
      </c>
      <c r="T64" s="197" t="s">
        <v>1251</v>
      </c>
      <c r="U64" s="197"/>
      <c r="V64" s="197"/>
      <c r="W64" s="197" t="s">
        <v>1435</v>
      </c>
      <c r="X64" s="198"/>
      <c r="Y64" s="198"/>
      <c r="Z64" s="199"/>
      <c r="AA64" s="200" t="s">
        <v>1202</v>
      </c>
      <c r="AB64" s="201">
        <v>44384.0</v>
      </c>
      <c r="AC64" s="199"/>
      <c r="AD64" s="199"/>
      <c r="AE64" s="105"/>
      <c r="AF64" s="199"/>
      <c r="AG64" s="105"/>
      <c r="AH64" s="199"/>
      <c r="AI64" s="199"/>
      <c r="AJ64" s="199"/>
      <c r="AK64" s="200" t="s">
        <v>189</v>
      </c>
      <c r="AL64" s="199"/>
      <c r="AM64" s="199"/>
      <c r="AN64" s="199"/>
      <c r="AO64" s="199"/>
      <c r="AP64" s="202" t="s">
        <v>1152</v>
      </c>
      <c r="AQ64" s="199"/>
    </row>
    <row r="65">
      <c r="A65" s="135" t="s">
        <v>1441</v>
      </c>
      <c r="B65" s="135" t="s">
        <v>1442</v>
      </c>
      <c r="C65" s="135" t="str">
        <f>VLOOKUP(A65,import!A:C,3,0)</f>
        <v>DOĞRU</v>
      </c>
      <c r="D65" s="135" t="s">
        <v>1145</v>
      </c>
      <c r="E65" s="194" t="str">
        <f>VLOOKUP(A65,import!A:AA,5,0)</f>
        <v/>
      </c>
      <c r="F65" s="194" t="str">
        <f>VLOOKUP(A65,import!A:AA,6,0)</f>
        <v/>
      </c>
      <c r="G65" s="135">
        <f>VLOOKUP(A65,import!A:AA,7,0)</f>
        <v>0</v>
      </c>
      <c r="H65" s="135">
        <f>VLOOKUP(A65,import!A:AA,8,0)</f>
        <v>10</v>
      </c>
      <c r="I65" s="135">
        <f>VLOOKUP(A65,import!A:AA,9,0)</f>
        <v>10</v>
      </c>
      <c r="J65" s="195">
        <f>VLOOKUP(A65,import!A:AA,10,0)</f>
        <v>0</v>
      </c>
      <c r="K65" s="135" t="s">
        <v>1443</v>
      </c>
      <c r="L65" s="135">
        <v>5.413355987E9</v>
      </c>
      <c r="M65" s="135" t="s">
        <v>1147</v>
      </c>
      <c r="N65" s="135" t="s">
        <v>1164</v>
      </c>
      <c r="O65" s="135" t="s">
        <v>1444</v>
      </c>
      <c r="P65" s="135" t="str">
        <f>VLOOKUP(A65,import!A:P,16,0)</f>
        <v>Geleneksel</v>
      </c>
      <c r="Q65" s="196"/>
      <c r="R65" s="196" t="b">
        <v>0</v>
      </c>
      <c r="S65" s="196" t="b">
        <v>0</v>
      </c>
      <c r="T65" s="197"/>
      <c r="U65" s="197"/>
      <c r="V65" s="197"/>
      <c r="W65" s="197"/>
      <c r="X65" s="198"/>
      <c r="Y65" s="198"/>
      <c r="Z65" s="199"/>
      <c r="AA65" s="200"/>
      <c r="AB65" s="201"/>
      <c r="AC65" s="199"/>
      <c r="AD65" s="199"/>
      <c r="AE65" s="105"/>
      <c r="AF65" s="199"/>
      <c r="AG65" s="105"/>
      <c r="AH65" s="199"/>
      <c r="AI65" s="199"/>
      <c r="AJ65" s="199"/>
      <c r="AK65" s="200"/>
      <c r="AL65" s="199"/>
      <c r="AM65" s="199"/>
      <c r="AN65" s="199"/>
      <c r="AO65" s="199"/>
      <c r="AP65" s="202"/>
      <c r="AQ65" s="199"/>
    </row>
    <row r="66">
      <c r="A66" s="135" t="s">
        <v>770</v>
      </c>
      <c r="B66" s="135" t="s">
        <v>771</v>
      </c>
      <c r="C66" s="135" t="str">
        <f>VLOOKUP(A66,import!A:C,3,0)</f>
        <v>DOĞRU</v>
      </c>
      <c r="D66" s="135" t="s">
        <v>1145</v>
      </c>
      <c r="E66" s="194">
        <f>VLOOKUP(A66,import!A:AA,5,0)</f>
        <v>32</v>
      </c>
      <c r="F66" s="194" t="str">
        <f>VLOOKUP(A66,import!A:AA,6,0)</f>
        <v/>
      </c>
      <c r="G66" s="135">
        <f>VLOOKUP(A66,import!A:AA,7,0)</f>
        <v>6</v>
      </c>
      <c r="H66" s="135">
        <f>VLOOKUP(A66,import!A:AA,8,0)</f>
        <v>23</v>
      </c>
      <c r="I66" s="135">
        <f>VLOOKUP(A66,import!A:AA,9,0)</f>
        <v>29</v>
      </c>
      <c r="J66" s="195">
        <f>VLOOKUP(A66,import!A:AA,10,0)</f>
        <v>0.21</v>
      </c>
      <c r="K66" s="135" t="s">
        <v>1445</v>
      </c>
      <c r="L66" s="135">
        <v>5.375141441E9</v>
      </c>
      <c r="M66" s="135" t="s">
        <v>1172</v>
      </c>
      <c r="N66" s="135" t="s">
        <v>1379</v>
      </c>
      <c r="O66" s="135" t="s">
        <v>773</v>
      </c>
      <c r="P66" s="135" t="str">
        <f>VLOOKUP(A66,import!A:P,16,0)</f>
        <v>Geleneksel</v>
      </c>
      <c r="Q66" s="196"/>
      <c r="R66" s="196" t="b">
        <v>1</v>
      </c>
      <c r="S66" s="196" t="b">
        <v>0</v>
      </c>
      <c r="T66" s="197" t="s">
        <v>1165</v>
      </c>
      <c r="U66" s="197" t="s">
        <v>1278</v>
      </c>
      <c r="V66" s="197" t="s">
        <v>91</v>
      </c>
      <c r="W66" s="197" t="s">
        <v>1446</v>
      </c>
      <c r="X66" s="198">
        <v>44358.0</v>
      </c>
      <c r="Y66" s="198">
        <v>44363.0</v>
      </c>
      <c r="Z66" s="199"/>
      <c r="AA66" s="200" t="s">
        <v>1151</v>
      </c>
      <c r="AB66" s="201">
        <v>44358.0</v>
      </c>
      <c r="AC66" s="200" t="s">
        <v>1151</v>
      </c>
      <c r="AD66" s="201">
        <v>44379.0</v>
      </c>
      <c r="AE66" s="105"/>
      <c r="AF66" s="199"/>
      <c r="AG66" s="105"/>
      <c r="AH66" s="199"/>
      <c r="AI66" s="199"/>
      <c r="AJ66" s="199"/>
      <c r="AK66" s="200" t="s">
        <v>1278</v>
      </c>
      <c r="AL66" s="200" t="s">
        <v>1167</v>
      </c>
      <c r="AM66" s="199"/>
      <c r="AN66" s="199"/>
      <c r="AO66" s="199"/>
      <c r="AP66" s="202" t="s">
        <v>1152</v>
      </c>
      <c r="AQ66" s="199"/>
    </row>
    <row r="67">
      <c r="A67" s="135" t="s">
        <v>1447</v>
      </c>
      <c r="B67" s="135" t="s">
        <v>1448</v>
      </c>
      <c r="C67" s="135" t="str">
        <f>VLOOKUP(A67,import!A:C,3,0)</f>
        <v>DOĞRU</v>
      </c>
      <c r="D67" s="135" t="s">
        <v>1170</v>
      </c>
      <c r="E67" s="194">
        <f>VLOOKUP(A67,import!A:AA,5,0)</f>
        <v>72</v>
      </c>
      <c r="F67" s="194" t="str">
        <f>VLOOKUP(A67,import!A:AA,6,0)</f>
        <v/>
      </c>
      <c r="G67" s="135">
        <f>VLOOKUP(A67,import!A:AA,7,0)</f>
        <v>0</v>
      </c>
      <c r="H67" s="135">
        <f>VLOOKUP(A67,import!A:AA,8,0)</f>
        <v>10</v>
      </c>
      <c r="I67" s="135">
        <f>VLOOKUP(A67,import!A:AA,9,0)</f>
        <v>10</v>
      </c>
      <c r="J67" s="195">
        <f>VLOOKUP(A67,import!A:AA,10,0)</f>
        <v>0</v>
      </c>
      <c r="K67" s="135" t="s">
        <v>1424</v>
      </c>
      <c r="L67" s="135">
        <v>5.4179701E9</v>
      </c>
      <c r="M67" s="135" t="s">
        <v>1147</v>
      </c>
      <c r="N67" s="135" t="s">
        <v>1200</v>
      </c>
      <c r="O67" s="135" t="s">
        <v>1425</v>
      </c>
      <c r="P67" s="135" t="str">
        <f>VLOOKUP(A67,import!A:P,16,0)</f>
        <v>Geleneksel</v>
      </c>
      <c r="Q67" s="196"/>
      <c r="R67" s="196" t="b">
        <v>0</v>
      </c>
      <c r="S67" s="196" t="b">
        <v>0</v>
      </c>
      <c r="T67" s="197"/>
      <c r="U67" s="197"/>
      <c r="V67" s="197"/>
      <c r="W67" s="197"/>
      <c r="X67" s="198"/>
      <c r="Y67" s="198"/>
      <c r="Z67" s="199"/>
      <c r="AA67" s="200"/>
      <c r="AB67" s="201"/>
      <c r="AC67" s="199"/>
      <c r="AD67" s="199"/>
      <c r="AE67" s="105"/>
      <c r="AF67" s="199"/>
      <c r="AG67" s="105"/>
      <c r="AH67" s="199"/>
      <c r="AI67" s="199"/>
      <c r="AJ67" s="199"/>
      <c r="AK67" s="200"/>
      <c r="AL67" s="199"/>
      <c r="AM67" s="199"/>
      <c r="AN67" s="199"/>
      <c r="AO67" s="199"/>
      <c r="AP67" s="202"/>
      <c r="AQ67" s="199"/>
    </row>
    <row r="68">
      <c r="A68" s="135" t="s">
        <v>414</v>
      </c>
      <c r="B68" s="135" t="s">
        <v>415</v>
      </c>
      <c r="C68" s="135" t="str">
        <f>VLOOKUP(A68,import!A:C,3,0)</f>
        <v>YANLIŞ</v>
      </c>
      <c r="D68" s="135" t="s">
        <v>1235</v>
      </c>
      <c r="E68" s="194">
        <f>VLOOKUP(A68,import!A:AA,5,0)</f>
        <v>151</v>
      </c>
      <c r="F68" s="194" t="str">
        <f>VLOOKUP(A68,import!A:AA,6,0)</f>
        <v/>
      </c>
      <c r="G68" s="135">
        <f>VLOOKUP(A68,import!A:AA,7,0)</f>
        <v>33</v>
      </c>
      <c r="H68" s="135">
        <f>VLOOKUP(A68,import!A:AA,8,0)</f>
        <v>40</v>
      </c>
      <c r="I68" s="135">
        <f>VLOOKUP(A68,import!A:AA,9,0)</f>
        <v>73</v>
      </c>
      <c r="J68" s="195">
        <f>VLOOKUP(A68,import!A:AA,10,0)</f>
        <v>0.45</v>
      </c>
      <c r="K68" s="135" t="s">
        <v>1449</v>
      </c>
      <c r="L68" s="135">
        <v>5.452490333E9</v>
      </c>
      <c r="M68" s="135" t="s">
        <v>1318</v>
      </c>
      <c r="N68" s="135" t="s">
        <v>1324</v>
      </c>
      <c r="O68" s="135" t="s">
        <v>418</v>
      </c>
      <c r="P68" s="135" t="str">
        <f>VLOOKUP(A68,import!A:P,16,0)</f>
        <v>Geleneksel</v>
      </c>
      <c r="Q68" s="196"/>
      <c r="R68" s="196" t="b">
        <v>1</v>
      </c>
      <c r="S68" s="196" t="b">
        <v>0</v>
      </c>
      <c r="T68" s="197" t="s">
        <v>1165</v>
      </c>
      <c r="U68" s="197" t="s">
        <v>310</v>
      </c>
      <c r="V68" s="197" t="s">
        <v>91</v>
      </c>
      <c r="W68" s="204"/>
      <c r="X68" s="198">
        <v>44326.0</v>
      </c>
      <c r="Y68" s="198">
        <v>44333.0</v>
      </c>
      <c r="Z68" s="199"/>
      <c r="AA68" s="199"/>
      <c r="AB68" s="199"/>
      <c r="AC68" s="199"/>
      <c r="AD68" s="199"/>
      <c r="AE68" s="105"/>
      <c r="AF68" s="199"/>
      <c r="AG68" s="105"/>
      <c r="AH68" s="199"/>
      <c r="AI68" s="199"/>
      <c r="AJ68" s="199"/>
      <c r="AK68" s="199"/>
      <c r="AL68" s="199"/>
      <c r="AM68" s="199"/>
      <c r="AN68" s="199"/>
      <c r="AO68" s="199"/>
      <c r="AP68" s="202" t="s">
        <v>1152</v>
      </c>
      <c r="AQ68" s="199"/>
    </row>
    <row r="69">
      <c r="A69" s="135" t="s">
        <v>195</v>
      </c>
      <c r="B69" s="135" t="s">
        <v>196</v>
      </c>
      <c r="C69" s="135" t="str">
        <f>VLOOKUP(A69,import!A:C,3,0)</f>
        <v>DOĞRU</v>
      </c>
      <c r="D69" s="135" t="s">
        <v>1162</v>
      </c>
      <c r="E69" s="194">
        <f>VLOOKUP(A69,import!A:AA,5,0)</f>
        <v>164</v>
      </c>
      <c r="F69" s="194">
        <f>VLOOKUP(A69,import!A:AA,6,0)</f>
        <v>2</v>
      </c>
      <c r="G69" s="135">
        <f>VLOOKUP(A69,import!A:AA,7,0)</f>
        <v>0</v>
      </c>
      <c r="H69" s="135">
        <f>VLOOKUP(A69,import!A:AA,8,0)</f>
        <v>17</v>
      </c>
      <c r="I69" s="135">
        <f>VLOOKUP(A69,import!A:AA,9,0)</f>
        <v>17</v>
      </c>
      <c r="J69" s="195">
        <f>VLOOKUP(A69,import!A:AA,10,0)</f>
        <v>0</v>
      </c>
      <c r="K69" s="135" t="s">
        <v>1450</v>
      </c>
      <c r="L69" s="135">
        <v>5.326003283E9</v>
      </c>
      <c r="M69" s="135" t="s">
        <v>1147</v>
      </c>
      <c r="N69" s="135" t="s">
        <v>1451</v>
      </c>
      <c r="O69" s="135" t="s">
        <v>198</v>
      </c>
      <c r="P69" s="135" t="str">
        <f>VLOOKUP(A69,import!A:P,16,0)</f>
        <v>Geleneksel</v>
      </c>
      <c r="Q69" s="196"/>
      <c r="R69" s="196" t="b">
        <v>1</v>
      </c>
      <c r="S69" s="196" t="b">
        <v>0</v>
      </c>
      <c r="T69" s="197" t="s">
        <v>1289</v>
      </c>
      <c r="U69" s="197"/>
      <c r="V69" s="197"/>
      <c r="W69" s="197" t="s">
        <v>1452</v>
      </c>
      <c r="X69" s="198"/>
      <c r="Y69" s="198"/>
      <c r="Z69" s="199"/>
      <c r="AA69" s="200" t="s">
        <v>1202</v>
      </c>
      <c r="AB69" s="201">
        <v>44351.0</v>
      </c>
      <c r="AC69" s="200" t="s">
        <v>1202</v>
      </c>
      <c r="AD69" s="201">
        <v>44354.0</v>
      </c>
      <c r="AE69" s="200" t="s">
        <v>1202</v>
      </c>
      <c r="AF69" s="201">
        <v>44376.0</v>
      </c>
      <c r="AG69" s="200" t="s">
        <v>1202</v>
      </c>
      <c r="AH69" s="201">
        <v>44391.0</v>
      </c>
      <c r="AI69" s="200" t="s">
        <v>1151</v>
      </c>
      <c r="AJ69" s="201">
        <v>44392.0</v>
      </c>
      <c r="AK69" s="200" t="s">
        <v>257</v>
      </c>
      <c r="AL69" s="200" t="s">
        <v>189</v>
      </c>
      <c r="AM69" s="200" t="s">
        <v>189</v>
      </c>
      <c r="AN69" s="200" t="s">
        <v>1167</v>
      </c>
      <c r="AO69" s="200" t="s">
        <v>1167</v>
      </c>
      <c r="AP69" s="202" t="s">
        <v>1152</v>
      </c>
      <c r="AQ69" s="200"/>
    </row>
    <row r="70">
      <c r="A70" s="135" t="s">
        <v>1453</v>
      </c>
      <c r="B70" s="135" t="s">
        <v>1454</v>
      </c>
      <c r="C70" s="135" t="str">
        <f>VLOOKUP(A70,import!A:C,3,0)</f>
        <v>YANLIŞ</v>
      </c>
      <c r="D70" s="135" t="s">
        <v>1455</v>
      </c>
      <c r="E70" s="194">
        <f>VLOOKUP(A70,import!A:AA,5,0)</f>
        <v>531</v>
      </c>
      <c r="F70" s="194" t="str">
        <f>VLOOKUP(A70,import!A:AA,6,0)</f>
        <v/>
      </c>
      <c r="G70" s="135">
        <f>VLOOKUP(A70,import!A:AA,7,0)</f>
        <v>0</v>
      </c>
      <c r="H70" s="135">
        <f>VLOOKUP(A70,import!A:AA,8,0)</f>
        <v>67</v>
      </c>
      <c r="I70" s="135">
        <f>VLOOKUP(A70,import!A:AA,9,0)</f>
        <v>67</v>
      </c>
      <c r="J70" s="195">
        <f>VLOOKUP(A70,import!A:AA,10,0)</f>
        <v>0</v>
      </c>
      <c r="K70" s="135" t="s">
        <v>1456</v>
      </c>
      <c r="L70" s="135">
        <v>5.462609661E9</v>
      </c>
      <c r="M70" s="135" t="s">
        <v>1147</v>
      </c>
      <c r="N70" s="135" t="s">
        <v>1148</v>
      </c>
      <c r="O70" s="135" t="s">
        <v>1457</v>
      </c>
      <c r="P70" s="135" t="str">
        <f>VLOOKUP(A70,import!A:P,16,0)</f>
        <v>Geleneksel</v>
      </c>
      <c r="Q70" s="196"/>
      <c r="R70" s="196" t="b">
        <v>1</v>
      </c>
      <c r="S70" s="196" t="b">
        <v>1</v>
      </c>
      <c r="T70" s="197"/>
      <c r="U70" s="197"/>
      <c r="V70" s="197"/>
      <c r="W70" s="197" t="s">
        <v>1458</v>
      </c>
      <c r="X70" s="198"/>
      <c r="Y70" s="198"/>
      <c r="Z70" s="200" t="s">
        <v>1459</v>
      </c>
      <c r="AA70" s="200" t="s">
        <v>1151</v>
      </c>
      <c r="AB70" s="201">
        <v>44351.0</v>
      </c>
      <c r="AC70" s="200" t="s">
        <v>1254</v>
      </c>
      <c r="AD70" s="201">
        <v>44379.0</v>
      </c>
      <c r="AE70" s="200" t="s">
        <v>1151</v>
      </c>
      <c r="AF70" s="201">
        <v>44389.0</v>
      </c>
      <c r="AG70" s="200" t="s">
        <v>1151</v>
      </c>
      <c r="AH70" s="201">
        <v>44405.0</v>
      </c>
      <c r="AI70" s="199"/>
      <c r="AJ70" s="199"/>
      <c r="AK70" s="200" t="s">
        <v>1232</v>
      </c>
      <c r="AL70" s="200" t="s">
        <v>257</v>
      </c>
      <c r="AM70" s="200" t="s">
        <v>1421</v>
      </c>
      <c r="AN70" s="200" t="s">
        <v>1255</v>
      </c>
      <c r="AO70" s="199"/>
      <c r="AP70" s="202" t="s">
        <v>1152</v>
      </c>
      <c r="AQ70" s="199"/>
    </row>
    <row r="71">
      <c r="A71" s="135" t="s">
        <v>1460</v>
      </c>
      <c r="B71" s="135" t="s">
        <v>1461</v>
      </c>
      <c r="C71" s="135" t="str">
        <f>VLOOKUP(A71,import!A:C,3,0)</f>
        <v>DOĞRU</v>
      </c>
      <c r="D71" s="135" t="s">
        <v>1216</v>
      </c>
      <c r="E71" s="194">
        <f>VLOOKUP(A71,import!A:AA,5,0)</f>
        <v>135</v>
      </c>
      <c r="F71" s="194" t="str">
        <f>VLOOKUP(A71,import!A:AA,6,0)</f>
        <v/>
      </c>
      <c r="G71" s="135">
        <f>VLOOKUP(A71,import!A:AA,7,0)</f>
        <v>0</v>
      </c>
      <c r="H71" s="135">
        <f>VLOOKUP(A71,import!A:AA,8,0)</f>
        <v>43</v>
      </c>
      <c r="I71" s="135">
        <f>VLOOKUP(A71,import!A:AA,9,0)</f>
        <v>43</v>
      </c>
      <c r="J71" s="195">
        <f>VLOOKUP(A71,import!A:AA,10,0)</f>
        <v>0</v>
      </c>
      <c r="K71" s="135" t="s">
        <v>1462</v>
      </c>
      <c r="L71" s="135">
        <v>5.442645484E9</v>
      </c>
      <c r="M71" s="135" t="s">
        <v>1463</v>
      </c>
      <c r="N71" s="135" t="s">
        <v>1464</v>
      </c>
      <c r="O71" s="135" t="s">
        <v>1465</v>
      </c>
      <c r="P71" s="135" t="str">
        <f>VLOOKUP(A71,import!A:P,16,0)</f>
        <v>Geleneksel</v>
      </c>
      <c r="Q71" s="196"/>
      <c r="R71" s="196" t="b">
        <v>1</v>
      </c>
      <c r="S71" s="196" t="b">
        <v>0</v>
      </c>
      <c r="T71" s="197" t="s">
        <v>1373</v>
      </c>
      <c r="U71" s="197"/>
      <c r="V71" s="197"/>
      <c r="W71" s="197" t="s">
        <v>1238</v>
      </c>
      <c r="X71" s="198"/>
      <c r="Y71" s="198"/>
      <c r="Z71" s="199"/>
      <c r="AA71" s="200" t="s">
        <v>1202</v>
      </c>
      <c r="AB71" s="201">
        <v>44384.0</v>
      </c>
      <c r="AC71" s="199"/>
      <c r="AD71" s="199"/>
      <c r="AE71" s="105"/>
      <c r="AF71" s="199"/>
      <c r="AG71" s="105"/>
      <c r="AH71" s="199"/>
      <c r="AI71" s="199"/>
      <c r="AJ71" s="199"/>
      <c r="AK71" s="200" t="s">
        <v>189</v>
      </c>
      <c r="AL71" s="199"/>
      <c r="AM71" s="199"/>
      <c r="AN71" s="199"/>
      <c r="AO71" s="199"/>
      <c r="AP71" s="202" t="s">
        <v>1152</v>
      </c>
      <c r="AQ71" s="199"/>
    </row>
    <row r="72">
      <c r="A72" s="135" t="s">
        <v>1466</v>
      </c>
      <c r="B72" s="135" t="s">
        <v>1467</v>
      </c>
      <c r="C72" s="135" t="str">
        <f>VLOOKUP(A72,import!A:C,3,0)</f>
        <v>DOĞRU</v>
      </c>
      <c r="D72" s="135" t="s">
        <v>1145</v>
      </c>
      <c r="E72" s="194">
        <f>VLOOKUP(A72,import!A:AA,5,0)</f>
        <v>25</v>
      </c>
      <c r="F72" s="194">
        <f>VLOOKUP(A72,import!A:AA,6,0)</f>
        <v>13</v>
      </c>
      <c r="G72" s="135">
        <f>VLOOKUP(A72,import!A:AA,7,0)</f>
        <v>0</v>
      </c>
      <c r="H72" s="135">
        <f>VLOOKUP(A72,import!A:AA,8,0)</f>
        <v>20</v>
      </c>
      <c r="I72" s="135">
        <f>VLOOKUP(A72,import!A:AA,9,0)</f>
        <v>20</v>
      </c>
      <c r="J72" s="195">
        <f>VLOOKUP(A72,import!A:AA,10,0)</f>
        <v>0</v>
      </c>
      <c r="K72" s="135" t="s">
        <v>1468</v>
      </c>
      <c r="L72" s="135">
        <v>5.344271117E9</v>
      </c>
      <c r="M72" s="135" t="s">
        <v>1147</v>
      </c>
      <c r="N72" s="135" t="s">
        <v>1148</v>
      </c>
      <c r="O72" s="135" t="s">
        <v>1469</v>
      </c>
      <c r="P72" s="135" t="str">
        <f>VLOOKUP(A72,import!A:P,16,0)</f>
        <v>Geleneksel</v>
      </c>
      <c r="Q72" s="196"/>
      <c r="R72" s="196" t="b">
        <v>0</v>
      </c>
      <c r="S72" s="196" t="b">
        <v>0</v>
      </c>
      <c r="T72" s="197"/>
      <c r="U72" s="197"/>
      <c r="V72" s="197"/>
      <c r="W72" s="197"/>
      <c r="X72" s="198"/>
      <c r="Y72" s="198"/>
      <c r="Z72" s="199"/>
      <c r="AA72" s="200"/>
      <c r="AB72" s="201"/>
      <c r="AC72" s="199"/>
      <c r="AD72" s="199"/>
      <c r="AE72" s="105"/>
      <c r="AF72" s="199"/>
      <c r="AG72" s="105"/>
      <c r="AH72" s="199"/>
      <c r="AI72" s="199"/>
      <c r="AJ72" s="199"/>
      <c r="AK72" s="200"/>
      <c r="AL72" s="199"/>
      <c r="AM72" s="199"/>
      <c r="AN72" s="199"/>
      <c r="AO72" s="199"/>
      <c r="AP72" s="202"/>
      <c r="AQ72" s="199"/>
    </row>
    <row r="73">
      <c r="A73" s="135" t="s">
        <v>327</v>
      </c>
      <c r="B73" s="135" t="s">
        <v>328</v>
      </c>
      <c r="C73" s="135" t="str">
        <f>VLOOKUP(A73,import!A:C,3,0)</f>
        <v>DOĞRU</v>
      </c>
      <c r="D73" s="135" t="s">
        <v>1311</v>
      </c>
      <c r="E73" s="194">
        <f>VLOOKUP(A73,import!A:AA,5,0)</f>
        <v>525</v>
      </c>
      <c r="F73" s="194">
        <f>VLOOKUP(A73,import!A:AA,6,0)</f>
        <v>9</v>
      </c>
      <c r="G73" s="135">
        <f>VLOOKUP(A73,import!A:AA,7,0)</f>
        <v>0</v>
      </c>
      <c r="H73" s="135">
        <f>VLOOKUP(A73,import!A:AA,8,0)</f>
        <v>54</v>
      </c>
      <c r="I73" s="135">
        <f>VLOOKUP(A73,import!A:AA,9,0)</f>
        <v>54</v>
      </c>
      <c r="J73" s="195">
        <f>VLOOKUP(A73,import!A:AA,10,0)</f>
        <v>0</v>
      </c>
      <c r="K73" s="135" t="s">
        <v>1470</v>
      </c>
      <c r="L73" s="135">
        <v>5.394254154E9</v>
      </c>
      <c r="M73" s="135" t="s">
        <v>1172</v>
      </c>
      <c r="N73" s="135" t="s">
        <v>1336</v>
      </c>
      <c r="O73" s="135" t="s">
        <v>331</v>
      </c>
      <c r="P73" s="135" t="str">
        <f>VLOOKUP(A73,import!A:P,16,0)</f>
        <v>Geleneksel</v>
      </c>
      <c r="Q73" s="196"/>
      <c r="R73" s="196" t="b">
        <v>1</v>
      </c>
      <c r="S73" s="196" t="b">
        <v>0</v>
      </c>
      <c r="T73" s="197" t="s">
        <v>1275</v>
      </c>
      <c r="U73" s="197"/>
      <c r="V73" s="197"/>
      <c r="W73" s="197" t="s">
        <v>1471</v>
      </c>
      <c r="X73" s="198"/>
      <c r="Y73" s="198"/>
      <c r="Z73" s="199"/>
      <c r="AA73" s="200" t="s">
        <v>1254</v>
      </c>
      <c r="AB73" s="201">
        <v>44368.0</v>
      </c>
      <c r="AC73" s="200" t="s">
        <v>1151</v>
      </c>
      <c r="AD73" s="201">
        <v>44391.0</v>
      </c>
      <c r="AE73" s="200" t="s">
        <v>1202</v>
      </c>
      <c r="AF73" s="201">
        <v>44404.0</v>
      </c>
      <c r="AG73" s="105"/>
      <c r="AH73" s="199"/>
      <c r="AI73" s="199"/>
      <c r="AJ73" s="199"/>
      <c r="AK73" s="200" t="s">
        <v>257</v>
      </c>
      <c r="AL73" s="200" t="s">
        <v>1167</v>
      </c>
      <c r="AM73" s="200" t="s">
        <v>189</v>
      </c>
      <c r="AN73" s="199"/>
      <c r="AO73" s="199"/>
      <c r="AP73" s="202" t="s">
        <v>1152</v>
      </c>
      <c r="AQ73" s="199"/>
    </row>
    <row r="74">
      <c r="A74" s="135" t="s">
        <v>332</v>
      </c>
      <c r="B74" s="135" t="s">
        <v>333</v>
      </c>
      <c r="C74" s="135" t="str">
        <f>VLOOKUP(A74,import!A:C,3,0)</f>
        <v>DOĞRU</v>
      </c>
      <c r="D74" s="135" t="s">
        <v>1341</v>
      </c>
      <c r="E74" s="194">
        <f>VLOOKUP(A74,import!A:AA,5,0)</f>
        <v>367</v>
      </c>
      <c r="F74" s="194" t="str">
        <f>VLOOKUP(A74,import!A:AA,6,0)</f>
        <v/>
      </c>
      <c r="G74" s="135">
        <f>VLOOKUP(A74,import!A:AA,7,0)</f>
        <v>10</v>
      </c>
      <c r="H74" s="135">
        <f>VLOOKUP(A74,import!A:AA,8,0)</f>
        <v>3</v>
      </c>
      <c r="I74" s="135">
        <f>VLOOKUP(A74,import!A:AA,9,0)</f>
        <v>13</v>
      </c>
      <c r="J74" s="195">
        <f>VLOOKUP(A74,import!A:AA,10,0)</f>
        <v>0.77</v>
      </c>
      <c r="K74" s="135" t="s">
        <v>1472</v>
      </c>
      <c r="L74" s="135">
        <v>5.382733854E9</v>
      </c>
      <c r="M74" s="135" t="s">
        <v>1172</v>
      </c>
      <c r="N74" s="135" t="s">
        <v>1336</v>
      </c>
      <c r="O74" s="135" t="s">
        <v>336</v>
      </c>
      <c r="P74" s="135" t="str">
        <f>VLOOKUP(A74,import!A:P,16,0)</f>
        <v>Geleneksel</v>
      </c>
      <c r="Q74" s="196"/>
      <c r="R74" s="196" t="b">
        <v>1</v>
      </c>
      <c r="S74" s="196" t="b">
        <v>0</v>
      </c>
      <c r="T74" s="197" t="s">
        <v>1165</v>
      </c>
      <c r="U74" s="197" t="s">
        <v>189</v>
      </c>
      <c r="V74" s="197" t="s">
        <v>91</v>
      </c>
      <c r="W74" s="197" t="s">
        <v>1473</v>
      </c>
      <c r="X74" s="198">
        <v>44308.0</v>
      </c>
      <c r="Y74" s="198">
        <v>44312.0</v>
      </c>
      <c r="Z74" s="199"/>
      <c r="AA74" s="199"/>
      <c r="AB74" s="199"/>
      <c r="AC74" s="199"/>
      <c r="AD74" s="199"/>
      <c r="AE74" s="105"/>
      <c r="AF74" s="199"/>
      <c r="AG74" s="105"/>
      <c r="AH74" s="199"/>
      <c r="AI74" s="199"/>
      <c r="AJ74" s="199"/>
      <c r="AK74" s="199"/>
      <c r="AL74" s="199"/>
      <c r="AM74" s="199"/>
      <c r="AN74" s="199"/>
      <c r="AO74" s="199"/>
      <c r="AP74" s="202" t="s">
        <v>1152</v>
      </c>
      <c r="AQ74" s="199"/>
    </row>
    <row r="75">
      <c r="A75" s="135" t="s">
        <v>713</v>
      </c>
      <c r="B75" s="135" t="s">
        <v>714</v>
      </c>
      <c r="C75" s="135" t="str">
        <f>VLOOKUP(A75,import!A:C,3,0)</f>
        <v>DOĞRU</v>
      </c>
      <c r="D75" s="135" t="s">
        <v>1341</v>
      </c>
      <c r="E75" s="194">
        <f>VLOOKUP(A75,import!A:AA,5,0)</f>
        <v>15</v>
      </c>
      <c r="F75" s="194" t="str">
        <f>VLOOKUP(A75,import!A:AA,6,0)</f>
        <v/>
      </c>
      <c r="G75" s="135">
        <f>VLOOKUP(A75,import!A:AA,7,0)</f>
        <v>0</v>
      </c>
      <c r="H75" s="135">
        <f>VLOOKUP(A75,import!A:AA,8,0)</f>
        <v>53</v>
      </c>
      <c r="I75" s="135">
        <f>VLOOKUP(A75,import!A:AA,9,0)</f>
        <v>53</v>
      </c>
      <c r="J75" s="195">
        <f>VLOOKUP(A75,import!A:AA,10,0)</f>
        <v>0</v>
      </c>
      <c r="K75" s="135" t="s">
        <v>1474</v>
      </c>
      <c r="L75" s="135">
        <v>5.417692345E9</v>
      </c>
      <c r="M75" s="135" t="s">
        <v>1348</v>
      </c>
      <c r="N75" s="135" t="s">
        <v>1475</v>
      </c>
      <c r="O75" s="135" t="s">
        <v>717</v>
      </c>
      <c r="P75" s="135" t="str">
        <f>VLOOKUP(A75,import!A:P,16,0)</f>
        <v>Geleneksel</v>
      </c>
      <c r="Q75" s="196"/>
      <c r="R75" s="196" t="b">
        <v>1</v>
      </c>
      <c r="S75" s="196" t="b">
        <v>0</v>
      </c>
      <c r="T75" s="197" t="s">
        <v>1165</v>
      </c>
      <c r="U75" s="197" t="s">
        <v>941</v>
      </c>
      <c r="V75" s="207" t="s">
        <v>940</v>
      </c>
      <c r="W75" s="197" t="s">
        <v>1476</v>
      </c>
      <c r="X75" s="198">
        <v>44603.0</v>
      </c>
      <c r="Y75" s="198">
        <v>44606.0</v>
      </c>
      <c r="Z75" s="199"/>
      <c r="AA75" s="200" t="s">
        <v>1151</v>
      </c>
      <c r="AB75" s="201">
        <v>44354.0</v>
      </c>
      <c r="AC75" s="200" t="s">
        <v>1151</v>
      </c>
      <c r="AD75" s="201">
        <v>44603.0</v>
      </c>
      <c r="AE75" s="105"/>
      <c r="AF75" s="199"/>
      <c r="AG75" s="105"/>
      <c r="AH75" s="199"/>
      <c r="AI75" s="199"/>
      <c r="AJ75" s="199"/>
      <c r="AK75" s="200" t="s">
        <v>189</v>
      </c>
      <c r="AL75" s="200" t="s">
        <v>941</v>
      </c>
      <c r="AM75" s="199"/>
      <c r="AN75" s="199"/>
      <c r="AO75" s="199"/>
      <c r="AP75" s="202" t="s">
        <v>1152</v>
      </c>
      <c r="AQ75" s="199"/>
    </row>
    <row r="76">
      <c r="A76" s="135" t="s">
        <v>1477</v>
      </c>
      <c r="B76" s="135" t="s">
        <v>1478</v>
      </c>
      <c r="C76" s="135" t="str">
        <f>VLOOKUP(A76,import!A:C,3,0)</f>
        <v>DOĞRU</v>
      </c>
      <c r="D76" s="135" t="s">
        <v>1302</v>
      </c>
      <c r="E76" s="194">
        <f>VLOOKUP(A76,import!A:AA,5,0)</f>
        <v>145</v>
      </c>
      <c r="F76" s="194">
        <f>VLOOKUP(A76,import!A:AA,6,0)</f>
        <v>4</v>
      </c>
      <c r="G76" s="135">
        <f>VLOOKUP(A76,import!A:AA,7,0)</f>
        <v>0</v>
      </c>
      <c r="H76" s="135">
        <f>VLOOKUP(A76,import!A:AA,8,0)</f>
        <v>48</v>
      </c>
      <c r="I76" s="135">
        <f>VLOOKUP(A76,import!A:AA,9,0)</f>
        <v>48</v>
      </c>
      <c r="J76" s="195">
        <f>VLOOKUP(A76,import!A:AA,10,0)</f>
        <v>0</v>
      </c>
      <c r="K76" s="135" t="s">
        <v>1479</v>
      </c>
      <c r="L76" s="135">
        <v>2.645922486E9</v>
      </c>
      <c r="M76" s="135" t="s">
        <v>1318</v>
      </c>
      <c r="N76" s="135" t="s">
        <v>1324</v>
      </c>
      <c r="O76" s="135" t="s">
        <v>1480</v>
      </c>
      <c r="P76" s="135" t="str">
        <f>VLOOKUP(A76,import!A:P,16,0)</f>
        <v>Geleneksel</v>
      </c>
      <c r="Q76" s="196"/>
      <c r="R76" s="196" t="b">
        <v>1</v>
      </c>
      <c r="S76" s="196" t="b">
        <v>0</v>
      </c>
      <c r="T76" s="197" t="s">
        <v>1373</v>
      </c>
      <c r="U76" s="197"/>
      <c r="V76" s="197"/>
      <c r="W76" s="197" t="s">
        <v>1481</v>
      </c>
      <c r="X76" s="198"/>
      <c r="Y76" s="198"/>
      <c r="Z76" s="199"/>
      <c r="AA76" s="200" t="s">
        <v>1151</v>
      </c>
      <c r="AB76" s="201">
        <v>44348.0</v>
      </c>
      <c r="AC76" s="200" t="s">
        <v>1202</v>
      </c>
      <c r="AD76" s="201">
        <v>44379.0</v>
      </c>
      <c r="AE76" s="200" t="s">
        <v>1151</v>
      </c>
      <c r="AF76" s="201">
        <v>44384.0</v>
      </c>
      <c r="AG76" s="105"/>
      <c r="AH76" s="199"/>
      <c r="AI76" s="199"/>
      <c r="AJ76" s="199"/>
      <c r="AK76" s="200" t="s">
        <v>257</v>
      </c>
      <c r="AL76" s="200" t="s">
        <v>257</v>
      </c>
      <c r="AM76" s="200" t="s">
        <v>189</v>
      </c>
      <c r="AN76" s="199"/>
      <c r="AO76" s="199"/>
      <c r="AP76" s="202" t="s">
        <v>1152</v>
      </c>
      <c r="AQ76" s="199"/>
    </row>
    <row r="77">
      <c r="A77" s="135" t="s">
        <v>1482</v>
      </c>
      <c r="B77" s="135" t="s">
        <v>1483</v>
      </c>
      <c r="C77" s="135" t="str">
        <f>VLOOKUP(A77,import!A:C,3,0)</f>
        <v>DOĞRU</v>
      </c>
      <c r="D77" s="135" t="s">
        <v>1302</v>
      </c>
      <c r="E77" s="194">
        <f>VLOOKUP(A77,import!A:AA,5,0)</f>
        <v>337</v>
      </c>
      <c r="F77" s="194">
        <f>VLOOKUP(A77,import!A:AA,6,0)</f>
        <v>74</v>
      </c>
      <c r="G77" s="135">
        <f>VLOOKUP(A77,import!A:AA,7,0)</f>
        <v>0</v>
      </c>
      <c r="H77" s="135">
        <f>VLOOKUP(A77,import!A:AA,8,0)</f>
        <v>30</v>
      </c>
      <c r="I77" s="135">
        <f>VLOOKUP(A77,import!A:AA,9,0)</f>
        <v>30</v>
      </c>
      <c r="J77" s="195">
        <f>VLOOKUP(A77,import!A:AA,10,0)</f>
        <v>0</v>
      </c>
      <c r="K77" s="135" t="s">
        <v>1479</v>
      </c>
      <c r="L77" s="135">
        <v>2.642111376E9</v>
      </c>
      <c r="M77" s="135" t="s">
        <v>1147</v>
      </c>
      <c r="N77" s="135" t="s">
        <v>1164</v>
      </c>
      <c r="O77" s="135" t="s">
        <v>1484</v>
      </c>
      <c r="P77" s="135" t="str">
        <f>VLOOKUP(A77,import!A:P,16,0)</f>
        <v>Geleneksel</v>
      </c>
      <c r="Q77" s="196"/>
      <c r="R77" s="196" t="b">
        <v>1</v>
      </c>
      <c r="S77" s="196" t="b">
        <v>0</v>
      </c>
      <c r="T77" s="211" t="s">
        <v>1373</v>
      </c>
      <c r="U77" s="212"/>
      <c r="V77" s="212"/>
      <c r="W77" s="211" t="s">
        <v>1481</v>
      </c>
      <c r="X77" s="213"/>
      <c r="Y77" s="213"/>
      <c r="Z77" s="199"/>
      <c r="AA77" s="200" t="s">
        <v>1151</v>
      </c>
      <c r="AB77" s="201">
        <v>44384.0</v>
      </c>
      <c r="AC77" s="199"/>
      <c r="AD77" s="199"/>
      <c r="AE77" s="105"/>
      <c r="AF77" s="199"/>
      <c r="AG77" s="105"/>
      <c r="AH77" s="199"/>
      <c r="AI77" s="199"/>
      <c r="AJ77" s="199"/>
      <c r="AK77" s="200" t="s">
        <v>189</v>
      </c>
      <c r="AL77" s="199"/>
      <c r="AM77" s="199"/>
      <c r="AN77" s="199"/>
      <c r="AO77" s="199"/>
      <c r="AP77" s="202" t="s">
        <v>1152</v>
      </c>
      <c r="AQ77" s="199"/>
    </row>
    <row r="78">
      <c r="A78" s="135" t="s">
        <v>1485</v>
      </c>
      <c r="B78" s="135" t="s">
        <v>1486</v>
      </c>
      <c r="C78" s="135" t="str">
        <f>VLOOKUP(A78,import!A:C,3,0)</f>
        <v>DOĞRU</v>
      </c>
      <c r="D78" s="135" t="s">
        <v>1170</v>
      </c>
      <c r="E78" s="194" t="str">
        <f>VLOOKUP(A78,import!A:AA,5,0)</f>
        <v/>
      </c>
      <c r="F78" s="194" t="str">
        <f>VLOOKUP(A78,import!A:AA,6,0)</f>
        <v/>
      </c>
      <c r="G78" s="135">
        <f>VLOOKUP(A78,import!A:AA,7,0)</f>
        <v>0</v>
      </c>
      <c r="H78" s="135">
        <f>VLOOKUP(A78,import!A:AA,8,0)</f>
        <v>9</v>
      </c>
      <c r="I78" s="135">
        <f>VLOOKUP(A78,import!A:AA,9,0)</f>
        <v>9</v>
      </c>
      <c r="J78" s="195">
        <f>VLOOKUP(A78,import!A:AA,10,0)</f>
        <v>0</v>
      </c>
      <c r="K78" s="135" t="s">
        <v>1487</v>
      </c>
      <c r="L78" s="135">
        <v>5.327282826E9</v>
      </c>
      <c r="M78" s="135" t="s">
        <v>1172</v>
      </c>
      <c r="N78" s="135" t="s">
        <v>1379</v>
      </c>
      <c r="O78" s="135" t="s">
        <v>1488</v>
      </c>
      <c r="P78" s="135" t="str">
        <f>VLOOKUP(A78,import!A:P,16,0)</f>
        <v>Geleneksel</v>
      </c>
      <c r="Q78" s="196"/>
      <c r="R78" s="196" t="b">
        <v>1</v>
      </c>
      <c r="S78" s="196" t="b">
        <v>0</v>
      </c>
      <c r="T78" s="197" t="s">
        <v>1209</v>
      </c>
      <c r="U78" s="197"/>
      <c r="V78" s="197"/>
      <c r="W78" s="197" t="s">
        <v>1489</v>
      </c>
      <c r="X78" s="198"/>
      <c r="Y78" s="198"/>
      <c r="Z78" s="199"/>
      <c r="AA78" s="200" t="s">
        <v>1254</v>
      </c>
      <c r="AB78" s="201">
        <v>44368.0</v>
      </c>
      <c r="AC78" s="200" t="s">
        <v>1202</v>
      </c>
      <c r="AD78" s="201">
        <v>44379.0</v>
      </c>
      <c r="AE78" s="200" t="s">
        <v>1151</v>
      </c>
      <c r="AF78" s="201">
        <v>44389.0</v>
      </c>
      <c r="AG78" s="105"/>
      <c r="AH78" s="199"/>
      <c r="AI78" s="199"/>
      <c r="AJ78" s="199"/>
      <c r="AK78" s="200" t="s">
        <v>257</v>
      </c>
      <c r="AL78" s="200" t="s">
        <v>257</v>
      </c>
      <c r="AM78" s="200" t="s">
        <v>1421</v>
      </c>
      <c r="AN78" s="199"/>
      <c r="AO78" s="199"/>
      <c r="AP78" s="202" t="s">
        <v>1152</v>
      </c>
      <c r="AQ78" s="199"/>
    </row>
    <row r="79">
      <c r="A79" s="135" t="s">
        <v>1490</v>
      </c>
      <c r="B79" s="135" t="s">
        <v>1491</v>
      </c>
      <c r="C79" s="135" t="str">
        <f>VLOOKUP(A79,import!A:C,3,0)</f>
        <v>DOĞRU</v>
      </c>
      <c r="D79" s="135" t="s">
        <v>1145</v>
      </c>
      <c r="E79" s="194">
        <f>VLOOKUP(A79,import!A:AA,5,0)</f>
        <v>69</v>
      </c>
      <c r="F79" s="194">
        <f>VLOOKUP(A79,import!A:AA,6,0)</f>
        <v>42</v>
      </c>
      <c r="G79" s="135">
        <f>VLOOKUP(A79,import!A:AA,7,0)</f>
        <v>0</v>
      </c>
      <c r="H79" s="135">
        <f>VLOOKUP(A79,import!A:AA,8,0)</f>
        <v>187</v>
      </c>
      <c r="I79" s="135">
        <f>VLOOKUP(A79,import!A:AA,9,0)</f>
        <v>187</v>
      </c>
      <c r="J79" s="195">
        <f>VLOOKUP(A79,import!A:AA,10,0)</f>
        <v>0</v>
      </c>
      <c r="K79" s="135" t="s">
        <v>1492</v>
      </c>
      <c r="L79" s="135">
        <v>2.642732354E9</v>
      </c>
      <c r="M79" s="135" t="s">
        <v>1147</v>
      </c>
      <c r="N79" s="135" t="s">
        <v>1200</v>
      </c>
      <c r="O79" s="135" t="s">
        <v>68</v>
      </c>
      <c r="P79" s="135" t="str">
        <f>VLOOKUP(A79,import!A:P,16,0)</f>
        <v>Geleneksel</v>
      </c>
      <c r="Q79" s="196"/>
      <c r="R79" s="196" t="b">
        <v>0</v>
      </c>
      <c r="S79" s="196" t="b">
        <v>0</v>
      </c>
      <c r="T79" s="197"/>
      <c r="U79" s="197"/>
      <c r="V79" s="203"/>
      <c r="W79" s="197"/>
      <c r="X79" s="198"/>
      <c r="Y79" s="198"/>
      <c r="Z79" s="199"/>
      <c r="AA79" s="200"/>
      <c r="AB79" s="201"/>
      <c r="AC79" s="199"/>
      <c r="AD79" s="199"/>
      <c r="AE79" s="105"/>
      <c r="AF79" s="199"/>
      <c r="AG79" s="105"/>
      <c r="AH79" s="199"/>
      <c r="AI79" s="199"/>
      <c r="AJ79" s="199"/>
      <c r="AK79" s="200"/>
      <c r="AL79" s="199"/>
      <c r="AM79" s="199"/>
      <c r="AN79" s="199"/>
      <c r="AO79" s="199"/>
      <c r="AP79" s="202"/>
      <c r="AQ79" s="199"/>
    </row>
    <row r="80">
      <c r="A80" s="135" t="s">
        <v>677</v>
      </c>
      <c r="B80" s="135" t="s">
        <v>678</v>
      </c>
      <c r="C80" s="135" t="str">
        <f>VLOOKUP(A80,import!A:C,3,0)</f>
        <v>DOĞRU</v>
      </c>
      <c r="D80" s="135" t="s">
        <v>1188</v>
      </c>
      <c r="E80" s="194">
        <f>VLOOKUP(A80,import!A:AA,5,0)</f>
        <v>3785</v>
      </c>
      <c r="F80" s="194">
        <f>VLOOKUP(A80,import!A:AA,6,0)</f>
        <v>81</v>
      </c>
      <c r="G80" s="135">
        <f>VLOOKUP(A80,import!A:AA,7,0)</f>
        <v>19</v>
      </c>
      <c r="H80" s="135">
        <f>VLOOKUP(A80,import!A:AA,8,0)</f>
        <v>14</v>
      </c>
      <c r="I80" s="135">
        <f>VLOOKUP(A80,import!A:AA,9,0)</f>
        <v>33</v>
      </c>
      <c r="J80" s="195">
        <f>VLOOKUP(A80,import!A:AA,10,0)</f>
        <v>0.58</v>
      </c>
      <c r="K80" s="135" t="s">
        <v>1493</v>
      </c>
      <c r="L80" s="135">
        <v>2.642733141E9</v>
      </c>
      <c r="M80" s="135" t="s">
        <v>1172</v>
      </c>
      <c r="N80" s="135" t="s">
        <v>1190</v>
      </c>
      <c r="O80" s="135" t="s">
        <v>680</v>
      </c>
      <c r="P80" s="135" t="str">
        <f>VLOOKUP(A80,import!A:P,16,0)</f>
        <v>Geleneksel</v>
      </c>
      <c r="Q80" s="196"/>
      <c r="R80" s="196" t="b">
        <v>1</v>
      </c>
      <c r="S80" s="196" t="b">
        <v>0</v>
      </c>
      <c r="T80" s="197" t="s">
        <v>1165</v>
      </c>
      <c r="U80" s="197" t="s">
        <v>1204</v>
      </c>
      <c r="V80" s="197" t="s">
        <v>91</v>
      </c>
      <c r="W80" s="197" t="s">
        <v>1494</v>
      </c>
      <c r="X80" s="198">
        <v>44350.0</v>
      </c>
      <c r="Y80" s="198">
        <v>44354.0</v>
      </c>
      <c r="Z80" s="199"/>
      <c r="AA80" s="200" t="s">
        <v>1151</v>
      </c>
      <c r="AB80" s="201">
        <v>44350.0</v>
      </c>
      <c r="AC80" s="199"/>
      <c r="AD80" s="199"/>
      <c r="AE80" s="105"/>
      <c r="AF80" s="199"/>
      <c r="AG80" s="105"/>
      <c r="AH80" s="199"/>
      <c r="AI80" s="199"/>
      <c r="AJ80" s="199"/>
      <c r="AK80" s="200" t="s">
        <v>1204</v>
      </c>
      <c r="AL80" s="199"/>
      <c r="AM80" s="199"/>
      <c r="AN80" s="199"/>
      <c r="AO80" s="199"/>
      <c r="AP80" s="202" t="s">
        <v>1152</v>
      </c>
      <c r="AQ80" s="199"/>
    </row>
    <row r="81">
      <c r="A81" s="135" t="s">
        <v>626</v>
      </c>
      <c r="B81" s="135" t="s">
        <v>627</v>
      </c>
      <c r="C81" s="135" t="str">
        <f>VLOOKUP(A81,import!A:C,3,0)</f>
        <v>YANLIŞ</v>
      </c>
      <c r="D81" s="135" t="s">
        <v>1188</v>
      </c>
      <c r="E81" s="194">
        <f>VLOOKUP(A81,import!A:AA,5,0)</f>
        <v>12</v>
      </c>
      <c r="F81" s="194" t="str">
        <f>VLOOKUP(A81,import!A:AA,6,0)</f>
        <v/>
      </c>
      <c r="G81" s="135">
        <f>VLOOKUP(A81,import!A:AA,7,0)</f>
        <v>5</v>
      </c>
      <c r="H81" s="135">
        <f>VLOOKUP(A81,import!A:AA,8,0)</f>
        <v>5</v>
      </c>
      <c r="I81" s="135">
        <f>VLOOKUP(A81,import!A:AA,9,0)</f>
        <v>10</v>
      </c>
      <c r="J81" s="195">
        <f>VLOOKUP(A81,import!A:AA,10,0)</f>
        <v>0.5</v>
      </c>
      <c r="K81" s="135" t="s">
        <v>1495</v>
      </c>
      <c r="L81" s="135">
        <v>5.326663639E9</v>
      </c>
      <c r="M81" s="135" t="s">
        <v>1172</v>
      </c>
      <c r="N81" s="135" t="s">
        <v>1300</v>
      </c>
      <c r="O81" s="135" t="s">
        <v>628</v>
      </c>
      <c r="P81" s="135" t="str">
        <f>VLOOKUP(A81,import!A:P,16,0)</f>
        <v>Geleneksel</v>
      </c>
      <c r="Q81" s="196"/>
      <c r="R81" s="196" t="b">
        <v>1</v>
      </c>
      <c r="S81" s="196" t="b">
        <v>0</v>
      </c>
      <c r="T81" s="197" t="s">
        <v>1165</v>
      </c>
      <c r="U81" s="197" t="s">
        <v>189</v>
      </c>
      <c r="V81" s="197" t="s">
        <v>91</v>
      </c>
      <c r="W81" s="197"/>
      <c r="X81" s="198">
        <v>44344.0</v>
      </c>
      <c r="Y81" s="198">
        <v>44348.0</v>
      </c>
      <c r="Z81" s="199"/>
      <c r="AA81" s="199"/>
      <c r="AB81" s="199"/>
      <c r="AC81" s="199"/>
      <c r="AD81" s="199"/>
      <c r="AE81" s="105"/>
      <c r="AF81" s="199"/>
      <c r="AG81" s="105"/>
      <c r="AH81" s="199"/>
      <c r="AI81" s="199"/>
      <c r="AJ81" s="199"/>
      <c r="AK81" s="199"/>
      <c r="AL81" s="199"/>
      <c r="AM81" s="199"/>
      <c r="AN81" s="199"/>
      <c r="AO81" s="199"/>
      <c r="AP81" s="202" t="s">
        <v>1152</v>
      </c>
      <c r="AQ81" s="199"/>
    </row>
    <row r="82">
      <c r="A82" s="135" t="s">
        <v>1496</v>
      </c>
      <c r="B82" s="135" t="s">
        <v>1497</v>
      </c>
      <c r="C82" s="135" t="str">
        <f>VLOOKUP(A82,import!A:C,3,0)</f>
        <v>YANLIŞ</v>
      </c>
      <c r="D82" s="135" t="s">
        <v>1145</v>
      </c>
      <c r="E82" s="194">
        <f>VLOOKUP(A82,import!A:AA,5,0)</f>
        <v>707</v>
      </c>
      <c r="F82" s="194" t="str">
        <f>VLOOKUP(A82,import!A:AA,6,0)</f>
        <v/>
      </c>
      <c r="G82" s="135">
        <f>VLOOKUP(A82,import!A:AA,7,0)</f>
        <v>0</v>
      </c>
      <c r="H82" s="135">
        <f>VLOOKUP(A82,import!A:AA,8,0)</f>
        <v>29</v>
      </c>
      <c r="I82" s="135">
        <f>VLOOKUP(A82,import!A:AA,9,0)</f>
        <v>29</v>
      </c>
      <c r="J82" s="195">
        <f>VLOOKUP(A82,import!A:AA,10,0)</f>
        <v>0</v>
      </c>
      <c r="K82" s="135" t="s">
        <v>1498</v>
      </c>
      <c r="L82" s="135">
        <v>2.642755275E9</v>
      </c>
      <c r="M82" s="135" t="s">
        <v>1147</v>
      </c>
      <c r="N82" s="135" t="s">
        <v>1164</v>
      </c>
      <c r="O82" s="135" t="s">
        <v>299</v>
      </c>
      <c r="P82" s="135" t="str">
        <f>VLOOKUP(A82,import!A:P,16,0)</f>
        <v>Geleneksel</v>
      </c>
      <c r="Q82" s="196"/>
      <c r="R82" s="196" t="b">
        <v>1</v>
      </c>
      <c r="S82" s="196" t="b">
        <v>0</v>
      </c>
      <c r="T82" s="197" t="s">
        <v>1251</v>
      </c>
      <c r="U82" s="197"/>
      <c r="V82" s="197"/>
      <c r="W82" s="197" t="s">
        <v>1499</v>
      </c>
      <c r="X82" s="198"/>
      <c r="Y82" s="198"/>
      <c r="Z82" s="199"/>
      <c r="AA82" s="199"/>
      <c r="AB82" s="199"/>
      <c r="AC82" s="199"/>
      <c r="AD82" s="199"/>
      <c r="AE82" s="105"/>
      <c r="AF82" s="199"/>
      <c r="AG82" s="105"/>
      <c r="AH82" s="199"/>
      <c r="AI82" s="199"/>
      <c r="AJ82" s="199"/>
      <c r="AK82" s="199"/>
      <c r="AL82" s="199"/>
      <c r="AM82" s="199"/>
      <c r="AN82" s="199"/>
      <c r="AO82" s="199"/>
      <c r="AP82" s="202" t="s">
        <v>1152</v>
      </c>
      <c r="AQ82" s="199"/>
    </row>
    <row r="83">
      <c r="A83" s="135" t="s">
        <v>1500</v>
      </c>
      <c r="B83" s="135" t="s">
        <v>1501</v>
      </c>
      <c r="C83" s="135" t="str">
        <f>VLOOKUP(A83,import!A:C,3,0)</f>
        <v>DOĞRU</v>
      </c>
      <c r="D83" s="135" t="s">
        <v>1145</v>
      </c>
      <c r="E83" s="194">
        <f>VLOOKUP(A83,import!A:AA,5,0)</f>
        <v>16</v>
      </c>
      <c r="F83" s="194">
        <f>VLOOKUP(A83,import!A:AA,6,0)</f>
        <v>15</v>
      </c>
      <c r="G83" s="135">
        <f>VLOOKUP(A83,import!A:AA,7,0)</f>
        <v>0</v>
      </c>
      <c r="H83" s="135">
        <f>VLOOKUP(A83,import!A:AA,8,0)</f>
        <v>41</v>
      </c>
      <c r="I83" s="135">
        <f>VLOOKUP(A83,import!A:AA,9,0)</f>
        <v>41</v>
      </c>
      <c r="J83" s="195">
        <f>VLOOKUP(A83,import!A:AA,10,0)</f>
        <v>0</v>
      </c>
      <c r="K83" s="135" t="s">
        <v>1502</v>
      </c>
      <c r="L83" s="135">
        <v>5.324157666E9</v>
      </c>
      <c r="M83" s="135" t="s">
        <v>1147</v>
      </c>
      <c r="N83" s="135" t="s">
        <v>1148</v>
      </c>
      <c r="O83" s="135" t="s">
        <v>1503</v>
      </c>
      <c r="P83" s="135" t="str">
        <f>VLOOKUP(A83,import!A:P,16,0)</f>
        <v>Geleneksel</v>
      </c>
      <c r="Q83" s="196"/>
      <c r="R83" s="196" t="b">
        <v>1</v>
      </c>
      <c r="S83" s="196" t="b">
        <v>0</v>
      </c>
      <c r="T83" s="197" t="s">
        <v>1209</v>
      </c>
      <c r="U83" s="197"/>
      <c r="V83" s="197"/>
      <c r="W83" s="197" t="s">
        <v>1504</v>
      </c>
      <c r="X83" s="198"/>
      <c r="Y83" s="198"/>
      <c r="Z83" s="199"/>
      <c r="AA83" s="200" t="s">
        <v>1151</v>
      </c>
      <c r="AB83" s="201">
        <v>44621.0</v>
      </c>
      <c r="AC83" s="199"/>
      <c r="AD83" s="199"/>
      <c r="AE83" s="105"/>
      <c r="AF83" s="199"/>
      <c r="AG83" s="105"/>
      <c r="AH83" s="199"/>
      <c r="AI83" s="199"/>
      <c r="AJ83" s="199"/>
      <c r="AK83" s="200" t="s">
        <v>1006</v>
      </c>
      <c r="AL83" s="199"/>
      <c r="AM83" s="199"/>
      <c r="AN83" s="199"/>
      <c r="AO83" s="199"/>
      <c r="AP83" s="202" t="s">
        <v>1152</v>
      </c>
      <c r="AQ83" s="199"/>
    </row>
    <row r="84">
      <c r="A84" s="135" t="s">
        <v>1505</v>
      </c>
      <c r="B84" s="135" t="s">
        <v>1506</v>
      </c>
      <c r="C84" s="135" t="str">
        <f>VLOOKUP(A84,import!A:C,3,0)</f>
        <v>DOĞRU</v>
      </c>
      <c r="D84" s="135" t="s">
        <v>1175</v>
      </c>
      <c r="E84" s="194">
        <f>VLOOKUP(A84,import!A:AA,5,0)</f>
        <v>623</v>
      </c>
      <c r="F84" s="194">
        <f>VLOOKUP(A84,import!A:AA,6,0)</f>
        <v>5</v>
      </c>
      <c r="G84" s="135">
        <f>VLOOKUP(A84,import!A:AA,7,0)</f>
        <v>4</v>
      </c>
      <c r="H84" s="135">
        <f>VLOOKUP(A84,import!A:AA,8,0)</f>
        <v>14</v>
      </c>
      <c r="I84" s="135">
        <f>VLOOKUP(A84,import!A:AA,9,0)</f>
        <v>18</v>
      </c>
      <c r="J84" s="195">
        <f>VLOOKUP(A84,import!A:AA,10,0)</f>
        <v>0.22</v>
      </c>
      <c r="K84" s="135" t="s">
        <v>1507</v>
      </c>
      <c r="L84" s="135">
        <v>2.647773388E9</v>
      </c>
      <c r="M84" s="135" t="s">
        <v>1172</v>
      </c>
      <c r="N84" s="135" t="s">
        <v>1379</v>
      </c>
      <c r="O84" s="135" t="s">
        <v>1508</v>
      </c>
      <c r="P84" s="135" t="str">
        <f>VLOOKUP(A84,import!A:P,16,0)</f>
        <v>Geleneksel</v>
      </c>
      <c r="Q84" s="196"/>
      <c r="R84" s="196" t="b">
        <v>0</v>
      </c>
      <c r="S84" s="196" t="b">
        <v>0</v>
      </c>
      <c r="T84" s="197"/>
      <c r="U84" s="197"/>
      <c r="V84" s="197"/>
      <c r="W84" s="197"/>
      <c r="X84" s="198"/>
      <c r="Y84" s="198"/>
      <c r="Z84" s="199"/>
      <c r="AA84" s="200"/>
      <c r="AB84" s="201"/>
      <c r="AC84" s="199"/>
      <c r="AD84" s="199"/>
      <c r="AE84" s="105"/>
      <c r="AF84" s="199"/>
      <c r="AG84" s="105"/>
      <c r="AH84" s="199"/>
      <c r="AI84" s="199"/>
      <c r="AJ84" s="199"/>
      <c r="AK84" s="200"/>
      <c r="AL84" s="199"/>
      <c r="AM84" s="199"/>
      <c r="AN84" s="199"/>
      <c r="AO84" s="199"/>
      <c r="AP84" s="202"/>
      <c r="AQ84" s="199"/>
    </row>
    <row r="85">
      <c r="A85" s="135" t="s">
        <v>1509</v>
      </c>
      <c r="B85" s="135" t="s">
        <v>1510</v>
      </c>
      <c r="C85" s="135" t="str">
        <f>VLOOKUP(A85,import!A:C,3,0)</f>
        <v>YANLIŞ</v>
      </c>
      <c r="D85" s="135" t="s">
        <v>1226</v>
      </c>
      <c r="E85" s="194">
        <f>VLOOKUP(A85,import!A:AA,5,0)</f>
        <v>213</v>
      </c>
      <c r="F85" s="194" t="str">
        <f>VLOOKUP(A85,import!A:AA,6,0)</f>
        <v/>
      </c>
      <c r="G85" s="135">
        <f>VLOOKUP(A85,import!A:AA,7,0)</f>
        <v>0</v>
      </c>
      <c r="H85" s="135">
        <f>VLOOKUP(A85,import!A:AA,8,0)</f>
        <v>63</v>
      </c>
      <c r="I85" s="135">
        <f>VLOOKUP(A85,import!A:AA,9,0)</f>
        <v>63</v>
      </c>
      <c r="J85" s="195">
        <f>VLOOKUP(A85,import!A:AA,10,0)</f>
        <v>0</v>
      </c>
      <c r="K85" s="135" t="s">
        <v>1511</v>
      </c>
      <c r="L85" s="135">
        <v>5.468595231E9</v>
      </c>
      <c r="M85" s="135" t="s">
        <v>1242</v>
      </c>
      <c r="N85" s="135" t="s">
        <v>1283</v>
      </c>
      <c r="O85" s="135" t="s">
        <v>1512</v>
      </c>
      <c r="P85" s="135" t="str">
        <f>VLOOKUP(A85,import!A:P,16,0)</f>
        <v>Geleneksel</v>
      </c>
      <c r="Q85" s="196"/>
      <c r="R85" s="196" t="b">
        <v>0</v>
      </c>
      <c r="S85" s="196" t="b">
        <v>0</v>
      </c>
      <c r="T85" s="197"/>
      <c r="U85" s="197"/>
      <c r="V85" s="208"/>
      <c r="W85" s="197"/>
      <c r="X85" s="198"/>
      <c r="Y85" s="198"/>
      <c r="Z85" s="199"/>
      <c r="AA85" s="199"/>
      <c r="AB85" s="199"/>
      <c r="AC85" s="199"/>
      <c r="AD85" s="199"/>
      <c r="AE85" s="105"/>
      <c r="AF85" s="199"/>
      <c r="AG85" s="105"/>
      <c r="AH85" s="199"/>
      <c r="AI85" s="199"/>
      <c r="AJ85" s="199"/>
      <c r="AK85" s="199"/>
      <c r="AL85" s="199"/>
      <c r="AM85" s="199"/>
      <c r="AN85" s="199"/>
      <c r="AO85" s="199"/>
      <c r="AP85" s="202" t="s">
        <v>1152</v>
      </c>
      <c r="AQ85" s="199"/>
    </row>
    <row r="86">
      <c r="A86" s="135" t="s">
        <v>1513</v>
      </c>
      <c r="B86" s="135" t="s">
        <v>1514</v>
      </c>
      <c r="C86" s="135" t="str">
        <f>VLOOKUP(A86,import!A:C,3,0)</f>
        <v>DOĞRU</v>
      </c>
      <c r="D86" s="135" t="s">
        <v>1155</v>
      </c>
      <c r="E86" s="194">
        <f>VLOOKUP(A86,import!A:AA,5,0)</f>
        <v>1</v>
      </c>
      <c r="F86" s="194" t="str">
        <f>VLOOKUP(A86,import!A:AA,6,0)</f>
        <v/>
      </c>
      <c r="G86" s="135">
        <f>VLOOKUP(A86,import!A:AA,7,0)</f>
        <v>0</v>
      </c>
      <c r="H86" s="135">
        <f>VLOOKUP(A86,import!A:AA,8,0)</f>
        <v>16</v>
      </c>
      <c r="I86" s="135">
        <f>VLOOKUP(A86,import!A:AA,9,0)</f>
        <v>16</v>
      </c>
      <c r="J86" s="195">
        <f>VLOOKUP(A86,import!A:AA,10,0)</f>
        <v>0</v>
      </c>
      <c r="K86" s="135" t="s">
        <v>1515</v>
      </c>
      <c r="L86" s="135">
        <v>5.365129033E9</v>
      </c>
      <c r="M86" s="135" t="s">
        <v>1147</v>
      </c>
      <c r="N86" s="135" t="s">
        <v>1200</v>
      </c>
      <c r="O86" s="135" t="s">
        <v>1516</v>
      </c>
      <c r="P86" s="135" t="str">
        <f>VLOOKUP(A86,import!A:P,16,0)</f>
        <v>Geleneksel</v>
      </c>
      <c r="Q86" s="196"/>
      <c r="R86" s="196" t="b">
        <v>1</v>
      </c>
      <c r="S86" s="196" t="b">
        <v>0</v>
      </c>
      <c r="T86" s="197" t="s">
        <v>1275</v>
      </c>
      <c r="U86" s="197"/>
      <c r="V86" s="197"/>
      <c r="W86" s="197" t="s">
        <v>1517</v>
      </c>
      <c r="X86" s="198"/>
      <c r="Y86" s="198"/>
      <c r="Z86" s="199"/>
      <c r="AA86" s="200" t="s">
        <v>1253</v>
      </c>
      <c r="AB86" s="201">
        <v>44354.0</v>
      </c>
      <c r="AC86" s="200" t="s">
        <v>1151</v>
      </c>
      <c r="AD86" s="201">
        <v>44376.0</v>
      </c>
      <c r="AE86" s="200" t="s">
        <v>1254</v>
      </c>
      <c r="AF86" s="201">
        <v>44391.0</v>
      </c>
      <c r="AG86" s="105"/>
      <c r="AH86" s="199"/>
      <c r="AI86" s="199"/>
      <c r="AJ86" s="199"/>
      <c r="AK86" s="200" t="s">
        <v>189</v>
      </c>
      <c r="AL86" s="200" t="s">
        <v>1518</v>
      </c>
      <c r="AM86" s="200" t="s">
        <v>1167</v>
      </c>
      <c r="AN86" s="199"/>
      <c r="AO86" s="199"/>
      <c r="AP86" s="202" t="s">
        <v>1152</v>
      </c>
      <c r="AQ86" s="199"/>
    </row>
    <row r="87">
      <c r="A87" s="135" t="s">
        <v>1519</v>
      </c>
      <c r="B87" s="135" t="s">
        <v>1520</v>
      </c>
      <c r="C87" s="135" t="str">
        <f>VLOOKUP(A87,import!A:C,3,0)</f>
        <v>YANLIŞ</v>
      </c>
      <c r="D87" s="135" t="s">
        <v>1170</v>
      </c>
      <c r="E87" s="194">
        <f>VLOOKUP(A87,import!A:AA,5,0)</f>
        <v>58</v>
      </c>
      <c r="F87" s="194" t="str">
        <f>VLOOKUP(A87,import!A:AA,6,0)</f>
        <v/>
      </c>
      <c r="G87" s="135">
        <f>VLOOKUP(A87,import!A:AA,7,0)</f>
        <v>0</v>
      </c>
      <c r="H87" s="135">
        <f>VLOOKUP(A87,import!A:AA,8,0)</f>
        <v>32</v>
      </c>
      <c r="I87" s="135">
        <f>VLOOKUP(A87,import!A:AA,9,0)</f>
        <v>32</v>
      </c>
      <c r="J87" s="195">
        <f>VLOOKUP(A87,import!A:AA,10,0)</f>
        <v>0</v>
      </c>
      <c r="K87" s="135" t="s">
        <v>1521</v>
      </c>
      <c r="L87" s="135">
        <v>5.322302893E9</v>
      </c>
      <c r="M87" s="135" t="s">
        <v>1147</v>
      </c>
      <c r="N87" s="135" t="s">
        <v>1157</v>
      </c>
      <c r="O87" s="135" t="s">
        <v>1522</v>
      </c>
      <c r="P87" s="135" t="str">
        <f>VLOOKUP(A87,import!A:P,16,0)</f>
        <v>Geleneksel</v>
      </c>
      <c r="Q87" s="196"/>
      <c r="R87" s="196" t="b">
        <v>1</v>
      </c>
      <c r="S87" s="196" t="b">
        <v>0</v>
      </c>
      <c r="T87" s="197" t="s">
        <v>1275</v>
      </c>
      <c r="U87" s="197"/>
      <c r="V87" s="197"/>
      <c r="W87" s="197" t="s">
        <v>1523</v>
      </c>
      <c r="X87" s="198"/>
      <c r="Y87" s="198"/>
      <c r="Z87" s="199"/>
      <c r="AA87" s="200" t="s">
        <v>1151</v>
      </c>
      <c r="AB87" s="201">
        <v>44354.0</v>
      </c>
      <c r="AC87" s="199"/>
      <c r="AD87" s="199"/>
      <c r="AE87" s="105"/>
      <c r="AF87" s="199"/>
      <c r="AG87" s="105"/>
      <c r="AH87" s="199"/>
      <c r="AI87" s="199"/>
      <c r="AJ87" s="199"/>
      <c r="AK87" s="200" t="s">
        <v>189</v>
      </c>
      <c r="AL87" s="199"/>
      <c r="AM87" s="199"/>
      <c r="AN87" s="199"/>
      <c r="AO87" s="199"/>
      <c r="AP87" s="202" t="s">
        <v>1152</v>
      </c>
      <c r="AQ87" s="199"/>
    </row>
    <row r="88">
      <c r="A88" s="135" t="s">
        <v>225</v>
      </c>
      <c r="B88" s="135" t="s">
        <v>226</v>
      </c>
      <c r="C88" s="135" t="str">
        <f>VLOOKUP(A88,import!A:C,3,0)</f>
        <v>DOĞRU</v>
      </c>
      <c r="D88" s="135" t="s">
        <v>1145</v>
      </c>
      <c r="E88" s="194">
        <f>VLOOKUP(A88,import!A:AA,5,0)</f>
        <v>1539</v>
      </c>
      <c r="F88" s="194" t="str">
        <f>VLOOKUP(A88,import!A:AA,6,0)</f>
        <v/>
      </c>
      <c r="G88" s="135">
        <f>VLOOKUP(A88,import!A:AA,7,0)</f>
        <v>17</v>
      </c>
      <c r="H88" s="135">
        <f>VLOOKUP(A88,import!A:AA,8,0)</f>
        <v>21</v>
      </c>
      <c r="I88" s="135">
        <f>VLOOKUP(A88,import!A:AA,9,0)</f>
        <v>38</v>
      </c>
      <c r="J88" s="195">
        <f>VLOOKUP(A88,import!A:AA,10,0)</f>
        <v>0.45</v>
      </c>
      <c r="K88" s="135" t="s">
        <v>1524</v>
      </c>
      <c r="L88" s="135">
        <v>5.415121235E9</v>
      </c>
      <c r="M88" s="135" t="s">
        <v>1318</v>
      </c>
      <c r="N88" s="135" t="s">
        <v>1319</v>
      </c>
      <c r="O88" s="135" t="s">
        <v>230</v>
      </c>
      <c r="P88" s="135" t="str">
        <f>VLOOKUP(A88,import!A:P,16,0)</f>
        <v>Geleneksel</v>
      </c>
      <c r="Q88" s="196"/>
      <c r="R88" s="196" t="b">
        <v>1</v>
      </c>
      <c r="S88" s="196" t="b">
        <v>0</v>
      </c>
      <c r="T88" s="197" t="s">
        <v>1165</v>
      </c>
      <c r="U88" s="197" t="s">
        <v>22</v>
      </c>
      <c r="V88" s="197" t="s">
        <v>91</v>
      </c>
      <c r="W88" s="197" t="s">
        <v>1525</v>
      </c>
      <c r="X88" s="198">
        <v>44300.0</v>
      </c>
      <c r="Y88" s="198">
        <v>44300.0</v>
      </c>
      <c r="Z88" s="199"/>
      <c r="AA88" s="199"/>
      <c r="AB88" s="199"/>
      <c r="AC88" s="199"/>
      <c r="AD88" s="199"/>
      <c r="AE88" s="105"/>
      <c r="AF88" s="199"/>
      <c r="AG88" s="105"/>
      <c r="AH88" s="199"/>
      <c r="AI88" s="199"/>
      <c r="AJ88" s="199"/>
      <c r="AK88" s="199"/>
      <c r="AL88" s="199"/>
      <c r="AM88" s="199"/>
      <c r="AN88" s="199"/>
      <c r="AO88" s="199"/>
      <c r="AP88" s="202" t="s">
        <v>1152</v>
      </c>
      <c r="AQ88" s="199"/>
    </row>
    <row r="89">
      <c r="A89" s="202" t="s">
        <v>1526</v>
      </c>
      <c r="B89" s="202" t="s">
        <v>1527</v>
      </c>
      <c r="C89" s="135" t="str">
        <f>VLOOKUP(A89,import!A:C,3,0)</f>
        <v>DOĞRU</v>
      </c>
      <c r="D89" s="202" t="s">
        <v>1170</v>
      </c>
      <c r="E89" s="194">
        <f>VLOOKUP(A89,import!A:AA,5,0)</f>
        <v>1</v>
      </c>
      <c r="F89" s="194">
        <f>VLOOKUP(A89,import!A:AA,6,0)</f>
        <v>1</v>
      </c>
      <c r="G89" s="135">
        <f>VLOOKUP(A89,import!A:AA,7,0)</f>
        <v>0</v>
      </c>
      <c r="H89" s="135">
        <f>VLOOKUP(A89,import!A:AA,8,0)</f>
        <v>17</v>
      </c>
      <c r="I89" s="135">
        <f>VLOOKUP(A89,import!A:AA,9,0)</f>
        <v>17</v>
      </c>
      <c r="J89" s="195">
        <f>VLOOKUP(A89,import!A:AA,10,0)</f>
        <v>0</v>
      </c>
      <c r="K89" s="202" t="s">
        <v>1528</v>
      </c>
      <c r="L89" s="202">
        <v>5.072402019E9</v>
      </c>
      <c r="M89" s="202" t="s">
        <v>1147</v>
      </c>
      <c r="N89" s="202" t="s">
        <v>1164</v>
      </c>
      <c r="O89" s="202" t="s">
        <v>1529</v>
      </c>
      <c r="P89" s="135" t="str">
        <f>VLOOKUP(A89,import!A:P,16,0)</f>
        <v>Geleneksel</v>
      </c>
      <c r="Q89" s="196"/>
      <c r="R89" s="196" t="b">
        <v>0</v>
      </c>
      <c r="S89" s="196" t="b">
        <v>0</v>
      </c>
      <c r="T89" s="197"/>
      <c r="U89" s="197"/>
      <c r="V89" s="197"/>
      <c r="W89" s="197"/>
      <c r="X89" s="198"/>
      <c r="Y89" s="198"/>
      <c r="Z89" s="199"/>
      <c r="AA89" s="200"/>
      <c r="AB89" s="201"/>
      <c r="AC89" s="199"/>
      <c r="AD89" s="199"/>
      <c r="AE89" s="105"/>
      <c r="AF89" s="199"/>
      <c r="AG89" s="105"/>
      <c r="AH89" s="199"/>
      <c r="AI89" s="199"/>
      <c r="AJ89" s="199"/>
      <c r="AK89" s="200"/>
      <c r="AL89" s="199"/>
      <c r="AM89" s="199"/>
      <c r="AN89" s="199"/>
      <c r="AO89" s="199"/>
      <c r="AP89" s="202"/>
      <c r="AQ89" s="199"/>
    </row>
    <row r="90">
      <c r="A90" s="135" t="s">
        <v>1530</v>
      </c>
      <c r="B90" s="135" t="s">
        <v>1531</v>
      </c>
      <c r="C90" s="135" t="str">
        <f>VLOOKUP(A90,import!A:C,3,0)</f>
        <v>DOĞRU</v>
      </c>
      <c r="D90" s="135" t="s">
        <v>1216</v>
      </c>
      <c r="E90" s="194">
        <f>VLOOKUP(A90,import!A:AA,5,0)</f>
        <v>540</v>
      </c>
      <c r="F90" s="194" t="str">
        <f>VLOOKUP(A90,import!A:AA,6,0)</f>
        <v/>
      </c>
      <c r="G90" s="135">
        <f>VLOOKUP(A90,import!A:AA,7,0)</f>
        <v>0</v>
      </c>
      <c r="H90" s="135">
        <f>VLOOKUP(A90,import!A:AA,8,0)</f>
        <v>143</v>
      </c>
      <c r="I90" s="135">
        <f>VLOOKUP(A90,import!A:AA,9,0)</f>
        <v>143</v>
      </c>
      <c r="J90" s="195">
        <f>VLOOKUP(A90,import!A:AA,10,0)</f>
        <v>0</v>
      </c>
      <c r="K90" s="135" t="s">
        <v>1532</v>
      </c>
      <c r="L90" s="135">
        <v>5.549463381E9</v>
      </c>
      <c r="M90" s="135" t="s">
        <v>1318</v>
      </c>
      <c r="N90" s="135" t="s">
        <v>1533</v>
      </c>
      <c r="O90" s="135" t="s">
        <v>1534</v>
      </c>
      <c r="P90" s="135" t="str">
        <f>VLOOKUP(A90,import!A:P,16,0)</f>
        <v>Geleneksel</v>
      </c>
      <c r="Q90" s="196"/>
      <c r="R90" s="196" t="b">
        <v>1</v>
      </c>
      <c r="S90" s="196" t="b">
        <v>1</v>
      </c>
      <c r="T90" s="211"/>
      <c r="U90" s="212"/>
      <c r="V90" s="212"/>
      <c r="W90" s="211" t="s">
        <v>1535</v>
      </c>
      <c r="X90" s="213"/>
      <c r="Y90" s="213"/>
      <c r="Z90" s="199"/>
      <c r="AA90" s="200" t="s">
        <v>1202</v>
      </c>
      <c r="AB90" s="201">
        <v>44379.0</v>
      </c>
      <c r="AC90" s="200" t="s">
        <v>1202</v>
      </c>
      <c r="AD90" s="201">
        <v>44389.0</v>
      </c>
      <c r="AE90" s="200" t="s">
        <v>1151</v>
      </c>
      <c r="AF90" s="201">
        <v>44405.0</v>
      </c>
      <c r="AG90" s="105"/>
      <c r="AH90" s="199"/>
      <c r="AI90" s="199"/>
      <c r="AJ90" s="199"/>
      <c r="AK90" s="200" t="s">
        <v>257</v>
      </c>
      <c r="AL90" s="200" t="s">
        <v>1421</v>
      </c>
      <c r="AM90" s="200" t="s">
        <v>1255</v>
      </c>
      <c r="AN90" s="199"/>
      <c r="AO90" s="199"/>
      <c r="AP90" s="202" t="s">
        <v>1152</v>
      </c>
      <c r="AQ90" s="199"/>
    </row>
    <row r="91">
      <c r="A91" s="202" t="s">
        <v>1536</v>
      </c>
      <c r="B91" s="202" t="s">
        <v>1537</v>
      </c>
      <c r="C91" s="135" t="str">
        <f>VLOOKUP(A91,import!A:C,3,0)</f>
        <v>DOĞRU</v>
      </c>
      <c r="D91" s="202" t="s">
        <v>1188</v>
      </c>
      <c r="E91" s="194">
        <f>VLOOKUP(A91,import!A:AA,5,0)</f>
        <v>9</v>
      </c>
      <c r="F91" s="194">
        <f>VLOOKUP(A91,import!A:AA,6,0)</f>
        <v>2</v>
      </c>
      <c r="G91" s="135">
        <f>VLOOKUP(A91,import!A:AA,7,0)</f>
        <v>0</v>
      </c>
      <c r="H91" s="135">
        <f>VLOOKUP(A91,import!A:AA,8,0)</f>
        <v>10</v>
      </c>
      <c r="I91" s="135">
        <f>VLOOKUP(A91,import!A:AA,9,0)</f>
        <v>10</v>
      </c>
      <c r="J91" s="195">
        <f>VLOOKUP(A91,import!A:AA,10,0)</f>
        <v>0</v>
      </c>
      <c r="K91" s="202" t="s">
        <v>1538</v>
      </c>
      <c r="L91" s="202">
        <v>2.647181415E9</v>
      </c>
      <c r="M91" s="202" t="s">
        <v>1242</v>
      </c>
      <c r="N91" s="202" t="s">
        <v>1283</v>
      </c>
      <c r="O91" s="202" t="s">
        <v>1539</v>
      </c>
      <c r="P91" s="135" t="str">
        <f>VLOOKUP(A91,import!A:P,16,0)</f>
        <v>Geleneksel</v>
      </c>
      <c r="Q91" s="196"/>
      <c r="R91" s="196" t="b">
        <v>0</v>
      </c>
      <c r="S91" s="196" t="b">
        <v>0</v>
      </c>
      <c r="T91" s="197"/>
      <c r="U91" s="197"/>
      <c r="V91" s="197"/>
      <c r="W91" s="197"/>
      <c r="X91" s="198"/>
      <c r="Y91" s="198"/>
      <c r="Z91" s="199"/>
      <c r="AA91" s="200"/>
      <c r="AB91" s="201"/>
      <c r="AC91" s="199"/>
      <c r="AD91" s="199"/>
      <c r="AE91" s="105"/>
      <c r="AF91" s="199"/>
      <c r="AG91" s="105"/>
      <c r="AH91" s="199"/>
      <c r="AI91" s="199"/>
      <c r="AJ91" s="199"/>
      <c r="AK91" s="200"/>
      <c r="AL91" s="199"/>
      <c r="AM91" s="199"/>
      <c r="AN91" s="199"/>
      <c r="AO91" s="199"/>
      <c r="AP91" s="202"/>
      <c r="AQ91" s="199"/>
    </row>
    <row r="92">
      <c r="A92" s="135" t="s">
        <v>629</v>
      </c>
      <c r="B92" s="135" t="s">
        <v>630</v>
      </c>
      <c r="C92" s="135" t="str">
        <f>VLOOKUP(A92,import!A:C,3,0)</f>
        <v>DOĞRU</v>
      </c>
      <c r="D92" s="135" t="s">
        <v>1188</v>
      </c>
      <c r="E92" s="194">
        <f>VLOOKUP(A92,import!A:AA,5,0)</f>
        <v>16</v>
      </c>
      <c r="F92" s="194" t="str">
        <f>VLOOKUP(A92,import!A:AA,6,0)</f>
        <v/>
      </c>
      <c r="G92" s="135">
        <f>VLOOKUP(A92,import!A:AA,7,0)</f>
        <v>4</v>
      </c>
      <c r="H92" s="135">
        <f>VLOOKUP(A92,import!A:AA,8,0)</f>
        <v>7</v>
      </c>
      <c r="I92" s="135">
        <f>VLOOKUP(A92,import!A:AA,9,0)</f>
        <v>11</v>
      </c>
      <c r="J92" s="195">
        <f>VLOOKUP(A92,import!A:AA,10,0)</f>
        <v>0.36</v>
      </c>
      <c r="K92" s="135" t="s">
        <v>1540</v>
      </c>
      <c r="L92" s="135">
        <v>5.077891251E9</v>
      </c>
      <c r="M92" s="135" t="s">
        <v>1172</v>
      </c>
      <c r="N92" s="135" t="s">
        <v>1190</v>
      </c>
      <c r="O92" s="135" t="s">
        <v>752</v>
      </c>
      <c r="P92" s="135" t="str">
        <f>VLOOKUP(A92,import!A:P,16,0)</f>
        <v>Geleneksel</v>
      </c>
      <c r="Q92" s="196"/>
      <c r="R92" s="196" t="b">
        <v>1</v>
      </c>
      <c r="S92" s="196" t="b">
        <v>0</v>
      </c>
      <c r="T92" s="197" t="s">
        <v>1165</v>
      </c>
      <c r="U92" s="197" t="s">
        <v>92</v>
      </c>
      <c r="V92" s="197" t="s">
        <v>91</v>
      </c>
      <c r="W92" s="197" t="s">
        <v>1541</v>
      </c>
      <c r="X92" s="198">
        <v>44356.0</v>
      </c>
      <c r="Y92" s="198">
        <v>44362.0</v>
      </c>
      <c r="Z92" s="199"/>
      <c r="AA92" s="199"/>
      <c r="AB92" s="199"/>
      <c r="AC92" s="199"/>
      <c r="AD92" s="199"/>
      <c r="AE92" s="105"/>
      <c r="AF92" s="199"/>
      <c r="AG92" s="105"/>
      <c r="AH92" s="199"/>
      <c r="AI92" s="199"/>
      <c r="AJ92" s="199"/>
      <c r="AK92" s="200" t="s">
        <v>92</v>
      </c>
      <c r="AL92" s="199"/>
      <c r="AM92" s="199"/>
      <c r="AN92" s="199"/>
      <c r="AO92" s="199"/>
      <c r="AP92" s="202" t="s">
        <v>1152</v>
      </c>
      <c r="AQ92" s="199"/>
    </row>
    <row r="93">
      <c r="A93" s="135" t="s">
        <v>1542</v>
      </c>
      <c r="B93" s="135" t="s">
        <v>1543</v>
      </c>
      <c r="C93" s="135" t="str">
        <f>VLOOKUP(A93,import!A:C,3,0)</f>
        <v>YANLIŞ</v>
      </c>
      <c r="D93" s="135" t="s">
        <v>1455</v>
      </c>
      <c r="E93" s="194" t="str">
        <f>VLOOKUP(A93,import!A:AA,5,0)</f>
        <v/>
      </c>
      <c r="F93" s="194" t="str">
        <f>VLOOKUP(A93,import!A:AA,6,0)</f>
        <v/>
      </c>
      <c r="G93" s="135">
        <f>VLOOKUP(A93,import!A:AA,7,0)</f>
        <v>0</v>
      </c>
      <c r="H93" s="135">
        <f>VLOOKUP(A93,import!A:AA,8,0)</f>
        <v>33</v>
      </c>
      <c r="I93" s="135">
        <f>VLOOKUP(A93,import!A:AA,9,0)</f>
        <v>33</v>
      </c>
      <c r="J93" s="195">
        <f>VLOOKUP(A93,import!A:AA,10,0)</f>
        <v>0</v>
      </c>
      <c r="K93" s="135" t="s">
        <v>1544</v>
      </c>
      <c r="L93" s="135">
        <v>5.447786841E9</v>
      </c>
      <c r="M93" s="135" t="s">
        <v>1147</v>
      </c>
      <c r="N93" s="135" t="s">
        <v>1200</v>
      </c>
      <c r="O93" s="135" t="s">
        <v>1545</v>
      </c>
      <c r="P93" s="135" t="str">
        <f>VLOOKUP(A93,import!A:P,16,0)</f>
        <v>Geleneksel</v>
      </c>
      <c r="Q93" s="196"/>
      <c r="R93" s="196" t="b">
        <v>1</v>
      </c>
      <c r="S93" s="196" t="b">
        <v>0</v>
      </c>
      <c r="T93" s="197" t="s">
        <v>1275</v>
      </c>
      <c r="U93" s="204"/>
      <c r="V93" s="204"/>
      <c r="W93" s="197" t="s">
        <v>1546</v>
      </c>
      <c r="X93" s="206"/>
      <c r="Y93" s="206"/>
      <c r="Z93" s="199"/>
      <c r="AA93" s="200" t="s">
        <v>1202</v>
      </c>
      <c r="AB93" s="201">
        <v>44349.0</v>
      </c>
      <c r="AC93" s="200" t="s">
        <v>1151</v>
      </c>
      <c r="AD93" s="201">
        <v>44349.0</v>
      </c>
      <c r="AE93" s="200" t="s">
        <v>1202</v>
      </c>
      <c r="AF93" s="201">
        <v>44350.0</v>
      </c>
      <c r="AG93" s="200" t="s">
        <v>1151</v>
      </c>
      <c r="AH93" s="201">
        <v>44351.0</v>
      </c>
      <c r="AI93" s="200" t="s">
        <v>1202</v>
      </c>
      <c r="AJ93" s="201">
        <v>44404.0</v>
      </c>
      <c r="AK93" s="200" t="s">
        <v>1232</v>
      </c>
      <c r="AL93" s="200" t="s">
        <v>1232</v>
      </c>
      <c r="AM93" s="200" t="s">
        <v>1204</v>
      </c>
      <c r="AN93" s="200" t="s">
        <v>257</v>
      </c>
      <c r="AO93" s="200" t="s">
        <v>1255</v>
      </c>
      <c r="AP93" s="202" t="s">
        <v>1152</v>
      </c>
      <c r="AQ93" s="200"/>
    </row>
    <row r="94">
      <c r="A94" s="135" t="s">
        <v>1547</v>
      </c>
      <c r="B94" s="135" t="s">
        <v>1548</v>
      </c>
      <c r="C94" s="135" t="str">
        <f>VLOOKUP(A94,import!A:C,3,0)</f>
        <v>DOĞRU</v>
      </c>
      <c r="D94" s="135" t="s">
        <v>1235</v>
      </c>
      <c r="E94" s="194" t="str">
        <f>VLOOKUP(A94,import!A:AA,5,0)</f>
        <v/>
      </c>
      <c r="F94" s="194" t="str">
        <f>VLOOKUP(A94,import!A:AA,6,0)</f>
        <v/>
      </c>
      <c r="G94" s="135">
        <f>VLOOKUP(A94,import!A:AA,7,0)</f>
        <v>0</v>
      </c>
      <c r="H94" s="135">
        <f>VLOOKUP(A94,import!A:AA,8,0)</f>
        <v>14</v>
      </c>
      <c r="I94" s="135">
        <f>VLOOKUP(A94,import!A:AA,9,0)</f>
        <v>14</v>
      </c>
      <c r="J94" s="195">
        <f>VLOOKUP(A94,import!A:AA,10,0)</f>
        <v>0</v>
      </c>
      <c r="K94" s="135" t="s">
        <v>1549</v>
      </c>
      <c r="L94" s="135">
        <v>5.536324854E9</v>
      </c>
      <c r="M94" s="135" t="s">
        <v>1147</v>
      </c>
      <c r="N94" s="135" t="s">
        <v>1157</v>
      </c>
      <c r="O94" s="135" t="s">
        <v>967</v>
      </c>
      <c r="P94" s="135" t="str">
        <f>VLOOKUP(A94,import!A:P,16,0)</f>
        <v>Geleneksel</v>
      </c>
      <c r="Q94" s="196"/>
      <c r="R94" s="196" t="b">
        <v>0</v>
      </c>
      <c r="S94" s="196" t="b">
        <v>0</v>
      </c>
      <c r="T94" s="197"/>
      <c r="U94" s="197"/>
      <c r="V94" s="197"/>
      <c r="W94" s="197"/>
      <c r="X94" s="198"/>
      <c r="Y94" s="198"/>
      <c r="Z94" s="199"/>
      <c r="AA94" s="200"/>
      <c r="AB94" s="201"/>
      <c r="AC94" s="199"/>
      <c r="AD94" s="199"/>
      <c r="AE94" s="105"/>
      <c r="AF94" s="199"/>
      <c r="AG94" s="105"/>
      <c r="AH94" s="199"/>
      <c r="AI94" s="199"/>
      <c r="AJ94" s="199"/>
      <c r="AK94" s="200"/>
      <c r="AL94" s="199"/>
      <c r="AM94" s="199"/>
      <c r="AN94" s="199"/>
      <c r="AO94" s="199"/>
      <c r="AP94" s="202"/>
      <c r="AQ94" s="199"/>
    </row>
    <row r="95">
      <c r="A95" s="135" t="s">
        <v>1550</v>
      </c>
      <c r="B95" s="135" t="s">
        <v>1551</v>
      </c>
      <c r="C95" s="135" t="str">
        <f>VLOOKUP(A95,import!A:C,3,0)</f>
        <v>DOĞRU</v>
      </c>
      <c r="D95" s="135" t="s">
        <v>1235</v>
      </c>
      <c r="E95" s="194">
        <f>VLOOKUP(A95,import!A:AA,5,0)</f>
        <v>223</v>
      </c>
      <c r="F95" s="194">
        <f>VLOOKUP(A95,import!A:AA,6,0)</f>
        <v>2</v>
      </c>
      <c r="G95" s="135">
        <f>VLOOKUP(A95,import!A:AA,7,0)</f>
        <v>0</v>
      </c>
      <c r="H95" s="135">
        <f>VLOOKUP(A95,import!A:AA,8,0)</f>
        <v>29</v>
      </c>
      <c r="I95" s="135">
        <f>VLOOKUP(A95,import!A:AA,9,0)</f>
        <v>29</v>
      </c>
      <c r="J95" s="195">
        <f>VLOOKUP(A95,import!A:AA,10,0)</f>
        <v>0</v>
      </c>
      <c r="K95" s="135" t="s">
        <v>1552</v>
      </c>
      <c r="L95" s="135">
        <v>5.332115721E9</v>
      </c>
      <c r="M95" s="135" t="s">
        <v>1147</v>
      </c>
      <c r="N95" s="135" t="s">
        <v>1148</v>
      </c>
      <c r="O95" s="135" t="s">
        <v>1553</v>
      </c>
      <c r="P95" s="135" t="str">
        <f>VLOOKUP(A95,import!A:P,16,0)</f>
        <v>Geleneksel</v>
      </c>
      <c r="Q95" s="196"/>
      <c r="R95" s="196" t="b">
        <v>1</v>
      </c>
      <c r="S95" s="196" t="b">
        <v>1</v>
      </c>
      <c r="T95" s="197"/>
      <c r="U95" s="197"/>
      <c r="V95" s="197"/>
      <c r="W95" s="197" t="s">
        <v>1554</v>
      </c>
      <c r="X95" s="198"/>
      <c r="Y95" s="198"/>
      <c r="Z95" s="199"/>
      <c r="AA95" s="200" t="s">
        <v>1151</v>
      </c>
      <c r="AB95" s="201">
        <v>44351.0</v>
      </c>
      <c r="AC95" s="200" t="s">
        <v>1151</v>
      </c>
      <c r="AD95" s="201">
        <v>44379.0</v>
      </c>
      <c r="AE95" s="200" t="s">
        <v>1151</v>
      </c>
      <c r="AF95" s="201">
        <v>44405.0</v>
      </c>
      <c r="AG95" s="105"/>
      <c r="AH95" s="199"/>
      <c r="AI95" s="199"/>
      <c r="AJ95" s="199"/>
      <c r="AK95" s="200" t="s">
        <v>1232</v>
      </c>
      <c r="AL95" s="200" t="s">
        <v>257</v>
      </c>
      <c r="AM95" s="200" t="s">
        <v>1255</v>
      </c>
      <c r="AN95" s="199"/>
      <c r="AO95" s="199"/>
      <c r="AP95" s="202" t="s">
        <v>1152</v>
      </c>
      <c r="AQ95" s="199"/>
    </row>
    <row r="96">
      <c r="A96" s="135" t="s">
        <v>991</v>
      </c>
      <c r="B96" s="135" t="s">
        <v>992</v>
      </c>
      <c r="C96" s="135" t="str">
        <f>VLOOKUP(A96,import!A:C,3,0)</f>
        <v>DOĞRU</v>
      </c>
      <c r="D96" s="135" t="s">
        <v>1235</v>
      </c>
      <c r="E96" s="194">
        <f>VLOOKUP(A96,import!A:AA,5,0)</f>
        <v>698</v>
      </c>
      <c r="F96" s="194">
        <f>VLOOKUP(A96,import!A:AA,6,0)</f>
        <v>44</v>
      </c>
      <c r="G96" s="135">
        <f>VLOOKUP(A96,import!A:AA,7,0)</f>
        <v>0</v>
      </c>
      <c r="H96" s="135">
        <f>VLOOKUP(A96,import!A:AA,8,0)</f>
        <v>30</v>
      </c>
      <c r="I96" s="135">
        <f>VLOOKUP(A96,import!A:AA,9,0)</f>
        <v>30</v>
      </c>
      <c r="J96" s="195">
        <f>VLOOKUP(A96,import!A:AA,10,0)</f>
        <v>0</v>
      </c>
      <c r="K96" s="135" t="s">
        <v>1555</v>
      </c>
      <c r="L96" s="135">
        <v>5.413592818E9</v>
      </c>
      <c r="M96" s="135" t="s">
        <v>1172</v>
      </c>
      <c r="N96" s="135" t="s">
        <v>1556</v>
      </c>
      <c r="O96" s="135" t="s">
        <v>994</v>
      </c>
      <c r="P96" s="135" t="str">
        <f>VLOOKUP(A96,import!A:P,16,0)</f>
        <v>Geleneksel</v>
      </c>
      <c r="Q96" s="196"/>
      <c r="R96" s="196" t="b">
        <v>1</v>
      </c>
      <c r="S96" s="196" t="b">
        <v>0</v>
      </c>
      <c r="T96" s="197" t="s">
        <v>1289</v>
      </c>
      <c r="U96" s="197" t="s">
        <v>1161</v>
      </c>
      <c r="V96" s="207" t="s">
        <v>940</v>
      </c>
      <c r="W96" s="197" t="s">
        <v>1557</v>
      </c>
      <c r="X96" s="198">
        <v>44607.0</v>
      </c>
      <c r="Y96" s="198">
        <v>44608.0</v>
      </c>
      <c r="Z96" s="199"/>
      <c r="AA96" s="200" t="s">
        <v>1151</v>
      </c>
      <c r="AB96" s="201">
        <v>44607.0</v>
      </c>
      <c r="AC96" s="200" t="s">
        <v>1254</v>
      </c>
      <c r="AD96" s="201">
        <v>44621.0</v>
      </c>
      <c r="AE96" s="105"/>
      <c r="AF96" s="199"/>
      <c r="AG96" s="105"/>
      <c r="AH96" s="199"/>
      <c r="AI96" s="199"/>
      <c r="AJ96" s="199"/>
      <c r="AK96" s="200" t="s">
        <v>1161</v>
      </c>
      <c r="AL96" s="200" t="s">
        <v>1024</v>
      </c>
      <c r="AM96" s="199"/>
      <c r="AN96" s="199"/>
      <c r="AO96" s="199"/>
      <c r="AP96" s="202" t="s">
        <v>1152</v>
      </c>
      <c r="AQ96" s="199"/>
    </row>
    <row r="97">
      <c r="A97" s="135" t="s">
        <v>569</v>
      </c>
      <c r="B97" s="135" t="s">
        <v>570</v>
      </c>
      <c r="C97" s="135" t="str">
        <f>VLOOKUP(A97,import!A:C,3,0)</f>
        <v>DOĞRU</v>
      </c>
      <c r="D97" s="135" t="s">
        <v>1302</v>
      </c>
      <c r="E97" s="194">
        <f>VLOOKUP(A97,import!A:AA,5,0)</f>
        <v>179</v>
      </c>
      <c r="F97" s="194" t="str">
        <f>VLOOKUP(A97,import!A:AA,6,0)</f>
        <v/>
      </c>
      <c r="G97" s="135">
        <f>VLOOKUP(A97,import!A:AA,7,0)</f>
        <v>1</v>
      </c>
      <c r="H97" s="135">
        <f>VLOOKUP(A97,import!A:AA,8,0)</f>
        <v>5</v>
      </c>
      <c r="I97" s="135">
        <f>VLOOKUP(A97,import!A:AA,9,0)</f>
        <v>6</v>
      </c>
      <c r="J97" s="195">
        <f>VLOOKUP(A97,import!A:AA,10,0)</f>
        <v>0.17</v>
      </c>
      <c r="K97" s="135" t="s">
        <v>1558</v>
      </c>
      <c r="L97" s="135">
        <v>5.325640364E9</v>
      </c>
      <c r="M97" s="135" t="s">
        <v>1147</v>
      </c>
      <c r="N97" s="135" t="s">
        <v>1164</v>
      </c>
      <c r="O97" s="135" t="s">
        <v>568</v>
      </c>
      <c r="P97" s="135" t="str">
        <f>VLOOKUP(A97,import!A:P,16,0)</f>
        <v>Geleneksel</v>
      </c>
      <c r="Q97" s="196"/>
      <c r="R97" s="196" t="b">
        <v>1</v>
      </c>
      <c r="S97" s="196" t="b">
        <v>0</v>
      </c>
      <c r="T97" s="197" t="s">
        <v>1165</v>
      </c>
      <c r="U97" s="197" t="s">
        <v>257</v>
      </c>
      <c r="V97" s="197" t="s">
        <v>91</v>
      </c>
      <c r="W97" s="197" t="s">
        <v>1559</v>
      </c>
      <c r="X97" s="198">
        <v>44340.0</v>
      </c>
      <c r="Y97" s="198">
        <v>44343.0</v>
      </c>
      <c r="Z97" s="199"/>
      <c r="AA97" s="200" t="s">
        <v>1202</v>
      </c>
      <c r="AB97" s="201">
        <v>44376.0</v>
      </c>
      <c r="AC97" s="200" t="s">
        <v>1151</v>
      </c>
      <c r="AD97" s="201">
        <v>44383.0</v>
      </c>
      <c r="AE97" s="105"/>
      <c r="AF97" s="199"/>
      <c r="AG97" s="105"/>
      <c r="AH97" s="199"/>
      <c r="AI97" s="199"/>
      <c r="AJ97" s="199"/>
      <c r="AK97" s="200" t="s">
        <v>1167</v>
      </c>
      <c r="AL97" s="200" t="s">
        <v>189</v>
      </c>
      <c r="AM97" s="199"/>
      <c r="AN97" s="199"/>
      <c r="AO97" s="199"/>
      <c r="AP97" s="202" t="s">
        <v>1152</v>
      </c>
      <c r="AQ97" s="199"/>
    </row>
    <row r="98">
      <c r="A98" s="135" t="s">
        <v>285</v>
      </c>
      <c r="B98" s="135" t="s">
        <v>286</v>
      </c>
      <c r="C98" s="135" t="str">
        <f>VLOOKUP(A98,import!A:C,3,0)</f>
        <v>DOĞRU</v>
      </c>
      <c r="D98" s="135" t="s">
        <v>1155</v>
      </c>
      <c r="E98" s="194">
        <f>VLOOKUP(A98,import!A:AA,5,0)</f>
        <v>906</v>
      </c>
      <c r="F98" s="194" t="str">
        <f>VLOOKUP(A98,import!A:AA,6,0)</f>
        <v/>
      </c>
      <c r="G98" s="135">
        <f>VLOOKUP(A98,import!A:AA,7,0)</f>
        <v>14</v>
      </c>
      <c r="H98" s="135">
        <f>VLOOKUP(A98,import!A:AA,8,0)</f>
        <v>10</v>
      </c>
      <c r="I98" s="135">
        <f>VLOOKUP(A98,import!A:AA,9,0)</f>
        <v>24</v>
      </c>
      <c r="J98" s="195">
        <f>VLOOKUP(A98,import!A:AA,10,0)</f>
        <v>0.58</v>
      </c>
      <c r="K98" s="135" t="s">
        <v>1560</v>
      </c>
      <c r="L98" s="135">
        <v>5.340794102E9</v>
      </c>
      <c r="M98" s="135" t="s">
        <v>1147</v>
      </c>
      <c r="N98" s="135" t="s">
        <v>1200</v>
      </c>
      <c r="O98" s="135" t="s">
        <v>289</v>
      </c>
      <c r="P98" s="135" t="str">
        <f>VLOOKUP(A98,import!A:P,16,0)</f>
        <v>Geleneksel</v>
      </c>
      <c r="Q98" s="196"/>
      <c r="R98" s="196" t="b">
        <v>1</v>
      </c>
      <c r="S98" s="196" t="b">
        <v>0</v>
      </c>
      <c r="T98" s="197" t="s">
        <v>1165</v>
      </c>
      <c r="U98" s="197" t="s">
        <v>257</v>
      </c>
      <c r="V98" s="197" t="s">
        <v>91</v>
      </c>
      <c r="W98" s="197" t="s">
        <v>1561</v>
      </c>
      <c r="X98" s="198">
        <v>44306.0</v>
      </c>
      <c r="Y98" s="198">
        <v>44307.0</v>
      </c>
      <c r="Z98" s="199"/>
      <c r="AA98" s="199"/>
      <c r="AB98" s="199"/>
      <c r="AC98" s="199"/>
      <c r="AD98" s="199"/>
      <c r="AE98" s="105"/>
      <c r="AF98" s="199"/>
      <c r="AG98" s="105"/>
      <c r="AH98" s="199"/>
      <c r="AI98" s="199"/>
      <c r="AJ98" s="199"/>
      <c r="AK98" s="199"/>
      <c r="AL98" s="199"/>
      <c r="AM98" s="199"/>
      <c r="AN98" s="199"/>
      <c r="AO98" s="199"/>
      <c r="AP98" s="202" t="s">
        <v>1152</v>
      </c>
      <c r="AQ98" s="199"/>
    </row>
    <row r="99">
      <c r="A99" s="135" t="s">
        <v>1562</v>
      </c>
      <c r="B99" s="135" t="s">
        <v>347</v>
      </c>
      <c r="C99" s="135" t="str">
        <f>VLOOKUP(A99,import!A:C,3,0)</f>
        <v>DOĞRU</v>
      </c>
      <c r="D99" s="135" t="s">
        <v>1145</v>
      </c>
      <c r="E99" s="194">
        <f>VLOOKUP(A99,import!A:AA,5,0)</f>
        <v>5251</v>
      </c>
      <c r="F99" s="194">
        <f>VLOOKUP(A99,import!A:AA,6,0)</f>
        <v>160</v>
      </c>
      <c r="G99" s="135">
        <f>VLOOKUP(A99,import!A:AA,7,0)</f>
        <v>0</v>
      </c>
      <c r="H99" s="135">
        <f>VLOOKUP(A99,import!A:AA,8,0)</f>
        <v>26</v>
      </c>
      <c r="I99" s="135">
        <f>VLOOKUP(A99,import!A:AA,9,0)</f>
        <v>26</v>
      </c>
      <c r="J99" s="195">
        <f>VLOOKUP(A99,import!A:AA,10,0)</f>
        <v>0</v>
      </c>
      <c r="K99" s="135" t="s">
        <v>1563</v>
      </c>
      <c r="L99" s="135">
        <v>5.335030112E9</v>
      </c>
      <c r="M99" s="135" t="s">
        <v>1147</v>
      </c>
      <c r="N99" s="135" t="s">
        <v>1200</v>
      </c>
      <c r="O99" s="135" t="s">
        <v>1564</v>
      </c>
      <c r="P99" s="135" t="str">
        <f>VLOOKUP(A99,import!A:P,16,0)</f>
        <v>Geleneksel</v>
      </c>
      <c r="Q99" s="196"/>
      <c r="R99" s="196" t="b">
        <v>1</v>
      </c>
      <c r="S99" s="196" t="b">
        <v>0</v>
      </c>
      <c r="T99" s="197" t="s">
        <v>1275</v>
      </c>
      <c r="U99" s="197"/>
      <c r="V99" s="197"/>
      <c r="W99" s="197" t="s">
        <v>1565</v>
      </c>
      <c r="X99" s="198"/>
      <c r="Y99" s="198"/>
      <c r="Z99" s="199"/>
      <c r="AA99" s="199"/>
      <c r="AB99" s="199"/>
      <c r="AC99" s="199"/>
      <c r="AD99" s="199"/>
      <c r="AE99" s="105"/>
      <c r="AF99" s="199"/>
      <c r="AG99" s="105"/>
      <c r="AH99" s="199"/>
      <c r="AI99" s="199"/>
      <c r="AJ99" s="199"/>
      <c r="AK99" s="199"/>
      <c r="AL99" s="199"/>
      <c r="AM99" s="199"/>
      <c r="AN99" s="199"/>
      <c r="AO99" s="199"/>
      <c r="AP99" s="202" t="s">
        <v>1152</v>
      </c>
      <c r="AQ99" s="199"/>
    </row>
    <row r="100">
      <c r="A100" s="202" t="s">
        <v>1566</v>
      </c>
      <c r="B100" s="202" t="s">
        <v>1567</v>
      </c>
      <c r="C100" s="135" t="str">
        <f>VLOOKUP(A100,import!A:C,3,0)</f>
        <v>DOĞRU</v>
      </c>
      <c r="D100" s="202" t="s">
        <v>1145</v>
      </c>
      <c r="E100" s="194">
        <f>VLOOKUP(A100,import!A:AA,5,0)</f>
        <v>6</v>
      </c>
      <c r="F100" s="194">
        <f>VLOOKUP(A100,import!A:AA,6,0)</f>
        <v>6</v>
      </c>
      <c r="G100" s="135">
        <f>VLOOKUP(A100,import!A:AA,7,0)</f>
        <v>1</v>
      </c>
      <c r="H100" s="135">
        <f>VLOOKUP(A100,import!A:AA,8,0)</f>
        <v>72</v>
      </c>
      <c r="I100" s="135">
        <f>VLOOKUP(A100,import!A:AA,9,0)</f>
        <v>73</v>
      </c>
      <c r="J100" s="195">
        <f>VLOOKUP(A100,import!A:AA,10,0)</f>
        <v>0.01</v>
      </c>
      <c r="K100" s="202" t="s">
        <v>1568</v>
      </c>
      <c r="L100" s="202">
        <v>5.323924197E9</v>
      </c>
      <c r="M100" s="202" t="s">
        <v>1147</v>
      </c>
      <c r="N100" s="202" t="s">
        <v>1362</v>
      </c>
      <c r="O100" s="202" t="s">
        <v>1569</v>
      </c>
      <c r="P100" s="135" t="str">
        <f>VLOOKUP(A100,import!A:P,16,0)</f>
        <v>Geleneksel</v>
      </c>
      <c r="Q100" s="196"/>
      <c r="R100" s="196" t="b">
        <v>0</v>
      </c>
      <c r="S100" s="196" t="b">
        <v>0</v>
      </c>
      <c r="T100" s="197"/>
      <c r="U100" s="197"/>
      <c r="V100" s="197"/>
      <c r="W100" s="197"/>
      <c r="X100" s="198"/>
      <c r="Y100" s="198"/>
      <c r="Z100" s="199"/>
      <c r="AA100" s="200"/>
      <c r="AB100" s="201"/>
      <c r="AC100" s="199"/>
      <c r="AD100" s="199"/>
      <c r="AE100" s="105"/>
      <c r="AF100" s="199"/>
      <c r="AG100" s="105"/>
      <c r="AH100" s="199"/>
      <c r="AI100" s="199"/>
      <c r="AJ100" s="199"/>
      <c r="AK100" s="200"/>
      <c r="AL100" s="199"/>
      <c r="AM100" s="199"/>
      <c r="AN100" s="199"/>
      <c r="AO100" s="199"/>
      <c r="AP100" s="202"/>
      <c r="AQ100" s="199"/>
    </row>
    <row r="101">
      <c r="A101" s="135" t="s">
        <v>190</v>
      </c>
      <c r="B101" s="135" t="s">
        <v>191</v>
      </c>
      <c r="C101" s="135" t="str">
        <f>VLOOKUP(A101,import!A:C,3,0)</f>
        <v>DOĞRU</v>
      </c>
      <c r="D101" s="135" t="s">
        <v>1155</v>
      </c>
      <c r="E101" s="194">
        <f>VLOOKUP(A101,import!A:AA,5,0)</f>
        <v>970</v>
      </c>
      <c r="F101" s="194">
        <f>VLOOKUP(A101,import!A:AA,6,0)</f>
        <v>22</v>
      </c>
      <c r="G101" s="135">
        <f>VLOOKUP(A101,import!A:AA,7,0)</f>
        <v>13</v>
      </c>
      <c r="H101" s="135">
        <f>VLOOKUP(A101,import!A:AA,8,0)</f>
        <v>33</v>
      </c>
      <c r="I101" s="135">
        <f>VLOOKUP(A101,import!A:AA,9,0)</f>
        <v>46</v>
      </c>
      <c r="J101" s="195">
        <f>VLOOKUP(A101,import!A:AA,10,0)</f>
        <v>0.28</v>
      </c>
      <c r="K101" s="135" t="s">
        <v>1570</v>
      </c>
      <c r="L101" s="135">
        <v>5.541794954E9</v>
      </c>
      <c r="M101" s="135" t="s">
        <v>1147</v>
      </c>
      <c r="N101" s="135" t="s">
        <v>1451</v>
      </c>
      <c r="O101" s="135" t="s">
        <v>194</v>
      </c>
      <c r="P101" s="135" t="str">
        <f>VLOOKUP(A101,import!A:P,16,0)</f>
        <v>Geleneksel</v>
      </c>
      <c r="Q101" s="196"/>
      <c r="R101" s="196" t="b">
        <v>1</v>
      </c>
      <c r="S101" s="196" t="b">
        <v>0</v>
      </c>
      <c r="T101" s="197" t="s">
        <v>1165</v>
      </c>
      <c r="U101" s="197" t="s">
        <v>92</v>
      </c>
      <c r="V101" s="197" t="s">
        <v>91</v>
      </c>
      <c r="W101" s="197" t="s">
        <v>1571</v>
      </c>
      <c r="X101" s="198">
        <v>44299.0</v>
      </c>
      <c r="Y101" s="198">
        <v>44300.0</v>
      </c>
      <c r="Z101" s="199"/>
      <c r="AA101" s="200" t="s">
        <v>1151</v>
      </c>
      <c r="AB101" s="201">
        <v>44351.0</v>
      </c>
      <c r="AC101" s="200" t="s">
        <v>1151</v>
      </c>
      <c r="AD101" s="201">
        <v>44358.0</v>
      </c>
      <c r="AE101" s="105"/>
      <c r="AF101" s="199"/>
      <c r="AG101" s="105"/>
      <c r="AH101" s="199"/>
      <c r="AI101" s="199"/>
      <c r="AJ101" s="199"/>
      <c r="AK101" s="200" t="s">
        <v>257</v>
      </c>
      <c r="AL101" s="200" t="s">
        <v>1167</v>
      </c>
      <c r="AM101" s="199"/>
      <c r="AN101" s="199"/>
      <c r="AO101" s="199"/>
      <c r="AP101" s="202" t="s">
        <v>1152</v>
      </c>
      <c r="AQ101" s="199"/>
    </row>
    <row r="102">
      <c r="A102" s="135" t="s">
        <v>1572</v>
      </c>
      <c r="B102" s="135" t="s">
        <v>1573</v>
      </c>
      <c r="C102" s="135" t="str">
        <f>VLOOKUP(A102,import!A:C,3,0)</f>
        <v>DOĞRU</v>
      </c>
      <c r="D102" s="135" t="s">
        <v>1220</v>
      </c>
      <c r="E102" s="194">
        <f>VLOOKUP(A102,import!A:AA,5,0)</f>
        <v>469</v>
      </c>
      <c r="F102" s="194">
        <f>VLOOKUP(A102,import!A:AA,6,0)</f>
        <v>9</v>
      </c>
      <c r="G102" s="135">
        <f>VLOOKUP(A102,import!A:AA,7,0)</f>
        <v>0</v>
      </c>
      <c r="H102" s="135">
        <f>VLOOKUP(A102,import!A:AA,8,0)</f>
        <v>37</v>
      </c>
      <c r="I102" s="135">
        <f>VLOOKUP(A102,import!A:AA,9,0)</f>
        <v>37</v>
      </c>
      <c r="J102" s="195">
        <f>VLOOKUP(A102,import!A:AA,10,0)</f>
        <v>0</v>
      </c>
      <c r="K102" s="135" t="s">
        <v>1574</v>
      </c>
      <c r="L102" s="135">
        <v>5.55675197E9</v>
      </c>
      <c r="M102" s="135" t="s">
        <v>1147</v>
      </c>
      <c r="N102" s="135" t="s">
        <v>1148</v>
      </c>
      <c r="O102" s="135" t="s">
        <v>1212</v>
      </c>
      <c r="P102" s="135" t="str">
        <f>VLOOKUP(A102,import!A:P,16,0)</f>
        <v>Geleneksel</v>
      </c>
      <c r="Q102" s="196"/>
      <c r="R102" s="196" t="b">
        <v>1</v>
      </c>
      <c r="S102" s="196" t="b">
        <v>1</v>
      </c>
      <c r="T102" s="212"/>
      <c r="U102" s="212"/>
      <c r="V102" s="212"/>
      <c r="W102" s="211" t="s">
        <v>1575</v>
      </c>
      <c r="X102" s="213"/>
      <c r="Y102" s="213"/>
      <c r="Z102" s="199"/>
      <c r="AA102" s="200" t="s">
        <v>1151</v>
      </c>
      <c r="AB102" s="201">
        <v>44354.0</v>
      </c>
      <c r="AC102" s="200" t="s">
        <v>1151</v>
      </c>
      <c r="AD102" s="201">
        <v>44379.0</v>
      </c>
      <c r="AE102" s="200" t="s">
        <v>1151</v>
      </c>
      <c r="AF102" s="201">
        <v>44405.0</v>
      </c>
      <c r="AG102" s="105"/>
      <c r="AH102" s="199"/>
      <c r="AI102" s="199"/>
      <c r="AJ102" s="199"/>
      <c r="AK102" s="200" t="s">
        <v>189</v>
      </c>
      <c r="AL102" s="200" t="s">
        <v>257</v>
      </c>
      <c r="AM102" s="200" t="s">
        <v>1255</v>
      </c>
      <c r="AN102" s="199"/>
      <c r="AO102" s="199"/>
      <c r="AP102" s="202" t="s">
        <v>1152</v>
      </c>
      <c r="AQ102" s="199"/>
    </row>
    <row r="103">
      <c r="A103" s="135" t="s">
        <v>1576</v>
      </c>
      <c r="B103" s="135" t="s">
        <v>1577</v>
      </c>
      <c r="C103" s="135" t="str">
        <f>VLOOKUP(A103,import!A:C,3,0)</f>
        <v>YANLIŞ</v>
      </c>
      <c r="D103" s="135" t="s">
        <v>1175</v>
      </c>
      <c r="E103" s="194" t="str">
        <f>VLOOKUP(A103,import!A:AA,5,0)</f>
        <v/>
      </c>
      <c r="F103" s="194" t="str">
        <f>VLOOKUP(A103,import!A:AA,6,0)</f>
        <v/>
      </c>
      <c r="G103" s="135">
        <f>VLOOKUP(A103,import!A:AA,7,0)</f>
        <v>0</v>
      </c>
      <c r="H103" s="135">
        <f>VLOOKUP(A103,import!A:AA,8,0)</f>
        <v>24</v>
      </c>
      <c r="I103" s="135">
        <f>VLOOKUP(A103,import!A:AA,9,0)</f>
        <v>24</v>
      </c>
      <c r="J103" s="195">
        <f>VLOOKUP(A103,import!A:AA,10,0)</f>
        <v>0</v>
      </c>
      <c r="K103" s="135" t="s">
        <v>1578</v>
      </c>
      <c r="L103" s="135">
        <v>2.642810506E9</v>
      </c>
      <c r="M103" s="135" t="s">
        <v>1172</v>
      </c>
      <c r="N103" s="135" t="s">
        <v>1300</v>
      </c>
      <c r="O103" s="135" t="s">
        <v>1579</v>
      </c>
      <c r="P103" s="135" t="str">
        <f>VLOOKUP(A103,import!A:P,16,0)</f>
        <v>Geleneksel</v>
      </c>
      <c r="Q103" s="196"/>
      <c r="R103" s="196" t="b">
        <v>0</v>
      </c>
      <c r="S103" s="196" t="b">
        <v>0</v>
      </c>
      <c r="T103" s="197"/>
      <c r="U103" s="197"/>
      <c r="V103" s="197"/>
      <c r="W103" s="197"/>
      <c r="X103" s="198"/>
      <c r="Y103" s="198"/>
      <c r="Z103" s="199"/>
      <c r="AA103" s="200"/>
      <c r="AB103" s="201"/>
      <c r="AC103" s="199"/>
      <c r="AD103" s="199"/>
      <c r="AE103" s="105"/>
      <c r="AF103" s="199"/>
      <c r="AG103" s="105"/>
      <c r="AH103" s="199"/>
      <c r="AI103" s="199"/>
      <c r="AJ103" s="199"/>
      <c r="AK103" s="200"/>
      <c r="AL103" s="199"/>
      <c r="AM103" s="199"/>
      <c r="AN103" s="199"/>
      <c r="AO103" s="199"/>
      <c r="AP103" s="202"/>
      <c r="AQ103" s="199"/>
    </row>
    <row r="104">
      <c r="A104" s="135" t="s">
        <v>450</v>
      </c>
      <c r="B104" s="135" t="s">
        <v>451</v>
      </c>
      <c r="C104" s="135" t="str">
        <f>VLOOKUP(A104,import!A:C,3,0)</f>
        <v>DOĞRU</v>
      </c>
      <c r="D104" s="135" t="s">
        <v>1170</v>
      </c>
      <c r="E104" s="194">
        <f>VLOOKUP(A104,import!A:AA,5,0)</f>
        <v>784</v>
      </c>
      <c r="F104" s="194">
        <f>VLOOKUP(A104,import!A:AA,6,0)</f>
        <v>23</v>
      </c>
      <c r="G104" s="135">
        <f>VLOOKUP(A104,import!A:AA,7,0)</f>
        <v>0</v>
      </c>
      <c r="H104" s="135">
        <f>VLOOKUP(A104,import!A:AA,8,0)</f>
        <v>62</v>
      </c>
      <c r="I104" s="135">
        <f>VLOOKUP(A104,import!A:AA,9,0)</f>
        <v>62</v>
      </c>
      <c r="J104" s="195">
        <f>VLOOKUP(A104,import!A:AA,10,0)</f>
        <v>0</v>
      </c>
      <c r="K104" s="135" t="s">
        <v>1580</v>
      </c>
      <c r="L104" s="135">
        <v>5.528375854E9</v>
      </c>
      <c r="M104" s="135" t="s">
        <v>1318</v>
      </c>
      <c r="N104" s="135" t="s">
        <v>1324</v>
      </c>
      <c r="O104" s="135" t="s">
        <v>455</v>
      </c>
      <c r="P104" s="135" t="str">
        <f>VLOOKUP(A104,import!A:P,16,0)</f>
        <v>Geleneksel</v>
      </c>
      <c r="Q104" s="196"/>
      <c r="R104" s="196" t="b">
        <v>1</v>
      </c>
      <c r="S104" s="196" t="b">
        <v>0</v>
      </c>
      <c r="T104" s="197" t="s">
        <v>1436</v>
      </c>
      <c r="U104" s="197" t="s">
        <v>189</v>
      </c>
      <c r="V104" s="197" t="s">
        <v>91</v>
      </c>
      <c r="W104" s="197" t="s">
        <v>1581</v>
      </c>
      <c r="X104" s="198">
        <v>44333.0</v>
      </c>
      <c r="Y104" s="198">
        <v>44335.0</v>
      </c>
      <c r="Z104" s="199"/>
      <c r="AA104" s="200" t="s">
        <v>1202</v>
      </c>
      <c r="AB104" s="201">
        <v>44375.0</v>
      </c>
      <c r="AC104" s="200" t="s">
        <v>1202</v>
      </c>
      <c r="AD104" s="201">
        <v>44375.0</v>
      </c>
      <c r="AE104" s="200" t="s">
        <v>1151</v>
      </c>
      <c r="AF104" s="201">
        <v>44404.0</v>
      </c>
      <c r="AG104" s="105"/>
      <c r="AH104" s="199"/>
      <c r="AI104" s="199"/>
      <c r="AJ104" s="199"/>
      <c r="AK104" s="200" t="s">
        <v>92</v>
      </c>
      <c r="AL104" s="200" t="s">
        <v>92</v>
      </c>
      <c r="AM104" s="199"/>
      <c r="AN104" s="199"/>
      <c r="AO104" s="199"/>
      <c r="AP104" s="202" t="s">
        <v>1152</v>
      </c>
      <c r="AQ104" s="199"/>
    </row>
    <row r="105">
      <c r="A105" s="135" t="s">
        <v>690</v>
      </c>
      <c r="B105" s="135" t="s">
        <v>691</v>
      </c>
      <c r="C105" s="135" t="str">
        <f>VLOOKUP(A105,import!A:C,3,0)</f>
        <v>DOĞRU</v>
      </c>
      <c r="D105" s="135" t="s">
        <v>1162</v>
      </c>
      <c r="E105" s="194">
        <f>VLOOKUP(A105,import!A:AA,5,0)</f>
        <v>2419</v>
      </c>
      <c r="F105" s="194">
        <f>VLOOKUP(A105,import!A:AA,6,0)</f>
        <v>12</v>
      </c>
      <c r="G105" s="135">
        <f>VLOOKUP(A105,import!A:AA,7,0)</f>
        <v>11</v>
      </c>
      <c r="H105" s="135">
        <f>VLOOKUP(A105,import!A:AA,8,0)</f>
        <v>27</v>
      </c>
      <c r="I105" s="135">
        <f>VLOOKUP(A105,import!A:AA,9,0)</f>
        <v>38</v>
      </c>
      <c r="J105" s="195">
        <f>VLOOKUP(A105,import!A:AA,10,0)</f>
        <v>0.29</v>
      </c>
      <c r="K105" s="135" t="s">
        <v>1582</v>
      </c>
      <c r="L105" s="135">
        <v>5.42811112E9</v>
      </c>
      <c r="M105" s="135" t="s">
        <v>1172</v>
      </c>
      <c r="N105" s="135" t="s">
        <v>1329</v>
      </c>
      <c r="O105" s="135" t="s">
        <v>694</v>
      </c>
      <c r="P105" s="135" t="str">
        <f>VLOOKUP(A105,import!A:P,16,0)</f>
        <v>Geleneksel</v>
      </c>
      <c r="Q105" s="196"/>
      <c r="R105" s="196" t="b">
        <v>1</v>
      </c>
      <c r="S105" s="196" t="b">
        <v>0</v>
      </c>
      <c r="T105" s="197" t="s">
        <v>1165</v>
      </c>
      <c r="U105" s="197" t="s">
        <v>1204</v>
      </c>
      <c r="V105" s="197" t="s">
        <v>91</v>
      </c>
      <c r="W105" s="197" t="s">
        <v>1583</v>
      </c>
      <c r="X105" s="198">
        <v>44350.0</v>
      </c>
      <c r="Y105" s="198">
        <v>44354.0</v>
      </c>
      <c r="Z105" s="199"/>
      <c r="AA105" s="200" t="s">
        <v>1151</v>
      </c>
      <c r="AB105" s="201">
        <v>44350.0</v>
      </c>
      <c r="AC105" s="199"/>
      <c r="AD105" s="199"/>
      <c r="AE105" s="105"/>
      <c r="AF105" s="199"/>
      <c r="AG105" s="105"/>
      <c r="AH105" s="199"/>
      <c r="AI105" s="199"/>
      <c r="AJ105" s="199"/>
      <c r="AK105" s="200" t="s">
        <v>1204</v>
      </c>
      <c r="AL105" s="199"/>
      <c r="AM105" s="199"/>
      <c r="AN105" s="199"/>
      <c r="AO105" s="199"/>
      <c r="AP105" s="202" t="s">
        <v>1152</v>
      </c>
      <c r="AQ105" s="199"/>
    </row>
    <row r="106">
      <c r="A106" s="135" t="s">
        <v>1584</v>
      </c>
      <c r="B106" s="135" t="s">
        <v>1585</v>
      </c>
      <c r="C106" s="135" t="str">
        <f>VLOOKUP(A106,import!A:C,3,0)</f>
        <v>DOĞRU</v>
      </c>
      <c r="D106" s="135" t="s">
        <v>1155</v>
      </c>
      <c r="E106" s="194">
        <f>VLOOKUP(A106,import!A:AA,5,0)</f>
        <v>2618</v>
      </c>
      <c r="F106" s="194">
        <f>VLOOKUP(A106,import!A:AA,6,0)</f>
        <v>135</v>
      </c>
      <c r="G106" s="135">
        <f>VLOOKUP(A106,import!A:AA,7,0)</f>
        <v>6</v>
      </c>
      <c r="H106" s="135">
        <f>VLOOKUP(A106,import!A:AA,8,0)</f>
        <v>28</v>
      </c>
      <c r="I106" s="135">
        <f>VLOOKUP(A106,import!A:AA,9,0)</f>
        <v>34</v>
      </c>
      <c r="J106" s="195">
        <f>VLOOKUP(A106,import!A:AA,10,0)</f>
        <v>0.18</v>
      </c>
      <c r="K106" s="135" t="s">
        <v>1586</v>
      </c>
      <c r="L106" s="135">
        <v>5.325453904E9</v>
      </c>
      <c r="M106" s="135" t="s">
        <v>1147</v>
      </c>
      <c r="N106" s="135" t="s">
        <v>1200</v>
      </c>
      <c r="O106" s="135" t="s">
        <v>1158</v>
      </c>
      <c r="P106" s="135" t="str">
        <f>VLOOKUP(A106,import!A:P,16,0)</f>
        <v>Geleneksel</v>
      </c>
      <c r="Q106" s="196"/>
      <c r="R106" s="196" t="b">
        <v>1</v>
      </c>
      <c r="S106" s="196" t="b">
        <v>0</v>
      </c>
      <c r="T106" s="197" t="s">
        <v>1275</v>
      </c>
      <c r="U106" s="197"/>
      <c r="V106" s="197"/>
      <c r="W106" s="197" t="s">
        <v>1587</v>
      </c>
      <c r="X106" s="198"/>
      <c r="Y106" s="198"/>
      <c r="Z106" s="199"/>
      <c r="AA106" s="200" t="s">
        <v>1151</v>
      </c>
      <c r="AB106" s="201">
        <v>44354.0</v>
      </c>
      <c r="AC106" s="199"/>
      <c r="AD106" s="199"/>
      <c r="AE106" s="105"/>
      <c r="AF106" s="199"/>
      <c r="AG106" s="105"/>
      <c r="AH106" s="199"/>
      <c r="AI106" s="199"/>
      <c r="AJ106" s="199"/>
      <c r="AK106" s="200" t="s">
        <v>189</v>
      </c>
      <c r="AL106" s="199"/>
      <c r="AM106" s="199"/>
      <c r="AN106" s="199"/>
      <c r="AO106" s="199"/>
      <c r="AP106" s="202" t="s">
        <v>1152</v>
      </c>
      <c r="AQ106" s="199"/>
    </row>
    <row r="107">
      <c r="A107" s="135" t="s">
        <v>531</v>
      </c>
      <c r="B107" s="135" t="s">
        <v>532</v>
      </c>
      <c r="C107" s="135" t="str">
        <f>VLOOKUP(A107,import!A:C,3,0)</f>
        <v>YANLIŞ</v>
      </c>
      <c r="D107" s="135" t="s">
        <v>1302</v>
      </c>
      <c r="E107" s="194">
        <f>VLOOKUP(A107,import!A:AA,5,0)</f>
        <v>253</v>
      </c>
      <c r="F107" s="194" t="str">
        <f>VLOOKUP(A107,import!A:AA,6,0)</f>
        <v/>
      </c>
      <c r="G107" s="135">
        <f>VLOOKUP(A107,import!A:AA,7,0)</f>
        <v>10</v>
      </c>
      <c r="H107" s="135">
        <f>VLOOKUP(A107,import!A:AA,8,0)</f>
        <v>14</v>
      </c>
      <c r="I107" s="135">
        <f>VLOOKUP(A107,import!A:AA,9,0)</f>
        <v>24</v>
      </c>
      <c r="J107" s="195">
        <f>VLOOKUP(A107,import!A:AA,10,0)</f>
        <v>0.42</v>
      </c>
      <c r="K107" s="135" t="s">
        <v>1588</v>
      </c>
      <c r="L107" s="135">
        <v>5.33216826E9</v>
      </c>
      <c r="M107" s="135" t="s">
        <v>1147</v>
      </c>
      <c r="N107" s="135" t="s">
        <v>1164</v>
      </c>
      <c r="O107" s="135" t="s">
        <v>598</v>
      </c>
      <c r="P107" s="135" t="str">
        <f>VLOOKUP(A107,import!A:P,16,0)</f>
        <v>Geleneksel</v>
      </c>
      <c r="Q107" s="196"/>
      <c r="R107" s="196" t="b">
        <v>1</v>
      </c>
      <c r="S107" s="196" t="b">
        <v>0</v>
      </c>
      <c r="T107" s="211" t="s">
        <v>1165</v>
      </c>
      <c r="U107" s="211" t="s">
        <v>189</v>
      </c>
      <c r="V107" s="211" t="s">
        <v>91</v>
      </c>
      <c r="W107" s="211" t="s">
        <v>1589</v>
      </c>
      <c r="X107" s="214">
        <v>44337.0</v>
      </c>
      <c r="Y107" s="214">
        <v>44341.0</v>
      </c>
      <c r="Z107" s="199"/>
      <c r="AA107" s="200" t="s">
        <v>1202</v>
      </c>
      <c r="AB107" s="201">
        <v>44376.0</v>
      </c>
      <c r="AC107" s="200" t="s">
        <v>1151</v>
      </c>
      <c r="AD107" s="201">
        <v>44383.0</v>
      </c>
      <c r="AE107" s="105"/>
      <c r="AF107" s="199"/>
      <c r="AG107" s="105"/>
      <c r="AH107" s="199"/>
      <c r="AI107" s="199"/>
      <c r="AJ107" s="199"/>
      <c r="AK107" s="200" t="s">
        <v>1167</v>
      </c>
      <c r="AL107" s="200" t="s">
        <v>189</v>
      </c>
      <c r="AM107" s="199"/>
      <c r="AN107" s="199"/>
      <c r="AO107" s="199"/>
      <c r="AP107" s="202" t="s">
        <v>1152</v>
      </c>
      <c r="AQ107" s="199"/>
    </row>
    <row r="108">
      <c r="A108" s="135" t="s">
        <v>596</v>
      </c>
      <c r="B108" s="135" t="s">
        <v>597</v>
      </c>
      <c r="C108" s="135" t="str">
        <f>VLOOKUP(A108,import!A:C,3,0)</f>
        <v>YANLIŞ</v>
      </c>
      <c r="D108" s="135" t="s">
        <v>1216</v>
      </c>
      <c r="E108" s="194">
        <f>VLOOKUP(A108,import!A:AA,5,0)</f>
        <v>1</v>
      </c>
      <c r="F108" s="194" t="str">
        <f>VLOOKUP(A108,import!A:AA,6,0)</f>
        <v/>
      </c>
      <c r="G108" s="135">
        <f>VLOOKUP(A108,import!A:AA,7,0)</f>
        <v>2</v>
      </c>
      <c r="H108" s="135">
        <f>VLOOKUP(A108,import!A:AA,8,0)</f>
        <v>4</v>
      </c>
      <c r="I108" s="135">
        <f>VLOOKUP(A108,import!A:AA,9,0)</f>
        <v>6</v>
      </c>
      <c r="J108" s="195">
        <f>VLOOKUP(A108,import!A:AA,10,0)</f>
        <v>0.33</v>
      </c>
      <c r="K108" s="135" t="s">
        <v>1588</v>
      </c>
      <c r="L108" s="135">
        <v>5.33216826E9</v>
      </c>
      <c r="M108" s="135" t="s">
        <v>1147</v>
      </c>
      <c r="N108" s="135" t="s">
        <v>1164</v>
      </c>
      <c r="O108" s="135" t="s">
        <v>598</v>
      </c>
      <c r="P108" s="135" t="str">
        <f>VLOOKUP(A108,import!A:P,16,0)</f>
        <v>Geleneksel</v>
      </c>
      <c r="Q108" s="196"/>
      <c r="R108" s="196" t="b">
        <v>1</v>
      </c>
      <c r="S108" s="196" t="b">
        <v>0</v>
      </c>
      <c r="T108" s="197" t="s">
        <v>1165</v>
      </c>
      <c r="U108" s="197" t="s">
        <v>189</v>
      </c>
      <c r="V108" s="197" t="s">
        <v>91</v>
      </c>
      <c r="W108" s="197" t="s">
        <v>1590</v>
      </c>
      <c r="X108" s="198">
        <v>44343.0</v>
      </c>
      <c r="Y108" s="198">
        <v>44347.0</v>
      </c>
      <c r="Z108" s="199"/>
      <c r="AA108" s="200" t="s">
        <v>1202</v>
      </c>
      <c r="AB108" s="201">
        <v>44376.0</v>
      </c>
      <c r="AC108" s="199"/>
      <c r="AD108" s="199"/>
      <c r="AE108" s="105"/>
      <c r="AF108" s="199"/>
      <c r="AG108" s="105"/>
      <c r="AH108" s="199"/>
      <c r="AI108" s="199"/>
      <c r="AJ108" s="199"/>
      <c r="AK108" s="200" t="s">
        <v>1167</v>
      </c>
      <c r="AL108" s="199"/>
      <c r="AM108" s="199"/>
      <c r="AN108" s="199"/>
      <c r="AO108" s="199"/>
      <c r="AP108" s="202" t="s">
        <v>1152</v>
      </c>
      <c r="AQ108" s="199"/>
    </row>
    <row r="109">
      <c r="A109" s="135" t="s">
        <v>556</v>
      </c>
      <c r="B109" s="135" t="s">
        <v>557</v>
      </c>
      <c r="C109" s="135" t="str">
        <f>VLOOKUP(A109,import!A:C,3,0)</f>
        <v>YANLIŞ</v>
      </c>
      <c r="D109" s="135" t="s">
        <v>1182</v>
      </c>
      <c r="E109" s="194">
        <f>VLOOKUP(A109,import!A:AA,5,0)</f>
        <v>201</v>
      </c>
      <c r="F109" s="194" t="str">
        <f>VLOOKUP(A109,import!A:AA,6,0)</f>
        <v/>
      </c>
      <c r="G109" s="135">
        <f>VLOOKUP(A109,import!A:AA,7,0)</f>
        <v>5</v>
      </c>
      <c r="H109" s="135">
        <f>VLOOKUP(A109,import!A:AA,8,0)</f>
        <v>2</v>
      </c>
      <c r="I109" s="135">
        <f>VLOOKUP(A109,import!A:AA,9,0)</f>
        <v>7</v>
      </c>
      <c r="J109" s="195">
        <f>VLOOKUP(A109,import!A:AA,10,0)</f>
        <v>0.71</v>
      </c>
      <c r="K109" s="135" t="s">
        <v>1591</v>
      </c>
      <c r="L109" s="135">
        <v>5.322802014E9</v>
      </c>
      <c r="M109" s="135" t="s">
        <v>1147</v>
      </c>
      <c r="N109" s="135" t="s">
        <v>1218</v>
      </c>
      <c r="O109" s="135" t="s">
        <v>560</v>
      </c>
      <c r="P109" s="135" t="str">
        <f>VLOOKUP(A109,import!A:P,16,0)</f>
        <v>Geleneksel</v>
      </c>
      <c r="Q109" s="196"/>
      <c r="R109" s="196" t="b">
        <v>1</v>
      </c>
      <c r="S109" s="196" t="b">
        <v>0</v>
      </c>
      <c r="T109" s="197" t="s">
        <v>1165</v>
      </c>
      <c r="U109" s="197" t="s">
        <v>257</v>
      </c>
      <c r="V109" s="197" t="s">
        <v>91</v>
      </c>
      <c r="W109" s="197"/>
      <c r="X109" s="198">
        <v>44341.0</v>
      </c>
      <c r="Y109" s="198">
        <v>44342.0</v>
      </c>
      <c r="Z109" s="199"/>
      <c r="AA109" s="199"/>
      <c r="AB109" s="199"/>
      <c r="AC109" s="199"/>
      <c r="AD109" s="199"/>
      <c r="AE109" s="105"/>
      <c r="AF109" s="199"/>
      <c r="AG109" s="105"/>
      <c r="AH109" s="199"/>
      <c r="AI109" s="199"/>
      <c r="AJ109" s="199"/>
      <c r="AK109" s="199"/>
      <c r="AL109" s="199"/>
      <c r="AM109" s="199"/>
      <c r="AN109" s="199"/>
      <c r="AO109" s="199"/>
      <c r="AP109" s="202" t="s">
        <v>1152</v>
      </c>
      <c r="AQ109" s="199"/>
    </row>
    <row r="110">
      <c r="A110" s="135" t="s">
        <v>1592</v>
      </c>
      <c r="B110" s="135" t="s">
        <v>1593</v>
      </c>
      <c r="C110" s="135" t="str">
        <f>VLOOKUP(A110,import!A:C,3,0)</f>
        <v>DOĞRU</v>
      </c>
      <c r="D110" s="135" t="s">
        <v>1182</v>
      </c>
      <c r="E110" s="194">
        <f>VLOOKUP(A110,import!A:AA,5,0)</f>
        <v>4</v>
      </c>
      <c r="F110" s="194" t="str">
        <f>VLOOKUP(A110,import!A:AA,6,0)</f>
        <v/>
      </c>
      <c r="G110" s="135">
        <f>VLOOKUP(A110,import!A:AA,7,0)</f>
        <v>8</v>
      </c>
      <c r="H110" s="135">
        <f>VLOOKUP(A110,import!A:AA,8,0)</f>
        <v>18</v>
      </c>
      <c r="I110" s="135">
        <f>VLOOKUP(A110,import!A:AA,9,0)</f>
        <v>26</v>
      </c>
      <c r="J110" s="195">
        <f>VLOOKUP(A110,import!A:AA,10,0)</f>
        <v>0.31</v>
      </c>
      <c r="K110" s="135" t="s">
        <v>1594</v>
      </c>
      <c r="L110" s="135">
        <v>5.077508907E9</v>
      </c>
      <c r="M110" s="135" t="s">
        <v>1147</v>
      </c>
      <c r="N110" s="135" t="s">
        <v>1148</v>
      </c>
      <c r="O110" s="135" t="s">
        <v>1595</v>
      </c>
      <c r="P110" s="135" t="str">
        <f>VLOOKUP(A110,import!A:P,16,0)</f>
        <v>Geleneksel</v>
      </c>
      <c r="Q110" s="196"/>
      <c r="R110" s="196" t="b">
        <v>1</v>
      </c>
      <c r="S110" s="196" t="b">
        <v>0</v>
      </c>
      <c r="T110" s="197" t="s">
        <v>1373</v>
      </c>
      <c r="U110" s="197"/>
      <c r="V110" s="210"/>
      <c r="W110" s="197"/>
      <c r="X110" s="198"/>
      <c r="Y110" s="198"/>
      <c r="Z110" s="199"/>
      <c r="AA110" s="200"/>
      <c r="AB110" s="201"/>
      <c r="AC110" s="199"/>
      <c r="AD110" s="199"/>
      <c r="AE110" s="105"/>
      <c r="AF110" s="199"/>
      <c r="AG110" s="105"/>
      <c r="AH110" s="199"/>
      <c r="AI110" s="199"/>
      <c r="AJ110" s="199"/>
      <c r="AK110" s="200"/>
      <c r="AL110" s="199"/>
      <c r="AM110" s="199"/>
      <c r="AN110" s="199"/>
      <c r="AO110" s="199"/>
      <c r="AP110" s="202"/>
      <c r="AQ110" s="199"/>
    </row>
    <row r="111">
      <c r="A111" s="135" t="s">
        <v>1596</v>
      </c>
      <c r="B111" s="135" t="s">
        <v>1597</v>
      </c>
      <c r="C111" s="135" t="str">
        <f>VLOOKUP(A111,import!A:C,3,0)</f>
        <v>DOĞRU</v>
      </c>
      <c r="D111" s="135" t="s">
        <v>1182</v>
      </c>
      <c r="E111" s="194">
        <f>VLOOKUP(A111,import!A:AA,5,0)</f>
        <v>1600</v>
      </c>
      <c r="F111" s="194">
        <f>VLOOKUP(A111,import!A:AA,6,0)</f>
        <v>16</v>
      </c>
      <c r="G111" s="135">
        <f>VLOOKUP(A111,import!A:AA,7,0)</f>
        <v>7</v>
      </c>
      <c r="H111" s="135">
        <f>VLOOKUP(A111,import!A:AA,8,0)</f>
        <v>10</v>
      </c>
      <c r="I111" s="135">
        <f>VLOOKUP(A111,import!A:AA,9,0)</f>
        <v>17</v>
      </c>
      <c r="J111" s="195">
        <f>VLOOKUP(A111,import!A:AA,10,0)</f>
        <v>0.41</v>
      </c>
      <c r="K111" s="135" t="s">
        <v>1574</v>
      </c>
      <c r="L111" s="135">
        <v>5.55675197E9</v>
      </c>
      <c r="M111" s="135" t="s">
        <v>1147</v>
      </c>
      <c r="N111" s="135" t="s">
        <v>1148</v>
      </c>
      <c r="O111" s="135" t="s">
        <v>1598</v>
      </c>
      <c r="P111" s="135" t="str">
        <f>VLOOKUP(A111,import!A:P,16,0)</f>
        <v>Geleneksel</v>
      </c>
      <c r="Q111" s="196"/>
      <c r="R111" s="196" t="b">
        <v>1</v>
      </c>
      <c r="S111" s="196" t="b">
        <v>1</v>
      </c>
      <c r="T111" s="212"/>
      <c r="U111" s="212"/>
      <c r="V111" s="212"/>
      <c r="W111" s="211" t="s">
        <v>1599</v>
      </c>
      <c r="X111" s="213"/>
      <c r="Y111" s="213"/>
      <c r="Z111" s="199"/>
      <c r="AA111" s="200" t="s">
        <v>1151</v>
      </c>
      <c r="AB111" s="201">
        <v>44351.0</v>
      </c>
      <c r="AC111" s="199"/>
      <c r="AD111" s="199"/>
      <c r="AE111" s="105"/>
      <c r="AF111" s="199"/>
      <c r="AG111" s="105"/>
      <c r="AH111" s="199"/>
      <c r="AI111" s="199"/>
      <c r="AJ111" s="199"/>
      <c r="AK111" s="200" t="s">
        <v>1232</v>
      </c>
      <c r="AL111" s="199"/>
      <c r="AM111" s="199"/>
      <c r="AN111" s="199"/>
      <c r="AO111" s="199"/>
      <c r="AP111" s="202" t="s">
        <v>1152</v>
      </c>
      <c r="AQ111" s="199"/>
    </row>
    <row r="112">
      <c r="A112" s="135" t="s">
        <v>1600</v>
      </c>
      <c r="B112" s="135" t="s">
        <v>1601</v>
      </c>
      <c r="C112" s="135" t="str">
        <f>VLOOKUP(A112,import!A:C,3,0)</f>
        <v>DOĞRU</v>
      </c>
      <c r="D112" s="135" t="s">
        <v>1182</v>
      </c>
      <c r="E112" s="194">
        <f>VLOOKUP(A112,import!A:AA,5,0)</f>
        <v>736</v>
      </c>
      <c r="F112" s="194">
        <f>VLOOKUP(A112,import!A:AA,6,0)</f>
        <v>55</v>
      </c>
      <c r="G112" s="135">
        <f>VLOOKUP(A112,import!A:AA,7,0)</f>
        <v>0</v>
      </c>
      <c r="H112" s="135">
        <f>VLOOKUP(A112,import!A:AA,8,0)</f>
        <v>18</v>
      </c>
      <c r="I112" s="135">
        <f>VLOOKUP(A112,import!A:AA,9,0)</f>
        <v>18</v>
      </c>
      <c r="J112" s="195">
        <f>VLOOKUP(A112,import!A:AA,10,0)</f>
        <v>0</v>
      </c>
      <c r="K112" s="135" t="s">
        <v>1602</v>
      </c>
      <c r="L112" s="135">
        <v>5.301123154E9</v>
      </c>
      <c r="M112" s="135" t="s">
        <v>1172</v>
      </c>
      <c r="N112" s="135" t="s">
        <v>1190</v>
      </c>
      <c r="O112" s="135" t="s">
        <v>1603</v>
      </c>
      <c r="P112" s="135" t="str">
        <f>VLOOKUP(A112,import!A:P,16,0)</f>
        <v>Geleneksel</v>
      </c>
      <c r="Q112" s="196"/>
      <c r="R112" s="196" t="b">
        <v>0</v>
      </c>
      <c r="S112" s="196" t="b">
        <v>0</v>
      </c>
      <c r="T112" s="197" t="s">
        <v>1373</v>
      </c>
      <c r="U112" s="197"/>
      <c r="V112" s="197"/>
      <c r="W112" s="197"/>
      <c r="X112" s="198"/>
      <c r="Y112" s="198"/>
      <c r="Z112" s="199"/>
      <c r="AA112" s="200"/>
      <c r="AB112" s="201"/>
      <c r="AC112" s="199"/>
      <c r="AD112" s="199"/>
      <c r="AE112" s="105"/>
      <c r="AF112" s="199"/>
      <c r="AG112" s="105"/>
      <c r="AH112" s="199"/>
      <c r="AI112" s="199"/>
      <c r="AJ112" s="199"/>
      <c r="AK112" s="200"/>
      <c r="AL112" s="199"/>
      <c r="AM112" s="199"/>
      <c r="AN112" s="199"/>
      <c r="AO112" s="199"/>
      <c r="AP112" s="202" t="s">
        <v>1152</v>
      </c>
      <c r="AQ112" s="199"/>
    </row>
    <row r="113">
      <c r="A113" s="135" t="s">
        <v>1604</v>
      </c>
      <c r="B113" s="135" t="s">
        <v>1605</v>
      </c>
      <c r="C113" s="135" t="str">
        <f>VLOOKUP(A113,import!A:C,3,0)</f>
        <v>DOĞRU</v>
      </c>
      <c r="D113" s="135" t="s">
        <v>1182</v>
      </c>
      <c r="E113" s="194">
        <f>VLOOKUP(A113,import!A:AA,5,0)</f>
        <v>1169</v>
      </c>
      <c r="F113" s="194">
        <f>VLOOKUP(A113,import!A:AA,6,0)</f>
        <v>12</v>
      </c>
      <c r="G113" s="135">
        <f>VLOOKUP(A113,import!A:AA,7,0)</f>
        <v>5</v>
      </c>
      <c r="H113" s="135">
        <f>VLOOKUP(A113,import!A:AA,8,0)</f>
        <v>5</v>
      </c>
      <c r="I113" s="135">
        <f>VLOOKUP(A113,import!A:AA,9,0)</f>
        <v>10</v>
      </c>
      <c r="J113" s="195">
        <f>VLOOKUP(A113,import!A:AA,10,0)</f>
        <v>0.5</v>
      </c>
      <c r="K113" s="135" t="s">
        <v>1606</v>
      </c>
      <c r="L113" s="135">
        <v>5.323976523E9</v>
      </c>
      <c r="M113" s="135" t="s">
        <v>1177</v>
      </c>
      <c r="N113" s="135" t="s">
        <v>1607</v>
      </c>
      <c r="O113" s="135" t="s">
        <v>1608</v>
      </c>
      <c r="P113" s="135" t="str">
        <f>VLOOKUP(A113,import!A:P,16,0)</f>
        <v>Geleneksel</v>
      </c>
      <c r="Q113" s="196"/>
      <c r="R113" s="196" t="b">
        <v>0</v>
      </c>
      <c r="S113" s="196" t="b">
        <v>0</v>
      </c>
      <c r="T113" s="197" t="s">
        <v>1373</v>
      </c>
      <c r="U113" s="197"/>
      <c r="V113" s="197"/>
      <c r="W113" s="197"/>
      <c r="X113" s="198"/>
      <c r="Y113" s="198"/>
      <c r="Z113" s="199"/>
      <c r="AA113" s="199"/>
      <c r="AB113" s="199"/>
      <c r="AC113" s="199"/>
      <c r="AD113" s="199"/>
      <c r="AE113" s="105"/>
      <c r="AF113" s="199"/>
      <c r="AG113" s="105"/>
      <c r="AH113" s="199"/>
      <c r="AI113" s="199"/>
      <c r="AJ113" s="199"/>
      <c r="AK113" s="199"/>
      <c r="AL113" s="199"/>
      <c r="AM113" s="199"/>
      <c r="AN113" s="199"/>
      <c r="AO113" s="199"/>
      <c r="AP113" s="202" t="s">
        <v>1152</v>
      </c>
      <c r="AQ113" s="199"/>
    </row>
    <row r="114">
      <c r="A114" s="135" t="s">
        <v>1609</v>
      </c>
      <c r="B114" s="135" t="s">
        <v>1610</v>
      </c>
      <c r="C114" s="135" t="str">
        <f>VLOOKUP(A114,import!A:C,3,0)</f>
        <v>DOĞRU</v>
      </c>
      <c r="D114" s="135" t="s">
        <v>1182</v>
      </c>
      <c r="E114" s="194">
        <f>VLOOKUP(A114,import!A:AA,5,0)</f>
        <v>95</v>
      </c>
      <c r="F114" s="194">
        <f>VLOOKUP(A114,import!A:AA,6,0)</f>
        <v>26</v>
      </c>
      <c r="G114" s="135">
        <f>VLOOKUP(A114,import!A:AA,7,0)</f>
        <v>10</v>
      </c>
      <c r="H114" s="135">
        <f>VLOOKUP(A114,import!A:AA,8,0)</f>
        <v>2</v>
      </c>
      <c r="I114" s="135">
        <f>VLOOKUP(A114,import!A:AA,9,0)</f>
        <v>12</v>
      </c>
      <c r="J114" s="195">
        <f>VLOOKUP(A114,import!A:AA,10,0)</f>
        <v>0.83</v>
      </c>
      <c r="K114" s="135" t="s">
        <v>1611</v>
      </c>
      <c r="L114" s="135">
        <v>5.422802397E9</v>
      </c>
      <c r="M114" s="135" t="s">
        <v>1147</v>
      </c>
      <c r="N114" s="135" t="s">
        <v>1148</v>
      </c>
      <c r="O114" s="135" t="s">
        <v>1612</v>
      </c>
      <c r="P114" s="135" t="str">
        <f>VLOOKUP(A114,import!A:P,16,0)</f>
        <v>Geleneksel</v>
      </c>
      <c r="Q114" s="196"/>
      <c r="R114" s="196" t="b">
        <v>0</v>
      </c>
      <c r="S114" s="196" t="b">
        <v>0</v>
      </c>
      <c r="T114" s="197"/>
      <c r="U114" s="197"/>
      <c r="V114" s="197"/>
      <c r="W114" s="197"/>
      <c r="X114" s="198"/>
      <c r="Y114" s="198"/>
      <c r="Z114" s="199"/>
      <c r="AA114" s="200"/>
      <c r="AB114" s="201"/>
      <c r="AC114" s="199"/>
      <c r="AD114" s="199"/>
      <c r="AE114" s="105"/>
      <c r="AF114" s="199"/>
      <c r="AG114" s="105"/>
      <c r="AH114" s="199"/>
      <c r="AI114" s="199"/>
      <c r="AJ114" s="199"/>
      <c r="AK114" s="200"/>
      <c r="AL114" s="199"/>
      <c r="AM114" s="199"/>
      <c r="AN114" s="199"/>
      <c r="AO114" s="199"/>
      <c r="AP114" s="202"/>
      <c r="AQ114" s="199"/>
    </row>
    <row r="115">
      <c r="A115" s="135" t="s">
        <v>1613</v>
      </c>
      <c r="B115" s="135" t="s">
        <v>1614</v>
      </c>
      <c r="C115" s="135" t="str">
        <f>VLOOKUP(A115,import!A:C,3,0)</f>
        <v>DOĞRU</v>
      </c>
      <c r="D115" s="135" t="s">
        <v>1182</v>
      </c>
      <c r="E115" s="194">
        <f>VLOOKUP(A115,import!A:AA,5,0)</f>
        <v>5</v>
      </c>
      <c r="F115" s="194" t="str">
        <f>VLOOKUP(A115,import!A:AA,6,0)</f>
        <v/>
      </c>
      <c r="G115" s="135">
        <f>VLOOKUP(A115,import!A:AA,7,0)</f>
        <v>6</v>
      </c>
      <c r="H115" s="135">
        <f>VLOOKUP(A115,import!A:AA,8,0)</f>
        <v>1</v>
      </c>
      <c r="I115" s="135">
        <f>VLOOKUP(A115,import!A:AA,9,0)</f>
        <v>7</v>
      </c>
      <c r="J115" s="195">
        <f>VLOOKUP(A115,import!A:AA,10,0)</f>
        <v>0.86</v>
      </c>
      <c r="K115" s="135" t="s">
        <v>1615</v>
      </c>
      <c r="L115" s="135">
        <v>5.372643754E9</v>
      </c>
      <c r="M115" s="135" t="s">
        <v>1147</v>
      </c>
      <c r="N115" s="135" t="s">
        <v>1616</v>
      </c>
      <c r="O115" s="135" t="s">
        <v>309</v>
      </c>
      <c r="P115" s="135" t="str">
        <f>VLOOKUP(A115,import!A:P,16,0)</f>
        <v>Geleneksel</v>
      </c>
      <c r="Q115" s="196"/>
      <c r="R115" s="196" t="b">
        <v>0</v>
      </c>
      <c r="S115" s="196" t="b">
        <v>0</v>
      </c>
      <c r="T115" s="197" t="s">
        <v>1373</v>
      </c>
      <c r="U115" s="197"/>
      <c r="V115" s="204"/>
      <c r="W115" s="197"/>
      <c r="X115" s="198"/>
      <c r="Y115" s="198"/>
      <c r="Z115" s="199"/>
      <c r="AA115" s="199"/>
      <c r="AB115" s="199"/>
      <c r="AC115" s="199"/>
      <c r="AD115" s="199"/>
      <c r="AE115" s="105"/>
      <c r="AF115" s="199"/>
      <c r="AG115" s="105"/>
      <c r="AH115" s="199"/>
      <c r="AI115" s="199"/>
      <c r="AJ115" s="199"/>
      <c r="AK115" s="199"/>
      <c r="AL115" s="199"/>
      <c r="AM115" s="199"/>
      <c r="AN115" s="199"/>
      <c r="AO115" s="199"/>
      <c r="AP115" s="202" t="s">
        <v>1152</v>
      </c>
      <c r="AQ115" s="199"/>
    </row>
    <row r="116">
      <c r="A116" s="135" t="s">
        <v>1617</v>
      </c>
      <c r="B116" s="135" t="s">
        <v>1618</v>
      </c>
      <c r="C116" s="135" t="str">
        <f>VLOOKUP(A116,import!A:C,3,0)</f>
        <v>DOĞRU</v>
      </c>
      <c r="D116" s="135" t="s">
        <v>1182</v>
      </c>
      <c r="E116" s="194">
        <f>VLOOKUP(A116,import!A:AA,5,0)</f>
        <v>1290</v>
      </c>
      <c r="F116" s="194" t="str">
        <f>VLOOKUP(A116,import!A:AA,6,0)</f>
        <v/>
      </c>
      <c r="G116" s="135">
        <f>VLOOKUP(A116,import!A:AA,7,0)</f>
        <v>5</v>
      </c>
      <c r="H116" s="135">
        <f>VLOOKUP(A116,import!A:AA,8,0)</f>
        <v>6</v>
      </c>
      <c r="I116" s="135">
        <f>VLOOKUP(A116,import!A:AA,9,0)</f>
        <v>11</v>
      </c>
      <c r="J116" s="195">
        <f>VLOOKUP(A116,import!A:AA,10,0)</f>
        <v>0.45</v>
      </c>
      <c r="K116" s="135" t="s">
        <v>1619</v>
      </c>
      <c r="L116" s="135">
        <v>5.41723107E9</v>
      </c>
      <c r="M116" s="135" t="s">
        <v>1147</v>
      </c>
      <c r="N116" s="135" t="s">
        <v>1200</v>
      </c>
      <c r="O116" s="135" t="s">
        <v>541</v>
      </c>
      <c r="P116" s="135" t="str">
        <f>VLOOKUP(A116,import!A:P,16,0)</f>
        <v>Geleneksel</v>
      </c>
      <c r="Q116" s="196"/>
      <c r="R116" s="196" t="b">
        <v>1</v>
      </c>
      <c r="S116" s="196" t="b">
        <v>0</v>
      </c>
      <c r="T116" s="197" t="s">
        <v>1251</v>
      </c>
      <c r="U116" s="204"/>
      <c r="V116" s="197"/>
      <c r="W116" s="197"/>
      <c r="X116" s="206"/>
      <c r="Y116" s="206"/>
      <c r="Z116" s="199"/>
      <c r="AA116" s="199"/>
      <c r="AB116" s="199"/>
      <c r="AC116" s="199"/>
      <c r="AD116" s="199"/>
      <c r="AE116" s="105"/>
      <c r="AF116" s="199"/>
      <c r="AG116" s="105"/>
      <c r="AH116" s="199"/>
      <c r="AI116" s="199"/>
      <c r="AJ116" s="199"/>
      <c r="AK116" s="199"/>
      <c r="AL116" s="199"/>
      <c r="AM116" s="199"/>
      <c r="AN116" s="199"/>
      <c r="AO116" s="199"/>
      <c r="AP116" s="202" t="s">
        <v>1152</v>
      </c>
      <c r="AQ116" s="199"/>
    </row>
    <row r="117">
      <c r="A117" s="135" t="s">
        <v>1620</v>
      </c>
      <c r="B117" s="135" t="s">
        <v>1621</v>
      </c>
      <c r="C117" s="135" t="str">
        <f>VLOOKUP(A117,import!A:C,3,0)</f>
        <v>YANLIŞ</v>
      </c>
      <c r="D117" s="135" t="s">
        <v>1182</v>
      </c>
      <c r="E117" s="194">
        <f>VLOOKUP(A117,import!A:AA,5,0)</f>
        <v>797</v>
      </c>
      <c r="F117" s="194" t="str">
        <f>VLOOKUP(A117,import!A:AA,6,0)</f>
        <v/>
      </c>
      <c r="G117" s="135">
        <f>VLOOKUP(A117,import!A:AA,7,0)</f>
        <v>8</v>
      </c>
      <c r="H117" s="135">
        <f>VLOOKUP(A117,import!A:AA,8,0)</f>
        <v>6</v>
      </c>
      <c r="I117" s="135">
        <f>VLOOKUP(A117,import!A:AA,9,0)</f>
        <v>14</v>
      </c>
      <c r="J117" s="195">
        <f>VLOOKUP(A117,import!A:AA,10,0)</f>
        <v>0.57</v>
      </c>
      <c r="K117" s="135" t="s">
        <v>1622</v>
      </c>
      <c r="L117" s="135">
        <v>5.386020191E9</v>
      </c>
      <c r="M117" s="135" t="s">
        <v>1147</v>
      </c>
      <c r="N117" s="135" t="s">
        <v>1164</v>
      </c>
      <c r="O117" s="135" t="s">
        <v>1623</v>
      </c>
      <c r="P117" s="135" t="str">
        <f>VLOOKUP(A117,import!A:P,16,0)</f>
        <v>Geleneksel</v>
      </c>
      <c r="Q117" s="196"/>
      <c r="R117" s="196" t="b">
        <v>1</v>
      </c>
      <c r="S117" s="196" t="b">
        <v>0</v>
      </c>
      <c r="T117" s="197" t="s">
        <v>1373</v>
      </c>
      <c r="U117" s="204"/>
      <c r="V117" s="204"/>
      <c r="W117" s="197"/>
      <c r="X117" s="206"/>
      <c r="Y117" s="206"/>
      <c r="Z117" s="199"/>
      <c r="AA117" s="200" t="s">
        <v>1151</v>
      </c>
      <c r="AB117" s="201">
        <v>44371.0</v>
      </c>
      <c r="AC117" s="199"/>
      <c r="AD117" s="199"/>
      <c r="AE117" s="105"/>
      <c r="AF117" s="199"/>
      <c r="AG117" s="105"/>
      <c r="AH117" s="199"/>
      <c r="AI117" s="199"/>
      <c r="AJ117" s="199"/>
      <c r="AK117" s="200" t="s">
        <v>1204</v>
      </c>
      <c r="AL117" s="199"/>
      <c r="AM117" s="199"/>
      <c r="AN117" s="199"/>
      <c r="AO117" s="199"/>
      <c r="AP117" s="202" t="s">
        <v>1152</v>
      </c>
      <c r="AQ117" s="199"/>
    </row>
    <row r="118">
      <c r="A118" s="135" t="s">
        <v>794</v>
      </c>
      <c r="B118" s="135" t="s">
        <v>795</v>
      </c>
      <c r="C118" s="135" t="str">
        <f>VLOOKUP(A118,import!A:C,3,0)</f>
        <v>DOĞRU</v>
      </c>
      <c r="D118" s="135" t="s">
        <v>1182</v>
      </c>
      <c r="E118" s="194">
        <f>VLOOKUP(A118,import!A:AA,5,0)</f>
        <v>147</v>
      </c>
      <c r="F118" s="194" t="str">
        <f>VLOOKUP(A118,import!A:AA,6,0)</f>
        <v/>
      </c>
      <c r="G118" s="135">
        <f>VLOOKUP(A118,import!A:AA,7,0)</f>
        <v>1</v>
      </c>
      <c r="H118" s="135">
        <f>VLOOKUP(A118,import!A:AA,8,0)</f>
        <v>7</v>
      </c>
      <c r="I118" s="135">
        <f>VLOOKUP(A118,import!A:AA,9,0)</f>
        <v>8</v>
      </c>
      <c r="J118" s="195">
        <f>VLOOKUP(A118,import!A:AA,10,0)</f>
        <v>0.13</v>
      </c>
      <c r="K118" s="135" t="s">
        <v>1624</v>
      </c>
      <c r="L118" s="135">
        <v>5.377807454E9</v>
      </c>
      <c r="M118" s="135" t="s">
        <v>1172</v>
      </c>
      <c r="N118" s="135" t="s">
        <v>1300</v>
      </c>
      <c r="O118" s="135" t="s">
        <v>797</v>
      </c>
      <c r="P118" s="135" t="str">
        <f>VLOOKUP(A118,import!A:P,16,0)</f>
        <v>Geleneksel</v>
      </c>
      <c r="Q118" s="196"/>
      <c r="R118" s="196" t="b">
        <v>1</v>
      </c>
      <c r="S118" s="196" t="b">
        <v>0</v>
      </c>
      <c r="T118" s="197" t="s">
        <v>1165</v>
      </c>
      <c r="U118" s="197" t="s">
        <v>1278</v>
      </c>
      <c r="V118" s="197" t="s">
        <v>91</v>
      </c>
      <c r="W118" s="197"/>
      <c r="X118" s="198">
        <v>44362.0</v>
      </c>
      <c r="Y118" s="198">
        <v>44365.0</v>
      </c>
      <c r="Z118" s="199"/>
      <c r="AA118" s="200" t="s">
        <v>1151</v>
      </c>
      <c r="AB118" s="201">
        <v>44362.0</v>
      </c>
      <c r="AC118" s="199"/>
      <c r="AD118" s="199"/>
      <c r="AE118" s="105"/>
      <c r="AF118" s="199"/>
      <c r="AG118" s="105"/>
      <c r="AH118" s="199"/>
      <c r="AI118" s="199"/>
      <c r="AJ118" s="199"/>
      <c r="AK118" s="200" t="s">
        <v>1278</v>
      </c>
      <c r="AL118" s="199"/>
      <c r="AM118" s="199"/>
      <c r="AN118" s="199"/>
      <c r="AO118" s="199"/>
      <c r="AP118" s="202" t="s">
        <v>1152</v>
      </c>
      <c r="AQ118" s="199"/>
    </row>
    <row r="119">
      <c r="A119" s="202" t="s">
        <v>1625</v>
      </c>
      <c r="B119" s="202" t="s">
        <v>1626</v>
      </c>
      <c r="C119" s="135" t="str">
        <f>VLOOKUP(A119,import!A:C,3,0)</f>
        <v>DOĞRU</v>
      </c>
      <c r="D119" s="202" t="s">
        <v>1170</v>
      </c>
      <c r="E119" s="194">
        <f>VLOOKUP(A119,import!A:AA,5,0)</f>
        <v>2</v>
      </c>
      <c r="F119" s="194">
        <f>VLOOKUP(A119,import!A:AA,6,0)</f>
        <v>1</v>
      </c>
      <c r="G119" s="135">
        <f>VLOOKUP(A119,import!A:AA,7,0)</f>
        <v>0</v>
      </c>
      <c r="H119" s="135">
        <f>VLOOKUP(A119,import!A:AA,8,0)</f>
        <v>13</v>
      </c>
      <c r="I119" s="135">
        <f>VLOOKUP(A119,import!A:AA,9,0)</f>
        <v>13</v>
      </c>
      <c r="J119" s="195">
        <f>VLOOKUP(A119,import!A:AA,10,0)</f>
        <v>0</v>
      </c>
      <c r="K119" s="202" t="s">
        <v>1627</v>
      </c>
      <c r="L119" s="202">
        <v>5.516440757E9</v>
      </c>
      <c r="M119" s="202" t="s">
        <v>1177</v>
      </c>
      <c r="N119" s="202" t="s">
        <v>1184</v>
      </c>
      <c r="O119" s="202" t="s">
        <v>1185</v>
      </c>
      <c r="P119" s="135" t="str">
        <f>VLOOKUP(A119,import!A:P,16,0)</f>
        <v>Geleneksel</v>
      </c>
      <c r="Q119" s="196"/>
      <c r="R119" s="196" t="b">
        <v>0</v>
      </c>
      <c r="S119" s="196" t="b">
        <v>0</v>
      </c>
      <c r="T119" s="197"/>
      <c r="U119" s="197"/>
      <c r="V119" s="197"/>
      <c r="W119" s="197"/>
      <c r="X119" s="198"/>
      <c r="Y119" s="198"/>
      <c r="Z119" s="199"/>
      <c r="AA119" s="215"/>
      <c r="AB119" s="201"/>
      <c r="AC119" s="199"/>
      <c r="AD119" s="199"/>
      <c r="AE119" s="105"/>
      <c r="AF119" s="199"/>
      <c r="AG119" s="105"/>
      <c r="AH119" s="199"/>
      <c r="AI119" s="199"/>
      <c r="AJ119" s="199"/>
      <c r="AK119" s="200"/>
      <c r="AL119" s="199"/>
      <c r="AM119" s="199"/>
      <c r="AN119" s="199"/>
      <c r="AO119" s="199"/>
      <c r="AP119" s="202"/>
      <c r="AQ119" s="199"/>
    </row>
    <row r="120">
      <c r="A120" s="135" t="s">
        <v>1628</v>
      </c>
      <c r="B120" s="135" t="s">
        <v>1629</v>
      </c>
      <c r="C120" s="135" t="str">
        <f>VLOOKUP(A120,import!A:C,3,0)</f>
        <v>YANLIŞ</v>
      </c>
      <c r="D120" s="135" t="s">
        <v>1182</v>
      </c>
      <c r="E120" s="194">
        <f>VLOOKUP(A120,import!A:AA,5,0)</f>
        <v>204</v>
      </c>
      <c r="F120" s="194" t="str">
        <f>VLOOKUP(A120,import!A:AA,6,0)</f>
        <v/>
      </c>
      <c r="G120" s="135">
        <f>VLOOKUP(A120,import!A:AA,7,0)</f>
        <v>6</v>
      </c>
      <c r="H120" s="135">
        <f>VLOOKUP(A120,import!A:AA,8,0)</f>
        <v>2</v>
      </c>
      <c r="I120" s="135">
        <f>VLOOKUP(A120,import!A:AA,9,0)</f>
        <v>8</v>
      </c>
      <c r="J120" s="195">
        <f>VLOOKUP(A120,import!A:AA,10,0)</f>
        <v>0.75</v>
      </c>
      <c r="K120" s="135" t="s">
        <v>1630</v>
      </c>
      <c r="L120" s="135">
        <v>5.399342723E9</v>
      </c>
      <c r="M120" s="135" t="s">
        <v>1177</v>
      </c>
      <c r="N120" s="135" t="s">
        <v>1607</v>
      </c>
      <c r="O120" s="135" t="s">
        <v>117</v>
      </c>
      <c r="P120" s="135" t="str">
        <f>VLOOKUP(A120,import!A:P,16,0)</f>
        <v>Geleneksel</v>
      </c>
      <c r="Q120" s="196"/>
      <c r="R120" s="196" t="b">
        <v>1</v>
      </c>
      <c r="S120" s="196" t="b">
        <v>1</v>
      </c>
      <c r="T120" s="197" t="s">
        <v>1202</v>
      </c>
      <c r="U120" s="197"/>
      <c r="V120" s="197"/>
      <c r="W120" s="211" t="s">
        <v>1631</v>
      </c>
      <c r="X120" s="198"/>
      <c r="Y120" s="198"/>
      <c r="Z120" s="199"/>
      <c r="AA120" s="215" t="s">
        <v>1151</v>
      </c>
      <c r="AB120" s="201">
        <v>44371.0</v>
      </c>
      <c r="AC120" s="200" t="s">
        <v>1151</v>
      </c>
      <c r="AD120" s="201">
        <v>44378.0</v>
      </c>
      <c r="AE120" s="105"/>
      <c r="AF120" s="199"/>
      <c r="AG120" s="105"/>
      <c r="AH120" s="199"/>
      <c r="AI120" s="199"/>
      <c r="AJ120" s="199"/>
      <c r="AK120" s="200" t="s">
        <v>1204</v>
      </c>
      <c r="AL120" s="200" t="s">
        <v>1232</v>
      </c>
      <c r="AM120" s="199"/>
      <c r="AN120" s="199"/>
      <c r="AO120" s="199"/>
      <c r="AP120" s="202" t="s">
        <v>1152</v>
      </c>
      <c r="AQ120" s="199"/>
    </row>
    <row r="121">
      <c r="A121" s="135" t="s">
        <v>1632</v>
      </c>
      <c r="B121" s="135" t="s">
        <v>1633</v>
      </c>
      <c r="C121" s="135" t="str">
        <f>VLOOKUP(A121,import!A:C,3,0)</f>
        <v>DOĞRU</v>
      </c>
      <c r="D121" s="135" t="s">
        <v>1182</v>
      </c>
      <c r="E121" s="194">
        <f>VLOOKUP(A121,import!A:AA,5,0)</f>
        <v>621</v>
      </c>
      <c r="F121" s="194">
        <f>VLOOKUP(A121,import!A:AA,6,0)</f>
        <v>19</v>
      </c>
      <c r="G121" s="135">
        <f>VLOOKUP(A121,import!A:AA,7,0)</f>
        <v>8</v>
      </c>
      <c r="H121" s="135">
        <f>VLOOKUP(A121,import!A:AA,8,0)</f>
        <v>1</v>
      </c>
      <c r="I121" s="135">
        <f>VLOOKUP(A121,import!A:AA,9,0)</f>
        <v>9</v>
      </c>
      <c r="J121" s="195">
        <f>VLOOKUP(A121,import!A:AA,10,0)</f>
        <v>0.89</v>
      </c>
      <c r="K121" s="135" t="s">
        <v>1580</v>
      </c>
      <c r="L121" s="135">
        <v>5.528375854E9</v>
      </c>
      <c r="M121" s="135" t="s">
        <v>1318</v>
      </c>
      <c r="N121" s="135" t="s">
        <v>1324</v>
      </c>
      <c r="O121" s="135" t="s">
        <v>455</v>
      </c>
      <c r="P121" s="135" t="str">
        <f>VLOOKUP(A121,import!A:P,16,0)</f>
        <v>Geleneksel</v>
      </c>
      <c r="Q121" s="196"/>
      <c r="R121" s="196" t="b">
        <v>0</v>
      </c>
      <c r="S121" s="196" t="b">
        <v>0</v>
      </c>
      <c r="T121" s="197" t="s">
        <v>1373</v>
      </c>
      <c r="U121" s="197"/>
      <c r="V121" s="197"/>
      <c r="W121" s="197" t="s">
        <v>1412</v>
      </c>
      <c r="X121" s="198"/>
      <c r="Y121" s="198"/>
      <c r="Z121" s="199"/>
      <c r="AA121" s="199"/>
      <c r="AB121" s="199"/>
      <c r="AC121" s="199"/>
      <c r="AD121" s="199"/>
      <c r="AE121" s="105"/>
      <c r="AF121" s="199"/>
      <c r="AG121" s="105"/>
      <c r="AH121" s="199"/>
      <c r="AI121" s="199"/>
      <c r="AJ121" s="199"/>
      <c r="AK121" s="199"/>
      <c r="AL121" s="199"/>
      <c r="AM121" s="199"/>
      <c r="AN121" s="199"/>
      <c r="AO121" s="199"/>
      <c r="AP121" s="202" t="s">
        <v>1152</v>
      </c>
      <c r="AQ121" s="199"/>
    </row>
    <row r="122">
      <c r="A122" s="135" t="s">
        <v>885</v>
      </c>
      <c r="B122" s="135" t="s">
        <v>886</v>
      </c>
      <c r="C122" s="135" t="str">
        <f>VLOOKUP(A122,import!A:C,3,0)</f>
        <v>YANLIŞ</v>
      </c>
      <c r="D122" s="135" t="s">
        <v>1182</v>
      </c>
      <c r="E122" s="194">
        <f>VLOOKUP(A122,import!A:AA,5,0)</f>
        <v>1</v>
      </c>
      <c r="F122" s="194" t="str">
        <f>VLOOKUP(A122,import!A:AA,6,0)</f>
        <v/>
      </c>
      <c r="G122" s="135">
        <f>VLOOKUP(A122,import!A:AA,7,0)</f>
        <v>8</v>
      </c>
      <c r="H122" s="135">
        <f>VLOOKUP(A122,import!A:AA,8,0)</f>
        <v>6</v>
      </c>
      <c r="I122" s="135">
        <f>VLOOKUP(A122,import!A:AA,9,0)</f>
        <v>14</v>
      </c>
      <c r="J122" s="195">
        <f>VLOOKUP(A122,import!A:AA,10,0)</f>
        <v>0.57</v>
      </c>
      <c r="K122" s="135" t="s">
        <v>1634</v>
      </c>
      <c r="L122" s="135">
        <v>5.301786658E9</v>
      </c>
      <c r="M122" s="135" t="s">
        <v>1147</v>
      </c>
      <c r="N122" s="135" t="s">
        <v>1218</v>
      </c>
      <c r="O122" s="135" t="s">
        <v>889</v>
      </c>
      <c r="P122" s="135" t="str">
        <f>VLOOKUP(A122,import!A:P,16,0)</f>
        <v>Geleneksel</v>
      </c>
      <c r="Q122" s="196"/>
      <c r="R122" s="196" t="b">
        <v>1</v>
      </c>
      <c r="S122" s="196" t="b">
        <v>0</v>
      </c>
      <c r="T122" s="197" t="s">
        <v>1165</v>
      </c>
      <c r="U122" s="197" t="s">
        <v>189</v>
      </c>
      <c r="V122" s="197"/>
      <c r="W122" s="197"/>
      <c r="X122" s="198">
        <v>44376.0</v>
      </c>
      <c r="Y122" s="198">
        <v>44377.0</v>
      </c>
      <c r="Z122" s="199"/>
      <c r="AA122" s="200" t="s">
        <v>1151</v>
      </c>
      <c r="AB122" s="201">
        <v>44376.0</v>
      </c>
      <c r="AC122" s="199"/>
      <c r="AD122" s="199"/>
      <c r="AE122" s="105"/>
      <c r="AF122" s="199"/>
      <c r="AG122" s="105"/>
      <c r="AH122" s="199"/>
      <c r="AI122" s="199"/>
      <c r="AJ122" s="199"/>
      <c r="AK122" s="200" t="s">
        <v>189</v>
      </c>
      <c r="AL122" s="199"/>
      <c r="AM122" s="199"/>
      <c r="AN122" s="199"/>
      <c r="AO122" s="199"/>
      <c r="AP122" s="202" t="s">
        <v>1152</v>
      </c>
      <c r="AQ122" s="199"/>
    </row>
    <row r="123">
      <c r="A123" s="135" t="s">
        <v>428</v>
      </c>
      <c r="B123" s="135" t="s">
        <v>429</v>
      </c>
      <c r="C123" s="135" t="str">
        <f>VLOOKUP(A123,import!A:C,3,0)</f>
        <v>DOĞRU</v>
      </c>
      <c r="D123" s="135" t="s">
        <v>1182</v>
      </c>
      <c r="E123" s="194">
        <f>VLOOKUP(A123,import!A:AA,5,0)</f>
        <v>1211</v>
      </c>
      <c r="F123" s="194">
        <f>VLOOKUP(A123,import!A:AA,6,0)</f>
        <v>41</v>
      </c>
      <c r="G123" s="135">
        <f>VLOOKUP(A123,import!A:AA,7,0)</f>
        <v>16</v>
      </c>
      <c r="H123" s="135">
        <f>VLOOKUP(A123,import!A:AA,8,0)</f>
        <v>18</v>
      </c>
      <c r="I123" s="135">
        <f>VLOOKUP(A123,import!A:AA,9,0)</f>
        <v>34</v>
      </c>
      <c r="J123" s="195">
        <f>VLOOKUP(A123,import!A:AA,10,0)</f>
        <v>0.47</v>
      </c>
      <c r="K123" s="135" t="s">
        <v>1635</v>
      </c>
      <c r="L123" s="135">
        <v>5.468133406E9</v>
      </c>
      <c r="M123" s="135" t="s">
        <v>1318</v>
      </c>
      <c r="N123" s="135" t="s">
        <v>1636</v>
      </c>
      <c r="O123" s="135" t="s">
        <v>432</v>
      </c>
      <c r="P123" s="135" t="str">
        <f>VLOOKUP(A123,import!A:P,16,0)</f>
        <v>Geleneksel</v>
      </c>
      <c r="Q123" s="196"/>
      <c r="R123" s="196" t="b">
        <v>1</v>
      </c>
      <c r="S123" s="196" t="b">
        <v>0</v>
      </c>
      <c r="T123" s="197" t="s">
        <v>1165</v>
      </c>
      <c r="U123" s="197" t="s">
        <v>189</v>
      </c>
      <c r="V123" s="197" t="s">
        <v>91</v>
      </c>
      <c r="W123" s="197" t="s">
        <v>1637</v>
      </c>
      <c r="X123" s="198">
        <v>44333.0</v>
      </c>
      <c r="Y123" s="198">
        <v>44333.0</v>
      </c>
      <c r="Z123" s="199"/>
      <c r="AA123" s="200" t="s">
        <v>1151</v>
      </c>
      <c r="AB123" s="201">
        <v>44375.0</v>
      </c>
      <c r="AC123" s="199"/>
      <c r="AD123" s="199"/>
      <c r="AE123" s="105"/>
      <c r="AF123" s="199"/>
      <c r="AG123" s="105"/>
      <c r="AH123" s="199"/>
      <c r="AI123" s="199"/>
      <c r="AJ123" s="199"/>
      <c r="AK123" s="200" t="s">
        <v>92</v>
      </c>
      <c r="AL123" s="199"/>
      <c r="AM123" s="199"/>
      <c r="AN123" s="199"/>
      <c r="AO123" s="199"/>
      <c r="AP123" s="202" t="s">
        <v>1152</v>
      </c>
      <c r="AQ123" s="199"/>
    </row>
    <row r="124">
      <c r="A124" s="135" t="s">
        <v>1638</v>
      </c>
      <c r="B124" s="135" t="s">
        <v>1639</v>
      </c>
      <c r="C124" s="135" t="str">
        <f>VLOOKUP(A124,import!A:C,3,0)</f>
        <v>DOĞRU</v>
      </c>
      <c r="D124" s="135" t="s">
        <v>1170</v>
      </c>
      <c r="E124" s="194">
        <f>VLOOKUP(A124,import!A:AA,5,0)</f>
        <v>20</v>
      </c>
      <c r="F124" s="194">
        <f>VLOOKUP(A124,import!A:AA,6,0)</f>
        <v>1</v>
      </c>
      <c r="G124" s="135">
        <f>VLOOKUP(A124,import!A:AA,7,0)</f>
        <v>2</v>
      </c>
      <c r="H124" s="135">
        <f>VLOOKUP(A124,import!A:AA,8,0)</f>
        <v>24</v>
      </c>
      <c r="I124" s="135">
        <f>VLOOKUP(A124,import!A:AA,9,0)</f>
        <v>26</v>
      </c>
      <c r="J124" s="195">
        <f>VLOOKUP(A124,import!A:AA,10,0)</f>
        <v>0.08</v>
      </c>
      <c r="K124" s="135" t="s">
        <v>1640</v>
      </c>
      <c r="L124" s="135">
        <v>5.438845999E9</v>
      </c>
      <c r="M124" s="135" t="s">
        <v>1147</v>
      </c>
      <c r="N124" s="135" t="s">
        <v>1164</v>
      </c>
      <c r="O124" s="135" t="s">
        <v>1641</v>
      </c>
      <c r="P124" s="135" t="str">
        <f>VLOOKUP(A124,import!A:P,16,0)</f>
        <v>Geleneksel</v>
      </c>
      <c r="Q124" s="196"/>
      <c r="R124" s="196" t="b">
        <v>1</v>
      </c>
      <c r="S124" s="196" t="b">
        <v>1</v>
      </c>
      <c r="T124" s="197"/>
      <c r="U124" s="197"/>
      <c r="V124" s="197"/>
      <c r="W124" s="197"/>
      <c r="X124" s="198"/>
      <c r="Y124" s="198"/>
      <c r="Z124" s="199"/>
      <c r="AA124" s="200" t="s">
        <v>1151</v>
      </c>
      <c r="AB124" s="201">
        <v>44606.0</v>
      </c>
      <c r="AC124" s="199"/>
      <c r="AD124" s="199"/>
      <c r="AE124" s="105"/>
      <c r="AF124" s="199"/>
      <c r="AG124" s="105"/>
      <c r="AH124" s="199"/>
      <c r="AI124" s="199"/>
      <c r="AJ124" s="199"/>
      <c r="AK124" s="200" t="s">
        <v>1161</v>
      </c>
      <c r="AL124" s="199"/>
      <c r="AM124" s="199"/>
      <c r="AN124" s="199"/>
      <c r="AO124" s="199"/>
      <c r="AP124" s="202"/>
      <c r="AQ124" s="199"/>
    </row>
    <row r="125">
      <c r="A125" s="135" t="s">
        <v>1642</v>
      </c>
      <c r="B125" s="135" t="s">
        <v>1643</v>
      </c>
      <c r="C125" s="135" t="str">
        <f>VLOOKUP(A125,import!A:C,3,0)</f>
        <v>DOĞRU</v>
      </c>
      <c r="D125" s="135" t="s">
        <v>1145</v>
      </c>
      <c r="E125" s="194">
        <f>VLOOKUP(A125,import!A:AA,5,0)</f>
        <v>277</v>
      </c>
      <c r="F125" s="194">
        <f>VLOOKUP(A125,import!A:AA,6,0)</f>
        <v>69</v>
      </c>
      <c r="G125" s="135">
        <f>VLOOKUP(A125,import!A:AA,7,0)</f>
        <v>5</v>
      </c>
      <c r="H125" s="135">
        <f>VLOOKUP(A125,import!A:AA,8,0)</f>
        <v>71</v>
      </c>
      <c r="I125" s="135">
        <f>VLOOKUP(A125,import!A:AA,9,0)</f>
        <v>76</v>
      </c>
      <c r="J125" s="195">
        <f>VLOOKUP(A125,import!A:AA,10,0)</f>
        <v>0.07</v>
      </c>
      <c r="K125" s="135" t="s">
        <v>1644</v>
      </c>
      <c r="L125" s="135">
        <v>2.64211288E9</v>
      </c>
      <c r="M125" s="135" t="s">
        <v>1147</v>
      </c>
      <c r="N125" s="135" t="s">
        <v>1157</v>
      </c>
      <c r="O125" s="135" t="s">
        <v>1645</v>
      </c>
      <c r="P125" s="135" t="str">
        <f>VLOOKUP(A125,import!A:P,16,0)</f>
        <v>Geleneksel</v>
      </c>
      <c r="Q125" s="196"/>
      <c r="R125" s="196" t="b">
        <v>1</v>
      </c>
      <c r="S125" s="196" t="b">
        <v>1</v>
      </c>
      <c r="T125" s="197"/>
      <c r="U125" s="197"/>
      <c r="V125" s="197"/>
      <c r="W125" s="197" t="s">
        <v>1646</v>
      </c>
      <c r="X125" s="198"/>
      <c r="Y125" s="198"/>
      <c r="Z125" s="199"/>
      <c r="AA125" s="200" t="s">
        <v>1151</v>
      </c>
      <c r="AB125" s="201">
        <v>44616.0</v>
      </c>
      <c r="AC125" s="199"/>
      <c r="AD125" s="199"/>
      <c r="AE125" s="105"/>
      <c r="AF125" s="199"/>
      <c r="AG125" s="105"/>
      <c r="AH125" s="199"/>
      <c r="AI125" s="199"/>
      <c r="AJ125" s="199"/>
      <c r="AK125" s="200" t="s">
        <v>1647</v>
      </c>
      <c r="AL125" s="199"/>
      <c r="AM125" s="199"/>
      <c r="AN125" s="199"/>
      <c r="AO125" s="199"/>
      <c r="AP125" s="202"/>
      <c r="AQ125" s="199"/>
    </row>
    <row r="126">
      <c r="A126" s="135" t="s">
        <v>719</v>
      </c>
      <c r="B126" s="135" t="s">
        <v>720</v>
      </c>
      <c r="C126" s="135" t="str">
        <f>VLOOKUP(A126,import!A:C,3,0)</f>
        <v>DOĞRU</v>
      </c>
      <c r="D126" s="135" t="s">
        <v>1170</v>
      </c>
      <c r="E126" s="194">
        <f>VLOOKUP(A126,import!A:AA,5,0)</f>
        <v>232</v>
      </c>
      <c r="F126" s="194" t="str">
        <f>VLOOKUP(A126,import!A:AA,6,0)</f>
        <v/>
      </c>
      <c r="G126" s="135">
        <f>VLOOKUP(A126,import!A:AA,7,0)</f>
        <v>13</v>
      </c>
      <c r="H126" s="135">
        <f>VLOOKUP(A126,import!A:AA,8,0)</f>
        <v>6</v>
      </c>
      <c r="I126" s="135">
        <f>VLOOKUP(A126,import!A:AA,9,0)</f>
        <v>19</v>
      </c>
      <c r="J126" s="195">
        <f>VLOOKUP(A126,import!A:AA,10,0)</f>
        <v>0.68</v>
      </c>
      <c r="K126" s="135" t="s">
        <v>1648</v>
      </c>
      <c r="L126" s="135">
        <v>5.444558688E9</v>
      </c>
      <c r="M126" s="135" t="s">
        <v>1348</v>
      </c>
      <c r="N126" s="135" t="s">
        <v>1419</v>
      </c>
      <c r="O126" s="135" t="s">
        <v>723</v>
      </c>
      <c r="P126" s="135" t="str">
        <f>VLOOKUP(A126,import!A:P,16,0)</f>
        <v>Geleneksel</v>
      </c>
      <c r="Q126" s="196"/>
      <c r="R126" s="196" t="b">
        <v>1</v>
      </c>
      <c r="S126" s="196" t="b">
        <v>0</v>
      </c>
      <c r="T126" s="197" t="s">
        <v>1165</v>
      </c>
      <c r="U126" s="197" t="s">
        <v>189</v>
      </c>
      <c r="V126" s="197" t="s">
        <v>91</v>
      </c>
      <c r="W126" s="197" t="s">
        <v>1649</v>
      </c>
      <c r="X126" s="198">
        <v>44354.0</v>
      </c>
      <c r="Y126" s="198">
        <v>44356.0</v>
      </c>
      <c r="Z126" s="199"/>
      <c r="AA126" s="200" t="s">
        <v>1151</v>
      </c>
      <c r="AB126" s="201">
        <v>44354.0</v>
      </c>
      <c r="AC126" s="200" t="s">
        <v>1202</v>
      </c>
      <c r="AD126" s="201">
        <v>44386.0</v>
      </c>
      <c r="AE126" s="105"/>
      <c r="AF126" s="199"/>
      <c r="AG126" s="105"/>
      <c r="AH126" s="199"/>
      <c r="AI126" s="199"/>
      <c r="AJ126" s="199"/>
      <c r="AK126" s="200" t="s">
        <v>189</v>
      </c>
      <c r="AL126" s="200" t="s">
        <v>1167</v>
      </c>
      <c r="AM126" s="199"/>
      <c r="AN126" s="199"/>
      <c r="AO126" s="199"/>
      <c r="AP126" s="202" t="s">
        <v>1152</v>
      </c>
      <c r="AQ126" s="199"/>
    </row>
    <row r="127">
      <c r="A127" s="135" t="s">
        <v>1650</v>
      </c>
      <c r="B127" s="135" t="s">
        <v>306</v>
      </c>
      <c r="C127" s="135" t="str">
        <f>VLOOKUP(A127,import!A:C,3,0)</f>
        <v>DOĞRU</v>
      </c>
      <c r="D127" s="135" t="s">
        <v>1302</v>
      </c>
      <c r="E127" s="194">
        <f>VLOOKUP(A127,import!A:AA,5,0)</f>
        <v>1</v>
      </c>
      <c r="F127" s="194" t="str">
        <f>VLOOKUP(A127,import!A:AA,6,0)</f>
        <v/>
      </c>
      <c r="G127" s="135">
        <f>VLOOKUP(A127,import!A:AA,7,0)</f>
        <v>0</v>
      </c>
      <c r="H127" s="135">
        <f>VLOOKUP(A127,import!A:AA,8,0)</f>
        <v>38</v>
      </c>
      <c r="I127" s="135">
        <f>VLOOKUP(A127,import!A:AA,9,0)</f>
        <v>38</v>
      </c>
      <c r="J127" s="195">
        <f>VLOOKUP(A127,import!A:AA,10,0)</f>
        <v>0</v>
      </c>
      <c r="K127" s="135" t="s">
        <v>1615</v>
      </c>
      <c r="L127" s="135">
        <v>5.372643754E9</v>
      </c>
      <c r="M127" s="135" t="s">
        <v>1147</v>
      </c>
      <c r="N127" s="135" t="s">
        <v>1616</v>
      </c>
      <c r="O127" s="135" t="s">
        <v>309</v>
      </c>
      <c r="P127" s="135" t="str">
        <f>VLOOKUP(A127,import!A:P,16,0)</f>
        <v>Geleneksel</v>
      </c>
      <c r="Q127" s="196"/>
      <c r="R127" s="196" t="b">
        <v>1</v>
      </c>
      <c r="S127" s="196" t="b">
        <v>0</v>
      </c>
      <c r="T127" s="197" t="s">
        <v>1289</v>
      </c>
      <c r="U127" s="197"/>
      <c r="V127" s="197"/>
      <c r="W127" s="197" t="s">
        <v>1651</v>
      </c>
      <c r="X127" s="198"/>
      <c r="Y127" s="198"/>
      <c r="Z127" s="199"/>
      <c r="AA127" s="200" t="s">
        <v>1253</v>
      </c>
      <c r="AB127" s="201">
        <v>44351.0</v>
      </c>
      <c r="AC127" s="200" t="s">
        <v>1202</v>
      </c>
      <c r="AD127" s="201">
        <v>44354.0</v>
      </c>
      <c r="AE127" s="200" t="s">
        <v>1202</v>
      </c>
      <c r="AF127" s="201">
        <v>44371.0</v>
      </c>
      <c r="AG127" s="200" t="s">
        <v>1202</v>
      </c>
      <c r="AH127" s="201">
        <v>44378.0</v>
      </c>
      <c r="AI127" s="200" t="s">
        <v>1151</v>
      </c>
      <c r="AJ127" s="201">
        <v>44616.0</v>
      </c>
      <c r="AK127" s="200" t="s">
        <v>1232</v>
      </c>
      <c r="AL127" s="200" t="s">
        <v>189</v>
      </c>
      <c r="AM127" s="200" t="s">
        <v>1204</v>
      </c>
      <c r="AN127" s="200" t="s">
        <v>1232</v>
      </c>
      <c r="AO127" s="200" t="s">
        <v>1647</v>
      </c>
      <c r="AP127" s="202" t="s">
        <v>1152</v>
      </c>
      <c r="AQ127" s="200"/>
    </row>
    <row r="128">
      <c r="A128" s="135" t="s">
        <v>1652</v>
      </c>
      <c r="B128" s="135" t="s">
        <v>1653</v>
      </c>
      <c r="C128" s="135" t="str">
        <f>VLOOKUP(A128,import!A:C,3,0)</f>
        <v>DOĞRU</v>
      </c>
      <c r="D128" s="135" t="s">
        <v>1302</v>
      </c>
      <c r="E128" s="194">
        <f>VLOOKUP(A128,import!A:AA,5,0)</f>
        <v>18</v>
      </c>
      <c r="F128" s="194">
        <f>VLOOKUP(A128,import!A:AA,6,0)</f>
        <v>4</v>
      </c>
      <c r="G128" s="135">
        <f>VLOOKUP(A128,import!A:AA,7,0)</f>
        <v>0</v>
      </c>
      <c r="H128" s="135">
        <f>VLOOKUP(A128,import!A:AA,8,0)</f>
        <v>7</v>
      </c>
      <c r="I128" s="135">
        <f>VLOOKUP(A128,import!A:AA,9,0)</f>
        <v>7</v>
      </c>
      <c r="J128" s="195">
        <f>VLOOKUP(A128,import!A:AA,10,0)</f>
        <v>0</v>
      </c>
      <c r="K128" s="135" t="s">
        <v>1323</v>
      </c>
      <c r="L128" s="135">
        <v>5.491323535E9</v>
      </c>
      <c r="M128" s="135" t="s">
        <v>1318</v>
      </c>
      <c r="N128" s="135" t="s">
        <v>1324</v>
      </c>
      <c r="O128" s="135" t="s">
        <v>1325</v>
      </c>
      <c r="P128" s="135" t="str">
        <f>VLOOKUP(A128,import!A:P,16,0)</f>
        <v>Geleneksel</v>
      </c>
      <c r="Q128" s="196"/>
      <c r="R128" s="196" t="b">
        <v>0</v>
      </c>
      <c r="S128" s="196" t="b">
        <v>0</v>
      </c>
      <c r="T128" s="197"/>
      <c r="U128" s="197"/>
      <c r="V128" s="197"/>
      <c r="W128" s="197"/>
      <c r="X128" s="198"/>
      <c r="Y128" s="198"/>
      <c r="Z128" s="199"/>
      <c r="AA128" s="200"/>
      <c r="AB128" s="201"/>
      <c r="AC128" s="199"/>
      <c r="AD128" s="199"/>
      <c r="AE128" s="105"/>
      <c r="AF128" s="199"/>
      <c r="AG128" s="105"/>
      <c r="AH128" s="199"/>
      <c r="AI128" s="199"/>
      <c r="AJ128" s="199"/>
      <c r="AK128" s="200"/>
      <c r="AL128" s="199"/>
      <c r="AM128" s="199"/>
      <c r="AN128" s="199"/>
      <c r="AO128" s="199"/>
      <c r="AP128" s="202"/>
      <c r="AQ128" s="199"/>
    </row>
    <row r="129">
      <c r="A129" s="135" t="s">
        <v>1654</v>
      </c>
      <c r="B129" s="135" t="s">
        <v>1655</v>
      </c>
      <c r="C129" s="135" t="str">
        <f>VLOOKUP(A129,import!A:C,3,0)</f>
        <v>DOĞRU</v>
      </c>
      <c r="D129" s="135" t="s">
        <v>1188</v>
      </c>
      <c r="E129" s="194">
        <f>VLOOKUP(A129,import!A:AA,5,0)</f>
        <v>736</v>
      </c>
      <c r="F129" s="194">
        <f>VLOOKUP(A129,import!A:AA,6,0)</f>
        <v>272</v>
      </c>
      <c r="G129" s="135">
        <f>VLOOKUP(A129,import!A:AA,7,0)</f>
        <v>0</v>
      </c>
      <c r="H129" s="135">
        <f>VLOOKUP(A129,import!A:AA,8,0)</f>
        <v>11</v>
      </c>
      <c r="I129" s="135">
        <f>VLOOKUP(A129,import!A:AA,9,0)</f>
        <v>11</v>
      </c>
      <c r="J129" s="195">
        <f>VLOOKUP(A129,import!A:AA,10,0)</f>
        <v>0</v>
      </c>
      <c r="K129" s="135" t="s">
        <v>1656</v>
      </c>
      <c r="L129" s="135">
        <v>5.444470803E9</v>
      </c>
      <c r="M129" s="135" t="s">
        <v>1147</v>
      </c>
      <c r="N129" s="135" t="s">
        <v>1164</v>
      </c>
      <c r="O129" s="135" t="s">
        <v>1657</v>
      </c>
      <c r="P129" s="135" t="str">
        <f>VLOOKUP(A129,import!A:P,16,0)</f>
        <v>Geleneksel</v>
      </c>
      <c r="Q129" s="196"/>
      <c r="R129" s="196" t="b">
        <v>0</v>
      </c>
      <c r="S129" s="196" t="b">
        <v>0</v>
      </c>
      <c r="T129" s="197"/>
      <c r="U129" s="197"/>
      <c r="V129" s="197"/>
      <c r="W129" s="197"/>
      <c r="X129" s="198"/>
      <c r="Y129" s="198"/>
      <c r="Z129" s="199"/>
      <c r="AA129" s="200"/>
      <c r="AB129" s="201"/>
      <c r="AC129" s="199"/>
      <c r="AD129" s="199"/>
      <c r="AE129" s="105"/>
      <c r="AF129" s="199"/>
      <c r="AG129" s="105"/>
      <c r="AH129" s="199"/>
      <c r="AI129" s="199"/>
      <c r="AJ129" s="199"/>
      <c r="AK129" s="200"/>
      <c r="AL129" s="199"/>
      <c r="AM129" s="199"/>
      <c r="AN129" s="199"/>
      <c r="AO129" s="199"/>
      <c r="AP129" s="202"/>
      <c r="AQ129" s="199"/>
    </row>
    <row r="130">
      <c r="A130" s="135" t="s">
        <v>1658</v>
      </c>
      <c r="B130" s="135" t="s">
        <v>1659</v>
      </c>
      <c r="C130" s="135" t="str">
        <f>VLOOKUP(A130,import!A:C,3,0)</f>
        <v>DOĞRU</v>
      </c>
      <c r="D130" s="135" t="s">
        <v>1188</v>
      </c>
      <c r="E130" s="194">
        <f>VLOOKUP(A130,import!A:AA,5,0)</f>
        <v>413</v>
      </c>
      <c r="F130" s="194">
        <f>VLOOKUP(A130,import!A:AA,6,0)</f>
        <v>116</v>
      </c>
      <c r="G130" s="135">
        <f>VLOOKUP(A130,import!A:AA,7,0)</f>
        <v>0</v>
      </c>
      <c r="H130" s="135">
        <f>VLOOKUP(A130,import!A:AA,8,0)</f>
        <v>24</v>
      </c>
      <c r="I130" s="135">
        <f>VLOOKUP(A130,import!A:AA,9,0)</f>
        <v>24</v>
      </c>
      <c r="J130" s="195">
        <f>VLOOKUP(A130,import!A:AA,10,0)</f>
        <v>0</v>
      </c>
      <c r="K130" s="135" t="s">
        <v>1660</v>
      </c>
      <c r="L130" s="135">
        <v>5.537275831E9</v>
      </c>
      <c r="M130" s="135" t="s">
        <v>1172</v>
      </c>
      <c r="N130" s="135" t="s">
        <v>1379</v>
      </c>
      <c r="O130" s="135" t="s">
        <v>1661</v>
      </c>
      <c r="P130" s="135" t="str">
        <f>VLOOKUP(A130,import!A:P,16,0)</f>
        <v>Geleneksel</v>
      </c>
      <c r="Q130" s="196"/>
      <c r="R130" s="196" t="b">
        <v>0</v>
      </c>
      <c r="S130" s="196" t="b">
        <v>0</v>
      </c>
      <c r="T130" s="197"/>
      <c r="U130" s="197"/>
      <c r="V130" s="197"/>
      <c r="W130" s="197"/>
      <c r="X130" s="198"/>
      <c r="Y130" s="198"/>
      <c r="Z130" s="199"/>
      <c r="AA130" s="200"/>
      <c r="AB130" s="201"/>
      <c r="AC130" s="199"/>
      <c r="AD130" s="199"/>
      <c r="AE130" s="105"/>
      <c r="AF130" s="199"/>
      <c r="AG130" s="105"/>
      <c r="AH130" s="199"/>
      <c r="AI130" s="199"/>
      <c r="AJ130" s="199"/>
      <c r="AK130" s="200"/>
      <c r="AL130" s="199"/>
      <c r="AM130" s="199"/>
      <c r="AN130" s="199"/>
      <c r="AO130" s="199"/>
      <c r="AP130" s="202"/>
      <c r="AQ130" s="199"/>
    </row>
    <row r="131">
      <c r="A131" s="202" t="s">
        <v>1662</v>
      </c>
      <c r="B131" s="202" t="s">
        <v>1663</v>
      </c>
      <c r="C131" s="135" t="str">
        <f>VLOOKUP(A131,import!A:C,3,0)</f>
        <v>DOĞRU</v>
      </c>
      <c r="D131" s="202" t="s">
        <v>1220</v>
      </c>
      <c r="E131" s="194">
        <f>VLOOKUP(A131,import!A:AA,5,0)</f>
        <v>3</v>
      </c>
      <c r="F131" s="194">
        <f>VLOOKUP(A131,import!A:AA,6,0)</f>
        <v>3</v>
      </c>
      <c r="G131" s="135">
        <f>VLOOKUP(A131,import!A:AA,7,0)</f>
        <v>0</v>
      </c>
      <c r="H131" s="135">
        <f>VLOOKUP(A131,import!A:AA,8,0)</f>
        <v>63</v>
      </c>
      <c r="I131" s="135">
        <f>VLOOKUP(A131,import!A:AA,9,0)</f>
        <v>63</v>
      </c>
      <c r="J131" s="195">
        <f>VLOOKUP(A131,import!A:AA,10,0)</f>
        <v>0</v>
      </c>
      <c r="K131" s="202" t="s">
        <v>1664</v>
      </c>
      <c r="L131" s="202">
        <v>2.642823214E9</v>
      </c>
      <c r="M131" s="202" t="s">
        <v>1172</v>
      </c>
      <c r="N131" s="202" t="s">
        <v>1665</v>
      </c>
      <c r="O131" s="202" t="s">
        <v>1666</v>
      </c>
      <c r="P131" s="135" t="str">
        <f>VLOOKUP(A131,import!A:P,16,0)</f>
        <v>Geleneksel</v>
      </c>
      <c r="Q131" s="196"/>
      <c r="R131" s="196" t="b">
        <v>0</v>
      </c>
      <c r="S131" s="196" t="b">
        <v>0</v>
      </c>
      <c r="T131" s="197"/>
      <c r="U131" s="197"/>
      <c r="V131" s="197"/>
      <c r="W131" s="197"/>
      <c r="X131" s="198"/>
      <c r="Y131" s="198"/>
      <c r="Z131" s="199"/>
      <c r="AA131" s="200"/>
      <c r="AB131" s="201"/>
      <c r="AC131" s="199"/>
      <c r="AD131" s="199"/>
      <c r="AE131" s="105"/>
      <c r="AF131" s="199"/>
      <c r="AG131" s="105"/>
      <c r="AH131" s="199"/>
      <c r="AI131" s="199"/>
      <c r="AJ131" s="199"/>
      <c r="AK131" s="200"/>
      <c r="AL131" s="199"/>
      <c r="AM131" s="199"/>
      <c r="AN131" s="199"/>
      <c r="AO131" s="199"/>
      <c r="AP131" s="202"/>
      <c r="AQ131" s="199"/>
    </row>
    <row r="132">
      <c r="A132" s="135" t="s">
        <v>1667</v>
      </c>
      <c r="B132" s="135" t="s">
        <v>1668</v>
      </c>
      <c r="C132" s="135" t="str">
        <f>VLOOKUP(A132,import!A:C,3,0)</f>
        <v>DOĞRU</v>
      </c>
      <c r="D132" s="135" t="s">
        <v>1145</v>
      </c>
      <c r="E132" s="194">
        <f>VLOOKUP(A132,import!A:AA,5,0)</f>
        <v>15</v>
      </c>
      <c r="F132" s="194">
        <f>VLOOKUP(A132,import!A:AA,6,0)</f>
        <v>7</v>
      </c>
      <c r="G132" s="135">
        <f>VLOOKUP(A132,import!A:AA,7,0)</f>
        <v>0</v>
      </c>
      <c r="H132" s="135">
        <f>VLOOKUP(A132,import!A:AA,8,0)</f>
        <v>18</v>
      </c>
      <c r="I132" s="135">
        <f>VLOOKUP(A132,import!A:AA,9,0)</f>
        <v>18</v>
      </c>
      <c r="J132" s="195">
        <f>VLOOKUP(A132,import!A:AA,10,0)</f>
        <v>0</v>
      </c>
      <c r="K132" s="135" t="s">
        <v>1669</v>
      </c>
      <c r="L132" s="135">
        <v>5.39312002E9</v>
      </c>
      <c r="M132" s="135" t="s">
        <v>1147</v>
      </c>
      <c r="N132" s="135" t="s">
        <v>1164</v>
      </c>
      <c r="O132" s="135" t="s">
        <v>1670</v>
      </c>
      <c r="P132" s="135" t="str">
        <f>VLOOKUP(A132,import!A:P,16,0)</f>
        <v>Geleneksel</v>
      </c>
      <c r="Q132" s="196"/>
      <c r="R132" s="196" t="b">
        <v>0</v>
      </c>
      <c r="S132" s="196" t="b">
        <v>0</v>
      </c>
      <c r="T132" s="197"/>
      <c r="U132" s="197"/>
      <c r="V132" s="197"/>
      <c r="W132" s="197"/>
      <c r="X132" s="198"/>
      <c r="Y132" s="198"/>
      <c r="Z132" s="199"/>
      <c r="AA132" s="200"/>
      <c r="AB132" s="201"/>
      <c r="AC132" s="199"/>
      <c r="AD132" s="199"/>
      <c r="AE132" s="105"/>
      <c r="AF132" s="199"/>
      <c r="AG132" s="105"/>
      <c r="AH132" s="199"/>
      <c r="AI132" s="199"/>
      <c r="AJ132" s="199"/>
      <c r="AK132" s="200"/>
      <c r="AL132" s="199"/>
      <c r="AM132" s="199"/>
      <c r="AN132" s="199"/>
      <c r="AO132" s="199"/>
      <c r="AP132" s="202"/>
      <c r="AQ132" s="199"/>
    </row>
    <row r="133">
      <c r="A133" s="135" t="s">
        <v>1084</v>
      </c>
      <c r="B133" s="135" t="s">
        <v>1085</v>
      </c>
      <c r="C133" s="135" t="str">
        <f>VLOOKUP(A133,import!A:C,3,0)</f>
        <v>DOĞRU</v>
      </c>
      <c r="D133" s="135" t="s">
        <v>1188</v>
      </c>
      <c r="E133" s="194" t="str">
        <f>VLOOKUP(A133,import!A:AA,5,0)</f>
        <v/>
      </c>
      <c r="F133" s="194" t="str">
        <f>VLOOKUP(A133,import!A:AA,6,0)</f>
        <v/>
      </c>
      <c r="G133" s="135">
        <f>VLOOKUP(A133,import!A:AA,7,0)</f>
        <v>0</v>
      </c>
      <c r="H133" s="135">
        <f>VLOOKUP(A133,import!A:AA,8,0)</f>
        <v>12</v>
      </c>
      <c r="I133" s="135">
        <f>VLOOKUP(A133,import!A:AA,9,0)</f>
        <v>12</v>
      </c>
      <c r="J133" s="195">
        <f>VLOOKUP(A133,import!A:AA,10,0)</f>
        <v>0</v>
      </c>
      <c r="K133" s="135" t="s">
        <v>1671</v>
      </c>
      <c r="L133" s="135">
        <v>5.316645446E9</v>
      </c>
      <c r="M133" s="135" t="s">
        <v>1147</v>
      </c>
      <c r="N133" s="135" t="s">
        <v>1148</v>
      </c>
      <c r="O133" s="135" t="s">
        <v>1088</v>
      </c>
      <c r="P133" s="135" t="str">
        <f>VLOOKUP(A133,import!A:P,16,0)</f>
        <v>Geleneksel</v>
      </c>
      <c r="Q133" s="196"/>
      <c r="R133" s="196" t="b">
        <v>1</v>
      </c>
      <c r="S133" s="196" t="b">
        <v>0</v>
      </c>
      <c r="T133" s="197" t="s">
        <v>1289</v>
      </c>
      <c r="U133" s="197" t="s">
        <v>1006</v>
      </c>
      <c r="V133" s="73" t="s">
        <v>940</v>
      </c>
      <c r="W133" s="197"/>
      <c r="X133" s="198">
        <v>44621.0</v>
      </c>
      <c r="Y133" s="198">
        <v>44622.0</v>
      </c>
      <c r="Z133" s="199"/>
      <c r="AA133" s="200" t="s">
        <v>1151</v>
      </c>
      <c r="AB133" s="201">
        <v>44621.0</v>
      </c>
      <c r="AC133" s="199"/>
      <c r="AD133" s="199"/>
      <c r="AE133" s="105"/>
      <c r="AF133" s="199"/>
      <c r="AG133" s="105"/>
      <c r="AH133" s="199"/>
      <c r="AI133" s="199"/>
      <c r="AJ133" s="199"/>
      <c r="AK133" s="200" t="s">
        <v>1006</v>
      </c>
      <c r="AL133" s="199"/>
      <c r="AM133" s="199"/>
      <c r="AN133" s="199"/>
      <c r="AO133" s="199"/>
      <c r="AP133" s="202"/>
      <c r="AQ133" s="199"/>
    </row>
    <row r="134">
      <c r="A134" s="135" t="s">
        <v>290</v>
      </c>
      <c r="B134" s="135" t="s">
        <v>291</v>
      </c>
      <c r="C134" s="135" t="str">
        <f>VLOOKUP(A134,import!A:C,3,0)</f>
        <v>DOĞRU</v>
      </c>
      <c r="D134" s="135" t="s">
        <v>1145</v>
      </c>
      <c r="E134" s="194">
        <f>VLOOKUP(A134,import!A:AA,5,0)</f>
        <v>795</v>
      </c>
      <c r="F134" s="194" t="str">
        <f>VLOOKUP(A134,import!A:AA,6,0)</f>
        <v/>
      </c>
      <c r="G134" s="135">
        <f>VLOOKUP(A134,import!A:AA,7,0)</f>
        <v>4</v>
      </c>
      <c r="H134" s="135">
        <f>VLOOKUP(A134,import!A:AA,8,0)</f>
        <v>16</v>
      </c>
      <c r="I134" s="135">
        <f>VLOOKUP(A134,import!A:AA,9,0)</f>
        <v>20</v>
      </c>
      <c r="J134" s="195">
        <f>VLOOKUP(A134,import!A:AA,10,0)</f>
        <v>0.2</v>
      </c>
      <c r="K134" s="135" t="s">
        <v>1619</v>
      </c>
      <c r="L134" s="135">
        <v>5.41723107E9</v>
      </c>
      <c r="M134" s="135" t="s">
        <v>1147</v>
      </c>
      <c r="N134" s="135" t="s">
        <v>1200</v>
      </c>
      <c r="O134" s="135" t="s">
        <v>541</v>
      </c>
      <c r="P134" s="135" t="str">
        <f>VLOOKUP(A134,import!A:P,16,0)</f>
        <v>Geleneksel</v>
      </c>
      <c r="Q134" s="196"/>
      <c r="R134" s="196" t="b">
        <v>1</v>
      </c>
      <c r="S134" s="196" t="b">
        <v>0</v>
      </c>
      <c r="T134" s="197" t="s">
        <v>1165</v>
      </c>
      <c r="U134" s="197" t="s">
        <v>189</v>
      </c>
      <c r="V134" s="197" t="s">
        <v>91</v>
      </c>
      <c r="W134" s="197" t="s">
        <v>1649</v>
      </c>
      <c r="X134" s="198">
        <v>44340.0</v>
      </c>
      <c r="Y134" s="198">
        <v>44341.0</v>
      </c>
      <c r="Z134" s="199"/>
      <c r="AA134" s="199"/>
      <c r="AB134" s="199"/>
      <c r="AC134" s="199"/>
      <c r="AD134" s="199"/>
      <c r="AE134" s="105"/>
      <c r="AF134" s="199"/>
      <c r="AG134" s="105"/>
      <c r="AH134" s="199"/>
      <c r="AI134" s="199"/>
      <c r="AJ134" s="199"/>
      <c r="AK134" s="199"/>
      <c r="AL134" s="199"/>
      <c r="AM134" s="199"/>
      <c r="AN134" s="199"/>
      <c r="AO134" s="199"/>
      <c r="AP134" s="202" t="s">
        <v>1152</v>
      </c>
      <c r="AQ134" s="199"/>
    </row>
    <row r="135">
      <c r="A135" s="135" t="s">
        <v>622</v>
      </c>
      <c r="B135" s="135" t="s">
        <v>623</v>
      </c>
      <c r="C135" s="135" t="str">
        <f>VLOOKUP(A135,import!A:C,3,0)</f>
        <v>YANLIŞ</v>
      </c>
      <c r="D135" s="135" t="s">
        <v>1188</v>
      </c>
      <c r="E135" s="194">
        <f>VLOOKUP(A135,import!A:AA,5,0)</f>
        <v>7</v>
      </c>
      <c r="F135" s="194" t="str">
        <f>VLOOKUP(A135,import!A:AA,6,0)</f>
        <v/>
      </c>
      <c r="G135" s="135">
        <f>VLOOKUP(A135,import!A:AA,7,0)</f>
        <v>7</v>
      </c>
      <c r="H135" s="135">
        <f>VLOOKUP(A135,import!A:AA,8,0)</f>
        <v>19</v>
      </c>
      <c r="I135" s="135">
        <f>VLOOKUP(A135,import!A:AA,9,0)</f>
        <v>26</v>
      </c>
      <c r="J135" s="195">
        <f>VLOOKUP(A135,import!A:AA,10,0)</f>
        <v>0.27</v>
      </c>
      <c r="K135" s="135" t="s">
        <v>1672</v>
      </c>
      <c r="L135" s="135">
        <v>5.517035096E9</v>
      </c>
      <c r="M135" s="135" t="s">
        <v>1463</v>
      </c>
      <c r="N135" s="135" t="s">
        <v>1464</v>
      </c>
      <c r="O135" s="135" t="s">
        <v>625</v>
      </c>
      <c r="P135" s="135" t="str">
        <f>VLOOKUP(A135,import!A:P,16,0)</f>
        <v>Geleneksel</v>
      </c>
      <c r="Q135" s="196"/>
      <c r="R135" s="196" t="b">
        <v>1</v>
      </c>
      <c r="S135" s="196" t="b">
        <v>0</v>
      </c>
      <c r="T135" s="197" t="s">
        <v>1165</v>
      </c>
      <c r="U135" s="197" t="s">
        <v>189</v>
      </c>
      <c r="V135" s="197" t="s">
        <v>91</v>
      </c>
      <c r="W135" s="197" t="s">
        <v>1673</v>
      </c>
      <c r="X135" s="198">
        <v>44344.0</v>
      </c>
      <c r="Y135" s="198">
        <v>44348.0</v>
      </c>
      <c r="Z135" s="199"/>
      <c r="AA135" s="199"/>
      <c r="AB135" s="199"/>
      <c r="AC135" s="199"/>
      <c r="AD135" s="199"/>
      <c r="AE135" s="105"/>
      <c r="AF135" s="199"/>
      <c r="AG135" s="105"/>
      <c r="AH135" s="199"/>
      <c r="AI135" s="199"/>
      <c r="AJ135" s="199"/>
      <c r="AK135" s="199"/>
      <c r="AL135" s="199"/>
      <c r="AM135" s="199"/>
      <c r="AN135" s="199"/>
      <c r="AO135" s="199"/>
      <c r="AP135" s="202" t="s">
        <v>1152</v>
      </c>
      <c r="AQ135" s="199"/>
    </row>
    <row r="136">
      <c r="A136" s="135" t="s">
        <v>685</v>
      </c>
      <c r="B136" s="135" t="s">
        <v>686</v>
      </c>
      <c r="C136" s="135" t="str">
        <f>VLOOKUP(A136,import!A:C,3,0)</f>
        <v>DOĞRU</v>
      </c>
      <c r="D136" s="135" t="s">
        <v>1188</v>
      </c>
      <c r="E136" s="194">
        <f>VLOOKUP(A136,import!A:AA,5,0)</f>
        <v>8222</v>
      </c>
      <c r="F136" s="194">
        <f>VLOOKUP(A136,import!A:AA,6,0)</f>
        <v>317</v>
      </c>
      <c r="G136" s="135">
        <f>VLOOKUP(A136,import!A:AA,7,0)</f>
        <v>8</v>
      </c>
      <c r="H136" s="135">
        <f>VLOOKUP(A136,import!A:AA,8,0)</f>
        <v>14</v>
      </c>
      <c r="I136" s="135">
        <f>VLOOKUP(A136,import!A:AA,9,0)</f>
        <v>22</v>
      </c>
      <c r="J136" s="195">
        <f>VLOOKUP(A136,import!A:AA,10,0)</f>
        <v>0.36</v>
      </c>
      <c r="K136" s="135" t="s">
        <v>1674</v>
      </c>
      <c r="L136" s="135">
        <v>5.322743354E9</v>
      </c>
      <c r="M136" s="135" t="s">
        <v>1172</v>
      </c>
      <c r="N136" s="135" t="s">
        <v>1665</v>
      </c>
      <c r="O136" s="135" t="s">
        <v>689</v>
      </c>
      <c r="P136" s="135" t="str">
        <f>VLOOKUP(A136,import!A:P,16,0)</f>
        <v>Geleneksel</v>
      </c>
      <c r="Q136" s="196"/>
      <c r="R136" s="196" t="b">
        <v>1</v>
      </c>
      <c r="S136" s="196" t="b">
        <v>0</v>
      </c>
      <c r="T136" s="197" t="s">
        <v>1165</v>
      </c>
      <c r="U136" s="197" t="s">
        <v>1204</v>
      </c>
      <c r="V136" s="197" t="s">
        <v>91</v>
      </c>
      <c r="W136" s="197" t="s">
        <v>1675</v>
      </c>
      <c r="X136" s="198">
        <v>44350.0</v>
      </c>
      <c r="Y136" s="198">
        <v>44354.0</v>
      </c>
      <c r="Z136" s="199"/>
      <c r="AA136" s="200" t="s">
        <v>1151</v>
      </c>
      <c r="AB136" s="201">
        <v>44350.0</v>
      </c>
      <c r="AC136" s="199"/>
      <c r="AD136" s="199"/>
      <c r="AE136" s="105"/>
      <c r="AF136" s="199"/>
      <c r="AG136" s="105"/>
      <c r="AH136" s="199"/>
      <c r="AI136" s="199"/>
      <c r="AJ136" s="199"/>
      <c r="AK136" s="200" t="s">
        <v>1204</v>
      </c>
      <c r="AL136" s="199"/>
      <c r="AM136" s="199"/>
      <c r="AN136" s="199"/>
      <c r="AO136" s="199"/>
      <c r="AP136" s="202" t="s">
        <v>1152</v>
      </c>
      <c r="AQ136" s="199"/>
    </row>
    <row r="137">
      <c r="A137" s="135" t="s">
        <v>1019</v>
      </c>
      <c r="B137" s="135" t="s">
        <v>1020</v>
      </c>
      <c r="C137" s="135" t="str">
        <f>VLOOKUP(A137,import!A:C,3,0)</f>
        <v>DOĞRU</v>
      </c>
      <c r="D137" s="135" t="s">
        <v>1235</v>
      </c>
      <c r="E137" s="194">
        <f>VLOOKUP(A137,import!A:AA,5,0)</f>
        <v>159</v>
      </c>
      <c r="F137" s="194">
        <f>VLOOKUP(A137,import!A:AA,6,0)</f>
        <v>3</v>
      </c>
      <c r="G137" s="135">
        <f>VLOOKUP(A137,import!A:AA,7,0)</f>
        <v>0</v>
      </c>
      <c r="H137" s="135">
        <f>VLOOKUP(A137,import!A:AA,8,0)</f>
        <v>43</v>
      </c>
      <c r="I137" s="135">
        <f>VLOOKUP(A137,import!A:AA,9,0)</f>
        <v>43</v>
      </c>
      <c r="J137" s="195">
        <f>VLOOKUP(A137,import!A:AA,10,0)</f>
        <v>0</v>
      </c>
      <c r="K137" s="135" t="s">
        <v>1676</v>
      </c>
      <c r="L137" s="135">
        <v>5.305148954E9</v>
      </c>
      <c r="M137" s="135" t="s">
        <v>1172</v>
      </c>
      <c r="N137" s="135" t="s">
        <v>1190</v>
      </c>
      <c r="O137" s="135" t="s">
        <v>1022</v>
      </c>
      <c r="P137" s="135" t="str">
        <f>VLOOKUP(A137,import!A:P,16,0)</f>
        <v>Geleneksel</v>
      </c>
      <c r="Q137" s="196"/>
      <c r="R137" s="196" t="b">
        <v>1</v>
      </c>
      <c r="S137" s="196" t="b">
        <v>0</v>
      </c>
      <c r="T137" s="197" t="s">
        <v>1275</v>
      </c>
      <c r="U137" s="197" t="s">
        <v>1161</v>
      </c>
      <c r="V137" s="207" t="s">
        <v>940</v>
      </c>
      <c r="W137" s="197" t="s">
        <v>1677</v>
      </c>
      <c r="X137" s="198">
        <v>44607.0</v>
      </c>
      <c r="Y137" s="198">
        <v>44610.0</v>
      </c>
      <c r="Z137" s="199"/>
      <c r="AA137" s="200" t="s">
        <v>1151</v>
      </c>
      <c r="AB137" s="201">
        <v>44607.0</v>
      </c>
      <c r="AC137" s="199"/>
      <c r="AD137" s="199"/>
      <c r="AE137" s="105"/>
      <c r="AF137" s="199"/>
      <c r="AG137" s="105"/>
      <c r="AH137" s="199"/>
      <c r="AI137" s="199"/>
      <c r="AJ137" s="199"/>
      <c r="AK137" s="200" t="s">
        <v>1161</v>
      </c>
      <c r="AL137" s="199"/>
      <c r="AM137" s="199"/>
      <c r="AN137" s="199"/>
      <c r="AO137" s="199"/>
      <c r="AP137" s="202" t="s">
        <v>1152</v>
      </c>
      <c r="AQ137" s="199"/>
    </row>
    <row r="138">
      <c r="A138" s="135" t="s">
        <v>924</v>
      </c>
      <c r="B138" s="135" t="s">
        <v>925</v>
      </c>
      <c r="C138" s="135" t="str">
        <f>VLOOKUP(A138,import!A:C,3,0)</f>
        <v>DOĞRU</v>
      </c>
      <c r="D138" s="135" t="s">
        <v>1170</v>
      </c>
      <c r="E138" s="194">
        <f>VLOOKUP(A138,import!A:AA,5,0)</f>
        <v>567</v>
      </c>
      <c r="F138" s="194">
        <f>VLOOKUP(A138,import!A:AA,6,0)</f>
        <v>1</v>
      </c>
      <c r="G138" s="135">
        <f>VLOOKUP(A138,import!A:AA,7,0)</f>
        <v>13</v>
      </c>
      <c r="H138" s="135">
        <f>VLOOKUP(A138,import!A:AA,8,0)</f>
        <v>33</v>
      </c>
      <c r="I138" s="135">
        <f>VLOOKUP(A138,import!A:AA,9,0)</f>
        <v>46</v>
      </c>
      <c r="J138" s="195">
        <f>VLOOKUP(A138,import!A:AA,10,0)</f>
        <v>0.28</v>
      </c>
      <c r="K138" s="135" t="s">
        <v>1678</v>
      </c>
      <c r="L138" s="135">
        <v>5.334373298E9</v>
      </c>
      <c r="M138" s="135" t="s">
        <v>1679</v>
      </c>
      <c r="N138" s="135" t="s">
        <v>1680</v>
      </c>
      <c r="O138" s="135" t="s">
        <v>927</v>
      </c>
      <c r="P138" s="135" t="str">
        <f>VLOOKUP(A138,import!A:P,16,0)</f>
        <v>Geleneksel</v>
      </c>
      <c r="Q138" s="196"/>
      <c r="R138" s="196" t="b">
        <v>1</v>
      </c>
      <c r="S138" s="196" t="b">
        <v>0</v>
      </c>
      <c r="T138" s="197" t="s">
        <v>1165</v>
      </c>
      <c r="U138" s="197" t="s">
        <v>189</v>
      </c>
      <c r="V138" s="197" t="s">
        <v>91</v>
      </c>
      <c r="W138" s="197" t="s">
        <v>1681</v>
      </c>
      <c r="X138" s="198">
        <v>44389.0</v>
      </c>
      <c r="Y138" s="198">
        <v>44390.0</v>
      </c>
      <c r="Z138" s="199"/>
      <c r="AA138" s="200" t="s">
        <v>1254</v>
      </c>
      <c r="AB138" s="201">
        <v>44371.0</v>
      </c>
      <c r="AC138" s="199"/>
      <c r="AD138" s="199"/>
      <c r="AE138" s="105"/>
      <c r="AF138" s="199"/>
      <c r="AG138" s="105"/>
      <c r="AH138" s="199"/>
      <c r="AI138" s="199"/>
      <c r="AJ138" s="199"/>
      <c r="AK138" s="200" t="s">
        <v>1204</v>
      </c>
      <c r="AL138" s="199"/>
      <c r="AM138" s="199"/>
      <c r="AN138" s="199"/>
      <c r="AO138" s="199"/>
      <c r="AP138" s="202" t="s">
        <v>1152</v>
      </c>
      <c r="AQ138" s="199"/>
    </row>
    <row r="139">
      <c r="A139" s="202" t="s">
        <v>1682</v>
      </c>
      <c r="B139" s="202" t="s">
        <v>1683</v>
      </c>
      <c r="C139" s="135" t="str">
        <f>VLOOKUP(A139,import!A:C,3,0)</f>
        <v>DOĞRU</v>
      </c>
      <c r="D139" s="202" t="s">
        <v>1684</v>
      </c>
      <c r="E139" s="194">
        <f>VLOOKUP(A139,import!A:AA,5,0)</f>
        <v>41</v>
      </c>
      <c r="F139" s="194">
        <f>VLOOKUP(A139,import!A:AA,6,0)</f>
        <v>41</v>
      </c>
      <c r="G139" s="135">
        <f>VLOOKUP(A139,import!A:AA,7,0)</f>
        <v>0</v>
      </c>
      <c r="H139" s="135">
        <f>VLOOKUP(A139,import!A:AA,8,0)</f>
        <v>15</v>
      </c>
      <c r="I139" s="135">
        <f>VLOOKUP(A139,import!A:AA,9,0)</f>
        <v>15</v>
      </c>
      <c r="J139" s="195">
        <f>VLOOKUP(A139,import!A:AA,10,0)</f>
        <v>0</v>
      </c>
      <c r="K139" s="202" t="s">
        <v>1685</v>
      </c>
      <c r="L139" s="202">
        <v>5.548826754E9</v>
      </c>
      <c r="M139" s="202" t="s">
        <v>1172</v>
      </c>
      <c r="N139" s="202" t="s">
        <v>1336</v>
      </c>
      <c r="O139" s="202" t="s">
        <v>1686</v>
      </c>
      <c r="P139" s="135" t="str">
        <f>VLOOKUP(A139,import!A:P,16,0)</f>
        <v>Geleneksel</v>
      </c>
      <c r="Q139" s="196"/>
      <c r="R139" s="196" t="b">
        <v>0</v>
      </c>
      <c r="S139" s="196" t="b">
        <v>0</v>
      </c>
      <c r="T139" s="197"/>
      <c r="U139" s="197"/>
      <c r="V139" s="197"/>
      <c r="W139" s="197"/>
      <c r="X139" s="198"/>
      <c r="Y139" s="198"/>
      <c r="Z139" s="199"/>
      <c r="AA139" s="200"/>
      <c r="AB139" s="201"/>
      <c r="AC139" s="199"/>
      <c r="AD139" s="199"/>
      <c r="AE139" s="105"/>
      <c r="AF139" s="199"/>
      <c r="AG139" s="105"/>
      <c r="AH139" s="199"/>
      <c r="AI139" s="199"/>
      <c r="AJ139" s="199"/>
      <c r="AK139" s="200"/>
      <c r="AL139" s="199"/>
      <c r="AM139" s="199"/>
      <c r="AN139" s="199"/>
      <c r="AO139" s="199"/>
      <c r="AP139" s="202"/>
      <c r="AQ139" s="199"/>
    </row>
    <row r="140">
      <c r="A140" s="135" t="s">
        <v>150</v>
      </c>
      <c r="B140" s="135" t="s">
        <v>1687</v>
      </c>
      <c r="C140" s="135" t="str">
        <f>VLOOKUP(A140,import!A:C,3,0)</f>
        <v>DOĞRU</v>
      </c>
      <c r="D140" s="135" t="s">
        <v>1226</v>
      </c>
      <c r="E140" s="194">
        <f>VLOOKUP(A140,import!A:AA,5,0)</f>
        <v>610</v>
      </c>
      <c r="F140" s="194" t="str">
        <f>VLOOKUP(A140,import!A:AA,6,0)</f>
        <v/>
      </c>
      <c r="G140" s="135">
        <f>VLOOKUP(A140,import!A:AA,7,0)</f>
        <v>7</v>
      </c>
      <c r="H140" s="135">
        <f>VLOOKUP(A140,import!A:AA,8,0)</f>
        <v>10</v>
      </c>
      <c r="I140" s="135">
        <f>VLOOKUP(A140,import!A:AA,9,0)</f>
        <v>17</v>
      </c>
      <c r="J140" s="195">
        <f>VLOOKUP(A140,import!A:AA,10,0)</f>
        <v>0.41</v>
      </c>
      <c r="K140" s="135" t="s">
        <v>1688</v>
      </c>
      <c r="L140" s="135">
        <v>5.304312412E9</v>
      </c>
      <c r="M140" s="135" t="s">
        <v>1172</v>
      </c>
      <c r="N140" s="135" t="s">
        <v>1379</v>
      </c>
      <c r="O140" s="135" t="s">
        <v>1689</v>
      </c>
      <c r="P140" s="135" t="str">
        <f>VLOOKUP(A140,import!A:P,16,0)</f>
        <v>Geleneksel</v>
      </c>
      <c r="Q140" s="196"/>
      <c r="R140" s="196" t="b">
        <v>1</v>
      </c>
      <c r="S140" s="196" t="b">
        <v>0</v>
      </c>
      <c r="T140" s="197" t="s">
        <v>1165</v>
      </c>
      <c r="U140" s="197" t="s">
        <v>140</v>
      </c>
      <c r="V140" s="197"/>
      <c r="W140" s="197" t="s">
        <v>1675</v>
      </c>
      <c r="X140" s="198">
        <v>44295.0</v>
      </c>
      <c r="Y140" s="198">
        <v>44298.0</v>
      </c>
      <c r="Z140" s="199"/>
      <c r="AA140" s="200" t="s">
        <v>1202</v>
      </c>
      <c r="AB140" s="201">
        <v>44379.0</v>
      </c>
      <c r="AC140" s="199"/>
      <c r="AD140" s="199"/>
      <c r="AE140" s="105"/>
      <c r="AF140" s="199"/>
      <c r="AG140" s="105"/>
      <c r="AH140" s="199"/>
      <c r="AI140" s="199"/>
      <c r="AJ140" s="199"/>
      <c r="AK140" s="200" t="s">
        <v>1167</v>
      </c>
      <c r="AL140" s="199"/>
      <c r="AM140" s="199"/>
      <c r="AN140" s="199"/>
      <c r="AO140" s="199"/>
      <c r="AP140" s="202" t="s">
        <v>1152</v>
      </c>
      <c r="AQ140" s="199"/>
    </row>
    <row r="141">
      <c r="A141" s="135" t="s">
        <v>660</v>
      </c>
      <c r="B141" s="135" t="s">
        <v>661</v>
      </c>
      <c r="C141" s="135" t="str">
        <f>VLOOKUP(A141,import!A:C,3,0)</f>
        <v>DOĞRU</v>
      </c>
      <c r="D141" s="135" t="s">
        <v>1226</v>
      </c>
      <c r="E141" s="194">
        <f>VLOOKUP(A141,import!A:AA,5,0)</f>
        <v>5640</v>
      </c>
      <c r="F141" s="194" t="str">
        <f>VLOOKUP(A141,import!A:AA,6,0)</f>
        <v/>
      </c>
      <c r="G141" s="135">
        <f>VLOOKUP(A141,import!A:AA,7,0)</f>
        <v>10</v>
      </c>
      <c r="H141" s="135">
        <f>VLOOKUP(A141,import!A:AA,8,0)</f>
        <v>4</v>
      </c>
      <c r="I141" s="135">
        <f>VLOOKUP(A141,import!A:AA,9,0)</f>
        <v>14</v>
      </c>
      <c r="J141" s="195">
        <f>VLOOKUP(A141,import!A:AA,10,0)</f>
        <v>0.71</v>
      </c>
      <c r="K141" s="135" t="s">
        <v>1690</v>
      </c>
      <c r="L141" s="135">
        <v>5.396946958E9</v>
      </c>
      <c r="M141" s="135" t="s">
        <v>1147</v>
      </c>
      <c r="N141" s="135" t="s">
        <v>1164</v>
      </c>
      <c r="O141" s="135" t="s">
        <v>663</v>
      </c>
      <c r="P141" s="135" t="str">
        <f>VLOOKUP(A141,import!A:P,16,0)</f>
        <v>Geleneksel</v>
      </c>
      <c r="Q141" s="196"/>
      <c r="R141" s="196" t="b">
        <v>1</v>
      </c>
      <c r="S141" s="196" t="b">
        <v>0</v>
      </c>
      <c r="T141" s="197" t="s">
        <v>1165</v>
      </c>
      <c r="U141" s="197" t="s">
        <v>189</v>
      </c>
      <c r="V141" s="197" t="s">
        <v>91</v>
      </c>
      <c r="W141" s="197"/>
      <c r="X141" s="198">
        <v>44349.0</v>
      </c>
      <c r="Y141" s="198">
        <v>44351.0</v>
      </c>
      <c r="Z141" s="199"/>
      <c r="AA141" s="200" t="s">
        <v>1202</v>
      </c>
      <c r="AB141" s="201">
        <v>44349.0</v>
      </c>
      <c r="AC141" s="200" t="s">
        <v>1151</v>
      </c>
      <c r="AD141" s="201">
        <v>44349.0</v>
      </c>
      <c r="AE141" s="105"/>
      <c r="AF141" s="199"/>
      <c r="AG141" s="105"/>
      <c r="AH141" s="199"/>
      <c r="AI141" s="199"/>
      <c r="AJ141" s="199"/>
      <c r="AK141" s="200" t="s">
        <v>1232</v>
      </c>
      <c r="AL141" s="200" t="s">
        <v>1232</v>
      </c>
      <c r="AM141" s="199"/>
      <c r="AN141" s="199"/>
      <c r="AO141" s="199"/>
      <c r="AP141" s="202" t="s">
        <v>1152</v>
      </c>
      <c r="AQ141" s="199"/>
    </row>
    <row r="142">
      <c r="A142" s="135" t="s">
        <v>1691</v>
      </c>
      <c r="B142" s="135" t="s">
        <v>1692</v>
      </c>
      <c r="C142" s="135" t="str">
        <f>VLOOKUP(A142,import!A:C,3,0)</f>
        <v>YANLIŞ</v>
      </c>
      <c r="D142" s="135" t="s">
        <v>1341</v>
      </c>
      <c r="E142" s="194">
        <f>VLOOKUP(A142,import!A:AA,5,0)</f>
        <v>115</v>
      </c>
      <c r="F142" s="194" t="str">
        <f>VLOOKUP(A142,import!A:AA,6,0)</f>
        <v/>
      </c>
      <c r="G142" s="135">
        <f>VLOOKUP(A142,import!A:AA,7,0)</f>
        <v>0</v>
      </c>
      <c r="H142" s="135">
        <f>VLOOKUP(A142,import!A:AA,8,0)</f>
        <v>20</v>
      </c>
      <c r="I142" s="135">
        <f>VLOOKUP(A142,import!A:AA,9,0)</f>
        <v>20</v>
      </c>
      <c r="J142" s="195">
        <f>VLOOKUP(A142,import!A:AA,10,0)</f>
        <v>0</v>
      </c>
      <c r="K142" s="135" t="s">
        <v>1693</v>
      </c>
      <c r="L142" s="135">
        <v>5.075312331E9</v>
      </c>
      <c r="M142" s="135" t="s">
        <v>1147</v>
      </c>
      <c r="N142" s="135" t="s">
        <v>1164</v>
      </c>
      <c r="O142" s="135" t="s">
        <v>188</v>
      </c>
      <c r="P142" s="135" t="str">
        <f>VLOOKUP(A142,import!A:P,16,0)</f>
        <v>Geleneksel</v>
      </c>
      <c r="Q142" s="196"/>
      <c r="R142" s="196" t="b">
        <v>1</v>
      </c>
      <c r="S142" s="196" t="b">
        <v>0</v>
      </c>
      <c r="T142" s="197" t="s">
        <v>1275</v>
      </c>
      <c r="U142" s="204"/>
      <c r="V142" s="204"/>
      <c r="W142" s="197" t="s">
        <v>1694</v>
      </c>
      <c r="X142" s="206"/>
      <c r="Y142" s="206"/>
      <c r="Z142" s="199"/>
      <c r="AA142" s="200" t="s">
        <v>1151</v>
      </c>
      <c r="AB142" s="201">
        <v>44351.0</v>
      </c>
      <c r="AC142" s="200" t="s">
        <v>1151</v>
      </c>
      <c r="AD142" s="201">
        <v>44376.0</v>
      </c>
      <c r="AE142" s="200" t="s">
        <v>1151</v>
      </c>
      <c r="AF142" s="201">
        <v>44391.0</v>
      </c>
      <c r="AG142" s="105"/>
      <c r="AH142" s="199"/>
      <c r="AI142" s="199"/>
      <c r="AJ142" s="199"/>
      <c r="AK142" s="200" t="s">
        <v>1232</v>
      </c>
      <c r="AL142" s="200" t="s">
        <v>1167</v>
      </c>
      <c r="AM142" s="200" t="s">
        <v>1167</v>
      </c>
      <c r="AN142" s="199"/>
      <c r="AO142" s="199"/>
      <c r="AP142" s="202" t="s">
        <v>1152</v>
      </c>
      <c r="AQ142" s="199"/>
    </row>
    <row r="143">
      <c r="A143" s="135" t="s">
        <v>1695</v>
      </c>
      <c r="B143" s="135" t="s">
        <v>1696</v>
      </c>
      <c r="C143" s="135" t="str">
        <f>VLOOKUP(A143,import!A:C,3,0)</f>
        <v>YANLIŞ</v>
      </c>
      <c r="D143" s="135" t="s">
        <v>1188</v>
      </c>
      <c r="E143" s="194">
        <f>VLOOKUP(A143,import!A:AA,5,0)</f>
        <v>1024</v>
      </c>
      <c r="F143" s="194" t="str">
        <f>VLOOKUP(A143,import!A:AA,6,0)</f>
        <v/>
      </c>
      <c r="G143" s="135">
        <f>VLOOKUP(A143,import!A:AA,7,0)</f>
        <v>0</v>
      </c>
      <c r="H143" s="135">
        <f>VLOOKUP(A143,import!A:AA,8,0)</f>
        <v>26</v>
      </c>
      <c r="I143" s="135">
        <f>VLOOKUP(A143,import!A:AA,9,0)</f>
        <v>26</v>
      </c>
      <c r="J143" s="195">
        <f>VLOOKUP(A143,import!A:AA,10,0)</f>
        <v>0</v>
      </c>
      <c r="K143" s="135" t="s">
        <v>1199</v>
      </c>
      <c r="L143" s="135">
        <v>5.525305454E9</v>
      </c>
      <c r="M143" s="135" t="s">
        <v>1147</v>
      </c>
      <c r="N143" s="135" t="s">
        <v>1200</v>
      </c>
      <c r="O143" s="135" t="s">
        <v>1201</v>
      </c>
      <c r="P143" s="135" t="str">
        <f>VLOOKUP(A143,import!A:P,16,0)</f>
        <v>Geleneksel</v>
      </c>
      <c r="Q143" s="196"/>
      <c r="R143" s="196" t="b">
        <v>1</v>
      </c>
      <c r="S143" s="196" t="b">
        <v>1</v>
      </c>
      <c r="T143" s="197"/>
      <c r="U143" s="197"/>
      <c r="V143" s="197"/>
      <c r="W143" s="197" t="s">
        <v>1697</v>
      </c>
      <c r="X143" s="198"/>
      <c r="Y143" s="198"/>
      <c r="Z143" s="199"/>
      <c r="AA143" s="200" t="s">
        <v>1202</v>
      </c>
      <c r="AB143" s="201">
        <v>44351.0</v>
      </c>
      <c r="AC143" s="200" t="s">
        <v>1202</v>
      </c>
      <c r="AD143" s="201">
        <v>44354.0</v>
      </c>
      <c r="AE143" s="200" t="s">
        <v>1202</v>
      </c>
      <c r="AF143" s="201">
        <v>44379.0</v>
      </c>
      <c r="AG143" s="200" t="s">
        <v>1202</v>
      </c>
      <c r="AH143" s="201">
        <v>44390.0</v>
      </c>
      <c r="AI143" s="200" t="s">
        <v>1202</v>
      </c>
      <c r="AJ143" s="201">
        <v>44405.0</v>
      </c>
      <c r="AK143" s="200" t="s">
        <v>257</v>
      </c>
      <c r="AL143" s="200" t="s">
        <v>189</v>
      </c>
      <c r="AM143" s="200" t="s">
        <v>257</v>
      </c>
      <c r="AN143" s="200" t="s">
        <v>1255</v>
      </c>
      <c r="AO143" s="200" t="s">
        <v>1255</v>
      </c>
      <c r="AP143" s="202" t="s">
        <v>1152</v>
      </c>
      <c r="AQ143" s="200"/>
    </row>
    <row r="144">
      <c r="A144" s="135" t="s">
        <v>537</v>
      </c>
      <c r="B144" s="135" t="s">
        <v>538</v>
      </c>
      <c r="C144" s="135" t="str">
        <f>VLOOKUP(A144,import!A:C,3,0)</f>
        <v>DOĞRU</v>
      </c>
      <c r="D144" s="135" t="s">
        <v>1235</v>
      </c>
      <c r="E144" s="194">
        <f>VLOOKUP(A144,import!A:AA,5,0)</f>
        <v>266</v>
      </c>
      <c r="F144" s="194" t="str">
        <f>VLOOKUP(A144,import!A:AA,6,0)</f>
        <v/>
      </c>
      <c r="G144" s="135">
        <f>VLOOKUP(A144,import!A:AA,7,0)</f>
        <v>24</v>
      </c>
      <c r="H144" s="135">
        <f>VLOOKUP(A144,import!A:AA,8,0)</f>
        <v>17</v>
      </c>
      <c r="I144" s="135">
        <f>VLOOKUP(A144,import!A:AA,9,0)</f>
        <v>41</v>
      </c>
      <c r="J144" s="195">
        <f>VLOOKUP(A144,import!A:AA,10,0)</f>
        <v>0.59</v>
      </c>
      <c r="K144" s="135" t="s">
        <v>1698</v>
      </c>
      <c r="L144" s="135">
        <v>5.324709754E9</v>
      </c>
      <c r="M144" s="135" t="s">
        <v>1147</v>
      </c>
      <c r="N144" s="135" t="s">
        <v>1164</v>
      </c>
      <c r="O144" s="135" t="s">
        <v>1018</v>
      </c>
      <c r="P144" s="135" t="str">
        <f>VLOOKUP(A144,import!A:P,16,0)</f>
        <v>Geleneksel</v>
      </c>
      <c r="Q144" s="196"/>
      <c r="R144" s="196" t="b">
        <v>1</v>
      </c>
      <c r="S144" s="196" t="b">
        <v>0</v>
      </c>
      <c r="T144" s="197" t="s">
        <v>1165</v>
      </c>
      <c r="U144" s="197" t="s">
        <v>189</v>
      </c>
      <c r="V144" s="197" t="s">
        <v>91</v>
      </c>
      <c r="W144" s="197" t="s">
        <v>1699</v>
      </c>
      <c r="X144" s="198">
        <v>44337.0</v>
      </c>
      <c r="Y144" s="198">
        <v>44341.0</v>
      </c>
      <c r="Z144" s="199"/>
      <c r="AA144" s="199"/>
      <c r="AB144" s="199"/>
      <c r="AC144" s="199"/>
      <c r="AD144" s="199"/>
      <c r="AE144" s="105"/>
      <c r="AF144" s="199"/>
      <c r="AG144" s="105"/>
      <c r="AH144" s="199"/>
      <c r="AI144" s="199"/>
      <c r="AJ144" s="199"/>
      <c r="AK144" s="199"/>
      <c r="AL144" s="199"/>
      <c r="AM144" s="199"/>
      <c r="AN144" s="199"/>
      <c r="AO144" s="199"/>
      <c r="AP144" s="202" t="s">
        <v>1152</v>
      </c>
      <c r="AQ144" s="199"/>
    </row>
    <row r="145">
      <c r="A145" s="135" t="s">
        <v>1700</v>
      </c>
      <c r="B145" s="135" t="s">
        <v>1701</v>
      </c>
      <c r="C145" s="135" t="str">
        <f>VLOOKUP(A145,import!A:C,3,0)</f>
        <v>DOĞRU</v>
      </c>
      <c r="D145" s="135" t="s">
        <v>1155</v>
      </c>
      <c r="E145" s="194">
        <f>VLOOKUP(A145,import!A:AA,5,0)</f>
        <v>1950</v>
      </c>
      <c r="F145" s="194" t="str">
        <f>VLOOKUP(A145,import!A:AA,6,0)</f>
        <v/>
      </c>
      <c r="G145" s="135">
        <f>VLOOKUP(A145,import!A:AA,7,0)</f>
        <v>0</v>
      </c>
      <c r="H145" s="135">
        <f>VLOOKUP(A145,import!A:AA,8,0)</f>
        <v>30</v>
      </c>
      <c r="I145" s="135">
        <f>VLOOKUP(A145,import!A:AA,9,0)</f>
        <v>30</v>
      </c>
      <c r="J145" s="195">
        <f>VLOOKUP(A145,import!A:AA,10,0)</f>
        <v>0</v>
      </c>
      <c r="K145" s="135" t="s">
        <v>1702</v>
      </c>
      <c r="L145" s="135">
        <v>2.645029412E9</v>
      </c>
      <c r="M145" s="135" t="s">
        <v>1147</v>
      </c>
      <c r="N145" s="135" t="s">
        <v>1200</v>
      </c>
      <c r="O145" s="135" t="s">
        <v>1703</v>
      </c>
      <c r="P145" s="135" t="str">
        <f>VLOOKUP(A145,import!A:P,16,0)</f>
        <v>Geleneksel</v>
      </c>
      <c r="Q145" s="196"/>
      <c r="R145" s="196" t="b">
        <v>1</v>
      </c>
      <c r="S145" s="196" t="b">
        <v>0</v>
      </c>
      <c r="T145" s="197" t="s">
        <v>1202</v>
      </c>
      <c r="U145" s="197"/>
      <c r="V145" s="197"/>
      <c r="W145" s="197" t="s">
        <v>1704</v>
      </c>
      <c r="X145" s="198"/>
      <c r="Y145" s="198"/>
      <c r="Z145" s="199"/>
      <c r="AA145" s="200" t="s">
        <v>1202</v>
      </c>
      <c r="AB145" s="201">
        <v>44606.0</v>
      </c>
      <c r="AC145" s="199"/>
      <c r="AD145" s="199"/>
      <c r="AE145" s="105"/>
      <c r="AF145" s="199"/>
      <c r="AG145" s="105"/>
      <c r="AH145" s="199"/>
      <c r="AI145" s="199"/>
      <c r="AJ145" s="199"/>
      <c r="AK145" s="200" t="s">
        <v>1161</v>
      </c>
      <c r="AL145" s="199"/>
      <c r="AM145" s="199"/>
      <c r="AN145" s="199"/>
      <c r="AO145" s="199"/>
      <c r="AP145" s="202" t="s">
        <v>1152</v>
      </c>
      <c r="AQ145" s="199"/>
    </row>
    <row r="146">
      <c r="A146" s="135" t="s">
        <v>1015</v>
      </c>
      <c r="B146" s="135" t="s">
        <v>1016</v>
      </c>
      <c r="C146" s="135" t="str">
        <f>VLOOKUP(A146,import!A:C,3,0)</f>
        <v>DOĞRU</v>
      </c>
      <c r="D146" s="135" t="s">
        <v>1334</v>
      </c>
      <c r="E146" s="194">
        <f>VLOOKUP(A146,import!A:AA,5,0)</f>
        <v>69</v>
      </c>
      <c r="F146" s="194" t="str">
        <f>VLOOKUP(A146,import!A:AA,6,0)</f>
        <v/>
      </c>
      <c r="G146" s="135">
        <f>VLOOKUP(A146,import!A:AA,7,0)</f>
        <v>5</v>
      </c>
      <c r="H146" s="135">
        <f>VLOOKUP(A146,import!A:AA,8,0)</f>
        <v>15</v>
      </c>
      <c r="I146" s="135">
        <f>VLOOKUP(A146,import!A:AA,9,0)</f>
        <v>20</v>
      </c>
      <c r="J146" s="195">
        <f>VLOOKUP(A146,import!A:AA,10,0)</f>
        <v>0.25</v>
      </c>
      <c r="K146" s="135" t="s">
        <v>1705</v>
      </c>
      <c r="L146" s="135">
        <v>5.467437869E9</v>
      </c>
      <c r="M146" s="135" t="s">
        <v>1147</v>
      </c>
      <c r="N146" s="135" t="s">
        <v>1164</v>
      </c>
      <c r="O146" s="135" t="s">
        <v>1018</v>
      </c>
      <c r="P146" s="135" t="str">
        <f>VLOOKUP(A146,import!A:P,16,0)</f>
        <v>Geleneksel</v>
      </c>
      <c r="Q146" s="196"/>
      <c r="R146" s="196" t="b">
        <v>1</v>
      </c>
      <c r="S146" s="196" t="b">
        <v>0</v>
      </c>
      <c r="T146" s="197" t="s">
        <v>1165</v>
      </c>
      <c r="U146" s="197" t="s">
        <v>1006</v>
      </c>
      <c r="V146" s="207" t="s">
        <v>940</v>
      </c>
      <c r="W146" s="197" t="s">
        <v>1706</v>
      </c>
      <c r="X146" s="198">
        <v>44608.0</v>
      </c>
      <c r="Y146" s="198">
        <v>44609.0</v>
      </c>
      <c r="Z146" s="199"/>
      <c r="AA146" s="200" t="s">
        <v>1151</v>
      </c>
      <c r="AB146" s="201">
        <v>44376.0</v>
      </c>
      <c r="AC146" s="200" t="s">
        <v>1151</v>
      </c>
      <c r="AD146" s="201">
        <v>44608.0</v>
      </c>
      <c r="AE146" s="105"/>
      <c r="AF146" s="199"/>
      <c r="AG146" s="105"/>
      <c r="AH146" s="199"/>
      <c r="AI146" s="199"/>
      <c r="AJ146" s="199"/>
      <c r="AK146" s="200" t="s">
        <v>1006</v>
      </c>
      <c r="AL146" s="199"/>
      <c r="AM146" s="199"/>
      <c r="AN146" s="199"/>
      <c r="AO146" s="199"/>
      <c r="AP146" s="202" t="s">
        <v>1152</v>
      </c>
      <c r="AQ146" s="199"/>
    </row>
    <row r="147">
      <c r="A147" s="135" t="s">
        <v>1051</v>
      </c>
      <c r="B147" s="135" t="s">
        <v>1052</v>
      </c>
      <c r="C147" s="135" t="str">
        <f>VLOOKUP(A147,import!A:C,3,0)</f>
        <v>DOĞRU</v>
      </c>
      <c r="D147" s="135" t="s">
        <v>1155</v>
      </c>
      <c r="E147" s="194">
        <f>VLOOKUP(A147,import!A:AA,5,0)</f>
        <v>349</v>
      </c>
      <c r="F147" s="194">
        <f>VLOOKUP(A147,import!A:AA,6,0)</f>
        <v>21</v>
      </c>
      <c r="G147" s="135">
        <f>VLOOKUP(A147,import!A:AA,7,0)</f>
        <v>12</v>
      </c>
      <c r="H147" s="135">
        <f>VLOOKUP(A147,import!A:AA,8,0)</f>
        <v>31</v>
      </c>
      <c r="I147" s="135">
        <f>VLOOKUP(A147,import!A:AA,9,0)</f>
        <v>43</v>
      </c>
      <c r="J147" s="195">
        <f>VLOOKUP(A147,import!A:AA,10,0)</f>
        <v>0.28</v>
      </c>
      <c r="K147" s="135" t="s">
        <v>1707</v>
      </c>
      <c r="L147" s="135">
        <v>5.416521619E9</v>
      </c>
      <c r="M147" s="135" t="s">
        <v>1147</v>
      </c>
      <c r="N147" s="135" t="s">
        <v>1708</v>
      </c>
      <c r="O147" s="135" t="s">
        <v>1055</v>
      </c>
      <c r="P147" s="135" t="str">
        <f>VLOOKUP(A147,import!A:P,16,0)</f>
        <v>Geleneksel</v>
      </c>
      <c r="Q147" s="196"/>
      <c r="R147" s="196" t="b">
        <v>1</v>
      </c>
      <c r="S147" s="196" t="b">
        <v>0</v>
      </c>
      <c r="T147" s="197" t="s">
        <v>1165</v>
      </c>
      <c r="U147" s="197" t="s">
        <v>1061</v>
      </c>
      <c r="V147" s="207" t="s">
        <v>940</v>
      </c>
      <c r="W147" s="197"/>
      <c r="X147" s="198">
        <v>44613.0</v>
      </c>
      <c r="Y147" s="198">
        <v>44614.0</v>
      </c>
      <c r="Z147" s="199"/>
      <c r="AA147" s="200" t="s">
        <v>1151</v>
      </c>
      <c r="AB147" s="201">
        <v>44610.0</v>
      </c>
      <c r="AC147" s="200" t="s">
        <v>1151</v>
      </c>
      <c r="AD147" s="198">
        <v>44613.0</v>
      </c>
      <c r="AE147" s="105"/>
      <c r="AF147" s="199"/>
      <c r="AG147" s="105"/>
      <c r="AH147" s="199"/>
      <c r="AI147" s="199"/>
      <c r="AJ147" s="199"/>
      <c r="AK147" s="200" t="s">
        <v>1061</v>
      </c>
      <c r="AL147" s="200" t="s">
        <v>1061</v>
      </c>
      <c r="AM147" s="199"/>
      <c r="AN147" s="199"/>
      <c r="AO147" s="199"/>
      <c r="AP147" s="202" t="s">
        <v>1152</v>
      </c>
      <c r="AQ147" s="199"/>
    </row>
    <row r="148">
      <c r="A148" s="135" t="s">
        <v>1093</v>
      </c>
      <c r="B148" s="135" t="s">
        <v>1094</v>
      </c>
      <c r="C148" s="135" t="str">
        <f>VLOOKUP(A148,import!A:C,3,0)</f>
        <v>DOĞRU</v>
      </c>
      <c r="D148" s="135" t="s">
        <v>1302</v>
      </c>
      <c r="E148" s="194">
        <f>VLOOKUP(A148,import!A:AA,5,0)</f>
        <v>9</v>
      </c>
      <c r="F148" s="194" t="str">
        <f>VLOOKUP(A148,import!A:AA,6,0)</f>
        <v/>
      </c>
      <c r="G148" s="135">
        <f>VLOOKUP(A148,import!A:AA,7,0)</f>
        <v>9</v>
      </c>
      <c r="H148" s="135">
        <f>VLOOKUP(A148,import!A:AA,8,0)</f>
        <v>3</v>
      </c>
      <c r="I148" s="135">
        <f>VLOOKUP(A148,import!A:AA,9,0)</f>
        <v>12</v>
      </c>
      <c r="J148" s="195">
        <f>VLOOKUP(A148,import!A:AA,10,0)</f>
        <v>0.75</v>
      </c>
      <c r="K148" s="135" t="s">
        <v>1709</v>
      </c>
      <c r="L148" s="135">
        <v>5.34818488E9</v>
      </c>
      <c r="M148" s="135" t="s">
        <v>1172</v>
      </c>
      <c r="N148" s="135" t="s">
        <v>1379</v>
      </c>
      <c r="O148" s="135" t="s">
        <v>1710</v>
      </c>
      <c r="P148" s="135" t="str">
        <f>VLOOKUP(A148,import!A:P,16,0)</f>
        <v>Geleneksel</v>
      </c>
      <c r="Q148" s="196"/>
      <c r="R148" s="196" t="b">
        <v>1</v>
      </c>
      <c r="S148" s="196" t="b">
        <v>0</v>
      </c>
      <c r="T148" s="197" t="s">
        <v>1289</v>
      </c>
      <c r="U148" s="197"/>
      <c r="V148" s="207"/>
      <c r="W148" s="197" t="s">
        <v>1711</v>
      </c>
      <c r="X148" s="198"/>
      <c r="Y148" s="198"/>
      <c r="Z148" s="199"/>
      <c r="AA148" s="200" t="s">
        <v>1151</v>
      </c>
      <c r="AB148" s="201">
        <v>44621.0</v>
      </c>
      <c r="AC148" s="199"/>
      <c r="AD148" s="199"/>
      <c r="AE148" s="105"/>
      <c r="AF148" s="199"/>
      <c r="AG148" s="105"/>
      <c r="AH148" s="199"/>
      <c r="AI148" s="199"/>
      <c r="AJ148" s="199"/>
      <c r="AK148" s="200" t="s">
        <v>1024</v>
      </c>
      <c r="AL148" s="199"/>
      <c r="AM148" s="199"/>
      <c r="AN148" s="199"/>
      <c r="AO148" s="199"/>
      <c r="AP148" s="202"/>
      <c r="AQ148" s="199"/>
    </row>
    <row r="149">
      <c r="A149" s="135" t="s">
        <v>1712</v>
      </c>
      <c r="B149" s="135" t="s">
        <v>1713</v>
      </c>
      <c r="C149" s="135" t="str">
        <f>VLOOKUP(A149,import!A:C,3,0)</f>
        <v>DOĞRU</v>
      </c>
      <c r="D149" s="135" t="s">
        <v>1302</v>
      </c>
      <c r="E149" s="194">
        <f>VLOOKUP(A149,import!A:AA,5,0)</f>
        <v>31</v>
      </c>
      <c r="F149" s="194">
        <f>VLOOKUP(A149,import!A:AA,6,0)</f>
        <v>16</v>
      </c>
      <c r="G149" s="135">
        <f>VLOOKUP(A149,import!A:AA,7,0)</f>
        <v>17</v>
      </c>
      <c r="H149" s="135">
        <f>VLOOKUP(A149,import!A:AA,8,0)</f>
        <v>1</v>
      </c>
      <c r="I149" s="135">
        <f>VLOOKUP(A149,import!A:AA,9,0)</f>
        <v>18</v>
      </c>
      <c r="J149" s="195">
        <f>VLOOKUP(A149,import!A:AA,10,0)</f>
        <v>0.94</v>
      </c>
      <c r="K149" s="135" t="s">
        <v>1714</v>
      </c>
      <c r="L149" s="135">
        <v>5.416495054E9</v>
      </c>
      <c r="M149" s="135" t="s">
        <v>1172</v>
      </c>
      <c r="N149" s="135" t="s">
        <v>1715</v>
      </c>
      <c r="O149" s="135" t="s">
        <v>1716</v>
      </c>
      <c r="P149" s="135" t="str">
        <f>VLOOKUP(A149,import!A:P,16,0)</f>
        <v>Geleneksel</v>
      </c>
      <c r="Q149" s="196"/>
      <c r="R149" s="196" t="b">
        <v>0</v>
      </c>
      <c r="S149" s="196" t="b">
        <v>0</v>
      </c>
      <c r="T149" s="197"/>
      <c r="U149" s="197"/>
      <c r="V149" s="208"/>
      <c r="W149" s="197"/>
      <c r="X149" s="198"/>
      <c r="Y149" s="198"/>
      <c r="Z149" s="199"/>
      <c r="AA149" s="200"/>
      <c r="AB149" s="201"/>
      <c r="AC149" s="199"/>
      <c r="AD149" s="199"/>
      <c r="AE149" s="105"/>
      <c r="AF149" s="199"/>
      <c r="AG149" s="105"/>
      <c r="AH149" s="199"/>
      <c r="AI149" s="199"/>
      <c r="AJ149" s="199"/>
      <c r="AK149" s="200"/>
      <c r="AL149" s="199"/>
      <c r="AM149" s="199"/>
      <c r="AN149" s="199"/>
      <c r="AO149" s="199"/>
      <c r="AP149" s="202"/>
      <c r="AQ149" s="199"/>
    </row>
    <row r="150">
      <c r="A150" s="135" t="s">
        <v>1717</v>
      </c>
      <c r="B150" s="135" t="s">
        <v>1718</v>
      </c>
      <c r="C150" s="135" t="str">
        <f>VLOOKUP(A150,import!A:C,3,0)</f>
        <v>DOĞRU</v>
      </c>
      <c r="D150" s="135" t="s">
        <v>1302</v>
      </c>
      <c r="E150" s="194">
        <f>VLOOKUP(A150,import!A:AA,5,0)</f>
        <v>478</v>
      </c>
      <c r="F150" s="194">
        <f>VLOOKUP(A150,import!A:AA,6,0)</f>
        <v>60</v>
      </c>
      <c r="G150" s="135">
        <f>VLOOKUP(A150,import!A:AA,7,0)</f>
        <v>19</v>
      </c>
      <c r="H150" s="135">
        <f>VLOOKUP(A150,import!A:AA,8,0)</f>
        <v>1</v>
      </c>
      <c r="I150" s="135">
        <f>VLOOKUP(A150,import!A:AA,9,0)</f>
        <v>20</v>
      </c>
      <c r="J150" s="195">
        <f>VLOOKUP(A150,import!A:AA,10,0)</f>
        <v>0.95</v>
      </c>
      <c r="K150" s="135" t="s">
        <v>1719</v>
      </c>
      <c r="L150" s="135">
        <v>5.079728708E9</v>
      </c>
      <c r="M150" s="135" t="s">
        <v>1147</v>
      </c>
      <c r="N150" s="135" t="s">
        <v>1164</v>
      </c>
      <c r="O150" s="135" t="s">
        <v>1720</v>
      </c>
      <c r="P150" s="135" t="str">
        <f>VLOOKUP(A150,import!A:P,16,0)</f>
        <v>Geleneksel</v>
      </c>
      <c r="Q150" s="196"/>
      <c r="R150" s="196" t="b">
        <v>1</v>
      </c>
      <c r="S150" s="196" t="b">
        <v>1</v>
      </c>
      <c r="T150" s="197"/>
      <c r="U150" s="197"/>
      <c r="V150" s="197"/>
      <c r="W150" s="197" t="s">
        <v>1721</v>
      </c>
      <c r="X150" s="198"/>
      <c r="Y150" s="198"/>
      <c r="Z150" s="199"/>
      <c r="AA150" s="200" t="s">
        <v>1151</v>
      </c>
      <c r="AB150" s="201">
        <v>44376.0</v>
      </c>
      <c r="AC150" s="200" t="s">
        <v>1151</v>
      </c>
      <c r="AD150" s="201">
        <v>44379.0</v>
      </c>
      <c r="AE150" s="200" t="s">
        <v>1202</v>
      </c>
      <c r="AF150" s="201">
        <v>44405.0</v>
      </c>
      <c r="AG150" s="105"/>
      <c r="AH150" s="199"/>
      <c r="AI150" s="199"/>
      <c r="AJ150" s="199"/>
      <c r="AK150" s="200" t="s">
        <v>1518</v>
      </c>
      <c r="AL150" s="200" t="s">
        <v>257</v>
      </c>
      <c r="AM150" s="200" t="s">
        <v>1255</v>
      </c>
      <c r="AN150" s="199"/>
      <c r="AO150" s="199"/>
      <c r="AP150" s="202" t="s">
        <v>1152</v>
      </c>
      <c r="AQ150" s="199"/>
    </row>
    <row r="151">
      <c r="A151" s="135" t="s">
        <v>1722</v>
      </c>
      <c r="B151" s="135" t="s">
        <v>1723</v>
      </c>
      <c r="C151" s="135" t="str">
        <f>VLOOKUP(A151,import!A:C,3,0)</f>
        <v>DOĞRU</v>
      </c>
      <c r="D151" s="135" t="s">
        <v>1188</v>
      </c>
      <c r="E151" s="194">
        <f>VLOOKUP(A151,import!A:AA,5,0)</f>
        <v>1256</v>
      </c>
      <c r="F151" s="194">
        <f>VLOOKUP(A151,import!A:AA,6,0)</f>
        <v>16</v>
      </c>
      <c r="G151" s="135">
        <f>VLOOKUP(A151,import!A:AA,7,0)</f>
        <v>5</v>
      </c>
      <c r="H151" s="135">
        <f>VLOOKUP(A151,import!A:AA,8,0)</f>
        <v>8</v>
      </c>
      <c r="I151" s="135">
        <f>VLOOKUP(A151,import!A:AA,9,0)</f>
        <v>13</v>
      </c>
      <c r="J151" s="195">
        <f>VLOOKUP(A151,import!A:AA,10,0)</f>
        <v>0.38</v>
      </c>
      <c r="K151" s="135" t="s">
        <v>1724</v>
      </c>
      <c r="L151" s="135">
        <v>5.355682787E9</v>
      </c>
      <c r="M151" s="135" t="s">
        <v>1172</v>
      </c>
      <c r="N151" s="135" t="s">
        <v>1190</v>
      </c>
      <c r="O151" s="135" t="s">
        <v>1725</v>
      </c>
      <c r="P151" s="135" t="str">
        <f>VLOOKUP(A151,import!A:P,16,0)</f>
        <v>Geleneksel</v>
      </c>
      <c r="Q151" s="196"/>
      <c r="R151" s="196" t="b">
        <v>1</v>
      </c>
      <c r="S151" s="196" t="b">
        <v>0</v>
      </c>
      <c r="T151" s="211" t="s">
        <v>1373</v>
      </c>
      <c r="U151" s="211"/>
      <c r="V151" s="211"/>
      <c r="W151" s="216" t="s">
        <v>1726</v>
      </c>
      <c r="X151" s="214"/>
      <c r="Y151" s="214"/>
      <c r="Z151" s="199"/>
      <c r="AA151" s="200" t="s">
        <v>1151</v>
      </c>
      <c r="AB151" s="201">
        <v>44384.0</v>
      </c>
      <c r="AC151" s="199"/>
      <c r="AD151" s="199"/>
      <c r="AE151" s="105"/>
      <c r="AF151" s="199"/>
      <c r="AG151" s="105"/>
      <c r="AH151" s="199"/>
      <c r="AI151" s="199"/>
      <c r="AJ151" s="199"/>
      <c r="AK151" s="200" t="s">
        <v>189</v>
      </c>
      <c r="AL151" s="199"/>
      <c r="AM151" s="199"/>
      <c r="AN151" s="199"/>
      <c r="AO151" s="199"/>
      <c r="AP151" s="202" t="s">
        <v>1152</v>
      </c>
      <c r="AQ151" s="199"/>
    </row>
    <row r="152">
      <c r="A152" s="135" t="s">
        <v>1727</v>
      </c>
      <c r="B152" s="135" t="s">
        <v>1728</v>
      </c>
      <c r="C152" s="135" t="str">
        <f>VLOOKUP(A152,import!A:C,3,0)</f>
        <v>DOĞRU</v>
      </c>
      <c r="D152" s="135" t="s">
        <v>1188</v>
      </c>
      <c r="E152" s="194">
        <f>VLOOKUP(A152,import!A:AA,5,0)</f>
        <v>1588</v>
      </c>
      <c r="F152" s="194">
        <f>VLOOKUP(A152,import!A:AA,6,0)</f>
        <v>32</v>
      </c>
      <c r="G152" s="135">
        <f>VLOOKUP(A152,import!A:AA,7,0)</f>
        <v>3</v>
      </c>
      <c r="H152" s="135">
        <f>VLOOKUP(A152,import!A:AA,8,0)</f>
        <v>16</v>
      </c>
      <c r="I152" s="135">
        <f>VLOOKUP(A152,import!A:AA,9,0)</f>
        <v>19</v>
      </c>
      <c r="J152" s="195">
        <f>VLOOKUP(A152,import!A:AA,10,0)</f>
        <v>0.16</v>
      </c>
      <c r="K152" s="135" t="s">
        <v>1724</v>
      </c>
      <c r="L152" s="135">
        <v>5.453773963E9</v>
      </c>
      <c r="M152" s="135" t="s">
        <v>1147</v>
      </c>
      <c r="N152" s="135" t="s">
        <v>1200</v>
      </c>
      <c r="O152" s="135" t="s">
        <v>1729</v>
      </c>
      <c r="P152" s="135" t="str">
        <f>VLOOKUP(A152,import!A:P,16,0)</f>
        <v>Geleneksel</v>
      </c>
      <c r="Q152" s="196"/>
      <c r="R152" s="196" t="b">
        <v>1</v>
      </c>
      <c r="S152" s="196" t="b">
        <v>0</v>
      </c>
      <c r="T152" s="211" t="s">
        <v>1373</v>
      </c>
      <c r="U152" s="211"/>
      <c r="V152" s="211"/>
      <c r="W152" s="211"/>
      <c r="X152" s="214"/>
      <c r="Y152" s="214"/>
      <c r="Z152" s="199"/>
      <c r="AA152" s="200" t="s">
        <v>1151</v>
      </c>
      <c r="AB152" s="201">
        <v>44384.0</v>
      </c>
      <c r="AC152" s="199"/>
      <c r="AD152" s="199"/>
      <c r="AE152" s="105"/>
      <c r="AF152" s="199"/>
      <c r="AG152" s="105"/>
      <c r="AH152" s="199"/>
      <c r="AI152" s="199"/>
      <c r="AJ152" s="199"/>
      <c r="AK152" s="200" t="s">
        <v>189</v>
      </c>
      <c r="AL152" s="199"/>
      <c r="AM152" s="199"/>
      <c r="AN152" s="199"/>
      <c r="AO152" s="199"/>
      <c r="AP152" s="202" t="s">
        <v>1152</v>
      </c>
      <c r="AQ152" s="199"/>
    </row>
    <row r="153">
      <c r="A153" s="135" t="s">
        <v>552</v>
      </c>
      <c r="B153" s="135" t="s">
        <v>553</v>
      </c>
      <c r="C153" s="135" t="str">
        <f>VLOOKUP(A153,import!A:C,3,0)</f>
        <v>YANLIŞ</v>
      </c>
      <c r="D153" s="135" t="s">
        <v>1302</v>
      </c>
      <c r="E153" s="194">
        <f>VLOOKUP(A153,import!A:AA,5,0)</f>
        <v>73</v>
      </c>
      <c r="F153" s="194" t="str">
        <f>VLOOKUP(A153,import!A:AA,6,0)</f>
        <v/>
      </c>
      <c r="G153" s="135">
        <f>VLOOKUP(A153,import!A:AA,7,0)</f>
        <v>48</v>
      </c>
      <c r="H153" s="135">
        <f>VLOOKUP(A153,import!A:AA,8,0)</f>
        <v>10</v>
      </c>
      <c r="I153" s="135">
        <f>VLOOKUP(A153,import!A:AA,9,0)</f>
        <v>58</v>
      </c>
      <c r="J153" s="195">
        <f>VLOOKUP(A153,import!A:AA,10,0)</f>
        <v>0.83</v>
      </c>
      <c r="K153" s="135" t="s">
        <v>1730</v>
      </c>
      <c r="L153" s="135">
        <v>2.6421108E9</v>
      </c>
      <c r="M153" s="135" t="s">
        <v>1147</v>
      </c>
      <c r="N153" s="135" t="s">
        <v>1164</v>
      </c>
      <c r="O153" s="135" t="s">
        <v>555</v>
      </c>
      <c r="P153" s="135" t="str">
        <f>VLOOKUP(A153,import!A:P,16,0)</f>
        <v>Geleneksel</v>
      </c>
      <c r="Q153" s="196"/>
      <c r="R153" s="196" t="b">
        <v>1</v>
      </c>
      <c r="S153" s="196" t="b">
        <v>0</v>
      </c>
      <c r="T153" s="197" t="s">
        <v>1165</v>
      </c>
      <c r="U153" s="197" t="s">
        <v>257</v>
      </c>
      <c r="V153" s="197" t="s">
        <v>91</v>
      </c>
      <c r="W153" s="197" t="s">
        <v>1731</v>
      </c>
      <c r="X153" s="198">
        <v>44340.0</v>
      </c>
      <c r="Y153" s="198">
        <v>44342.0</v>
      </c>
      <c r="Z153" s="199"/>
      <c r="AA153" s="199"/>
      <c r="AB153" s="199"/>
      <c r="AC153" s="199"/>
      <c r="AD153" s="199"/>
      <c r="AE153" s="105"/>
      <c r="AF153" s="199"/>
      <c r="AG153" s="105"/>
      <c r="AH153" s="199"/>
      <c r="AI153" s="199"/>
      <c r="AJ153" s="199"/>
      <c r="AK153" s="199"/>
      <c r="AL153" s="199"/>
      <c r="AM153" s="199"/>
      <c r="AN153" s="199"/>
      <c r="AO153" s="199"/>
      <c r="AP153" s="202" t="s">
        <v>1152</v>
      </c>
      <c r="AQ153" s="199"/>
    </row>
    <row r="154">
      <c r="A154" s="135" t="s">
        <v>668</v>
      </c>
      <c r="B154" s="135" t="s">
        <v>669</v>
      </c>
      <c r="C154" s="135" t="str">
        <f>VLOOKUP(A154,import!A:C,3,0)</f>
        <v>DOĞRU</v>
      </c>
      <c r="D154" s="135" t="s">
        <v>1182</v>
      </c>
      <c r="E154" s="194">
        <f>VLOOKUP(A154,import!A:AA,5,0)</f>
        <v>422</v>
      </c>
      <c r="F154" s="194">
        <f>VLOOKUP(A154,import!A:AA,6,0)</f>
        <v>18</v>
      </c>
      <c r="G154" s="135">
        <f>VLOOKUP(A154,import!A:AA,7,0)</f>
        <v>6</v>
      </c>
      <c r="H154" s="135">
        <f>VLOOKUP(A154,import!A:AA,8,0)</f>
        <v>2</v>
      </c>
      <c r="I154" s="135">
        <f>VLOOKUP(A154,import!A:AA,9,0)</f>
        <v>8</v>
      </c>
      <c r="J154" s="195">
        <f>VLOOKUP(A154,import!A:AA,10,0)</f>
        <v>0.75</v>
      </c>
      <c r="K154" s="135" t="s">
        <v>1732</v>
      </c>
      <c r="L154" s="135">
        <v>5.061419208E9</v>
      </c>
      <c r="M154" s="135" t="s">
        <v>1147</v>
      </c>
      <c r="N154" s="135" t="s">
        <v>1164</v>
      </c>
      <c r="O154" s="135" t="s">
        <v>671</v>
      </c>
      <c r="P154" s="135" t="str">
        <f>VLOOKUP(A154,import!A:P,16,0)</f>
        <v>Geleneksel</v>
      </c>
      <c r="Q154" s="196"/>
      <c r="R154" s="196" t="b">
        <v>1</v>
      </c>
      <c r="S154" s="196" t="b">
        <v>0</v>
      </c>
      <c r="T154" s="211" t="s">
        <v>1165</v>
      </c>
      <c r="U154" s="211" t="s">
        <v>189</v>
      </c>
      <c r="V154" s="211" t="s">
        <v>91</v>
      </c>
      <c r="W154" s="217" t="s">
        <v>1733</v>
      </c>
      <c r="X154" s="214">
        <v>44349.0</v>
      </c>
      <c r="Y154" s="214">
        <v>44351.0</v>
      </c>
      <c r="Z154" s="199"/>
      <c r="AA154" s="200" t="s">
        <v>1151</v>
      </c>
      <c r="AB154" s="201">
        <v>44349.0</v>
      </c>
      <c r="AC154" s="199"/>
      <c r="AD154" s="199"/>
      <c r="AE154" s="105"/>
      <c r="AF154" s="199"/>
      <c r="AG154" s="105"/>
      <c r="AH154" s="199"/>
      <c r="AI154" s="199"/>
      <c r="AJ154" s="199"/>
      <c r="AK154" s="200" t="s">
        <v>1232</v>
      </c>
      <c r="AL154" s="199"/>
      <c r="AM154" s="199"/>
      <c r="AN154" s="199"/>
      <c r="AO154" s="199"/>
      <c r="AP154" s="202" t="s">
        <v>1152</v>
      </c>
      <c r="AQ154" s="199"/>
    </row>
    <row r="155">
      <c r="A155" s="135" t="s">
        <v>1734</v>
      </c>
      <c r="B155" s="135" t="s">
        <v>1735</v>
      </c>
      <c r="C155" s="135" t="str">
        <f>VLOOKUP(A155,import!A:C,3,0)</f>
        <v>DOĞRU</v>
      </c>
      <c r="D155" s="135" t="s">
        <v>1226</v>
      </c>
      <c r="E155" s="194">
        <f>VLOOKUP(A155,import!A:AA,5,0)</f>
        <v>532</v>
      </c>
      <c r="F155" s="194">
        <f>VLOOKUP(A155,import!A:AA,6,0)</f>
        <v>11</v>
      </c>
      <c r="G155" s="135">
        <f>VLOOKUP(A155,import!A:AA,7,0)</f>
        <v>0</v>
      </c>
      <c r="H155" s="135">
        <f>VLOOKUP(A155,import!A:AA,8,0)</f>
        <v>33</v>
      </c>
      <c r="I155" s="135">
        <f>VLOOKUP(A155,import!A:AA,9,0)</f>
        <v>33</v>
      </c>
      <c r="J155" s="195">
        <f>VLOOKUP(A155,import!A:AA,10,0)</f>
        <v>0</v>
      </c>
      <c r="K155" s="135" t="s">
        <v>1736</v>
      </c>
      <c r="L155" s="135">
        <v>5.320641254E9</v>
      </c>
      <c r="M155" s="135" t="s">
        <v>1318</v>
      </c>
      <c r="N155" s="135" t="s">
        <v>1319</v>
      </c>
      <c r="O155" s="135" t="s">
        <v>1737</v>
      </c>
      <c r="P155" s="135" t="str">
        <f>VLOOKUP(A155,import!A:P,16,0)</f>
        <v>Geleneksel</v>
      </c>
      <c r="Q155" s="196"/>
      <c r="R155" s="196" t="b">
        <v>1</v>
      </c>
      <c r="S155" s="196" t="b">
        <v>1</v>
      </c>
      <c r="T155" s="197"/>
      <c r="U155" s="204"/>
      <c r="V155" s="204"/>
      <c r="W155" s="197" t="s">
        <v>1738</v>
      </c>
      <c r="X155" s="206"/>
      <c r="Y155" s="206"/>
      <c r="Z155" s="199"/>
      <c r="AA155" s="200" t="s">
        <v>1202</v>
      </c>
      <c r="AB155" s="201">
        <v>44354.0</v>
      </c>
      <c r="AC155" s="200" t="s">
        <v>1151</v>
      </c>
      <c r="AD155" s="201">
        <v>44379.0</v>
      </c>
      <c r="AE155" s="105"/>
      <c r="AF155" s="199"/>
      <c r="AG155" s="105"/>
      <c r="AH155" s="199"/>
      <c r="AI155" s="199"/>
      <c r="AJ155" s="199"/>
      <c r="AK155" s="200" t="s">
        <v>189</v>
      </c>
      <c r="AL155" s="200" t="s">
        <v>257</v>
      </c>
      <c r="AM155" s="199"/>
      <c r="AN155" s="199"/>
      <c r="AO155" s="199"/>
      <c r="AP155" s="202" t="s">
        <v>1152</v>
      </c>
      <c r="AQ155" s="199"/>
    </row>
    <row r="156">
      <c r="A156" s="135" t="s">
        <v>1739</v>
      </c>
      <c r="B156" s="135" t="s">
        <v>1740</v>
      </c>
      <c r="C156" s="135" t="str">
        <f>VLOOKUP(A156,import!A:C,3,0)</f>
        <v>DOĞRU</v>
      </c>
      <c r="D156" s="135" t="s">
        <v>1341</v>
      </c>
      <c r="E156" s="194">
        <f>VLOOKUP(A156,import!A:AA,5,0)</f>
        <v>414</v>
      </c>
      <c r="F156" s="194">
        <f>VLOOKUP(A156,import!A:AA,6,0)</f>
        <v>25</v>
      </c>
      <c r="G156" s="135">
        <f>VLOOKUP(A156,import!A:AA,7,0)</f>
        <v>0</v>
      </c>
      <c r="H156" s="135">
        <f>VLOOKUP(A156,import!A:AA,8,0)</f>
        <v>28</v>
      </c>
      <c r="I156" s="135">
        <f>VLOOKUP(A156,import!A:AA,9,0)</f>
        <v>28</v>
      </c>
      <c r="J156" s="195">
        <f>VLOOKUP(A156,import!A:AA,10,0)</f>
        <v>0</v>
      </c>
      <c r="K156" s="135" t="s">
        <v>1741</v>
      </c>
      <c r="L156" s="135">
        <v>5.34320359E9</v>
      </c>
      <c r="M156" s="135" t="s">
        <v>1463</v>
      </c>
      <c r="N156" s="135" t="s">
        <v>1464</v>
      </c>
      <c r="O156" s="135" t="s">
        <v>1742</v>
      </c>
      <c r="P156" s="135" t="str">
        <f>VLOOKUP(A156,import!A:P,16,0)</f>
        <v>Geleneksel</v>
      </c>
      <c r="Q156" s="196"/>
      <c r="R156" s="196" t="b">
        <v>1</v>
      </c>
      <c r="S156" s="196" t="b">
        <v>1</v>
      </c>
      <c r="T156" s="197"/>
      <c r="U156" s="197"/>
      <c r="V156" s="197"/>
      <c r="W156" s="197" t="s">
        <v>1743</v>
      </c>
      <c r="X156" s="198"/>
      <c r="Y156" s="198"/>
      <c r="Z156" s="199"/>
      <c r="AA156" s="200" t="s">
        <v>1202</v>
      </c>
      <c r="AB156" s="201">
        <v>44379.0</v>
      </c>
      <c r="AC156" s="200" t="s">
        <v>1151</v>
      </c>
      <c r="AD156" s="201">
        <v>44390.0</v>
      </c>
      <c r="AE156" s="105"/>
      <c r="AF156" s="199"/>
      <c r="AG156" s="105"/>
      <c r="AH156" s="199"/>
      <c r="AI156" s="199"/>
      <c r="AJ156" s="199"/>
      <c r="AK156" s="200" t="s">
        <v>257</v>
      </c>
      <c r="AL156" s="200" t="s">
        <v>1255</v>
      </c>
      <c r="AM156" s="199"/>
      <c r="AN156" s="199"/>
      <c r="AO156" s="199"/>
      <c r="AP156" s="202" t="s">
        <v>1152</v>
      </c>
      <c r="AQ156" s="199"/>
    </row>
    <row r="157">
      <c r="A157" s="135" t="s">
        <v>1744</v>
      </c>
      <c r="B157" s="135" t="s">
        <v>1745</v>
      </c>
      <c r="C157" s="135" t="str">
        <f>VLOOKUP(A157,import!A:C,3,0)</f>
        <v>DOĞRU</v>
      </c>
      <c r="D157" s="135" t="s">
        <v>1145</v>
      </c>
      <c r="E157" s="194">
        <f>VLOOKUP(A157,import!A:AA,5,0)</f>
        <v>4509</v>
      </c>
      <c r="F157" s="194">
        <f>VLOOKUP(A157,import!A:AA,6,0)</f>
        <v>77</v>
      </c>
      <c r="G157" s="135">
        <f>VLOOKUP(A157,import!A:AA,7,0)</f>
        <v>10</v>
      </c>
      <c r="H157" s="135">
        <f>VLOOKUP(A157,import!A:AA,8,0)</f>
        <v>23</v>
      </c>
      <c r="I157" s="135">
        <f>VLOOKUP(A157,import!A:AA,9,0)</f>
        <v>33</v>
      </c>
      <c r="J157" s="195">
        <f>VLOOKUP(A157,import!A:AA,10,0)</f>
        <v>0.3</v>
      </c>
      <c r="K157" s="135" t="s">
        <v>1746</v>
      </c>
      <c r="L157" s="135">
        <v>5.36964795E9</v>
      </c>
      <c r="M157" s="135" t="s">
        <v>1147</v>
      </c>
      <c r="N157" s="135" t="s">
        <v>1164</v>
      </c>
      <c r="O157" s="135" t="s">
        <v>1747</v>
      </c>
      <c r="P157" s="135" t="str">
        <f>VLOOKUP(A157,import!A:P,16,0)</f>
        <v>Geleneksel</v>
      </c>
      <c r="Q157" s="196"/>
      <c r="R157" s="196" t="b">
        <v>1</v>
      </c>
      <c r="S157" s="196" t="b">
        <v>1</v>
      </c>
      <c r="T157" s="197"/>
      <c r="U157" s="197"/>
      <c r="V157" s="197"/>
      <c r="W157" s="197" t="s">
        <v>1748</v>
      </c>
      <c r="X157" s="198"/>
      <c r="Y157" s="198"/>
      <c r="Z157" s="199"/>
      <c r="AA157" s="200" t="s">
        <v>1151</v>
      </c>
      <c r="AB157" s="201">
        <v>44354.0</v>
      </c>
      <c r="AC157" s="200" t="s">
        <v>1151</v>
      </c>
      <c r="AD157" s="201">
        <v>44379.0</v>
      </c>
      <c r="AE157" s="105"/>
      <c r="AF157" s="199"/>
      <c r="AG157" s="105"/>
      <c r="AH157" s="199"/>
      <c r="AI157" s="199"/>
      <c r="AJ157" s="199"/>
      <c r="AK157" s="200" t="s">
        <v>189</v>
      </c>
      <c r="AL157" s="200" t="s">
        <v>257</v>
      </c>
      <c r="AM157" s="199"/>
      <c r="AN157" s="199"/>
      <c r="AO157" s="199"/>
      <c r="AP157" s="202" t="s">
        <v>1152</v>
      </c>
      <c r="AQ157" s="199"/>
    </row>
    <row r="158">
      <c r="A158" s="135" t="s">
        <v>900</v>
      </c>
      <c r="B158" s="135" t="s">
        <v>901</v>
      </c>
      <c r="C158" s="135" t="str">
        <f>VLOOKUP(A158,import!A:C,3,0)</f>
        <v>YANLIŞ</v>
      </c>
      <c r="D158" s="135" t="s">
        <v>1155</v>
      </c>
      <c r="E158" s="194">
        <f>VLOOKUP(A158,import!A:AA,5,0)</f>
        <v>93</v>
      </c>
      <c r="F158" s="194" t="str">
        <f>VLOOKUP(A158,import!A:AA,6,0)</f>
        <v/>
      </c>
      <c r="G158" s="135">
        <f>VLOOKUP(A158,import!A:AA,7,0)</f>
        <v>22</v>
      </c>
      <c r="H158" s="135">
        <f>VLOOKUP(A158,import!A:AA,8,0)</f>
        <v>16</v>
      </c>
      <c r="I158" s="135">
        <f>VLOOKUP(A158,import!A:AA,9,0)</f>
        <v>38</v>
      </c>
      <c r="J158" s="195">
        <f>VLOOKUP(A158,import!A:AA,10,0)</f>
        <v>0.58</v>
      </c>
      <c r="K158" s="135" t="s">
        <v>1749</v>
      </c>
      <c r="L158" s="135">
        <v>2.642411919E9</v>
      </c>
      <c r="M158" s="135" t="s">
        <v>1177</v>
      </c>
      <c r="N158" s="135" t="s">
        <v>1607</v>
      </c>
      <c r="O158" s="135" t="s">
        <v>1750</v>
      </c>
      <c r="P158" s="135" t="str">
        <f>VLOOKUP(A158,import!A:P,16,0)</f>
        <v>Geleneksel</v>
      </c>
      <c r="Q158" s="196"/>
      <c r="R158" s="196" t="b">
        <v>1</v>
      </c>
      <c r="S158" s="196" t="b">
        <v>0</v>
      </c>
      <c r="T158" s="211" t="s">
        <v>1165</v>
      </c>
      <c r="U158" s="211" t="s">
        <v>92</v>
      </c>
      <c r="V158" s="218" t="s">
        <v>91</v>
      </c>
      <c r="W158" s="219" t="s">
        <v>1751</v>
      </c>
      <c r="X158" s="214">
        <v>44377.0</v>
      </c>
      <c r="Y158" s="214">
        <v>44378.0</v>
      </c>
      <c r="Z158" s="199"/>
      <c r="AA158" s="200" t="s">
        <v>1202</v>
      </c>
      <c r="AB158" s="201">
        <v>44354.0</v>
      </c>
      <c r="AC158" s="200" t="s">
        <v>1151</v>
      </c>
      <c r="AD158" s="201">
        <v>44376.0</v>
      </c>
      <c r="AE158" s="200" t="s">
        <v>1151</v>
      </c>
      <c r="AF158" s="201">
        <v>44377.0</v>
      </c>
      <c r="AG158" s="200" t="s">
        <v>1202</v>
      </c>
      <c r="AH158" s="201">
        <v>44384.0</v>
      </c>
      <c r="AI158" s="200" t="s">
        <v>1277</v>
      </c>
      <c r="AJ158" s="201">
        <v>44384.0</v>
      </c>
      <c r="AK158" s="200" t="s">
        <v>189</v>
      </c>
      <c r="AL158" s="200" t="s">
        <v>189</v>
      </c>
      <c r="AM158" s="200" t="s">
        <v>92</v>
      </c>
      <c r="AN158" s="200" t="s">
        <v>189</v>
      </c>
      <c r="AO158" s="200" t="s">
        <v>189</v>
      </c>
      <c r="AP158" s="202" t="s">
        <v>1152</v>
      </c>
      <c r="AQ158" s="200"/>
    </row>
    <row r="159">
      <c r="A159" s="135" t="s">
        <v>1752</v>
      </c>
      <c r="B159" s="135" t="s">
        <v>1753</v>
      </c>
      <c r="C159" s="135" t="str">
        <f>VLOOKUP(A159,import!A:C,3,0)</f>
        <v>DOĞRU</v>
      </c>
      <c r="D159" s="135" t="s">
        <v>1155</v>
      </c>
      <c r="E159" s="194">
        <f>VLOOKUP(A159,import!A:AA,5,0)</f>
        <v>239</v>
      </c>
      <c r="F159" s="194" t="str">
        <f>VLOOKUP(A159,import!A:AA,6,0)</f>
        <v/>
      </c>
      <c r="G159" s="135">
        <f>VLOOKUP(A159,import!A:AA,7,0)</f>
        <v>0</v>
      </c>
      <c r="H159" s="135">
        <f>VLOOKUP(A159,import!A:AA,8,0)</f>
        <v>24</v>
      </c>
      <c r="I159" s="135">
        <f>VLOOKUP(A159,import!A:AA,9,0)</f>
        <v>24</v>
      </c>
      <c r="J159" s="195">
        <f>VLOOKUP(A159,import!A:AA,10,0)</f>
        <v>0</v>
      </c>
      <c r="K159" s="135" t="s">
        <v>1754</v>
      </c>
      <c r="L159" s="135">
        <v>5.374488134E9</v>
      </c>
      <c r="M159" s="135" t="s">
        <v>1242</v>
      </c>
      <c r="N159" s="135" t="s">
        <v>1243</v>
      </c>
      <c r="O159" s="135" t="s">
        <v>1755</v>
      </c>
      <c r="P159" s="135" t="str">
        <f>VLOOKUP(A159,import!A:P,16,0)</f>
        <v>Geleneksel</v>
      </c>
      <c r="Q159" s="196"/>
      <c r="R159" s="196" t="b">
        <v>0</v>
      </c>
      <c r="S159" s="196" t="b">
        <v>0</v>
      </c>
      <c r="T159" s="197"/>
      <c r="U159" s="197"/>
      <c r="V159" s="197"/>
      <c r="W159" s="197"/>
      <c r="X159" s="198"/>
      <c r="Y159" s="198"/>
      <c r="Z159" s="199"/>
      <c r="AA159" s="199"/>
      <c r="AB159" s="199"/>
      <c r="AC159" s="199"/>
      <c r="AD159" s="199"/>
      <c r="AE159" s="105"/>
      <c r="AF159" s="199"/>
      <c r="AG159" s="105"/>
      <c r="AH159" s="199"/>
      <c r="AI159" s="199"/>
      <c r="AJ159" s="199"/>
      <c r="AK159" s="199"/>
      <c r="AL159" s="199"/>
      <c r="AM159" s="199"/>
      <c r="AN159" s="199"/>
      <c r="AO159" s="199"/>
      <c r="AP159" s="202" t="s">
        <v>1152</v>
      </c>
      <c r="AQ159" s="199"/>
    </row>
    <row r="160">
      <c r="A160" s="135" t="s">
        <v>600</v>
      </c>
      <c r="B160" s="135" t="s">
        <v>601</v>
      </c>
      <c r="C160" s="135" t="str">
        <f>VLOOKUP(A160,import!A:C,3,0)</f>
        <v>YANLIŞ</v>
      </c>
      <c r="D160" s="135" t="s">
        <v>1188</v>
      </c>
      <c r="E160" s="194">
        <f>VLOOKUP(A160,import!A:AA,5,0)</f>
        <v>1</v>
      </c>
      <c r="F160" s="194" t="str">
        <f>VLOOKUP(A160,import!A:AA,6,0)</f>
        <v/>
      </c>
      <c r="G160" s="135">
        <f>VLOOKUP(A160,import!A:AA,7,0)</f>
        <v>10</v>
      </c>
      <c r="H160" s="135">
        <f>VLOOKUP(A160,import!A:AA,8,0)</f>
        <v>1</v>
      </c>
      <c r="I160" s="135">
        <f>VLOOKUP(A160,import!A:AA,9,0)</f>
        <v>11</v>
      </c>
      <c r="J160" s="195">
        <f>VLOOKUP(A160,import!A:AA,10,0)</f>
        <v>0.91</v>
      </c>
      <c r="K160" s="135" t="s">
        <v>1756</v>
      </c>
      <c r="L160" s="135">
        <v>5.494545434E9</v>
      </c>
      <c r="M160" s="135" t="s">
        <v>1147</v>
      </c>
      <c r="N160" s="135" t="s">
        <v>1157</v>
      </c>
      <c r="O160" s="135" t="s">
        <v>604</v>
      </c>
      <c r="P160" s="135" t="str">
        <f>VLOOKUP(A160,import!A:P,16,0)</f>
        <v>Geleneksel</v>
      </c>
      <c r="Q160" s="196"/>
      <c r="R160" s="196" t="b">
        <v>1</v>
      </c>
      <c r="S160" s="196" t="b">
        <v>0</v>
      </c>
      <c r="T160" s="197" t="s">
        <v>1165</v>
      </c>
      <c r="U160" s="197" t="s">
        <v>189</v>
      </c>
      <c r="V160" s="197" t="s">
        <v>91</v>
      </c>
      <c r="W160" s="197"/>
      <c r="X160" s="198">
        <v>44343.0</v>
      </c>
      <c r="Y160" s="198">
        <v>44347.0</v>
      </c>
      <c r="Z160" s="199"/>
      <c r="AA160" s="199"/>
      <c r="AB160" s="199"/>
      <c r="AC160" s="199"/>
      <c r="AD160" s="199"/>
      <c r="AE160" s="105"/>
      <c r="AF160" s="199"/>
      <c r="AG160" s="105"/>
      <c r="AH160" s="199"/>
      <c r="AI160" s="199"/>
      <c r="AJ160" s="199"/>
      <c r="AK160" s="199"/>
      <c r="AL160" s="199"/>
      <c r="AM160" s="199"/>
      <c r="AN160" s="199"/>
      <c r="AO160" s="199"/>
      <c r="AP160" s="202" t="s">
        <v>1152</v>
      </c>
      <c r="AQ160" s="199"/>
    </row>
    <row r="161">
      <c r="A161" s="202" t="s">
        <v>1757</v>
      </c>
      <c r="B161" s="202" t="s">
        <v>1758</v>
      </c>
      <c r="C161" s="135" t="str">
        <f>VLOOKUP(A161,import!A:C,3,0)</f>
        <v>DOĞRU</v>
      </c>
      <c r="D161" s="202" t="s">
        <v>1302</v>
      </c>
      <c r="E161" s="194">
        <f>VLOOKUP(A161,import!A:AA,5,0)</f>
        <v>12</v>
      </c>
      <c r="F161" s="194" t="str">
        <f>VLOOKUP(A161,import!A:AA,6,0)</f>
        <v/>
      </c>
      <c r="G161" s="135">
        <f>VLOOKUP(A161,import!A:AA,7,0)</f>
        <v>0</v>
      </c>
      <c r="H161" s="135">
        <f>VLOOKUP(A161,import!A:AA,8,0)</f>
        <v>6</v>
      </c>
      <c r="I161" s="135">
        <f>VLOOKUP(A161,import!A:AA,9,0)</f>
        <v>6</v>
      </c>
      <c r="J161" s="195">
        <f>VLOOKUP(A161,import!A:AA,10,0)</f>
        <v>0</v>
      </c>
      <c r="K161" s="202" t="s">
        <v>1759</v>
      </c>
      <c r="L161" s="202">
        <v>2.642781653E9</v>
      </c>
      <c r="M161" s="202" t="s">
        <v>1147</v>
      </c>
      <c r="N161" s="202" t="s">
        <v>1148</v>
      </c>
      <c r="O161" s="202" t="s">
        <v>1760</v>
      </c>
      <c r="P161" s="135" t="str">
        <f>VLOOKUP(A161,import!A:P,16,0)</f>
        <v>Geleneksel</v>
      </c>
      <c r="Q161" s="196"/>
      <c r="R161" s="196" t="b">
        <v>0</v>
      </c>
      <c r="S161" s="196" t="b">
        <v>0</v>
      </c>
      <c r="T161" s="197"/>
      <c r="U161" s="197"/>
      <c r="V161" s="197"/>
      <c r="W161" s="197"/>
      <c r="X161" s="198"/>
      <c r="Y161" s="198"/>
      <c r="Z161" s="199"/>
      <c r="AA161" s="200"/>
      <c r="AB161" s="201"/>
      <c r="AC161" s="199"/>
      <c r="AD161" s="199"/>
      <c r="AE161" s="105"/>
      <c r="AF161" s="199"/>
      <c r="AG161" s="105"/>
      <c r="AH161" s="199"/>
      <c r="AI161" s="199"/>
      <c r="AJ161" s="199"/>
      <c r="AK161" s="200"/>
      <c r="AL161" s="199"/>
      <c r="AM161" s="199"/>
      <c r="AN161" s="199"/>
      <c r="AO161" s="199"/>
      <c r="AP161" s="202"/>
      <c r="AQ161" s="199"/>
    </row>
    <row r="162">
      <c r="A162" s="135" t="s">
        <v>1761</v>
      </c>
      <c r="B162" s="135" t="s">
        <v>1762</v>
      </c>
      <c r="C162" s="135" t="str">
        <f>VLOOKUP(A162,import!A:C,3,0)</f>
        <v>DOĞRU</v>
      </c>
      <c r="D162" s="135" t="s">
        <v>1145</v>
      </c>
      <c r="E162" s="194">
        <f>VLOOKUP(A162,import!A:AA,5,0)</f>
        <v>24</v>
      </c>
      <c r="F162" s="194">
        <f>VLOOKUP(A162,import!A:AA,6,0)</f>
        <v>2</v>
      </c>
      <c r="G162" s="135">
        <f>VLOOKUP(A162,import!A:AA,7,0)</f>
        <v>0</v>
      </c>
      <c r="H162" s="135">
        <f>VLOOKUP(A162,import!A:AA,8,0)</f>
        <v>5</v>
      </c>
      <c r="I162" s="135">
        <f>VLOOKUP(A162,import!A:AA,9,0)</f>
        <v>5</v>
      </c>
      <c r="J162" s="195">
        <f>VLOOKUP(A162,import!A:AA,10,0)</f>
        <v>0</v>
      </c>
      <c r="K162" s="135" t="s">
        <v>1763</v>
      </c>
      <c r="L162" s="135">
        <v>5.34290257E9</v>
      </c>
      <c r="M162" s="135" t="s">
        <v>1147</v>
      </c>
      <c r="N162" s="135" t="s">
        <v>1200</v>
      </c>
      <c r="O162" s="135" t="s">
        <v>1764</v>
      </c>
      <c r="P162" s="135" t="str">
        <f>VLOOKUP(A162,import!A:P,16,0)</f>
        <v>Geleneksel</v>
      </c>
      <c r="Q162" s="196"/>
      <c r="R162" s="196" t="b">
        <v>1</v>
      </c>
      <c r="S162" s="196" t="b">
        <v>1</v>
      </c>
      <c r="T162" s="197"/>
      <c r="U162" s="197"/>
      <c r="V162" s="197"/>
      <c r="W162" s="197"/>
      <c r="X162" s="198"/>
      <c r="Y162" s="198"/>
      <c r="Z162" s="199"/>
      <c r="AA162" s="200" t="s">
        <v>1151</v>
      </c>
      <c r="AB162" s="201">
        <v>44606.0</v>
      </c>
      <c r="AC162" s="199"/>
      <c r="AD162" s="199"/>
      <c r="AE162" s="105"/>
      <c r="AF162" s="199"/>
      <c r="AG162" s="105"/>
      <c r="AH162" s="199"/>
      <c r="AI162" s="199"/>
      <c r="AJ162" s="199"/>
      <c r="AK162" s="200" t="s">
        <v>1161</v>
      </c>
      <c r="AL162" s="199"/>
      <c r="AM162" s="199"/>
      <c r="AN162" s="199"/>
      <c r="AO162" s="199"/>
      <c r="AP162" s="202" t="s">
        <v>1152</v>
      </c>
      <c r="AQ162" s="199"/>
    </row>
    <row r="163">
      <c r="A163" s="135" t="s">
        <v>1765</v>
      </c>
      <c r="B163" s="135" t="s">
        <v>1766</v>
      </c>
      <c r="C163" s="135" t="str">
        <f>VLOOKUP(A163,import!A:C,3,0)</f>
        <v>DOĞRU</v>
      </c>
      <c r="D163" s="135" t="s">
        <v>1182</v>
      </c>
      <c r="E163" s="194">
        <f>VLOOKUP(A163,import!A:AA,5,0)</f>
        <v>150</v>
      </c>
      <c r="F163" s="194" t="str">
        <f>VLOOKUP(A163,import!A:AA,6,0)</f>
        <v/>
      </c>
      <c r="G163" s="135">
        <f>VLOOKUP(A163,import!A:AA,7,0)</f>
        <v>0</v>
      </c>
      <c r="H163" s="135">
        <f>VLOOKUP(A163,import!A:AA,8,0)</f>
        <v>18</v>
      </c>
      <c r="I163" s="135">
        <f>VLOOKUP(A163,import!A:AA,9,0)</f>
        <v>18</v>
      </c>
      <c r="J163" s="195">
        <f>VLOOKUP(A163,import!A:AA,10,0)</f>
        <v>0</v>
      </c>
      <c r="K163" s="135" t="s">
        <v>1767</v>
      </c>
      <c r="L163" s="135">
        <v>5.321382978E9</v>
      </c>
      <c r="M163" s="135" t="s">
        <v>1147</v>
      </c>
      <c r="N163" s="135" t="s">
        <v>1362</v>
      </c>
      <c r="O163" s="135" t="s">
        <v>1768</v>
      </c>
      <c r="P163" s="135" t="str">
        <f>VLOOKUP(A163,import!A:P,16,0)</f>
        <v>Geleneksel</v>
      </c>
      <c r="Q163" s="196"/>
      <c r="R163" s="196" t="b">
        <v>1</v>
      </c>
      <c r="S163" s="196" t="b">
        <v>0</v>
      </c>
      <c r="T163" s="197" t="s">
        <v>1251</v>
      </c>
      <c r="U163" s="204"/>
      <c r="V163" s="204"/>
      <c r="W163" s="197" t="s">
        <v>1769</v>
      </c>
      <c r="X163" s="206"/>
      <c r="Y163" s="206"/>
      <c r="Z163" s="199"/>
      <c r="AA163" s="200" t="s">
        <v>1254</v>
      </c>
      <c r="AB163" s="201">
        <v>44358.0</v>
      </c>
      <c r="AC163" s="200" t="s">
        <v>1253</v>
      </c>
      <c r="AD163" s="201">
        <v>44371.0</v>
      </c>
      <c r="AE163" s="200" t="s">
        <v>1202</v>
      </c>
      <c r="AF163" s="201">
        <v>44610.0</v>
      </c>
      <c r="AG163" s="200" t="s">
        <v>1151</v>
      </c>
      <c r="AH163" s="201">
        <v>44616.0</v>
      </c>
      <c r="AI163" s="199"/>
      <c r="AJ163" s="199"/>
      <c r="AK163" s="200" t="s">
        <v>1278</v>
      </c>
      <c r="AL163" s="200" t="s">
        <v>1204</v>
      </c>
      <c r="AM163" s="200" t="s">
        <v>1061</v>
      </c>
      <c r="AN163" s="200" t="s">
        <v>1647</v>
      </c>
      <c r="AO163" s="199"/>
      <c r="AP163" s="202" t="s">
        <v>1152</v>
      </c>
      <c r="AQ163" s="199"/>
    </row>
    <row r="164">
      <c r="A164" s="135" t="s">
        <v>1770</v>
      </c>
      <c r="B164" s="135" t="s">
        <v>1771</v>
      </c>
      <c r="C164" s="135" t="str">
        <f>VLOOKUP(A164,import!A:C,3,0)</f>
        <v>DOĞRU</v>
      </c>
      <c r="D164" s="135" t="s">
        <v>1226</v>
      </c>
      <c r="E164" s="194">
        <f>VLOOKUP(A164,import!A:AA,5,0)</f>
        <v>597</v>
      </c>
      <c r="F164" s="194">
        <f>VLOOKUP(A164,import!A:AA,6,0)</f>
        <v>26</v>
      </c>
      <c r="G164" s="135">
        <f>VLOOKUP(A164,import!A:AA,7,0)</f>
        <v>0</v>
      </c>
      <c r="H164" s="135">
        <f>VLOOKUP(A164,import!A:AA,8,0)</f>
        <v>28</v>
      </c>
      <c r="I164" s="135">
        <f>VLOOKUP(A164,import!A:AA,9,0)</f>
        <v>28</v>
      </c>
      <c r="J164" s="195">
        <f>VLOOKUP(A164,import!A:AA,10,0)</f>
        <v>0</v>
      </c>
      <c r="K164" s="135" t="s">
        <v>1772</v>
      </c>
      <c r="L164" s="135">
        <v>5.45202639E9</v>
      </c>
      <c r="M164" s="135" t="s">
        <v>1242</v>
      </c>
      <c r="N164" s="135" t="s">
        <v>1243</v>
      </c>
      <c r="O164" s="135" t="s">
        <v>1773</v>
      </c>
      <c r="P164" s="135" t="str">
        <f>VLOOKUP(A164,import!A:P,16,0)</f>
        <v>Geleneksel</v>
      </c>
      <c r="Q164" s="196"/>
      <c r="R164" s="196" t="b">
        <v>0</v>
      </c>
      <c r="S164" s="196" t="b">
        <v>0</v>
      </c>
      <c r="T164" s="197"/>
      <c r="U164" s="204"/>
      <c r="V164" s="204"/>
      <c r="W164" s="197"/>
      <c r="X164" s="206"/>
      <c r="Y164" s="206"/>
      <c r="Z164" s="200" t="s">
        <v>1774</v>
      </c>
      <c r="AA164" s="220"/>
      <c r="AB164" s="220"/>
      <c r="AC164" s="199"/>
      <c r="AD164" s="220"/>
      <c r="AE164" s="105"/>
      <c r="AF164" s="220"/>
      <c r="AG164" s="105"/>
      <c r="AH164" s="220"/>
      <c r="AI164" s="199"/>
      <c r="AJ164" s="220"/>
      <c r="AK164" s="220"/>
      <c r="AL164" s="220"/>
      <c r="AM164" s="220"/>
      <c r="AN164" s="220"/>
      <c r="AO164" s="220"/>
      <c r="AP164" s="202" t="s">
        <v>1152</v>
      </c>
      <c r="AQ164" s="220"/>
    </row>
    <row r="165">
      <c r="A165" s="135" t="s">
        <v>469</v>
      </c>
      <c r="B165" s="135" t="s">
        <v>470</v>
      </c>
      <c r="C165" s="135" t="str">
        <f>VLOOKUP(A165,import!A:C,3,0)</f>
        <v>DOĞRU</v>
      </c>
      <c r="D165" s="135" t="s">
        <v>1226</v>
      </c>
      <c r="E165" s="194">
        <f>VLOOKUP(A165,import!A:AA,5,0)</f>
        <v>473</v>
      </c>
      <c r="F165" s="194">
        <f>VLOOKUP(A165,import!A:AA,6,0)</f>
        <v>6</v>
      </c>
      <c r="G165" s="135">
        <f>VLOOKUP(A165,import!A:AA,7,0)</f>
        <v>8</v>
      </c>
      <c r="H165" s="135">
        <f>VLOOKUP(A165,import!A:AA,8,0)</f>
        <v>7</v>
      </c>
      <c r="I165" s="135">
        <f>VLOOKUP(A165,import!A:AA,9,0)</f>
        <v>15</v>
      </c>
      <c r="J165" s="195">
        <f>VLOOKUP(A165,import!A:AA,10,0)</f>
        <v>0.53</v>
      </c>
      <c r="K165" s="135" t="s">
        <v>1775</v>
      </c>
      <c r="L165" s="135">
        <v>5.301179139E9</v>
      </c>
      <c r="M165" s="135" t="s">
        <v>1172</v>
      </c>
      <c r="N165" s="135" t="s">
        <v>1164</v>
      </c>
      <c r="O165" s="135" t="s">
        <v>473</v>
      </c>
      <c r="P165" s="135" t="str">
        <f>VLOOKUP(A165,import!A:P,16,0)</f>
        <v>Geleneksel</v>
      </c>
      <c r="Q165" s="196"/>
      <c r="R165" s="196" t="b">
        <v>1</v>
      </c>
      <c r="S165" s="196" t="b">
        <v>0</v>
      </c>
      <c r="T165" s="197" t="s">
        <v>1165</v>
      </c>
      <c r="U165" s="197" t="s">
        <v>189</v>
      </c>
      <c r="V165" s="197" t="s">
        <v>91</v>
      </c>
      <c r="W165" s="197" t="s">
        <v>1776</v>
      </c>
      <c r="X165" s="198">
        <v>44334.0</v>
      </c>
      <c r="Y165" s="198">
        <v>44390.0</v>
      </c>
      <c r="Z165" s="200" t="s">
        <v>1777</v>
      </c>
      <c r="AA165" s="199"/>
      <c r="AB165" s="199"/>
      <c r="AC165" s="199"/>
      <c r="AD165" s="199"/>
      <c r="AE165" s="105"/>
      <c r="AF165" s="199"/>
      <c r="AG165" s="105"/>
      <c r="AH165" s="199"/>
      <c r="AI165" s="199"/>
      <c r="AJ165" s="199"/>
      <c r="AK165" s="200" t="s">
        <v>92</v>
      </c>
      <c r="AL165" s="199"/>
      <c r="AM165" s="199"/>
      <c r="AN165" s="199"/>
      <c r="AO165" s="199"/>
      <c r="AP165" s="202" t="s">
        <v>1152</v>
      </c>
      <c r="AQ165" s="199"/>
    </row>
    <row r="166">
      <c r="A166" s="135" t="s">
        <v>617</v>
      </c>
      <c r="B166" s="135" t="s">
        <v>618</v>
      </c>
      <c r="C166" s="135" t="str">
        <f>VLOOKUP(A166,import!A:C,3,0)</f>
        <v>YANLIŞ</v>
      </c>
      <c r="D166" s="135" t="s">
        <v>1188</v>
      </c>
      <c r="E166" s="194">
        <f>VLOOKUP(A166,import!A:AA,5,0)</f>
        <v>111</v>
      </c>
      <c r="F166" s="194" t="str">
        <f>VLOOKUP(A166,import!A:AA,6,0)</f>
        <v/>
      </c>
      <c r="G166" s="135">
        <f>VLOOKUP(A166,import!A:AA,7,0)</f>
        <v>7</v>
      </c>
      <c r="H166" s="135">
        <f>VLOOKUP(A166,import!A:AA,8,0)</f>
        <v>27</v>
      </c>
      <c r="I166" s="135">
        <f>VLOOKUP(A166,import!A:AA,9,0)</f>
        <v>34</v>
      </c>
      <c r="J166" s="195">
        <f>VLOOKUP(A166,import!A:AA,10,0)</f>
        <v>0.21</v>
      </c>
      <c r="K166" s="135" t="s">
        <v>1778</v>
      </c>
      <c r="L166" s="135">
        <v>2.642290909E9</v>
      </c>
      <c r="M166" s="135" t="s">
        <v>1463</v>
      </c>
      <c r="N166" s="135" t="s">
        <v>1464</v>
      </c>
      <c r="O166" s="135" t="s">
        <v>621</v>
      </c>
      <c r="P166" s="135" t="str">
        <f>VLOOKUP(A166,import!A:P,16,0)</f>
        <v>Geleneksel</v>
      </c>
      <c r="Q166" s="196"/>
      <c r="R166" s="196" t="b">
        <v>1</v>
      </c>
      <c r="S166" s="196" t="b">
        <v>0</v>
      </c>
      <c r="T166" s="197" t="s">
        <v>1165</v>
      </c>
      <c r="U166" s="197" t="s">
        <v>189</v>
      </c>
      <c r="V166" s="208" t="s">
        <v>91</v>
      </c>
      <c r="W166" s="197" t="s">
        <v>1779</v>
      </c>
      <c r="X166" s="198">
        <v>44344.0</v>
      </c>
      <c r="Y166" s="198">
        <v>44348.0</v>
      </c>
      <c r="Z166" s="199"/>
      <c r="AA166" s="199"/>
      <c r="AB166" s="199"/>
      <c r="AC166" s="199"/>
      <c r="AD166" s="199"/>
      <c r="AE166" s="105"/>
      <c r="AF166" s="199"/>
      <c r="AG166" s="105"/>
      <c r="AH166" s="199"/>
      <c r="AI166" s="199"/>
      <c r="AJ166" s="199"/>
      <c r="AK166" s="199"/>
      <c r="AL166" s="199"/>
      <c r="AM166" s="199"/>
      <c r="AN166" s="199"/>
      <c r="AO166" s="199"/>
      <c r="AP166" s="202" t="s">
        <v>1152</v>
      </c>
      <c r="AQ166" s="199"/>
    </row>
    <row r="167">
      <c r="A167" s="135" t="s">
        <v>1780</v>
      </c>
      <c r="B167" s="135" t="s">
        <v>1781</v>
      </c>
      <c r="C167" s="135" t="str">
        <f>VLOOKUP(A167,import!A:C,3,0)</f>
        <v>YANLIŞ</v>
      </c>
      <c r="D167" s="135" t="s">
        <v>1341</v>
      </c>
      <c r="E167" s="194">
        <f>VLOOKUP(A167,import!A:AA,5,0)</f>
        <v>16</v>
      </c>
      <c r="F167" s="194" t="str">
        <f>VLOOKUP(A167,import!A:AA,6,0)</f>
        <v/>
      </c>
      <c r="G167" s="135">
        <f>VLOOKUP(A167,import!A:AA,7,0)</f>
        <v>0</v>
      </c>
      <c r="H167" s="135">
        <f>VLOOKUP(A167,import!A:AA,8,0)</f>
        <v>14</v>
      </c>
      <c r="I167" s="135">
        <f>VLOOKUP(A167,import!A:AA,9,0)</f>
        <v>14</v>
      </c>
      <c r="J167" s="195">
        <f>VLOOKUP(A167,import!A:AA,10,0)</f>
        <v>0</v>
      </c>
      <c r="K167" s="135" t="s">
        <v>1782</v>
      </c>
      <c r="L167" s="135">
        <v>5.326965145E9</v>
      </c>
      <c r="M167" s="135" t="s">
        <v>1147</v>
      </c>
      <c r="N167" s="135" t="s">
        <v>1352</v>
      </c>
      <c r="O167" s="135" t="s">
        <v>1783</v>
      </c>
      <c r="P167" s="135" t="str">
        <f>VLOOKUP(A167,import!A:P,16,0)</f>
        <v>Geleneksel</v>
      </c>
      <c r="Q167" s="196"/>
      <c r="R167" s="196" t="b">
        <v>1</v>
      </c>
      <c r="S167" s="196" t="b">
        <v>1</v>
      </c>
      <c r="T167" s="204"/>
      <c r="U167" s="204"/>
      <c r="V167" s="204"/>
      <c r="W167" s="197" t="s">
        <v>1784</v>
      </c>
      <c r="X167" s="206"/>
      <c r="Y167" s="206"/>
      <c r="Z167" s="199"/>
      <c r="AA167" s="200" t="s">
        <v>1202</v>
      </c>
      <c r="AB167" s="201">
        <v>44351.0</v>
      </c>
      <c r="AC167" s="200" t="s">
        <v>1254</v>
      </c>
      <c r="AD167" s="201">
        <v>44354.0</v>
      </c>
      <c r="AE167" s="105"/>
      <c r="AF167" s="199"/>
      <c r="AG167" s="105"/>
      <c r="AH167" s="199"/>
      <c r="AI167" s="199"/>
      <c r="AJ167" s="199"/>
      <c r="AK167" s="200" t="s">
        <v>1232</v>
      </c>
      <c r="AL167" s="200" t="s">
        <v>189</v>
      </c>
      <c r="AM167" s="199"/>
      <c r="AN167" s="199"/>
      <c r="AO167" s="199"/>
      <c r="AP167" s="202" t="s">
        <v>1152</v>
      </c>
      <c r="AQ167" s="199"/>
    </row>
    <row r="168">
      <c r="A168" s="202" t="s">
        <v>1785</v>
      </c>
      <c r="B168" s="202" t="s">
        <v>1786</v>
      </c>
      <c r="C168" s="135" t="str">
        <f>VLOOKUP(A168,import!A:C,3,0)</f>
        <v>DOĞRU</v>
      </c>
      <c r="D168" s="202" t="s">
        <v>1170</v>
      </c>
      <c r="E168" s="194">
        <f>VLOOKUP(A168,import!A:AA,5,0)</f>
        <v>10</v>
      </c>
      <c r="F168" s="194">
        <f>VLOOKUP(A168,import!A:AA,6,0)</f>
        <v>9</v>
      </c>
      <c r="G168" s="135">
        <f>VLOOKUP(A168,import!A:AA,7,0)</f>
        <v>0</v>
      </c>
      <c r="H168" s="135">
        <f>VLOOKUP(A168,import!A:AA,8,0)</f>
        <v>24</v>
      </c>
      <c r="I168" s="135">
        <f>VLOOKUP(A168,import!A:AA,9,0)</f>
        <v>24</v>
      </c>
      <c r="J168" s="195">
        <f>VLOOKUP(A168,import!A:AA,10,0)</f>
        <v>0</v>
      </c>
      <c r="K168" s="202" t="s">
        <v>1787</v>
      </c>
      <c r="L168" s="202">
        <v>2.647181618E9</v>
      </c>
      <c r="M168" s="202" t="s">
        <v>1242</v>
      </c>
      <c r="N168" s="202" t="s">
        <v>1243</v>
      </c>
      <c r="O168" s="202" t="s">
        <v>1788</v>
      </c>
      <c r="P168" s="135" t="str">
        <f>VLOOKUP(A168,import!A:P,16,0)</f>
        <v>Geleneksel</v>
      </c>
      <c r="Q168" s="196"/>
      <c r="R168" s="196" t="b">
        <v>0</v>
      </c>
      <c r="S168" s="196" t="b">
        <v>0</v>
      </c>
      <c r="T168" s="197"/>
      <c r="U168" s="197"/>
      <c r="V168" s="197"/>
      <c r="W168" s="197"/>
      <c r="X168" s="198"/>
      <c r="Y168" s="198"/>
      <c r="Z168" s="199"/>
      <c r="AA168" s="200"/>
      <c r="AB168" s="201"/>
      <c r="AC168" s="199"/>
      <c r="AD168" s="199"/>
      <c r="AE168" s="105"/>
      <c r="AF168" s="199"/>
      <c r="AG168" s="105"/>
      <c r="AH168" s="199"/>
      <c r="AI168" s="199"/>
      <c r="AJ168" s="199"/>
      <c r="AK168" s="200"/>
      <c r="AL168" s="199"/>
      <c r="AM168" s="199"/>
      <c r="AN168" s="199"/>
      <c r="AO168" s="199"/>
      <c r="AP168" s="202"/>
      <c r="AQ168" s="199"/>
    </row>
    <row r="169">
      <c r="A169" s="135" t="s">
        <v>1789</v>
      </c>
      <c r="B169" s="135" t="s">
        <v>1790</v>
      </c>
      <c r="C169" s="135" t="str">
        <f>VLOOKUP(A169,import!A:C,3,0)</f>
        <v>DOĞRU</v>
      </c>
      <c r="D169" s="135" t="s">
        <v>1302</v>
      </c>
      <c r="E169" s="194">
        <f>VLOOKUP(A169,import!A:AA,5,0)</f>
        <v>156</v>
      </c>
      <c r="F169" s="194">
        <f>VLOOKUP(A169,import!A:AA,6,0)</f>
        <v>7</v>
      </c>
      <c r="G169" s="135">
        <f>VLOOKUP(A169,import!A:AA,7,0)</f>
        <v>0</v>
      </c>
      <c r="H169" s="135">
        <f>VLOOKUP(A169,import!A:AA,8,0)</f>
        <v>13</v>
      </c>
      <c r="I169" s="135">
        <f>VLOOKUP(A169,import!A:AA,9,0)</f>
        <v>13</v>
      </c>
      <c r="J169" s="195">
        <f>VLOOKUP(A169,import!A:AA,10,0)</f>
        <v>0</v>
      </c>
      <c r="K169" s="135" t="s">
        <v>1791</v>
      </c>
      <c r="L169" s="135">
        <v>5.334299598E9</v>
      </c>
      <c r="M169" s="135" t="s">
        <v>1147</v>
      </c>
      <c r="N169" s="135" t="s">
        <v>1164</v>
      </c>
      <c r="O169" s="135" t="s">
        <v>1792</v>
      </c>
      <c r="P169" s="135" t="str">
        <f>VLOOKUP(A169,import!A:P,16,0)</f>
        <v>Geleneksel</v>
      </c>
      <c r="Q169" s="196"/>
      <c r="R169" s="196" t="b">
        <v>1</v>
      </c>
      <c r="S169" s="196" t="b">
        <v>1</v>
      </c>
      <c r="T169" s="197"/>
      <c r="U169" s="197"/>
      <c r="V169" s="197"/>
      <c r="W169" s="197" t="s">
        <v>1793</v>
      </c>
      <c r="X169" s="198"/>
      <c r="Y169" s="198"/>
      <c r="Z169" s="200" t="s">
        <v>1459</v>
      </c>
      <c r="AA169" s="200" t="s">
        <v>1202</v>
      </c>
      <c r="AB169" s="201">
        <v>44379.0</v>
      </c>
      <c r="AC169" s="200" t="s">
        <v>1151</v>
      </c>
      <c r="AD169" s="201">
        <v>44390.0</v>
      </c>
      <c r="AE169" s="200" t="s">
        <v>1151</v>
      </c>
      <c r="AF169" s="201">
        <v>44405.0</v>
      </c>
      <c r="AG169" s="105"/>
      <c r="AH169" s="199"/>
      <c r="AI169" s="199"/>
      <c r="AJ169" s="199"/>
      <c r="AK169" s="200" t="s">
        <v>257</v>
      </c>
      <c r="AL169" s="200" t="s">
        <v>1255</v>
      </c>
      <c r="AM169" s="200" t="s">
        <v>1255</v>
      </c>
      <c r="AN169" s="199"/>
      <c r="AO169" s="199"/>
      <c r="AP169" s="202" t="s">
        <v>1152</v>
      </c>
      <c r="AQ169" s="199"/>
    </row>
    <row r="170">
      <c r="A170" s="202" t="s">
        <v>1794</v>
      </c>
      <c r="B170" s="202" t="s">
        <v>1795</v>
      </c>
      <c r="C170" s="135" t="str">
        <f>VLOOKUP(A170,import!A:C,3,0)</f>
        <v>DOĞRU</v>
      </c>
      <c r="D170" s="202" t="s">
        <v>1155</v>
      </c>
      <c r="E170" s="194">
        <f>VLOOKUP(A170,import!A:AA,5,0)</f>
        <v>6</v>
      </c>
      <c r="F170" s="194" t="str">
        <f>VLOOKUP(A170,import!A:AA,6,0)</f>
        <v/>
      </c>
      <c r="G170" s="135">
        <f>VLOOKUP(A170,import!A:AA,7,0)</f>
        <v>0</v>
      </c>
      <c r="H170" s="135">
        <f>VLOOKUP(A170,import!A:AA,8,0)</f>
        <v>19</v>
      </c>
      <c r="I170" s="135">
        <f>VLOOKUP(A170,import!A:AA,9,0)</f>
        <v>19</v>
      </c>
      <c r="J170" s="195">
        <f>VLOOKUP(A170,import!A:AA,10,0)</f>
        <v>0</v>
      </c>
      <c r="K170" s="202" t="s">
        <v>1796</v>
      </c>
      <c r="L170" s="202">
        <v>8.503075454E9</v>
      </c>
      <c r="M170" s="202" t="s">
        <v>1147</v>
      </c>
      <c r="N170" s="202" t="s">
        <v>1200</v>
      </c>
      <c r="O170" s="202" t="s">
        <v>21</v>
      </c>
      <c r="P170" s="135" t="str">
        <f>VLOOKUP(A170,import!A:P,16,0)</f>
        <v>Geleneksel</v>
      </c>
      <c r="Q170" s="196"/>
      <c r="R170" s="196" t="b">
        <v>0</v>
      </c>
      <c r="S170" s="196" t="b">
        <v>0</v>
      </c>
      <c r="T170" s="197"/>
      <c r="U170" s="197"/>
      <c r="V170" s="197"/>
      <c r="W170" s="197"/>
      <c r="X170" s="198"/>
      <c r="Y170" s="198"/>
      <c r="Z170" s="199"/>
      <c r="AA170" s="200"/>
      <c r="AB170" s="201"/>
      <c r="AC170" s="199"/>
      <c r="AD170" s="199"/>
      <c r="AE170" s="105"/>
      <c r="AF170" s="199"/>
      <c r="AG170" s="105"/>
      <c r="AH170" s="199"/>
      <c r="AI170" s="199"/>
      <c r="AJ170" s="199"/>
      <c r="AK170" s="200"/>
      <c r="AL170" s="199"/>
      <c r="AM170" s="199"/>
      <c r="AN170" s="199"/>
      <c r="AO170" s="199"/>
      <c r="AP170" s="202"/>
      <c r="AQ170" s="199"/>
    </row>
    <row r="171">
      <c r="A171" s="135" t="s">
        <v>910</v>
      </c>
      <c r="B171" s="135" t="s">
        <v>911</v>
      </c>
      <c r="C171" s="135" t="str">
        <f>VLOOKUP(A171,import!A:C,3,0)</f>
        <v>DOĞRU</v>
      </c>
      <c r="D171" s="135" t="s">
        <v>1170</v>
      </c>
      <c r="E171" s="194" t="str">
        <f>VLOOKUP(A171,import!A:AA,5,0)</f>
        <v/>
      </c>
      <c r="F171" s="194" t="str">
        <f>VLOOKUP(A171,import!A:AA,6,0)</f>
        <v/>
      </c>
      <c r="G171" s="135">
        <f>VLOOKUP(A171,import!A:AA,7,0)</f>
        <v>5</v>
      </c>
      <c r="H171" s="135">
        <f>VLOOKUP(A171,import!A:AA,8,0)</f>
        <v>15</v>
      </c>
      <c r="I171" s="135">
        <f>VLOOKUP(A171,import!A:AA,9,0)</f>
        <v>20</v>
      </c>
      <c r="J171" s="195">
        <f>VLOOKUP(A171,import!A:AA,10,0)</f>
        <v>0.25</v>
      </c>
      <c r="K171" s="135" t="s">
        <v>1797</v>
      </c>
      <c r="L171" s="135">
        <v>5.325508088E9</v>
      </c>
      <c r="M171" s="135" t="s">
        <v>1172</v>
      </c>
      <c r="N171" s="135" t="s">
        <v>1379</v>
      </c>
      <c r="O171" s="135" t="s">
        <v>914</v>
      </c>
      <c r="P171" s="135" t="str">
        <f>VLOOKUP(A171,import!A:P,16,0)</f>
        <v>Geleneksel</v>
      </c>
      <c r="Q171" s="196"/>
      <c r="R171" s="196" t="b">
        <v>1</v>
      </c>
      <c r="S171" s="196" t="b">
        <v>0</v>
      </c>
      <c r="T171" s="197" t="s">
        <v>1165</v>
      </c>
      <c r="U171" s="197" t="s">
        <v>1232</v>
      </c>
      <c r="V171" s="197" t="s">
        <v>91</v>
      </c>
      <c r="W171" s="197"/>
      <c r="X171" s="198">
        <v>44378.0</v>
      </c>
      <c r="Y171" s="198">
        <v>44382.0</v>
      </c>
      <c r="Z171" s="199"/>
      <c r="AA171" s="200" t="s">
        <v>1202</v>
      </c>
      <c r="AB171" s="201">
        <v>44350.0</v>
      </c>
      <c r="AC171" s="200" t="s">
        <v>1254</v>
      </c>
      <c r="AD171" s="201">
        <v>44368.0</v>
      </c>
      <c r="AE171" s="200" t="s">
        <v>1202</v>
      </c>
      <c r="AF171" s="201">
        <v>44371.0</v>
      </c>
      <c r="AG171" s="200" t="s">
        <v>1151</v>
      </c>
      <c r="AH171" s="201">
        <v>44378.0</v>
      </c>
      <c r="AI171" s="199"/>
      <c r="AJ171" s="199"/>
      <c r="AK171" s="200" t="s">
        <v>1204</v>
      </c>
      <c r="AL171" s="200" t="s">
        <v>257</v>
      </c>
      <c r="AM171" s="200" t="s">
        <v>189</v>
      </c>
      <c r="AN171" s="200" t="s">
        <v>1232</v>
      </c>
      <c r="AO171" s="199"/>
      <c r="AP171" s="202" t="s">
        <v>1152</v>
      </c>
      <c r="AQ171" s="199"/>
    </row>
    <row r="172">
      <c r="A172" s="135" t="s">
        <v>34</v>
      </c>
      <c r="B172" s="135" t="s">
        <v>35</v>
      </c>
      <c r="C172" s="135" t="str">
        <f>VLOOKUP(A172,import!A:C,3,0)</f>
        <v>YANLIŞ</v>
      </c>
      <c r="D172" s="135" t="s">
        <v>1170</v>
      </c>
      <c r="E172" s="194">
        <f>VLOOKUP(A172,import!A:AA,5,0)</f>
        <v>262</v>
      </c>
      <c r="F172" s="194" t="str">
        <f>VLOOKUP(A172,import!A:AA,6,0)</f>
        <v/>
      </c>
      <c r="G172" s="135">
        <f>VLOOKUP(A172,import!A:AA,7,0)</f>
        <v>16</v>
      </c>
      <c r="H172" s="135">
        <f>VLOOKUP(A172,import!A:AA,8,0)</f>
        <v>3</v>
      </c>
      <c r="I172" s="135">
        <f>VLOOKUP(A172,import!A:AA,9,0)</f>
        <v>19</v>
      </c>
      <c r="J172" s="195">
        <f>VLOOKUP(A172,import!A:AA,10,0)</f>
        <v>0.84</v>
      </c>
      <c r="K172" s="135" t="s">
        <v>1798</v>
      </c>
      <c r="L172" s="135">
        <v>5.466116241E9</v>
      </c>
      <c r="M172" s="135" t="s">
        <v>1147</v>
      </c>
      <c r="N172" s="135" t="s">
        <v>1200</v>
      </c>
      <c r="O172" s="135" t="s">
        <v>1799</v>
      </c>
      <c r="P172" s="135" t="str">
        <f>VLOOKUP(A172,import!A:P,16,0)</f>
        <v>Geleneksel</v>
      </c>
      <c r="Q172" s="196"/>
      <c r="R172" s="196" t="b">
        <v>1</v>
      </c>
      <c r="S172" s="196" t="b">
        <v>0</v>
      </c>
      <c r="T172" s="197" t="s">
        <v>1165</v>
      </c>
      <c r="U172" s="197" t="s">
        <v>22</v>
      </c>
      <c r="V172" s="197" t="s">
        <v>15</v>
      </c>
      <c r="W172" s="197" t="s">
        <v>1800</v>
      </c>
      <c r="X172" s="198">
        <v>44284.0</v>
      </c>
      <c r="Y172" s="198">
        <v>44286.0</v>
      </c>
      <c r="Z172" s="199"/>
      <c r="AA172" s="199"/>
      <c r="AB172" s="199"/>
      <c r="AC172" s="199"/>
      <c r="AD172" s="199"/>
      <c r="AE172" s="105"/>
      <c r="AF172" s="199"/>
      <c r="AG172" s="105"/>
      <c r="AH172" s="199"/>
      <c r="AI172" s="199"/>
      <c r="AJ172" s="199"/>
      <c r="AK172" s="199"/>
      <c r="AL172" s="199"/>
      <c r="AM172" s="199"/>
      <c r="AN172" s="199"/>
      <c r="AO172" s="199"/>
      <c r="AP172" s="202" t="s">
        <v>1152</v>
      </c>
      <c r="AQ172" s="199"/>
    </row>
    <row r="173">
      <c r="A173" s="135" t="s">
        <v>357</v>
      </c>
      <c r="B173" s="135" t="s">
        <v>358</v>
      </c>
      <c r="C173" s="135" t="str">
        <f>VLOOKUP(A173,import!A:C,3,0)</f>
        <v>YANLIŞ</v>
      </c>
      <c r="D173" s="135" t="s">
        <v>1302</v>
      </c>
      <c r="E173" s="194">
        <f>VLOOKUP(A173,import!A:AA,5,0)</f>
        <v>44</v>
      </c>
      <c r="F173" s="194" t="str">
        <f>VLOOKUP(A173,import!A:AA,6,0)</f>
        <v/>
      </c>
      <c r="G173" s="135">
        <f>VLOOKUP(A173,import!A:AA,7,0)</f>
        <v>10</v>
      </c>
      <c r="H173" s="135">
        <f>VLOOKUP(A173,import!A:AA,8,0)</f>
        <v>57</v>
      </c>
      <c r="I173" s="135">
        <f>VLOOKUP(A173,import!A:AA,9,0)</f>
        <v>67</v>
      </c>
      <c r="J173" s="195">
        <f>VLOOKUP(A173,import!A:AA,10,0)</f>
        <v>0.15</v>
      </c>
      <c r="K173" s="135" t="s">
        <v>1801</v>
      </c>
      <c r="L173" s="135">
        <v>5.300530054E9</v>
      </c>
      <c r="M173" s="135" t="s">
        <v>1147</v>
      </c>
      <c r="N173" s="135" t="s">
        <v>1362</v>
      </c>
      <c r="O173" s="135" t="s">
        <v>362</v>
      </c>
      <c r="P173" s="135" t="str">
        <f>VLOOKUP(A173,import!A:P,16,0)</f>
        <v>Geleneksel</v>
      </c>
      <c r="Q173" s="196"/>
      <c r="R173" s="196" t="b">
        <v>1</v>
      </c>
      <c r="S173" s="196" t="b">
        <v>0</v>
      </c>
      <c r="T173" s="197" t="s">
        <v>1165</v>
      </c>
      <c r="U173" s="197" t="s">
        <v>189</v>
      </c>
      <c r="V173" s="197" t="s">
        <v>91</v>
      </c>
      <c r="W173" s="197" t="s">
        <v>1802</v>
      </c>
      <c r="X173" s="198">
        <v>44312.0</v>
      </c>
      <c r="Y173" s="198">
        <v>44313.0</v>
      </c>
      <c r="Z173" s="199"/>
      <c r="AA173" s="200" t="s">
        <v>1151</v>
      </c>
      <c r="AB173" s="201">
        <v>44383.0</v>
      </c>
      <c r="AC173" s="199"/>
      <c r="AD173" s="199"/>
      <c r="AE173" s="105"/>
      <c r="AF173" s="199"/>
      <c r="AG173" s="105"/>
      <c r="AH173" s="199"/>
      <c r="AI173" s="199"/>
      <c r="AJ173" s="199"/>
      <c r="AK173" s="200" t="s">
        <v>189</v>
      </c>
      <c r="AL173" s="199"/>
      <c r="AM173" s="199"/>
      <c r="AN173" s="199"/>
      <c r="AO173" s="199"/>
      <c r="AP173" s="202" t="s">
        <v>1152</v>
      </c>
      <c r="AQ173" s="199"/>
    </row>
    <row r="174">
      <c r="A174" s="135" t="s">
        <v>787</v>
      </c>
      <c r="B174" s="135" t="s">
        <v>788</v>
      </c>
      <c r="C174" s="135" t="str">
        <f>VLOOKUP(A174,import!A:C,3,0)</f>
        <v>DOĞRU</v>
      </c>
      <c r="D174" s="135" t="s">
        <v>1145</v>
      </c>
      <c r="E174" s="194">
        <f>VLOOKUP(A174,import!A:AA,5,0)</f>
        <v>2557</v>
      </c>
      <c r="F174" s="194">
        <f>VLOOKUP(A174,import!A:AA,6,0)</f>
        <v>201</v>
      </c>
      <c r="G174" s="135">
        <f>VLOOKUP(A174,import!A:AA,7,0)</f>
        <v>8</v>
      </c>
      <c r="H174" s="135">
        <f>VLOOKUP(A174,import!A:AA,8,0)</f>
        <v>14</v>
      </c>
      <c r="I174" s="135">
        <f>VLOOKUP(A174,import!A:AA,9,0)</f>
        <v>22</v>
      </c>
      <c r="J174" s="195">
        <f>VLOOKUP(A174,import!A:AA,10,0)</f>
        <v>0.36</v>
      </c>
      <c r="K174" s="135" t="s">
        <v>1803</v>
      </c>
      <c r="L174" s="135">
        <v>5.315239294E9</v>
      </c>
      <c r="M174" s="135" t="s">
        <v>1147</v>
      </c>
      <c r="N174" s="135" t="s">
        <v>1200</v>
      </c>
      <c r="O174" s="135" t="s">
        <v>68</v>
      </c>
      <c r="P174" s="135" t="str">
        <f>VLOOKUP(A174,import!A:P,16,0)</f>
        <v>Geleneksel</v>
      </c>
      <c r="Q174" s="196"/>
      <c r="R174" s="196" t="b">
        <v>1</v>
      </c>
      <c r="S174" s="196" t="b">
        <v>0</v>
      </c>
      <c r="T174" s="197" t="s">
        <v>1165</v>
      </c>
      <c r="U174" s="197" t="s">
        <v>1204</v>
      </c>
      <c r="V174" s="197" t="s">
        <v>91</v>
      </c>
      <c r="W174" s="197" t="s">
        <v>1804</v>
      </c>
      <c r="X174" s="198">
        <v>44362.0</v>
      </c>
      <c r="Y174" s="198">
        <v>44364.0</v>
      </c>
      <c r="Z174" s="199"/>
      <c r="AA174" s="200" t="s">
        <v>1202</v>
      </c>
      <c r="AB174" s="201">
        <v>44354.0</v>
      </c>
      <c r="AC174" s="200" t="s">
        <v>1151</v>
      </c>
      <c r="AD174" s="201">
        <v>44362.0</v>
      </c>
      <c r="AE174" s="105"/>
      <c r="AF174" s="199"/>
      <c r="AG174" s="105"/>
      <c r="AH174" s="199"/>
      <c r="AI174" s="199"/>
      <c r="AJ174" s="199"/>
      <c r="AK174" s="200" t="s">
        <v>189</v>
      </c>
      <c r="AL174" s="200" t="s">
        <v>1204</v>
      </c>
      <c r="AM174" s="199"/>
      <c r="AN174" s="199"/>
      <c r="AO174" s="199"/>
      <c r="AP174" s="202" t="s">
        <v>1152</v>
      </c>
      <c r="AQ174" s="199"/>
    </row>
    <row r="175">
      <c r="A175" s="135" t="s">
        <v>1805</v>
      </c>
      <c r="B175" s="135" t="s">
        <v>1806</v>
      </c>
      <c r="C175" s="135" t="str">
        <f>VLOOKUP(A175,import!A:C,3,0)</f>
        <v>DOĞRU</v>
      </c>
      <c r="D175" s="135" t="s">
        <v>1226</v>
      </c>
      <c r="E175" s="194">
        <f>VLOOKUP(A175,import!A:AA,5,0)</f>
        <v>35</v>
      </c>
      <c r="F175" s="194" t="str">
        <f>VLOOKUP(A175,import!A:AA,6,0)</f>
        <v/>
      </c>
      <c r="G175" s="135">
        <f>VLOOKUP(A175,import!A:AA,7,0)</f>
        <v>0</v>
      </c>
      <c r="H175" s="135">
        <f>VLOOKUP(A175,import!A:AA,8,0)</f>
        <v>8</v>
      </c>
      <c r="I175" s="135">
        <f>VLOOKUP(A175,import!A:AA,9,0)</f>
        <v>8</v>
      </c>
      <c r="J175" s="195">
        <f>VLOOKUP(A175,import!A:AA,10,0)</f>
        <v>0</v>
      </c>
      <c r="K175" s="135" t="s">
        <v>1807</v>
      </c>
      <c r="L175" s="135">
        <v>2.645828751E9</v>
      </c>
      <c r="M175" s="135" t="s">
        <v>1318</v>
      </c>
      <c r="N175" s="135" t="s">
        <v>1808</v>
      </c>
      <c r="O175" s="135" t="s">
        <v>1809</v>
      </c>
      <c r="P175" s="135" t="str">
        <f>VLOOKUP(A175,import!A:P,16,0)</f>
        <v>Geleneksel</v>
      </c>
      <c r="Q175" s="196"/>
      <c r="R175" s="196" t="b">
        <v>0</v>
      </c>
      <c r="S175" s="196" t="b">
        <v>0</v>
      </c>
      <c r="T175" s="197"/>
      <c r="U175" s="197"/>
      <c r="V175" s="197"/>
      <c r="W175" s="197"/>
      <c r="X175" s="198"/>
      <c r="Y175" s="198"/>
      <c r="Z175" s="199"/>
      <c r="AA175" s="200"/>
      <c r="AB175" s="201"/>
      <c r="AC175" s="199"/>
      <c r="AD175" s="199"/>
      <c r="AE175" s="105"/>
      <c r="AF175" s="199"/>
      <c r="AG175" s="105"/>
      <c r="AH175" s="199"/>
      <c r="AI175" s="199"/>
      <c r="AJ175" s="199"/>
      <c r="AK175" s="200"/>
      <c r="AL175" s="199"/>
      <c r="AM175" s="199"/>
      <c r="AN175" s="199"/>
      <c r="AO175" s="199"/>
      <c r="AP175" s="202"/>
      <c r="AQ175" s="199"/>
    </row>
    <row r="176">
      <c r="A176" s="135" t="s">
        <v>655</v>
      </c>
      <c r="B176" s="135" t="s">
        <v>656</v>
      </c>
      <c r="C176" s="135" t="str">
        <f>VLOOKUP(A176,import!A:C,3,0)</f>
        <v>DOĞRU</v>
      </c>
      <c r="D176" s="135" t="s">
        <v>1170</v>
      </c>
      <c r="E176" s="194">
        <f>VLOOKUP(A176,import!A:AA,5,0)</f>
        <v>83</v>
      </c>
      <c r="F176" s="194" t="str">
        <f>VLOOKUP(A176,import!A:AA,6,0)</f>
        <v/>
      </c>
      <c r="G176" s="135">
        <f>VLOOKUP(A176,import!A:AA,7,0)</f>
        <v>8</v>
      </c>
      <c r="H176" s="135">
        <f>VLOOKUP(A176,import!A:AA,8,0)</f>
        <v>2</v>
      </c>
      <c r="I176" s="135">
        <f>VLOOKUP(A176,import!A:AA,9,0)</f>
        <v>10</v>
      </c>
      <c r="J176" s="195">
        <f>VLOOKUP(A176,import!A:AA,10,0)</f>
        <v>0.8</v>
      </c>
      <c r="K176" s="135" t="s">
        <v>1810</v>
      </c>
      <c r="L176" s="135">
        <v>5.43773633E9</v>
      </c>
      <c r="M176" s="135" t="s">
        <v>1679</v>
      </c>
      <c r="N176" s="135" t="s">
        <v>1811</v>
      </c>
      <c r="O176" s="135" t="s">
        <v>1812</v>
      </c>
      <c r="P176" s="135" t="str">
        <f>VLOOKUP(A176,import!A:P,16,0)</f>
        <v>Geleneksel</v>
      </c>
      <c r="Q176" s="196"/>
      <c r="R176" s="196" t="b">
        <v>1</v>
      </c>
      <c r="S176" s="196" t="b">
        <v>0</v>
      </c>
      <c r="T176" s="197" t="s">
        <v>1165</v>
      </c>
      <c r="U176" s="197" t="s">
        <v>257</v>
      </c>
      <c r="V176" s="197" t="s">
        <v>91</v>
      </c>
      <c r="W176" s="197"/>
      <c r="X176" s="198">
        <v>44348.0</v>
      </c>
      <c r="Y176" s="198">
        <v>44350.0</v>
      </c>
      <c r="Z176" s="199"/>
      <c r="AA176" s="199"/>
      <c r="AB176" s="199"/>
      <c r="AC176" s="199"/>
      <c r="AD176" s="199"/>
      <c r="AE176" s="105"/>
      <c r="AF176" s="199"/>
      <c r="AG176" s="105"/>
      <c r="AH176" s="199"/>
      <c r="AI176" s="199"/>
      <c r="AJ176" s="199"/>
      <c r="AK176" s="199"/>
      <c r="AL176" s="199"/>
      <c r="AM176" s="199"/>
      <c r="AN176" s="199"/>
      <c r="AO176" s="199"/>
      <c r="AP176" s="202" t="s">
        <v>1152</v>
      </c>
      <c r="AQ176" s="199"/>
    </row>
    <row r="177">
      <c r="A177" s="135" t="s">
        <v>1813</v>
      </c>
      <c r="B177" s="135" t="s">
        <v>1814</v>
      </c>
      <c r="C177" s="135" t="str">
        <f>VLOOKUP(A177,import!A:C,3,0)</f>
        <v>DOĞRU</v>
      </c>
      <c r="D177" s="135" t="s">
        <v>1155</v>
      </c>
      <c r="E177" s="194">
        <f>VLOOKUP(A177,import!A:AA,5,0)</f>
        <v>2580</v>
      </c>
      <c r="F177" s="194">
        <f>VLOOKUP(A177,import!A:AA,6,0)</f>
        <v>43</v>
      </c>
      <c r="G177" s="135">
        <f>VLOOKUP(A177,import!A:AA,7,0)</f>
        <v>0</v>
      </c>
      <c r="H177" s="135">
        <f>VLOOKUP(A177,import!A:AA,8,0)</f>
        <v>27</v>
      </c>
      <c r="I177" s="135">
        <f>VLOOKUP(A177,import!A:AA,9,0)</f>
        <v>27</v>
      </c>
      <c r="J177" s="195">
        <f>VLOOKUP(A177,import!A:AA,10,0)</f>
        <v>0</v>
      </c>
      <c r="K177" s="135" t="s">
        <v>1815</v>
      </c>
      <c r="L177" s="135">
        <v>2.642110039E9</v>
      </c>
      <c r="M177" s="135" t="s">
        <v>1147</v>
      </c>
      <c r="N177" s="135" t="s">
        <v>1157</v>
      </c>
      <c r="O177" s="135" t="s">
        <v>1816</v>
      </c>
      <c r="P177" s="135" t="str">
        <f>VLOOKUP(A177,import!A:P,16,0)</f>
        <v>Geleneksel</v>
      </c>
      <c r="Q177" s="196"/>
      <c r="R177" s="196" t="b">
        <v>1</v>
      </c>
      <c r="S177" s="196" t="b">
        <v>1</v>
      </c>
      <c r="T177" s="197"/>
      <c r="U177" s="197"/>
      <c r="V177" s="197"/>
      <c r="W177" s="197" t="s">
        <v>1817</v>
      </c>
      <c r="X177" s="198"/>
      <c r="Y177" s="198"/>
      <c r="Z177" s="200" t="s">
        <v>1774</v>
      </c>
      <c r="AA177" s="200" t="s">
        <v>1253</v>
      </c>
      <c r="AB177" s="201">
        <v>44354.0</v>
      </c>
      <c r="AC177" s="200" t="s">
        <v>1277</v>
      </c>
      <c r="AD177" s="201">
        <v>44355.0</v>
      </c>
      <c r="AE177" s="200" t="s">
        <v>1151</v>
      </c>
      <c r="AF177" s="201">
        <v>44362.0</v>
      </c>
      <c r="AG177" s="200" t="s">
        <v>1151</v>
      </c>
      <c r="AH177" s="201">
        <v>44379.0</v>
      </c>
      <c r="AI177" s="200" t="s">
        <v>1202</v>
      </c>
      <c r="AJ177" s="201">
        <v>44405.0</v>
      </c>
      <c r="AK177" s="200" t="s">
        <v>189</v>
      </c>
      <c r="AL177" s="200" t="s">
        <v>257</v>
      </c>
      <c r="AM177" s="200" t="s">
        <v>1167</v>
      </c>
      <c r="AN177" s="200" t="s">
        <v>257</v>
      </c>
      <c r="AO177" s="200" t="s">
        <v>1255</v>
      </c>
      <c r="AP177" s="202" t="s">
        <v>1152</v>
      </c>
      <c r="AQ177" s="200"/>
    </row>
    <row r="178">
      <c r="A178" s="135" t="s">
        <v>606</v>
      </c>
      <c r="B178" s="135" t="s">
        <v>607</v>
      </c>
      <c r="C178" s="135" t="str">
        <f>VLOOKUP(A178,import!A:C,3,0)</f>
        <v>DOĞRU</v>
      </c>
      <c r="D178" s="135" t="s">
        <v>1302</v>
      </c>
      <c r="E178" s="194">
        <f>VLOOKUP(A178,import!A:AA,5,0)</f>
        <v>245</v>
      </c>
      <c r="F178" s="194">
        <f>VLOOKUP(A178,import!A:AA,6,0)</f>
        <v>11</v>
      </c>
      <c r="G178" s="135">
        <f>VLOOKUP(A178,import!A:AA,7,0)</f>
        <v>12</v>
      </c>
      <c r="H178" s="135">
        <f>VLOOKUP(A178,import!A:AA,8,0)</f>
        <v>17</v>
      </c>
      <c r="I178" s="135">
        <f>VLOOKUP(A178,import!A:AA,9,0)</f>
        <v>29</v>
      </c>
      <c r="J178" s="195">
        <f>VLOOKUP(A178,import!A:AA,10,0)</f>
        <v>0.41</v>
      </c>
      <c r="K178" s="135" t="s">
        <v>1495</v>
      </c>
      <c r="L178" s="135">
        <v>5.326663639E9</v>
      </c>
      <c r="M178" s="135" t="s">
        <v>1172</v>
      </c>
      <c r="N178" s="135" t="s">
        <v>1300</v>
      </c>
      <c r="O178" s="135" t="s">
        <v>610</v>
      </c>
      <c r="P178" s="135" t="str">
        <f>VLOOKUP(A178,import!A:P,16,0)</f>
        <v>Geleneksel</v>
      </c>
      <c r="Q178" s="196"/>
      <c r="R178" s="196" t="b">
        <v>1</v>
      </c>
      <c r="S178" s="196" t="b">
        <v>0</v>
      </c>
      <c r="T178" s="197" t="s">
        <v>1165</v>
      </c>
      <c r="U178" s="197" t="s">
        <v>189</v>
      </c>
      <c r="V178" s="197" t="s">
        <v>91</v>
      </c>
      <c r="W178" s="197" t="s">
        <v>1818</v>
      </c>
      <c r="X178" s="198">
        <v>44344.0</v>
      </c>
      <c r="Y178" s="198">
        <v>44348.0</v>
      </c>
      <c r="Z178" s="199"/>
      <c r="AA178" s="200" t="s">
        <v>1151</v>
      </c>
      <c r="AB178" s="201">
        <v>44379.0</v>
      </c>
      <c r="AC178" s="199"/>
      <c r="AD178" s="199"/>
      <c r="AE178" s="105"/>
      <c r="AF178" s="199"/>
      <c r="AG178" s="105"/>
      <c r="AH178" s="199"/>
      <c r="AI178" s="199"/>
      <c r="AJ178" s="199"/>
      <c r="AK178" s="200" t="s">
        <v>1167</v>
      </c>
      <c r="AL178" s="199"/>
      <c r="AM178" s="199"/>
      <c r="AN178" s="199"/>
      <c r="AO178" s="199"/>
      <c r="AP178" s="202" t="s">
        <v>1152</v>
      </c>
      <c r="AQ178" s="199"/>
    </row>
    <row r="179">
      <c r="A179" s="135" t="s">
        <v>1819</v>
      </c>
      <c r="B179" s="135" t="s">
        <v>1820</v>
      </c>
      <c r="C179" s="135" t="str">
        <f>VLOOKUP(A179,import!A:C,3,0)</f>
        <v>DOĞRU</v>
      </c>
      <c r="D179" s="135" t="s">
        <v>1226</v>
      </c>
      <c r="E179" s="194">
        <f>VLOOKUP(A179,import!A:AA,5,0)</f>
        <v>1</v>
      </c>
      <c r="F179" s="194" t="str">
        <f>VLOOKUP(A179,import!A:AA,6,0)</f>
        <v/>
      </c>
      <c r="G179" s="135">
        <f>VLOOKUP(A179,import!A:AA,7,0)</f>
        <v>0</v>
      </c>
      <c r="H179" s="135">
        <f>VLOOKUP(A179,import!A:AA,8,0)</f>
        <v>57</v>
      </c>
      <c r="I179" s="135">
        <f>VLOOKUP(A179,import!A:AA,9,0)</f>
        <v>57</v>
      </c>
      <c r="J179" s="195">
        <f>VLOOKUP(A179,import!A:AA,10,0)</f>
        <v>0</v>
      </c>
      <c r="K179" s="135" t="s">
        <v>1821</v>
      </c>
      <c r="L179" s="135">
        <v>5.435892947E9</v>
      </c>
      <c r="M179" s="135" t="s">
        <v>1679</v>
      </c>
      <c r="N179" s="135" t="s">
        <v>1822</v>
      </c>
      <c r="O179" s="135" t="s">
        <v>1823</v>
      </c>
      <c r="P179" s="135" t="str">
        <f>VLOOKUP(A179,import!A:P,16,0)</f>
        <v>Geleneksel</v>
      </c>
      <c r="Q179" s="196"/>
      <c r="R179" s="196" t="b">
        <v>1</v>
      </c>
      <c r="S179" s="196" t="b">
        <v>0</v>
      </c>
      <c r="T179" s="197" t="s">
        <v>1209</v>
      </c>
      <c r="U179" s="197"/>
      <c r="V179" s="197"/>
      <c r="W179" s="197" t="s">
        <v>1824</v>
      </c>
      <c r="X179" s="198"/>
      <c r="Y179" s="198"/>
      <c r="Z179" s="199"/>
      <c r="AA179" s="199"/>
      <c r="AB179" s="199"/>
      <c r="AC179" s="199"/>
      <c r="AD179" s="199"/>
      <c r="AE179" s="105"/>
      <c r="AF179" s="199"/>
      <c r="AG179" s="105"/>
      <c r="AH179" s="199"/>
      <c r="AI179" s="199"/>
      <c r="AJ179" s="199"/>
      <c r="AK179" s="199"/>
      <c r="AL179" s="199"/>
      <c r="AM179" s="199"/>
      <c r="AN179" s="199"/>
      <c r="AO179" s="199"/>
      <c r="AP179" s="202" t="s">
        <v>1152</v>
      </c>
      <c r="AQ179" s="199"/>
    </row>
    <row r="180">
      <c r="A180" s="135" t="s">
        <v>1825</v>
      </c>
      <c r="B180" s="135" t="s">
        <v>1826</v>
      </c>
      <c r="C180" s="135" t="str">
        <f>VLOOKUP(A180,import!A:C,3,0)</f>
        <v>DOĞRU</v>
      </c>
      <c r="D180" s="135" t="s">
        <v>1226</v>
      </c>
      <c r="E180" s="194">
        <f>VLOOKUP(A180,import!A:AA,5,0)</f>
        <v>265</v>
      </c>
      <c r="F180" s="194" t="str">
        <f>VLOOKUP(A180,import!A:AA,6,0)</f>
        <v/>
      </c>
      <c r="G180" s="135">
        <f>VLOOKUP(A180,import!A:AA,7,0)</f>
        <v>0</v>
      </c>
      <c r="H180" s="135">
        <f>VLOOKUP(A180,import!A:AA,8,0)</f>
        <v>14</v>
      </c>
      <c r="I180" s="135">
        <f>VLOOKUP(A180,import!A:AA,9,0)</f>
        <v>14</v>
      </c>
      <c r="J180" s="195">
        <f>VLOOKUP(A180,import!A:AA,10,0)</f>
        <v>0</v>
      </c>
      <c r="K180" s="135" t="s">
        <v>1827</v>
      </c>
      <c r="L180" s="135">
        <v>5.442757601E9</v>
      </c>
      <c r="M180" s="135" t="s">
        <v>1147</v>
      </c>
      <c r="N180" s="135" t="s">
        <v>1362</v>
      </c>
      <c r="O180" s="135" t="s">
        <v>1828</v>
      </c>
      <c r="P180" s="135" t="str">
        <f>VLOOKUP(A180,import!A:P,16,0)</f>
        <v>Geleneksel</v>
      </c>
      <c r="Q180" s="196"/>
      <c r="R180" s="196" t="b">
        <v>1</v>
      </c>
      <c r="S180" s="196" t="b">
        <v>1</v>
      </c>
      <c r="T180" s="197"/>
      <c r="U180" s="197"/>
      <c r="V180" s="197"/>
      <c r="W180" s="197" t="s">
        <v>1829</v>
      </c>
      <c r="X180" s="198"/>
      <c r="Y180" s="198"/>
      <c r="Z180" s="199"/>
      <c r="AA180" s="200" t="s">
        <v>1254</v>
      </c>
      <c r="AB180" s="201">
        <v>44376.0</v>
      </c>
      <c r="AC180" s="200" t="s">
        <v>1277</v>
      </c>
      <c r="AD180" s="201">
        <v>44378.0</v>
      </c>
      <c r="AE180" s="200" t="s">
        <v>1151</v>
      </c>
      <c r="AF180" s="201">
        <v>44404.0</v>
      </c>
      <c r="AG180" s="105"/>
      <c r="AH180" s="199"/>
      <c r="AI180" s="199"/>
      <c r="AJ180" s="199"/>
      <c r="AK180" s="200" t="s">
        <v>1518</v>
      </c>
      <c r="AL180" s="200" t="s">
        <v>1232</v>
      </c>
      <c r="AM180" s="200" t="s">
        <v>1255</v>
      </c>
      <c r="AN180" s="199"/>
      <c r="AO180" s="199"/>
      <c r="AP180" s="202" t="s">
        <v>1152</v>
      </c>
      <c r="AQ180" s="199"/>
    </row>
    <row r="181">
      <c r="A181" s="135" t="s">
        <v>1830</v>
      </c>
      <c r="B181" s="135" t="s">
        <v>1831</v>
      </c>
      <c r="C181" s="135" t="str">
        <f>VLOOKUP(A181,import!A:C,3,0)</f>
        <v>YANLIŞ</v>
      </c>
      <c r="D181" s="135" t="s">
        <v>1155</v>
      </c>
      <c r="E181" s="194">
        <f>VLOOKUP(A181,import!A:AA,5,0)</f>
        <v>205</v>
      </c>
      <c r="F181" s="194" t="str">
        <f>VLOOKUP(A181,import!A:AA,6,0)</f>
        <v/>
      </c>
      <c r="G181" s="135">
        <f>VLOOKUP(A181,import!A:AA,7,0)</f>
        <v>0</v>
      </c>
      <c r="H181" s="135">
        <f>VLOOKUP(A181,import!A:AA,8,0)</f>
        <v>44</v>
      </c>
      <c r="I181" s="135">
        <f>VLOOKUP(A181,import!A:AA,9,0)</f>
        <v>44</v>
      </c>
      <c r="J181" s="195">
        <f>VLOOKUP(A181,import!A:AA,10,0)</f>
        <v>0</v>
      </c>
      <c r="K181" s="135" t="s">
        <v>1832</v>
      </c>
      <c r="L181" s="135">
        <v>5.324960738E9</v>
      </c>
      <c r="M181" s="135" t="s">
        <v>1172</v>
      </c>
      <c r="N181" s="135" t="s">
        <v>1193</v>
      </c>
      <c r="O181" s="135" t="s">
        <v>1833</v>
      </c>
      <c r="P181" s="135" t="str">
        <f>VLOOKUP(A181,import!A:P,16,0)</f>
        <v>Geleneksel</v>
      </c>
      <c r="Q181" s="196"/>
      <c r="R181" s="196" t="b">
        <v>1</v>
      </c>
      <c r="S181" s="196" t="b">
        <v>0</v>
      </c>
      <c r="T181" s="197" t="s">
        <v>1209</v>
      </c>
      <c r="U181" s="197"/>
      <c r="V181" s="197"/>
      <c r="W181" s="197" t="s">
        <v>1834</v>
      </c>
      <c r="X181" s="198"/>
      <c r="Y181" s="198"/>
      <c r="Z181" s="199"/>
      <c r="AA181" s="200" t="s">
        <v>1151</v>
      </c>
      <c r="AB181" s="201">
        <v>44363.0</v>
      </c>
      <c r="AC181" s="199"/>
      <c r="AD181" s="199"/>
      <c r="AE181" s="105"/>
      <c r="AF181" s="199"/>
      <c r="AG181" s="105"/>
      <c r="AH181" s="199"/>
      <c r="AI181" s="199"/>
      <c r="AJ181" s="199"/>
      <c r="AK181" s="200" t="s">
        <v>1232</v>
      </c>
      <c r="AL181" s="199"/>
      <c r="AM181" s="199"/>
      <c r="AN181" s="199"/>
      <c r="AO181" s="199"/>
      <c r="AP181" s="202" t="s">
        <v>1152</v>
      </c>
      <c r="AQ181" s="199"/>
    </row>
    <row r="182">
      <c r="A182" s="135" t="s">
        <v>681</v>
      </c>
      <c r="B182" s="135" t="s">
        <v>682</v>
      </c>
      <c r="C182" s="135" t="str">
        <f>VLOOKUP(A182,import!A:C,3,0)</f>
        <v>DOĞRU</v>
      </c>
      <c r="D182" s="135" t="s">
        <v>1170</v>
      </c>
      <c r="E182" s="194">
        <f>VLOOKUP(A182,import!A:AA,5,0)</f>
        <v>1793</v>
      </c>
      <c r="F182" s="194">
        <f>VLOOKUP(A182,import!A:AA,6,0)</f>
        <v>31</v>
      </c>
      <c r="G182" s="135">
        <f>VLOOKUP(A182,import!A:AA,7,0)</f>
        <v>4</v>
      </c>
      <c r="H182" s="135">
        <f>VLOOKUP(A182,import!A:AA,8,0)</f>
        <v>7</v>
      </c>
      <c r="I182" s="135">
        <f>VLOOKUP(A182,import!A:AA,9,0)</f>
        <v>11</v>
      </c>
      <c r="J182" s="195">
        <f>VLOOKUP(A182,import!A:AA,10,0)</f>
        <v>0.36</v>
      </c>
      <c r="K182" s="135" t="s">
        <v>1835</v>
      </c>
      <c r="L182" s="135">
        <v>2.642776767E9</v>
      </c>
      <c r="M182" s="135" t="s">
        <v>1172</v>
      </c>
      <c r="N182" s="135" t="s">
        <v>1379</v>
      </c>
      <c r="O182" s="135" t="s">
        <v>684</v>
      </c>
      <c r="P182" s="135" t="str">
        <f>VLOOKUP(A182,import!A:P,16,0)</f>
        <v>Geleneksel</v>
      </c>
      <c r="Q182" s="196"/>
      <c r="R182" s="196" t="b">
        <v>1</v>
      </c>
      <c r="S182" s="196" t="b">
        <v>0</v>
      </c>
      <c r="T182" s="197" t="s">
        <v>1165</v>
      </c>
      <c r="U182" s="197" t="s">
        <v>1204</v>
      </c>
      <c r="V182" s="197" t="s">
        <v>91</v>
      </c>
      <c r="W182" s="197"/>
      <c r="X182" s="198">
        <v>44350.0</v>
      </c>
      <c r="Y182" s="198">
        <v>44354.0</v>
      </c>
      <c r="Z182" s="199"/>
      <c r="AA182" s="200" t="s">
        <v>1151</v>
      </c>
      <c r="AB182" s="201">
        <v>44350.0</v>
      </c>
      <c r="AC182" s="199"/>
      <c r="AD182" s="199"/>
      <c r="AE182" s="105"/>
      <c r="AF182" s="199"/>
      <c r="AG182" s="105"/>
      <c r="AH182" s="199"/>
      <c r="AI182" s="199"/>
      <c r="AJ182" s="199"/>
      <c r="AK182" s="200" t="s">
        <v>1204</v>
      </c>
      <c r="AL182" s="199"/>
      <c r="AM182" s="199"/>
      <c r="AN182" s="199"/>
      <c r="AO182" s="199"/>
      <c r="AP182" s="202" t="s">
        <v>1152</v>
      </c>
      <c r="AQ182" s="199"/>
    </row>
    <row r="183">
      <c r="A183" s="135" t="s">
        <v>949</v>
      </c>
      <c r="B183" s="135" t="s">
        <v>950</v>
      </c>
      <c r="C183" s="135" t="str">
        <f>VLOOKUP(A183,import!A:C,3,0)</f>
        <v>DOĞRU</v>
      </c>
      <c r="D183" s="135" t="s">
        <v>1226</v>
      </c>
      <c r="E183" s="194">
        <f>VLOOKUP(A183,import!A:AA,5,0)</f>
        <v>3135</v>
      </c>
      <c r="F183" s="194" t="str">
        <f>VLOOKUP(A183,import!A:AA,6,0)</f>
        <v/>
      </c>
      <c r="G183" s="135">
        <f>VLOOKUP(A183,import!A:AA,7,0)</f>
        <v>0</v>
      </c>
      <c r="H183" s="135">
        <f>VLOOKUP(A183,import!A:AA,8,0)</f>
        <v>47</v>
      </c>
      <c r="I183" s="135">
        <f>VLOOKUP(A183,import!A:AA,9,0)</f>
        <v>47</v>
      </c>
      <c r="J183" s="195">
        <f>VLOOKUP(A183,import!A:AA,10,0)</f>
        <v>0</v>
      </c>
      <c r="K183" s="135" t="s">
        <v>1836</v>
      </c>
      <c r="L183" s="135">
        <v>5.325999519E9</v>
      </c>
      <c r="M183" s="135" t="s">
        <v>1348</v>
      </c>
      <c r="N183" s="135" t="s">
        <v>1349</v>
      </c>
      <c r="O183" s="135" t="s">
        <v>953</v>
      </c>
      <c r="P183" s="135" t="str">
        <f>VLOOKUP(A183,import!A:P,16,0)</f>
        <v>Geleneksel</v>
      </c>
      <c r="Q183" s="196"/>
      <c r="R183" s="196" t="b">
        <v>1</v>
      </c>
      <c r="S183" s="196" t="b">
        <v>0</v>
      </c>
      <c r="T183" s="197" t="s">
        <v>1289</v>
      </c>
      <c r="U183" s="197" t="s">
        <v>941</v>
      </c>
      <c r="V183" s="21" t="s">
        <v>940</v>
      </c>
      <c r="W183" s="197" t="s">
        <v>1837</v>
      </c>
      <c r="X183" s="198">
        <v>44603.0</v>
      </c>
      <c r="Y183" s="198">
        <v>44606.0</v>
      </c>
      <c r="Z183" s="200" t="s">
        <v>1774</v>
      </c>
      <c r="AA183" s="200" t="s">
        <v>1202</v>
      </c>
      <c r="AB183" s="201">
        <v>44354.0</v>
      </c>
      <c r="AC183" s="200" t="s">
        <v>1202</v>
      </c>
      <c r="AD183" s="201">
        <v>44368.0</v>
      </c>
      <c r="AE183" s="200" t="s">
        <v>1202</v>
      </c>
      <c r="AF183" s="201">
        <v>44371.0</v>
      </c>
      <c r="AG183" s="200" t="s">
        <v>1202</v>
      </c>
      <c r="AH183" s="201">
        <v>44378.0</v>
      </c>
      <c r="AI183" s="200" t="s">
        <v>1151</v>
      </c>
      <c r="AJ183" s="201">
        <v>44603.0</v>
      </c>
      <c r="AK183" s="200" t="s">
        <v>189</v>
      </c>
      <c r="AL183" s="200" t="s">
        <v>92</v>
      </c>
      <c r="AM183" s="200" t="s">
        <v>1204</v>
      </c>
      <c r="AN183" s="200" t="s">
        <v>92</v>
      </c>
      <c r="AO183" s="200" t="s">
        <v>941</v>
      </c>
      <c r="AP183" s="202" t="s">
        <v>1152</v>
      </c>
      <c r="AQ183" s="199"/>
    </row>
    <row r="184">
      <c r="A184" s="202" t="s">
        <v>1838</v>
      </c>
      <c r="B184" s="202" t="s">
        <v>1839</v>
      </c>
      <c r="C184" s="135" t="str">
        <f>VLOOKUP(A184,import!A:C,3,0)</f>
        <v>DOĞRU</v>
      </c>
      <c r="D184" s="202" t="s">
        <v>1155</v>
      </c>
      <c r="E184" s="194">
        <f>VLOOKUP(A184,import!A:AA,5,0)</f>
        <v>42</v>
      </c>
      <c r="F184" s="194">
        <f>VLOOKUP(A184,import!A:AA,6,0)</f>
        <v>22</v>
      </c>
      <c r="G184" s="135">
        <f>VLOOKUP(A184,import!A:AA,7,0)</f>
        <v>0</v>
      </c>
      <c r="H184" s="135">
        <f>VLOOKUP(A184,import!A:AA,8,0)</f>
        <v>31</v>
      </c>
      <c r="I184" s="135">
        <f>VLOOKUP(A184,import!A:AA,9,0)</f>
        <v>31</v>
      </c>
      <c r="J184" s="195">
        <f>VLOOKUP(A184,import!A:AA,10,0)</f>
        <v>0</v>
      </c>
      <c r="K184" s="202" t="s">
        <v>1840</v>
      </c>
      <c r="L184" s="202">
        <v>5.449541654E9</v>
      </c>
      <c r="M184" s="202" t="s">
        <v>1147</v>
      </c>
      <c r="N184" s="202" t="s">
        <v>1200</v>
      </c>
      <c r="O184" s="202" t="s">
        <v>1841</v>
      </c>
      <c r="P184" s="135" t="str">
        <f>VLOOKUP(A184,import!A:P,16,0)</f>
        <v>Geleneksel</v>
      </c>
      <c r="Q184" s="196"/>
      <c r="R184" s="196" t="b">
        <v>0</v>
      </c>
      <c r="S184" s="196" t="b">
        <v>0</v>
      </c>
      <c r="T184" s="197"/>
      <c r="U184" s="197"/>
      <c r="V184" s="208"/>
      <c r="W184" s="197"/>
      <c r="X184" s="198"/>
      <c r="Y184" s="198"/>
      <c r="Z184" s="199"/>
      <c r="AA184" s="200"/>
      <c r="AB184" s="201"/>
      <c r="AC184" s="199"/>
      <c r="AD184" s="199"/>
      <c r="AE184" s="105"/>
      <c r="AF184" s="199"/>
      <c r="AG184" s="105"/>
      <c r="AH184" s="199"/>
      <c r="AI184" s="199"/>
      <c r="AJ184" s="199"/>
      <c r="AK184" s="200"/>
      <c r="AL184" s="199"/>
      <c r="AM184" s="199"/>
      <c r="AN184" s="199"/>
      <c r="AO184" s="199"/>
      <c r="AP184" s="202"/>
      <c r="AQ184" s="199"/>
    </row>
    <row r="185">
      <c r="A185" s="135" t="s">
        <v>342</v>
      </c>
      <c r="B185" s="135" t="s">
        <v>343</v>
      </c>
      <c r="C185" s="135" t="str">
        <f>VLOOKUP(A185,import!A:C,3,0)</f>
        <v>DOĞRU</v>
      </c>
      <c r="D185" s="135" t="s">
        <v>1302</v>
      </c>
      <c r="E185" s="194">
        <f>VLOOKUP(A185,import!A:AA,5,0)</f>
        <v>247</v>
      </c>
      <c r="F185" s="194">
        <f>VLOOKUP(A185,import!A:AA,6,0)</f>
        <v>8</v>
      </c>
      <c r="G185" s="135">
        <f>VLOOKUP(A185,import!A:AA,7,0)</f>
        <v>3</v>
      </c>
      <c r="H185" s="135">
        <f>VLOOKUP(A185,import!A:AA,8,0)</f>
        <v>6</v>
      </c>
      <c r="I185" s="135">
        <f>VLOOKUP(A185,import!A:AA,9,0)</f>
        <v>9</v>
      </c>
      <c r="J185" s="195">
        <f>VLOOKUP(A185,import!A:AA,10,0)</f>
        <v>0.33</v>
      </c>
      <c r="K185" s="135" t="s">
        <v>1842</v>
      </c>
      <c r="L185" s="135">
        <v>5.315764723E9</v>
      </c>
      <c r="M185" s="135" t="s">
        <v>1172</v>
      </c>
      <c r="N185" s="135" t="s">
        <v>1336</v>
      </c>
      <c r="O185" s="135" t="s">
        <v>345</v>
      </c>
      <c r="P185" s="135" t="str">
        <f>VLOOKUP(A185,import!A:P,16,0)</f>
        <v>Geleneksel</v>
      </c>
      <c r="Q185" s="196"/>
      <c r="R185" s="196" t="b">
        <v>1</v>
      </c>
      <c r="S185" s="196" t="b">
        <v>0</v>
      </c>
      <c r="T185" s="197" t="s">
        <v>1165</v>
      </c>
      <c r="U185" s="197" t="s">
        <v>189</v>
      </c>
      <c r="V185" s="197" t="s">
        <v>91</v>
      </c>
      <c r="W185" s="197" t="s">
        <v>1843</v>
      </c>
      <c r="X185" s="198">
        <v>44308.0</v>
      </c>
      <c r="Y185" s="198">
        <v>44312.0</v>
      </c>
      <c r="Z185" s="199"/>
      <c r="AA185" s="199"/>
      <c r="AB185" s="199"/>
      <c r="AC185" s="199"/>
      <c r="AD185" s="199"/>
      <c r="AE185" s="105"/>
      <c r="AF185" s="199"/>
      <c r="AG185" s="105"/>
      <c r="AH185" s="199"/>
      <c r="AI185" s="199"/>
      <c r="AJ185" s="199"/>
      <c r="AK185" s="199"/>
      <c r="AL185" s="199"/>
      <c r="AM185" s="199"/>
      <c r="AN185" s="199"/>
      <c r="AO185" s="199"/>
      <c r="AP185" s="202" t="s">
        <v>1152</v>
      </c>
      <c r="AQ185" s="199"/>
    </row>
    <row r="186">
      <c r="A186" s="135" t="s">
        <v>565</v>
      </c>
      <c r="B186" s="135" t="s">
        <v>566</v>
      </c>
      <c r="C186" s="135" t="str">
        <f>VLOOKUP(A186,import!A:C,3,0)</f>
        <v>DOĞRU</v>
      </c>
      <c r="D186" s="135" t="s">
        <v>1302</v>
      </c>
      <c r="E186" s="194">
        <f>VLOOKUP(A186,import!A:AA,5,0)</f>
        <v>55</v>
      </c>
      <c r="F186" s="194" t="str">
        <f>VLOOKUP(A186,import!A:AA,6,0)</f>
        <v/>
      </c>
      <c r="G186" s="135">
        <f>VLOOKUP(A186,import!A:AA,7,0)</f>
        <v>0</v>
      </c>
      <c r="H186" s="135">
        <f>VLOOKUP(A186,import!A:AA,8,0)</f>
        <v>4</v>
      </c>
      <c r="I186" s="135">
        <f>VLOOKUP(A186,import!A:AA,9,0)</f>
        <v>4</v>
      </c>
      <c r="J186" s="195">
        <f>VLOOKUP(A186,import!A:AA,10,0)</f>
        <v>0</v>
      </c>
      <c r="K186" s="135" t="s">
        <v>1558</v>
      </c>
      <c r="L186" s="135">
        <v>5.325640364E9</v>
      </c>
      <c r="M186" s="135" t="s">
        <v>1147</v>
      </c>
      <c r="N186" s="135" t="s">
        <v>1164</v>
      </c>
      <c r="O186" s="135" t="s">
        <v>568</v>
      </c>
      <c r="P186" s="135" t="str">
        <f>VLOOKUP(A186,import!A:P,16,0)</f>
        <v>Geleneksel</v>
      </c>
      <c r="Q186" s="196"/>
      <c r="R186" s="196" t="b">
        <v>1</v>
      </c>
      <c r="S186" s="196" t="b">
        <v>0</v>
      </c>
      <c r="T186" s="197" t="s">
        <v>1165</v>
      </c>
      <c r="U186" s="197" t="s">
        <v>257</v>
      </c>
      <c r="V186" s="197" t="s">
        <v>91</v>
      </c>
      <c r="W186" s="197"/>
      <c r="X186" s="198">
        <v>44340.0</v>
      </c>
      <c r="Y186" s="198">
        <v>44343.0</v>
      </c>
      <c r="Z186" s="199"/>
      <c r="AA186" s="199"/>
      <c r="AB186" s="199"/>
      <c r="AC186" s="199"/>
      <c r="AD186" s="199"/>
      <c r="AE186" s="105"/>
      <c r="AF186" s="199"/>
      <c r="AG186" s="105"/>
      <c r="AH186" s="199"/>
      <c r="AI186" s="199"/>
      <c r="AJ186" s="199"/>
      <c r="AK186" s="199"/>
      <c r="AL186" s="199"/>
      <c r="AM186" s="199"/>
      <c r="AN186" s="199"/>
      <c r="AO186" s="199"/>
      <c r="AP186" s="202" t="s">
        <v>1152</v>
      </c>
      <c r="AQ186" s="199"/>
    </row>
    <row r="187">
      <c r="A187" s="135" t="s">
        <v>17</v>
      </c>
      <c r="B187" s="135" t="s">
        <v>18</v>
      </c>
      <c r="C187" s="135" t="str">
        <f>VLOOKUP(A187,import!A:C,3,0)</f>
        <v>DOĞRU</v>
      </c>
      <c r="D187" s="135" t="s">
        <v>1162</v>
      </c>
      <c r="E187" s="194">
        <f>VLOOKUP(A187,import!A:AA,5,0)</f>
        <v>2123</v>
      </c>
      <c r="F187" s="194">
        <f>VLOOKUP(A187,import!A:AA,6,0)</f>
        <v>124</v>
      </c>
      <c r="G187" s="135">
        <f>VLOOKUP(A187,import!A:AA,7,0)</f>
        <v>32</v>
      </c>
      <c r="H187" s="135">
        <f>VLOOKUP(A187,import!A:AA,8,0)</f>
        <v>25</v>
      </c>
      <c r="I187" s="135">
        <f>VLOOKUP(A187,import!A:AA,9,0)</f>
        <v>57</v>
      </c>
      <c r="J187" s="195">
        <f>VLOOKUP(A187,import!A:AA,10,0)</f>
        <v>0.56</v>
      </c>
      <c r="K187" s="135" t="s">
        <v>1844</v>
      </c>
      <c r="L187" s="135">
        <v>5.383161453E9</v>
      </c>
      <c r="M187" s="135" t="s">
        <v>1147</v>
      </c>
      <c r="N187" s="135" t="s">
        <v>1200</v>
      </c>
      <c r="O187" s="135" t="s">
        <v>21</v>
      </c>
      <c r="P187" s="135" t="str">
        <f>VLOOKUP(A187,import!A:P,16,0)</f>
        <v>Geleneksel</v>
      </c>
      <c r="Q187" s="196"/>
      <c r="R187" s="196" t="b">
        <v>1</v>
      </c>
      <c r="S187" s="196" t="b">
        <v>0</v>
      </c>
      <c r="T187" s="211" t="s">
        <v>1165</v>
      </c>
      <c r="U187" s="211" t="s">
        <v>189</v>
      </c>
      <c r="V187" s="211" t="s">
        <v>91</v>
      </c>
      <c r="W187" s="211" t="s">
        <v>1845</v>
      </c>
      <c r="X187" s="214">
        <v>44343.0</v>
      </c>
      <c r="Y187" s="214">
        <v>44347.0</v>
      </c>
      <c r="Z187" s="199"/>
      <c r="AA187" s="200" t="s">
        <v>1254</v>
      </c>
      <c r="AB187" s="201">
        <v>44376.0</v>
      </c>
      <c r="AC187" s="200" t="s">
        <v>1254</v>
      </c>
      <c r="AD187" s="201">
        <v>44385.0</v>
      </c>
      <c r="AE187" s="105"/>
      <c r="AF187" s="199"/>
      <c r="AG187" s="105"/>
      <c r="AH187" s="199"/>
      <c r="AI187" s="199"/>
      <c r="AJ187" s="199"/>
      <c r="AK187" s="200" t="s">
        <v>1167</v>
      </c>
      <c r="AL187" s="200" t="s">
        <v>1167</v>
      </c>
      <c r="AM187" s="199"/>
      <c r="AN187" s="199"/>
      <c r="AO187" s="199"/>
      <c r="AP187" s="202" t="s">
        <v>1152</v>
      </c>
      <c r="AQ187" s="199"/>
    </row>
    <row r="188">
      <c r="A188" s="135" t="s">
        <v>484</v>
      </c>
      <c r="B188" s="135" t="s">
        <v>485</v>
      </c>
      <c r="C188" s="135" t="str">
        <f>VLOOKUP(A188,import!A:C,3,0)</f>
        <v>DOĞRU</v>
      </c>
      <c r="D188" s="135" t="s">
        <v>1281</v>
      </c>
      <c r="E188" s="194">
        <f>VLOOKUP(A188,import!A:AA,5,0)</f>
        <v>2634</v>
      </c>
      <c r="F188" s="194" t="str">
        <f>VLOOKUP(A188,import!A:AA,6,0)</f>
        <v/>
      </c>
      <c r="G188" s="135">
        <f>VLOOKUP(A188,import!A:AA,7,0)</f>
        <v>7</v>
      </c>
      <c r="H188" s="135">
        <f>VLOOKUP(A188,import!A:AA,8,0)</f>
        <v>4</v>
      </c>
      <c r="I188" s="135">
        <f>VLOOKUP(A188,import!A:AA,9,0)</f>
        <v>11</v>
      </c>
      <c r="J188" s="195">
        <f>VLOOKUP(A188,import!A:AA,10,0)</f>
        <v>0.64</v>
      </c>
      <c r="K188" s="135" t="s">
        <v>1846</v>
      </c>
      <c r="L188" s="135">
        <v>5.06052822E9</v>
      </c>
      <c r="M188" s="135" t="s">
        <v>1172</v>
      </c>
      <c r="N188" s="135" t="s">
        <v>1379</v>
      </c>
      <c r="O188" s="135" t="s">
        <v>488</v>
      </c>
      <c r="P188" s="135" t="str">
        <f>VLOOKUP(A188,import!A:P,16,0)</f>
        <v>Geleneksel</v>
      </c>
      <c r="Q188" s="196"/>
      <c r="R188" s="196" t="b">
        <v>1</v>
      </c>
      <c r="S188" s="196" t="b">
        <v>0</v>
      </c>
      <c r="T188" s="197" t="s">
        <v>1165</v>
      </c>
      <c r="U188" s="197" t="s">
        <v>189</v>
      </c>
      <c r="V188" s="197" t="s">
        <v>91</v>
      </c>
      <c r="W188" s="197"/>
      <c r="X188" s="198">
        <v>44334.0</v>
      </c>
      <c r="Y188" s="198">
        <v>44336.0</v>
      </c>
      <c r="Z188" s="199"/>
      <c r="AA188" s="199"/>
      <c r="AB188" s="199"/>
      <c r="AC188" s="199"/>
      <c r="AD188" s="199"/>
      <c r="AE188" s="105"/>
      <c r="AF188" s="199"/>
      <c r="AG188" s="105"/>
      <c r="AH188" s="199"/>
      <c r="AI188" s="199"/>
      <c r="AJ188" s="199"/>
      <c r="AK188" s="199"/>
      <c r="AL188" s="199"/>
      <c r="AM188" s="199"/>
      <c r="AN188" s="199"/>
      <c r="AO188" s="199"/>
      <c r="AP188" s="202" t="s">
        <v>1152</v>
      </c>
      <c r="AQ188" s="199"/>
    </row>
    <row r="189">
      <c r="A189" s="135" t="s">
        <v>178</v>
      </c>
      <c r="B189" s="135" t="s">
        <v>179</v>
      </c>
      <c r="C189" s="135" t="str">
        <f>VLOOKUP(A189,import!A:C,3,0)</f>
        <v>DOĞRU</v>
      </c>
      <c r="D189" s="135" t="s">
        <v>1311</v>
      </c>
      <c r="E189" s="194">
        <f>VLOOKUP(A189,import!A:AA,5,0)</f>
        <v>213</v>
      </c>
      <c r="F189" s="194">
        <f>VLOOKUP(A189,import!A:AA,6,0)</f>
        <v>29</v>
      </c>
      <c r="G189" s="135">
        <f>VLOOKUP(A189,import!A:AA,7,0)</f>
        <v>8</v>
      </c>
      <c r="H189" s="135">
        <f>VLOOKUP(A189,import!A:AA,8,0)</f>
        <v>24</v>
      </c>
      <c r="I189" s="135">
        <f>VLOOKUP(A189,import!A:AA,9,0)</f>
        <v>32</v>
      </c>
      <c r="J189" s="195">
        <f>VLOOKUP(A189,import!A:AA,10,0)</f>
        <v>0.25</v>
      </c>
      <c r="K189" s="135" t="s">
        <v>1669</v>
      </c>
      <c r="L189" s="135">
        <v>5.39312002E9</v>
      </c>
      <c r="M189" s="135" t="s">
        <v>1147</v>
      </c>
      <c r="N189" s="135" t="s">
        <v>1164</v>
      </c>
      <c r="O189" s="135" t="s">
        <v>182</v>
      </c>
      <c r="P189" s="135" t="str">
        <f>VLOOKUP(A189,import!A:P,16,0)</f>
        <v>Geleneksel</v>
      </c>
      <c r="Q189" s="196"/>
      <c r="R189" s="196" t="b">
        <v>1</v>
      </c>
      <c r="S189" s="196" t="b">
        <v>0</v>
      </c>
      <c r="T189" s="211" t="s">
        <v>1165</v>
      </c>
      <c r="U189" s="211" t="s">
        <v>73</v>
      </c>
      <c r="V189" s="211" t="s">
        <v>91</v>
      </c>
      <c r="W189" s="211" t="s">
        <v>1847</v>
      </c>
      <c r="X189" s="214">
        <v>44299.0</v>
      </c>
      <c r="Y189" s="214">
        <v>44299.0</v>
      </c>
      <c r="Z189" s="199"/>
      <c r="AA189" s="200" t="s">
        <v>1151</v>
      </c>
      <c r="AB189" s="201">
        <v>44376.0</v>
      </c>
      <c r="AC189" s="199"/>
      <c r="AD189" s="199"/>
      <c r="AE189" s="105"/>
      <c r="AF189" s="199"/>
      <c r="AG189" s="105"/>
      <c r="AH189" s="199"/>
      <c r="AI189" s="199"/>
      <c r="AJ189" s="199"/>
      <c r="AK189" s="200" t="s">
        <v>1167</v>
      </c>
      <c r="AL189" s="199"/>
      <c r="AM189" s="199"/>
      <c r="AN189" s="199"/>
      <c r="AO189" s="199"/>
      <c r="AP189" s="202" t="s">
        <v>1152</v>
      </c>
      <c r="AQ189" s="199"/>
    </row>
    <row r="190">
      <c r="A190" s="135" t="s">
        <v>1848</v>
      </c>
      <c r="B190" s="135" t="s">
        <v>1849</v>
      </c>
      <c r="C190" s="135" t="str">
        <f>VLOOKUP(A190,import!A:C,3,0)</f>
        <v>DOĞRU</v>
      </c>
      <c r="D190" s="135" t="s">
        <v>1145</v>
      </c>
      <c r="E190" s="194">
        <f>VLOOKUP(A190,import!A:AA,5,0)</f>
        <v>22</v>
      </c>
      <c r="F190" s="194" t="str">
        <f>VLOOKUP(A190,import!A:AA,6,0)</f>
        <v/>
      </c>
      <c r="G190" s="135">
        <f>VLOOKUP(A190,import!A:AA,7,0)</f>
        <v>0</v>
      </c>
      <c r="H190" s="135">
        <f>VLOOKUP(A190,import!A:AA,8,0)</f>
        <v>14</v>
      </c>
      <c r="I190" s="135">
        <f>VLOOKUP(A190,import!A:AA,9,0)</f>
        <v>14</v>
      </c>
      <c r="J190" s="195">
        <f>VLOOKUP(A190,import!A:AA,10,0)</f>
        <v>0</v>
      </c>
      <c r="K190" s="135" t="s">
        <v>1850</v>
      </c>
      <c r="L190" s="135">
        <v>5.457677429E9</v>
      </c>
      <c r="M190" s="135" t="s">
        <v>1172</v>
      </c>
      <c r="N190" s="135" t="s">
        <v>1336</v>
      </c>
      <c r="O190" s="135" t="s">
        <v>1851</v>
      </c>
      <c r="P190" s="135" t="str">
        <f>VLOOKUP(A190,import!A:P,16,0)</f>
        <v>Geleneksel</v>
      </c>
      <c r="Q190" s="196"/>
      <c r="R190" s="196" t="b">
        <v>1</v>
      </c>
      <c r="S190" s="196" t="b">
        <v>0</v>
      </c>
      <c r="T190" s="197" t="s">
        <v>1852</v>
      </c>
      <c r="U190" s="197"/>
      <c r="V190" s="197"/>
      <c r="W190" s="197" t="s">
        <v>1853</v>
      </c>
      <c r="X190" s="198"/>
      <c r="Y190" s="198"/>
      <c r="Z190" s="199"/>
      <c r="AA190" s="200" t="s">
        <v>1151</v>
      </c>
      <c r="AB190" s="201">
        <v>44609.0</v>
      </c>
      <c r="AC190" s="199"/>
      <c r="AD190" s="199"/>
      <c r="AE190" s="105"/>
      <c r="AF190" s="199"/>
      <c r="AG190" s="105"/>
      <c r="AH190" s="199"/>
      <c r="AI190" s="199"/>
      <c r="AJ190" s="199"/>
      <c r="AK190" s="200" t="s">
        <v>1024</v>
      </c>
      <c r="AL190" s="199"/>
      <c r="AM190" s="199"/>
      <c r="AN190" s="199"/>
      <c r="AO190" s="199"/>
      <c r="AP190" s="202"/>
      <c r="AQ190" s="199"/>
    </row>
    <row r="191">
      <c r="A191" s="135" t="s">
        <v>1854</v>
      </c>
      <c r="B191" s="135" t="s">
        <v>1855</v>
      </c>
      <c r="C191" s="135" t="str">
        <f>VLOOKUP(A191,import!A:C,3,0)</f>
        <v>DOĞRU</v>
      </c>
      <c r="D191" s="135" t="s">
        <v>1170</v>
      </c>
      <c r="E191" s="194" t="str">
        <f>VLOOKUP(A191,import!A:AA,5,0)</f>
        <v/>
      </c>
      <c r="F191" s="194" t="str">
        <f>VLOOKUP(A191,import!A:AA,6,0)</f>
        <v/>
      </c>
      <c r="G191" s="135">
        <f>VLOOKUP(A191,import!A:AA,7,0)</f>
        <v>0</v>
      </c>
      <c r="H191" s="135">
        <f>VLOOKUP(A191,import!A:AA,8,0)</f>
        <v>15</v>
      </c>
      <c r="I191" s="135">
        <f>VLOOKUP(A191,import!A:AA,9,0)</f>
        <v>15</v>
      </c>
      <c r="J191" s="195">
        <f>VLOOKUP(A191,import!A:AA,10,0)</f>
        <v>0</v>
      </c>
      <c r="K191" s="135" t="s">
        <v>1856</v>
      </c>
      <c r="L191" s="135">
        <v>5.363052554E9</v>
      </c>
      <c r="M191" s="135" t="s">
        <v>1172</v>
      </c>
      <c r="N191" s="135" t="s">
        <v>1405</v>
      </c>
      <c r="O191" s="135" t="s">
        <v>1857</v>
      </c>
      <c r="P191" s="135" t="str">
        <f>VLOOKUP(A191,import!A:P,16,0)</f>
        <v>Geleneksel</v>
      </c>
      <c r="Q191" s="196"/>
      <c r="R191" s="196" t="b">
        <v>0</v>
      </c>
      <c r="S191" s="196" t="b">
        <v>0</v>
      </c>
      <c r="T191" s="197"/>
      <c r="U191" s="197"/>
      <c r="V191" s="197"/>
      <c r="W191" s="197"/>
      <c r="X191" s="198"/>
      <c r="Y191" s="198"/>
      <c r="Z191" s="199"/>
      <c r="AA191" s="200"/>
      <c r="AB191" s="201"/>
      <c r="AC191" s="199"/>
      <c r="AD191" s="199"/>
      <c r="AE191" s="105"/>
      <c r="AF191" s="199"/>
      <c r="AG191" s="105"/>
      <c r="AH191" s="199"/>
      <c r="AI191" s="199"/>
      <c r="AJ191" s="199"/>
      <c r="AK191" s="200"/>
      <c r="AL191" s="199"/>
      <c r="AM191" s="199"/>
      <c r="AN191" s="199"/>
      <c r="AO191" s="199"/>
      <c r="AP191" s="202"/>
      <c r="AQ191" s="199"/>
    </row>
    <row r="192">
      <c r="A192" s="135" t="s">
        <v>611</v>
      </c>
      <c r="B192" s="135" t="s">
        <v>612</v>
      </c>
      <c r="C192" s="135" t="str">
        <f>VLOOKUP(A192,import!A:C,3,0)</f>
        <v>DOĞRU</v>
      </c>
      <c r="D192" s="135" t="s">
        <v>1155</v>
      </c>
      <c r="E192" s="194">
        <f>VLOOKUP(A192,import!A:AA,5,0)</f>
        <v>232</v>
      </c>
      <c r="F192" s="194">
        <f>VLOOKUP(A192,import!A:AA,6,0)</f>
        <v>9</v>
      </c>
      <c r="G192" s="135">
        <f>VLOOKUP(A192,import!A:AA,7,0)</f>
        <v>0</v>
      </c>
      <c r="H192" s="135">
        <f>VLOOKUP(A192,import!A:AA,8,0)</f>
        <v>16</v>
      </c>
      <c r="I192" s="135">
        <f>VLOOKUP(A192,import!A:AA,9,0)</f>
        <v>16</v>
      </c>
      <c r="J192" s="195">
        <f>VLOOKUP(A192,import!A:AA,10,0)</f>
        <v>0</v>
      </c>
      <c r="K192" s="135" t="s">
        <v>1858</v>
      </c>
      <c r="L192" s="135">
        <v>5.368253358E9</v>
      </c>
      <c r="M192" s="135" t="s">
        <v>1172</v>
      </c>
      <c r="N192" s="135" t="s">
        <v>1859</v>
      </c>
      <c r="O192" s="135" t="s">
        <v>615</v>
      </c>
      <c r="P192" s="135" t="str">
        <f>VLOOKUP(A192,import!A:P,16,0)</f>
        <v>Geleneksel</v>
      </c>
      <c r="Q192" s="196"/>
      <c r="R192" s="196" t="b">
        <v>1</v>
      </c>
      <c r="S192" s="196" t="b">
        <v>0</v>
      </c>
      <c r="T192" s="197" t="s">
        <v>1289</v>
      </c>
      <c r="U192" s="197" t="s">
        <v>189</v>
      </c>
      <c r="V192" s="197" t="s">
        <v>91</v>
      </c>
      <c r="W192" s="197" t="s">
        <v>1860</v>
      </c>
      <c r="X192" s="198">
        <v>44344.0</v>
      </c>
      <c r="Y192" s="198">
        <v>44348.0</v>
      </c>
      <c r="Z192" s="199"/>
      <c r="AA192" s="200" t="s">
        <v>1151</v>
      </c>
      <c r="AB192" s="201">
        <v>44363.0</v>
      </c>
      <c r="AC192" s="200" t="s">
        <v>1254</v>
      </c>
      <c r="AD192" s="201">
        <v>44378.0</v>
      </c>
      <c r="AE192" s="200" t="s">
        <v>1151</v>
      </c>
      <c r="AF192" s="201">
        <v>44404.0</v>
      </c>
      <c r="AG192" s="200" t="s">
        <v>1253</v>
      </c>
      <c r="AH192" s="201">
        <v>44609.0</v>
      </c>
      <c r="AI192" s="199"/>
      <c r="AJ192" s="199"/>
      <c r="AK192" s="200" t="s">
        <v>1167</v>
      </c>
      <c r="AL192" s="200" t="s">
        <v>1232</v>
      </c>
      <c r="AM192" s="200" t="s">
        <v>189</v>
      </c>
      <c r="AN192" s="200" t="s">
        <v>1024</v>
      </c>
      <c r="AO192" s="199"/>
      <c r="AP192" s="202" t="s">
        <v>1152</v>
      </c>
      <c r="AQ192" s="199"/>
    </row>
    <row r="193">
      <c r="A193" s="135" t="s">
        <v>724</v>
      </c>
      <c r="B193" s="135" t="s">
        <v>725</v>
      </c>
      <c r="C193" s="135" t="str">
        <f>VLOOKUP(A193,import!A:C,3,0)</f>
        <v>DOĞRU</v>
      </c>
      <c r="D193" s="135" t="s">
        <v>1188</v>
      </c>
      <c r="E193" s="194">
        <f>VLOOKUP(A193,import!A:AA,5,0)</f>
        <v>1645</v>
      </c>
      <c r="F193" s="194">
        <f>VLOOKUP(A193,import!A:AA,6,0)</f>
        <v>42</v>
      </c>
      <c r="G193" s="135">
        <f>VLOOKUP(A193,import!A:AA,7,0)</f>
        <v>40</v>
      </c>
      <c r="H193" s="135">
        <f>VLOOKUP(A193,import!A:AA,8,0)</f>
        <v>25</v>
      </c>
      <c r="I193" s="135">
        <f>VLOOKUP(A193,import!A:AA,9,0)</f>
        <v>65</v>
      </c>
      <c r="J193" s="195">
        <f>VLOOKUP(A193,import!A:AA,10,0)</f>
        <v>0.62</v>
      </c>
      <c r="K193" s="135" t="s">
        <v>1861</v>
      </c>
      <c r="L193" s="135">
        <v>5.466619E9</v>
      </c>
      <c r="M193" s="135" t="s">
        <v>1348</v>
      </c>
      <c r="N193" s="135" t="s">
        <v>1419</v>
      </c>
      <c r="O193" s="135" t="s">
        <v>727</v>
      </c>
      <c r="P193" s="135" t="str">
        <f>VLOOKUP(A193,import!A:P,16,0)</f>
        <v>Geleneksel</v>
      </c>
      <c r="Q193" s="196"/>
      <c r="R193" s="196" t="b">
        <v>1</v>
      </c>
      <c r="S193" s="196" t="b">
        <v>0</v>
      </c>
      <c r="T193" s="197" t="s">
        <v>1436</v>
      </c>
      <c r="U193" s="197" t="s">
        <v>941</v>
      </c>
      <c r="V193" s="21" t="s">
        <v>940</v>
      </c>
      <c r="W193" s="197" t="s">
        <v>1862</v>
      </c>
      <c r="X193" s="198">
        <v>44603.0</v>
      </c>
      <c r="Y193" s="198">
        <v>44606.0</v>
      </c>
      <c r="Z193" s="199"/>
      <c r="AA193" s="200" t="s">
        <v>1151</v>
      </c>
      <c r="AB193" s="201">
        <v>44354.0</v>
      </c>
      <c r="AC193" s="200" t="s">
        <v>1202</v>
      </c>
      <c r="AD193" s="201">
        <v>44384.0</v>
      </c>
      <c r="AE193" s="200" t="s">
        <v>1151</v>
      </c>
      <c r="AF193" s="201">
        <v>44386.0</v>
      </c>
      <c r="AG193" s="200" t="s">
        <v>1151</v>
      </c>
      <c r="AH193" s="201">
        <v>44603.0</v>
      </c>
      <c r="AI193" s="199"/>
      <c r="AJ193" s="199"/>
      <c r="AK193" s="200" t="s">
        <v>189</v>
      </c>
      <c r="AL193" s="200" t="s">
        <v>189</v>
      </c>
      <c r="AM193" s="200" t="s">
        <v>1167</v>
      </c>
      <c r="AN193" s="200" t="s">
        <v>941</v>
      </c>
      <c r="AO193" s="199"/>
      <c r="AP193" s="202" t="s">
        <v>1152</v>
      </c>
      <c r="AQ193" s="199"/>
    </row>
    <row r="194">
      <c r="A194" s="135" t="s">
        <v>1863</v>
      </c>
      <c r="B194" s="135" t="s">
        <v>1864</v>
      </c>
      <c r="C194" s="135" t="str">
        <f>VLOOKUP(A194,import!A:C,3,0)</f>
        <v>DOĞRU</v>
      </c>
      <c r="D194" s="135" t="s">
        <v>1455</v>
      </c>
      <c r="E194" s="194">
        <f>VLOOKUP(A194,import!A:AA,5,0)</f>
        <v>10</v>
      </c>
      <c r="F194" s="194" t="str">
        <f>VLOOKUP(A194,import!A:AA,6,0)</f>
        <v/>
      </c>
      <c r="G194" s="135">
        <f>VLOOKUP(A194,import!A:AA,7,0)</f>
        <v>0</v>
      </c>
      <c r="H194" s="135">
        <f>VLOOKUP(A194,import!A:AA,8,0)</f>
        <v>24</v>
      </c>
      <c r="I194" s="135">
        <f>VLOOKUP(A194,import!A:AA,9,0)</f>
        <v>24</v>
      </c>
      <c r="J194" s="195">
        <f>VLOOKUP(A194,import!A:AA,10,0)</f>
        <v>0</v>
      </c>
      <c r="K194" s="135" t="s">
        <v>1865</v>
      </c>
      <c r="L194" s="135">
        <v>5.358650309E9</v>
      </c>
      <c r="M194" s="135" t="s">
        <v>1177</v>
      </c>
      <c r="N194" s="135" t="s">
        <v>1177</v>
      </c>
      <c r="O194" s="135" t="s">
        <v>1866</v>
      </c>
      <c r="P194" s="135" t="str">
        <f>VLOOKUP(A194,import!A:P,16,0)</f>
        <v>Geleneksel</v>
      </c>
      <c r="Q194" s="196"/>
      <c r="R194" s="196" t="b">
        <v>0</v>
      </c>
      <c r="S194" s="196" t="b">
        <v>0</v>
      </c>
      <c r="T194" s="197"/>
      <c r="U194" s="197"/>
      <c r="V194" s="197"/>
      <c r="W194" s="197"/>
      <c r="X194" s="198"/>
      <c r="Y194" s="198"/>
      <c r="Z194" s="199"/>
      <c r="AA194" s="200"/>
      <c r="AB194" s="201"/>
      <c r="AC194" s="199"/>
      <c r="AD194" s="199"/>
      <c r="AE194" s="105"/>
      <c r="AF194" s="199"/>
      <c r="AG194" s="105"/>
      <c r="AH194" s="199"/>
      <c r="AI194" s="199"/>
      <c r="AJ194" s="199"/>
      <c r="AK194" s="200"/>
      <c r="AL194" s="199"/>
      <c r="AM194" s="199"/>
      <c r="AN194" s="199"/>
      <c r="AO194" s="199"/>
      <c r="AP194" s="202"/>
      <c r="AQ194" s="199"/>
    </row>
    <row r="195">
      <c r="A195" s="135" t="s">
        <v>1867</v>
      </c>
      <c r="B195" s="135" t="s">
        <v>1868</v>
      </c>
      <c r="C195" s="135" t="str">
        <f>VLOOKUP(A195,import!A:C,3,0)</f>
        <v>DOĞRU</v>
      </c>
      <c r="D195" s="135" t="s">
        <v>1869</v>
      </c>
      <c r="E195" s="194">
        <f>VLOOKUP(A195,import!A:AA,5,0)</f>
        <v>246</v>
      </c>
      <c r="F195" s="194">
        <f>VLOOKUP(A195,import!A:AA,6,0)</f>
        <v>32</v>
      </c>
      <c r="G195" s="135">
        <f>VLOOKUP(A195,import!A:AA,7,0)</f>
        <v>0</v>
      </c>
      <c r="H195" s="135">
        <f>VLOOKUP(A195,import!A:AA,8,0)</f>
        <v>11</v>
      </c>
      <c r="I195" s="135">
        <f>VLOOKUP(A195,import!A:AA,9,0)</f>
        <v>11</v>
      </c>
      <c r="J195" s="195">
        <f>VLOOKUP(A195,import!A:AA,10,0)</f>
        <v>0</v>
      </c>
      <c r="K195" s="135" t="s">
        <v>1870</v>
      </c>
      <c r="L195" s="135">
        <v>5.315239294E9</v>
      </c>
      <c r="M195" s="135" t="s">
        <v>1147</v>
      </c>
      <c r="N195" s="135" t="s">
        <v>1200</v>
      </c>
      <c r="O195" s="135" t="s">
        <v>1564</v>
      </c>
      <c r="P195" s="135" t="str">
        <f>VLOOKUP(A195,import!A:P,16,0)</f>
        <v>Geleneksel</v>
      </c>
      <c r="Q195" s="196"/>
      <c r="R195" s="196" t="b">
        <v>1</v>
      </c>
      <c r="S195" s="196" t="b">
        <v>1</v>
      </c>
      <c r="T195" s="197"/>
      <c r="U195" s="197"/>
      <c r="V195" s="197"/>
      <c r="W195" s="197"/>
      <c r="X195" s="198"/>
      <c r="Y195" s="198"/>
      <c r="Z195" s="199"/>
      <c r="AA195" s="200" t="s">
        <v>1151</v>
      </c>
      <c r="AB195" s="201">
        <v>44606.0</v>
      </c>
      <c r="AC195" s="199"/>
      <c r="AD195" s="199"/>
      <c r="AE195" s="105"/>
      <c r="AF195" s="199"/>
      <c r="AG195" s="105"/>
      <c r="AH195" s="199"/>
      <c r="AI195" s="199"/>
      <c r="AJ195" s="199"/>
      <c r="AK195" s="200" t="s">
        <v>1161</v>
      </c>
      <c r="AL195" s="199"/>
      <c r="AM195" s="199"/>
      <c r="AN195" s="199"/>
      <c r="AO195" s="199"/>
      <c r="AP195" s="202"/>
      <c r="AQ195" s="199"/>
    </row>
    <row r="196">
      <c r="A196" s="135" t="s">
        <v>561</v>
      </c>
      <c r="B196" s="135" t="s">
        <v>562</v>
      </c>
      <c r="C196" s="135" t="str">
        <f>VLOOKUP(A196,import!A:C,3,0)</f>
        <v>DOĞRU</v>
      </c>
      <c r="D196" s="135" t="s">
        <v>1216</v>
      </c>
      <c r="E196" s="194">
        <f>VLOOKUP(A196,import!A:AA,5,0)</f>
        <v>372</v>
      </c>
      <c r="F196" s="194">
        <f>VLOOKUP(A196,import!A:AA,6,0)</f>
        <v>54</v>
      </c>
      <c r="G196" s="135">
        <f>VLOOKUP(A196,import!A:AA,7,0)</f>
        <v>0</v>
      </c>
      <c r="H196" s="135">
        <f>VLOOKUP(A196,import!A:AA,8,0)</f>
        <v>44</v>
      </c>
      <c r="I196" s="135">
        <f>VLOOKUP(A196,import!A:AA,9,0)</f>
        <v>44</v>
      </c>
      <c r="J196" s="195">
        <f>VLOOKUP(A196,import!A:AA,10,0)</f>
        <v>0</v>
      </c>
      <c r="K196" s="135" t="s">
        <v>1871</v>
      </c>
      <c r="L196" s="135">
        <v>5.322895494E9</v>
      </c>
      <c r="M196" s="135" t="s">
        <v>1147</v>
      </c>
      <c r="N196" s="135" t="s">
        <v>1200</v>
      </c>
      <c r="O196" s="135" t="s">
        <v>564</v>
      </c>
      <c r="P196" s="135" t="str">
        <f>VLOOKUP(A196,import!A:P,16,0)</f>
        <v>Geleneksel</v>
      </c>
      <c r="Q196" s="196"/>
      <c r="R196" s="196" t="b">
        <v>1</v>
      </c>
      <c r="S196" s="196" t="b">
        <v>0</v>
      </c>
      <c r="T196" s="197" t="s">
        <v>1275</v>
      </c>
      <c r="U196" s="197" t="s">
        <v>189</v>
      </c>
      <c r="V196" s="197" t="s">
        <v>91</v>
      </c>
      <c r="W196" s="197" t="s">
        <v>1872</v>
      </c>
      <c r="X196" s="198">
        <v>44341.0</v>
      </c>
      <c r="Y196" s="198">
        <v>44343.0</v>
      </c>
      <c r="Z196" s="199"/>
      <c r="AA196" s="200" t="s">
        <v>1151</v>
      </c>
      <c r="AB196" s="201">
        <v>44376.0</v>
      </c>
      <c r="AC196" s="200" t="s">
        <v>1202</v>
      </c>
      <c r="AD196" s="201">
        <v>44391.0</v>
      </c>
      <c r="AE196" s="200" t="s">
        <v>1151</v>
      </c>
      <c r="AF196" s="201">
        <v>44392.0</v>
      </c>
      <c r="AG196" s="105"/>
      <c r="AH196" s="199"/>
      <c r="AI196" s="199"/>
      <c r="AJ196" s="199"/>
      <c r="AK196" s="200" t="s">
        <v>1167</v>
      </c>
      <c r="AL196" s="200" t="s">
        <v>1167</v>
      </c>
      <c r="AM196" s="200" t="s">
        <v>1167</v>
      </c>
      <c r="AN196" s="199"/>
      <c r="AO196" s="199"/>
      <c r="AP196" s="202" t="s">
        <v>1152</v>
      </c>
      <c r="AQ196" s="199"/>
    </row>
    <row r="197">
      <c r="A197" s="135" t="s">
        <v>1033</v>
      </c>
      <c r="B197" s="135" t="s">
        <v>1034</v>
      </c>
      <c r="C197" s="135" t="str">
        <f>VLOOKUP(A197,import!A:C,3,0)</f>
        <v>DOĞRU</v>
      </c>
      <c r="D197" s="135" t="s">
        <v>1182</v>
      </c>
      <c r="E197" s="194">
        <f>VLOOKUP(A197,import!A:AA,5,0)</f>
        <v>127</v>
      </c>
      <c r="F197" s="194">
        <f>VLOOKUP(A197,import!A:AA,6,0)</f>
        <v>4</v>
      </c>
      <c r="G197" s="135">
        <f>VLOOKUP(A197,import!A:AA,7,0)</f>
        <v>0</v>
      </c>
      <c r="H197" s="135">
        <f>VLOOKUP(A197,import!A:AA,8,0)</f>
        <v>16</v>
      </c>
      <c r="I197" s="135">
        <f>VLOOKUP(A197,import!A:AA,9,0)</f>
        <v>16</v>
      </c>
      <c r="J197" s="195">
        <f>VLOOKUP(A197,import!A:AA,10,0)</f>
        <v>0</v>
      </c>
      <c r="K197" s="135" t="s">
        <v>1873</v>
      </c>
      <c r="L197" s="135">
        <v>5.330149254E9</v>
      </c>
      <c r="M197" s="135" t="s">
        <v>1172</v>
      </c>
      <c r="N197" s="135" t="s">
        <v>1874</v>
      </c>
      <c r="O197" s="135" t="s">
        <v>1037</v>
      </c>
      <c r="P197" s="135" t="str">
        <f>VLOOKUP(A197,import!A:P,16,0)</f>
        <v>Geleneksel</v>
      </c>
      <c r="Q197" s="196"/>
      <c r="R197" s="196" t="b">
        <v>1</v>
      </c>
      <c r="S197" s="196" t="b">
        <v>0</v>
      </c>
      <c r="T197" s="197" t="s">
        <v>1253</v>
      </c>
      <c r="U197" s="197" t="s">
        <v>1161</v>
      </c>
      <c r="V197" s="207" t="s">
        <v>940</v>
      </c>
      <c r="W197" s="197" t="s">
        <v>1875</v>
      </c>
      <c r="X197" s="198">
        <v>44607.0</v>
      </c>
      <c r="Y197" s="198">
        <v>44610.0</v>
      </c>
      <c r="Z197" s="199"/>
      <c r="AA197" s="200" t="s">
        <v>1151</v>
      </c>
      <c r="AB197" s="201">
        <v>44607.0</v>
      </c>
      <c r="AC197" s="200" t="s">
        <v>1151</v>
      </c>
      <c r="AD197" s="201">
        <v>44621.0</v>
      </c>
      <c r="AE197" s="105"/>
      <c r="AF197" s="199"/>
      <c r="AG197" s="105"/>
      <c r="AH197" s="199"/>
      <c r="AI197" s="199"/>
      <c r="AJ197" s="199"/>
      <c r="AK197" s="200" t="s">
        <v>1161</v>
      </c>
      <c r="AL197" s="200" t="s">
        <v>1024</v>
      </c>
      <c r="AM197" s="199"/>
      <c r="AN197" s="199"/>
      <c r="AO197" s="199"/>
      <c r="AP197" s="202"/>
      <c r="AQ197" s="199"/>
    </row>
    <row r="198">
      <c r="A198" s="135" t="s">
        <v>1876</v>
      </c>
      <c r="B198" s="135" t="s">
        <v>1877</v>
      </c>
      <c r="C198" s="135" t="str">
        <f>VLOOKUP(A198,import!A:C,3,0)</f>
        <v>YANLIŞ</v>
      </c>
      <c r="D198" s="135" t="s">
        <v>1311</v>
      </c>
      <c r="E198" s="194">
        <f>VLOOKUP(A198,import!A:AA,5,0)</f>
        <v>1</v>
      </c>
      <c r="F198" s="194" t="str">
        <f>VLOOKUP(A198,import!A:AA,6,0)</f>
        <v/>
      </c>
      <c r="G198" s="135">
        <f>VLOOKUP(A198,import!A:AA,7,0)</f>
        <v>0</v>
      </c>
      <c r="H198" s="135">
        <f>VLOOKUP(A198,import!A:AA,8,0)</f>
        <v>37</v>
      </c>
      <c r="I198" s="135">
        <f>VLOOKUP(A198,import!A:AA,9,0)</f>
        <v>37</v>
      </c>
      <c r="J198" s="195">
        <f>VLOOKUP(A198,import!A:AA,10,0)</f>
        <v>0</v>
      </c>
      <c r="K198" s="135" t="s">
        <v>1878</v>
      </c>
      <c r="L198" s="135">
        <v>5.062044065E9</v>
      </c>
      <c r="M198" s="135" t="s">
        <v>1172</v>
      </c>
      <c r="N198" s="135" t="s">
        <v>1379</v>
      </c>
      <c r="O198" s="135" t="s">
        <v>1879</v>
      </c>
      <c r="P198" s="135" t="str">
        <f>VLOOKUP(A198,import!A:P,16,0)</f>
        <v>Geleneksel</v>
      </c>
      <c r="Q198" s="196"/>
      <c r="R198" s="196" t="b">
        <v>1</v>
      </c>
      <c r="S198" s="196" t="b">
        <v>0</v>
      </c>
      <c r="T198" s="197" t="s">
        <v>1289</v>
      </c>
      <c r="U198" s="204"/>
      <c r="V198" s="204"/>
      <c r="W198" s="197" t="s">
        <v>1880</v>
      </c>
      <c r="X198" s="206"/>
      <c r="Y198" s="206"/>
      <c r="Z198" s="199"/>
      <c r="AA198" s="200" t="s">
        <v>1151</v>
      </c>
      <c r="AB198" s="201">
        <v>44363.0</v>
      </c>
      <c r="AC198" s="200" t="s">
        <v>1254</v>
      </c>
      <c r="AD198" s="201">
        <v>44391.0</v>
      </c>
      <c r="AE198" s="200" t="s">
        <v>1151</v>
      </c>
      <c r="AF198" s="201">
        <v>44404.0</v>
      </c>
      <c r="AG198" s="105"/>
      <c r="AH198" s="199"/>
      <c r="AI198" s="199"/>
      <c r="AJ198" s="199"/>
      <c r="AK198" s="200" t="s">
        <v>1167</v>
      </c>
      <c r="AL198" s="200" t="s">
        <v>1167</v>
      </c>
      <c r="AM198" s="200" t="s">
        <v>189</v>
      </c>
      <c r="AN198" s="199"/>
      <c r="AO198" s="199"/>
      <c r="AP198" s="202" t="s">
        <v>1152</v>
      </c>
      <c r="AQ198" s="199"/>
    </row>
    <row r="199">
      <c r="A199" s="202" t="s">
        <v>1881</v>
      </c>
      <c r="B199" s="202" t="s">
        <v>1882</v>
      </c>
      <c r="C199" s="135" t="str">
        <f>VLOOKUP(A199,import!A:C,3,0)</f>
        <v>DOĞRU</v>
      </c>
      <c r="D199" s="202" t="s">
        <v>1170</v>
      </c>
      <c r="E199" s="194">
        <f>VLOOKUP(A199,import!A:AA,5,0)</f>
        <v>5</v>
      </c>
      <c r="F199" s="194">
        <f>VLOOKUP(A199,import!A:AA,6,0)</f>
        <v>3</v>
      </c>
      <c r="G199" s="135">
        <f>VLOOKUP(A199,import!A:AA,7,0)</f>
        <v>0</v>
      </c>
      <c r="H199" s="135">
        <f>VLOOKUP(A199,import!A:AA,8,0)</f>
        <v>17</v>
      </c>
      <c r="I199" s="135">
        <f>VLOOKUP(A199,import!A:AA,9,0)</f>
        <v>17</v>
      </c>
      <c r="J199" s="195">
        <f>VLOOKUP(A199,import!A:AA,10,0)</f>
        <v>0</v>
      </c>
      <c r="K199" s="202" t="s">
        <v>1883</v>
      </c>
      <c r="L199" s="202">
        <v>5.327739403E9</v>
      </c>
      <c r="M199" s="202" t="s">
        <v>1242</v>
      </c>
      <c r="N199" s="202" t="s">
        <v>1243</v>
      </c>
      <c r="O199" s="202" t="s">
        <v>1884</v>
      </c>
      <c r="P199" s="135" t="str">
        <f>VLOOKUP(A199,import!A:P,16,0)</f>
        <v>Geleneksel</v>
      </c>
      <c r="Q199" s="196"/>
      <c r="R199" s="196" t="b">
        <v>0</v>
      </c>
      <c r="S199" s="196" t="b">
        <v>0</v>
      </c>
      <c r="T199" s="197"/>
      <c r="U199" s="197"/>
      <c r="V199" s="197"/>
      <c r="W199" s="197"/>
      <c r="X199" s="198"/>
      <c r="Y199" s="198"/>
      <c r="Z199" s="199"/>
      <c r="AA199" s="200"/>
      <c r="AB199" s="201"/>
      <c r="AC199" s="199"/>
      <c r="AD199" s="199"/>
      <c r="AE199" s="105"/>
      <c r="AF199" s="199"/>
      <c r="AG199" s="105"/>
      <c r="AH199" s="199"/>
      <c r="AI199" s="199"/>
      <c r="AJ199" s="199"/>
      <c r="AK199" s="200"/>
      <c r="AL199" s="199"/>
      <c r="AM199" s="199"/>
      <c r="AN199" s="199"/>
      <c r="AO199" s="199"/>
      <c r="AP199" s="202"/>
      <c r="AQ199" s="199"/>
    </row>
    <row r="200">
      <c r="A200" s="135" t="s">
        <v>174</v>
      </c>
      <c r="B200" s="135" t="s">
        <v>175</v>
      </c>
      <c r="C200" s="135" t="str">
        <f>VLOOKUP(A200,import!A:C,3,0)</f>
        <v>YANLIŞ</v>
      </c>
      <c r="D200" s="135" t="s">
        <v>1226</v>
      </c>
      <c r="E200" s="194">
        <f>VLOOKUP(A200,import!A:AA,5,0)</f>
        <v>3</v>
      </c>
      <c r="F200" s="194" t="str">
        <f>VLOOKUP(A200,import!A:AA,6,0)</f>
        <v/>
      </c>
      <c r="G200" s="135">
        <f>VLOOKUP(A200,import!A:AA,7,0)</f>
        <v>21</v>
      </c>
      <c r="H200" s="135">
        <f>VLOOKUP(A200,import!A:AA,8,0)</f>
        <v>15</v>
      </c>
      <c r="I200" s="135">
        <f>VLOOKUP(A200,import!A:AA,9,0)</f>
        <v>36</v>
      </c>
      <c r="J200" s="195">
        <f>VLOOKUP(A200,import!A:AA,10,0)</f>
        <v>0.58</v>
      </c>
      <c r="K200" s="135" t="s">
        <v>1885</v>
      </c>
      <c r="L200" s="135">
        <v>5.436069621E9</v>
      </c>
      <c r="M200" s="135" t="s">
        <v>1147</v>
      </c>
      <c r="N200" s="135" t="s">
        <v>1148</v>
      </c>
      <c r="O200" s="135" t="s">
        <v>1886</v>
      </c>
      <c r="P200" s="135" t="str">
        <f>VLOOKUP(A200,import!A:P,16,0)</f>
        <v>Geleneksel</v>
      </c>
      <c r="Q200" s="196"/>
      <c r="R200" s="196" t="b">
        <v>1</v>
      </c>
      <c r="S200" s="196" t="b">
        <v>0</v>
      </c>
      <c r="T200" s="197" t="s">
        <v>1165</v>
      </c>
      <c r="U200" s="197" t="s">
        <v>73</v>
      </c>
      <c r="V200" s="197"/>
      <c r="W200" s="197" t="s">
        <v>1887</v>
      </c>
      <c r="X200" s="198">
        <v>44298.0</v>
      </c>
      <c r="Y200" s="198">
        <v>44299.0</v>
      </c>
      <c r="Z200" s="199"/>
      <c r="AA200" s="200" t="s">
        <v>1151</v>
      </c>
      <c r="AB200" s="201">
        <v>44384.0</v>
      </c>
      <c r="AC200" s="199"/>
      <c r="AD200" s="199"/>
      <c r="AE200" s="105"/>
      <c r="AF200" s="199"/>
      <c r="AG200" s="105"/>
      <c r="AH200" s="199"/>
      <c r="AI200" s="199"/>
      <c r="AJ200" s="199"/>
      <c r="AK200" s="200" t="s">
        <v>189</v>
      </c>
      <c r="AL200" s="199"/>
      <c r="AM200" s="199"/>
      <c r="AN200" s="199"/>
      <c r="AO200" s="199"/>
      <c r="AP200" s="202" t="s">
        <v>1152</v>
      </c>
      <c r="AQ200" s="199"/>
    </row>
    <row r="201">
      <c r="A201" s="135" t="s">
        <v>1888</v>
      </c>
      <c r="B201" s="135" t="s">
        <v>1889</v>
      </c>
      <c r="C201" s="135" t="str">
        <f>VLOOKUP(A201,import!A:C,3,0)</f>
        <v>DOĞRU</v>
      </c>
      <c r="D201" s="135" t="s">
        <v>1226</v>
      </c>
      <c r="E201" s="194">
        <f>VLOOKUP(A201,import!A:AA,5,0)</f>
        <v>4328</v>
      </c>
      <c r="F201" s="194">
        <f>VLOOKUP(A201,import!A:AA,6,0)</f>
        <v>162</v>
      </c>
      <c r="G201" s="135">
        <f>VLOOKUP(A201,import!A:AA,7,0)</f>
        <v>21</v>
      </c>
      <c r="H201" s="135">
        <f>VLOOKUP(A201,import!A:AA,8,0)</f>
        <v>19</v>
      </c>
      <c r="I201" s="135">
        <f>VLOOKUP(A201,import!A:AA,9,0)</f>
        <v>40</v>
      </c>
      <c r="J201" s="195">
        <f>VLOOKUP(A201,import!A:AA,10,0)</f>
        <v>0.53</v>
      </c>
      <c r="K201" s="135" t="s">
        <v>1885</v>
      </c>
      <c r="L201" s="135">
        <v>5.436069621E9</v>
      </c>
      <c r="M201" s="135" t="s">
        <v>1147</v>
      </c>
      <c r="N201" s="135" t="s">
        <v>1164</v>
      </c>
      <c r="O201" s="135" t="s">
        <v>1890</v>
      </c>
      <c r="P201" s="135" t="str">
        <f>VLOOKUP(A201,import!A:P,16,0)</f>
        <v>Geleneksel</v>
      </c>
      <c r="Q201" s="196"/>
      <c r="R201" s="196" t="b">
        <v>1</v>
      </c>
      <c r="S201" s="196" t="b">
        <v>0</v>
      </c>
      <c r="T201" s="197" t="s">
        <v>1251</v>
      </c>
      <c r="U201" s="204"/>
      <c r="V201" s="204"/>
      <c r="W201" s="197" t="s">
        <v>1891</v>
      </c>
      <c r="X201" s="206"/>
      <c r="Y201" s="206"/>
      <c r="Z201" s="199"/>
      <c r="AA201" s="200" t="s">
        <v>1151</v>
      </c>
      <c r="AB201" s="201">
        <v>44384.0</v>
      </c>
      <c r="AC201" s="199"/>
      <c r="AD201" s="199"/>
      <c r="AE201" s="105"/>
      <c r="AF201" s="199"/>
      <c r="AG201" s="105"/>
      <c r="AH201" s="199"/>
      <c r="AI201" s="199"/>
      <c r="AJ201" s="199"/>
      <c r="AK201" s="200" t="s">
        <v>189</v>
      </c>
      <c r="AL201" s="199"/>
      <c r="AM201" s="199"/>
      <c r="AN201" s="199"/>
      <c r="AO201" s="199"/>
      <c r="AP201" s="202" t="s">
        <v>1152</v>
      </c>
      <c r="AQ201" s="199"/>
    </row>
    <row r="202">
      <c r="A202" s="135" t="s">
        <v>862</v>
      </c>
      <c r="B202" s="135" t="s">
        <v>863</v>
      </c>
      <c r="C202" s="135" t="str">
        <f>VLOOKUP(A202,import!A:C,3,0)</f>
        <v>YANLIŞ</v>
      </c>
      <c r="D202" s="135" t="s">
        <v>1226</v>
      </c>
      <c r="E202" s="194" t="str">
        <f>VLOOKUP(A202,import!A:AA,5,0)</f>
        <v/>
      </c>
      <c r="F202" s="194" t="str">
        <f>VLOOKUP(A202,import!A:AA,6,0)</f>
        <v/>
      </c>
      <c r="G202" s="135">
        <f>VLOOKUP(A202,import!A:AA,7,0)</f>
        <v>10</v>
      </c>
      <c r="H202" s="135">
        <f>VLOOKUP(A202,import!A:AA,8,0)</f>
        <v>29</v>
      </c>
      <c r="I202" s="135">
        <f>VLOOKUP(A202,import!A:AA,9,0)</f>
        <v>39</v>
      </c>
      <c r="J202" s="195">
        <f>VLOOKUP(A202,import!A:AA,10,0)</f>
        <v>0.26</v>
      </c>
      <c r="K202" s="135" t="s">
        <v>1892</v>
      </c>
      <c r="L202" s="135">
        <v>5.419159233E9</v>
      </c>
      <c r="M202" s="135" t="s">
        <v>1348</v>
      </c>
      <c r="N202" s="135" t="s">
        <v>1893</v>
      </c>
      <c r="O202" s="135" t="s">
        <v>865</v>
      </c>
      <c r="P202" s="135" t="str">
        <f>VLOOKUP(A202,import!A:P,16,0)</f>
        <v>Geleneksel</v>
      </c>
      <c r="Q202" s="196"/>
      <c r="R202" s="196" t="b">
        <v>1</v>
      </c>
      <c r="S202" s="196" t="b">
        <v>0</v>
      </c>
      <c r="T202" s="197" t="s">
        <v>1165</v>
      </c>
      <c r="U202" s="197" t="s">
        <v>92</v>
      </c>
      <c r="V202" s="197" t="s">
        <v>91</v>
      </c>
      <c r="W202" s="197"/>
      <c r="X202" s="198">
        <v>44368.0</v>
      </c>
      <c r="Y202" s="198">
        <v>44372.0</v>
      </c>
      <c r="Z202" s="199"/>
      <c r="AA202" s="200" t="s">
        <v>1151</v>
      </c>
      <c r="AB202" s="201">
        <v>44368.0</v>
      </c>
      <c r="AC202" s="200" t="s">
        <v>1202</v>
      </c>
      <c r="AD202" s="201">
        <v>44384.0</v>
      </c>
      <c r="AE202" s="105"/>
      <c r="AF202" s="199"/>
      <c r="AG202" s="105"/>
      <c r="AH202" s="199"/>
      <c r="AI202" s="199"/>
      <c r="AJ202" s="199"/>
      <c r="AK202" s="200" t="s">
        <v>92</v>
      </c>
      <c r="AL202" s="200" t="s">
        <v>189</v>
      </c>
      <c r="AM202" s="199"/>
      <c r="AN202" s="199"/>
      <c r="AO202" s="199"/>
      <c r="AP202" s="202" t="s">
        <v>1152</v>
      </c>
      <c r="AQ202" s="199"/>
    </row>
    <row r="203">
      <c r="A203" s="135" t="s">
        <v>1894</v>
      </c>
      <c r="B203" s="135" t="s">
        <v>1895</v>
      </c>
      <c r="C203" s="135" t="str">
        <f>VLOOKUP(A203,import!A:C,3,0)</f>
        <v>YANLIŞ</v>
      </c>
      <c r="D203" s="135" t="s">
        <v>1226</v>
      </c>
      <c r="E203" s="194" t="str">
        <f>VLOOKUP(A203,import!A:AA,5,0)</f>
        <v/>
      </c>
      <c r="F203" s="194" t="str">
        <f>VLOOKUP(A203,import!A:AA,6,0)</f>
        <v/>
      </c>
      <c r="G203" s="135">
        <f>VLOOKUP(A203,import!A:AA,7,0)</f>
        <v>0</v>
      </c>
      <c r="H203" s="135">
        <f>VLOOKUP(A203,import!A:AA,8,0)</f>
        <v>39</v>
      </c>
      <c r="I203" s="135">
        <f>VLOOKUP(A203,import!A:AA,9,0)</f>
        <v>39</v>
      </c>
      <c r="J203" s="195">
        <f>VLOOKUP(A203,import!A:AA,10,0)</f>
        <v>0</v>
      </c>
      <c r="K203" s="135" t="s">
        <v>1896</v>
      </c>
      <c r="L203" s="135">
        <v>5.419159233E9</v>
      </c>
      <c r="M203" s="135" t="s">
        <v>1348</v>
      </c>
      <c r="N203" s="135" t="s">
        <v>1897</v>
      </c>
      <c r="O203" s="135" t="s">
        <v>1898</v>
      </c>
      <c r="P203" s="135" t="str">
        <f>VLOOKUP(A203,import!A:P,16,0)</f>
        <v>Geleneksel</v>
      </c>
      <c r="Q203" s="196"/>
      <c r="R203" s="196" t="b">
        <v>1</v>
      </c>
      <c r="S203" s="196" t="b">
        <v>0</v>
      </c>
      <c r="T203" s="197" t="s">
        <v>1251</v>
      </c>
      <c r="U203" s="204"/>
      <c r="V203" s="204"/>
      <c r="W203" s="197" t="s">
        <v>1899</v>
      </c>
      <c r="X203" s="206"/>
      <c r="Y203" s="206"/>
      <c r="Z203" s="199"/>
      <c r="AA203" s="200" t="s">
        <v>1202</v>
      </c>
      <c r="AB203" s="201">
        <v>44354.0</v>
      </c>
      <c r="AC203" s="200" t="s">
        <v>1202</v>
      </c>
      <c r="AD203" s="201">
        <v>44384.0</v>
      </c>
      <c r="AE203" s="105"/>
      <c r="AF203" s="199"/>
      <c r="AG203" s="105"/>
      <c r="AH203" s="199"/>
      <c r="AI203" s="199"/>
      <c r="AJ203" s="199"/>
      <c r="AK203" s="200" t="s">
        <v>189</v>
      </c>
      <c r="AL203" s="200" t="s">
        <v>189</v>
      </c>
      <c r="AM203" s="199"/>
      <c r="AN203" s="199"/>
      <c r="AO203" s="199"/>
      <c r="AP203" s="202" t="s">
        <v>1152</v>
      </c>
      <c r="AQ203" s="199"/>
    </row>
    <row r="204">
      <c r="A204" s="135" t="s">
        <v>672</v>
      </c>
      <c r="B204" s="135" t="s">
        <v>673</v>
      </c>
      <c r="C204" s="135" t="str">
        <f>VLOOKUP(A204,import!A:C,3,0)</f>
        <v>YANLIŞ</v>
      </c>
      <c r="D204" s="135" t="s">
        <v>1226</v>
      </c>
      <c r="E204" s="194">
        <f>VLOOKUP(A204,import!A:AA,5,0)</f>
        <v>203</v>
      </c>
      <c r="F204" s="194" t="str">
        <f>VLOOKUP(A204,import!A:AA,6,0)</f>
        <v/>
      </c>
      <c r="G204" s="135">
        <f>VLOOKUP(A204,import!A:AA,7,0)</f>
        <v>0</v>
      </c>
      <c r="H204" s="135">
        <f>VLOOKUP(A204,import!A:AA,8,0)</f>
        <v>26</v>
      </c>
      <c r="I204" s="135">
        <f>VLOOKUP(A204,import!A:AA,9,0)</f>
        <v>26</v>
      </c>
      <c r="J204" s="195">
        <f>VLOOKUP(A204,import!A:AA,10,0)</f>
        <v>0</v>
      </c>
      <c r="K204" s="135" t="s">
        <v>1900</v>
      </c>
      <c r="L204" s="135">
        <v>5.362099354E9</v>
      </c>
      <c r="M204" s="135" t="s">
        <v>1147</v>
      </c>
      <c r="N204" s="135" t="s">
        <v>1200</v>
      </c>
      <c r="O204" s="135" t="s">
        <v>675</v>
      </c>
      <c r="P204" s="135" t="str">
        <f>VLOOKUP(A204,import!A:P,16,0)</f>
        <v>Geleneksel</v>
      </c>
      <c r="Q204" s="196"/>
      <c r="R204" s="196" t="b">
        <v>1</v>
      </c>
      <c r="S204" s="196" t="b">
        <v>0</v>
      </c>
      <c r="T204" s="197" t="s">
        <v>1275</v>
      </c>
      <c r="U204" s="197" t="s">
        <v>189</v>
      </c>
      <c r="V204" s="197" t="s">
        <v>91</v>
      </c>
      <c r="W204" s="197" t="s">
        <v>1901</v>
      </c>
      <c r="X204" s="198">
        <v>44349.0</v>
      </c>
      <c r="Y204" s="198">
        <v>44351.0</v>
      </c>
      <c r="Z204" s="199"/>
      <c r="AA204" s="200" t="s">
        <v>1254</v>
      </c>
      <c r="AB204" s="201">
        <v>44349.0</v>
      </c>
      <c r="AC204" s="200" t="s">
        <v>1151</v>
      </c>
      <c r="AD204" s="201">
        <v>44349.0</v>
      </c>
      <c r="AE204" s="200" t="s">
        <v>1202</v>
      </c>
      <c r="AF204" s="201">
        <v>44376.0</v>
      </c>
      <c r="AG204" s="200" t="s">
        <v>1151</v>
      </c>
      <c r="AH204" s="201">
        <v>44377.0</v>
      </c>
      <c r="AI204" s="199"/>
      <c r="AJ204" s="199"/>
      <c r="AK204" s="200" t="s">
        <v>1232</v>
      </c>
      <c r="AL204" s="200" t="s">
        <v>1232</v>
      </c>
      <c r="AM204" s="200" t="s">
        <v>189</v>
      </c>
      <c r="AN204" s="200" t="s">
        <v>1255</v>
      </c>
      <c r="AO204" s="199"/>
      <c r="AP204" s="202" t="s">
        <v>1152</v>
      </c>
      <c r="AQ204" s="199"/>
    </row>
    <row r="205">
      <c r="A205" s="135" t="s">
        <v>169</v>
      </c>
      <c r="B205" s="135" t="s">
        <v>170</v>
      </c>
      <c r="C205" s="135" t="str">
        <f>VLOOKUP(A205,import!A:C,3,0)</f>
        <v>DOĞRU</v>
      </c>
      <c r="D205" s="135" t="s">
        <v>1235</v>
      </c>
      <c r="E205" s="194">
        <f>VLOOKUP(A205,import!A:AA,5,0)</f>
        <v>143</v>
      </c>
      <c r="F205" s="194" t="str">
        <f>VLOOKUP(A205,import!A:AA,6,0)</f>
        <v/>
      </c>
      <c r="G205" s="135">
        <f>VLOOKUP(A205,import!A:AA,7,0)</f>
        <v>0</v>
      </c>
      <c r="H205" s="135">
        <f>VLOOKUP(A205,import!A:AA,8,0)</f>
        <v>35</v>
      </c>
      <c r="I205" s="135">
        <f>VLOOKUP(A205,import!A:AA,9,0)</f>
        <v>35</v>
      </c>
      <c r="J205" s="195">
        <f>VLOOKUP(A205,import!A:AA,10,0)</f>
        <v>0</v>
      </c>
      <c r="K205" s="135" t="s">
        <v>1902</v>
      </c>
      <c r="L205" s="135">
        <v>5.396592954E9</v>
      </c>
      <c r="M205" s="135" t="s">
        <v>1147</v>
      </c>
      <c r="N205" s="135" t="s">
        <v>1148</v>
      </c>
      <c r="O205" s="135" t="s">
        <v>172</v>
      </c>
      <c r="P205" s="135" t="str">
        <f>VLOOKUP(A205,import!A:P,16,0)</f>
        <v>Geleneksel</v>
      </c>
      <c r="Q205" s="196"/>
      <c r="R205" s="196" t="b">
        <v>1</v>
      </c>
      <c r="S205" s="196" t="b">
        <v>0</v>
      </c>
      <c r="T205" s="197" t="s">
        <v>1289</v>
      </c>
      <c r="U205" s="197"/>
      <c r="V205" s="197"/>
      <c r="W205" s="197" t="s">
        <v>1903</v>
      </c>
      <c r="X205" s="198"/>
      <c r="Y205" s="198"/>
      <c r="Z205" s="199"/>
      <c r="AA205" s="200" t="s">
        <v>1151</v>
      </c>
      <c r="AB205" s="201">
        <v>44349.0</v>
      </c>
      <c r="AC205" s="200" t="s">
        <v>1151</v>
      </c>
      <c r="AD205" s="201">
        <v>44392.0</v>
      </c>
      <c r="AE205" s="200" t="s">
        <v>1254</v>
      </c>
      <c r="AF205" s="201">
        <v>44404.0</v>
      </c>
      <c r="AG205" s="105"/>
      <c r="AH205" s="199"/>
      <c r="AI205" s="199"/>
      <c r="AJ205" s="199"/>
      <c r="AK205" s="200" t="s">
        <v>1232</v>
      </c>
      <c r="AL205" s="200" t="s">
        <v>1167</v>
      </c>
      <c r="AM205" s="200" t="s">
        <v>1255</v>
      </c>
      <c r="AN205" s="199"/>
      <c r="AO205" s="199"/>
      <c r="AP205" s="202" t="s">
        <v>1152</v>
      </c>
      <c r="AQ205" s="199"/>
    </row>
    <row r="206">
      <c r="A206" s="135" t="s">
        <v>1904</v>
      </c>
      <c r="B206" s="135" t="s">
        <v>1905</v>
      </c>
      <c r="C206" s="135" t="str">
        <f>VLOOKUP(A206,import!A:C,3,0)</f>
        <v>YANLIŞ</v>
      </c>
      <c r="D206" s="135" t="s">
        <v>1170</v>
      </c>
      <c r="E206" s="194">
        <f>VLOOKUP(A206,import!A:AA,5,0)</f>
        <v>59</v>
      </c>
      <c r="F206" s="194" t="str">
        <f>VLOOKUP(A206,import!A:AA,6,0)</f>
        <v/>
      </c>
      <c r="G206" s="135">
        <f>VLOOKUP(A206,import!A:AA,7,0)</f>
        <v>0</v>
      </c>
      <c r="H206" s="135">
        <f>VLOOKUP(A206,import!A:AA,8,0)</f>
        <v>23</v>
      </c>
      <c r="I206" s="135">
        <f>VLOOKUP(A206,import!A:AA,9,0)</f>
        <v>23</v>
      </c>
      <c r="J206" s="195">
        <f>VLOOKUP(A206,import!A:AA,10,0)</f>
        <v>0</v>
      </c>
      <c r="K206" s="135" t="s">
        <v>1906</v>
      </c>
      <c r="L206" s="135">
        <v>5.326698261E9</v>
      </c>
      <c r="M206" s="135" t="s">
        <v>1147</v>
      </c>
      <c r="N206" s="135" t="s">
        <v>1200</v>
      </c>
      <c r="O206" s="135" t="s">
        <v>1907</v>
      </c>
      <c r="P206" s="135" t="str">
        <f>VLOOKUP(A206,import!A:P,16,0)</f>
        <v>Geleneksel</v>
      </c>
      <c r="Q206" s="196"/>
      <c r="R206" s="196" t="b">
        <v>1</v>
      </c>
      <c r="S206" s="196" t="b">
        <v>0</v>
      </c>
      <c r="T206" s="197" t="s">
        <v>1852</v>
      </c>
      <c r="U206" s="197"/>
      <c r="V206" s="197"/>
      <c r="W206" s="197" t="s">
        <v>1908</v>
      </c>
      <c r="X206" s="198"/>
      <c r="Y206" s="198"/>
      <c r="Z206" s="199"/>
      <c r="AA206" s="200"/>
      <c r="AB206" s="201"/>
      <c r="AC206" s="199"/>
      <c r="AD206" s="199"/>
      <c r="AE206" s="105"/>
      <c r="AF206" s="199"/>
      <c r="AG206" s="105"/>
      <c r="AH206" s="199"/>
      <c r="AI206" s="199"/>
      <c r="AJ206" s="199"/>
      <c r="AK206" s="200"/>
      <c r="AL206" s="199"/>
      <c r="AM206" s="199"/>
      <c r="AN206" s="199"/>
      <c r="AO206" s="199"/>
      <c r="AP206" s="202" t="s">
        <v>1152</v>
      </c>
      <c r="AQ206" s="199"/>
    </row>
    <row r="207">
      <c r="A207" s="135" t="s">
        <v>1909</v>
      </c>
      <c r="B207" s="135" t="s">
        <v>1910</v>
      </c>
      <c r="C207" s="135" t="str">
        <f>VLOOKUP(A207,import!A:C,3,0)</f>
        <v>DOĞRU</v>
      </c>
      <c r="D207" s="135" t="s">
        <v>1170</v>
      </c>
      <c r="E207" s="194">
        <f>VLOOKUP(A207,import!A:AA,5,0)</f>
        <v>44</v>
      </c>
      <c r="F207" s="194">
        <f>VLOOKUP(A207,import!A:AA,6,0)</f>
        <v>16</v>
      </c>
      <c r="G207" s="135">
        <f>VLOOKUP(A207,import!A:AA,7,0)</f>
        <v>0</v>
      </c>
      <c r="H207" s="135">
        <f>VLOOKUP(A207,import!A:AA,8,0)</f>
        <v>14</v>
      </c>
      <c r="I207" s="135">
        <f>VLOOKUP(A207,import!A:AA,9,0)</f>
        <v>14</v>
      </c>
      <c r="J207" s="195">
        <f>VLOOKUP(A207,import!A:AA,10,0)</f>
        <v>0</v>
      </c>
      <c r="K207" s="135" t="s">
        <v>1911</v>
      </c>
      <c r="L207" s="135">
        <v>5.013540034E9</v>
      </c>
      <c r="M207" s="135" t="s">
        <v>1318</v>
      </c>
      <c r="N207" s="135" t="s">
        <v>1371</v>
      </c>
      <c r="O207" s="135" t="s">
        <v>1912</v>
      </c>
      <c r="P207" s="135" t="str">
        <f>VLOOKUP(A207,import!A:P,16,0)</f>
        <v>Geleneksel</v>
      </c>
      <c r="Q207" s="196"/>
      <c r="R207" s="196" t="b">
        <v>0</v>
      </c>
      <c r="S207" s="196" t="b">
        <v>0</v>
      </c>
      <c r="T207" s="197"/>
      <c r="U207" s="197"/>
      <c r="V207" s="197"/>
      <c r="W207" s="197"/>
      <c r="X207" s="198"/>
      <c r="Y207" s="198"/>
      <c r="Z207" s="199"/>
      <c r="AA207" s="200"/>
      <c r="AB207" s="201"/>
      <c r="AC207" s="199"/>
      <c r="AD207" s="199"/>
      <c r="AE207" s="105"/>
      <c r="AF207" s="199"/>
      <c r="AG207" s="105"/>
      <c r="AH207" s="199"/>
      <c r="AI207" s="199"/>
      <c r="AJ207" s="199"/>
      <c r="AK207" s="200"/>
      <c r="AL207" s="199"/>
      <c r="AM207" s="199"/>
      <c r="AN207" s="199"/>
      <c r="AO207" s="199"/>
      <c r="AP207" s="202"/>
      <c r="AQ207" s="199"/>
    </row>
    <row r="208">
      <c r="A208" s="135" t="s">
        <v>373</v>
      </c>
      <c r="B208" s="135" t="s">
        <v>374</v>
      </c>
      <c r="C208" s="135" t="str">
        <f>VLOOKUP(A208,import!A:C,3,0)</f>
        <v>DOĞRU</v>
      </c>
      <c r="D208" s="135" t="s">
        <v>1341</v>
      </c>
      <c r="E208" s="194">
        <f>VLOOKUP(A208,import!A:AA,5,0)</f>
        <v>1438</v>
      </c>
      <c r="F208" s="194">
        <f>VLOOKUP(A208,import!A:AA,6,0)</f>
        <v>84</v>
      </c>
      <c r="G208" s="135">
        <f>VLOOKUP(A208,import!A:AA,7,0)</f>
        <v>25</v>
      </c>
      <c r="H208" s="135">
        <f>VLOOKUP(A208,import!A:AA,8,0)</f>
        <v>30</v>
      </c>
      <c r="I208" s="135">
        <f>VLOOKUP(A208,import!A:AA,9,0)</f>
        <v>55</v>
      </c>
      <c r="J208" s="195">
        <f>VLOOKUP(A208,import!A:AA,10,0)</f>
        <v>0.45</v>
      </c>
      <c r="K208" s="135" t="s">
        <v>1676</v>
      </c>
      <c r="L208" s="135">
        <v>5.305148954E9</v>
      </c>
      <c r="M208" s="135" t="s">
        <v>1172</v>
      </c>
      <c r="N208" s="135" t="s">
        <v>1190</v>
      </c>
      <c r="O208" s="135" t="s">
        <v>377</v>
      </c>
      <c r="P208" s="135" t="str">
        <f>VLOOKUP(A208,import!A:P,16,0)</f>
        <v>Geleneksel</v>
      </c>
      <c r="Q208" s="196"/>
      <c r="R208" s="196" t="b">
        <v>1</v>
      </c>
      <c r="S208" s="196" t="b">
        <v>0</v>
      </c>
      <c r="T208" s="197" t="s">
        <v>1165</v>
      </c>
      <c r="U208" s="197" t="s">
        <v>189</v>
      </c>
      <c r="V208" s="197" t="s">
        <v>91</v>
      </c>
      <c r="W208" s="197"/>
      <c r="X208" s="198">
        <v>44363.0</v>
      </c>
      <c r="Y208" s="198">
        <v>44369.0</v>
      </c>
      <c r="Z208" s="199"/>
      <c r="AA208" s="200" t="s">
        <v>1253</v>
      </c>
      <c r="AB208" s="201">
        <v>44363.0</v>
      </c>
      <c r="AC208" s="200" t="s">
        <v>1151</v>
      </c>
      <c r="AD208" s="201">
        <v>44363.0</v>
      </c>
      <c r="AE208" s="105"/>
      <c r="AF208" s="199"/>
      <c r="AG208" s="105"/>
      <c r="AH208" s="199"/>
      <c r="AI208" s="199"/>
      <c r="AJ208" s="199"/>
      <c r="AK208" s="200" t="s">
        <v>189</v>
      </c>
      <c r="AL208" s="200" t="s">
        <v>189</v>
      </c>
      <c r="AM208" s="199"/>
      <c r="AN208" s="199"/>
      <c r="AO208" s="199"/>
      <c r="AP208" s="202" t="s">
        <v>1152</v>
      </c>
      <c r="AQ208" s="199"/>
    </row>
    <row r="209">
      <c r="A209" s="135" t="s">
        <v>39</v>
      </c>
      <c r="B209" s="135" t="s">
        <v>40</v>
      </c>
      <c r="C209" s="135" t="str">
        <f>VLOOKUP(A209,import!A:C,3,0)</f>
        <v>DOĞRU</v>
      </c>
      <c r="D209" s="135" t="s">
        <v>1341</v>
      </c>
      <c r="E209" s="194">
        <f>VLOOKUP(A209,import!A:AA,5,0)</f>
        <v>3417</v>
      </c>
      <c r="F209" s="194">
        <f>VLOOKUP(A209,import!A:AA,6,0)</f>
        <v>151</v>
      </c>
      <c r="G209" s="135">
        <f>VLOOKUP(A209,import!A:AA,7,0)</f>
        <v>22</v>
      </c>
      <c r="H209" s="135">
        <f>VLOOKUP(A209,import!A:AA,8,0)</f>
        <v>38</v>
      </c>
      <c r="I209" s="135">
        <f>VLOOKUP(A209,import!A:AA,9,0)</f>
        <v>60</v>
      </c>
      <c r="J209" s="195">
        <f>VLOOKUP(A209,import!A:AA,10,0)</f>
        <v>0.37</v>
      </c>
      <c r="K209" s="135" t="s">
        <v>1913</v>
      </c>
      <c r="L209" s="135">
        <v>5.428152528E9</v>
      </c>
      <c r="M209" s="135" t="s">
        <v>1147</v>
      </c>
      <c r="N209" s="135" t="s">
        <v>1200</v>
      </c>
      <c r="O209" s="135" t="s">
        <v>1914</v>
      </c>
      <c r="P209" s="135" t="str">
        <f>VLOOKUP(A209,import!A:P,16,0)</f>
        <v>Geleneksel</v>
      </c>
      <c r="Q209" s="196"/>
      <c r="R209" s="196" t="b">
        <v>1</v>
      </c>
      <c r="S209" s="196" t="b">
        <v>0</v>
      </c>
      <c r="T209" s="197" t="s">
        <v>1165</v>
      </c>
      <c r="U209" s="197" t="s">
        <v>16</v>
      </c>
      <c r="V209" s="197" t="s">
        <v>15</v>
      </c>
      <c r="W209" s="197" t="s">
        <v>1915</v>
      </c>
      <c r="X209" s="198">
        <v>44285.0</v>
      </c>
      <c r="Y209" s="198">
        <v>44287.0</v>
      </c>
      <c r="Z209" s="199"/>
      <c r="AA209" s="200" t="s">
        <v>1254</v>
      </c>
      <c r="AB209" s="201">
        <v>44351.0</v>
      </c>
      <c r="AC209" s="199"/>
      <c r="AD209" s="199"/>
      <c r="AE209" s="105"/>
      <c r="AF209" s="199"/>
      <c r="AG209" s="105"/>
      <c r="AH209" s="199"/>
      <c r="AI209" s="199"/>
      <c r="AJ209" s="199"/>
      <c r="AK209" s="200" t="s">
        <v>257</v>
      </c>
      <c r="AL209" s="199"/>
      <c r="AM209" s="199"/>
      <c r="AN209" s="199"/>
      <c r="AO209" s="199"/>
      <c r="AP209" s="202" t="s">
        <v>1152</v>
      </c>
      <c r="AQ209" s="199"/>
    </row>
    <row r="210">
      <c r="A210" s="135" t="s">
        <v>1916</v>
      </c>
      <c r="B210" s="135" t="s">
        <v>1917</v>
      </c>
      <c r="C210" s="135" t="str">
        <f>VLOOKUP(A210,import!A:C,3,0)</f>
        <v>DOĞRU</v>
      </c>
      <c r="D210" s="135" t="s">
        <v>1170</v>
      </c>
      <c r="E210" s="194">
        <f>VLOOKUP(A210,import!A:AA,5,0)</f>
        <v>651</v>
      </c>
      <c r="F210" s="194">
        <f>VLOOKUP(A210,import!A:AA,6,0)</f>
        <v>16</v>
      </c>
      <c r="G210" s="135">
        <f>VLOOKUP(A210,import!A:AA,7,0)</f>
        <v>0</v>
      </c>
      <c r="H210" s="135">
        <f>VLOOKUP(A210,import!A:AA,8,0)</f>
        <v>28</v>
      </c>
      <c r="I210" s="135">
        <f>VLOOKUP(A210,import!A:AA,9,0)</f>
        <v>28</v>
      </c>
      <c r="J210" s="195">
        <f>VLOOKUP(A210,import!A:AA,10,0)</f>
        <v>0</v>
      </c>
      <c r="K210" s="135" t="s">
        <v>1918</v>
      </c>
      <c r="L210" s="135">
        <v>5.442267778E9</v>
      </c>
      <c r="M210" s="135" t="s">
        <v>1172</v>
      </c>
      <c r="N210" s="135" t="s">
        <v>1173</v>
      </c>
      <c r="O210" s="135" t="s">
        <v>1919</v>
      </c>
      <c r="P210" s="135" t="str">
        <f>VLOOKUP(A210,import!A:P,16,0)</f>
        <v>Geleneksel</v>
      </c>
      <c r="Q210" s="196"/>
      <c r="R210" s="196" t="b">
        <v>1</v>
      </c>
      <c r="S210" s="196" t="b">
        <v>1</v>
      </c>
      <c r="T210" s="197"/>
      <c r="U210" s="204"/>
      <c r="V210" s="204"/>
      <c r="W210" s="197" t="s">
        <v>1920</v>
      </c>
      <c r="X210" s="206"/>
      <c r="Y210" s="206"/>
      <c r="Z210" s="199"/>
      <c r="AA210" s="200" t="s">
        <v>1151</v>
      </c>
      <c r="AB210" s="201">
        <v>44363.0</v>
      </c>
      <c r="AC210" s="200" t="s">
        <v>1202</v>
      </c>
      <c r="AD210" s="201">
        <v>44379.0</v>
      </c>
      <c r="AE210" s="200" t="s">
        <v>1151</v>
      </c>
      <c r="AF210" s="201">
        <v>44390.0</v>
      </c>
      <c r="AG210" s="200" t="s">
        <v>1202</v>
      </c>
      <c r="AH210" s="201">
        <v>44405.0</v>
      </c>
      <c r="AI210" s="199"/>
      <c r="AJ210" s="199"/>
      <c r="AK210" s="200" t="s">
        <v>1232</v>
      </c>
      <c r="AL210" s="200" t="s">
        <v>257</v>
      </c>
      <c r="AM210" s="200" t="s">
        <v>1255</v>
      </c>
      <c r="AN210" s="200" t="s">
        <v>1255</v>
      </c>
      <c r="AO210" s="199"/>
      <c r="AP210" s="202" t="s">
        <v>1152</v>
      </c>
      <c r="AQ210" s="199"/>
    </row>
    <row r="211">
      <c r="A211" s="135" t="s">
        <v>1921</v>
      </c>
      <c r="B211" s="135" t="s">
        <v>1922</v>
      </c>
      <c r="C211" s="135" t="str">
        <f>VLOOKUP(A211,import!A:C,3,0)</f>
        <v>DOĞRU</v>
      </c>
      <c r="D211" s="135" t="s">
        <v>1188</v>
      </c>
      <c r="E211" s="194">
        <f>VLOOKUP(A211,import!A:AA,5,0)</f>
        <v>82</v>
      </c>
      <c r="F211" s="194">
        <f>VLOOKUP(A211,import!A:AA,6,0)</f>
        <v>15</v>
      </c>
      <c r="G211" s="135">
        <f>VLOOKUP(A211,import!A:AA,7,0)</f>
        <v>0</v>
      </c>
      <c r="H211" s="135">
        <f>VLOOKUP(A211,import!A:AA,8,0)</f>
        <v>24</v>
      </c>
      <c r="I211" s="135">
        <f>VLOOKUP(A211,import!A:AA,9,0)</f>
        <v>24</v>
      </c>
      <c r="J211" s="195">
        <f>VLOOKUP(A211,import!A:AA,10,0)</f>
        <v>0</v>
      </c>
      <c r="K211" s="135" t="s">
        <v>1923</v>
      </c>
      <c r="L211" s="135">
        <v>5.350100013E9</v>
      </c>
      <c r="M211" s="135" t="s">
        <v>1463</v>
      </c>
      <c r="N211" s="135" t="s">
        <v>1464</v>
      </c>
      <c r="O211" s="135" t="s">
        <v>1924</v>
      </c>
      <c r="P211" s="135" t="str">
        <f>VLOOKUP(A211,import!A:P,16,0)</f>
        <v>Geleneksel</v>
      </c>
      <c r="Q211" s="196"/>
      <c r="R211" s="196" t="b">
        <v>0</v>
      </c>
      <c r="S211" s="196" t="b">
        <v>0</v>
      </c>
      <c r="T211" s="197"/>
      <c r="U211" s="197"/>
      <c r="V211" s="197"/>
      <c r="W211" s="197"/>
      <c r="X211" s="198"/>
      <c r="Y211" s="198"/>
      <c r="Z211" s="199"/>
      <c r="AA211" s="200"/>
      <c r="AB211" s="201"/>
      <c r="AC211" s="199"/>
      <c r="AD211" s="199"/>
      <c r="AE211" s="105"/>
      <c r="AF211" s="199"/>
      <c r="AG211" s="105"/>
      <c r="AH211" s="199"/>
      <c r="AI211" s="199"/>
      <c r="AJ211" s="199"/>
      <c r="AK211" s="200"/>
      <c r="AL211" s="199"/>
      <c r="AM211" s="199"/>
      <c r="AN211" s="199"/>
      <c r="AO211" s="199"/>
      <c r="AP211" s="202"/>
      <c r="AQ211" s="199"/>
    </row>
    <row r="212">
      <c r="A212" s="135" t="s">
        <v>973</v>
      </c>
      <c r="B212" s="135" t="s">
        <v>974</v>
      </c>
      <c r="C212" s="135" t="str">
        <f>VLOOKUP(A212,import!A:C,3,0)</f>
        <v>DOĞRU</v>
      </c>
      <c r="D212" s="135" t="s">
        <v>1188</v>
      </c>
      <c r="E212" s="194">
        <f>VLOOKUP(A212,import!A:AA,5,0)</f>
        <v>2627</v>
      </c>
      <c r="F212" s="194">
        <f>VLOOKUP(A212,import!A:AA,6,0)</f>
        <v>470</v>
      </c>
      <c r="G212" s="135">
        <f>VLOOKUP(A212,import!A:AA,7,0)</f>
        <v>10</v>
      </c>
      <c r="H212" s="135">
        <f>VLOOKUP(A212,import!A:AA,8,0)</f>
        <v>15</v>
      </c>
      <c r="I212" s="135">
        <f>VLOOKUP(A212,import!A:AA,9,0)</f>
        <v>25</v>
      </c>
      <c r="J212" s="195">
        <f>VLOOKUP(A212,import!A:AA,10,0)</f>
        <v>0.4</v>
      </c>
      <c r="K212" s="135" t="s">
        <v>1925</v>
      </c>
      <c r="L212" s="135">
        <v>5.414511154E9</v>
      </c>
      <c r="M212" s="135" t="s">
        <v>1147</v>
      </c>
      <c r="N212" s="135" t="s">
        <v>1200</v>
      </c>
      <c r="O212" s="135" t="s">
        <v>976</v>
      </c>
      <c r="P212" s="135" t="str">
        <f>VLOOKUP(A212,import!A:P,16,0)</f>
        <v>Geleneksel</v>
      </c>
      <c r="Q212" s="196"/>
      <c r="R212" s="196" t="b">
        <v>1</v>
      </c>
      <c r="S212" s="196" t="b">
        <v>0</v>
      </c>
      <c r="T212" s="197" t="s">
        <v>1165</v>
      </c>
      <c r="U212" s="197" t="s">
        <v>1161</v>
      </c>
      <c r="V212" s="207" t="s">
        <v>940</v>
      </c>
      <c r="W212" s="197" t="s">
        <v>975</v>
      </c>
      <c r="X212" s="198">
        <v>44606.0</v>
      </c>
      <c r="Y212" s="198">
        <v>44607.0</v>
      </c>
      <c r="Z212" s="199"/>
      <c r="AA212" s="200" t="s">
        <v>1151</v>
      </c>
      <c r="AB212" s="201">
        <v>44606.0</v>
      </c>
      <c r="AC212" s="199"/>
      <c r="AD212" s="199"/>
      <c r="AE212" s="105"/>
      <c r="AF212" s="199"/>
      <c r="AG212" s="105"/>
      <c r="AH212" s="199"/>
      <c r="AI212" s="199"/>
      <c r="AJ212" s="199"/>
      <c r="AK212" s="200" t="s">
        <v>1161</v>
      </c>
      <c r="AL212" s="199"/>
      <c r="AM212" s="199"/>
      <c r="AN212" s="199"/>
      <c r="AO212" s="199"/>
      <c r="AP212" s="202"/>
      <c r="AQ212" s="199"/>
    </row>
    <row r="213">
      <c r="A213" s="135" t="s">
        <v>1926</v>
      </c>
      <c r="B213" s="135" t="s">
        <v>1927</v>
      </c>
      <c r="C213" s="135" t="str">
        <f>VLOOKUP(A213,import!A:C,3,0)</f>
        <v>DOĞRU</v>
      </c>
      <c r="D213" s="135" t="s">
        <v>1216</v>
      </c>
      <c r="E213" s="194">
        <f>VLOOKUP(A213,import!A:AA,5,0)</f>
        <v>9691</v>
      </c>
      <c r="F213" s="194">
        <f>VLOOKUP(A213,import!A:AA,6,0)</f>
        <v>475</v>
      </c>
      <c r="G213" s="135">
        <f>VLOOKUP(A213,import!A:AA,7,0)</f>
        <v>0</v>
      </c>
      <c r="H213" s="135">
        <f>VLOOKUP(A213,import!A:AA,8,0)</f>
        <v>12</v>
      </c>
      <c r="I213" s="135">
        <f>VLOOKUP(A213,import!A:AA,9,0)</f>
        <v>12</v>
      </c>
      <c r="J213" s="195">
        <f>VLOOKUP(A213,import!A:AA,10,0)</f>
        <v>0</v>
      </c>
      <c r="K213" s="135" t="s">
        <v>1928</v>
      </c>
      <c r="L213" s="135">
        <v>5.433460807E9</v>
      </c>
      <c r="M213" s="135" t="s">
        <v>1147</v>
      </c>
      <c r="N213" s="135" t="s">
        <v>1200</v>
      </c>
      <c r="O213" s="135" t="s">
        <v>68</v>
      </c>
      <c r="P213" s="135" t="str">
        <f>VLOOKUP(A213,import!A:P,16,0)</f>
        <v>Geleneksel</v>
      </c>
      <c r="Q213" s="196"/>
      <c r="R213" s="196" t="b">
        <v>1</v>
      </c>
      <c r="S213" s="196" t="b">
        <v>0</v>
      </c>
      <c r="T213" s="197" t="s">
        <v>1373</v>
      </c>
      <c r="U213" s="204"/>
      <c r="V213" s="204"/>
      <c r="W213" s="197" t="s">
        <v>1726</v>
      </c>
      <c r="X213" s="206"/>
      <c r="Y213" s="206"/>
      <c r="Z213" s="199"/>
      <c r="AA213" s="200" t="s">
        <v>1151</v>
      </c>
      <c r="AB213" s="201">
        <v>44384.0</v>
      </c>
      <c r="AC213" s="199"/>
      <c r="AD213" s="199"/>
      <c r="AE213" s="105"/>
      <c r="AF213" s="199"/>
      <c r="AG213" s="105"/>
      <c r="AH213" s="199"/>
      <c r="AI213" s="199"/>
      <c r="AJ213" s="199"/>
      <c r="AK213" s="200" t="s">
        <v>189</v>
      </c>
      <c r="AL213" s="199"/>
      <c r="AM213" s="199"/>
      <c r="AN213" s="199"/>
      <c r="AO213" s="199"/>
      <c r="AP213" s="202" t="s">
        <v>1152</v>
      </c>
      <c r="AQ213" s="199"/>
    </row>
    <row r="214">
      <c r="A214" s="135" t="s">
        <v>987</v>
      </c>
      <c r="B214" s="135" t="s">
        <v>988</v>
      </c>
      <c r="C214" s="135" t="str">
        <f>VLOOKUP(A214,import!A:C,3,0)</f>
        <v>DOĞRU</v>
      </c>
      <c r="D214" s="135" t="s">
        <v>1188</v>
      </c>
      <c r="E214" s="194">
        <f>VLOOKUP(A214,import!A:AA,5,0)</f>
        <v>1955</v>
      </c>
      <c r="F214" s="194">
        <f>VLOOKUP(A214,import!A:AA,6,0)</f>
        <v>102</v>
      </c>
      <c r="G214" s="135">
        <f>VLOOKUP(A214,import!A:AA,7,0)</f>
        <v>14</v>
      </c>
      <c r="H214" s="135">
        <f>VLOOKUP(A214,import!A:AA,8,0)</f>
        <v>13</v>
      </c>
      <c r="I214" s="135">
        <f>VLOOKUP(A214,import!A:AA,9,0)</f>
        <v>27</v>
      </c>
      <c r="J214" s="195">
        <f>VLOOKUP(A214,import!A:AA,10,0)</f>
        <v>0.52</v>
      </c>
      <c r="K214" s="135" t="s">
        <v>1925</v>
      </c>
      <c r="L214" s="135">
        <v>5.396953015E9</v>
      </c>
      <c r="M214" s="135" t="s">
        <v>1172</v>
      </c>
      <c r="N214" s="135" t="s">
        <v>1190</v>
      </c>
      <c r="O214" s="135" t="s">
        <v>990</v>
      </c>
      <c r="P214" s="135" t="str">
        <f>VLOOKUP(A214,import!A:P,16,0)</f>
        <v>Geleneksel</v>
      </c>
      <c r="Q214" s="196"/>
      <c r="R214" s="196" t="b">
        <v>1</v>
      </c>
      <c r="S214" s="196" t="b">
        <v>0</v>
      </c>
      <c r="T214" s="197" t="s">
        <v>1165</v>
      </c>
      <c r="U214" s="197" t="s">
        <v>1061</v>
      </c>
      <c r="V214" s="207" t="s">
        <v>940</v>
      </c>
      <c r="W214" s="197" t="s">
        <v>1929</v>
      </c>
      <c r="X214" s="198">
        <v>44613.0</v>
      </c>
      <c r="Y214" s="198">
        <v>44614.0</v>
      </c>
      <c r="Z214" s="199"/>
      <c r="AA214" s="200" t="s">
        <v>1151</v>
      </c>
      <c r="AB214" s="201">
        <v>44607.0</v>
      </c>
      <c r="AC214" s="200" t="s">
        <v>1151</v>
      </c>
      <c r="AD214" s="201">
        <v>44613.0</v>
      </c>
      <c r="AE214" s="105"/>
      <c r="AF214" s="199"/>
      <c r="AG214" s="105"/>
      <c r="AH214" s="199"/>
      <c r="AI214" s="199"/>
      <c r="AJ214" s="199"/>
      <c r="AK214" s="200" t="s">
        <v>1161</v>
      </c>
      <c r="AL214" s="200" t="s">
        <v>1061</v>
      </c>
      <c r="AM214" s="199"/>
      <c r="AN214" s="199"/>
      <c r="AO214" s="199"/>
      <c r="AP214" s="202" t="s">
        <v>1152</v>
      </c>
      <c r="AQ214" s="199"/>
    </row>
    <row r="215">
      <c r="A215" s="135" t="s">
        <v>1930</v>
      </c>
      <c r="B215" s="135" t="s">
        <v>1931</v>
      </c>
      <c r="C215" s="135" t="str">
        <f>VLOOKUP(A215,import!A:C,3,0)</f>
        <v>DOĞRU</v>
      </c>
      <c r="D215" s="135" t="s">
        <v>1188</v>
      </c>
      <c r="E215" s="194">
        <f>VLOOKUP(A215,import!A:AA,5,0)</f>
        <v>284</v>
      </c>
      <c r="F215" s="194">
        <f>VLOOKUP(A215,import!A:AA,6,0)</f>
        <v>97</v>
      </c>
      <c r="G215" s="135">
        <f>VLOOKUP(A215,import!A:AA,7,0)</f>
        <v>0</v>
      </c>
      <c r="H215" s="135">
        <f>VLOOKUP(A215,import!A:AA,8,0)</f>
        <v>25</v>
      </c>
      <c r="I215" s="135">
        <f>VLOOKUP(A215,import!A:AA,9,0)</f>
        <v>25</v>
      </c>
      <c r="J215" s="195">
        <f>VLOOKUP(A215,import!A:AA,10,0)</f>
        <v>0</v>
      </c>
      <c r="K215" s="135" t="s">
        <v>1925</v>
      </c>
      <c r="L215" s="135">
        <v>5.414511154E9</v>
      </c>
      <c r="M215" s="135" t="s">
        <v>1242</v>
      </c>
      <c r="N215" s="135" t="s">
        <v>1243</v>
      </c>
      <c r="O215" s="135" t="s">
        <v>1932</v>
      </c>
      <c r="P215" s="135" t="str">
        <f>VLOOKUP(A215,import!A:P,16,0)</f>
        <v>Geleneksel</v>
      </c>
      <c r="Q215" s="196"/>
      <c r="R215" s="196" t="b">
        <v>0</v>
      </c>
      <c r="S215" s="196" t="b">
        <v>0</v>
      </c>
      <c r="T215" s="197"/>
      <c r="U215" s="197"/>
      <c r="V215" s="208"/>
      <c r="W215" s="197"/>
      <c r="X215" s="198"/>
      <c r="Y215" s="198"/>
      <c r="Z215" s="199"/>
      <c r="AA215" s="200"/>
      <c r="AB215" s="201"/>
      <c r="AC215" s="199"/>
      <c r="AD215" s="199"/>
      <c r="AE215" s="105"/>
      <c r="AF215" s="199"/>
      <c r="AG215" s="105"/>
      <c r="AH215" s="199"/>
      <c r="AI215" s="199"/>
      <c r="AJ215" s="199"/>
      <c r="AK215" s="200"/>
      <c r="AL215" s="199"/>
      <c r="AM215" s="199"/>
      <c r="AN215" s="199"/>
      <c r="AO215" s="199"/>
      <c r="AP215" s="202"/>
      <c r="AQ215" s="199"/>
    </row>
    <row r="216">
      <c r="A216" s="135" t="s">
        <v>774</v>
      </c>
      <c r="B216" s="135" t="s">
        <v>775</v>
      </c>
      <c r="C216" s="135" t="str">
        <f>VLOOKUP(A216,import!A:C,3,0)</f>
        <v>YANLIŞ</v>
      </c>
      <c r="D216" s="135" t="s">
        <v>1188</v>
      </c>
      <c r="E216" s="194" t="str">
        <f>VLOOKUP(A216,import!A:AA,5,0)</f>
        <v/>
      </c>
      <c r="F216" s="194" t="str">
        <f>VLOOKUP(A216,import!A:AA,6,0)</f>
        <v/>
      </c>
      <c r="G216" s="135">
        <f>VLOOKUP(A216,import!A:AA,7,0)</f>
        <v>0</v>
      </c>
      <c r="H216" s="135">
        <f>VLOOKUP(A216,import!A:AA,8,0)</f>
        <v>24</v>
      </c>
      <c r="I216" s="135">
        <f>VLOOKUP(A216,import!A:AA,9,0)</f>
        <v>24</v>
      </c>
      <c r="J216" s="195">
        <f>VLOOKUP(A216,import!A:AA,10,0)</f>
        <v>0</v>
      </c>
      <c r="K216" s="135" t="s">
        <v>1933</v>
      </c>
      <c r="L216" s="135">
        <v>5.458922467E9</v>
      </c>
      <c r="M216" s="135" t="s">
        <v>1172</v>
      </c>
      <c r="N216" s="135" t="s">
        <v>1190</v>
      </c>
      <c r="O216" s="135" t="s">
        <v>777</v>
      </c>
      <c r="P216" s="135" t="str">
        <f>VLOOKUP(A216,import!A:P,16,0)</f>
        <v>Geleneksel</v>
      </c>
      <c r="Q216" s="196"/>
      <c r="R216" s="196" t="b">
        <v>1</v>
      </c>
      <c r="S216" s="196" t="b">
        <v>0</v>
      </c>
      <c r="T216" s="197" t="s">
        <v>1436</v>
      </c>
      <c r="U216" s="197" t="s">
        <v>1278</v>
      </c>
      <c r="V216" s="197" t="s">
        <v>91</v>
      </c>
      <c r="W216" s="197"/>
      <c r="X216" s="198">
        <v>44362.0</v>
      </c>
      <c r="Y216" s="198">
        <v>44364.0</v>
      </c>
      <c r="Z216" s="199"/>
      <c r="AA216" s="200" t="s">
        <v>1151</v>
      </c>
      <c r="AB216" s="201">
        <v>44362.0</v>
      </c>
      <c r="AC216" s="199"/>
      <c r="AD216" s="199"/>
      <c r="AE216" s="105"/>
      <c r="AF216" s="199"/>
      <c r="AG216" s="105"/>
      <c r="AH216" s="199"/>
      <c r="AI216" s="199"/>
      <c r="AJ216" s="199"/>
      <c r="AK216" s="200" t="s">
        <v>1278</v>
      </c>
      <c r="AL216" s="199"/>
      <c r="AM216" s="199"/>
      <c r="AN216" s="199"/>
      <c r="AO216" s="199"/>
      <c r="AP216" s="202" t="s">
        <v>1152</v>
      </c>
      <c r="AQ216" s="199"/>
    </row>
    <row r="217">
      <c r="A217" s="135" t="s">
        <v>708</v>
      </c>
      <c r="B217" s="135" t="s">
        <v>709</v>
      </c>
      <c r="C217" s="135" t="str">
        <f>VLOOKUP(A217,import!A:C,3,0)</f>
        <v>YANLIŞ</v>
      </c>
      <c r="D217" s="135" t="s">
        <v>1226</v>
      </c>
      <c r="E217" s="194">
        <f>VLOOKUP(A217,import!A:AA,5,0)</f>
        <v>324</v>
      </c>
      <c r="F217" s="194" t="str">
        <f>VLOOKUP(A217,import!A:AA,6,0)</f>
        <v/>
      </c>
      <c r="G217" s="135">
        <f>VLOOKUP(A217,import!A:AA,7,0)</f>
        <v>5</v>
      </c>
      <c r="H217" s="135">
        <f>VLOOKUP(A217,import!A:AA,8,0)</f>
        <v>29</v>
      </c>
      <c r="I217" s="135">
        <f>VLOOKUP(A217,import!A:AA,9,0)</f>
        <v>34</v>
      </c>
      <c r="J217" s="195">
        <f>VLOOKUP(A217,import!A:AA,10,0)</f>
        <v>0.15</v>
      </c>
      <c r="K217" s="135" t="s">
        <v>1934</v>
      </c>
      <c r="L217" s="135">
        <v>5.339450235E9</v>
      </c>
      <c r="M217" s="135" t="s">
        <v>1348</v>
      </c>
      <c r="N217" s="135" t="s">
        <v>1893</v>
      </c>
      <c r="O217" s="135" t="s">
        <v>712</v>
      </c>
      <c r="P217" s="135" t="str">
        <f>VLOOKUP(A217,import!A:P,16,0)</f>
        <v>Geleneksel</v>
      </c>
      <c r="Q217" s="196"/>
      <c r="R217" s="196" t="b">
        <v>1</v>
      </c>
      <c r="S217" s="196" t="b">
        <v>0</v>
      </c>
      <c r="T217" s="197" t="s">
        <v>1165</v>
      </c>
      <c r="U217" s="197" t="s">
        <v>189</v>
      </c>
      <c r="V217" s="197" t="s">
        <v>91</v>
      </c>
      <c r="W217" s="197" t="s">
        <v>1649</v>
      </c>
      <c r="X217" s="198">
        <v>44354.0</v>
      </c>
      <c r="Y217" s="198">
        <v>44356.0</v>
      </c>
      <c r="Z217" s="199"/>
      <c r="AA217" s="200" t="s">
        <v>1151</v>
      </c>
      <c r="AB217" s="201">
        <v>44354.0</v>
      </c>
      <c r="AC217" s="199"/>
      <c r="AD217" s="199"/>
      <c r="AE217" s="105"/>
      <c r="AF217" s="199"/>
      <c r="AG217" s="105"/>
      <c r="AH217" s="199"/>
      <c r="AI217" s="199"/>
      <c r="AJ217" s="199"/>
      <c r="AK217" s="200" t="s">
        <v>189</v>
      </c>
      <c r="AL217" s="199"/>
      <c r="AM217" s="199"/>
      <c r="AN217" s="199"/>
      <c r="AO217" s="199"/>
      <c r="AP217" s="202" t="s">
        <v>1152</v>
      </c>
      <c r="AQ217" s="199"/>
    </row>
    <row r="218">
      <c r="A218" s="135" t="s">
        <v>1935</v>
      </c>
      <c r="B218" s="135" t="s">
        <v>1936</v>
      </c>
      <c r="C218" s="135" t="str">
        <f>VLOOKUP(A218,import!A:C,3,0)</f>
        <v>YANLIŞ</v>
      </c>
      <c r="D218" s="135" t="s">
        <v>1341</v>
      </c>
      <c r="E218" s="194">
        <f>VLOOKUP(A218,import!A:AA,5,0)</f>
        <v>54</v>
      </c>
      <c r="F218" s="194" t="str">
        <f>VLOOKUP(A218,import!A:AA,6,0)</f>
        <v/>
      </c>
      <c r="G218" s="135">
        <f>VLOOKUP(A218,import!A:AA,7,0)</f>
        <v>0</v>
      </c>
      <c r="H218" s="135">
        <f>VLOOKUP(A218,import!A:AA,8,0)</f>
        <v>34</v>
      </c>
      <c r="I218" s="135">
        <f>VLOOKUP(A218,import!A:AA,9,0)</f>
        <v>34</v>
      </c>
      <c r="J218" s="195">
        <f>VLOOKUP(A218,import!A:AA,10,0)</f>
        <v>0</v>
      </c>
      <c r="K218" s="135" t="s">
        <v>1937</v>
      </c>
      <c r="L218" s="135">
        <v>5.352224343E9</v>
      </c>
      <c r="M218" s="135" t="s">
        <v>1348</v>
      </c>
      <c r="N218" s="135" t="s">
        <v>1349</v>
      </c>
      <c r="O218" s="135" t="s">
        <v>1938</v>
      </c>
      <c r="P218" s="135" t="str">
        <f>VLOOKUP(A218,import!A:P,16,0)</f>
        <v>Geleneksel</v>
      </c>
      <c r="Q218" s="196"/>
      <c r="R218" s="196" t="b">
        <v>1</v>
      </c>
      <c r="S218" s="196" t="b">
        <v>0</v>
      </c>
      <c r="T218" s="197" t="s">
        <v>1289</v>
      </c>
      <c r="U218" s="204"/>
      <c r="V218" s="204"/>
      <c r="W218" s="221" t="s">
        <v>1939</v>
      </c>
      <c r="X218" s="206"/>
      <c r="Y218" s="206"/>
      <c r="Z218" s="199"/>
      <c r="AA218" s="200" t="s">
        <v>1202</v>
      </c>
      <c r="AB218" s="201">
        <v>44354.0</v>
      </c>
      <c r="AC218" s="200" t="s">
        <v>1202</v>
      </c>
      <c r="AD218" s="201">
        <v>44378.0</v>
      </c>
      <c r="AE218" s="200" t="s">
        <v>1151</v>
      </c>
      <c r="AF218" s="201">
        <v>44603.0</v>
      </c>
      <c r="AG218" s="200" t="s">
        <v>1151</v>
      </c>
      <c r="AH218" s="201">
        <v>44615.0</v>
      </c>
      <c r="AI218" s="199"/>
      <c r="AJ218" s="199"/>
      <c r="AK218" s="200" t="s">
        <v>189</v>
      </c>
      <c r="AL218" s="200" t="s">
        <v>92</v>
      </c>
      <c r="AM218" s="200" t="s">
        <v>941</v>
      </c>
      <c r="AN218" s="200" t="s">
        <v>1061</v>
      </c>
      <c r="AO218" s="199"/>
      <c r="AP218" s="202" t="s">
        <v>1152</v>
      </c>
      <c r="AQ218" s="199"/>
    </row>
    <row r="219">
      <c r="A219" s="135" t="s">
        <v>1940</v>
      </c>
      <c r="B219" s="135" t="s">
        <v>1941</v>
      </c>
      <c r="C219" s="135" t="str">
        <f>VLOOKUP(A219,import!A:C,3,0)</f>
        <v>DOĞRU</v>
      </c>
      <c r="D219" s="135" t="s">
        <v>1302</v>
      </c>
      <c r="E219" s="194">
        <f>VLOOKUP(A219,import!A:AA,5,0)</f>
        <v>1361</v>
      </c>
      <c r="F219" s="194">
        <f>VLOOKUP(A219,import!A:AA,6,0)</f>
        <v>1</v>
      </c>
      <c r="G219" s="135">
        <f>VLOOKUP(A219,import!A:AA,7,0)</f>
        <v>0</v>
      </c>
      <c r="H219" s="135">
        <f>VLOOKUP(A219,import!A:AA,8,0)</f>
        <v>3</v>
      </c>
      <c r="I219" s="135">
        <f>VLOOKUP(A219,import!A:AA,9,0)</f>
        <v>3</v>
      </c>
      <c r="J219" s="195">
        <f>VLOOKUP(A219,import!A:AA,10,0)</f>
        <v>0</v>
      </c>
      <c r="K219" s="135" t="s">
        <v>1942</v>
      </c>
      <c r="L219" s="135">
        <v>5.372707837E9</v>
      </c>
      <c r="M219" s="135" t="s">
        <v>1348</v>
      </c>
      <c r="N219" s="135" t="s">
        <v>1897</v>
      </c>
      <c r="O219" s="135" t="s">
        <v>1943</v>
      </c>
      <c r="P219" s="135" t="str">
        <f>VLOOKUP(A219,import!A:P,16,0)</f>
        <v>Geleneksel</v>
      </c>
      <c r="Q219" s="196"/>
      <c r="R219" s="196" t="b">
        <v>1</v>
      </c>
      <c r="S219" s="196" t="b">
        <v>0</v>
      </c>
      <c r="T219" s="197" t="s">
        <v>1852</v>
      </c>
      <c r="U219" s="204"/>
      <c r="V219" s="222"/>
      <c r="W219" s="197" t="s">
        <v>1944</v>
      </c>
      <c r="X219" s="206"/>
      <c r="Y219" s="206"/>
      <c r="Z219" s="199"/>
      <c r="AA219" s="200" t="s">
        <v>1151</v>
      </c>
      <c r="AB219" s="201">
        <v>44354.0</v>
      </c>
      <c r="AC219" s="200" t="s">
        <v>1151</v>
      </c>
      <c r="AD219" s="201">
        <v>44379.0</v>
      </c>
      <c r="AE219" s="200" t="s">
        <v>1202</v>
      </c>
      <c r="AF219" s="201">
        <v>44383.0</v>
      </c>
      <c r="AG219" s="200" t="s">
        <v>1151</v>
      </c>
      <c r="AH219" s="201">
        <v>44389.0</v>
      </c>
      <c r="AI219" s="200" t="s">
        <v>1151</v>
      </c>
      <c r="AJ219" s="201">
        <v>44615.0</v>
      </c>
      <c r="AK219" s="200" t="s">
        <v>189</v>
      </c>
      <c r="AL219" s="200" t="s">
        <v>257</v>
      </c>
      <c r="AM219" s="200" t="s">
        <v>189</v>
      </c>
      <c r="AN219" s="200" t="s">
        <v>1421</v>
      </c>
      <c r="AO219" s="200" t="s">
        <v>1061</v>
      </c>
      <c r="AP219" s="202" t="s">
        <v>1152</v>
      </c>
      <c r="AQ219" s="199"/>
    </row>
    <row r="220">
      <c r="A220" s="135" t="s">
        <v>882</v>
      </c>
      <c r="B220" s="135" t="s">
        <v>883</v>
      </c>
      <c r="C220" s="135" t="str">
        <f>VLOOKUP(A220,import!A:C,3,0)</f>
        <v>DOĞRU</v>
      </c>
      <c r="D220" s="135" t="s">
        <v>1226</v>
      </c>
      <c r="E220" s="194">
        <f>VLOOKUP(A220,import!A:AA,5,0)</f>
        <v>595</v>
      </c>
      <c r="F220" s="194">
        <f>VLOOKUP(A220,import!A:AA,6,0)</f>
        <v>8</v>
      </c>
      <c r="G220" s="135">
        <f>VLOOKUP(A220,import!A:AA,7,0)</f>
        <v>17</v>
      </c>
      <c r="H220" s="135">
        <f>VLOOKUP(A220,import!A:AA,8,0)</f>
        <v>25</v>
      </c>
      <c r="I220" s="135">
        <f>VLOOKUP(A220,import!A:AA,9,0)</f>
        <v>42</v>
      </c>
      <c r="J220" s="195">
        <f>VLOOKUP(A220,import!A:AA,10,0)</f>
        <v>0.4</v>
      </c>
      <c r="K220" s="135" t="s">
        <v>1945</v>
      </c>
      <c r="L220" s="135">
        <v>5.439570054E9</v>
      </c>
      <c r="M220" s="135" t="s">
        <v>1318</v>
      </c>
      <c r="N220" s="135" t="s">
        <v>1319</v>
      </c>
      <c r="O220" s="135" t="s">
        <v>230</v>
      </c>
      <c r="P220" s="135" t="str">
        <f>VLOOKUP(A220,import!A:P,16,0)</f>
        <v>Geleneksel</v>
      </c>
      <c r="Q220" s="196"/>
      <c r="R220" s="196" t="b">
        <v>1</v>
      </c>
      <c r="S220" s="196" t="b">
        <v>0</v>
      </c>
      <c r="T220" s="197" t="s">
        <v>1165</v>
      </c>
      <c r="U220" s="197" t="s">
        <v>92</v>
      </c>
      <c r="V220" s="197" t="s">
        <v>91</v>
      </c>
      <c r="W220" s="197" t="s">
        <v>1946</v>
      </c>
      <c r="X220" s="198">
        <v>44375.0</v>
      </c>
      <c r="Y220" s="198">
        <v>44376.0</v>
      </c>
      <c r="Z220" s="199"/>
      <c r="AA220" s="200" t="s">
        <v>1151</v>
      </c>
      <c r="AB220" s="201">
        <v>44375.0</v>
      </c>
      <c r="AC220" s="199"/>
      <c r="AD220" s="199"/>
      <c r="AE220" s="105"/>
      <c r="AF220" s="199"/>
      <c r="AG220" s="105"/>
      <c r="AH220" s="199"/>
      <c r="AI220" s="199"/>
      <c r="AJ220" s="199"/>
      <c r="AK220" s="200" t="s">
        <v>92</v>
      </c>
      <c r="AL220" s="199"/>
      <c r="AM220" s="199"/>
      <c r="AN220" s="199"/>
      <c r="AO220" s="199"/>
      <c r="AP220" s="202" t="s">
        <v>1152</v>
      </c>
      <c r="AQ220" s="199"/>
    </row>
    <row r="221">
      <c r="A221" s="135" t="s">
        <v>396</v>
      </c>
      <c r="B221" s="135" t="s">
        <v>397</v>
      </c>
      <c r="C221" s="135" t="str">
        <f>VLOOKUP(A221,import!A:C,3,0)</f>
        <v>YANLIŞ</v>
      </c>
      <c r="D221" s="135" t="s">
        <v>1235</v>
      </c>
      <c r="E221" s="194">
        <f>VLOOKUP(A221,import!A:AA,5,0)</f>
        <v>1588</v>
      </c>
      <c r="F221" s="194" t="str">
        <f>VLOOKUP(A221,import!A:AA,6,0)</f>
        <v/>
      </c>
      <c r="G221" s="135">
        <f>VLOOKUP(A221,import!A:AA,7,0)</f>
        <v>15</v>
      </c>
      <c r="H221" s="135">
        <f>VLOOKUP(A221,import!A:AA,8,0)</f>
        <v>21</v>
      </c>
      <c r="I221" s="135">
        <f>VLOOKUP(A221,import!A:AA,9,0)</f>
        <v>36</v>
      </c>
      <c r="J221" s="195">
        <f>VLOOKUP(A221,import!A:AA,10,0)</f>
        <v>0.42</v>
      </c>
      <c r="K221" s="135" t="s">
        <v>1947</v>
      </c>
      <c r="L221" s="135">
        <v>5.415310531E9</v>
      </c>
      <c r="M221" s="135" t="s">
        <v>1172</v>
      </c>
      <c r="N221" s="135" t="s">
        <v>1228</v>
      </c>
      <c r="O221" s="135" t="s">
        <v>400</v>
      </c>
      <c r="P221" s="135" t="str">
        <f>VLOOKUP(A221,import!A:P,16,0)</f>
        <v>Geleneksel</v>
      </c>
      <c r="Q221" s="196"/>
      <c r="R221" s="196" t="b">
        <v>1</v>
      </c>
      <c r="S221" s="196" t="b">
        <v>0</v>
      </c>
      <c r="T221" s="197" t="s">
        <v>1165</v>
      </c>
      <c r="U221" s="197" t="s">
        <v>189</v>
      </c>
      <c r="V221" s="197" t="s">
        <v>91</v>
      </c>
      <c r="W221" s="197" t="s">
        <v>1948</v>
      </c>
      <c r="X221" s="198">
        <v>44371.0</v>
      </c>
      <c r="Y221" s="198">
        <v>44371.0</v>
      </c>
      <c r="Z221" s="199"/>
      <c r="AA221" s="200" t="s">
        <v>1202</v>
      </c>
      <c r="AB221" s="201">
        <v>44363.0</v>
      </c>
      <c r="AC221" s="200" t="s">
        <v>1202</v>
      </c>
      <c r="AD221" s="201">
        <v>44368.0</v>
      </c>
      <c r="AE221" s="200" t="s">
        <v>1151</v>
      </c>
      <c r="AF221" s="201">
        <v>44371.0</v>
      </c>
      <c r="AG221" s="105"/>
      <c r="AH221" s="199"/>
      <c r="AI221" s="199"/>
      <c r="AJ221" s="199"/>
      <c r="AK221" s="200" t="s">
        <v>1167</v>
      </c>
      <c r="AL221" s="200" t="s">
        <v>257</v>
      </c>
      <c r="AM221" s="200" t="s">
        <v>189</v>
      </c>
      <c r="AN221" s="199"/>
      <c r="AO221" s="199"/>
      <c r="AP221" s="202" t="s">
        <v>1152</v>
      </c>
      <c r="AQ221" s="199"/>
    </row>
    <row r="222">
      <c r="A222" s="135" t="s">
        <v>268</v>
      </c>
      <c r="B222" s="135" t="s">
        <v>269</v>
      </c>
      <c r="C222" s="135" t="str">
        <f>VLOOKUP(A222,import!A:C,3,0)</f>
        <v>DOĞRU</v>
      </c>
      <c r="D222" s="135" t="s">
        <v>1302</v>
      </c>
      <c r="E222" s="194">
        <f>VLOOKUP(A222,import!A:AA,5,0)</f>
        <v>1112</v>
      </c>
      <c r="F222" s="194">
        <f>VLOOKUP(A222,import!A:AA,6,0)</f>
        <v>57</v>
      </c>
      <c r="G222" s="135">
        <f>VLOOKUP(A222,import!A:AA,7,0)</f>
        <v>17</v>
      </c>
      <c r="H222" s="135">
        <f>VLOOKUP(A222,import!A:AA,8,0)</f>
        <v>56</v>
      </c>
      <c r="I222" s="135">
        <f>VLOOKUP(A222,import!A:AA,9,0)</f>
        <v>73</v>
      </c>
      <c r="J222" s="195">
        <f>VLOOKUP(A222,import!A:AA,10,0)</f>
        <v>0.23</v>
      </c>
      <c r="K222" s="135" t="s">
        <v>1949</v>
      </c>
      <c r="L222" s="135">
        <v>5.425965994E9</v>
      </c>
      <c r="M222" s="135" t="s">
        <v>1172</v>
      </c>
      <c r="N222" s="135" t="s">
        <v>1379</v>
      </c>
      <c r="O222" s="135" t="s">
        <v>270</v>
      </c>
      <c r="P222" s="135" t="str">
        <f>VLOOKUP(A222,import!A:P,16,0)</f>
        <v>Geleneksel</v>
      </c>
      <c r="Q222" s="196"/>
      <c r="R222" s="196" t="b">
        <v>1</v>
      </c>
      <c r="S222" s="196" t="b">
        <v>0</v>
      </c>
      <c r="T222" s="197" t="s">
        <v>1165</v>
      </c>
      <c r="U222" s="197" t="s">
        <v>257</v>
      </c>
      <c r="V222" s="197" t="s">
        <v>91</v>
      </c>
      <c r="W222" s="197" t="s">
        <v>1950</v>
      </c>
      <c r="X222" s="198">
        <v>44305.0</v>
      </c>
      <c r="Y222" s="198">
        <v>44305.0</v>
      </c>
      <c r="Z222" s="199"/>
      <c r="AA222" s="200" t="s">
        <v>1151</v>
      </c>
      <c r="AB222" s="201">
        <v>44379.0</v>
      </c>
      <c r="AC222" s="199"/>
      <c r="AD222" s="199"/>
      <c r="AE222" s="105"/>
      <c r="AF222" s="199"/>
      <c r="AG222" s="105"/>
      <c r="AH222" s="199"/>
      <c r="AI222" s="199"/>
      <c r="AJ222" s="199"/>
      <c r="AK222" s="200" t="s">
        <v>1167</v>
      </c>
      <c r="AL222" s="199"/>
      <c r="AM222" s="199"/>
      <c r="AN222" s="199"/>
      <c r="AO222" s="199"/>
      <c r="AP222" s="202" t="s">
        <v>1152</v>
      </c>
      <c r="AQ222" s="199"/>
    </row>
    <row r="223">
      <c r="A223" s="135" t="s">
        <v>154</v>
      </c>
      <c r="B223" s="135" t="s">
        <v>155</v>
      </c>
      <c r="C223" s="135" t="str">
        <f>VLOOKUP(A223,import!A:C,3,0)</f>
        <v>DOĞRU</v>
      </c>
      <c r="D223" s="135" t="s">
        <v>1302</v>
      </c>
      <c r="E223" s="194">
        <f>VLOOKUP(A223,import!A:AA,5,0)</f>
        <v>259</v>
      </c>
      <c r="F223" s="194">
        <f>VLOOKUP(A223,import!A:AA,6,0)</f>
        <v>2</v>
      </c>
      <c r="G223" s="135">
        <f>VLOOKUP(A223,import!A:AA,7,0)</f>
        <v>3</v>
      </c>
      <c r="H223" s="135">
        <f>VLOOKUP(A223,import!A:AA,8,0)</f>
        <v>6</v>
      </c>
      <c r="I223" s="135">
        <f>VLOOKUP(A223,import!A:AA,9,0)</f>
        <v>9</v>
      </c>
      <c r="J223" s="195">
        <f>VLOOKUP(A223,import!A:AA,10,0)</f>
        <v>0.33</v>
      </c>
      <c r="K223" s="135" t="s">
        <v>1951</v>
      </c>
      <c r="L223" s="135">
        <v>5.442733273E9</v>
      </c>
      <c r="M223" s="135" t="s">
        <v>1172</v>
      </c>
      <c r="N223" s="135" t="s">
        <v>1379</v>
      </c>
      <c r="O223" s="135" t="s">
        <v>490</v>
      </c>
      <c r="P223" s="135" t="str">
        <f>VLOOKUP(A223,import!A:P,16,0)</f>
        <v>Geleneksel</v>
      </c>
      <c r="Q223" s="196"/>
      <c r="R223" s="196" t="b">
        <v>1</v>
      </c>
      <c r="S223" s="196" t="b">
        <v>0</v>
      </c>
      <c r="T223" s="197" t="s">
        <v>1165</v>
      </c>
      <c r="U223" s="197" t="s">
        <v>189</v>
      </c>
      <c r="V223" s="197" t="s">
        <v>91</v>
      </c>
      <c r="W223" s="197" t="s">
        <v>1952</v>
      </c>
      <c r="X223" s="198">
        <v>44334.0</v>
      </c>
      <c r="Y223" s="198">
        <v>44336.0</v>
      </c>
      <c r="Z223" s="199"/>
      <c r="AA223" s="200" t="s">
        <v>1151</v>
      </c>
      <c r="AB223" s="201">
        <v>44368.0</v>
      </c>
      <c r="AC223" s="199"/>
      <c r="AD223" s="199"/>
      <c r="AE223" s="105"/>
      <c r="AF223" s="199"/>
      <c r="AG223" s="105"/>
      <c r="AH223" s="199"/>
      <c r="AI223" s="199"/>
      <c r="AJ223" s="199"/>
      <c r="AK223" s="200" t="s">
        <v>257</v>
      </c>
      <c r="AL223" s="199"/>
      <c r="AM223" s="199"/>
      <c r="AN223" s="199"/>
      <c r="AO223" s="199"/>
      <c r="AP223" s="202" t="s">
        <v>1152</v>
      </c>
      <c r="AQ223" s="199"/>
    </row>
    <row r="224">
      <c r="A224" s="135" t="s">
        <v>1953</v>
      </c>
      <c r="B224" s="135" t="s">
        <v>1954</v>
      </c>
      <c r="C224" s="135" t="str">
        <f>VLOOKUP(A224,import!A:C,3,0)</f>
        <v>YANLIŞ</v>
      </c>
      <c r="D224" s="135" t="s">
        <v>1145</v>
      </c>
      <c r="E224" s="194">
        <f>VLOOKUP(A224,import!A:AA,5,0)</f>
        <v>135</v>
      </c>
      <c r="F224" s="194" t="str">
        <f>VLOOKUP(A224,import!A:AA,6,0)</f>
        <v/>
      </c>
      <c r="G224" s="135">
        <f>VLOOKUP(A224,import!A:AA,7,0)</f>
        <v>0</v>
      </c>
      <c r="H224" s="135">
        <f>VLOOKUP(A224,import!A:AA,8,0)</f>
        <v>104</v>
      </c>
      <c r="I224" s="135">
        <f>VLOOKUP(A224,import!A:AA,9,0)</f>
        <v>104</v>
      </c>
      <c r="J224" s="195">
        <f>VLOOKUP(A224,import!A:AA,10,0)</f>
        <v>0</v>
      </c>
      <c r="K224" s="135" t="s">
        <v>1951</v>
      </c>
      <c r="L224" s="135">
        <v>5.451541154E9</v>
      </c>
      <c r="M224" s="135" t="s">
        <v>1172</v>
      </c>
      <c r="N224" s="135" t="s">
        <v>1190</v>
      </c>
      <c r="O224" s="135" t="s">
        <v>1955</v>
      </c>
      <c r="P224" s="135" t="str">
        <f>VLOOKUP(A224,import!A:P,16,0)</f>
        <v>Geleneksel</v>
      </c>
      <c r="Q224" s="196"/>
      <c r="R224" s="196" t="b">
        <v>1</v>
      </c>
      <c r="S224" s="196" t="b">
        <v>1</v>
      </c>
      <c r="T224" s="197"/>
      <c r="U224" s="204"/>
      <c r="V224" s="222"/>
      <c r="W224" s="197" t="s">
        <v>1956</v>
      </c>
      <c r="X224" s="206"/>
      <c r="Y224" s="206"/>
      <c r="Z224" s="199"/>
      <c r="AA224" s="200" t="s">
        <v>1151</v>
      </c>
      <c r="AB224" s="201">
        <v>44363.0</v>
      </c>
      <c r="AC224" s="200" t="s">
        <v>1202</v>
      </c>
      <c r="AD224" s="201">
        <v>44379.0</v>
      </c>
      <c r="AE224" s="105"/>
      <c r="AF224" s="199"/>
      <c r="AG224" s="105"/>
      <c r="AH224" s="199"/>
      <c r="AI224" s="199"/>
      <c r="AJ224" s="199"/>
      <c r="AK224" s="200" t="s">
        <v>1167</v>
      </c>
      <c r="AL224" s="200" t="s">
        <v>257</v>
      </c>
      <c r="AM224" s="199"/>
      <c r="AN224" s="199"/>
      <c r="AO224" s="199"/>
      <c r="AP224" s="202" t="s">
        <v>1152</v>
      </c>
      <c r="AQ224" s="199"/>
    </row>
    <row r="225">
      <c r="A225" s="135" t="s">
        <v>1957</v>
      </c>
      <c r="B225" s="135" t="s">
        <v>1958</v>
      </c>
      <c r="C225" s="135" t="str">
        <f>VLOOKUP(A225,import!A:C,3,0)</f>
        <v>DOĞRU</v>
      </c>
      <c r="D225" s="135" t="s">
        <v>1145</v>
      </c>
      <c r="E225" s="194">
        <f>VLOOKUP(A225,import!A:AA,5,0)</f>
        <v>153</v>
      </c>
      <c r="F225" s="194" t="str">
        <f>VLOOKUP(A225,import!A:AA,6,0)</f>
        <v/>
      </c>
      <c r="G225" s="135">
        <f>VLOOKUP(A225,import!A:AA,7,0)</f>
        <v>0</v>
      </c>
      <c r="H225" s="135">
        <f>VLOOKUP(A225,import!A:AA,8,0)</f>
        <v>46</v>
      </c>
      <c r="I225" s="135">
        <f>VLOOKUP(A225,import!A:AA,9,0)</f>
        <v>46</v>
      </c>
      <c r="J225" s="195">
        <f>VLOOKUP(A225,import!A:AA,10,0)</f>
        <v>0</v>
      </c>
      <c r="K225" s="135" t="s">
        <v>1959</v>
      </c>
      <c r="L225" s="135">
        <v>5.324014767E9</v>
      </c>
      <c r="M225" s="135" t="s">
        <v>1463</v>
      </c>
      <c r="N225" s="135" t="s">
        <v>1464</v>
      </c>
      <c r="O225" s="135" t="s">
        <v>356</v>
      </c>
      <c r="P225" s="135" t="str">
        <f>VLOOKUP(A225,import!A:P,16,0)</f>
        <v>Geleneksel</v>
      </c>
      <c r="Q225" s="196"/>
      <c r="R225" s="196" t="b">
        <v>1</v>
      </c>
      <c r="S225" s="196" t="b">
        <v>0</v>
      </c>
      <c r="T225" s="197" t="s">
        <v>1289</v>
      </c>
      <c r="U225" s="197" t="s">
        <v>189</v>
      </c>
      <c r="V225" s="197" t="s">
        <v>91</v>
      </c>
      <c r="W225" s="197" t="s">
        <v>1960</v>
      </c>
      <c r="X225" s="198">
        <v>44312.0</v>
      </c>
      <c r="Y225" s="198">
        <v>44313.0</v>
      </c>
      <c r="Z225" s="199"/>
      <c r="AA225" s="199"/>
      <c r="AB225" s="199"/>
      <c r="AC225" s="199"/>
      <c r="AD225" s="199"/>
      <c r="AE225" s="105"/>
      <c r="AF225" s="199"/>
      <c r="AG225" s="105"/>
      <c r="AH225" s="199"/>
      <c r="AI225" s="199"/>
      <c r="AJ225" s="199"/>
      <c r="AK225" s="199"/>
      <c r="AL225" s="199"/>
      <c r="AM225" s="199"/>
      <c r="AN225" s="199"/>
      <c r="AO225" s="199"/>
      <c r="AP225" s="202" t="s">
        <v>1152</v>
      </c>
      <c r="AQ225" s="199"/>
    </row>
    <row r="226">
      <c r="A226" s="135" t="s">
        <v>1961</v>
      </c>
      <c r="B226" s="135" t="s">
        <v>1962</v>
      </c>
      <c r="C226" s="135" t="str">
        <f>VLOOKUP(A226,import!A:C,3,0)</f>
        <v>DOĞRU</v>
      </c>
      <c r="D226" s="135" t="s">
        <v>1155</v>
      </c>
      <c r="E226" s="194">
        <f>VLOOKUP(A226,import!A:AA,5,0)</f>
        <v>3047</v>
      </c>
      <c r="F226" s="194">
        <f>VLOOKUP(A226,import!A:AA,6,0)</f>
        <v>75</v>
      </c>
      <c r="G226" s="135">
        <f>VLOOKUP(A226,import!A:AA,7,0)</f>
        <v>0</v>
      </c>
      <c r="H226" s="135">
        <f>VLOOKUP(A226,import!A:AA,8,0)</f>
        <v>18</v>
      </c>
      <c r="I226" s="135">
        <f>VLOOKUP(A226,import!A:AA,9,0)</f>
        <v>18</v>
      </c>
      <c r="J226" s="195">
        <f>VLOOKUP(A226,import!A:AA,10,0)</f>
        <v>0</v>
      </c>
      <c r="K226" s="135" t="s">
        <v>1963</v>
      </c>
      <c r="L226" s="135">
        <v>5.532144578E9</v>
      </c>
      <c r="M226" s="135" t="s">
        <v>1172</v>
      </c>
      <c r="N226" s="135" t="s">
        <v>1193</v>
      </c>
      <c r="O226" s="135" t="s">
        <v>1964</v>
      </c>
      <c r="P226" s="135" t="str">
        <f>VLOOKUP(A226,import!A:P,16,0)</f>
        <v>Geleneksel</v>
      </c>
      <c r="Q226" s="196"/>
      <c r="R226" s="196" t="b">
        <v>1</v>
      </c>
      <c r="S226" s="196" t="b">
        <v>0</v>
      </c>
      <c r="T226" s="197" t="s">
        <v>1159</v>
      </c>
      <c r="U226" s="197"/>
      <c r="V226" s="197"/>
      <c r="W226" s="197" t="s">
        <v>1965</v>
      </c>
      <c r="X226" s="198"/>
      <c r="Y226" s="198"/>
      <c r="Z226" s="199"/>
      <c r="AA226" s="200" t="s">
        <v>1253</v>
      </c>
      <c r="AB226" s="201">
        <v>44350.0</v>
      </c>
      <c r="AC226" s="200" t="s">
        <v>1151</v>
      </c>
      <c r="AD226" s="201">
        <v>44363.0</v>
      </c>
      <c r="AE226" s="200" t="s">
        <v>1253</v>
      </c>
      <c r="AF226" s="201">
        <v>44371.0</v>
      </c>
      <c r="AG226" s="200" t="s">
        <v>1202</v>
      </c>
      <c r="AH226" s="201">
        <v>44404.0</v>
      </c>
      <c r="AI226" s="200" t="s">
        <v>1254</v>
      </c>
      <c r="AJ226" s="201">
        <v>44609.0</v>
      </c>
      <c r="AK226" s="200" t="s">
        <v>1204</v>
      </c>
      <c r="AL226" s="200" t="s">
        <v>189</v>
      </c>
      <c r="AM226" s="200" t="s">
        <v>1204</v>
      </c>
      <c r="AN226" s="200" t="s">
        <v>189</v>
      </c>
      <c r="AO226" s="200" t="s">
        <v>1024</v>
      </c>
      <c r="AP226" s="202" t="s">
        <v>1152</v>
      </c>
      <c r="AQ226" s="200"/>
    </row>
    <row r="227">
      <c r="A227" s="135" t="s">
        <v>495</v>
      </c>
      <c r="B227" s="135" t="s">
        <v>496</v>
      </c>
      <c r="C227" s="135" t="str">
        <f>VLOOKUP(A227,import!A:C,3,0)</f>
        <v>DOĞRU</v>
      </c>
      <c r="D227" s="135" t="s">
        <v>1226</v>
      </c>
      <c r="E227" s="194">
        <f>VLOOKUP(A227,import!A:AA,5,0)</f>
        <v>758</v>
      </c>
      <c r="F227" s="194">
        <f>VLOOKUP(A227,import!A:AA,6,0)</f>
        <v>11</v>
      </c>
      <c r="G227" s="135">
        <f>VLOOKUP(A227,import!A:AA,7,0)</f>
        <v>15</v>
      </c>
      <c r="H227" s="135">
        <f>VLOOKUP(A227,import!A:AA,8,0)</f>
        <v>43</v>
      </c>
      <c r="I227" s="135">
        <f>VLOOKUP(A227,import!A:AA,9,0)</f>
        <v>58</v>
      </c>
      <c r="J227" s="195">
        <f>VLOOKUP(A227,import!A:AA,10,0)</f>
        <v>0.26</v>
      </c>
      <c r="K227" s="135" t="s">
        <v>1966</v>
      </c>
      <c r="L227" s="135">
        <v>5.339610532E9</v>
      </c>
      <c r="M227" s="135" t="s">
        <v>1177</v>
      </c>
      <c r="N227" s="135" t="s">
        <v>1184</v>
      </c>
      <c r="O227" s="135" t="s">
        <v>499</v>
      </c>
      <c r="P227" s="135" t="str">
        <f>VLOOKUP(A227,import!A:P,16,0)</f>
        <v>Geleneksel</v>
      </c>
      <c r="Q227" s="196"/>
      <c r="R227" s="196" t="b">
        <v>1</v>
      </c>
      <c r="S227" s="196" t="b">
        <v>0</v>
      </c>
      <c r="T227" s="197" t="s">
        <v>1165</v>
      </c>
      <c r="U227" s="197" t="s">
        <v>1264</v>
      </c>
      <c r="V227" s="197" t="s">
        <v>91</v>
      </c>
      <c r="W227" s="197"/>
      <c r="X227" s="198">
        <v>44405.0</v>
      </c>
      <c r="Y227" s="198">
        <v>44406.0</v>
      </c>
      <c r="Z227" s="199"/>
      <c r="AA227" s="200" t="s">
        <v>1254</v>
      </c>
      <c r="AB227" s="201">
        <v>44377.0</v>
      </c>
      <c r="AC227" s="200" t="s">
        <v>1151</v>
      </c>
      <c r="AD227" s="201">
        <v>44405.0</v>
      </c>
      <c r="AE227" s="105"/>
      <c r="AF227" s="199"/>
      <c r="AG227" s="105"/>
      <c r="AH227" s="199"/>
      <c r="AI227" s="199"/>
      <c r="AJ227" s="199"/>
      <c r="AK227" s="200" t="s">
        <v>1255</v>
      </c>
      <c r="AL227" s="200" t="s">
        <v>1264</v>
      </c>
      <c r="AM227" s="199"/>
      <c r="AN227" s="199"/>
      <c r="AO227" s="199"/>
      <c r="AP227" s="202" t="s">
        <v>1152</v>
      </c>
      <c r="AQ227" s="199"/>
    </row>
    <row r="228">
      <c r="A228" s="135" t="s">
        <v>295</v>
      </c>
      <c r="B228" s="135" t="s">
        <v>296</v>
      </c>
      <c r="C228" s="135" t="str">
        <f>VLOOKUP(A228,import!A:C,3,0)</f>
        <v>YANLIŞ</v>
      </c>
      <c r="D228" s="135" t="s">
        <v>1455</v>
      </c>
      <c r="E228" s="194">
        <f>VLOOKUP(A228,import!A:AA,5,0)</f>
        <v>82</v>
      </c>
      <c r="F228" s="194" t="str">
        <f>VLOOKUP(A228,import!A:AA,6,0)</f>
        <v/>
      </c>
      <c r="G228" s="135">
        <f>VLOOKUP(A228,import!A:AA,7,0)</f>
        <v>5</v>
      </c>
      <c r="H228" s="135">
        <f>VLOOKUP(A228,import!A:AA,8,0)</f>
        <v>11</v>
      </c>
      <c r="I228" s="135">
        <f>VLOOKUP(A228,import!A:AA,9,0)</f>
        <v>16</v>
      </c>
      <c r="J228" s="195">
        <f>VLOOKUP(A228,import!A:AA,10,0)</f>
        <v>0.31</v>
      </c>
      <c r="K228" s="135" t="s">
        <v>1498</v>
      </c>
      <c r="L228" s="135">
        <v>5.432120886E9</v>
      </c>
      <c r="M228" s="135" t="s">
        <v>1147</v>
      </c>
      <c r="N228" s="135" t="s">
        <v>1164</v>
      </c>
      <c r="O228" s="135" t="s">
        <v>299</v>
      </c>
      <c r="P228" s="135" t="str">
        <f>VLOOKUP(A228,import!A:P,16,0)</f>
        <v>Geleneksel</v>
      </c>
      <c r="Q228" s="196"/>
      <c r="R228" s="196" t="b">
        <v>1</v>
      </c>
      <c r="S228" s="196" t="b">
        <v>0</v>
      </c>
      <c r="T228" s="197" t="s">
        <v>1165</v>
      </c>
      <c r="U228" s="197" t="s">
        <v>257</v>
      </c>
      <c r="V228" s="197" t="s">
        <v>91</v>
      </c>
      <c r="W228" s="197" t="s">
        <v>1649</v>
      </c>
      <c r="X228" s="198">
        <v>44306.0</v>
      </c>
      <c r="Y228" s="198">
        <v>44307.0</v>
      </c>
      <c r="Z228" s="199"/>
      <c r="AA228" s="199"/>
      <c r="AB228" s="199"/>
      <c r="AC228" s="199"/>
      <c r="AD228" s="199"/>
      <c r="AE228" s="105"/>
      <c r="AF228" s="199"/>
      <c r="AG228" s="105"/>
      <c r="AH228" s="199"/>
      <c r="AI228" s="199"/>
      <c r="AJ228" s="199"/>
      <c r="AK228" s="199"/>
      <c r="AL228" s="199"/>
      <c r="AM228" s="199"/>
      <c r="AN228" s="199"/>
      <c r="AO228" s="199"/>
      <c r="AP228" s="202" t="s">
        <v>1152</v>
      </c>
      <c r="AQ228" s="199"/>
    </row>
    <row r="229">
      <c r="A229" s="135" t="s">
        <v>1967</v>
      </c>
      <c r="B229" s="135" t="s">
        <v>1968</v>
      </c>
      <c r="C229" s="135" t="str">
        <f>VLOOKUP(A229,import!A:C,3,0)</f>
        <v>YANLIŞ</v>
      </c>
      <c r="D229" s="135" t="s">
        <v>1162</v>
      </c>
      <c r="E229" s="194">
        <f>VLOOKUP(A229,import!A:AA,5,0)</f>
        <v>119</v>
      </c>
      <c r="F229" s="194" t="str">
        <f>VLOOKUP(A229,import!A:AA,6,0)</f>
        <v/>
      </c>
      <c r="G229" s="135">
        <f>VLOOKUP(A229,import!A:AA,7,0)</f>
        <v>0</v>
      </c>
      <c r="H229" s="135">
        <f>VLOOKUP(A229,import!A:AA,8,0)</f>
        <v>9</v>
      </c>
      <c r="I229" s="135">
        <f>VLOOKUP(A229,import!A:AA,9,0)</f>
        <v>9</v>
      </c>
      <c r="J229" s="195">
        <f>VLOOKUP(A229,import!A:AA,10,0)</f>
        <v>0</v>
      </c>
      <c r="K229" s="135" t="s">
        <v>1969</v>
      </c>
      <c r="L229" s="135">
        <v>5.337900085E9</v>
      </c>
      <c r="M229" s="135" t="s">
        <v>1172</v>
      </c>
      <c r="N229" s="135" t="s">
        <v>1859</v>
      </c>
      <c r="O229" s="135" t="s">
        <v>1970</v>
      </c>
      <c r="P229" s="135" t="str">
        <f>VLOOKUP(A229,import!A:P,16,0)</f>
        <v>Geleneksel</v>
      </c>
      <c r="Q229" s="196"/>
      <c r="R229" s="196" t="b">
        <v>1</v>
      </c>
      <c r="S229" s="196" t="b">
        <v>0</v>
      </c>
      <c r="T229" s="197" t="s">
        <v>1253</v>
      </c>
      <c r="U229" s="197"/>
      <c r="V229" s="197"/>
      <c r="W229" s="197" t="s">
        <v>1971</v>
      </c>
      <c r="X229" s="198"/>
      <c r="Y229" s="198"/>
      <c r="Z229" s="199"/>
      <c r="AA229" s="200" t="s">
        <v>1254</v>
      </c>
      <c r="AB229" s="201">
        <v>44363.0</v>
      </c>
      <c r="AC229" s="200" t="s">
        <v>1253</v>
      </c>
      <c r="AD229" s="201">
        <v>44363.0</v>
      </c>
      <c r="AE229" s="200" t="s">
        <v>1253</v>
      </c>
      <c r="AF229" s="201">
        <v>44371.0</v>
      </c>
      <c r="AG229" s="200" t="s">
        <v>1202</v>
      </c>
      <c r="AH229" s="201">
        <v>44404.0</v>
      </c>
      <c r="AI229" s="199"/>
      <c r="AJ229" s="199"/>
      <c r="AK229" s="200" t="s">
        <v>189</v>
      </c>
      <c r="AL229" s="200" t="s">
        <v>1204</v>
      </c>
      <c r="AM229" s="200" t="s">
        <v>1204</v>
      </c>
      <c r="AN229" s="200" t="s">
        <v>189</v>
      </c>
      <c r="AO229" s="199"/>
      <c r="AP229" s="202" t="s">
        <v>1152</v>
      </c>
      <c r="AQ229" s="199"/>
    </row>
    <row r="230">
      <c r="A230" s="135" t="s">
        <v>944</v>
      </c>
      <c r="B230" s="135" t="s">
        <v>945</v>
      </c>
      <c r="C230" s="135" t="str">
        <f>VLOOKUP(A230,import!A:C,3,0)</f>
        <v>YANLIŞ</v>
      </c>
      <c r="D230" s="135" t="s">
        <v>1188</v>
      </c>
      <c r="E230" s="194">
        <f>VLOOKUP(A230,import!A:AA,5,0)</f>
        <v>99</v>
      </c>
      <c r="F230" s="194" t="str">
        <f>VLOOKUP(A230,import!A:AA,6,0)</f>
        <v/>
      </c>
      <c r="G230" s="135">
        <f>VLOOKUP(A230,import!A:AA,7,0)</f>
        <v>15</v>
      </c>
      <c r="H230" s="135">
        <f>VLOOKUP(A230,import!A:AA,8,0)</f>
        <v>10</v>
      </c>
      <c r="I230" s="135">
        <f>VLOOKUP(A230,import!A:AA,9,0)</f>
        <v>25</v>
      </c>
      <c r="J230" s="195">
        <f>VLOOKUP(A230,import!A:AA,10,0)</f>
        <v>0.6</v>
      </c>
      <c r="K230" s="135" t="s">
        <v>1972</v>
      </c>
      <c r="L230" s="135">
        <v>5.375433785E9</v>
      </c>
      <c r="M230" s="135" t="s">
        <v>1348</v>
      </c>
      <c r="N230" s="135" t="s">
        <v>1973</v>
      </c>
      <c r="O230" s="135" t="s">
        <v>947</v>
      </c>
      <c r="P230" s="135" t="str">
        <f>VLOOKUP(A230,import!A:P,16,0)</f>
        <v>Geleneksel</v>
      </c>
      <c r="Q230" s="196"/>
      <c r="R230" s="196" t="b">
        <v>1</v>
      </c>
      <c r="S230" s="196" t="b">
        <v>0</v>
      </c>
      <c r="T230" s="197" t="s">
        <v>1165</v>
      </c>
      <c r="U230" s="197" t="s">
        <v>941</v>
      </c>
      <c r="V230" s="207" t="s">
        <v>940</v>
      </c>
      <c r="W230" s="197"/>
      <c r="X230" s="198">
        <v>44606.0</v>
      </c>
      <c r="Y230" s="198">
        <v>44608.0</v>
      </c>
      <c r="Z230" s="199"/>
      <c r="AA230" s="200" t="s">
        <v>1151</v>
      </c>
      <c r="AB230" s="201">
        <v>44603.0</v>
      </c>
      <c r="AC230" s="200" t="s">
        <v>1151</v>
      </c>
      <c r="AD230" s="201">
        <v>44606.0</v>
      </c>
      <c r="AE230" s="105"/>
      <c r="AF230" s="199"/>
      <c r="AG230" s="105"/>
      <c r="AH230" s="199"/>
      <c r="AI230" s="199"/>
      <c r="AJ230" s="199"/>
      <c r="AK230" s="200" t="s">
        <v>941</v>
      </c>
      <c r="AL230" s="200" t="s">
        <v>941</v>
      </c>
      <c r="AM230" s="199"/>
      <c r="AN230" s="199"/>
      <c r="AO230" s="199"/>
      <c r="AP230" s="202" t="s">
        <v>1152</v>
      </c>
      <c r="AQ230" s="199"/>
    </row>
    <row r="231">
      <c r="A231" s="202" t="s">
        <v>1974</v>
      </c>
      <c r="B231" s="202" t="s">
        <v>1975</v>
      </c>
      <c r="C231" s="135" t="str">
        <f>VLOOKUP(A231,import!A:C,3,0)</f>
        <v>DOĞRU</v>
      </c>
      <c r="D231" s="202" t="s">
        <v>1170</v>
      </c>
      <c r="E231" s="194">
        <f>VLOOKUP(A231,import!A:AA,5,0)</f>
        <v>41</v>
      </c>
      <c r="F231" s="194">
        <f>VLOOKUP(A231,import!A:AA,6,0)</f>
        <v>31</v>
      </c>
      <c r="G231" s="135">
        <f>VLOOKUP(A231,import!A:AA,7,0)</f>
        <v>0</v>
      </c>
      <c r="H231" s="135">
        <f>VLOOKUP(A231,import!A:AA,8,0)</f>
        <v>14</v>
      </c>
      <c r="I231" s="135">
        <f>VLOOKUP(A231,import!A:AA,9,0)</f>
        <v>14</v>
      </c>
      <c r="J231" s="195">
        <f>VLOOKUP(A231,import!A:AA,10,0)</f>
        <v>0</v>
      </c>
      <c r="K231" s="202" t="s">
        <v>1976</v>
      </c>
      <c r="L231" s="202">
        <v>2.642777222E9</v>
      </c>
      <c r="M231" s="202" t="s">
        <v>1147</v>
      </c>
      <c r="N231" s="202" t="s">
        <v>1164</v>
      </c>
      <c r="O231" s="202" t="s">
        <v>1977</v>
      </c>
      <c r="P231" s="135" t="str">
        <f>VLOOKUP(A231,import!A:P,16,0)</f>
        <v>Geleneksel</v>
      </c>
      <c r="Q231" s="196"/>
      <c r="R231" s="196" t="b">
        <v>0</v>
      </c>
      <c r="S231" s="196" t="b">
        <v>0</v>
      </c>
      <c r="T231" s="197"/>
      <c r="U231" s="197"/>
      <c r="V231" s="197"/>
      <c r="W231" s="197"/>
      <c r="X231" s="198"/>
      <c r="Y231" s="198"/>
      <c r="Z231" s="199"/>
      <c r="AA231" s="200"/>
      <c r="AB231" s="201"/>
      <c r="AC231" s="199"/>
      <c r="AD231" s="199"/>
      <c r="AE231" s="105"/>
      <c r="AF231" s="199"/>
      <c r="AG231" s="105"/>
      <c r="AH231" s="199"/>
      <c r="AI231" s="199"/>
      <c r="AJ231" s="199"/>
      <c r="AK231" s="200"/>
      <c r="AL231" s="199"/>
      <c r="AM231" s="199"/>
      <c r="AN231" s="199"/>
      <c r="AO231" s="199"/>
      <c r="AP231" s="202"/>
      <c r="AQ231" s="199"/>
    </row>
    <row r="232">
      <c r="A232" s="135" t="s">
        <v>1089</v>
      </c>
      <c r="B232" s="135" t="s">
        <v>1090</v>
      </c>
      <c r="C232" s="135" t="str">
        <f>VLOOKUP(A232,import!A:C,3,0)</f>
        <v>DOĞRU</v>
      </c>
      <c r="D232" s="135" t="s">
        <v>1182</v>
      </c>
      <c r="E232" s="194">
        <f>VLOOKUP(A232,import!A:AA,5,0)</f>
        <v>50</v>
      </c>
      <c r="F232" s="194">
        <f>VLOOKUP(A232,import!A:AA,6,0)</f>
        <v>6</v>
      </c>
      <c r="G232" s="135">
        <f>VLOOKUP(A232,import!A:AA,7,0)</f>
        <v>0</v>
      </c>
      <c r="H232" s="135">
        <f>VLOOKUP(A232,import!A:AA,8,0)</f>
        <v>21</v>
      </c>
      <c r="I232" s="135">
        <f>VLOOKUP(A232,import!A:AA,9,0)</f>
        <v>21</v>
      </c>
      <c r="J232" s="195">
        <f>VLOOKUP(A232,import!A:AA,10,0)</f>
        <v>0</v>
      </c>
      <c r="K232" s="135" t="s">
        <v>1978</v>
      </c>
      <c r="L232" s="135">
        <v>2.642728519E9</v>
      </c>
      <c r="M232" s="135" t="s">
        <v>1172</v>
      </c>
      <c r="N232" s="135" t="s">
        <v>1979</v>
      </c>
      <c r="O232" s="135" t="s">
        <v>1980</v>
      </c>
      <c r="P232" s="135" t="str">
        <f>VLOOKUP(A232,import!A:P,16,0)</f>
        <v>Geleneksel</v>
      </c>
      <c r="Q232" s="196"/>
      <c r="R232" s="196" t="b">
        <v>1</v>
      </c>
      <c r="S232" s="196" t="b">
        <v>0</v>
      </c>
      <c r="T232" s="197" t="s">
        <v>1289</v>
      </c>
      <c r="U232" s="197"/>
      <c r="V232" s="207"/>
      <c r="W232" s="197">
        <v>5.363564297E9</v>
      </c>
      <c r="X232" s="198"/>
      <c r="Y232" s="198"/>
      <c r="Z232" s="199"/>
      <c r="AA232" s="200" t="s">
        <v>1151</v>
      </c>
      <c r="AB232" s="201">
        <v>44621.0</v>
      </c>
      <c r="AC232" s="199"/>
      <c r="AD232" s="199"/>
      <c r="AE232" s="105"/>
      <c r="AF232" s="199"/>
      <c r="AG232" s="105"/>
      <c r="AH232" s="199"/>
      <c r="AI232" s="199"/>
      <c r="AJ232" s="199"/>
      <c r="AK232" s="200" t="s">
        <v>1024</v>
      </c>
      <c r="AL232" s="199"/>
      <c r="AM232" s="199"/>
      <c r="AN232" s="199"/>
      <c r="AO232" s="199"/>
      <c r="AP232" s="202"/>
      <c r="AQ232" s="199"/>
    </row>
    <row r="233">
      <c r="A233" s="135" t="s">
        <v>1981</v>
      </c>
      <c r="B233" s="135" t="s">
        <v>1982</v>
      </c>
      <c r="C233" s="135" t="str">
        <f>VLOOKUP(A233,import!A:C,3,0)</f>
        <v>DOĞRU</v>
      </c>
      <c r="D233" s="135" t="s">
        <v>1302</v>
      </c>
      <c r="E233" s="194">
        <f>VLOOKUP(A233,import!A:AA,5,0)</f>
        <v>216</v>
      </c>
      <c r="F233" s="194">
        <f>VLOOKUP(A233,import!A:AA,6,0)</f>
        <v>28</v>
      </c>
      <c r="G233" s="135">
        <f>VLOOKUP(A233,import!A:AA,7,0)</f>
        <v>0</v>
      </c>
      <c r="H233" s="135">
        <f>VLOOKUP(A233,import!A:AA,8,0)</f>
        <v>6</v>
      </c>
      <c r="I233" s="135">
        <f>VLOOKUP(A233,import!A:AA,9,0)</f>
        <v>6</v>
      </c>
      <c r="J233" s="195">
        <f>VLOOKUP(A233,import!A:AA,10,0)</f>
        <v>0</v>
      </c>
      <c r="K233" s="135" t="s">
        <v>1983</v>
      </c>
      <c r="L233" s="135">
        <v>5.541645413E9</v>
      </c>
      <c r="M233" s="135" t="s">
        <v>1172</v>
      </c>
      <c r="N233" s="135" t="s">
        <v>1405</v>
      </c>
      <c r="O233" s="135" t="s">
        <v>1984</v>
      </c>
      <c r="P233" s="135" t="str">
        <f>VLOOKUP(A233,import!A:P,16,0)</f>
        <v>Geleneksel</v>
      </c>
      <c r="Q233" s="196"/>
      <c r="R233" s="196" t="b">
        <v>1</v>
      </c>
      <c r="S233" s="196" t="b">
        <v>0</v>
      </c>
      <c r="T233" s="197" t="s">
        <v>1289</v>
      </c>
      <c r="U233" s="197"/>
      <c r="V233" s="197"/>
      <c r="W233" s="197" t="s">
        <v>1985</v>
      </c>
      <c r="X233" s="198"/>
      <c r="Y233" s="198"/>
      <c r="Z233" s="199"/>
      <c r="AA233" s="200" t="s">
        <v>1254</v>
      </c>
      <c r="AB233" s="201">
        <v>44621.0</v>
      </c>
      <c r="AC233" s="199"/>
      <c r="AD233" s="199"/>
      <c r="AE233" s="105"/>
      <c r="AF233" s="199"/>
      <c r="AG233" s="105"/>
      <c r="AH233" s="199"/>
      <c r="AI233" s="199"/>
      <c r="AJ233" s="199"/>
      <c r="AK233" s="200" t="s">
        <v>1024</v>
      </c>
      <c r="AL233" s="199"/>
      <c r="AM233" s="199"/>
      <c r="AN233" s="199"/>
      <c r="AO233" s="199"/>
      <c r="AP233" s="202"/>
      <c r="AQ233" s="199"/>
    </row>
    <row r="234">
      <c r="A234" s="202" t="s">
        <v>1986</v>
      </c>
      <c r="B234" s="202" t="s">
        <v>1987</v>
      </c>
      <c r="C234" s="135" t="str">
        <f>VLOOKUP(A234,import!A:C,3,0)</f>
        <v>DOĞRU</v>
      </c>
      <c r="D234" s="202" t="s">
        <v>1170</v>
      </c>
      <c r="E234" s="194">
        <f>VLOOKUP(A234,import!A:AA,5,0)</f>
        <v>52</v>
      </c>
      <c r="F234" s="194">
        <f>VLOOKUP(A234,import!A:AA,6,0)</f>
        <v>32</v>
      </c>
      <c r="G234" s="135">
        <f>VLOOKUP(A234,import!A:AA,7,0)</f>
        <v>0</v>
      </c>
      <c r="H234" s="135">
        <f>VLOOKUP(A234,import!A:AA,8,0)</f>
        <v>33</v>
      </c>
      <c r="I234" s="135">
        <f>VLOOKUP(A234,import!A:AA,9,0)</f>
        <v>33</v>
      </c>
      <c r="J234" s="195">
        <f>VLOOKUP(A234,import!A:AA,10,0)</f>
        <v>0</v>
      </c>
      <c r="K234" s="202" t="s">
        <v>1988</v>
      </c>
      <c r="L234" s="202">
        <v>5.312752869E9</v>
      </c>
      <c r="M234" s="202" t="s">
        <v>1147</v>
      </c>
      <c r="N234" s="202" t="s">
        <v>1148</v>
      </c>
      <c r="O234" s="202" t="s">
        <v>1989</v>
      </c>
      <c r="P234" s="135" t="str">
        <f>VLOOKUP(A234,import!A:P,16,0)</f>
        <v>Geleneksel</v>
      </c>
      <c r="Q234" s="196"/>
      <c r="R234" s="196" t="b">
        <v>0</v>
      </c>
      <c r="S234" s="196" t="b">
        <v>0</v>
      </c>
      <c r="T234" s="197"/>
      <c r="U234" s="197"/>
      <c r="V234" s="197"/>
      <c r="W234" s="197"/>
      <c r="X234" s="198"/>
      <c r="Y234" s="198"/>
      <c r="Z234" s="199"/>
      <c r="AA234" s="200"/>
      <c r="AB234" s="201"/>
      <c r="AC234" s="199"/>
      <c r="AD234" s="199"/>
      <c r="AE234" s="105"/>
      <c r="AF234" s="199"/>
      <c r="AG234" s="105"/>
      <c r="AH234" s="199"/>
      <c r="AI234" s="199"/>
      <c r="AJ234" s="199"/>
      <c r="AK234" s="200"/>
      <c r="AL234" s="199"/>
      <c r="AM234" s="199"/>
      <c r="AN234" s="199"/>
      <c r="AO234" s="199"/>
      <c r="AP234" s="202"/>
      <c r="AQ234" s="199"/>
    </row>
    <row r="235">
      <c r="A235" s="202" t="s">
        <v>1990</v>
      </c>
      <c r="B235" s="202" t="s">
        <v>1991</v>
      </c>
      <c r="C235" s="135" t="str">
        <f>VLOOKUP(A235,import!A:C,3,0)</f>
        <v>DOĞRU</v>
      </c>
      <c r="D235" s="202" t="s">
        <v>1226</v>
      </c>
      <c r="E235" s="194">
        <f>VLOOKUP(A235,import!A:AA,5,0)</f>
        <v>15</v>
      </c>
      <c r="F235" s="194">
        <f>VLOOKUP(A235,import!A:AA,6,0)</f>
        <v>5</v>
      </c>
      <c r="G235" s="135">
        <f>VLOOKUP(A235,import!A:AA,7,0)</f>
        <v>0</v>
      </c>
      <c r="H235" s="135">
        <f>VLOOKUP(A235,import!A:AA,8,0)</f>
        <v>11</v>
      </c>
      <c r="I235" s="135">
        <f>VLOOKUP(A235,import!A:AA,9,0)</f>
        <v>11</v>
      </c>
      <c r="J235" s="195">
        <f>VLOOKUP(A235,import!A:AA,10,0)</f>
        <v>0</v>
      </c>
      <c r="K235" s="202" t="s">
        <v>1992</v>
      </c>
      <c r="L235" s="202">
        <v>2.642412954E9</v>
      </c>
      <c r="M235" s="202" t="s">
        <v>1177</v>
      </c>
      <c r="N235" s="202" t="s">
        <v>1178</v>
      </c>
      <c r="O235" s="202" t="s">
        <v>1993</v>
      </c>
      <c r="P235" s="135" t="str">
        <f>VLOOKUP(A235,import!A:P,16,0)</f>
        <v>Geleneksel</v>
      </c>
      <c r="Q235" s="196"/>
      <c r="R235" s="196" t="b">
        <v>0</v>
      </c>
      <c r="S235" s="196" t="b">
        <v>0</v>
      </c>
      <c r="T235" s="197"/>
      <c r="U235" s="197"/>
      <c r="V235" s="197"/>
      <c r="W235" s="197"/>
      <c r="X235" s="198"/>
      <c r="Y235" s="198"/>
      <c r="Z235" s="199"/>
      <c r="AA235" s="200"/>
      <c r="AB235" s="201"/>
      <c r="AC235" s="199"/>
      <c r="AD235" s="199"/>
      <c r="AE235" s="105"/>
      <c r="AF235" s="199"/>
      <c r="AG235" s="105"/>
      <c r="AH235" s="199"/>
      <c r="AI235" s="199"/>
      <c r="AJ235" s="199"/>
      <c r="AK235" s="200"/>
      <c r="AL235" s="199"/>
      <c r="AM235" s="199"/>
      <c r="AN235" s="199"/>
      <c r="AO235" s="199"/>
      <c r="AP235" s="202"/>
      <c r="AQ235" s="199"/>
    </row>
    <row r="236">
      <c r="A236" s="135" t="s">
        <v>1994</v>
      </c>
      <c r="B236" s="135" t="s">
        <v>1995</v>
      </c>
      <c r="C236" s="135" t="str">
        <f>VLOOKUP(A236,import!A:C,3,0)</f>
        <v>DOĞRU</v>
      </c>
      <c r="D236" s="135" t="s">
        <v>1302</v>
      </c>
      <c r="E236" s="194">
        <f>VLOOKUP(A236,import!A:AA,5,0)</f>
        <v>1775</v>
      </c>
      <c r="F236" s="194">
        <f>VLOOKUP(A236,import!A:AA,6,0)</f>
        <v>126</v>
      </c>
      <c r="G236" s="135">
        <f>VLOOKUP(A236,import!A:AA,7,0)</f>
        <v>0</v>
      </c>
      <c r="H236" s="135">
        <f>VLOOKUP(A236,import!A:AA,8,0)</f>
        <v>9</v>
      </c>
      <c r="I236" s="135">
        <f>VLOOKUP(A236,import!A:AA,9,0)</f>
        <v>9</v>
      </c>
      <c r="J236" s="195">
        <f>VLOOKUP(A236,import!A:AA,10,0)</f>
        <v>0</v>
      </c>
      <c r="K236" s="135" t="s">
        <v>1996</v>
      </c>
      <c r="L236" s="135">
        <v>5.412836637E9</v>
      </c>
      <c r="M236" s="135" t="s">
        <v>1147</v>
      </c>
      <c r="N236" s="135" t="s">
        <v>1164</v>
      </c>
      <c r="O236" s="135" t="s">
        <v>1997</v>
      </c>
      <c r="P236" s="135" t="str">
        <f>VLOOKUP(A236,import!A:P,16,0)</f>
        <v>Geleneksel</v>
      </c>
      <c r="Q236" s="196"/>
      <c r="R236" s="196" t="b">
        <v>1</v>
      </c>
      <c r="S236" s="196" t="b">
        <v>1</v>
      </c>
      <c r="T236" s="197"/>
      <c r="U236" s="197"/>
      <c r="V236" s="197"/>
      <c r="W236" s="197" t="s">
        <v>1998</v>
      </c>
      <c r="X236" s="198"/>
      <c r="Y236" s="198"/>
      <c r="Z236" s="199"/>
      <c r="AA236" s="200" t="s">
        <v>1202</v>
      </c>
      <c r="AB236" s="201">
        <v>44351.0</v>
      </c>
      <c r="AC236" s="200" t="s">
        <v>1151</v>
      </c>
      <c r="AD236" s="201">
        <v>44355.0</v>
      </c>
      <c r="AE236" s="200" t="s">
        <v>1202</v>
      </c>
      <c r="AF236" s="201">
        <v>44379.0</v>
      </c>
      <c r="AG236" s="200" t="s">
        <v>1202</v>
      </c>
      <c r="AH236" s="201">
        <v>44383.0</v>
      </c>
      <c r="AI236" s="200" t="s">
        <v>1202</v>
      </c>
      <c r="AJ236" s="201">
        <v>44389.0</v>
      </c>
      <c r="AK236" s="200" t="s">
        <v>257</v>
      </c>
      <c r="AL236" s="200" t="s">
        <v>257</v>
      </c>
      <c r="AM236" s="200" t="s">
        <v>257</v>
      </c>
      <c r="AN236" s="200" t="s">
        <v>189</v>
      </c>
      <c r="AO236" s="200" t="s">
        <v>1421</v>
      </c>
      <c r="AP236" s="202" t="s">
        <v>1152</v>
      </c>
      <c r="AQ236" s="200"/>
    </row>
    <row r="237">
      <c r="A237" s="202" t="s">
        <v>1999</v>
      </c>
      <c r="B237" s="202" t="s">
        <v>2000</v>
      </c>
      <c r="C237" s="135" t="str">
        <f>VLOOKUP(A237,import!A:C,3,0)</f>
        <v>DOĞRU</v>
      </c>
      <c r="D237" s="202" t="s">
        <v>1302</v>
      </c>
      <c r="E237" s="194">
        <f>VLOOKUP(A237,import!A:AA,5,0)</f>
        <v>1</v>
      </c>
      <c r="F237" s="194">
        <f>VLOOKUP(A237,import!A:AA,6,0)</f>
        <v>1</v>
      </c>
      <c r="G237" s="135">
        <f>VLOOKUP(A237,import!A:AA,7,0)</f>
        <v>0</v>
      </c>
      <c r="H237" s="135">
        <f>VLOOKUP(A237,import!A:AA,8,0)</f>
        <v>42</v>
      </c>
      <c r="I237" s="135">
        <f>VLOOKUP(A237,import!A:AA,9,0)</f>
        <v>42</v>
      </c>
      <c r="J237" s="195">
        <f>VLOOKUP(A237,import!A:AA,10,0)</f>
        <v>0</v>
      </c>
      <c r="K237" s="202" t="s">
        <v>2001</v>
      </c>
      <c r="L237" s="202">
        <v>5.333601967E9</v>
      </c>
      <c r="M237" s="202" t="s">
        <v>1242</v>
      </c>
      <c r="N237" s="202" t="s">
        <v>1243</v>
      </c>
      <c r="O237" s="202" t="s">
        <v>2002</v>
      </c>
      <c r="P237" s="135" t="str">
        <f>VLOOKUP(A237,import!A:P,16,0)</f>
        <v>Geleneksel</v>
      </c>
      <c r="Q237" s="196"/>
      <c r="R237" s="196" t="b">
        <v>0</v>
      </c>
      <c r="S237" s="196" t="b">
        <v>0</v>
      </c>
      <c r="T237" s="197"/>
      <c r="U237" s="197"/>
      <c r="V237" s="197"/>
      <c r="W237" s="197"/>
      <c r="X237" s="198"/>
      <c r="Y237" s="198"/>
      <c r="Z237" s="199"/>
      <c r="AA237" s="200"/>
      <c r="AB237" s="201"/>
      <c r="AC237" s="199"/>
      <c r="AD237" s="199"/>
      <c r="AE237" s="105"/>
      <c r="AF237" s="199"/>
      <c r="AG237" s="105"/>
      <c r="AH237" s="199"/>
      <c r="AI237" s="199"/>
      <c r="AJ237" s="199"/>
      <c r="AK237" s="200"/>
      <c r="AL237" s="199"/>
      <c r="AM237" s="199"/>
      <c r="AN237" s="199"/>
      <c r="AO237" s="199"/>
      <c r="AP237" s="202"/>
      <c r="AQ237" s="199"/>
    </row>
    <row r="238">
      <c r="A238" s="135" t="s">
        <v>2003</v>
      </c>
      <c r="B238" s="135" t="s">
        <v>2004</v>
      </c>
      <c r="C238" s="135" t="str">
        <f>VLOOKUP(A238,import!A:C,3,0)</f>
        <v>DOĞRU</v>
      </c>
      <c r="D238" s="135" t="s">
        <v>1226</v>
      </c>
      <c r="E238" s="194">
        <f>VLOOKUP(A238,import!A:AA,5,0)</f>
        <v>114</v>
      </c>
      <c r="F238" s="194" t="str">
        <f>VLOOKUP(A238,import!A:AA,6,0)</f>
        <v/>
      </c>
      <c r="G238" s="135">
        <f>VLOOKUP(A238,import!A:AA,7,0)</f>
        <v>0</v>
      </c>
      <c r="H238" s="135">
        <f>VLOOKUP(A238,import!A:AA,8,0)</f>
        <v>9</v>
      </c>
      <c r="I238" s="135">
        <f>VLOOKUP(A238,import!A:AA,9,0)</f>
        <v>9</v>
      </c>
      <c r="J238" s="195">
        <f>VLOOKUP(A238,import!A:AA,10,0)</f>
        <v>0</v>
      </c>
      <c r="K238" s="135" t="s">
        <v>1552</v>
      </c>
      <c r="L238" s="135">
        <v>5.332115721E9</v>
      </c>
      <c r="M238" s="135" t="s">
        <v>1147</v>
      </c>
      <c r="N238" s="135" t="s">
        <v>1148</v>
      </c>
      <c r="O238" s="135" t="s">
        <v>1553</v>
      </c>
      <c r="P238" s="135" t="str">
        <f>VLOOKUP(A238,import!A:P,16,0)</f>
        <v>Geleneksel</v>
      </c>
      <c r="Q238" s="196"/>
      <c r="R238" s="196" t="b">
        <v>1</v>
      </c>
      <c r="S238" s="196" t="b">
        <v>1</v>
      </c>
      <c r="T238" s="197"/>
      <c r="U238" s="197"/>
      <c r="V238" s="197"/>
      <c r="W238" s="197" t="s">
        <v>2005</v>
      </c>
      <c r="X238" s="206"/>
      <c r="Y238" s="206"/>
      <c r="Z238" s="199"/>
      <c r="AA238" s="200" t="s">
        <v>1254</v>
      </c>
      <c r="AB238" s="201">
        <v>44358.0</v>
      </c>
      <c r="AC238" s="200" t="s">
        <v>1151</v>
      </c>
      <c r="AD238" s="201">
        <v>44362.0</v>
      </c>
      <c r="AE238" s="200" t="s">
        <v>1202</v>
      </c>
      <c r="AF238" s="201">
        <v>44379.0</v>
      </c>
      <c r="AG238" s="200" t="s">
        <v>1151</v>
      </c>
      <c r="AH238" s="201">
        <v>44405.0</v>
      </c>
      <c r="AI238" s="199"/>
      <c r="AJ238" s="199"/>
      <c r="AK238" s="200" t="s">
        <v>1278</v>
      </c>
      <c r="AL238" s="200" t="s">
        <v>1278</v>
      </c>
      <c r="AM238" s="200" t="s">
        <v>257</v>
      </c>
      <c r="AN238" s="200" t="s">
        <v>1255</v>
      </c>
      <c r="AO238" s="199"/>
      <c r="AP238" s="202" t="s">
        <v>1152</v>
      </c>
      <c r="AQ238" s="199"/>
    </row>
    <row r="239">
      <c r="A239" s="202" t="s">
        <v>2006</v>
      </c>
      <c r="B239" s="202" t="s">
        <v>2007</v>
      </c>
      <c r="C239" s="135" t="str">
        <f>VLOOKUP(A239,import!A:C,3,0)</f>
        <v>DOĞRU</v>
      </c>
      <c r="D239" s="202" t="s">
        <v>1281</v>
      </c>
      <c r="E239" s="194">
        <f>VLOOKUP(A239,import!A:AA,5,0)</f>
        <v>141</v>
      </c>
      <c r="F239" s="194">
        <f>VLOOKUP(A239,import!A:AA,6,0)</f>
        <v>111</v>
      </c>
      <c r="G239" s="135">
        <f>VLOOKUP(A239,import!A:AA,7,0)</f>
        <v>0</v>
      </c>
      <c r="H239" s="135">
        <f>VLOOKUP(A239,import!A:AA,8,0)</f>
        <v>21</v>
      </c>
      <c r="I239" s="135">
        <f>VLOOKUP(A239,import!A:AA,9,0)</f>
        <v>21</v>
      </c>
      <c r="J239" s="195">
        <f>VLOOKUP(A239,import!A:AA,10,0)</f>
        <v>0</v>
      </c>
      <c r="K239" s="202" t="s">
        <v>2008</v>
      </c>
      <c r="L239" s="202">
        <v>5.368194321E9</v>
      </c>
      <c r="M239" s="202" t="s">
        <v>1147</v>
      </c>
      <c r="N239" s="202" t="s">
        <v>1200</v>
      </c>
      <c r="O239" s="202" t="s">
        <v>68</v>
      </c>
      <c r="P239" s="135" t="str">
        <f>VLOOKUP(A239,import!A:P,16,0)</f>
        <v>Geleneksel</v>
      </c>
      <c r="Q239" s="196"/>
      <c r="R239" s="196" t="b">
        <v>0</v>
      </c>
      <c r="S239" s="196" t="b">
        <v>0</v>
      </c>
      <c r="T239" s="197"/>
      <c r="U239" s="197"/>
      <c r="V239" s="197"/>
      <c r="W239" s="197"/>
      <c r="X239" s="198"/>
      <c r="Y239" s="198"/>
      <c r="Z239" s="199"/>
      <c r="AA239" s="200"/>
      <c r="AB239" s="201"/>
      <c r="AC239" s="199"/>
      <c r="AD239" s="199"/>
      <c r="AE239" s="105"/>
      <c r="AF239" s="199"/>
      <c r="AG239" s="105"/>
      <c r="AH239" s="199"/>
      <c r="AI239" s="199"/>
      <c r="AJ239" s="199"/>
      <c r="AK239" s="200"/>
      <c r="AL239" s="199"/>
      <c r="AM239" s="199"/>
      <c r="AN239" s="199"/>
      <c r="AO239" s="199"/>
      <c r="AP239" s="202"/>
      <c r="AQ239" s="199"/>
    </row>
    <row r="240">
      <c r="A240" s="135" t="s">
        <v>761</v>
      </c>
      <c r="B240" s="135" t="s">
        <v>762</v>
      </c>
      <c r="C240" s="135" t="str">
        <f>VLOOKUP(A240,import!A:C,3,0)</f>
        <v>DOĞRU</v>
      </c>
      <c r="D240" s="135" t="s">
        <v>1155</v>
      </c>
      <c r="E240" s="194">
        <f>VLOOKUP(A240,import!A:AA,5,0)</f>
        <v>2585</v>
      </c>
      <c r="F240" s="194">
        <f>VLOOKUP(A240,import!A:AA,6,0)</f>
        <v>199</v>
      </c>
      <c r="G240" s="135">
        <f>VLOOKUP(A240,import!A:AA,7,0)</f>
        <v>31</v>
      </c>
      <c r="H240" s="135">
        <f>VLOOKUP(A240,import!A:AA,8,0)</f>
        <v>25</v>
      </c>
      <c r="I240" s="135">
        <f>VLOOKUP(A240,import!A:AA,9,0)</f>
        <v>56</v>
      </c>
      <c r="J240" s="195">
        <f>VLOOKUP(A240,import!A:AA,10,0)</f>
        <v>0.55</v>
      </c>
      <c r="K240" s="135" t="s">
        <v>2009</v>
      </c>
      <c r="L240" s="135">
        <v>2.642722222E9</v>
      </c>
      <c r="M240" s="135" t="s">
        <v>1147</v>
      </c>
      <c r="N240" s="135" t="s">
        <v>1200</v>
      </c>
      <c r="O240" s="135" t="s">
        <v>764</v>
      </c>
      <c r="P240" s="135" t="str">
        <f>VLOOKUP(A240,import!A:P,16,0)</f>
        <v>Geleneksel</v>
      </c>
      <c r="Q240" s="196"/>
      <c r="R240" s="196" t="b">
        <v>1</v>
      </c>
      <c r="S240" s="196" t="b">
        <v>0</v>
      </c>
      <c r="T240" s="197" t="s">
        <v>1165</v>
      </c>
      <c r="U240" s="197" t="s">
        <v>257</v>
      </c>
      <c r="V240" s="197" t="s">
        <v>91</v>
      </c>
      <c r="W240" s="197" t="s">
        <v>2010</v>
      </c>
      <c r="X240" s="198">
        <v>44357.0</v>
      </c>
      <c r="Y240" s="198">
        <v>44363.0</v>
      </c>
      <c r="Z240" s="199"/>
      <c r="AA240" s="200" t="s">
        <v>1151</v>
      </c>
      <c r="AB240" s="201">
        <v>44349.0</v>
      </c>
      <c r="AC240" s="200" t="s">
        <v>1254</v>
      </c>
      <c r="AD240" s="201">
        <v>44351.0</v>
      </c>
      <c r="AE240" s="200" t="s">
        <v>1151</v>
      </c>
      <c r="AF240" s="201">
        <v>44357.0</v>
      </c>
      <c r="AG240" s="105"/>
      <c r="AH240" s="199"/>
      <c r="AI240" s="199"/>
      <c r="AJ240" s="199"/>
      <c r="AK240" s="200" t="s">
        <v>1232</v>
      </c>
      <c r="AL240" s="200" t="s">
        <v>257</v>
      </c>
      <c r="AM240" s="200" t="s">
        <v>257</v>
      </c>
      <c r="AN240" s="199"/>
      <c r="AO240" s="199"/>
      <c r="AP240" s="202" t="s">
        <v>1152</v>
      </c>
      <c r="AQ240" s="199"/>
    </row>
    <row r="241">
      <c r="A241" s="135" t="s">
        <v>2011</v>
      </c>
      <c r="B241" s="135" t="s">
        <v>2012</v>
      </c>
      <c r="C241" s="135" t="str">
        <f>VLOOKUP(A241,import!A:C,3,0)</f>
        <v>DOĞRU</v>
      </c>
      <c r="D241" s="135" t="s">
        <v>1182</v>
      </c>
      <c r="E241" s="194">
        <f>VLOOKUP(A241,import!A:AA,5,0)</f>
        <v>18</v>
      </c>
      <c r="F241" s="194">
        <f>VLOOKUP(A241,import!A:AA,6,0)</f>
        <v>7</v>
      </c>
      <c r="G241" s="135">
        <f>VLOOKUP(A241,import!A:AA,7,0)</f>
        <v>0</v>
      </c>
      <c r="H241" s="135">
        <f>VLOOKUP(A241,import!A:AA,8,0)</f>
        <v>30</v>
      </c>
      <c r="I241" s="135">
        <f>VLOOKUP(A241,import!A:AA,9,0)</f>
        <v>30</v>
      </c>
      <c r="J241" s="195">
        <f>VLOOKUP(A241,import!A:AA,10,0)</f>
        <v>0</v>
      </c>
      <c r="K241" s="135" t="s">
        <v>2013</v>
      </c>
      <c r="L241" s="135">
        <v>2.647181907E9</v>
      </c>
      <c r="M241" s="135" t="s">
        <v>1242</v>
      </c>
      <c r="N241" s="135" t="s">
        <v>1283</v>
      </c>
      <c r="O241" s="135" t="s">
        <v>2014</v>
      </c>
      <c r="P241" s="135" t="str">
        <f>VLOOKUP(A241,import!A:P,16,0)</f>
        <v>Geleneksel</v>
      </c>
      <c r="Q241" s="196"/>
      <c r="R241" s="196" t="b">
        <v>0</v>
      </c>
      <c r="S241" s="196" t="b">
        <v>0</v>
      </c>
      <c r="T241" s="197"/>
      <c r="U241" s="197"/>
      <c r="V241" s="197"/>
      <c r="W241" s="197"/>
      <c r="X241" s="198"/>
      <c r="Y241" s="198"/>
      <c r="Z241" s="199"/>
      <c r="AA241" s="200"/>
      <c r="AB241" s="201"/>
      <c r="AC241" s="199"/>
      <c r="AD241" s="199"/>
      <c r="AE241" s="105"/>
      <c r="AF241" s="199"/>
      <c r="AG241" s="105"/>
      <c r="AH241" s="199"/>
      <c r="AI241" s="199"/>
      <c r="AJ241" s="199"/>
      <c r="AK241" s="200"/>
      <c r="AL241" s="199"/>
      <c r="AM241" s="199"/>
      <c r="AN241" s="199"/>
      <c r="AO241" s="199"/>
      <c r="AP241" s="202"/>
      <c r="AQ241" s="199"/>
    </row>
    <row r="242">
      <c r="A242" s="135" t="s">
        <v>2015</v>
      </c>
      <c r="B242" s="135" t="s">
        <v>2016</v>
      </c>
      <c r="C242" s="135" t="str">
        <f>VLOOKUP(A242,import!A:C,3,0)</f>
        <v>DOĞRU</v>
      </c>
      <c r="D242" s="135" t="s">
        <v>1170</v>
      </c>
      <c r="E242" s="194">
        <f>VLOOKUP(A242,import!A:AA,5,0)</f>
        <v>4908</v>
      </c>
      <c r="F242" s="194">
        <f>VLOOKUP(A242,import!A:AA,6,0)</f>
        <v>143</v>
      </c>
      <c r="G242" s="135">
        <f>VLOOKUP(A242,import!A:AA,7,0)</f>
        <v>0</v>
      </c>
      <c r="H242" s="135">
        <f>VLOOKUP(A242,import!A:AA,8,0)</f>
        <v>17</v>
      </c>
      <c r="I242" s="135">
        <f>VLOOKUP(A242,import!A:AA,9,0)</f>
        <v>17</v>
      </c>
      <c r="J242" s="195">
        <f>VLOOKUP(A242,import!A:AA,10,0)</f>
        <v>0</v>
      </c>
      <c r="K242" s="135" t="s">
        <v>2017</v>
      </c>
      <c r="L242" s="135">
        <v>2.645023003E9</v>
      </c>
      <c r="M242" s="135" t="s">
        <v>1147</v>
      </c>
      <c r="N242" s="135" t="s">
        <v>1157</v>
      </c>
      <c r="O242" s="135" t="s">
        <v>2018</v>
      </c>
      <c r="P242" s="135" t="str">
        <f>VLOOKUP(A242,import!A:P,16,0)</f>
        <v>Geleneksel</v>
      </c>
      <c r="Q242" s="196"/>
      <c r="R242" s="196" t="b">
        <v>1</v>
      </c>
      <c r="S242" s="196" t="b">
        <v>0</v>
      </c>
      <c r="T242" s="197" t="s">
        <v>1373</v>
      </c>
      <c r="U242" s="197"/>
      <c r="V242" s="197"/>
      <c r="W242" s="197"/>
      <c r="X242" s="198"/>
      <c r="Y242" s="198"/>
      <c r="Z242" s="199"/>
      <c r="AA242" s="200" t="s">
        <v>1151</v>
      </c>
      <c r="AB242" s="201">
        <v>44384.0</v>
      </c>
      <c r="AC242" s="199"/>
      <c r="AD242" s="199"/>
      <c r="AE242" s="105"/>
      <c r="AF242" s="199"/>
      <c r="AG242" s="105"/>
      <c r="AH242" s="199"/>
      <c r="AI242" s="199"/>
      <c r="AJ242" s="199"/>
      <c r="AK242" s="200" t="s">
        <v>189</v>
      </c>
      <c r="AL242" s="199"/>
      <c r="AM242" s="199"/>
      <c r="AN242" s="199"/>
      <c r="AO242" s="199"/>
      <c r="AP242" s="202" t="s">
        <v>1152</v>
      </c>
      <c r="AQ242" s="199"/>
    </row>
    <row r="243">
      <c r="A243" s="135" t="s">
        <v>2019</v>
      </c>
      <c r="B243" s="135" t="s">
        <v>2020</v>
      </c>
      <c r="C243" s="135" t="str">
        <f>VLOOKUP(A243,import!A:C,3,0)</f>
        <v>DOĞRU</v>
      </c>
      <c r="D243" s="135" t="s">
        <v>1235</v>
      </c>
      <c r="E243" s="194">
        <f>VLOOKUP(A243,import!A:AA,5,0)</f>
        <v>32</v>
      </c>
      <c r="F243" s="194">
        <f>VLOOKUP(A243,import!A:AA,6,0)</f>
        <v>16</v>
      </c>
      <c r="G243" s="135">
        <f>VLOOKUP(A243,import!A:AA,7,0)</f>
        <v>1</v>
      </c>
      <c r="H243" s="135">
        <f>VLOOKUP(A243,import!A:AA,8,0)</f>
        <v>33</v>
      </c>
      <c r="I243" s="135">
        <f>VLOOKUP(A243,import!A:AA,9,0)</f>
        <v>34</v>
      </c>
      <c r="J243" s="195">
        <f>VLOOKUP(A243,import!A:AA,10,0)</f>
        <v>0.03</v>
      </c>
      <c r="K243" s="135" t="s">
        <v>2021</v>
      </c>
      <c r="L243" s="135">
        <v>5.345853717E9</v>
      </c>
      <c r="M243" s="135" t="s">
        <v>1147</v>
      </c>
      <c r="N243" s="135" t="s">
        <v>1164</v>
      </c>
      <c r="O243" s="135" t="s">
        <v>2022</v>
      </c>
      <c r="P243" s="135" t="str">
        <f>VLOOKUP(A243,import!A:P,16,0)</f>
        <v>Geleneksel</v>
      </c>
      <c r="Q243" s="196"/>
      <c r="R243" s="196" t="b">
        <v>0</v>
      </c>
      <c r="S243" s="196" t="b">
        <v>0</v>
      </c>
      <c r="T243" s="197"/>
      <c r="U243" s="197"/>
      <c r="V243" s="197"/>
      <c r="W243" s="197"/>
      <c r="X243" s="198"/>
      <c r="Y243" s="198"/>
      <c r="Z243" s="199"/>
      <c r="AA243" s="200"/>
      <c r="AB243" s="201"/>
      <c r="AC243" s="199"/>
      <c r="AD243" s="199"/>
      <c r="AE243" s="105"/>
      <c r="AF243" s="199"/>
      <c r="AG243" s="105"/>
      <c r="AH243" s="199"/>
      <c r="AI243" s="199"/>
      <c r="AJ243" s="199"/>
      <c r="AK243" s="200"/>
      <c r="AL243" s="199"/>
      <c r="AM243" s="199"/>
      <c r="AN243" s="199"/>
      <c r="AO243" s="199"/>
      <c r="AP243" s="202"/>
      <c r="AQ243" s="199"/>
    </row>
    <row r="244">
      <c r="A244" s="135" t="s">
        <v>2023</v>
      </c>
      <c r="B244" s="135" t="s">
        <v>2024</v>
      </c>
      <c r="C244" s="135" t="str">
        <f>VLOOKUP(A244,import!A:C,3,0)</f>
        <v>DOĞRU</v>
      </c>
      <c r="D244" s="135" t="s">
        <v>1170</v>
      </c>
      <c r="E244" s="194">
        <f>VLOOKUP(A244,import!A:AA,5,0)</f>
        <v>4</v>
      </c>
      <c r="F244" s="194" t="str">
        <f>VLOOKUP(A244,import!A:AA,6,0)</f>
        <v/>
      </c>
      <c r="G244" s="135">
        <f>VLOOKUP(A244,import!A:AA,7,0)</f>
        <v>0</v>
      </c>
      <c r="H244" s="135">
        <f>VLOOKUP(A244,import!A:AA,8,0)</f>
        <v>21</v>
      </c>
      <c r="I244" s="135">
        <f>VLOOKUP(A244,import!A:AA,9,0)</f>
        <v>21</v>
      </c>
      <c r="J244" s="195">
        <f>VLOOKUP(A244,import!A:AA,10,0)</f>
        <v>0</v>
      </c>
      <c r="K244" s="135" t="s">
        <v>2025</v>
      </c>
      <c r="L244" s="135">
        <v>5.373090202E9</v>
      </c>
      <c r="M244" s="135" t="s">
        <v>1147</v>
      </c>
      <c r="N244" s="135" t="s">
        <v>1200</v>
      </c>
      <c r="O244" s="135" t="s">
        <v>2026</v>
      </c>
      <c r="P244" s="135" t="str">
        <f>VLOOKUP(A244,import!A:P,16,0)</f>
        <v>Geleneksel</v>
      </c>
      <c r="Q244" s="196"/>
      <c r="R244" s="196" t="b">
        <v>0</v>
      </c>
      <c r="S244" s="196" t="b">
        <v>0</v>
      </c>
      <c r="T244" s="197"/>
      <c r="U244" s="197"/>
      <c r="V244" s="197"/>
      <c r="W244" s="197"/>
      <c r="X244" s="198"/>
      <c r="Y244" s="198"/>
      <c r="Z244" s="199"/>
      <c r="AA244" s="200"/>
      <c r="AB244" s="201"/>
      <c r="AC244" s="199"/>
      <c r="AD244" s="199"/>
      <c r="AE244" s="105"/>
      <c r="AF244" s="199"/>
      <c r="AG244" s="105"/>
      <c r="AH244" s="199"/>
      <c r="AI244" s="199"/>
      <c r="AJ244" s="199"/>
      <c r="AK244" s="200"/>
      <c r="AL244" s="199"/>
      <c r="AM244" s="199"/>
      <c r="AN244" s="199"/>
      <c r="AO244" s="199"/>
      <c r="AP244" s="202"/>
      <c r="AQ244" s="199"/>
    </row>
    <row r="245">
      <c r="A245" s="135" t="s">
        <v>650</v>
      </c>
      <c r="B245" s="135" t="s">
        <v>651</v>
      </c>
      <c r="C245" s="135" t="str">
        <f>VLOOKUP(A245,import!A:C,3,0)</f>
        <v>YANLIŞ</v>
      </c>
      <c r="D245" s="135" t="s">
        <v>1302</v>
      </c>
      <c r="E245" s="194">
        <f>VLOOKUP(A245,import!A:AA,5,0)</f>
        <v>110</v>
      </c>
      <c r="F245" s="194" t="str">
        <f>VLOOKUP(A245,import!A:AA,6,0)</f>
        <v/>
      </c>
      <c r="G245" s="135">
        <f>VLOOKUP(A245,import!A:AA,7,0)</f>
        <v>4</v>
      </c>
      <c r="H245" s="135">
        <f>VLOOKUP(A245,import!A:AA,8,0)</f>
        <v>1</v>
      </c>
      <c r="I245" s="135">
        <f>VLOOKUP(A245,import!A:AA,9,0)</f>
        <v>5</v>
      </c>
      <c r="J245" s="195">
        <f>VLOOKUP(A245,import!A:AA,10,0)</f>
        <v>0.8</v>
      </c>
      <c r="K245" s="135" t="s">
        <v>2027</v>
      </c>
      <c r="L245" s="135">
        <v>5.524700114E9</v>
      </c>
      <c r="M245" s="135" t="s">
        <v>1318</v>
      </c>
      <c r="N245" s="135" t="s">
        <v>1533</v>
      </c>
      <c r="O245" s="135" t="s">
        <v>654</v>
      </c>
      <c r="P245" s="135" t="str">
        <f>VLOOKUP(A245,import!A:P,16,0)</f>
        <v>Geleneksel</v>
      </c>
      <c r="Q245" s="196"/>
      <c r="R245" s="196" t="b">
        <v>1</v>
      </c>
      <c r="S245" s="196" t="b">
        <v>0</v>
      </c>
      <c r="T245" s="219" t="s">
        <v>2028</v>
      </c>
      <c r="U245" s="197" t="s">
        <v>189</v>
      </c>
      <c r="V245" s="197" t="s">
        <v>91</v>
      </c>
      <c r="W245" s="197" t="s">
        <v>2029</v>
      </c>
      <c r="X245" s="198">
        <v>44348.0</v>
      </c>
      <c r="Y245" s="198">
        <v>44350.0</v>
      </c>
      <c r="Z245" s="199"/>
      <c r="AA245" s="200" t="s">
        <v>1202</v>
      </c>
      <c r="AB245" s="201">
        <v>44348.0</v>
      </c>
      <c r="AC245" s="200" t="s">
        <v>1151</v>
      </c>
      <c r="AD245" s="201">
        <v>44383.0</v>
      </c>
      <c r="AE245" s="105"/>
      <c r="AF245" s="199"/>
      <c r="AG245" s="105"/>
      <c r="AH245" s="199"/>
      <c r="AI245" s="199"/>
      <c r="AJ245" s="199"/>
      <c r="AK245" s="200" t="s">
        <v>1232</v>
      </c>
      <c r="AL245" s="200" t="s">
        <v>1232</v>
      </c>
      <c r="AM245" s="200" t="s">
        <v>189</v>
      </c>
      <c r="AN245" s="199"/>
      <c r="AO245" s="199"/>
      <c r="AP245" s="202" t="s">
        <v>1152</v>
      </c>
      <c r="AQ245" s="199"/>
    </row>
    <row r="246">
      <c r="A246" s="135" t="s">
        <v>2030</v>
      </c>
      <c r="B246" s="135" t="s">
        <v>2031</v>
      </c>
      <c r="C246" s="135" t="str">
        <f>VLOOKUP(A246,import!A:C,3,0)</f>
        <v>DOĞRU</v>
      </c>
      <c r="D246" s="135" t="s">
        <v>1170</v>
      </c>
      <c r="E246" s="194">
        <f>VLOOKUP(A246,import!A:AA,5,0)</f>
        <v>10</v>
      </c>
      <c r="F246" s="194" t="str">
        <f>VLOOKUP(A246,import!A:AA,6,0)</f>
        <v/>
      </c>
      <c r="G246" s="135">
        <f>VLOOKUP(A246,import!A:AA,7,0)</f>
        <v>0</v>
      </c>
      <c r="H246" s="135">
        <f>VLOOKUP(A246,import!A:AA,8,0)</f>
        <v>28</v>
      </c>
      <c r="I246" s="135">
        <f>VLOOKUP(A246,import!A:AA,9,0)</f>
        <v>28</v>
      </c>
      <c r="J246" s="195">
        <f>VLOOKUP(A246,import!A:AA,10,0)</f>
        <v>0</v>
      </c>
      <c r="K246" s="135" t="s">
        <v>2032</v>
      </c>
      <c r="L246" s="135">
        <v>5.335601747E9</v>
      </c>
      <c r="M246" s="135" t="s">
        <v>1242</v>
      </c>
      <c r="N246" s="135" t="s">
        <v>1397</v>
      </c>
      <c r="O246" s="135" t="s">
        <v>2033</v>
      </c>
      <c r="P246" s="135" t="str">
        <f>VLOOKUP(A246,import!A:P,16,0)</f>
        <v>Geleneksel</v>
      </c>
      <c r="Q246" s="196"/>
      <c r="R246" s="196" t="b">
        <v>0</v>
      </c>
      <c r="S246" s="196" t="b">
        <v>0</v>
      </c>
      <c r="T246" s="197"/>
      <c r="U246" s="204"/>
      <c r="V246" s="204"/>
      <c r="W246" s="204"/>
      <c r="X246" s="206"/>
      <c r="Y246" s="206"/>
      <c r="Z246" s="199"/>
      <c r="AA246" s="199"/>
      <c r="AB246" s="199"/>
      <c r="AC246" s="199"/>
      <c r="AD246" s="199"/>
      <c r="AE246" s="105"/>
      <c r="AF246" s="199"/>
      <c r="AG246" s="105"/>
      <c r="AH246" s="199"/>
      <c r="AI246" s="199"/>
      <c r="AJ246" s="199"/>
      <c r="AK246" s="199"/>
      <c r="AL246" s="199"/>
      <c r="AM246" s="199"/>
      <c r="AN246" s="199"/>
      <c r="AO246" s="199"/>
      <c r="AP246" s="202" t="s">
        <v>1152</v>
      </c>
      <c r="AQ246" s="199"/>
    </row>
    <row r="247">
      <c r="A247" s="135" t="s">
        <v>2034</v>
      </c>
      <c r="B247" s="135" t="s">
        <v>2035</v>
      </c>
      <c r="C247" s="135" t="str">
        <f>VLOOKUP(A247,import!A:C,3,0)</f>
        <v>YANLIŞ</v>
      </c>
      <c r="D247" s="135" t="s">
        <v>1302</v>
      </c>
      <c r="E247" s="194" t="str">
        <f>VLOOKUP(A247,import!A:AA,5,0)</f>
        <v/>
      </c>
      <c r="F247" s="194" t="str">
        <f>VLOOKUP(A247,import!A:AA,6,0)</f>
        <v/>
      </c>
      <c r="G247" s="135">
        <f>VLOOKUP(A247,import!A:AA,7,0)</f>
        <v>0</v>
      </c>
      <c r="H247" s="135">
        <f>VLOOKUP(A247,import!A:AA,8,0)</f>
        <v>36</v>
      </c>
      <c r="I247" s="135">
        <f>VLOOKUP(A247,import!A:AA,9,0)</f>
        <v>36</v>
      </c>
      <c r="J247" s="195">
        <f>VLOOKUP(A247,import!A:AA,10,0)</f>
        <v>0</v>
      </c>
      <c r="K247" s="135" t="s">
        <v>2036</v>
      </c>
      <c r="L247" s="135">
        <v>5.433299137E9</v>
      </c>
      <c r="M247" s="135" t="s">
        <v>1147</v>
      </c>
      <c r="N247" s="135" t="s">
        <v>1148</v>
      </c>
      <c r="O247" s="135" t="s">
        <v>2037</v>
      </c>
      <c r="P247" s="135" t="str">
        <f>VLOOKUP(A247,import!A:P,16,0)</f>
        <v>Geleneksel</v>
      </c>
      <c r="Q247" s="196"/>
      <c r="R247" s="196" t="b">
        <v>1</v>
      </c>
      <c r="S247" s="196" t="b">
        <v>0</v>
      </c>
      <c r="T247" s="197" t="s">
        <v>1275</v>
      </c>
      <c r="U247" s="204"/>
      <c r="V247" s="204"/>
      <c r="W247" s="197" t="s">
        <v>2038</v>
      </c>
      <c r="X247" s="206"/>
      <c r="Y247" s="206"/>
      <c r="Z247" s="199"/>
      <c r="AA247" s="200" t="s">
        <v>1202</v>
      </c>
      <c r="AB247" s="201">
        <v>44358.0</v>
      </c>
      <c r="AC247" s="200" t="s">
        <v>1202</v>
      </c>
      <c r="AD247" s="201">
        <v>44376.0</v>
      </c>
      <c r="AE247" s="200" t="s">
        <v>1151</v>
      </c>
      <c r="AF247" s="201">
        <v>44378.0</v>
      </c>
      <c r="AG247" s="105"/>
      <c r="AH247" s="199"/>
      <c r="AI247" s="199"/>
      <c r="AJ247" s="199"/>
      <c r="AK247" s="200" t="s">
        <v>1167</v>
      </c>
      <c r="AL247" s="200" t="s">
        <v>1518</v>
      </c>
      <c r="AM247" s="200" t="s">
        <v>1232</v>
      </c>
      <c r="AN247" s="199"/>
      <c r="AO247" s="199"/>
      <c r="AP247" s="202" t="s">
        <v>1152</v>
      </c>
      <c r="AQ247" s="199"/>
    </row>
    <row r="248">
      <c r="A248" s="135" t="s">
        <v>790</v>
      </c>
      <c r="B248" s="135" t="s">
        <v>791</v>
      </c>
      <c r="C248" s="135" t="str">
        <f>VLOOKUP(A248,import!A:C,3,0)</f>
        <v>YANLIŞ</v>
      </c>
      <c r="D248" s="135" t="s">
        <v>1145</v>
      </c>
      <c r="E248" s="194" t="str">
        <f>VLOOKUP(A248,import!A:AA,5,0)</f>
        <v/>
      </c>
      <c r="F248" s="194" t="str">
        <f>VLOOKUP(A248,import!A:AA,6,0)</f>
        <v/>
      </c>
      <c r="G248" s="135">
        <f>VLOOKUP(A248,import!A:AA,7,0)</f>
        <v>3</v>
      </c>
      <c r="H248" s="135">
        <f>VLOOKUP(A248,import!A:AA,8,0)</f>
        <v>4</v>
      </c>
      <c r="I248" s="135">
        <f>VLOOKUP(A248,import!A:AA,9,0)</f>
        <v>7</v>
      </c>
      <c r="J248" s="195">
        <f>VLOOKUP(A248,import!A:AA,10,0)</f>
        <v>0.43</v>
      </c>
      <c r="K248" s="135" t="s">
        <v>2039</v>
      </c>
      <c r="L248" s="135">
        <v>5.548213251E9</v>
      </c>
      <c r="M248" s="135" t="s">
        <v>1172</v>
      </c>
      <c r="N248" s="135" t="s">
        <v>1379</v>
      </c>
      <c r="O248" s="135" t="s">
        <v>773</v>
      </c>
      <c r="P248" s="135" t="str">
        <f>VLOOKUP(A248,import!A:P,16,0)</f>
        <v>Geleneksel</v>
      </c>
      <c r="Q248" s="196"/>
      <c r="R248" s="196" t="b">
        <v>1</v>
      </c>
      <c r="S248" s="196" t="b">
        <v>0</v>
      </c>
      <c r="T248" s="197" t="s">
        <v>1165</v>
      </c>
      <c r="U248" s="197" t="s">
        <v>1204</v>
      </c>
      <c r="V248" s="197" t="s">
        <v>91</v>
      </c>
      <c r="W248" s="197" t="s">
        <v>2040</v>
      </c>
      <c r="X248" s="198">
        <v>44362.0</v>
      </c>
      <c r="Y248" s="198">
        <v>44365.0</v>
      </c>
      <c r="Z248" s="199"/>
      <c r="AA248" s="200" t="s">
        <v>1151</v>
      </c>
      <c r="AB248" s="201">
        <v>44362.0</v>
      </c>
      <c r="AC248" s="199"/>
      <c r="AD248" s="199"/>
      <c r="AE248" s="105"/>
      <c r="AF248" s="199"/>
      <c r="AG248" s="105"/>
      <c r="AH248" s="199"/>
      <c r="AI248" s="199"/>
      <c r="AJ248" s="199"/>
      <c r="AK248" s="200" t="s">
        <v>1204</v>
      </c>
      <c r="AL248" s="199"/>
      <c r="AM248" s="199"/>
      <c r="AN248" s="199"/>
      <c r="AO248" s="199"/>
      <c r="AP248" s="202" t="s">
        <v>1152</v>
      </c>
      <c r="AQ248" s="199"/>
    </row>
    <row r="249">
      <c r="A249" s="135" t="s">
        <v>822</v>
      </c>
      <c r="B249" s="135" t="s">
        <v>823</v>
      </c>
      <c r="C249" s="135" t="str">
        <f>VLOOKUP(A249,import!A:C,3,0)</f>
        <v>YANLIŞ</v>
      </c>
      <c r="D249" s="135" t="s">
        <v>1155</v>
      </c>
      <c r="E249" s="194">
        <f>VLOOKUP(A249,import!A:AA,5,0)</f>
        <v>8</v>
      </c>
      <c r="F249" s="194" t="str">
        <f>VLOOKUP(A249,import!A:AA,6,0)</f>
        <v/>
      </c>
      <c r="G249" s="135">
        <f>VLOOKUP(A249,import!A:AA,7,0)</f>
        <v>5</v>
      </c>
      <c r="H249" s="135">
        <f>VLOOKUP(A249,import!A:AA,8,0)</f>
        <v>5</v>
      </c>
      <c r="I249" s="135">
        <f>VLOOKUP(A249,import!A:AA,9,0)</f>
        <v>10</v>
      </c>
      <c r="J249" s="195">
        <f>VLOOKUP(A249,import!A:AA,10,0)</f>
        <v>0.5</v>
      </c>
      <c r="K249" s="135" t="s">
        <v>2041</v>
      </c>
      <c r="L249" s="135">
        <v>5.435414648E9</v>
      </c>
      <c r="M249" s="135" t="s">
        <v>1172</v>
      </c>
      <c r="N249" s="135" t="s">
        <v>1386</v>
      </c>
      <c r="O249" s="135" t="s">
        <v>826</v>
      </c>
      <c r="P249" s="135" t="str">
        <f>VLOOKUP(A249,import!A:P,16,0)</f>
        <v>Geleneksel</v>
      </c>
      <c r="Q249" s="196"/>
      <c r="R249" s="196" t="b">
        <v>1</v>
      </c>
      <c r="S249" s="196" t="b">
        <v>0</v>
      </c>
      <c r="T249" s="197" t="s">
        <v>1165</v>
      </c>
      <c r="U249" s="197"/>
      <c r="V249" s="197"/>
      <c r="W249" s="197" t="s">
        <v>2042</v>
      </c>
      <c r="X249" s="198">
        <v>44368.0</v>
      </c>
      <c r="Y249" s="198">
        <v>44369.0</v>
      </c>
      <c r="Z249" s="199"/>
      <c r="AA249" s="200" t="s">
        <v>1254</v>
      </c>
      <c r="AB249" s="201">
        <v>44363.0</v>
      </c>
      <c r="AC249" s="200" t="s">
        <v>1151</v>
      </c>
      <c r="AD249" s="201">
        <v>44368.0</v>
      </c>
      <c r="AE249" s="105"/>
      <c r="AF249" s="199"/>
      <c r="AG249" s="105"/>
      <c r="AH249" s="199"/>
      <c r="AI249" s="199"/>
      <c r="AJ249" s="199"/>
      <c r="AK249" s="200" t="s">
        <v>1232</v>
      </c>
      <c r="AL249" s="200" t="s">
        <v>189</v>
      </c>
      <c r="AM249" s="199"/>
      <c r="AN249" s="199"/>
      <c r="AO249" s="199"/>
      <c r="AP249" s="202" t="s">
        <v>1152</v>
      </c>
      <c r="AQ249" s="199"/>
    </row>
    <row r="250">
      <c r="A250" s="135" t="s">
        <v>419</v>
      </c>
      <c r="B250" s="135" t="s">
        <v>420</v>
      </c>
      <c r="C250" s="135" t="str">
        <f>VLOOKUP(A250,import!A:C,3,0)</f>
        <v>DOĞRU</v>
      </c>
      <c r="D250" s="135" t="s">
        <v>1162</v>
      </c>
      <c r="E250" s="194">
        <f>VLOOKUP(A250,import!A:AA,5,0)</f>
        <v>131</v>
      </c>
      <c r="F250" s="194" t="str">
        <f>VLOOKUP(A250,import!A:AA,6,0)</f>
        <v/>
      </c>
      <c r="G250" s="135">
        <f>VLOOKUP(A250,import!A:AA,7,0)</f>
        <v>0</v>
      </c>
      <c r="H250" s="135">
        <f>VLOOKUP(A250,import!A:AA,8,0)</f>
        <v>37</v>
      </c>
      <c r="I250" s="135">
        <f>VLOOKUP(A250,import!A:AA,9,0)</f>
        <v>37</v>
      </c>
      <c r="J250" s="195">
        <f>VLOOKUP(A250,import!A:AA,10,0)</f>
        <v>0</v>
      </c>
      <c r="K250" s="135" t="s">
        <v>2043</v>
      </c>
      <c r="L250" s="135">
        <v>5.456063367E9</v>
      </c>
      <c r="M250" s="135" t="s">
        <v>1318</v>
      </c>
      <c r="N250" s="135" t="s">
        <v>1324</v>
      </c>
      <c r="O250" s="135" t="s">
        <v>422</v>
      </c>
      <c r="P250" s="135" t="str">
        <f>VLOOKUP(A250,import!A:P,16,0)</f>
        <v>Geleneksel</v>
      </c>
      <c r="Q250" s="196"/>
      <c r="R250" s="196" t="b">
        <v>1</v>
      </c>
      <c r="S250" s="196" t="b">
        <v>0</v>
      </c>
      <c r="T250" s="197" t="s">
        <v>1289</v>
      </c>
      <c r="U250" s="197"/>
      <c r="V250" s="197"/>
      <c r="W250" s="223" t="s">
        <v>2044</v>
      </c>
      <c r="X250" s="198"/>
      <c r="Y250" s="198"/>
      <c r="Z250" s="199"/>
      <c r="AA250" s="200" t="s">
        <v>1151</v>
      </c>
      <c r="AB250" s="201">
        <v>44348.0</v>
      </c>
      <c r="AC250" s="200" t="s">
        <v>1202</v>
      </c>
      <c r="AD250" s="201">
        <v>44376.0</v>
      </c>
      <c r="AE250" s="200" t="s">
        <v>1151</v>
      </c>
      <c r="AF250" s="201">
        <v>44404.0</v>
      </c>
      <c r="AG250" s="105"/>
      <c r="AH250" s="199"/>
      <c r="AI250" s="199"/>
      <c r="AJ250" s="199"/>
      <c r="AK250" s="200" t="s">
        <v>1232</v>
      </c>
      <c r="AL250" s="200" t="s">
        <v>189</v>
      </c>
      <c r="AM250" s="200" t="s">
        <v>189</v>
      </c>
      <c r="AN250" s="199"/>
      <c r="AO250" s="199"/>
      <c r="AP250" s="202" t="s">
        <v>1152</v>
      </c>
      <c r="AQ250" s="199"/>
    </row>
    <row r="251">
      <c r="A251" s="202" t="s">
        <v>2045</v>
      </c>
      <c r="B251" s="202" t="s">
        <v>2046</v>
      </c>
      <c r="C251" s="135" t="str">
        <f>VLOOKUP(A251,import!A:C,3,0)</f>
        <v>DOĞRU</v>
      </c>
      <c r="D251" s="202" t="s">
        <v>1170</v>
      </c>
      <c r="E251" s="194">
        <f>VLOOKUP(A251,import!A:AA,5,0)</f>
        <v>1</v>
      </c>
      <c r="F251" s="194">
        <f>VLOOKUP(A251,import!A:AA,6,0)</f>
        <v>1</v>
      </c>
      <c r="G251" s="135">
        <f>VLOOKUP(A251,import!A:AA,7,0)</f>
        <v>0</v>
      </c>
      <c r="H251" s="135">
        <f>VLOOKUP(A251,import!A:AA,8,0)</f>
        <v>45</v>
      </c>
      <c r="I251" s="135">
        <f>VLOOKUP(A251,import!A:AA,9,0)</f>
        <v>45</v>
      </c>
      <c r="J251" s="195">
        <f>VLOOKUP(A251,import!A:AA,10,0)</f>
        <v>0</v>
      </c>
      <c r="K251" s="202" t="s">
        <v>2047</v>
      </c>
      <c r="L251" s="202">
        <v>5.305554845E9</v>
      </c>
      <c r="M251" s="202" t="s">
        <v>1147</v>
      </c>
      <c r="N251" s="202" t="s">
        <v>1148</v>
      </c>
      <c r="O251" s="202" t="s">
        <v>2048</v>
      </c>
      <c r="P251" s="135" t="str">
        <f>VLOOKUP(A251,import!A:P,16,0)</f>
        <v>Geleneksel</v>
      </c>
      <c r="Q251" s="196"/>
      <c r="R251" s="196" t="b">
        <v>0</v>
      </c>
      <c r="S251" s="196" t="b">
        <v>0</v>
      </c>
      <c r="T251" s="197"/>
      <c r="U251" s="197"/>
      <c r="V251" s="197"/>
      <c r="W251" s="197"/>
      <c r="X251" s="198"/>
      <c r="Y251" s="198"/>
      <c r="Z251" s="199"/>
      <c r="AA251" s="200"/>
      <c r="AB251" s="201"/>
      <c r="AC251" s="199"/>
      <c r="AD251" s="199"/>
      <c r="AE251" s="105"/>
      <c r="AF251" s="199"/>
      <c r="AG251" s="105"/>
      <c r="AH251" s="199"/>
      <c r="AI251" s="199"/>
      <c r="AJ251" s="199"/>
      <c r="AK251" s="200"/>
      <c r="AL251" s="199"/>
      <c r="AM251" s="199"/>
      <c r="AN251" s="199"/>
      <c r="AO251" s="199"/>
      <c r="AP251" s="202"/>
      <c r="AQ251" s="199"/>
    </row>
    <row r="252">
      <c r="A252" s="135" t="s">
        <v>2049</v>
      </c>
      <c r="B252" s="135" t="s">
        <v>2050</v>
      </c>
      <c r="C252" s="135" t="str">
        <f>VLOOKUP(A252,import!A:C,3,0)</f>
        <v>DOĞRU</v>
      </c>
      <c r="D252" s="135" t="s">
        <v>1170</v>
      </c>
      <c r="E252" s="194">
        <f>VLOOKUP(A252,import!A:AA,5,0)</f>
        <v>482</v>
      </c>
      <c r="F252" s="194">
        <f>VLOOKUP(A252,import!A:AA,6,0)</f>
        <v>1</v>
      </c>
      <c r="G252" s="135">
        <f>VLOOKUP(A252,import!A:AA,7,0)</f>
        <v>0</v>
      </c>
      <c r="H252" s="135">
        <f>VLOOKUP(A252,import!A:AA,8,0)</f>
        <v>29</v>
      </c>
      <c r="I252" s="135">
        <f>VLOOKUP(A252,import!A:AA,9,0)</f>
        <v>29</v>
      </c>
      <c r="J252" s="195">
        <f>VLOOKUP(A252,import!A:AA,10,0)</f>
        <v>0</v>
      </c>
      <c r="K252" s="135" t="s">
        <v>2051</v>
      </c>
      <c r="L252" s="135">
        <v>5.514506415E9</v>
      </c>
      <c r="M252" s="135" t="s">
        <v>1318</v>
      </c>
      <c r="N252" s="135" t="s">
        <v>1324</v>
      </c>
      <c r="O252" s="135" t="s">
        <v>2052</v>
      </c>
      <c r="P252" s="135" t="str">
        <f>VLOOKUP(A252,import!A:P,16,0)</f>
        <v>Geleneksel</v>
      </c>
      <c r="Q252" s="196"/>
      <c r="R252" s="196" t="b">
        <v>1</v>
      </c>
      <c r="S252" s="196" t="b">
        <v>1</v>
      </c>
      <c r="T252" s="197"/>
      <c r="U252" s="197"/>
      <c r="V252" s="197"/>
      <c r="W252" s="197" t="s">
        <v>2053</v>
      </c>
      <c r="X252" s="198"/>
      <c r="Y252" s="198"/>
      <c r="Z252" s="199"/>
      <c r="AA252" s="200" t="s">
        <v>1151</v>
      </c>
      <c r="AB252" s="201">
        <v>44379.0</v>
      </c>
      <c r="AC252" s="199"/>
      <c r="AD252" s="199"/>
      <c r="AE252" s="105"/>
      <c r="AF252" s="199"/>
      <c r="AG252" s="105"/>
      <c r="AH252" s="199"/>
      <c r="AI252" s="199"/>
      <c r="AJ252" s="199"/>
      <c r="AK252" s="200" t="s">
        <v>257</v>
      </c>
      <c r="AL252" s="199"/>
      <c r="AM252" s="199"/>
      <c r="AN252" s="199"/>
      <c r="AO252" s="199"/>
      <c r="AP252" s="202" t="s">
        <v>1152</v>
      </c>
      <c r="AQ252" s="199"/>
    </row>
    <row r="253">
      <c r="A253" s="135" t="s">
        <v>2054</v>
      </c>
      <c r="B253" s="135" t="s">
        <v>2055</v>
      </c>
      <c r="C253" s="135" t="str">
        <f>VLOOKUP(A253,import!A:C,3,0)</f>
        <v>DOĞRU</v>
      </c>
      <c r="D253" s="135" t="s">
        <v>1302</v>
      </c>
      <c r="E253" s="194">
        <f>VLOOKUP(A253,import!A:AA,5,0)</f>
        <v>233</v>
      </c>
      <c r="F253" s="194" t="str">
        <f>VLOOKUP(A253,import!A:AA,6,0)</f>
        <v/>
      </c>
      <c r="G253" s="135">
        <f>VLOOKUP(A253,import!A:AA,7,0)</f>
        <v>0</v>
      </c>
      <c r="H253" s="135">
        <f>VLOOKUP(A253,import!A:AA,8,0)</f>
        <v>32</v>
      </c>
      <c r="I253" s="135">
        <f>VLOOKUP(A253,import!A:AA,9,0)</f>
        <v>32</v>
      </c>
      <c r="J253" s="195">
        <f>VLOOKUP(A253,import!A:AA,10,0)</f>
        <v>0</v>
      </c>
      <c r="K253" s="135" t="s">
        <v>2056</v>
      </c>
      <c r="L253" s="135">
        <v>5.379669753E9</v>
      </c>
      <c r="M253" s="135" t="s">
        <v>1242</v>
      </c>
      <c r="N253" s="135" t="s">
        <v>1243</v>
      </c>
      <c r="O253" s="135" t="s">
        <v>2057</v>
      </c>
      <c r="P253" s="135" t="str">
        <f>VLOOKUP(A253,import!A:P,16,0)</f>
        <v>Geleneksel</v>
      </c>
      <c r="Q253" s="196"/>
      <c r="R253" s="196" t="b">
        <v>0</v>
      </c>
      <c r="S253" s="196" t="b">
        <v>0</v>
      </c>
      <c r="T253" s="197"/>
      <c r="U253" s="204"/>
      <c r="V253" s="204"/>
      <c r="W253" s="197"/>
      <c r="X253" s="206"/>
      <c r="Y253" s="206"/>
      <c r="Z253" s="199"/>
      <c r="AA253" s="199"/>
      <c r="AB253" s="199"/>
      <c r="AC253" s="199"/>
      <c r="AD253" s="199"/>
      <c r="AE253" s="105"/>
      <c r="AF253" s="199"/>
      <c r="AG253" s="105"/>
      <c r="AH253" s="199"/>
      <c r="AI253" s="199"/>
      <c r="AJ253" s="199"/>
      <c r="AK253" s="199"/>
      <c r="AL253" s="199"/>
      <c r="AM253" s="199"/>
      <c r="AN253" s="199"/>
      <c r="AO253" s="199"/>
      <c r="AP253" s="202" t="s">
        <v>1152</v>
      </c>
      <c r="AQ253" s="199"/>
    </row>
    <row r="254">
      <c r="A254" s="135" t="s">
        <v>2058</v>
      </c>
      <c r="B254" s="135" t="s">
        <v>2059</v>
      </c>
      <c r="C254" s="135" t="str">
        <f>VLOOKUP(A254,import!A:C,3,0)</f>
        <v>DOĞRU</v>
      </c>
      <c r="D254" s="135" t="s">
        <v>1455</v>
      </c>
      <c r="E254" s="194">
        <f>VLOOKUP(A254,import!A:AA,5,0)</f>
        <v>5724</v>
      </c>
      <c r="F254" s="194" t="str">
        <f>VLOOKUP(A254,import!A:AA,6,0)</f>
        <v/>
      </c>
      <c r="G254" s="135">
        <f>VLOOKUP(A254,import!A:AA,7,0)</f>
        <v>0</v>
      </c>
      <c r="H254" s="135">
        <f>VLOOKUP(A254,import!A:AA,8,0)</f>
        <v>18</v>
      </c>
      <c r="I254" s="135">
        <f>VLOOKUP(A254,import!A:AA,9,0)</f>
        <v>18</v>
      </c>
      <c r="J254" s="195">
        <f>VLOOKUP(A254,import!A:AA,10,0)</f>
        <v>0</v>
      </c>
      <c r="K254" s="135" t="s">
        <v>2060</v>
      </c>
      <c r="L254" s="135">
        <v>2.645029245E9</v>
      </c>
      <c r="M254" s="135" t="s">
        <v>1147</v>
      </c>
      <c r="N254" s="135" t="s">
        <v>1157</v>
      </c>
      <c r="O254" s="135" t="s">
        <v>2061</v>
      </c>
      <c r="P254" s="135" t="str">
        <f>VLOOKUP(A254,import!A:P,16,0)</f>
        <v>Geleneksel</v>
      </c>
      <c r="Q254" s="196"/>
      <c r="R254" s="196" t="b">
        <v>1</v>
      </c>
      <c r="S254" s="196" t="b">
        <v>1</v>
      </c>
      <c r="T254" s="197"/>
      <c r="U254" s="197"/>
      <c r="V254" s="197"/>
      <c r="W254" s="197" t="s">
        <v>2062</v>
      </c>
      <c r="X254" s="198"/>
      <c r="Y254" s="198"/>
      <c r="Z254" s="199"/>
      <c r="AA254" s="200" t="s">
        <v>1151</v>
      </c>
      <c r="AB254" s="201">
        <v>44606.0</v>
      </c>
      <c r="AC254" s="199"/>
      <c r="AD254" s="199"/>
      <c r="AE254" s="105"/>
      <c r="AF254" s="199"/>
      <c r="AG254" s="105"/>
      <c r="AH254" s="199"/>
      <c r="AI254" s="199"/>
      <c r="AJ254" s="199"/>
      <c r="AK254" s="200" t="s">
        <v>1161</v>
      </c>
      <c r="AL254" s="199"/>
      <c r="AM254" s="199"/>
      <c r="AN254" s="199"/>
      <c r="AO254" s="199"/>
      <c r="AP254" s="202" t="s">
        <v>1152</v>
      </c>
      <c r="AQ254" s="199"/>
    </row>
    <row r="255">
      <c r="A255" s="135" t="s">
        <v>2063</v>
      </c>
      <c r="B255" s="135" t="s">
        <v>2064</v>
      </c>
      <c r="C255" s="135" t="str">
        <f>VLOOKUP(A255,import!A:C,3,0)</f>
        <v>YANLIŞ</v>
      </c>
      <c r="D255" s="135" t="s">
        <v>1162</v>
      </c>
      <c r="E255" s="194">
        <f>VLOOKUP(A255,import!A:AA,5,0)</f>
        <v>1053</v>
      </c>
      <c r="F255" s="194" t="str">
        <f>VLOOKUP(A255,import!A:AA,6,0)</f>
        <v/>
      </c>
      <c r="G255" s="135">
        <f>VLOOKUP(A255,import!A:AA,7,0)</f>
        <v>26</v>
      </c>
      <c r="H255" s="135">
        <f>VLOOKUP(A255,import!A:AA,8,0)</f>
        <v>7</v>
      </c>
      <c r="I255" s="135">
        <f>VLOOKUP(A255,import!A:AA,9,0)</f>
        <v>33</v>
      </c>
      <c r="J255" s="195">
        <f>VLOOKUP(A255,import!A:AA,10,0)</f>
        <v>0.79</v>
      </c>
      <c r="K255" s="135" t="s">
        <v>2065</v>
      </c>
      <c r="L255" s="135">
        <v>5.546357024E9</v>
      </c>
      <c r="M255" s="135" t="s">
        <v>1318</v>
      </c>
      <c r="N255" s="135" t="s">
        <v>1533</v>
      </c>
      <c r="O255" s="135" t="s">
        <v>2066</v>
      </c>
      <c r="P255" s="135" t="str">
        <f>VLOOKUP(A255,import!A:P,16,0)</f>
        <v>Geleneksel</v>
      </c>
      <c r="Q255" s="196"/>
      <c r="R255" s="196" t="b">
        <v>1</v>
      </c>
      <c r="S255" s="196" t="b">
        <v>1</v>
      </c>
      <c r="T255" s="197"/>
      <c r="U255" s="197"/>
      <c r="V255" s="197"/>
      <c r="W255" s="197" t="s">
        <v>2067</v>
      </c>
      <c r="X255" s="198"/>
      <c r="Y255" s="198"/>
      <c r="Z255" s="199"/>
      <c r="AA255" s="199"/>
      <c r="AB255" s="199"/>
      <c r="AC255" s="199"/>
      <c r="AD255" s="199"/>
      <c r="AE255" s="105"/>
      <c r="AF255" s="199"/>
      <c r="AG255" s="105"/>
      <c r="AH255" s="199"/>
      <c r="AI255" s="199"/>
      <c r="AJ255" s="199"/>
      <c r="AK255" s="199"/>
      <c r="AL255" s="199"/>
      <c r="AM255" s="199"/>
      <c r="AN255" s="199"/>
      <c r="AO255" s="199"/>
      <c r="AP255" s="202" t="s">
        <v>1152</v>
      </c>
      <c r="AQ255" s="199"/>
    </row>
    <row r="256">
      <c r="A256" s="135" t="s">
        <v>2068</v>
      </c>
      <c r="B256" s="135" t="s">
        <v>2069</v>
      </c>
      <c r="C256" s="135" t="str">
        <f>VLOOKUP(A256,import!A:C,3,0)</f>
        <v>DOĞRU</v>
      </c>
      <c r="D256" s="135" t="s">
        <v>1188</v>
      </c>
      <c r="E256" s="194">
        <f>VLOOKUP(A256,import!A:AA,5,0)</f>
        <v>2968</v>
      </c>
      <c r="F256" s="194">
        <f>VLOOKUP(A256,import!A:AA,6,0)</f>
        <v>201</v>
      </c>
      <c r="G256" s="135">
        <f>VLOOKUP(A256,import!A:AA,7,0)</f>
        <v>0</v>
      </c>
      <c r="H256" s="135">
        <f>VLOOKUP(A256,import!A:AA,8,0)</f>
        <v>23</v>
      </c>
      <c r="I256" s="135">
        <f>VLOOKUP(A256,import!A:AA,9,0)</f>
        <v>23</v>
      </c>
      <c r="J256" s="195">
        <f>VLOOKUP(A256,import!A:AA,10,0)</f>
        <v>0</v>
      </c>
      <c r="K256" s="135" t="s">
        <v>1923</v>
      </c>
      <c r="L256" s="135">
        <v>5.350100013E9</v>
      </c>
      <c r="M256" s="135" t="s">
        <v>1147</v>
      </c>
      <c r="N256" s="135" t="s">
        <v>1164</v>
      </c>
      <c r="O256" s="135" t="s">
        <v>1014</v>
      </c>
      <c r="P256" s="135" t="str">
        <f>VLOOKUP(A256,import!A:P,16,0)</f>
        <v>Geleneksel</v>
      </c>
      <c r="Q256" s="196"/>
      <c r="R256" s="196" t="b">
        <v>1</v>
      </c>
      <c r="S256" s="196" t="b">
        <v>0</v>
      </c>
      <c r="T256" s="197" t="s">
        <v>1275</v>
      </c>
      <c r="U256" s="197" t="s">
        <v>1061</v>
      </c>
      <c r="V256" s="197" t="s">
        <v>940</v>
      </c>
      <c r="W256" s="197" t="s">
        <v>2070</v>
      </c>
      <c r="X256" s="198">
        <v>44610.0</v>
      </c>
      <c r="Y256" s="198">
        <v>44613.0</v>
      </c>
      <c r="Z256" s="199"/>
      <c r="AA256" s="200" t="s">
        <v>1151</v>
      </c>
      <c r="AB256" s="201">
        <v>44610.0</v>
      </c>
      <c r="AC256" s="199"/>
      <c r="AD256" s="199"/>
      <c r="AE256" s="105"/>
      <c r="AF256" s="199"/>
      <c r="AG256" s="105"/>
      <c r="AH256" s="199"/>
      <c r="AI256" s="199"/>
      <c r="AJ256" s="199"/>
      <c r="AK256" s="200" t="s">
        <v>1061</v>
      </c>
      <c r="AL256" s="199"/>
      <c r="AM256" s="199"/>
      <c r="AN256" s="199"/>
      <c r="AO256" s="199"/>
      <c r="AP256" s="202"/>
      <c r="AQ256" s="199"/>
    </row>
    <row r="257">
      <c r="A257" s="135" t="s">
        <v>2071</v>
      </c>
      <c r="B257" s="135" t="s">
        <v>2072</v>
      </c>
      <c r="C257" s="135" t="str">
        <f>VLOOKUP(A257,import!A:C,3,0)</f>
        <v>DOĞRU</v>
      </c>
      <c r="D257" s="135" t="s">
        <v>1188</v>
      </c>
      <c r="E257" s="194">
        <f>VLOOKUP(A257,import!A:AA,5,0)</f>
        <v>6</v>
      </c>
      <c r="F257" s="194">
        <f>VLOOKUP(A257,import!A:AA,6,0)</f>
        <v>2</v>
      </c>
      <c r="G257" s="135">
        <f>VLOOKUP(A257,import!A:AA,7,0)</f>
        <v>0</v>
      </c>
      <c r="H257" s="135">
        <f>VLOOKUP(A257,import!A:AA,8,0)</f>
        <v>20</v>
      </c>
      <c r="I257" s="135">
        <f>VLOOKUP(A257,import!A:AA,9,0)</f>
        <v>20</v>
      </c>
      <c r="J257" s="195">
        <f>VLOOKUP(A257,import!A:AA,10,0)</f>
        <v>0</v>
      </c>
      <c r="K257" s="135" t="s">
        <v>2073</v>
      </c>
      <c r="L257" s="135">
        <v>5.300271965E9</v>
      </c>
      <c r="M257" s="135" t="s">
        <v>1172</v>
      </c>
      <c r="N257" s="135" t="s">
        <v>1190</v>
      </c>
      <c r="O257" s="135" t="s">
        <v>2074</v>
      </c>
      <c r="P257" s="135" t="str">
        <f>VLOOKUP(A257,import!A:P,16,0)</f>
        <v>Geleneksel</v>
      </c>
      <c r="Q257" s="196"/>
      <c r="R257" s="196" t="b">
        <v>1</v>
      </c>
      <c r="S257" s="196" t="b">
        <v>0</v>
      </c>
      <c r="T257" s="197" t="s">
        <v>1436</v>
      </c>
      <c r="U257" s="197" t="s">
        <v>257</v>
      </c>
      <c r="V257" s="197" t="s">
        <v>91</v>
      </c>
      <c r="W257" s="197"/>
      <c r="X257" s="198">
        <v>44368.0</v>
      </c>
      <c r="Y257" s="198">
        <v>44371.0</v>
      </c>
      <c r="Z257" s="199"/>
      <c r="AA257" s="200" t="s">
        <v>1151</v>
      </c>
      <c r="AB257" s="201">
        <v>44363.0</v>
      </c>
      <c r="AC257" s="200" t="s">
        <v>1151</v>
      </c>
      <c r="AD257" s="201">
        <v>44368.0</v>
      </c>
      <c r="AE257" s="105"/>
      <c r="AF257" s="199"/>
      <c r="AG257" s="105"/>
      <c r="AH257" s="199"/>
      <c r="AI257" s="199"/>
      <c r="AJ257" s="199"/>
      <c r="AK257" s="200" t="s">
        <v>1167</v>
      </c>
      <c r="AL257" s="200" t="s">
        <v>257</v>
      </c>
      <c r="AM257" s="199"/>
      <c r="AN257" s="199"/>
      <c r="AO257" s="199"/>
      <c r="AP257" s="202" t="s">
        <v>1152</v>
      </c>
      <c r="AQ257" s="199"/>
    </row>
    <row r="258">
      <c r="A258" s="135" t="s">
        <v>877</v>
      </c>
      <c r="B258" s="135" t="s">
        <v>878</v>
      </c>
      <c r="C258" s="135" t="str">
        <f>VLOOKUP(A258,import!A:C,3,0)</f>
        <v>DOĞRU</v>
      </c>
      <c r="D258" s="135" t="s">
        <v>1188</v>
      </c>
      <c r="E258" s="194">
        <f>VLOOKUP(A258,import!A:AA,5,0)</f>
        <v>80</v>
      </c>
      <c r="F258" s="194" t="str">
        <f>VLOOKUP(A258,import!A:AA,6,0)</f>
        <v/>
      </c>
      <c r="G258" s="135">
        <f>VLOOKUP(A258,import!A:AA,7,0)</f>
        <v>5</v>
      </c>
      <c r="H258" s="135">
        <f>VLOOKUP(A258,import!A:AA,8,0)</f>
        <v>1</v>
      </c>
      <c r="I258" s="135">
        <f>VLOOKUP(A258,import!A:AA,9,0)</f>
        <v>6</v>
      </c>
      <c r="J258" s="195">
        <f>VLOOKUP(A258,import!A:AA,10,0)</f>
        <v>0.83</v>
      </c>
      <c r="K258" s="135" t="s">
        <v>2075</v>
      </c>
      <c r="L258" s="135">
        <v>5.448823619E9</v>
      </c>
      <c r="M258" s="135" t="s">
        <v>1679</v>
      </c>
      <c r="N258" s="135" t="s">
        <v>1680</v>
      </c>
      <c r="O258" s="135" t="s">
        <v>881</v>
      </c>
      <c r="P258" s="135" t="str">
        <f>VLOOKUP(A258,import!A:P,16,0)</f>
        <v>Geleneksel</v>
      </c>
      <c r="Q258" s="196"/>
      <c r="R258" s="196" t="b">
        <v>1</v>
      </c>
      <c r="S258" s="196" t="b">
        <v>0</v>
      </c>
      <c r="T258" s="197" t="s">
        <v>1165</v>
      </c>
      <c r="U258" s="197" t="s">
        <v>1204</v>
      </c>
      <c r="V258" s="197" t="s">
        <v>91</v>
      </c>
      <c r="W258" s="197"/>
      <c r="X258" s="198">
        <v>44371.0</v>
      </c>
      <c r="Y258" s="198">
        <v>44375.0</v>
      </c>
      <c r="Z258" s="199"/>
      <c r="AA258" s="200" t="s">
        <v>1151</v>
      </c>
      <c r="AB258" s="201">
        <v>44371.0</v>
      </c>
      <c r="AC258" s="199"/>
      <c r="AD258" s="199"/>
      <c r="AE258" s="105"/>
      <c r="AF258" s="199"/>
      <c r="AG258" s="105"/>
      <c r="AH258" s="199"/>
      <c r="AI258" s="199"/>
      <c r="AJ258" s="199"/>
      <c r="AK258" s="200" t="s">
        <v>1204</v>
      </c>
      <c r="AL258" s="199"/>
      <c r="AM258" s="199"/>
      <c r="AN258" s="199"/>
      <c r="AO258" s="199"/>
      <c r="AP258" s="202" t="s">
        <v>1152</v>
      </c>
      <c r="AQ258" s="199"/>
    </row>
    <row r="259">
      <c r="A259" s="135" t="s">
        <v>846</v>
      </c>
      <c r="B259" s="135" t="s">
        <v>847</v>
      </c>
      <c r="C259" s="135" t="str">
        <f>VLOOKUP(A259,import!A:C,3,0)</f>
        <v>YANLIŞ</v>
      </c>
      <c r="D259" s="135" t="s">
        <v>1162</v>
      </c>
      <c r="E259" s="194">
        <f>VLOOKUP(A259,import!A:AA,5,0)</f>
        <v>30</v>
      </c>
      <c r="F259" s="194" t="str">
        <f>VLOOKUP(A259,import!A:AA,6,0)</f>
        <v/>
      </c>
      <c r="G259" s="135">
        <f>VLOOKUP(A259,import!A:AA,7,0)</f>
        <v>22</v>
      </c>
      <c r="H259" s="135">
        <f>VLOOKUP(A259,import!A:AA,8,0)</f>
        <v>18</v>
      </c>
      <c r="I259" s="135">
        <f>VLOOKUP(A259,import!A:AA,9,0)</f>
        <v>40</v>
      </c>
      <c r="J259" s="195">
        <f>VLOOKUP(A259,import!A:AA,10,0)</f>
        <v>0.55</v>
      </c>
      <c r="K259" s="135" t="s">
        <v>2076</v>
      </c>
      <c r="L259" s="135">
        <v>5.345024112E9</v>
      </c>
      <c r="M259" s="135" t="s">
        <v>1679</v>
      </c>
      <c r="N259" s="135" t="s">
        <v>1811</v>
      </c>
      <c r="O259" s="135" t="s">
        <v>850</v>
      </c>
      <c r="P259" s="135" t="str">
        <f>VLOOKUP(A259,import!A:P,16,0)</f>
        <v>Geleneksel</v>
      </c>
      <c r="Q259" s="196"/>
      <c r="R259" s="196" t="b">
        <v>1</v>
      </c>
      <c r="S259" s="196" t="b">
        <v>0</v>
      </c>
      <c r="T259" s="197" t="s">
        <v>1165</v>
      </c>
      <c r="U259" s="197" t="s">
        <v>257</v>
      </c>
      <c r="V259" s="197" t="s">
        <v>91</v>
      </c>
      <c r="W259" s="197"/>
      <c r="X259" s="198">
        <v>44368.0</v>
      </c>
      <c r="Y259" s="198">
        <v>44371.0</v>
      </c>
      <c r="Z259" s="199"/>
      <c r="AA259" s="200" t="s">
        <v>1151</v>
      </c>
      <c r="AB259" s="201">
        <v>44368.0</v>
      </c>
      <c r="AC259" s="199"/>
      <c r="AD259" s="199"/>
      <c r="AE259" s="105"/>
      <c r="AF259" s="199"/>
      <c r="AG259" s="105"/>
      <c r="AH259" s="199"/>
      <c r="AI259" s="199"/>
      <c r="AJ259" s="199"/>
      <c r="AK259" s="200" t="s">
        <v>257</v>
      </c>
      <c r="AL259" s="199"/>
      <c r="AM259" s="199"/>
      <c r="AN259" s="199"/>
      <c r="AO259" s="199"/>
      <c r="AP259" s="202" t="s">
        <v>1152</v>
      </c>
      <c r="AQ259" s="199"/>
    </row>
    <row r="260">
      <c r="A260" s="135" t="s">
        <v>2077</v>
      </c>
      <c r="B260" s="135" t="s">
        <v>2078</v>
      </c>
      <c r="C260" s="135" t="str">
        <f>VLOOKUP(A260,import!A:C,3,0)</f>
        <v>DOĞRU</v>
      </c>
      <c r="D260" s="135" t="s">
        <v>1170</v>
      </c>
      <c r="E260" s="194">
        <f>VLOOKUP(A260,import!A:AA,5,0)</f>
        <v>567</v>
      </c>
      <c r="F260" s="194">
        <f>VLOOKUP(A260,import!A:AA,6,0)</f>
        <v>47</v>
      </c>
      <c r="G260" s="135">
        <f>VLOOKUP(A260,import!A:AA,7,0)</f>
        <v>0</v>
      </c>
      <c r="H260" s="135">
        <f>VLOOKUP(A260,import!A:AA,8,0)</f>
        <v>12</v>
      </c>
      <c r="I260" s="135">
        <f>VLOOKUP(A260,import!A:AA,9,0)</f>
        <v>12</v>
      </c>
      <c r="J260" s="195">
        <f>VLOOKUP(A260,import!A:AA,10,0)</f>
        <v>0</v>
      </c>
      <c r="K260" s="135" t="s">
        <v>2079</v>
      </c>
      <c r="L260" s="135">
        <v>5.551523933E9</v>
      </c>
      <c r="M260" s="135" t="s">
        <v>1172</v>
      </c>
      <c r="N260" s="135" t="s">
        <v>1190</v>
      </c>
      <c r="O260" s="135" t="s">
        <v>2080</v>
      </c>
      <c r="P260" s="135" t="str">
        <f>VLOOKUP(A260,import!A:P,16,0)</f>
        <v>Geleneksel</v>
      </c>
      <c r="Q260" s="196"/>
      <c r="R260" s="196" t="b">
        <v>1</v>
      </c>
      <c r="S260" s="196" t="b">
        <v>1</v>
      </c>
      <c r="T260" s="197"/>
      <c r="U260" s="197"/>
      <c r="V260" s="197"/>
      <c r="W260" s="197" t="s">
        <v>2081</v>
      </c>
      <c r="X260" s="198"/>
      <c r="Y260" s="198"/>
      <c r="Z260" s="199"/>
      <c r="AA260" s="200"/>
      <c r="AB260" s="201"/>
      <c r="AC260" s="199"/>
      <c r="AD260" s="199"/>
      <c r="AE260" s="105"/>
      <c r="AF260" s="199"/>
      <c r="AG260" s="105"/>
      <c r="AH260" s="199"/>
      <c r="AI260" s="199"/>
      <c r="AJ260" s="199"/>
      <c r="AK260" s="200"/>
      <c r="AL260" s="199"/>
      <c r="AM260" s="199"/>
      <c r="AN260" s="199"/>
      <c r="AO260" s="199"/>
      <c r="AP260" s="202"/>
      <c r="AQ260" s="199"/>
    </row>
    <row r="261">
      <c r="A261" s="135" t="s">
        <v>1011</v>
      </c>
      <c r="B261" s="135" t="s">
        <v>1012</v>
      </c>
      <c r="C261" s="135" t="str">
        <f>VLOOKUP(A261,import!A:C,3,0)</f>
        <v>DOĞRU</v>
      </c>
      <c r="D261" s="135" t="s">
        <v>1170</v>
      </c>
      <c r="E261" s="194">
        <f>VLOOKUP(A261,import!A:AA,5,0)</f>
        <v>1668</v>
      </c>
      <c r="F261" s="194">
        <f>VLOOKUP(A261,import!A:AA,6,0)</f>
        <v>184</v>
      </c>
      <c r="G261" s="135">
        <f>VLOOKUP(A261,import!A:AA,7,0)</f>
        <v>10</v>
      </c>
      <c r="H261" s="135">
        <f>VLOOKUP(A261,import!A:AA,8,0)</f>
        <v>11</v>
      </c>
      <c r="I261" s="135">
        <f>VLOOKUP(A261,import!A:AA,9,0)</f>
        <v>21</v>
      </c>
      <c r="J261" s="195">
        <f>VLOOKUP(A261,import!A:AA,10,0)</f>
        <v>0.48</v>
      </c>
      <c r="K261" s="135" t="s">
        <v>2082</v>
      </c>
      <c r="L261" s="135">
        <v>2.645022888E9</v>
      </c>
      <c r="M261" s="135" t="s">
        <v>1147</v>
      </c>
      <c r="N261" s="135" t="s">
        <v>1164</v>
      </c>
      <c r="O261" s="135" t="s">
        <v>1014</v>
      </c>
      <c r="P261" s="135" t="str">
        <f>VLOOKUP(A261,import!A:P,16,0)</f>
        <v>Geleneksel</v>
      </c>
      <c r="Q261" s="196"/>
      <c r="R261" s="196" t="b">
        <v>1</v>
      </c>
      <c r="S261" s="196" t="b">
        <v>0</v>
      </c>
      <c r="T261" s="197" t="s">
        <v>1165</v>
      </c>
      <c r="U261" s="197" t="s">
        <v>1006</v>
      </c>
      <c r="V261" s="207" t="s">
        <v>940</v>
      </c>
      <c r="W261" s="197"/>
      <c r="X261" s="198">
        <v>44608.0</v>
      </c>
      <c r="Y261" s="198">
        <v>44609.0</v>
      </c>
      <c r="Z261" s="199"/>
      <c r="AA261" s="200" t="s">
        <v>1151</v>
      </c>
      <c r="AB261" s="201">
        <v>44608.0</v>
      </c>
      <c r="AC261" s="199"/>
      <c r="AD261" s="199"/>
      <c r="AE261" s="105"/>
      <c r="AF261" s="199"/>
      <c r="AG261" s="105"/>
      <c r="AH261" s="199"/>
      <c r="AI261" s="199"/>
      <c r="AJ261" s="199"/>
      <c r="AK261" s="200" t="s">
        <v>1006</v>
      </c>
      <c r="AL261" s="199"/>
      <c r="AM261" s="199"/>
      <c r="AN261" s="199"/>
      <c r="AO261" s="199"/>
      <c r="AP261" s="202" t="s">
        <v>1152</v>
      </c>
      <c r="AQ261" s="199"/>
    </row>
    <row r="262">
      <c r="A262" s="135" t="s">
        <v>439</v>
      </c>
      <c r="B262" s="135" t="s">
        <v>440</v>
      </c>
      <c r="C262" s="135" t="str">
        <f>VLOOKUP(A262,import!A:C,3,0)</f>
        <v>YANLIŞ</v>
      </c>
      <c r="D262" s="135" t="s">
        <v>1455</v>
      </c>
      <c r="E262" s="194">
        <f>VLOOKUP(A262,import!A:AA,5,0)</f>
        <v>32</v>
      </c>
      <c r="F262" s="194" t="str">
        <f>VLOOKUP(A262,import!A:AA,6,0)</f>
        <v/>
      </c>
      <c r="G262" s="135">
        <f>VLOOKUP(A262,import!A:AA,7,0)</f>
        <v>0</v>
      </c>
      <c r="H262" s="135">
        <f>VLOOKUP(A262,import!A:AA,8,0)</f>
        <v>18</v>
      </c>
      <c r="I262" s="135">
        <f>VLOOKUP(A262,import!A:AA,9,0)</f>
        <v>18</v>
      </c>
      <c r="J262" s="195">
        <f>VLOOKUP(A262,import!A:AA,10,0)</f>
        <v>0</v>
      </c>
      <c r="K262" s="135" t="s">
        <v>2083</v>
      </c>
      <c r="L262" s="135">
        <v>5.395888899E9</v>
      </c>
      <c r="M262" s="135" t="s">
        <v>1318</v>
      </c>
      <c r="N262" s="135" t="s">
        <v>1324</v>
      </c>
      <c r="O262" s="135" t="s">
        <v>443</v>
      </c>
      <c r="P262" s="135" t="str">
        <f>VLOOKUP(A262,import!A:P,16,0)</f>
        <v>Geleneksel</v>
      </c>
      <c r="Q262" s="196"/>
      <c r="R262" s="196" t="b">
        <v>1</v>
      </c>
      <c r="S262" s="196" t="b">
        <v>0</v>
      </c>
      <c r="T262" s="197" t="s">
        <v>1165</v>
      </c>
      <c r="U262" s="197" t="s">
        <v>310</v>
      </c>
      <c r="V262" s="197" t="s">
        <v>91</v>
      </c>
      <c r="W262" s="197" t="s">
        <v>2084</v>
      </c>
      <c r="X262" s="198">
        <v>44326.0</v>
      </c>
      <c r="Y262" s="198">
        <v>44334.0</v>
      </c>
      <c r="Z262" s="199"/>
      <c r="AA262" s="199"/>
      <c r="AB262" s="199"/>
      <c r="AC262" s="199"/>
      <c r="AD262" s="199"/>
      <c r="AE262" s="105"/>
      <c r="AF262" s="199"/>
      <c r="AG262" s="105"/>
      <c r="AH262" s="199"/>
      <c r="AI262" s="199"/>
      <c r="AJ262" s="199"/>
      <c r="AK262" s="199"/>
      <c r="AL262" s="199"/>
      <c r="AM262" s="199"/>
      <c r="AN262" s="199"/>
      <c r="AO262" s="199"/>
      <c r="AP262" s="202" t="s">
        <v>1152</v>
      </c>
      <c r="AQ262" s="199"/>
    </row>
    <row r="263">
      <c r="A263" s="135" t="s">
        <v>836</v>
      </c>
      <c r="B263" s="135" t="s">
        <v>837</v>
      </c>
      <c r="C263" s="135" t="str">
        <f>VLOOKUP(A263,import!A:C,3,0)</f>
        <v>DOĞRU</v>
      </c>
      <c r="D263" s="135" t="s">
        <v>1188</v>
      </c>
      <c r="E263" s="194">
        <f>VLOOKUP(A263,import!A:AA,5,0)</f>
        <v>1366</v>
      </c>
      <c r="F263" s="194">
        <f>VLOOKUP(A263,import!A:AA,6,0)</f>
        <v>13</v>
      </c>
      <c r="G263" s="135">
        <f>VLOOKUP(A263,import!A:AA,7,0)</f>
        <v>19</v>
      </c>
      <c r="H263" s="135">
        <f>VLOOKUP(A263,import!A:AA,8,0)</f>
        <v>12</v>
      </c>
      <c r="I263" s="135">
        <f>VLOOKUP(A263,import!A:AA,9,0)</f>
        <v>31</v>
      </c>
      <c r="J263" s="195">
        <f>VLOOKUP(A263,import!A:AA,10,0)</f>
        <v>0.61</v>
      </c>
      <c r="K263" s="135" t="s">
        <v>2085</v>
      </c>
      <c r="L263" s="135">
        <v>5.543486443E9</v>
      </c>
      <c r="M263" s="135" t="s">
        <v>1172</v>
      </c>
      <c r="N263" s="135" t="s">
        <v>1336</v>
      </c>
      <c r="O263" s="135" t="s">
        <v>839</v>
      </c>
      <c r="P263" s="135" t="str">
        <f>VLOOKUP(A263,import!A:P,16,0)</f>
        <v>Geleneksel</v>
      </c>
      <c r="Q263" s="196"/>
      <c r="R263" s="196" t="b">
        <v>1</v>
      </c>
      <c r="S263" s="196" t="b">
        <v>0</v>
      </c>
      <c r="T263" s="197" t="s">
        <v>1165</v>
      </c>
      <c r="U263" s="197" t="s">
        <v>1278</v>
      </c>
      <c r="V263" s="197" t="s">
        <v>91</v>
      </c>
      <c r="W263" s="197" t="s">
        <v>2086</v>
      </c>
      <c r="X263" s="198">
        <v>44365.0</v>
      </c>
      <c r="Y263" s="198">
        <v>44370.0</v>
      </c>
      <c r="Z263" s="199"/>
      <c r="AA263" s="200" t="s">
        <v>1254</v>
      </c>
      <c r="AB263" s="201">
        <v>44350.0</v>
      </c>
      <c r="AC263" s="200" t="s">
        <v>1151</v>
      </c>
      <c r="AD263" s="201">
        <v>44365.0</v>
      </c>
      <c r="AE263" s="105"/>
      <c r="AF263" s="199"/>
      <c r="AG263" s="105"/>
      <c r="AH263" s="199"/>
      <c r="AI263" s="199"/>
      <c r="AJ263" s="199"/>
      <c r="AK263" s="200" t="s">
        <v>1204</v>
      </c>
      <c r="AL263" s="200" t="s">
        <v>1278</v>
      </c>
      <c r="AM263" s="199"/>
      <c r="AN263" s="199"/>
      <c r="AO263" s="199"/>
      <c r="AP263" s="202" t="s">
        <v>1152</v>
      </c>
      <c r="AQ263" s="199"/>
    </row>
    <row r="264">
      <c r="A264" s="135" t="s">
        <v>2087</v>
      </c>
      <c r="B264" s="135" t="s">
        <v>2088</v>
      </c>
      <c r="C264" s="135" t="str">
        <f>VLOOKUP(A264,import!A:C,3,0)</f>
        <v>YANLIŞ</v>
      </c>
      <c r="D264" s="135" t="s">
        <v>1235</v>
      </c>
      <c r="E264" s="194" t="str">
        <f>VLOOKUP(A264,import!A:AA,5,0)</f>
        <v/>
      </c>
      <c r="F264" s="194" t="str">
        <f>VLOOKUP(A264,import!A:AA,6,0)</f>
        <v/>
      </c>
      <c r="G264" s="135">
        <f>VLOOKUP(A264,import!A:AA,7,0)</f>
        <v>0</v>
      </c>
      <c r="H264" s="135">
        <f>VLOOKUP(A264,import!A:AA,8,0)</f>
        <v>48</v>
      </c>
      <c r="I264" s="135">
        <f>VLOOKUP(A264,import!A:AA,9,0)</f>
        <v>48</v>
      </c>
      <c r="J264" s="195">
        <f>VLOOKUP(A264,import!A:AA,10,0)</f>
        <v>0</v>
      </c>
      <c r="K264" s="135" t="s">
        <v>2089</v>
      </c>
      <c r="L264" s="135">
        <v>5.512171709E9</v>
      </c>
      <c r="M264" s="135" t="s">
        <v>1172</v>
      </c>
      <c r="N264" s="135" t="s">
        <v>1665</v>
      </c>
      <c r="O264" s="135" t="s">
        <v>2090</v>
      </c>
      <c r="P264" s="135" t="str">
        <f>VLOOKUP(A264,import!A:P,16,0)</f>
        <v>Geleneksel</v>
      </c>
      <c r="Q264" s="196"/>
      <c r="R264" s="196" t="b">
        <v>1</v>
      </c>
      <c r="S264" s="196" t="b">
        <v>0</v>
      </c>
      <c r="T264" s="197" t="s">
        <v>1275</v>
      </c>
      <c r="U264" s="197"/>
      <c r="V264" s="197"/>
      <c r="W264" s="211" t="s">
        <v>2091</v>
      </c>
      <c r="X264" s="198"/>
      <c r="Y264" s="198"/>
      <c r="Z264" s="199"/>
      <c r="AA264" s="200" t="s">
        <v>1151</v>
      </c>
      <c r="AB264" s="201">
        <v>44392.0</v>
      </c>
      <c r="AC264" s="199"/>
      <c r="AD264" s="199"/>
      <c r="AE264" s="105"/>
      <c r="AF264" s="199"/>
      <c r="AG264" s="105"/>
      <c r="AH264" s="199"/>
      <c r="AI264" s="199"/>
      <c r="AJ264" s="199"/>
      <c r="AK264" s="200" t="s">
        <v>1167</v>
      </c>
      <c r="AL264" s="199"/>
      <c r="AM264" s="199"/>
      <c r="AN264" s="199"/>
      <c r="AO264" s="199"/>
      <c r="AP264" s="202" t="s">
        <v>1152</v>
      </c>
      <c r="AQ264" s="199"/>
    </row>
    <row r="265">
      <c r="A265" s="135" t="s">
        <v>2092</v>
      </c>
      <c r="B265" s="135" t="s">
        <v>2093</v>
      </c>
      <c r="C265" s="135" t="str">
        <f>VLOOKUP(A265,import!A:C,3,0)</f>
        <v>YANLIŞ</v>
      </c>
      <c r="D265" s="135" t="s">
        <v>1235</v>
      </c>
      <c r="E265" s="194">
        <f>VLOOKUP(A265,import!A:AA,5,0)</f>
        <v>2</v>
      </c>
      <c r="F265" s="194" t="str">
        <f>VLOOKUP(A265,import!A:AA,6,0)</f>
        <v/>
      </c>
      <c r="G265" s="135">
        <f>VLOOKUP(A265,import!A:AA,7,0)</f>
        <v>0</v>
      </c>
      <c r="H265" s="135">
        <f>VLOOKUP(A265,import!A:AA,8,0)</f>
        <v>55</v>
      </c>
      <c r="I265" s="135">
        <f>VLOOKUP(A265,import!A:AA,9,0)</f>
        <v>55</v>
      </c>
      <c r="J265" s="195">
        <f>VLOOKUP(A265,import!A:AA,10,0)</f>
        <v>0</v>
      </c>
      <c r="K265" s="135" t="s">
        <v>2089</v>
      </c>
      <c r="L265" s="135">
        <v>5.512171709E9</v>
      </c>
      <c r="M265" s="135" t="s">
        <v>1172</v>
      </c>
      <c r="N265" s="135" t="s">
        <v>1665</v>
      </c>
      <c r="O265" s="135" t="s">
        <v>2090</v>
      </c>
      <c r="P265" s="135" t="str">
        <f>VLOOKUP(A265,import!A:P,16,0)</f>
        <v>Geleneksel</v>
      </c>
      <c r="Q265" s="196"/>
      <c r="R265" s="196" t="b">
        <v>1</v>
      </c>
      <c r="S265" s="196" t="b">
        <v>0</v>
      </c>
      <c r="T265" s="211" t="s">
        <v>1275</v>
      </c>
      <c r="U265" s="211"/>
      <c r="V265" s="211"/>
      <c r="W265" s="211" t="s">
        <v>2091</v>
      </c>
      <c r="X265" s="214"/>
      <c r="Y265" s="214"/>
      <c r="Z265" s="199"/>
      <c r="AA265" s="200" t="s">
        <v>1151</v>
      </c>
      <c r="AB265" s="201">
        <v>44392.0</v>
      </c>
      <c r="AC265" s="199"/>
      <c r="AD265" s="199"/>
      <c r="AE265" s="105"/>
      <c r="AF265" s="199"/>
      <c r="AG265" s="105"/>
      <c r="AH265" s="199"/>
      <c r="AI265" s="199"/>
      <c r="AJ265" s="199"/>
      <c r="AK265" s="200" t="s">
        <v>1167</v>
      </c>
      <c r="AL265" s="199"/>
      <c r="AM265" s="199"/>
      <c r="AN265" s="199"/>
      <c r="AO265" s="199"/>
      <c r="AP265" s="202" t="s">
        <v>1152</v>
      </c>
      <c r="AQ265" s="199"/>
    </row>
    <row r="266">
      <c r="A266" s="135" t="s">
        <v>1028</v>
      </c>
      <c r="B266" s="135" t="s">
        <v>1029</v>
      </c>
      <c r="C266" s="135" t="str">
        <f>VLOOKUP(A266,import!A:C,3,0)</f>
        <v>DOĞRU</v>
      </c>
      <c r="D266" s="135" t="s">
        <v>1170</v>
      </c>
      <c r="E266" s="194">
        <f>VLOOKUP(A266,import!A:AA,5,0)</f>
        <v>402</v>
      </c>
      <c r="F266" s="194">
        <f>VLOOKUP(A266,import!A:AA,6,0)</f>
        <v>7</v>
      </c>
      <c r="G266" s="135">
        <f>VLOOKUP(A266,import!A:AA,7,0)</f>
        <v>5</v>
      </c>
      <c r="H266" s="135">
        <f>VLOOKUP(A266,import!A:AA,8,0)</f>
        <v>0</v>
      </c>
      <c r="I266" s="135">
        <f>VLOOKUP(A266,import!A:AA,9,0)</f>
        <v>5</v>
      </c>
      <c r="J266" s="195">
        <f>VLOOKUP(A266,import!A:AA,10,0)</f>
        <v>1</v>
      </c>
      <c r="K266" s="135" t="s">
        <v>2094</v>
      </c>
      <c r="L266" s="135">
        <v>5.411044754E9</v>
      </c>
      <c r="M266" s="135" t="s">
        <v>1172</v>
      </c>
      <c r="N266" s="135" t="s">
        <v>1405</v>
      </c>
      <c r="O266" s="135" t="s">
        <v>1032</v>
      </c>
      <c r="P266" s="135" t="str">
        <f>VLOOKUP(A266,import!A:P,16,0)</f>
        <v>Geleneksel</v>
      </c>
      <c r="Q266" s="196"/>
      <c r="R266" s="196" t="b">
        <v>1</v>
      </c>
      <c r="S266" s="196" t="b">
        <v>0</v>
      </c>
      <c r="T266" s="197" t="s">
        <v>1165</v>
      </c>
      <c r="U266" s="197" t="s">
        <v>1024</v>
      </c>
      <c r="V266" s="207" t="s">
        <v>940</v>
      </c>
      <c r="W266" s="197"/>
      <c r="X266" s="198">
        <v>44609.0</v>
      </c>
      <c r="Y266" s="198">
        <v>44610.0</v>
      </c>
      <c r="Z266" s="199"/>
      <c r="AA266" s="200" t="s">
        <v>1277</v>
      </c>
      <c r="AB266" s="201">
        <v>44607.0</v>
      </c>
      <c r="AC266" s="200" t="s">
        <v>1151</v>
      </c>
      <c r="AD266" s="201">
        <v>44609.0</v>
      </c>
      <c r="AE266" s="105"/>
      <c r="AF266" s="199"/>
      <c r="AG266" s="105"/>
      <c r="AH266" s="199"/>
      <c r="AI266" s="199"/>
      <c r="AJ266" s="199"/>
      <c r="AK266" s="200" t="s">
        <v>1161</v>
      </c>
      <c r="AL266" s="200" t="s">
        <v>1024</v>
      </c>
      <c r="AM266" s="199"/>
      <c r="AN266" s="199"/>
      <c r="AO266" s="199"/>
      <c r="AP266" s="202" t="s">
        <v>1152</v>
      </c>
      <c r="AQ266" s="199"/>
    </row>
    <row r="267">
      <c r="A267" s="135" t="s">
        <v>585</v>
      </c>
      <c r="B267" s="135" t="s">
        <v>586</v>
      </c>
      <c r="C267" s="135" t="str">
        <f>VLOOKUP(A267,import!A:C,3,0)</f>
        <v>DOĞRU</v>
      </c>
      <c r="D267" s="135" t="s">
        <v>1170</v>
      </c>
      <c r="E267" s="194">
        <f>VLOOKUP(A267,import!A:AA,5,0)</f>
        <v>27</v>
      </c>
      <c r="F267" s="194" t="str">
        <f>VLOOKUP(A267,import!A:AA,6,0)</f>
        <v/>
      </c>
      <c r="G267" s="135">
        <f>VLOOKUP(A267,import!A:AA,7,0)</f>
        <v>2</v>
      </c>
      <c r="H267" s="135">
        <f>VLOOKUP(A267,import!A:AA,8,0)</f>
        <v>4</v>
      </c>
      <c r="I267" s="135">
        <f>VLOOKUP(A267,import!A:AA,9,0)</f>
        <v>6</v>
      </c>
      <c r="J267" s="195">
        <f>VLOOKUP(A267,import!A:AA,10,0)</f>
        <v>0.33</v>
      </c>
      <c r="K267" s="135" t="s">
        <v>2095</v>
      </c>
      <c r="L267" s="135">
        <v>5.414649144E9</v>
      </c>
      <c r="M267" s="135" t="s">
        <v>1147</v>
      </c>
      <c r="N267" s="135" t="s">
        <v>1200</v>
      </c>
      <c r="O267" s="135" t="s">
        <v>588</v>
      </c>
      <c r="P267" s="135" t="str">
        <f>VLOOKUP(A267,import!A:P,16,0)</f>
        <v>Geleneksel</v>
      </c>
      <c r="Q267" s="196"/>
      <c r="R267" s="196" t="b">
        <v>1</v>
      </c>
      <c r="S267" s="196" t="b">
        <v>0</v>
      </c>
      <c r="T267" s="197" t="s">
        <v>1165</v>
      </c>
      <c r="U267" s="197" t="s">
        <v>189</v>
      </c>
      <c r="V267" s="197" t="s">
        <v>91</v>
      </c>
      <c r="W267" s="197"/>
      <c r="X267" s="198">
        <v>44342.0</v>
      </c>
      <c r="Y267" s="198">
        <v>44344.0</v>
      </c>
      <c r="Z267" s="199"/>
      <c r="AA267" s="199"/>
      <c r="AB267" s="199"/>
      <c r="AC267" s="199"/>
      <c r="AD267" s="199"/>
      <c r="AE267" s="105"/>
      <c r="AF267" s="199"/>
      <c r="AG267" s="105"/>
      <c r="AH267" s="199"/>
      <c r="AI267" s="199"/>
      <c r="AJ267" s="199"/>
      <c r="AK267" s="199"/>
      <c r="AL267" s="199"/>
      <c r="AM267" s="199"/>
      <c r="AN267" s="199"/>
      <c r="AO267" s="199"/>
      <c r="AP267" s="202" t="s">
        <v>1152</v>
      </c>
      <c r="AQ267" s="199"/>
    </row>
    <row r="268">
      <c r="A268" s="135" t="s">
        <v>732</v>
      </c>
      <c r="B268" s="135" t="s">
        <v>733</v>
      </c>
      <c r="C268" s="135" t="str">
        <f>VLOOKUP(A268,import!A:C,3,0)</f>
        <v>YANLIŞ</v>
      </c>
      <c r="D268" s="135" t="s">
        <v>1341</v>
      </c>
      <c r="E268" s="194" t="str">
        <f>VLOOKUP(A268,import!A:AA,5,0)</f>
        <v/>
      </c>
      <c r="F268" s="194" t="str">
        <f>VLOOKUP(A268,import!A:AA,6,0)</f>
        <v/>
      </c>
      <c r="G268" s="135">
        <f>VLOOKUP(A268,import!A:AA,7,0)</f>
        <v>0</v>
      </c>
      <c r="H268" s="135">
        <f>VLOOKUP(A268,import!A:AA,8,0)</f>
        <v>19</v>
      </c>
      <c r="I268" s="135">
        <f>VLOOKUP(A268,import!A:AA,9,0)</f>
        <v>19</v>
      </c>
      <c r="J268" s="195">
        <f>VLOOKUP(A268,import!A:AA,10,0)</f>
        <v>0</v>
      </c>
      <c r="K268" s="135" t="s">
        <v>2096</v>
      </c>
      <c r="L268" s="135">
        <v>5.32725245E9</v>
      </c>
      <c r="M268" s="135" t="s">
        <v>1318</v>
      </c>
      <c r="N268" s="135" t="s">
        <v>1324</v>
      </c>
      <c r="O268" s="135" t="s">
        <v>2097</v>
      </c>
      <c r="P268" s="135" t="str">
        <f>VLOOKUP(A268,import!A:P,16,0)</f>
        <v>Geleneksel</v>
      </c>
      <c r="Q268" s="196"/>
      <c r="R268" s="196" t="b">
        <v>1</v>
      </c>
      <c r="S268" s="196" t="b">
        <v>0</v>
      </c>
      <c r="T268" s="197" t="s">
        <v>1275</v>
      </c>
      <c r="U268" s="197" t="s">
        <v>1167</v>
      </c>
      <c r="V268" s="197" t="s">
        <v>91</v>
      </c>
      <c r="W268" s="197" t="s">
        <v>2098</v>
      </c>
      <c r="X268" s="198">
        <v>44355.0</v>
      </c>
      <c r="Y268" s="198">
        <v>44357.0</v>
      </c>
      <c r="Z268" s="199"/>
      <c r="AA268" s="200" t="s">
        <v>1202</v>
      </c>
      <c r="AB268" s="201">
        <v>44348.0</v>
      </c>
      <c r="AC268" s="200" t="s">
        <v>1151</v>
      </c>
      <c r="AD268" s="201">
        <v>44348.0</v>
      </c>
      <c r="AE268" s="200" t="s">
        <v>1202</v>
      </c>
      <c r="AF268" s="201">
        <v>44354.0</v>
      </c>
      <c r="AG268" s="200" t="s">
        <v>1151</v>
      </c>
      <c r="AH268" s="201">
        <v>44355.0</v>
      </c>
      <c r="AI268" s="200" t="s">
        <v>1151</v>
      </c>
      <c r="AJ268" s="201">
        <v>44376.0</v>
      </c>
      <c r="AK268" s="200" t="s">
        <v>1232</v>
      </c>
      <c r="AL268" s="200" t="s">
        <v>1232</v>
      </c>
      <c r="AM268" s="200" t="s">
        <v>189</v>
      </c>
      <c r="AN268" s="200" t="s">
        <v>1167</v>
      </c>
      <c r="AO268" s="200" t="s">
        <v>92</v>
      </c>
      <c r="AP268" s="202" t="s">
        <v>1152</v>
      </c>
      <c r="AQ268" s="200"/>
    </row>
    <row r="269">
      <c r="A269" s="135" t="s">
        <v>2099</v>
      </c>
      <c r="B269" s="135" t="s">
        <v>2100</v>
      </c>
      <c r="C269" s="135" t="str">
        <f>VLOOKUP(A269,import!A:C,3,0)</f>
        <v>DOĞRU</v>
      </c>
      <c r="D269" s="135" t="s">
        <v>1188</v>
      </c>
      <c r="E269" s="194">
        <f>VLOOKUP(A269,import!A:AA,5,0)</f>
        <v>2582</v>
      </c>
      <c r="F269" s="194" t="str">
        <f>VLOOKUP(A269,import!A:AA,6,0)</f>
        <v/>
      </c>
      <c r="G269" s="135">
        <f>VLOOKUP(A269,import!A:AA,7,0)</f>
        <v>0</v>
      </c>
      <c r="H269" s="135">
        <f>VLOOKUP(A269,import!A:AA,8,0)</f>
        <v>5</v>
      </c>
      <c r="I269" s="135">
        <f>VLOOKUP(A269,import!A:AA,9,0)</f>
        <v>5</v>
      </c>
      <c r="J269" s="195">
        <f>VLOOKUP(A269,import!A:AA,10,0)</f>
        <v>0</v>
      </c>
      <c r="K269" s="135" t="s">
        <v>2101</v>
      </c>
      <c r="L269" s="135">
        <v>5.456262624E9</v>
      </c>
      <c r="M269" s="135" t="s">
        <v>1318</v>
      </c>
      <c r="N269" s="135" t="s">
        <v>1319</v>
      </c>
      <c r="O269" s="135" t="s">
        <v>2102</v>
      </c>
      <c r="P269" s="135" t="str">
        <f>VLOOKUP(A269,import!A:P,16,0)</f>
        <v>Geleneksel</v>
      </c>
      <c r="Q269" s="196"/>
      <c r="R269" s="196" t="b">
        <v>0</v>
      </c>
      <c r="S269" s="196" t="b">
        <v>0</v>
      </c>
      <c r="T269" s="197"/>
      <c r="U269" s="197"/>
      <c r="V269" s="197"/>
      <c r="W269" s="197"/>
      <c r="X269" s="198"/>
      <c r="Y269" s="198"/>
      <c r="Z269" s="199"/>
      <c r="AA269" s="200"/>
      <c r="AB269" s="201"/>
      <c r="AC269" s="199"/>
      <c r="AD269" s="199"/>
      <c r="AE269" s="105"/>
      <c r="AF269" s="199"/>
      <c r="AG269" s="105"/>
      <c r="AH269" s="199"/>
      <c r="AI269" s="199"/>
      <c r="AJ269" s="199"/>
      <c r="AK269" s="200"/>
      <c r="AL269" s="199"/>
      <c r="AM269" s="199"/>
      <c r="AN269" s="199"/>
      <c r="AO269" s="199"/>
      <c r="AP269" s="202" t="s">
        <v>1152</v>
      </c>
      <c r="AQ269" s="199"/>
    </row>
    <row r="270">
      <c r="A270" s="135" t="s">
        <v>798</v>
      </c>
      <c r="B270" s="135" t="s">
        <v>799</v>
      </c>
      <c r="C270" s="135" t="str">
        <f>VLOOKUP(A270,import!A:C,3,0)</f>
        <v>DOĞRU</v>
      </c>
      <c r="D270" s="135" t="s">
        <v>1182</v>
      </c>
      <c r="E270" s="194">
        <f>VLOOKUP(A270,import!A:AA,5,0)</f>
        <v>144</v>
      </c>
      <c r="F270" s="194" t="str">
        <f>VLOOKUP(A270,import!A:AA,6,0)</f>
        <v/>
      </c>
      <c r="G270" s="135">
        <f>VLOOKUP(A270,import!A:AA,7,0)</f>
        <v>7</v>
      </c>
      <c r="H270" s="135">
        <f>VLOOKUP(A270,import!A:AA,8,0)</f>
        <v>9</v>
      </c>
      <c r="I270" s="135">
        <f>VLOOKUP(A270,import!A:AA,9,0)</f>
        <v>16</v>
      </c>
      <c r="J270" s="195">
        <f>VLOOKUP(A270,import!A:AA,10,0)</f>
        <v>0.44</v>
      </c>
      <c r="K270" s="135" t="s">
        <v>1624</v>
      </c>
      <c r="L270" s="135">
        <v>5.377807454E9</v>
      </c>
      <c r="M270" s="135" t="s">
        <v>1172</v>
      </c>
      <c r="N270" s="135" t="s">
        <v>1300</v>
      </c>
      <c r="O270" s="135" t="s">
        <v>2103</v>
      </c>
      <c r="P270" s="135" t="str">
        <f>VLOOKUP(A270,import!A:P,16,0)</f>
        <v>Geleneksel</v>
      </c>
      <c r="Q270" s="196"/>
      <c r="R270" s="196" t="b">
        <v>1</v>
      </c>
      <c r="S270" s="196" t="b">
        <v>0</v>
      </c>
      <c r="T270" s="197" t="s">
        <v>1165</v>
      </c>
      <c r="U270" s="197" t="s">
        <v>1278</v>
      </c>
      <c r="V270" s="197" t="s">
        <v>91</v>
      </c>
      <c r="W270" s="197"/>
      <c r="X270" s="198">
        <v>44362.0</v>
      </c>
      <c r="Y270" s="198">
        <v>44365.0</v>
      </c>
      <c r="Z270" s="199"/>
      <c r="AA270" s="200" t="s">
        <v>1151</v>
      </c>
      <c r="AB270" s="201">
        <v>44362.0</v>
      </c>
      <c r="AC270" s="199"/>
      <c r="AD270" s="199"/>
      <c r="AE270" s="105"/>
      <c r="AF270" s="199"/>
      <c r="AG270" s="105"/>
      <c r="AH270" s="199"/>
      <c r="AI270" s="199"/>
      <c r="AJ270" s="199"/>
      <c r="AK270" s="200" t="s">
        <v>1278</v>
      </c>
      <c r="AL270" s="199"/>
      <c r="AM270" s="199"/>
      <c r="AN270" s="199"/>
      <c r="AO270" s="199"/>
      <c r="AP270" s="202" t="s">
        <v>1152</v>
      </c>
      <c r="AQ270" s="199"/>
    </row>
    <row r="271">
      <c r="A271" s="135" t="s">
        <v>737</v>
      </c>
      <c r="B271" s="135" t="s">
        <v>738</v>
      </c>
      <c r="C271" s="135" t="str">
        <f>VLOOKUP(A271,import!A:C,3,0)</f>
        <v>DOĞRU</v>
      </c>
      <c r="D271" s="135" t="s">
        <v>1302</v>
      </c>
      <c r="E271" s="194">
        <f>VLOOKUP(A271,import!A:AA,5,0)</f>
        <v>364</v>
      </c>
      <c r="F271" s="194" t="str">
        <f>VLOOKUP(A271,import!A:AA,6,0)</f>
        <v/>
      </c>
      <c r="G271" s="135">
        <f>VLOOKUP(A271,import!A:AA,7,0)</f>
        <v>14</v>
      </c>
      <c r="H271" s="135">
        <f>VLOOKUP(A271,import!A:AA,8,0)</f>
        <v>14</v>
      </c>
      <c r="I271" s="135">
        <f>VLOOKUP(A271,import!A:AA,9,0)</f>
        <v>28</v>
      </c>
      <c r="J271" s="195">
        <f>VLOOKUP(A271,import!A:AA,10,0)</f>
        <v>0.5</v>
      </c>
      <c r="K271" s="135" t="s">
        <v>2104</v>
      </c>
      <c r="L271" s="135">
        <v>5.439312289E9</v>
      </c>
      <c r="M271" s="135" t="s">
        <v>1172</v>
      </c>
      <c r="N271" s="135" t="s">
        <v>2105</v>
      </c>
      <c r="O271" s="135" t="s">
        <v>741</v>
      </c>
      <c r="P271" s="135" t="str">
        <f>VLOOKUP(A271,import!A:P,16,0)</f>
        <v>Geleneksel</v>
      </c>
      <c r="Q271" s="196"/>
      <c r="R271" s="196" t="b">
        <v>1</v>
      </c>
      <c r="S271" s="196" t="b">
        <v>0</v>
      </c>
      <c r="T271" s="197" t="s">
        <v>1165</v>
      </c>
      <c r="U271" s="197" t="s">
        <v>1167</v>
      </c>
      <c r="V271" s="197" t="s">
        <v>91</v>
      </c>
      <c r="W271" s="197" t="s">
        <v>2106</v>
      </c>
      <c r="X271" s="198">
        <v>44355.0</v>
      </c>
      <c r="Y271" s="198">
        <v>44357.0</v>
      </c>
      <c r="Z271" s="199"/>
      <c r="AA271" s="200" t="s">
        <v>1151</v>
      </c>
      <c r="AB271" s="201">
        <v>44355.0</v>
      </c>
      <c r="AC271" s="200" t="s">
        <v>1151</v>
      </c>
      <c r="AD271" s="201">
        <v>44363.0</v>
      </c>
      <c r="AE271" s="105"/>
      <c r="AF271" s="199"/>
      <c r="AG271" s="105"/>
      <c r="AH271" s="199"/>
      <c r="AI271" s="199"/>
      <c r="AJ271" s="199"/>
      <c r="AK271" s="200" t="s">
        <v>1167</v>
      </c>
      <c r="AL271" s="200" t="s">
        <v>1167</v>
      </c>
      <c r="AM271" s="199"/>
      <c r="AN271" s="199"/>
      <c r="AO271" s="199"/>
      <c r="AP271" s="202" t="s">
        <v>1152</v>
      </c>
      <c r="AQ271" s="199"/>
    </row>
    <row r="272">
      <c r="A272" s="202" t="s">
        <v>2107</v>
      </c>
      <c r="B272" s="202" t="s">
        <v>2108</v>
      </c>
      <c r="C272" s="135" t="str">
        <f>VLOOKUP(A272,import!A:C,3,0)</f>
        <v>DOĞRU</v>
      </c>
      <c r="D272" s="202" t="s">
        <v>1188</v>
      </c>
      <c r="E272" s="194" t="str">
        <f>VLOOKUP(A272,import!A:AA,5,0)</f>
        <v/>
      </c>
      <c r="F272" s="194" t="str">
        <f>VLOOKUP(A272,import!A:AA,6,0)</f>
        <v/>
      </c>
      <c r="G272" s="135">
        <f>VLOOKUP(A272,import!A:AA,7,0)</f>
        <v>0</v>
      </c>
      <c r="H272" s="135">
        <f>VLOOKUP(A272,import!A:AA,8,0)</f>
        <v>30</v>
      </c>
      <c r="I272" s="135">
        <f>VLOOKUP(A272,import!A:AA,9,0)</f>
        <v>30</v>
      </c>
      <c r="J272" s="195">
        <f>VLOOKUP(A272,import!A:AA,10,0)</f>
        <v>0</v>
      </c>
      <c r="K272" s="202" t="s">
        <v>2109</v>
      </c>
      <c r="L272" s="202">
        <v>5.424047784E9</v>
      </c>
      <c r="M272" s="202" t="s">
        <v>1318</v>
      </c>
      <c r="N272" s="202" t="s">
        <v>1324</v>
      </c>
      <c r="O272" s="202" t="s">
        <v>1325</v>
      </c>
      <c r="P272" s="135" t="str">
        <f>VLOOKUP(A272,import!A:P,16,0)</f>
        <v>Geleneksel</v>
      </c>
      <c r="Q272" s="196"/>
      <c r="R272" s="196" t="b">
        <v>0</v>
      </c>
      <c r="S272" s="196" t="b">
        <v>0</v>
      </c>
      <c r="T272" s="197"/>
      <c r="U272" s="197"/>
      <c r="V272" s="197"/>
      <c r="W272" s="197"/>
      <c r="X272" s="198"/>
      <c r="Y272" s="198"/>
      <c r="Z272" s="199"/>
      <c r="AA272" s="200"/>
      <c r="AB272" s="201"/>
      <c r="AC272" s="199"/>
      <c r="AD272" s="199"/>
      <c r="AE272" s="105"/>
      <c r="AF272" s="199"/>
      <c r="AG272" s="105"/>
      <c r="AH272" s="199"/>
      <c r="AI272" s="199"/>
      <c r="AJ272" s="199"/>
      <c r="AK272" s="200"/>
      <c r="AL272" s="199"/>
      <c r="AM272" s="199"/>
      <c r="AN272" s="199"/>
      <c r="AO272" s="199"/>
      <c r="AP272" s="202"/>
      <c r="AQ272" s="199"/>
    </row>
    <row r="273">
      <c r="A273" s="135" t="s">
        <v>2110</v>
      </c>
      <c r="B273" s="135" t="s">
        <v>2111</v>
      </c>
      <c r="C273" s="135" t="str">
        <f>VLOOKUP(A273,import!A:C,3,0)</f>
        <v>DOĞRU</v>
      </c>
      <c r="D273" s="135" t="s">
        <v>1216</v>
      </c>
      <c r="E273" s="194">
        <f>VLOOKUP(A273,import!A:AA,5,0)</f>
        <v>4928</v>
      </c>
      <c r="F273" s="194">
        <f>VLOOKUP(A273,import!A:AA,6,0)</f>
        <v>194</v>
      </c>
      <c r="G273" s="135">
        <f>VLOOKUP(A273,import!A:AA,7,0)</f>
        <v>0</v>
      </c>
      <c r="H273" s="135">
        <f>VLOOKUP(A273,import!A:AA,8,0)</f>
        <v>16</v>
      </c>
      <c r="I273" s="135">
        <f>VLOOKUP(A273,import!A:AA,9,0)</f>
        <v>16</v>
      </c>
      <c r="J273" s="195">
        <f>VLOOKUP(A273,import!A:AA,10,0)</f>
        <v>0</v>
      </c>
      <c r="K273" s="135" t="s">
        <v>2112</v>
      </c>
      <c r="L273" s="135">
        <v>5.538319554E9</v>
      </c>
      <c r="M273" s="135" t="s">
        <v>1147</v>
      </c>
      <c r="N273" s="135" t="s">
        <v>1200</v>
      </c>
      <c r="O273" s="135" t="s">
        <v>2113</v>
      </c>
      <c r="P273" s="135" t="str">
        <f>VLOOKUP(A273,import!A:P,16,0)</f>
        <v>Geleneksel</v>
      </c>
      <c r="Q273" s="196"/>
      <c r="R273" s="196" t="b">
        <v>1</v>
      </c>
      <c r="S273" s="196" t="b">
        <v>0</v>
      </c>
      <c r="T273" s="197" t="s">
        <v>1209</v>
      </c>
      <c r="U273" s="197"/>
      <c r="V273" s="197"/>
      <c r="W273" s="197" t="s">
        <v>2114</v>
      </c>
      <c r="X273" s="198"/>
      <c r="Y273" s="198"/>
      <c r="Z273" s="199"/>
      <c r="AA273" s="200" t="s">
        <v>1151</v>
      </c>
      <c r="AB273" s="201">
        <v>44349.0</v>
      </c>
      <c r="AC273" s="200" t="s">
        <v>1253</v>
      </c>
      <c r="AD273" s="201">
        <v>44362.0</v>
      </c>
      <c r="AE273" s="200" t="s">
        <v>1151</v>
      </c>
      <c r="AF273" s="201">
        <v>44376.0</v>
      </c>
      <c r="AG273" s="105"/>
      <c r="AH273" s="199"/>
      <c r="AI273" s="199"/>
      <c r="AJ273" s="199"/>
      <c r="AK273" s="200" t="s">
        <v>1232</v>
      </c>
      <c r="AL273" s="200" t="s">
        <v>1204</v>
      </c>
      <c r="AM273" s="200" t="s">
        <v>1518</v>
      </c>
      <c r="AN273" s="199"/>
      <c r="AO273" s="199"/>
      <c r="AP273" s="202" t="s">
        <v>1152</v>
      </c>
      <c r="AQ273" s="199"/>
    </row>
    <row r="274">
      <c r="A274" s="135" t="s">
        <v>2115</v>
      </c>
      <c r="B274" s="135" t="s">
        <v>2116</v>
      </c>
      <c r="C274" s="135" t="str">
        <f>VLOOKUP(A274,import!A:C,3,0)</f>
        <v>YANLIŞ</v>
      </c>
      <c r="D274" s="135" t="s">
        <v>1170</v>
      </c>
      <c r="E274" s="194">
        <f>VLOOKUP(A274,import!A:AA,5,0)</f>
        <v>58</v>
      </c>
      <c r="F274" s="194" t="str">
        <f>VLOOKUP(A274,import!A:AA,6,0)</f>
        <v/>
      </c>
      <c r="G274" s="135">
        <f>VLOOKUP(A274,import!A:AA,7,0)</f>
        <v>0</v>
      </c>
      <c r="H274" s="135">
        <f>VLOOKUP(A274,import!A:AA,8,0)</f>
        <v>7</v>
      </c>
      <c r="I274" s="135">
        <f>VLOOKUP(A274,import!A:AA,9,0)</f>
        <v>7</v>
      </c>
      <c r="J274" s="195">
        <f>VLOOKUP(A274,import!A:AA,10,0)</f>
        <v>0</v>
      </c>
      <c r="K274" s="135" t="s">
        <v>2117</v>
      </c>
      <c r="L274" s="135">
        <v>5.071580433E9</v>
      </c>
      <c r="M274" s="135" t="s">
        <v>1172</v>
      </c>
      <c r="N274" s="135" t="s">
        <v>1556</v>
      </c>
      <c r="O274" s="135" t="s">
        <v>2118</v>
      </c>
      <c r="P274" s="135" t="str">
        <f>VLOOKUP(A274,import!A:P,16,0)</f>
        <v>Geleneksel</v>
      </c>
      <c r="Q274" s="196"/>
      <c r="R274" s="196" t="b">
        <v>1</v>
      </c>
      <c r="S274" s="196" t="b">
        <v>0</v>
      </c>
      <c r="T274" s="197" t="s">
        <v>1289</v>
      </c>
      <c r="U274" s="204"/>
      <c r="V274" s="204"/>
      <c r="W274" s="197" t="s">
        <v>2119</v>
      </c>
      <c r="X274" s="206"/>
      <c r="Y274" s="206"/>
      <c r="Z274" s="199"/>
      <c r="AA274" s="200" t="s">
        <v>1151</v>
      </c>
      <c r="AB274" s="201">
        <v>44358.0</v>
      </c>
      <c r="AC274" s="200" t="s">
        <v>1254</v>
      </c>
      <c r="AD274" s="201">
        <v>44363.0</v>
      </c>
      <c r="AE274" s="200" t="s">
        <v>1277</v>
      </c>
      <c r="AF274" s="201">
        <v>44368.0</v>
      </c>
      <c r="AG274" s="200" t="s">
        <v>1202</v>
      </c>
      <c r="AH274" s="201">
        <v>44371.0</v>
      </c>
      <c r="AI274" s="200" t="s">
        <v>1202</v>
      </c>
      <c r="AJ274" s="201">
        <v>44405.0</v>
      </c>
      <c r="AK274" s="200" t="s">
        <v>1278</v>
      </c>
      <c r="AL274" s="200" t="s">
        <v>1167</v>
      </c>
      <c r="AM274" s="200" t="s">
        <v>257</v>
      </c>
      <c r="AN274" s="200" t="s">
        <v>189</v>
      </c>
      <c r="AO274" s="200" t="s">
        <v>1255</v>
      </c>
      <c r="AP274" s="202" t="s">
        <v>1152</v>
      </c>
      <c r="AQ274" s="200"/>
    </row>
    <row r="275">
      <c r="A275" s="135" t="s">
        <v>635</v>
      </c>
      <c r="B275" s="135" t="s">
        <v>636</v>
      </c>
      <c r="C275" s="135" t="str">
        <f>VLOOKUP(A275,import!A:C,3,0)</f>
        <v>DOĞRU</v>
      </c>
      <c r="D275" s="135" t="s">
        <v>1162</v>
      </c>
      <c r="E275" s="194">
        <f>VLOOKUP(A275,import!A:AA,5,0)</f>
        <v>660</v>
      </c>
      <c r="F275" s="194" t="str">
        <f>VLOOKUP(A275,import!A:AA,6,0)</f>
        <v/>
      </c>
      <c r="G275" s="135">
        <f>VLOOKUP(A275,import!A:AA,7,0)</f>
        <v>6</v>
      </c>
      <c r="H275" s="135">
        <f>VLOOKUP(A275,import!A:AA,8,0)</f>
        <v>16</v>
      </c>
      <c r="I275" s="135">
        <f>VLOOKUP(A275,import!A:AA,9,0)</f>
        <v>22</v>
      </c>
      <c r="J275" s="195">
        <f>VLOOKUP(A275,import!A:AA,10,0)</f>
        <v>0.27</v>
      </c>
      <c r="K275" s="135" t="s">
        <v>2120</v>
      </c>
      <c r="L275" s="135">
        <v>5.300657459E9</v>
      </c>
      <c r="M275" s="135" t="s">
        <v>1172</v>
      </c>
      <c r="N275" s="135" t="s">
        <v>1190</v>
      </c>
      <c r="O275" s="135" t="s">
        <v>638</v>
      </c>
      <c r="P275" s="135" t="str">
        <f>VLOOKUP(A275,import!A:P,16,0)</f>
        <v>Geleneksel</v>
      </c>
      <c r="Q275" s="196"/>
      <c r="R275" s="196" t="b">
        <v>1</v>
      </c>
      <c r="S275" s="196" t="b">
        <v>0</v>
      </c>
      <c r="T275" s="197" t="s">
        <v>1165</v>
      </c>
      <c r="U275" s="197" t="s">
        <v>1204</v>
      </c>
      <c r="V275" s="208" t="s">
        <v>91</v>
      </c>
      <c r="W275" s="197" t="s">
        <v>2121</v>
      </c>
      <c r="X275" s="198">
        <v>44371.0</v>
      </c>
      <c r="Y275" s="198">
        <v>44375.0</v>
      </c>
      <c r="Z275" s="199"/>
      <c r="AA275" s="200" t="s">
        <v>1151</v>
      </c>
      <c r="AB275" s="201">
        <v>44371.0</v>
      </c>
      <c r="AC275" s="199"/>
      <c r="AD275" s="199"/>
      <c r="AE275" s="105"/>
      <c r="AF275" s="199"/>
      <c r="AG275" s="105"/>
      <c r="AH275" s="199"/>
      <c r="AI275" s="199"/>
      <c r="AJ275" s="199"/>
      <c r="AK275" s="200" t="s">
        <v>1204</v>
      </c>
      <c r="AL275" s="199"/>
      <c r="AM275" s="199"/>
      <c r="AN275" s="199"/>
      <c r="AO275" s="199"/>
      <c r="AP275" s="202" t="s">
        <v>1152</v>
      </c>
      <c r="AQ275" s="199"/>
    </row>
    <row r="276">
      <c r="A276" s="135" t="s">
        <v>231</v>
      </c>
      <c r="B276" s="135" t="s">
        <v>232</v>
      </c>
      <c r="C276" s="135" t="str">
        <f>VLOOKUP(A276,import!A:C,3,0)</f>
        <v>YANLIŞ</v>
      </c>
      <c r="D276" s="135" t="s">
        <v>1155</v>
      </c>
      <c r="E276" s="194">
        <f>VLOOKUP(A276,import!A:AA,5,0)</f>
        <v>129</v>
      </c>
      <c r="F276" s="194" t="str">
        <f>VLOOKUP(A276,import!A:AA,6,0)</f>
        <v/>
      </c>
      <c r="G276" s="135">
        <f>VLOOKUP(A276,import!A:AA,7,0)</f>
        <v>8</v>
      </c>
      <c r="H276" s="135">
        <f>VLOOKUP(A276,import!A:AA,8,0)</f>
        <v>24</v>
      </c>
      <c r="I276" s="135">
        <f>VLOOKUP(A276,import!A:AA,9,0)</f>
        <v>32</v>
      </c>
      <c r="J276" s="195">
        <f>VLOOKUP(A276,import!A:AA,10,0)</f>
        <v>0.25</v>
      </c>
      <c r="K276" s="135" t="s">
        <v>2122</v>
      </c>
      <c r="L276" s="135">
        <v>5.428194161E9</v>
      </c>
      <c r="M276" s="135" t="s">
        <v>1318</v>
      </c>
      <c r="N276" s="135" t="s">
        <v>1636</v>
      </c>
      <c r="O276" s="135" t="s">
        <v>236</v>
      </c>
      <c r="P276" s="135" t="str">
        <f>VLOOKUP(A276,import!A:P,16,0)</f>
        <v>Geleneksel</v>
      </c>
      <c r="Q276" s="196"/>
      <c r="R276" s="196" t="b">
        <v>1</v>
      </c>
      <c r="S276" s="196" t="b">
        <v>0</v>
      </c>
      <c r="T276" s="197" t="s">
        <v>1165</v>
      </c>
      <c r="U276" s="197" t="s">
        <v>22</v>
      </c>
      <c r="V276" s="197" t="s">
        <v>91</v>
      </c>
      <c r="W276" s="197" t="s">
        <v>2123</v>
      </c>
      <c r="X276" s="198">
        <v>44301.0</v>
      </c>
      <c r="Y276" s="198">
        <v>44301.0</v>
      </c>
      <c r="Z276" s="199"/>
      <c r="AA276" s="200" t="s">
        <v>1151</v>
      </c>
      <c r="AB276" s="201">
        <v>44375.0</v>
      </c>
      <c r="AC276" s="199"/>
      <c r="AD276" s="199"/>
      <c r="AE276" s="105"/>
      <c r="AF276" s="199"/>
      <c r="AG276" s="105"/>
      <c r="AH276" s="199"/>
      <c r="AI276" s="199"/>
      <c r="AJ276" s="199"/>
      <c r="AK276" s="200" t="s">
        <v>92</v>
      </c>
      <c r="AL276" s="199"/>
      <c r="AM276" s="199"/>
      <c r="AN276" s="199"/>
      <c r="AO276" s="199"/>
      <c r="AP276" s="202" t="s">
        <v>1152</v>
      </c>
      <c r="AQ276" s="199"/>
    </row>
    <row r="277">
      <c r="A277" s="135" t="s">
        <v>461</v>
      </c>
      <c r="B277" s="135" t="s">
        <v>809</v>
      </c>
      <c r="C277" s="135" t="str">
        <f>VLOOKUP(A277,import!A:C,3,0)</f>
        <v>YANLIŞ</v>
      </c>
      <c r="D277" s="135" t="s">
        <v>1162</v>
      </c>
      <c r="E277" s="194">
        <f>VLOOKUP(A277,import!A:AA,5,0)</f>
        <v>98</v>
      </c>
      <c r="F277" s="194" t="str">
        <f>VLOOKUP(A277,import!A:AA,6,0)</f>
        <v/>
      </c>
      <c r="G277" s="135">
        <f>VLOOKUP(A277,import!A:AA,7,0)</f>
        <v>5</v>
      </c>
      <c r="H277" s="135">
        <f>VLOOKUP(A277,import!A:AA,8,0)</f>
        <v>34</v>
      </c>
      <c r="I277" s="135">
        <f>VLOOKUP(A277,import!A:AA,9,0)</f>
        <v>39</v>
      </c>
      <c r="J277" s="195">
        <f>VLOOKUP(A277,import!A:AA,10,0)</f>
        <v>0.13</v>
      </c>
      <c r="K277" s="135" t="s">
        <v>2124</v>
      </c>
      <c r="L277" s="135">
        <v>5.434311111E9</v>
      </c>
      <c r="M277" s="135" t="s">
        <v>1172</v>
      </c>
      <c r="N277" s="135" t="s">
        <v>1379</v>
      </c>
      <c r="O277" s="135" t="s">
        <v>464</v>
      </c>
      <c r="P277" s="135" t="str">
        <f>VLOOKUP(A277,import!A:P,16,0)</f>
        <v>Geleneksel</v>
      </c>
      <c r="Q277" s="196"/>
      <c r="R277" s="196" t="b">
        <v>1</v>
      </c>
      <c r="S277" s="196" t="b">
        <v>0</v>
      </c>
      <c r="T277" s="197" t="s">
        <v>1165</v>
      </c>
      <c r="U277" s="197" t="s">
        <v>1167</v>
      </c>
      <c r="V277" s="197" t="s">
        <v>91</v>
      </c>
      <c r="W277" s="197" t="s">
        <v>2125</v>
      </c>
      <c r="X277" s="198">
        <v>44363.0</v>
      </c>
      <c r="Y277" s="198">
        <v>44368.0</v>
      </c>
      <c r="Z277" s="199"/>
      <c r="AA277" s="200" t="s">
        <v>1151</v>
      </c>
      <c r="AB277" s="201">
        <v>44363.0</v>
      </c>
      <c r="AC277" s="199"/>
      <c r="AD277" s="199"/>
      <c r="AE277" s="105"/>
      <c r="AF277" s="199"/>
      <c r="AG277" s="105"/>
      <c r="AH277" s="199"/>
      <c r="AI277" s="199"/>
      <c r="AJ277" s="199"/>
      <c r="AK277" s="200" t="s">
        <v>1167</v>
      </c>
      <c r="AL277" s="199"/>
      <c r="AM277" s="199"/>
      <c r="AN277" s="199"/>
      <c r="AO277" s="199"/>
      <c r="AP277" s="202" t="s">
        <v>1152</v>
      </c>
      <c r="AQ277" s="199"/>
    </row>
    <row r="278">
      <c r="A278" s="135" t="s">
        <v>28</v>
      </c>
      <c r="B278" s="135" t="s">
        <v>29</v>
      </c>
      <c r="C278" s="135" t="str">
        <f>VLOOKUP(A278,import!A:C,3,0)</f>
        <v>DOĞRU</v>
      </c>
      <c r="D278" s="135" t="s">
        <v>1162</v>
      </c>
      <c r="E278" s="194">
        <f>VLOOKUP(A278,import!A:AA,5,0)</f>
        <v>5615</v>
      </c>
      <c r="F278" s="194">
        <f>VLOOKUP(A278,import!A:AA,6,0)</f>
        <v>125</v>
      </c>
      <c r="G278" s="135">
        <f>VLOOKUP(A278,import!A:AA,7,0)</f>
        <v>7</v>
      </c>
      <c r="H278" s="135">
        <f>VLOOKUP(A278,import!A:AA,8,0)</f>
        <v>33</v>
      </c>
      <c r="I278" s="135">
        <f>VLOOKUP(A278,import!A:AA,9,0)</f>
        <v>40</v>
      </c>
      <c r="J278" s="195">
        <f>VLOOKUP(A278,import!A:AA,10,0)</f>
        <v>0.18</v>
      </c>
      <c r="K278" s="135" t="s">
        <v>2126</v>
      </c>
      <c r="L278" s="135">
        <v>5.423614452E9</v>
      </c>
      <c r="M278" s="135" t="s">
        <v>1147</v>
      </c>
      <c r="N278" s="135" t="s">
        <v>1200</v>
      </c>
      <c r="O278" s="135" t="s">
        <v>32</v>
      </c>
      <c r="P278" s="135" t="str">
        <f>VLOOKUP(A278,import!A:P,16,0)</f>
        <v>Geleneksel</v>
      </c>
      <c r="Q278" s="196"/>
      <c r="R278" s="196" t="b">
        <v>1</v>
      </c>
      <c r="S278" s="196" t="b">
        <v>0</v>
      </c>
      <c r="T278" s="211" t="s">
        <v>1165</v>
      </c>
      <c r="U278" s="211" t="s">
        <v>73</v>
      </c>
      <c r="V278" s="211" t="s">
        <v>15</v>
      </c>
      <c r="W278" s="211" t="s">
        <v>2127</v>
      </c>
      <c r="X278" s="214">
        <v>44287.0</v>
      </c>
      <c r="Y278" s="214">
        <v>44293.0</v>
      </c>
      <c r="Z278" s="199"/>
      <c r="AA278" s="200" t="s">
        <v>1254</v>
      </c>
      <c r="AB278" s="201">
        <v>44351.0</v>
      </c>
      <c r="AC278" s="199"/>
      <c r="AD278" s="199"/>
      <c r="AE278" s="105"/>
      <c r="AF278" s="199"/>
      <c r="AG278" s="105"/>
      <c r="AH278" s="199"/>
      <c r="AI278" s="199"/>
      <c r="AJ278" s="199"/>
      <c r="AK278" s="200" t="s">
        <v>257</v>
      </c>
      <c r="AL278" s="199"/>
      <c r="AM278" s="199"/>
      <c r="AN278" s="199"/>
      <c r="AO278" s="199"/>
      <c r="AP278" s="202" t="s">
        <v>1152</v>
      </c>
      <c r="AQ278" s="199"/>
    </row>
    <row r="279">
      <c r="A279" s="135" t="s">
        <v>2128</v>
      </c>
      <c r="B279" s="135" t="s">
        <v>2129</v>
      </c>
      <c r="C279" s="135" t="str">
        <f>VLOOKUP(A279,import!A:C,3,0)</f>
        <v>YANLIŞ</v>
      </c>
      <c r="D279" s="135" t="s">
        <v>2130</v>
      </c>
      <c r="E279" s="194" t="str">
        <f>VLOOKUP(A279,import!A:AA,5,0)</f>
        <v/>
      </c>
      <c r="F279" s="194" t="str">
        <f>VLOOKUP(A279,import!A:AA,6,0)</f>
        <v/>
      </c>
      <c r="G279" s="135">
        <f>VLOOKUP(A279,import!A:AA,7,0)</f>
        <v>0</v>
      </c>
      <c r="H279" s="135">
        <f>VLOOKUP(A279,import!A:AA,8,0)</f>
        <v>4</v>
      </c>
      <c r="I279" s="135">
        <f>VLOOKUP(A279,import!A:AA,9,0)</f>
        <v>4</v>
      </c>
      <c r="J279" s="195">
        <f>VLOOKUP(A279,import!A:AA,10,0)</f>
        <v>0</v>
      </c>
      <c r="K279" s="135" t="s">
        <v>2131</v>
      </c>
      <c r="L279" s="135">
        <v>5.332346953E9</v>
      </c>
      <c r="M279" s="135" t="s">
        <v>1147</v>
      </c>
      <c r="N279" s="135" t="s">
        <v>1164</v>
      </c>
      <c r="O279" s="135" t="s">
        <v>2132</v>
      </c>
      <c r="P279" s="135" t="str">
        <f>VLOOKUP(A279,import!A:P,16,0)</f>
        <v>Geleneksel</v>
      </c>
      <c r="Q279" s="196"/>
      <c r="R279" s="196" t="b">
        <v>1</v>
      </c>
      <c r="S279" s="196" t="b">
        <v>0</v>
      </c>
      <c r="T279" s="197" t="s">
        <v>1275</v>
      </c>
      <c r="U279" s="197"/>
      <c r="V279" s="197"/>
      <c r="W279" s="197"/>
      <c r="X279" s="198"/>
      <c r="Y279" s="198"/>
      <c r="Z279" s="199"/>
      <c r="AA279" s="200" t="s">
        <v>1151</v>
      </c>
      <c r="AB279" s="201">
        <v>44608.0</v>
      </c>
      <c r="AC279" s="199"/>
      <c r="AD279" s="199"/>
      <c r="AE279" s="105"/>
      <c r="AF279" s="199"/>
      <c r="AG279" s="105"/>
      <c r="AH279" s="199"/>
      <c r="AI279" s="199"/>
      <c r="AJ279" s="199"/>
      <c r="AK279" s="200" t="s">
        <v>1006</v>
      </c>
      <c r="AL279" s="199"/>
      <c r="AM279" s="199"/>
      <c r="AN279" s="199"/>
      <c r="AO279" s="199"/>
      <c r="AP279" s="202"/>
      <c r="AQ279" s="199"/>
    </row>
    <row r="280">
      <c r="A280" s="135" t="s">
        <v>2133</v>
      </c>
      <c r="B280" s="135" t="s">
        <v>2134</v>
      </c>
      <c r="C280" s="135" t="str">
        <f>VLOOKUP(A280,import!A:C,3,0)</f>
        <v>YANLIŞ</v>
      </c>
      <c r="D280" s="135" t="s">
        <v>2130</v>
      </c>
      <c r="E280" s="194" t="str">
        <f>VLOOKUP(A280,import!A:AA,5,0)</f>
        <v/>
      </c>
      <c r="F280" s="194" t="str">
        <f>VLOOKUP(A280,import!A:AA,6,0)</f>
        <v/>
      </c>
      <c r="G280" s="135">
        <f>VLOOKUP(A280,import!A:AA,7,0)</f>
        <v>0</v>
      </c>
      <c r="H280" s="135">
        <f>VLOOKUP(A280,import!A:AA,8,0)</f>
        <v>4</v>
      </c>
      <c r="I280" s="135">
        <f>VLOOKUP(A280,import!A:AA,9,0)</f>
        <v>4</v>
      </c>
      <c r="J280" s="195">
        <f>VLOOKUP(A280,import!A:AA,10,0)</f>
        <v>0</v>
      </c>
      <c r="K280" s="135" t="s">
        <v>2131</v>
      </c>
      <c r="L280" s="135">
        <v>5.372159553E9</v>
      </c>
      <c r="M280" s="135" t="s">
        <v>1172</v>
      </c>
      <c r="N280" s="135" t="s">
        <v>2135</v>
      </c>
      <c r="O280" s="135" t="s">
        <v>819</v>
      </c>
      <c r="P280" s="135" t="str">
        <f>VLOOKUP(A280,import!A:P,16,0)</f>
        <v>Geleneksel</v>
      </c>
      <c r="Q280" s="196"/>
      <c r="R280" s="196" t="b">
        <v>1</v>
      </c>
      <c r="S280" s="196" t="b">
        <v>0</v>
      </c>
      <c r="T280" s="197" t="s">
        <v>1275</v>
      </c>
      <c r="U280" s="197"/>
      <c r="V280" s="208"/>
      <c r="W280" s="197" t="s">
        <v>2136</v>
      </c>
      <c r="X280" s="198"/>
      <c r="Y280" s="198"/>
      <c r="Z280" s="199"/>
      <c r="AA280" s="200" t="s">
        <v>1277</v>
      </c>
      <c r="AB280" s="201">
        <v>44607.0</v>
      </c>
      <c r="AC280" s="200" t="s">
        <v>1202</v>
      </c>
      <c r="AD280" s="201">
        <v>44609.0</v>
      </c>
      <c r="AE280" s="105"/>
      <c r="AF280" s="199"/>
      <c r="AG280" s="105"/>
      <c r="AH280" s="199"/>
      <c r="AI280" s="199"/>
      <c r="AJ280" s="199"/>
      <c r="AK280" s="200" t="s">
        <v>1161</v>
      </c>
      <c r="AL280" s="200" t="s">
        <v>1024</v>
      </c>
      <c r="AM280" s="199"/>
      <c r="AN280" s="199"/>
      <c r="AO280" s="199"/>
      <c r="AP280" s="202"/>
      <c r="AQ280" s="199"/>
    </row>
    <row r="281">
      <c r="A281" s="135" t="s">
        <v>141</v>
      </c>
      <c r="B281" s="135" t="s">
        <v>2137</v>
      </c>
      <c r="C281" s="135" t="str">
        <f>VLOOKUP(A281,import!A:C,3,0)</f>
        <v>DOĞRU</v>
      </c>
      <c r="D281" s="135" t="s">
        <v>1155</v>
      </c>
      <c r="E281" s="194">
        <f>VLOOKUP(A281,import!A:AA,5,0)</f>
        <v>5516</v>
      </c>
      <c r="F281" s="194">
        <f>VLOOKUP(A281,import!A:AA,6,0)</f>
        <v>83</v>
      </c>
      <c r="G281" s="135">
        <f>VLOOKUP(A281,import!A:AA,7,0)</f>
        <v>9</v>
      </c>
      <c r="H281" s="135">
        <f>VLOOKUP(A281,import!A:AA,8,0)</f>
        <v>29</v>
      </c>
      <c r="I281" s="135">
        <f>VLOOKUP(A281,import!A:AA,9,0)</f>
        <v>38</v>
      </c>
      <c r="J281" s="195">
        <f>VLOOKUP(A281,import!A:AA,10,0)</f>
        <v>0.24</v>
      </c>
      <c r="K281" s="135" t="s">
        <v>2138</v>
      </c>
      <c r="L281" s="135">
        <v>2.642744454E9</v>
      </c>
      <c r="M281" s="135" t="s">
        <v>1172</v>
      </c>
      <c r="N281" s="135" t="s">
        <v>1379</v>
      </c>
      <c r="O281" s="135" t="s">
        <v>2139</v>
      </c>
      <c r="P281" s="135" t="str">
        <f>VLOOKUP(A281,import!A:P,16,0)</f>
        <v>Geleneksel</v>
      </c>
      <c r="Q281" s="196"/>
      <c r="R281" s="196" t="b">
        <v>1</v>
      </c>
      <c r="S281" s="196" t="b">
        <v>0</v>
      </c>
      <c r="T281" s="197" t="s">
        <v>1165</v>
      </c>
      <c r="U281" s="197" t="s">
        <v>140</v>
      </c>
      <c r="V281" s="197"/>
      <c r="W281" s="197" t="s">
        <v>2140</v>
      </c>
      <c r="X281" s="198">
        <v>44295.0</v>
      </c>
      <c r="Y281" s="198">
        <v>44298.0</v>
      </c>
      <c r="Z281" s="199"/>
      <c r="AA281" s="200" t="s">
        <v>1254</v>
      </c>
      <c r="AB281" s="201">
        <v>44368.0</v>
      </c>
      <c r="AC281" s="200" t="s">
        <v>1254</v>
      </c>
      <c r="AD281" s="201">
        <v>44379.0</v>
      </c>
      <c r="AE281" s="105"/>
      <c r="AF281" s="199"/>
      <c r="AG281" s="105"/>
      <c r="AH281" s="199"/>
      <c r="AI281" s="199"/>
      <c r="AJ281" s="199"/>
      <c r="AK281" s="200" t="s">
        <v>257</v>
      </c>
      <c r="AL281" s="200" t="s">
        <v>1167</v>
      </c>
      <c r="AM281" s="199"/>
      <c r="AN281" s="199"/>
      <c r="AO281" s="199"/>
      <c r="AP281" s="202" t="s">
        <v>1152</v>
      </c>
      <c r="AQ281" s="199"/>
    </row>
    <row r="282">
      <c r="A282" s="135" t="s">
        <v>2141</v>
      </c>
      <c r="B282" s="135" t="s">
        <v>2142</v>
      </c>
      <c r="C282" s="135" t="str">
        <f>VLOOKUP(A282,import!A:C,3,0)</f>
        <v>DOĞRU</v>
      </c>
      <c r="D282" s="135" t="s">
        <v>1341</v>
      </c>
      <c r="E282" s="194">
        <f>VLOOKUP(A282,import!A:AA,5,0)</f>
        <v>434</v>
      </c>
      <c r="F282" s="194">
        <f>VLOOKUP(A282,import!A:AA,6,0)</f>
        <v>3</v>
      </c>
      <c r="G282" s="135">
        <f>VLOOKUP(A282,import!A:AA,7,0)</f>
        <v>0</v>
      </c>
      <c r="H282" s="135">
        <f>VLOOKUP(A282,import!A:AA,8,0)</f>
        <v>11</v>
      </c>
      <c r="I282" s="135">
        <f>VLOOKUP(A282,import!A:AA,9,0)</f>
        <v>11</v>
      </c>
      <c r="J282" s="195">
        <f>VLOOKUP(A282,import!A:AA,10,0)</f>
        <v>0</v>
      </c>
      <c r="K282" s="135" t="s">
        <v>2143</v>
      </c>
      <c r="L282" s="135">
        <v>5.443111257E9</v>
      </c>
      <c r="M282" s="135" t="s">
        <v>1242</v>
      </c>
      <c r="N282" s="135" t="s">
        <v>1243</v>
      </c>
      <c r="O282" s="135" t="s">
        <v>2144</v>
      </c>
      <c r="P282" s="135" t="str">
        <f>VLOOKUP(A282,import!A:P,16,0)</f>
        <v>Geleneksel</v>
      </c>
      <c r="Q282" s="196"/>
      <c r="R282" s="196" t="b">
        <v>0</v>
      </c>
      <c r="S282" s="196" t="b">
        <v>0</v>
      </c>
      <c r="T282" s="197"/>
      <c r="U282" s="204"/>
      <c r="V282" s="204"/>
      <c r="W282" s="197"/>
      <c r="X282" s="206"/>
      <c r="Y282" s="206"/>
      <c r="Z282" s="199"/>
      <c r="AA282" s="199"/>
      <c r="AB282" s="199"/>
      <c r="AC282" s="199"/>
      <c r="AD282" s="199"/>
      <c r="AE282" s="105"/>
      <c r="AF282" s="199"/>
      <c r="AG282" s="105"/>
      <c r="AH282" s="199"/>
      <c r="AI282" s="199"/>
      <c r="AJ282" s="199"/>
      <c r="AK282" s="199"/>
      <c r="AL282" s="199"/>
      <c r="AM282" s="199"/>
      <c r="AN282" s="199"/>
      <c r="AO282" s="199"/>
      <c r="AP282" s="202" t="s">
        <v>1152</v>
      </c>
      <c r="AQ282" s="199"/>
    </row>
    <row r="283">
      <c r="A283" s="135" t="s">
        <v>2145</v>
      </c>
      <c r="B283" s="135" t="s">
        <v>2146</v>
      </c>
      <c r="C283" s="135" t="str">
        <f>VLOOKUP(A283,import!A:C,3,0)</f>
        <v>DOĞRU</v>
      </c>
      <c r="D283" s="135" t="s">
        <v>1226</v>
      </c>
      <c r="E283" s="194">
        <f>VLOOKUP(A283,import!A:AA,5,0)</f>
        <v>36</v>
      </c>
      <c r="F283" s="194" t="str">
        <f>VLOOKUP(A283,import!A:AA,6,0)</f>
        <v/>
      </c>
      <c r="G283" s="135">
        <f>VLOOKUP(A283,import!A:AA,7,0)</f>
        <v>0</v>
      </c>
      <c r="H283" s="135">
        <f>VLOOKUP(A283,import!A:AA,8,0)</f>
        <v>9</v>
      </c>
      <c r="I283" s="135">
        <f>VLOOKUP(A283,import!A:AA,9,0)</f>
        <v>9</v>
      </c>
      <c r="J283" s="195">
        <f>VLOOKUP(A283,import!A:AA,10,0)</f>
        <v>0</v>
      </c>
      <c r="K283" s="135" t="s">
        <v>2147</v>
      </c>
      <c r="L283" s="135">
        <v>5.395900321E9</v>
      </c>
      <c r="M283" s="135" t="s">
        <v>1679</v>
      </c>
      <c r="N283" s="135" t="s">
        <v>1811</v>
      </c>
      <c r="O283" s="135" t="s">
        <v>2148</v>
      </c>
      <c r="P283" s="135" t="str">
        <f>VLOOKUP(A283,import!A:P,16,0)</f>
        <v>Geleneksel</v>
      </c>
      <c r="Q283" s="196"/>
      <c r="R283" s="196" t="b">
        <v>0</v>
      </c>
      <c r="S283" s="196" t="b">
        <v>0</v>
      </c>
      <c r="T283" s="197"/>
      <c r="U283" s="197"/>
      <c r="V283" s="197"/>
      <c r="W283" s="197"/>
      <c r="X283" s="198"/>
      <c r="Y283" s="198"/>
      <c r="Z283" s="199"/>
      <c r="AA283" s="200"/>
      <c r="AB283" s="201"/>
      <c r="AC283" s="199"/>
      <c r="AD283" s="199"/>
      <c r="AE283" s="105"/>
      <c r="AF283" s="199"/>
      <c r="AG283" s="105"/>
      <c r="AH283" s="199"/>
      <c r="AI283" s="199"/>
      <c r="AJ283" s="199"/>
      <c r="AK283" s="200"/>
      <c r="AL283" s="199"/>
      <c r="AM283" s="199"/>
      <c r="AN283" s="199"/>
      <c r="AO283" s="199"/>
      <c r="AP283" s="202" t="s">
        <v>1152</v>
      </c>
      <c r="AQ283" s="199"/>
    </row>
    <row r="284">
      <c r="A284" s="135" t="s">
        <v>456</v>
      </c>
      <c r="B284" s="135" t="s">
        <v>457</v>
      </c>
      <c r="C284" s="135" t="str">
        <f>VLOOKUP(A284,import!A:C,3,0)</f>
        <v>DOĞRU</v>
      </c>
      <c r="D284" s="135" t="s">
        <v>1226</v>
      </c>
      <c r="E284" s="194">
        <f>VLOOKUP(A284,import!A:AA,5,0)</f>
        <v>1053</v>
      </c>
      <c r="F284" s="194">
        <f>VLOOKUP(A284,import!A:AA,6,0)</f>
        <v>4</v>
      </c>
      <c r="G284" s="135">
        <f>VLOOKUP(A284,import!A:AA,7,0)</f>
        <v>7</v>
      </c>
      <c r="H284" s="135">
        <f>VLOOKUP(A284,import!A:AA,8,0)</f>
        <v>7</v>
      </c>
      <c r="I284" s="135">
        <f>VLOOKUP(A284,import!A:AA,9,0)</f>
        <v>14</v>
      </c>
      <c r="J284" s="195">
        <f>VLOOKUP(A284,import!A:AA,10,0)</f>
        <v>0.5</v>
      </c>
      <c r="K284" s="135" t="s">
        <v>2149</v>
      </c>
      <c r="L284" s="135">
        <v>5.523836654E9</v>
      </c>
      <c r="M284" s="135" t="s">
        <v>1318</v>
      </c>
      <c r="N284" s="135" t="s">
        <v>2150</v>
      </c>
      <c r="O284" s="135" t="s">
        <v>460</v>
      </c>
      <c r="P284" s="135" t="str">
        <f>VLOOKUP(A284,import!A:P,16,0)</f>
        <v>Geleneksel</v>
      </c>
      <c r="Q284" s="196"/>
      <c r="R284" s="196" t="b">
        <v>1</v>
      </c>
      <c r="S284" s="196" t="b">
        <v>0</v>
      </c>
      <c r="T284" s="197" t="s">
        <v>1165</v>
      </c>
      <c r="U284" s="197" t="s">
        <v>189</v>
      </c>
      <c r="V284" s="197" t="s">
        <v>91</v>
      </c>
      <c r="W284" s="197" t="s">
        <v>2151</v>
      </c>
      <c r="X284" s="198">
        <v>44333.0</v>
      </c>
      <c r="Y284" s="198">
        <v>44335.0</v>
      </c>
      <c r="Z284" s="199"/>
      <c r="AA284" s="199"/>
      <c r="AB284" s="199"/>
      <c r="AC284" s="199"/>
      <c r="AD284" s="199"/>
      <c r="AE284" s="105"/>
      <c r="AF284" s="199"/>
      <c r="AG284" s="105"/>
      <c r="AH284" s="199"/>
      <c r="AI284" s="199"/>
      <c r="AJ284" s="199"/>
      <c r="AK284" s="199"/>
      <c r="AL284" s="199"/>
      <c r="AM284" s="199"/>
      <c r="AN284" s="199"/>
      <c r="AO284" s="199"/>
      <c r="AP284" s="202" t="s">
        <v>1152</v>
      </c>
      <c r="AQ284" s="199"/>
    </row>
    <row r="285">
      <c r="A285" s="135" t="s">
        <v>2152</v>
      </c>
      <c r="B285" s="135" t="s">
        <v>2153</v>
      </c>
      <c r="C285" s="135" t="str">
        <f>VLOOKUP(A285,import!A:C,3,0)</f>
        <v>DOĞRU</v>
      </c>
      <c r="D285" s="135" t="s">
        <v>1188</v>
      </c>
      <c r="E285" s="194">
        <f>VLOOKUP(A285,import!A:AA,5,0)</f>
        <v>1649</v>
      </c>
      <c r="F285" s="194">
        <f>VLOOKUP(A285,import!A:AA,6,0)</f>
        <v>66</v>
      </c>
      <c r="G285" s="135">
        <f>VLOOKUP(A285,import!A:AA,7,0)</f>
        <v>0</v>
      </c>
      <c r="H285" s="135">
        <f>VLOOKUP(A285,import!A:AA,8,0)</f>
        <v>9</v>
      </c>
      <c r="I285" s="135">
        <f>VLOOKUP(A285,import!A:AA,9,0)</f>
        <v>9</v>
      </c>
      <c r="J285" s="195">
        <f>VLOOKUP(A285,import!A:AA,10,0)</f>
        <v>0</v>
      </c>
      <c r="K285" s="135" t="s">
        <v>2154</v>
      </c>
      <c r="L285" s="135">
        <v>2.6427777E9</v>
      </c>
      <c r="M285" s="135" t="s">
        <v>1172</v>
      </c>
      <c r="N285" s="135" t="s">
        <v>1190</v>
      </c>
      <c r="O285" s="135" t="s">
        <v>2155</v>
      </c>
      <c r="P285" s="135" t="str">
        <f>VLOOKUP(A285,import!A:P,16,0)</f>
        <v>Key</v>
      </c>
      <c r="Q285" s="196"/>
      <c r="R285" s="196" t="b">
        <v>1</v>
      </c>
      <c r="S285" s="196" t="b">
        <v>0</v>
      </c>
      <c r="T285" s="197" t="s">
        <v>1373</v>
      </c>
      <c r="U285" s="197"/>
      <c r="V285" s="204"/>
      <c r="W285" s="197" t="s">
        <v>2156</v>
      </c>
      <c r="X285" s="198"/>
      <c r="Y285" s="198"/>
      <c r="Z285" s="199"/>
      <c r="AA285" s="200" t="s">
        <v>1202</v>
      </c>
      <c r="AB285" s="201">
        <v>44384.0</v>
      </c>
      <c r="AC285" s="200" t="s">
        <v>1151</v>
      </c>
      <c r="AD285" s="201">
        <v>44384.0</v>
      </c>
      <c r="AE285" s="105"/>
      <c r="AF285" s="199"/>
      <c r="AG285" s="105"/>
      <c r="AH285" s="199"/>
      <c r="AI285" s="199"/>
      <c r="AJ285" s="199"/>
      <c r="AK285" s="200" t="s">
        <v>189</v>
      </c>
      <c r="AL285" s="200" t="s">
        <v>189</v>
      </c>
      <c r="AM285" s="199"/>
      <c r="AN285" s="199"/>
      <c r="AO285" s="199"/>
      <c r="AP285" s="202" t="s">
        <v>2157</v>
      </c>
      <c r="AQ285" s="199"/>
    </row>
    <row r="286">
      <c r="A286" s="135" t="s">
        <v>2158</v>
      </c>
      <c r="B286" s="135" t="s">
        <v>2159</v>
      </c>
      <c r="C286" s="135" t="str">
        <f>VLOOKUP(A286,import!A:C,3,0)</f>
        <v>DOĞRU</v>
      </c>
      <c r="D286" s="135" t="s">
        <v>1188</v>
      </c>
      <c r="E286" s="194">
        <f>VLOOKUP(A286,import!A:AA,5,0)</f>
        <v>4214</v>
      </c>
      <c r="F286" s="194">
        <f>VLOOKUP(A286,import!A:AA,6,0)</f>
        <v>40</v>
      </c>
      <c r="G286" s="135">
        <f>VLOOKUP(A286,import!A:AA,7,0)</f>
        <v>0</v>
      </c>
      <c r="H286" s="135">
        <f>VLOOKUP(A286,import!A:AA,8,0)</f>
        <v>8</v>
      </c>
      <c r="I286" s="135">
        <f>VLOOKUP(A286,import!A:AA,9,0)</f>
        <v>8</v>
      </c>
      <c r="J286" s="195">
        <f>VLOOKUP(A286,import!A:AA,10,0)</f>
        <v>0</v>
      </c>
      <c r="K286" s="135" t="s">
        <v>2160</v>
      </c>
      <c r="L286" s="135">
        <v>2.642816628E9</v>
      </c>
      <c r="M286" s="135" t="s">
        <v>1172</v>
      </c>
      <c r="N286" s="135" t="s">
        <v>1379</v>
      </c>
      <c r="O286" s="135" t="s">
        <v>2161</v>
      </c>
      <c r="P286" s="135" t="str">
        <f>VLOOKUP(A286,import!A:P,16,0)</f>
        <v>Key</v>
      </c>
      <c r="Q286" s="196"/>
      <c r="R286" s="196" t="b">
        <v>1</v>
      </c>
      <c r="S286" s="196" t="b">
        <v>0</v>
      </c>
      <c r="T286" s="197" t="s">
        <v>1373</v>
      </c>
      <c r="U286" s="204"/>
      <c r="V286" s="204"/>
      <c r="W286" s="197" t="s">
        <v>2156</v>
      </c>
      <c r="X286" s="206"/>
      <c r="Y286" s="206"/>
      <c r="Z286" s="199"/>
      <c r="AA286" s="200" t="s">
        <v>1151</v>
      </c>
      <c r="AB286" s="201">
        <v>44384.0</v>
      </c>
      <c r="AC286" s="199"/>
      <c r="AD286" s="199"/>
      <c r="AE286" s="105"/>
      <c r="AF286" s="199"/>
      <c r="AG286" s="105"/>
      <c r="AH286" s="199"/>
      <c r="AI286" s="199"/>
      <c r="AJ286" s="199"/>
      <c r="AK286" s="200" t="s">
        <v>189</v>
      </c>
      <c r="AL286" s="199"/>
      <c r="AM286" s="199"/>
      <c r="AN286" s="199"/>
      <c r="AO286" s="199"/>
      <c r="AP286" s="202" t="s">
        <v>2157</v>
      </c>
      <c r="AQ286" s="199"/>
    </row>
    <row r="287">
      <c r="A287" s="135" t="s">
        <v>2162</v>
      </c>
      <c r="B287" s="135" t="s">
        <v>2163</v>
      </c>
      <c r="C287" s="135" t="str">
        <f>VLOOKUP(A287,import!A:C,3,0)</f>
        <v>DOĞRU</v>
      </c>
      <c r="D287" s="135" t="s">
        <v>1188</v>
      </c>
      <c r="E287" s="194">
        <f>VLOOKUP(A287,import!A:AA,5,0)</f>
        <v>11201</v>
      </c>
      <c r="F287" s="194">
        <f>VLOOKUP(A287,import!A:AA,6,0)</f>
        <v>244</v>
      </c>
      <c r="G287" s="135">
        <f>VLOOKUP(A287,import!A:AA,7,0)</f>
        <v>0</v>
      </c>
      <c r="H287" s="135">
        <f>VLOOKUP(A287,import!A:AA,8,0)</f>
        <v>14</v>
      </c>
      <c r="I287" s="135">
        <f>VLOOKUP(A287,import!A:AA,9,0)</f>
        <v>14</v>
      </c>
      <c r="J287" s="195">
        <f>VLOOKUP(A287,import!A:AA,10,0)</f>
        <v>0</v>
      </c>
      <c r="K287" s="135" t="s">
        <v>2164</v>
      </c>
      <c r="L287" s="135">
        <v>2.642736628E9</v>
      </c>
      <c r="M287" s="135" t="s">
        <v>1147</v>
      </c>
      <c r="N287" s="135" t="s">
        <v>1164</v>
      </c>
      <c r="O287" s="135" t="s">
        <v>2165</v>
      </c>
      <c r="P287" s="135" t="str">
        <f>VLOOKUP(A287,import!A:P,16,0)</f>
        <v>Key</v>
      </c>
      <c r="Q287" s="196"/>
      <c r="R287" s="196" t="b">
        <v>1</v>
      </c>
      <c r="S287" s="196" t="b">
        <v>0</v>
      </c>
      <c r="T287" s="197" t="s">
        <v>1373</v>
      </c>
      <c r="U287" s="197"/>
      <c r="V287" s="197"/>
      <c r="W287" s="197" t="s">
        <v>2156</v>
      </c>
      <c r="X287" s="198"/>
      <c r="Y287" s="198"/>
      <c r="Z287" s="199"/>
      <c r="AA287" s="200" t="s">
        <v>1151</v>
      </c>
      <c r="AB287" s="201">
        <v>44384.0</v>
      </c>
      <c r="AC287" s="199"/>
      <c r="AD287" s="199"/>
      <c r="AE287" s="105"/>
      <c r="AF287" s="199"/>
      <c r="AG287" s="105"/>
      <c r="AH287" s="199"/>
      <c r="AI287" s="199"/>
      <c r="AJ287" s="199"/>
      <c r="AK287" s="200" t="s">
        <v>189</v>
      </c>
      <c r="AL287" s="199"/>
      <c r="AM287" s="199"/>
      <c r="AN287" s="199"/>
      <c r="AO287" s="199"/>
      <c r="AP287" s="202" t="s">
        <v>2157</v>
      </c>
      <c r="AQ287" s="199"/>
    </row>
    <row r="288">
      <c r="A288" s="135" t="s">
        <v>646</v>
      </c>
      <c r="B288" s="135" t="s">
        <v>647</v>
      </c>
      <c r="C288" s="135" t="str">
        <f>VLOOKUP(A288,import!A:C,3,0)</f>
        <v>YANLIŞ</v>
      </c>
      <c r="D288" s="135" t="s">
        <v>1226</v>
      </c>
      <c r="E288" s="194">
        <f>VLOOKUP(A288,import!A:AA,5,0)</f>
        <v>395</v>
      </c>
      <c r="F288" s="194" t="str">
        <f>VLOOKUP(A288,import!A:AA,6,0)</f>
        <v/>
      </c>
      <c r="G288" s="135">
        <f>VLOOKUP(A288,import!A:AA,7,0)</f>
        <v>15</v>
      </c>
      <c r="H288" s="135">
        <f>VLOOKUP(A288,import!A:AA,8,0)</f>
        <v>7</v>
      </c>
      <c r="I288" s="135">
        <f>VLOOKUP(A288,import!A:AA,9,0)</f>
        <v>22</v>
      </c>
      <c r="J288" s="195">
        <f>VLOOKUP(A288,import!A:AA,10,0)</f>
        <v>0.68</v>
      </c>
      <c r="K288" s="135" t="s">
        <v>2166</v>
      </c>
      <c r="L288" s="135">
        <v>5.335691061E9</v>
      </c>
      <c r="M288" s="135" t="s">
        <v>1318</v>
      </c>
      <c r="N288" s="135" t="s">
        <v>1324</v>
      </c>
      <c r="O288" s="135" t="s">
        <v>649</v>
      </c>
      <c r="P288" s="135" t="str">
        <f>VLOOKUP(A288,import!A:P,16,0)</f>
        <v>Geleneksel</v>
      </c>
      <c r="Q288" s="196"/>
      <c r="R288" s="196" t="b">
        <v>1</v>
      </c>
      <c r="S288" s="196" t="b">
        <v>0</v>
      </c>
      <c r="T288" s="197" t="s">
        <v>1165</v>
      </c>
      <c r="U288" s="197" t="s">
        <v>92</v>
      </c>
      <c r="V288" s="197" t="s">
        <v>91</v>
      </c>
      <c r="W288" s="197" t="s">
        <v>2167</v>
      </c>
      <c r="X288" s="198">
        <v>44375.0</v>
      </c>
      <c r="Y288" s="198">
        <v>44376.0</v>
      </c>
      <c r="Z288" s="199"/>
      <c r="AA288" s="200" t="s">
        <v>1151</v>
      </c>
      <c r="AB288" s="201">
        <v>44348.0</v>
      </c>
      <c r="AC288" s="200" t="s">
        <v>1151</v>
      </c>
      <c r="AD288" s="201">
        <v>44375.0</v>
      </c>
      <c r="AE288" s="105"/>
      <c r="AF288" s="199"/>
      <c r="AG288" s="105"/>
      <c r="AH288" s="199"/>
      <c r="AI288" s="199"/>
      <c r="AJ288" s="199"/>
      <c r="AK288" s="200" t="s">
        <v>1232</v>
      </c>
      <c r="AL288" s="200" t="s">
        <v>92</v>
      </c>
      <c r="AM288" s="199"/>
      <c r="AN288" s="199"/>
      <c r="AO288" s="199"/>
      <c r="AP288" s="202" t="s">
        <v>1152</v>
      </c>
      <c r="AQ288" s="199"/>
    </row>
    <row r="289">
      <c r="A289" s="135" t="s">
        <v>322</v>
      </c>
      <c r="B289" s="135" t="s">
        <v>323</v>
      </c>
      <c r="C289" s="135" t="str">
        <f>VLOOKUP(A289,import!A:C,3,0)</f>
        <v>DOĞRU</v>
      </c>
      <c r="D289" s="135" t="s">
        <v>1281</v>
      </c>
      <c r="E289" s="194">
        <f>VLOOKUP(A289,import!A:AA,5,0)</f>
        <v>875</v>
      </c>
      <c r="F289" s="194">
        <f>VLOOKUP(A289,import!A:AA,6,0)</f>
        <v>56</v>
      </c>
      <c r="G289" s="135">
        <f>VLOOKUP(A289,import!A:AA,7,0)</f>
        <v>7</v>
      </c>
      <c r="H289" s="135">
        <f>VLOOKUP(A289,import!A:AA,8,0)</f>
        <v>29</v>
      </c>
      <c r="I289" s="135">
        <f>VLOOKUP(A289,import!A:AA,9,0)</f>
        <v>36</v>
      </c>
      <c r="J289" s="195">
        <f>VLOOKUP(A289,import!A:AA,10,0)</f>
        <v>0.19</v>
      </c>
      <c r="K289" s="135" t="s">
        <v>2168</v>
      </c>
      <c r="L289" s="135">
        <v>5.41323857E9</v>
      </c>
      <c r="M289" s="135" t="s">
        <v>1172</v>
      </c>
      <c r="N289" s="135" t="s">
        <v>2169</v>
      </c>
      <c r="O289" s="135" t="s">
        <v>326</v>
      </c>
      <c r="P289" s="135" t="str">
        <f>VLOOKUP(A289,import!A:P,16,0)</f>
        <v>Geleneksel</v>
      </c>
      <c r="Q289" s="196"/>
      <c r="R289" s="196" t="b">
        <v>1</v>
      </c>
      <c r="S289" s="196" t="b">
        <v>0</v>
      </c>
      <c r="T289" s="197" t="s">
        <v>1165</v>
      </c>
      <c r="U289" s="197" t="s">
        <v>1024</v>
      </c>
      <c r="V289" s="207" t="s">
        <v>940</v>
      </c>
      <c r="W289" s="197"/>
      <c r="X289" s="198">
        <v>44609.0</v>
      </c>
      <c r="Y289" s="198">
        <v>44610.0</v>
      </c>
      <c r="Z289" s="199"/>
      <c r="AA289" s="200" t="s">
        <v>1253</v>
      </c>
      <c r="AB289" s="201">
        <v>44350.0</v>
      </c>
      <c r="AC289" s="200" t="s">
        <v>1253</v>
      </c>
      <c r="AD289" s="201">
        <v>44371.0</v>
      </c>
      <c r="AE289" s="200" t="s">
        <v>1151</v>
      </c>
      <c r="AF289" s="201">
        <v>44384.0</v>
      </c>
      <c r="AG289" s="105"/>
      <c r="AH289" s="199"/>
      <c r="AI289" s="199"/>
      <c r="AJ289" s="199"/>
      <c r="AK289" s="200" t="s">
        <v>1204</v>
      </c>
      <c r="AL289" s="200" t="s">
        <v>1204</v>
      </c>
      <c r="AM289" s="200" t="s">
        <v>189</v>
      </c>
      <c r="AN289" s="200" t="s">
        <v>1024</v>
      </c>
      <c r="AO289" s="199"/>
      <c r="AP289" s="202" t="s">
        <v>1152</v>
      </c>
      <c r="AQ289" s="199"/>
    </row>
    <row r="290">
      <c r="A290" s="135" t="s">
        <v>765</v>
      </c>
      <c r="B290" s="135" t="s">
        <v>766</v>
      </c>
      <c r="C290" s="135" t="str">
        <f>VLOOKUP(A290,import!A:C,3,0)</f>
        <v>DOĞRU</v>
      </c>
      <c r="D290" s="135" t="s">
        <v>1155</v>
      </c>
      <c r="E290" s="194">
        <f>VLOOKUP(A290,import!A:AA,5,0)</f>
        <v>1136</v>
      </c>
      <c r="F290" s="194">
        <f>VLOOKUP(A290,import!A:AA,6,0)</f>
        <v>27</v>
      </c>
      <c r="G290" s="135">
        <f>VLOOKUP(A290,import!A:AA,7,0)</f>
        <v>17</v>
      </c>
      <c r="H290" s="135">
        <f>VLOOKUP(A290,import!A:AA,8,0)</f>
        <v>8</v>
      </c>
      <c r="I290" s="135">
        <f>VLOOKUP(A290,import!A:AA,9,0)</f>
        <v>25</v>
      </c>
      <c r="J290" s="195">
        <f>VLOOKUP(A290,import!A:AA,10,0)</f>
        <v>0.68</v>
      </c>
      <c r="K290" s="135" t="s">
        <v>2170</v>
      </c>
      <c r="L290" s="135">
        <v>2.642823E9</v>
      </c>
      <c r="M290" s="135" t="s">
        <v>1172</v>
      </c>
      <c r="N290" s="135" t="s">
        <v>1556</v>
      </c>
      <c r="O290" s="135" t="s">
        <v>769</v>
      </c>
      <c r="P290" s="135" t="str">
        <f>VLOOKUP(A290,import!A:P,16,0)</f>
        <v>Geleneksel</v>
      </c>
      <c r="Q290" s="196"/>
      <c r="R290" s="196" t="b">
        <v>1</v>
      </c>
      <c r="S290" s="196" t="b">
        <v>0</v>
      </c>
      <c r="T290" s="197" t="s">
        <v>1165</v>
      </c>
      <c r="U290" s="197" t="s">
        <v>1167</v>
      </c>
      <c r="V290" s="208" t="s">
        <v>91</v>
      </c>
      <c r="W290" s="197"/>
      <c r="X290" s="198">
        <v>44358.0</v>
      </c>
      <c r="Y290" s="198">
        <v>44363.0</v>
      </c>
      <c r="Z290" s="199"/>
      <c r="AA290" s="200" t="s">
        <v>1151</v>
      </c>
      <c r="AB290" s="201">
        <v>44358.0</v>
      </c>
      <c r="AC290" s="200" t="s">
        <v>1151</v>
      </c>
      <c r="AD290" s="201">
        <v>44384.0</v>
      </c>
      <c r="AE290" s="105"/>
      <c r="AF290" s="199"/>
      <c r="AG290" s="105"/>
      <c r="AH290" s="199"/>
      <c r="AI290" s="199"/>
      <c r="AJ290" s="199"/>
      <c r="AK290" s="200" t="s">
        <v>1167</v>
      </c>
      <c r="AL290" s="200" t="s">
        <v>189</v>
      </c>
      <c r="AM290" s="199"/>
      <c r="AN290" s="199"/>
      <c r="AO290" s="199"/>
      <c r="AP290" s="202" t="s">
        <v>1152</v>
      </c>
      <c r="AQ290" s="199"/>
    </row>
    <row r="291">
      <c r="A291" s="135" t="s">
        <v>2171</v>
      </c>
      <c r="B291" s="135" t="s">
        <v>2172</v>
      </c>
      <c r="C291" s="135" t="str">
        <f>VLOOKUP(A291,import!A:C,3,0)</f>
        <v>YANLIŞ</v>
      </c>
      <c r="D291" s="135" t="s">
        <v>1455</v>
      </c>
      <c r="E291" s="194" t="str">
        <f>VLOOKUP(A291,import!A:AA,5,0)</f>
        <v/>
      </c>
      <c r="F291" s="194" t="str">
        <f>VLOOKUP(A291,import!A:AA,6,0)</f>
        <v/>
      </c>
      <c r="G291" s="135">
        <f>VLOOKUP(A291,import!A:AA,7,0)</f>
        <v>0</v>
      </c>
      <c r="H291" s="135">
        <f>VLOOKUP(A291,import!A:AA,8,0)</f>
        <v>6</v>
      </c>
      <c r="I291" s="135">
        <f>VLOOKUP(A291,import!A:AA,9,0)</f>
        <v>6</v>
      </c>
      <c r="J291" s="195">
        <f>VLOOKUP(A291,import!A:AA,10,0)</f>
        <v>0</v>
      </c>
      <c r="K291" s="135" t="s">
        <v>2173</v>
      </c>
      <c r="L291" s="135">
        <v>5.325592005E9</v>
      </c>
      <c r="M291" s="135" t="s">
        <v>1463</v>
      </c>
      <c r="N291" s="135" t="s">
        <v>2174</v>
      </c>
      <c r="O291" s="135" t="s">
        <v>2175</v>
      </c>
      <c r="P291" s="135" t="str">
        <f>VLOOKUP(A291,import!A:P,16,0)</f>
        <v>Geleneksel</v>
      </c>
      <c r="Q291" s="196"/>
      <c r="R291" s="196" t="b">
        <v>1</v>
      </c>
      <c r="S291" s="196" t="b">
        <v>0</v>
      </c>
      <c r="T291" s="197" t="s">
        <v>1209</v>
      </c>
      <c r="U291" s="197"/>
      <c r="V291" s="197"/>
      <c r="W291" s="197" t="s">
        <v>2176</v>
      </c>
      <c r="X291" s="198"/>
      <c r="Y291" s="198"/>
      <c r="Z291" s="199"/>
      <c r="AA291" s="200" t="s">
        <v>1151</v>
      </c>
      <c r="AB291" s="201">
        <v>44384.0</v>
      </c>
      <c r="AC291" s="199"/>
      <c r="AD291" s="199"/>
      <c r="AE291" s="105"/>
      <c r="AF291" s="199"/>
      <c r="AG291" s="105"/>
      <c r="AH291" s="199"/>
      <c r="AI291" s="199"/>
      <c r="AJ291" s="199"/>
      <c r="AK291" s="200" t="s">
        <v>189</v>
      </c>
      <c r="AL291" s="199"/>
      <c r="AM291" s="199"/>
      <c r="AN291" s="199"/>
      <c r="AO291" s="199"/>
      <c r="AP291" s="202" t="s">
        <v>1152</v>
      </c>
      <c r="AQ291" s="199"/>
    </row>
    <row r="292">
      <c r="A292" s="135" t="s">
        <v>1042</v>
      </c>
      <c r="B292" s="135" t="s">
        <v>1043</v>
      </c>
      <c r="C292" s="135" t="str">
        <f>VLOOKUP(A292,import!A:C,3,0)</f>
        <v>DOĞRU</v>
      </c>
      <c r="D292" s="135" t="s">
        <v>1455</v>
      </c>
      <c r="E292" s="194">
        <f>VLOOKUP(A292,import!A:AA,5,0)</f>
        <v>549</v>
      </c>
      <c r="F292" s="194" t="str">
        <f>VLOOKUP(A292,import!A:AA,6,0)</f>
        <v/>
      </c>
      <c r="G292" s="135">
        <f>VLOOKUP(A292,import!A:AA,7,0)</f>
        <v>9</v>
      </c>
      <c r="H292" s="135">
        <f>VLOOKUP(A292,import!A:AA,8,0)</f>
        <v>2</v>
      </c>
      <c r="I292" s="135">
        <f>VLOOKUP(A292,import!A:AA,9,0)</f>
        <v>11</v>
      </c>
      <c r="J292" s="195">
        <f>VLOOKUP(A292,import!A:AA,10,0)</f>
        <v>0.82</v>
      </c>
      <c r="K292" s="135" t="s">
        <v>2173</v>
      </c>
      <c r="L292" s="135">
        <v>5.325592005E9</v>
      </c>
      <c r="M292" s="135" t="s">
        <v>1147</v>
      </c>
      <c r="N292" s="135" t="s">
        <v>1164</v>
      </c>
      <c r="O292" s="135" t="s">
        <v>1045</v>
      </c>
      <c r="P292" s="135" t="str">
        <f>VLOOKUP(A292,import!A:P,16,0)</f>
        <v>Geleneksel</v>
      </c>
      <c r="Q292" s="196"/>
      <c r="R292" s="196" t="b">
        <v>1</v>
      </c>
      <c r="S292" s="196" t="b">
        <v>0</v>
      </c>
      <c r="T292" s="197" t="s">
        <v>1165</v>
      </c>
      <c r="U292" s="197" t="s">
        <v>1061</v>
      </c>
      <c r="V292" s="21" t="s">
        <v>940</v>
      </c>
      <c r="W292" s="197" t="s">
        <v>2176</v>
      </c>
      <c r="X292" s="198">
        <v>44613.0</v>
      </c>
      <c r="Y292" s="198">
        <v>44614.0</v>
      </c>
      <c r="Z292" s="199"/>
      <c r="AA292" s="200" t="s">
        <v>1151</v>
      </c>
      <c r="AB292" s="201">
        <v>44384.0</v>
      </c>
      <c r="AC292" s="200" t="s">
        <v>1151</v>
      </c>
      <c r="AD292" s="201">
        <v>44611.0</v>
      </c>
      <c r="AE292" s="200" t="s">
        <v>1151</v>
      </c>
      <c r="AF292" s="198">
        <v>44613.0</v>
      </c>
      <c r="AG292" s="105"/>
      <c r="AH292" s="199"/>
      <c r="AI292" s="199"/>
      <c r="AJ292" s="199"/>
      <c r="AK292" s="200" t="s">
        <v>189</v>
      </c>
      <c r="AL292" s="200" t="s">
        <v>1061</v>
      </c>
      <c r="AM292" s="200" t="s">
        <v>1061</v>
      </c>
      <c r="AN292" s="199"/>
      <c r="AO292" s="199"/>
      <c r="AP292" s="202" t="s">
        <v>1152</v>
      </c>
      <c r="AQ292" s="199"/>
    </row>
    <row r="293">
      <c r="A293" s="135" t="s">
        <v>2177</v>
      </c>
      <c r="B293" s="135" t="s">
        <v>2178</v>
      </c>
      <c r="C293" s="135" t="str">
        <f>VLOOKUP(A293,import!A:C,3,0)</f>
        <v>DOĞRU</v>
      </c>
      <c r="D293" s="135" t="s">
        <v>1145</v>
      </c>
      <c r="E293" s="194">
        <f>VLOOKUP(A293,import!A:AA,5,0)</f>
        <v>4667</v>
      </c>
      <c r="F293" s="194">
        <f>VLOOKUP(A293,import!A:AA,6,0)</f>
        <v>163</v>
      </c>
      <c r="G293" s="135">
        <f>VLOOKUP(A293,import!A:AA,7,0)</f>
        <v>27</v>
      </c>
      <c r="H293" s="135">
        <f>VLOOKUP(A293,import!A:AA,8,0)</f>
        <v>24</v>
      </c>
      <c r="I293" s="135">
        <f>VLOOKUP(A293,import!A:AA,9,0)</f>
        <v>51</v>
      </c>
      <c r="J293" s="195">
        <f>VLOOKUP(A293,import!A:AA,10,0)</f>
        <v>0.53</v>
      </c>
      <c r="K293" s="135" t="s">
        <v>2179</v>
      </c>
      <c r="L293" s="135">
        <v>5.325914982E9</v>
      </c>
      <c r="M293" s="135" t="s">
        <v>1172</v>
      </c>
      <c r="N293" s="135" t="s">
        <v>1379</v>
      </c>
      <c r="O293" s="135" t="s">
        <v>2180</v>
      </c>
      <c r="P293" s="135" t="str">
        <f>VLOOKUP(A293,import!A:P,16,0)</f>
        <v>Key</v>
      </c>
      <c r="Q293" s="196"/>
      <c r="R293" s="196" t="b">
        <v>1</v>
      </c>
      <c r="S293" s="196" t="b">
        <v>1</v>
      </c>
      <c r="T293" s="197"/>
      <c r="U293" s="197"/>
      <c r="V293" s="197"/>
      <c r="W293" s="197" t="s">
        <v>2181</v>
      </c>
      <c r="X293" s="198"/>
      <c r="Y293" s="198"/>
      <c r="Z293" s="199"/>
      <c r="AA293" s="200" t="s">
        <v>1151</v>
      </c>
      <c r="AB293" s="201">
        <v>44350.0</v>
      </c>
      <c r="AC293" s="199"/>
      <c r="AD293" s="199"/>
      <c r="AE293" s="105"/>
      <c r="AF293" s="199"/>
      <c r="AG293" s="105"/>
      <c r="AH293" s="199"/>
      <c r="AI293" s="199"/>
      <c r="AJ293" s="199"/>
      <c r="AK293" s="200" t="s">
        <v>1204</v>
      </c>
      <c r="AL293" s="199"/>
      <c r="AM293" s="199"/>
      <c r="AN293" s="199"/>
      <c r="AO293" s="199"/>
      <c r="AP293" s="202" t="s">
        <v>1152</v>
      </c>
      <c r="AQ293" s="199"/>
    </row>
    <row r="294">
      <c r="A294" s="135" t="s">
        <v>2182</v>
      </c>
      <c r="B294" s="135" t="s">
        <v>2183</v>
      </c>
      <c r="C294" s="135" t="str">
        <f>VLOOKUP(A294,import!A:C,3,0)</f>
        <v>DOĞRU</v>
      </c>
      <c r="D294" s="135" t="s">
        <v>1145</v>
      </c>
      <c r="E294" s="194">
        <f>VLOOKUP(A294,import!A:AA,5,0)</f>
        <v>8348</v>
      </c>
      <c r="F294" s="194">
        <f>VLOOKUP(A294,import!A:AA,6,0)</f>
        <v>461</v>
      </c>
      <c r="G294" s="135">
        <f>VLOOKUP(A294,import!A:AA,7,0)</f>
        <v>29</v>
      </c>
      <c r="H294" s="135">
        <f>VLOOKUP(A294,import!A:AA,8,0)</f>
        <v>31</v>
      </c>
      <c r="I294" s="135">
        <f>VLOOKUP(A294,import!A:AA,9,0)</f>
        <v>60</v>
      </c>
      <c r="J294" s="195">
        <f>VLOOKUP(A294,import!A:AA,10,0)</f>
        <v>0.48</v>
      </c>
      <c r="K294" s="135" t="s">
        <v>2184</v>
      </c>
      <c r="L294" s="135">
        <v>2.642111168E9</v>
      </c>
      <c r="M294" s="135" t="s">
        <v>1147</v>
      </c>
      <c r="N294" s="135" t="s">
        <v>1157</v>
      </c>
      <c r="O294" s="135" t="s">
        <v>2185</v>
      </c>
      <c r="P294" s="135" t="str">
        <f>VLOOKUP(A294,import!A:P,16,0)</f>
        <v>Key</v>
      </c>
      <c r="Q294" s="196"/>
      <c r="R294" s="196" t="b">
        <v>1</v>
      </c>
      <c r="S294" s="196" t="b">
        <v>1</v>
      </c>
      <c r="T294" s="197"/>
      <c r="U294" s="197"/>
      <c r="V294" s="197"/>
      <c r="W294" s="197" t="s">
        <v>2186</v>
      </c>
      <c r="X294" s="198"/>
      <c r="Y294" s="198"/>
      <c r="Z294" s="199"/>
      <c r="AA294" s="200" t="s">
        <v>1202</v>
      </c>
      <c r="AB294" s="201">
        <v>44379.0</v>
      </c>
      <c r="AC294" s="200" t="s">
        <v>1151</v>
      </c>
      <c r="AD294" s="201">
        <v>44384.0</v>
      </c>
      <c r="AE294" s="105"/>
      <c r="AF294" s="199"/>
      <c r="AG294" s="105"/>
      <c r="AH294" s="199"/>
      <c r="AI294" s="199"/>
      <c r="AJ294" s="199"/>
      <c r="AK294" s="200" t="s">
        <v>257</v>
      </c>
      <c r="AL294" s="200" t="s">
        <v>189</v>
      </c>
      <c r="AM294" s="199"/>
      <c r="AN294" s="199"/>
      <c r="AO294" s="199"/>
      <c r="AP294" s="202" t="s">
        <v>1152</v>
      </c>
      <c r="AQ294" s="199"/>
    </row>
    <row r="295">
      <c r="A295" s="135" t="s">
        <v>522</v>
      </c>
      <c r="B295" s="135" t="s">
        <v>523</v>
      </c>
      <c r="C295" s="135" t="str">
        <f>VLOOKUP(A295,import!A:C,3,0)</f>
        <v>YANLIŞ</v>
      </c>
      <c r="D295" s="135" t="s">
        <v>1155</v>
      </c>
      <c r="E295" s="194">
        <f>VLOOKUP(A295,import!A:AA,5,0)</f>
        <v>2960</v>
      </c>
      <c r="F295" s="194" t="str">
        <f>VLOOKUP(A295,import!A:AA,6,0)</f>
        <v/>
      </c>
      <c r="G295" s="135">
        <f>VLOOKUP(A295,import!A:AA,7,0)</f>
        <v>34</v>
      </c>
      <c r="H295" s="135">
        <f>VLOOKUP(A295,import!A:AA,8,0)</f>
        <v>21</v>
      </c>
      <c r="I295" s="135">
        <f>VLOOKUP(A295,import!A:AA,9,0)</f>
        <v>55</v>
      </c>
      <c r="J295" s="195">
        <f>VLOOKUP(A295,import!A:AA,10,0)</f>
        <v>0.62</v>
      </c>
      <c r="K295" s="135" t="s">
        <v>2187</v>
      </c>
      <c r="L295" s="135">
        <v>5.312105641E9</v>
      </c>
      <c r="M295" s="135" t="s">
        <v>1172</v>
      </c>
      <c r="N295" s="135" t="s">
        <v>1979</v>
      </c>
      <c r="O295" s="135" t="s">
        <v>525</v>
      </c>
      <c r="P295" s="135" t="str">
        <f>VLOOKUP(A295,import!A:P,16,0)</f>
        <v>Geleneksel</v>
      </c>
      <c r="Q295" s="196"/>
      <c r="R295" s="196" t="b">
        <v>1</v>
      </c>
      <c r="S295" s="196" t="b">
        <v>0</v>
      </c>
      <c r="T295" s="197" t="s">
        <v>1165</v>
      </c>
      <c r="U295" s="197" t="s">
        <v>189</v>
      </c>
      <c r="V295" s="197" t="s">
        <v>91</v>
      </c>
      <c r="W295" s="197" t="s">
        <v>2188</v>
      </c>
      <c r="X295" s="198">
        <v>44389.0</v>
      </c>
      <c r="Y295" s="198">
        <v>44390.0</v>
      </c>
      <c r="Z295" s="199"/>
      <c r="AA295" s="200" t="s">
        <v>1254</v>
      </c>
      <c r="AB295" s="201">
        <v>44368.0</v>
      </c>
      <c r="AC295" s="200" t="s">
        <v>1151</v>
      </c>
      <c r="AD295" s="201">
        <v>44389.0</v>
      </c>
      <c r="AE295" s="105"/>
      <c r="AF295" s="199"/>
      <c r="AG295" s="105"/>
      <c r="AH295" s="199"/>
      <c r="AI295" s="199"/>
      <c r="AJ295" s="199"/>
      <c r="AK295" s="200" t="s">
        <v>257</v>
      </c>
      <c r="AL295" s="200" t="s">
        <v>1421</v>
      </c>
      <c r="AM295" s="199"/>
      <c r="AN295" s="199"/>
      <c r="AO295" s="199"/>
      <c r="AP295" s="202" t="s">
        <v>1152</v>
      </c>
      <c r="AQ295" s="199"/>
    </row>
    <row r="296">
      <c r="A296" s="135" t="s">
        <v>2189</v>
      </c>
      <c r="B296" s="135" t="s">
        <v>2190</v>
      </c>
      <c r="C296" s="135" t="str">
        <f>VLOOKUP(A296,import!A:C,3,0)</f>
        <v>DOĞRU</v>
      </c>
      <c r="D296" s="135" t="s">
        <v>1216</v>
      </c>
      <c r="E296" s="194">
        <f>VLOOKUP(A296,import!A:AA,5,0)</f>
        <v>1653</v>
      </c>
      <c r="F296" s="194">
        <f>VLOOKUP(A296,import!A:AA,6,0)</f>
        <v>33</v>
      </c>
      <c r="G296" s="135">
        <f>VLOOKUP(A296,import!A:AA,7,0)</f>
        <v>124</v>
      </c>
      <c r="H296" s="135">
        <f>VLOOKUP(A296,import!A:AA,8,0)</f>
        <v>3</v>
      </c>
      <c r="I296" s="135">
        <f>VLOOKUP(A296,import!A:AA,9,0)</f>
        <v>127</v>
      </c>
      <c r="J296" s="195">
        <f>VLOOKUP(A296,import!A:AA,10,0)</f>
        <v>0.98</v>
      </c>
      <c r="K296" s="135" t="s">
        <v>2191</v>
      </c>
      <c r="L296" s="135">
        <v>2.642412626E9</v>
      </c>
      <c r="M296" s="135" t="s">
        <v>1177</v>
      </c>
      <c r="N296" s="135" t="s">
        <v>1178</v>
      </c>
      <c r="O296" s="135" t="s">
        <v>2192</v>
      </c>
      <c r="P296" s="135" t="str">
        <f>VLOOKUP(A296,import!A:P,16,0)</f>
        <v>Geleneksel</v>
      </c>
      <c r="Q296" s="196"/>
      <c r="R296" s="196" t="b">
        <v>1</v>
      </c>
      <c r="S296" s="196" t="b">
        <v>0</v>
      </c>
      <c r="T296" s="197" t="s">
        <v>1373</v>
      </c>
      <c r="U296" s="197"/>
      <c r="V296" s="197"/>
      <c r="W296" s="197"/>
      <c r="X296" s="198"/>
      <c r="Y296" s="198"/>
      <c r="Z296" s="200" t="s">
        <v>1774</v>
      </c>
      <c r="AA296" s="199"/>
      <c r="AB296" s="199"/>
      <c r="AC296" s="199"/>
      <c r="AD296" s="199"/>
      <c r="AE296" s="105"/>
      <c r="AF296" s="199"/>
      <c r="AG296" s="105"/>
      <c r="AH296" s="199"/>
      <c r="AI296" s="199"/>
      <c r="AJ296" s="199"/>
      <c r="AK296" s="199"/>
      <c r="AL296" s="199"/>
      <c r="AM296" s="199"/>
      <c r="AN296" s="199"/>
      <c r="AO296" s="199"/>
      <c r="AP296" s="202" t="s">
        <v>1152</v>
      </c>
      <c r="AQ296" s="199"/>
    </row>
    <row r="297">
      <c r="A297" s="135" t="s">
        <v>2193</v>
      </c>
      <c r="B297" s="135" t="s">
        <v>2194</v>
      </c>
      <c r="C297" s="135" t="str">
        <f>VLOOKUP(A297,import!A:C,3,0)</f>
        <v>YANLIŞ</v>
      </c>
      <c r="D297" s="135" t="s">
        <v>1162</v>
      </c>
      <c r="E297" s="194">
        <f>VLOOKUP(A297,import!A:AA,5,0)</f>
        <v>45</v>
      </c>
      <c r="F297" s="194" t="str">
        <f>VLOOKUP(A297,import!A:AA,6,0)</f>
        <v/>
      </c>
      <c r="G297" s="135">
        <f>VLOOKUP(A297,import!A:AA,7,0)</f>
        <v>0</v>
      </c>
      <c r="H297" s="135">
        <f>VLOOKUP(A297,import!A:AA,8,0)</f>
        <v>27</v>
      </c>
      <c r="I297" s="135">
        <f>VLOOKUP(A297,import!A:AA,9,0)</f>
        <v>27</v>
      </c>
      <c r="J297" s="195">
        <f>VLOOKUP(A297,import!A:AA,10,0)</f>
        <v>0</v>
      </c>
      <c r="K297" s="135" t="s">
        <v>2195</v>
      </c>
      <c r="L297" s="135">
        <v>5.396005374E9</v>
      </c>
      <c r="M297" s="135" t="s">
        <v>1147</v>
      </c>
      <c r="N297" s="135" t="s">
        <v>1148</v>
      </c>
      <c r="O297" s="135" t="s">
        <v>2196</v>
      </c>
      <c r="P297" s="135" t="str">
        <f>VLOOKUP(A297,import!A:P,16,0)</f>
        <v>Geleneksel</v>
      </c>
      <c r="Q297" s="196"/>
      <c r="R297" s="196" t="b">
        <v>1</v>
      </c>
      <c r="S297" s="196" t="b">
        <v>0</v>
      </c>
      <c r="T297" s="197" t="s">
        <v>1275</v>
      </c>
      <c r="U297" s="197"/>
      <c r="V297" s="197"/>
      <c r="W297" s="197"/>
      <c r="X297" s="198"/>
      <c r="Y297" s="198"/>
      <c r="Z297" s="199"/>
      <c r="AA297" s="200" t="s">
        <v>1151</v>
      </c>
      <c r="AB297" s="201">
        <v>44610.0</v>
      </c>
      <c r="AC297" s="200" t="s">
        <v>1151</v>
      </c>
      <c r="AD297" s="201">
        <v>44621.0</v>
      </c>
      <c r="AE297" s="105"/>
      <c r="AF297" s="199"/>
      <c r="AG297" s="105"/>
      <c r="AH297" s="199"/>
      <c r="AI297" s="199"/>
      <c r="AJ297" s="199"/>
      <c r="AK297" s="200" t="s">
        <v>1061</v>
      </c>
      <c r="AL297" s="200" t="s">
        <v>1006</v>
      </c>
      <c r="AM297" s="199"/>
      <c r="AN297" s="199"/>
      <c r="AO297" s="199"/>
      <c r="AP297" s="202" t="s">
        <v>1152</v>
      </c>
      <c r="AQ297" s="199"/>
    </row>
    <row r="298">
      <c r="A298" s="135" t="s">
        <v>955</v>
      </c>
      <c r="B298" s="135" t="s">
        <v>956</v>
      </c>
      <c r="C298" s="135" t="str">
        <f>VLOOKUP(A298,import!A:C,3,0)</f>
        <v>DOĞRU</v>
      </c>
      <c r="D298" s="135" t="s">
        <v>1188</v>
      </c>
      <c r="E298" s="194">
        <f>VLOOKUP(A298,import!A:AA,5,0)</f>
        <v>4371</v>
      </c>
      <c r="F298" s="194">
        <f>VLOOKUP(A298,import!A:AA,6,0)</f>
        <v>2</v>
      </c>
      <c r="G298" s="135">
        <f>VLOOKUP(A298,import!A:AA,7,0)</f>
        <v>0</v>
      </c>
      <c r="H298" s="135">
        <f>VLOOKUP(A298,import!A:AA,8,0)</f>
        <v>13</v>
      </c>
      <c r="I298" s="135">
        <f>VLOOKUP(A298,import!A:AA,9,0)</f>
        <v>13</v>
      </c>
      <c r="J298" s="195">
        <f>VLOOKUP(A298,import!A:AA,10,0)</f>
        <v>0</v>
      </c>
      <c r="K298" s="135" t="s">
        <v>2197</v>
      </c>
      <c r="L298" s="135">
        <v>5.301220254E9</v>
      </c>
      <c r="M298" s="135" t="s">
        <v>1348</v>
      </c>
      <c r="N298" s="135" t="s">
        <v>1349</v>
      </c>
      <c r="O298" s="135" t="s">
        <v>958</v>
      </c>
      <c r="P298" s="135" t="str">
        <f>VLOOKUP(A298,import!A:P,16,0)</f>
        <v>Geleneksel</v>
      </c>
      <c r="Q298" s="196"/>
      <c r="R298" s="196" t="b">
        <v>1</v>
      </c>
      <c r="S298" s="196" t="b">
        <v>0</v>
      </c>
      <c r="T298" s="197" t="s">
        <v>2198</v>
      </c>
      <c r="U298" s="197" t="s">
        <v>941</v>
      </c>
      <c r="V298" s="207" t="s">
        <v>940</v>
      </c>
      <c r="W298" s="197">
        <v>5.330530054E9</v>
      </c>
      <c r="X298" s="198">
        <v>44603.0</v>
      </c>
      <c r="Y298" s="198">
        <v>44606.0</v>
      </c>
      <c r="Z298" s="199"/>
      <c r="AA298" s="200" t="s">
        <v>1202</v>
      </c>
      <c r="AB298" s="201">
        <v>44354.0</v>
      </c>
      <c r="AC298" s="200" t="s">
        <v>1202</v>
      </c>
      <c r="AD298" s="201">
        <v>44371.0</v>
      </c>
      <c r="AE298" s="200" t="s">
        <v>1151</v>
      </c>
      <c r="AF298" s="201">
        <v>44603.0</v>
      </c>
      <c r="AG298" s="105"/>
      <c r="AH298" s="199"/>
      <c r="AI298" s="199"/>
      <c r="AJ298" s="199"/>
      <c r="AK298" s="200" t="s">
        <v>189</v>
      </c>
      <c r="AL298" s="200" t="s">
        <v>1204</v>
      </c>
      <c r="AM298" s="200" t="s">
        <v>941</v>
      </c>
      <c r="AN298" s="199"/>
      <c r="AO298" s="199"/>
      <c r="AP298" s="202" t="s">
        <v>1152</v>
      </c>
      <c r="AQ298" s="199"/>
    </row>
    <row r="299">
      <c r="A299" s="135" t="s">
        <v>2199</v>
      </c>
      <c r="B299" s="135" t="s">
        <v>2200</v>
      </c>
      <c r="C299" s="135" t="str">
        <f>VLOOKUP(A299,import!A:C,3,0)</f>
        <v>DOĞRU</v>
      </c>
      <c r="D299" s="135" t="s">
        <v>1162</v>
      </c>
      <c r="E299" s="194">
        <f>VLOOKUP(A299,import!A:AA,5,0)</f>
        <v>561</v>
      </c>
      <c r="F299" s="194">
        <f>VLOOKUP(A299,import!A:AA,6,0)</f>
        <v>34</v>
      </c>
      <c r="G299" s="135">
        <f>VLOOKUP(A299,import!A:AA,7,0)</f>
        <v>0</v>
      </c>
      <c r="H299" s="135">
        <f>VLOOKUP(A299,import!A:AA,8,0)</f>
        <v>57</v>
      </c>
      <c r="I299" s="135">
        <f>VLOOKUP(A299,import!A:AA,9,0)</f>
        <v>57</v>
      </c>
      <c r="J299" s="195">
        <f>VLOOKUP(A299,import!A:AA,10,0)</f>
        <v>0</v>
      </c>
      <c r="K299" s="135" t="s">
        <v>2201</v>
      </c>
      <c r="L299" s="135">
        <v>2.642793939E9</v>
      </c>
      <c r="M299" s="135" t="s">
        <v>1172</v>
      </c>
      <c r="N299" s="135" t="s">
        <v>1196</v>
      </c>
      <c r="O299" s="135" t="s">
        <v>2202</v>
      </c>
      <c r="P299" s="135" t="str">
        <f>VLOOKUP(A299,import!A:P,16,0)</f>
        <v>Geleneksel</v>
      </c>
      <c r="Q299" s="196"/>
      <c r="R299" s="196" t="b">
        <v>1</v>
      </c>
      <c r="S299" s="196" t="b">
        <v>0</v>
      </c>
      <c r="T299" s="197" t="s">
        <v>1275</v>
      </c>
      <c r="U299" s="204"/>
      <c r="V299" s="204"/>
      <c r="W299" s="197" t="s">
        <v>2203</v>
      </c>
      <c r="X299" s="206"/>
      <c r="Y299" s="206"/>
      <c r="Z299" s="199"/>
      <c r="AA299" s="200" t="s">
        <v>1253</v>
      </c>
      <c r="AB299" s="201">
        <v>44350.0</v>
      </c>
      <c r="AC299" s="200" t="s">
        <v>1151</v>
      </c>
      <c r="AD299" s="201">
        <v>44363.0</v>
      </c>
      <c r="AE299" s="200" t="s">
        <v>1151</v>
      </c>
      <c r="AF299" s="201">
        <v>44378.0</v>
      </c>
      <c r="AG299" s="105"/>
      <c r="AH299" s="199"/>
      <c r="AI299" s="199"/>
      <c r="AJ299" s="199"/>
      <c r="AK299" s="200" t="s">
        <v>1204</v>
      </c>
      <c r="AL299" s="200" t="s">
        <v>1204</v>
      </c>
      <c r="AM299" s="200" t="s">
        <v>1232</v>
      </c>
      <c r="AN299" s="199"/>
      <c r="AO299" s="199"/>
      <c r="AP299" s="202" t="s">
        <v>1152</v>
      </c>
      <c r="AQ299" s="199"/>
    </row>
    <row r="300">
      <c r="A300" s="135" t="s">
        <v>2204</v>
      </c>
      <c r="B300" s="135" t="s">
        <v>2205</v>
      </c>
      <c r="C300" s="135" t="str">
        <f>VLOOKUP(A300,import!A:C,3,0)</f>
        <v>YANLIŞ</v>
      </c>
      <c r="D300" s="135" t="s">
        <v>1302</v>
      </c>
      <c r="E300" s="194" t="str">
        <f>VLOOKUP(A300,import!A:AA,5,0)</f>
        <v/>
      </c>
      <c r="F300" s="194" t="str">
        <f>VLOOKUP(A300,import!A:AA,6,0)</f>
        <v/>
      </c>
      <c r="G300" s="135">
        <f>VLOOKUP(A300,import!A:AA,7,0)</f>
        <v>0</v>
      </c>
      <c r="H300" s="135">
        <f>VLOOKUP(A300,import!A:AA,8,0)</f>
        <v>67</v>
      </c>
      <c r="I300" s="135">
        <f>VLOOKUP(A300,import!A:AA,9,0)</f>
        <v>67</v>
      </c>
      <c r="J300" s="195">
        <f>VLOOKUP(A300,import!A:AA,10,0)</f>
        <v>0</v>
      </c>
      <c r="K300" s="135" t="s">
        <v>2206</v>
      </c>
      <c r="L300" s="135">
        <v>5.428376706E9</v>
      </c>
      <c r="M300" s="135" t="s">
        <v>1147</v>
      </c>
      <c r="N300" s="135" t="s">
        <v>1164</v>
      </c>
      <c r="O300" s="135" t="s">
        <v>2207</v>
      </c>
      <c r="P300" s="135" t="str">
        <f>VLOOKUP(A300,import!A:P,16,0)</f>
        <v>Geleneksel</v>
      </c>
      <c r="Q300" s="196"/>
      <c r="R300" s="196" t="b">
        <v>1</v>
      </c>
      <c r="S300" s="196" t="b">
        <v>1</v>
      </c>
      <c r="T300" s="197"/>
      <c r="U300" s="197"/>
      <c r="V300" s="197"/>
      <c r="W300" s="197" t="s">
        <v>2208</v>
      </c>
      <c r="X300" s="198"/>
      <c r="Y300" s="198"/>
      <c r="Z300" s="199"/>
      <c r="AA300" s="200" t="s">
        <v>1202</v>
      </c>
      <c r="AB300" s="201">
        <v>44379.0</v>
      </c>
      <c r="AC300" s="200" t="s">
        <v>1151</v>
      </c>
      <c r="AD300" s="201">
        <v>44383.0</v>
      </c>
      <c r="AE300" s="105"/>
      <c r="AF300" s="199"/>
      <c r="AG300" s="105"/>
      <c r="AH300" s="199"/>
      <c r="AI300" s="199"/>
      <c r="AJ300" s="199"/>
      <c r="AK300" s="200" t="s">
        <v>257</v>
      </c>
      <c r="AL300" s="200" t="s">
        <v>189</v>
      </c>
      <c r="AM300" s="199"/>
      <c r="AN300" s="199"/>
      <c r="AO300" s="199"/>
      <c r="AP300" s="202" t="s">
        <v>1152</v>
      </c>
      <c r="AQ300" s="199"/>
    </row>
    <row r="301">
      <c r="A301" s="135" t="s">
        <v>890</v>
      </c>
      <c r="B301" s="135" t="s">
        <v>891</v>
      </c>
      <c r="C301" s="135" t="str">
        <f>VLOOKUP(A301,import!A:C,3,0)</f>
        <v>DOĞRU</v>
      </c>
      <c r="D301" s="135" t="s">
        <v>1226</v>
      </c>
      <c r="E301" s="194">
        <f>VLOOKUP(A301,import!A:AA,5,0)</f>
        <v>121</v>
      </c>
      <c r="F301" s="194" t="str">
        <f>VLOOKUP(A301,import!A:AA,6,0)</f>
        <v/>
      </c>
      <c r="G301" s="135">
        <f>VLOOKUP(A301,import!A:AA,7,0)</f>
        <v>6</v>
      </c>
      <c r="H301" s="135">
        <f>VLOOKUP(A301,import!A:AA,8,0)</f>
        <v>4</v>
      </c>
      <c r="I301" s="135">
        <f>VLOOKUP(A301,import!A:AA,9,0)</f>
        <v>10</v>
      </c>
      <c r="J301" s="195">
        <f>VLOOKUP(A301,import!A:AA,10,0)</f>
        <v>0.6</v>
      </c>
      <c r="K301" s="135" t="s">
        <v>2209</v>
      </c>
      <c r="L301" s="135">
        <v>5.072599732E9</v>
      </c>
      <c r="M301" s="135" t="s">
        <v>1147</v>
      </c>
      <c r="N301" s="135" t="s">
        <v>1352</v>
      </c>
      <c r="O301" s="135" t="s">
        <v>894</v>
      </c>
      <c r="P301" s="135" t="str">
        <f>VLOOKUP(A301,import!A:P,16,0)</f>
        <v>Geleneksel</v>
      </c>
      <c r="Q301" s="196"/>
      <c r="R301" s="196" t="b">
        <v>1</v>
      </c>
      <c r="S301" s="196" t="b">
        <v>0</v>
      </c>
      <c r="T301" s="197" t="s">
        <v>1165</v>
      </c>
      <c r="U301" s="197" t="s">
        <v>189</v>
      </c>
      <c r="V301" s="197"/>
      <c r="W301" s="197"/>
      <c r="X301" s="198">
        <v>44376.0</v>
      </c>
      <c r="Y301" s="198">
        <v>44377.0</v>
      </c>
      <c r="Z301" s="199"/>
      <c r="AA301" s="200" t="s">
        <v>1151</v>
      </c>
      <c r="AB301" s="201">
        <v>44376.0</v>
      </c>
      <c r="AC301" s="199"/>
      <c r="AD301" s="199"/>
      <c r="AE301" s="105"/>
      <c r="AF301" s="199"/>
      <c r="AG301" s="105"/>
      <c r="AH301" s="199"/>
      <c r="AI301" s="199"/>
      <c r="AJ301" s="199"/>
      <c r="AK301" s="200" t="s">
        <v>189</v>
      </c>
      <c r="AL301" s="199"/>
      <c r="AM301" s="199"/>
      <c r="AN301" s="199"/>
      <c r="AO301" s="199"/>
      <c r="AP301" s="202" t="s">
        <v>1152</v>
      </c>
      <c r="AQ301" s="199"/>
    </row>
    <row r="302">
      <c r="A302" s="135" t="s">
        <v>857</v>
      </c>
      <c r="B302" s="135" t="s">
        <v>858</v>
      </c>
      <c r="C302" s="135" t="str">
        <f>VLOOKUP(A302,import!A:C,3,0)</f>
        <v>DOĞRU</v>
      </c>
      <c r="D302" s="135" t="s">
        <v>1226</v>
      </c>
      <c r="E302" s="194">
        <f>VLOOKUP(A302,import!A:AA,5,0)</f>
        <v>1400</v>
      </c>
      <c r="F302" s="194">
        <f>VLOOKUP(A302,import!A:AA,6,0)</f>
        <v>13</v>
      </c>
      <c r="G302" s="135">
        <f>VLOOKUP(A302,import!A:AA,7,0)</f>
        <v>21</v>
      </c>
      <c r="H302" s="135">
        <f>VLOOKUP(A302,import!A:AA,8,0)</f>
        <v>15</v>
      </c>
      <c r="I302" s="135">
        <f>VLOOKUP(A302,import!A:AA,9,0)</f>
        <v>36</v>
      </c>
      <c r="J302" s="195">
        <f>VLOOKUP(A302,import!A:AA,10,0)</f>
        <v>0.58</v>
      </c>
      <c r="K302" s="135" t="s">
        <v>2210</v>
      </c>
      <c r="L302" s="135">
        <v>2.64614204E8</v>
      </c>
      <c r="M302" s="135" t="s">
        <v>1348</v>
      </c>
      <c r="N302" s="135" t="s">
        <v>1349</v>
      </c>
      <c r="O302" s="135" t="s">
        <v>861</v>
      </c>
      <c r="P302" s="135" t="str">
        <f>VLOOKUP(A302,import!A:P,16,0)</f>
        <v>Geleneksel</v>
      </c>
      <c r="Q302" s="196"/>
      <c r="R302" s="196" t="b">
        <v>1</v>
      </c>
      <c r="S302" s="196" t="b">
        <v>0</v>
      </c>
      <c r="T302" s="197" t="s">
        <v>1289</v>
      </c>
      <c r="U302" s="197" t="s">
        <v>1061</v>
      </c>
      <c r="V302" s="207" t="s">
        <v>940</v>
      </c>
      <c r="W302" s="197">
        <v>5.306515461E9</v>
      </c>
      <c r="X302" s="198">
        <v>44615.0</v>
      </c>
      <c r="Y302" s="198">
        <v>44616.0</v>
      </c>
      <c r="Z302" s="199"/>
      <c r="AA302" s="200" t="s">
        <v>1151</v>
      </c>
      <c r="AB302" s="201">
        <v>44368.0</v>
      </c>
      <c r="AC302" s="200" t="s">
        <v>1151</v>
      </c>
      <c r="AD302" s="201">
        <v>44617.0</v>
      </c>
      <c r="AE302" s="105"/>
      <c r="AF302" s="199"/>
      <c r="AG302" s="105"/>
      <c r="AH302" s="199"/>
      <c r="AI302" s="199"/>
      <c r="AJ302" s="199"/>
      <c r="AK302" s="200" t="s">
        <v>92</v>
      </c>
      <c r="AL302" s="200" t="s">
        <v>1061</v>
      </c>
      <c r="AM302" s="199"/>
      <c r="AN302" s="199"/>
      <c r="AO302" s="199"/>
      <c r="AP302" s="202" t="s">
        <v>1152</v>
      </c>
      <c r="AQ302" s="199"/>
    </row>
    <row r="303">
      <c r="A303" s="135" t="s">
        <v>465</v>
      </c>
      <c r="B303" s="135" t="s">
        <v>466</v>
      </c>
      <c r="C303" s="135" t="str">
        <f>VLOOKUP(A303,import!A:C,3,0)</f>
        <v>DOĞRU</v>
      </c>
      <c r="D303" s="135" t="s">
        <v>1226</v>
      </c>
      <c r="E303" s="194">
        <f>VLOOKUP(A303,import!A:AA,5,0)</f>
        <v>145</v>
      </c>
      <c r="F303" s="194" t="str">
        <f>VLOOKUP(A303,import!A:AA,6,0)</f>
        <v/>
      </c>
      <c r="G303" s="135">
        <f>VLOOKUP(A303,import!A:AA,7,0)</f>
        <v>9</v>
      </c>
      <c r="H303" s="135">
        <f>VLOOKUP(A303,import!A:AA,8,0)</f>
        <v>9</v>
      </c>
      <c r="I303" s="135">
        <f>VLOOKUP(A303,import!A:AA,9,0)</f>
        <v>18</v>
      </c>
      <c r="J303" s="195">
        <f>VLOOKUP(A303,import!A:AA,10,0)</f>
        <v>0.5</v>
      </c>
      <c r="K303" s="135" t="s">
        <v>2211</v>
      </c>
      <c r="L303" s="135">
        <v>5.355886448E9</v>
      </c>
      <c r="M303" s="135" t="s">
        <v>1172</v>
      </c>
      <c r="N303" s="135" t="s">
        <v>1379</v>
      </c>
      <c r="O303" s="135" t="s">
        <v>468</v>
      </c>
      <c r="P303" s="135" t="str">
        <f>VLOOKUP(A303,import!A:P,16,0)</f>
        <v>Geleneksel</v>
      </c>
      <c r="Q303" s="196"/>
      <c r="R303" s="196" t="b">
        <v>1</v>
      </c>
      <c r="S303" s="196" t="b">
        <v>0</v>
      </c>
      <c r="T303" s="197" t="s">
        <v>1165</v>
      </c>
      <c r="U303" s="197" t="s">
        <v>189</v>
      </c>
      <c r="V303" s="208" t="s">
        <v>91</v>
      </c>
      <c r="W303" s="197" t="s">
        <v>1649</v>
      </c>
      <c r="X303" s="198">
        <v>44333.0</v>
      </c>
      <c r="Y303" s="198">
        <v>44335.0</v>
      </c>
      <c r="Z303" s="199"/>
      <c r="AA303" s="199"/>
      <c r="AB303" s="199"/>
      <c r="AC303" s="199"/>
      <c r="AD303" s="199"/>
      <c r="AE303" s="105"/>
      <c r="AF303" s="199"/>
      <c r="AG303" s="105"/>
      <c r="AH303" s="199"/>
      <c r="AI303" s="199"/>
      <c r="AJ303" s="199"/>
      <c r="AK303" s="199"/>
      <c r="AL303" s="199"/>
      <c r="AM303" s="199"/>
      <c r="AN303" s="199"/>
      <c r="AO303" s="199"/>
      <c r="AP303" s="202" t="s">
        <v>1152</v>
      </c>
      <c r="AQ303" s="199"/>
    </row>
    <row r="304">
      <c r="A304" s="135" t="s">
        <v>2212</v>
      </c>
      <c r="B304" s="135" t="s">
        <v>2213</v>
      </c>
      <c r="C304" s="135" t="str">
        <f>VLOOKUP(A304,import!A:C,3,0)</f>
        <v>DOĞRU</v>
      </c>
      <c r="D304" s="135" t="s">
        <v>1226</v>
      </c>
      <c r="E304" s="194">
        <f>VLOOKUP(A304,import!A:AA,5,0)</f>
        <v>823</v>
      </c>
      <c r="F304" s="194">
        <f>VLOOKUP(A304,import!A:AA,6,0)</f>
        <v>71</v>
      </c>
      <c r="G304" s="135">
        <f>VLOOKUP(A304,import!A:AA,7,0)</f>
        <v>6</v>
      </c>
      <c r="H304" s="135">
        <f>VLOOKUP(A304,import!A:AA,8,0)</f>
        <v>18</v>
      </c>
      <c r="I304" s="135">
        <f>VLOOKUP(A304,import!A:AA,9,0)</f>
        <v>24</v>
      </c>
      <c r="J304" s="195">
        <f>VLOOKUP(A304,import!A:AA,10,0)</f>
        <v>0.25</v>
      </c>
      <c r="K304" s="135" t="s">
        <v>2214</v>
      </c>
      <c r="L304" s="135">
        <v>5.511510054E9</v>
      </c>
      <c r="M304" s="135" t="s">
        <v>1172</v>
      </c>
      <c r="N304" s="135" t="s">
        <v>1859</v>
      </c>
      <c r="O304" s="135" t="s">
        <v>2215</v>
      </c>
      <c r="P304" s="135" t="str">
        <f>VLOOKUP(A304,import!A:P,16,0)</f>
        <v>Geleneksel</v>
      </c>
      <c r="Q304" s="196"/>
      <c r="R304" s="196" t="b">
        <v>1</v>
      </c>
      <c r="S304" s="196" t="b">
        <v>1</v>
      </c>
      <c r="T304" s="197"/>
      <c r="U304" s="204"/>
      <c r="V304" s="222"/>
      <c r="W304" s="197" t="s">
        <v>2216</v>
      </c>
      <c r="X304" s="206"/>
      <c r="Y304" s="206"/>
      <c r="Z304" s="199"/>
      <c r="AA304" s="200" t="s">
        <v>1202</v>
      </c>
      <c r="AB304" s="201">
        <v>44363.0</v>
      </c>
      <c r="AC304" s="200" t="s">
        <v>1202</v>
      </c>
      <c r="AD304" s="201">
        <v>44363.0</v>
      </c>
      <c r="AE304" s="200" t="s">
        <v>1202</v>
      </c>
      <c r="AF304" s="201">
        <v>44365.0</v>
      </c>
      <c r="AG304" s="200" t="s">
        <v>1151</v>
      </c>
      <c r="AH304" s="201">
        <v>44379.0</v>
      </c>
      <c r="AI304" s="199"/>
      <c r="AJ304" s="199"/>
      <c r="AK304" s="200" t="s">
        <v>1167</v>
      </c>
      <c r="AL304" s="200" t="s">
        <v>1204</v>
      </c>
      <c r="AM304" s="200" t="s">
        <v>189</v>
      </c>
      <c r="AN304" s="200" t="s">
        <v>257</v>
      </c>
      <c r="AO304" s="199"/>
      <c r="AP304" s="202" t="s">
        <v>1152</v>
      </c>
      <c r="AQ304" s="199"/>
    </row>
    <row r="305">
      <c r="A305" s="202" t="s">
        <v>2217</v>
      </c>
      <c r="B305" s="202" t="s">
        <v>2218</v>
      </c>
      <c r="C305" s="135" t="str">
        <f>VLOOKUP(A305,import!A:C,3,0)</f>
        <v>DOĞRU</v>
      </c>
      <c r="D305" s="202" t="s">
        <v>1170</v>
      </c>
      <c r="E305" s="194">
        <f>VLOOKUP(A305,import!A:AA,5,0)</f>
        <v>6</v>
      </c>
      <c r="F305" s="194">
        <f>VLOOKUP(A305,import!A:AA,6,0)</f>
        <v>6</v>
      </c>
      <c r="G305" s="135">
        <f>VLOOKUP(A305,import!A:AA,7,0)</f>
        <v>0</v>
      </c>
      <c r="H305" s="135">
        <f>VLOOKUP(A305,import!A:AA,8,0)</f>
        <v>11</v>
      </c>
      <c r="I305" s="135">
        <f>VLOOKUP(A305,import!A:AA,9,0)</f>
        <v>11</v>
      </c>
      <c r="J305" s="195">
        <f>VLOOKUP(A305,import!A:AA,10,0)</f>
        <v>0</v>
      </c>
      <c r="K305" s="202" t="s">
        <v>2219</v>
      </c>
      <c r="L305" s="202">
        <v>5.528672954E9</v>
      </c>
      <c r="M305" s="202" t="s">
        <v>1147</v>
      </c>
      <c r="N305" s="202" t="s">
        <v>1164</v>
      </c>
      <c r="O305" s="202" t="s">
        <v>2220</v>
      </c>
      <c r="P305" s="135" t="str">
        <f>VLOOKUP(A305,import!A:P,16,0)</f>
        <v>Geleneksel</v>
      </c>
      <c r="Q305" s="196"/>
      <c r="R305" s="196" t="b">
        <v>0</v>
      </c>
      <c r="S305" s="196" t="b">
        <v>0</v>
      </c>
      <c r="T305" s="197"/>
      <c r="U305" s="197"/>
      <c r="V305" s="197"/>
      <c r="W305" s="197"/>
      <c r="X305" s="198"/>
      <c r="Y305" s="198"/>
      <c r="Z305" s="199"/>
      <c r="AA305" s="200"/>
      <c r="AB305" s="201"/>
      <c r="AC305" s="199"/>
      <c r="AD305" s="199"/>
      <c r="AE305" s="105"/>
      <c r="AF305" s="199"/>
      <c r="AG305" s="105"/>
      <c r="AH305" s="199"/>
      <c r="AI305" s="199"/>
      <c r="AJ305" s="199"/>
      <c r="AK305" s="200"/>
      <c r="AL305" s="199"/>
      <c r="AM305" s="199"/>
      <c r="AN305" s="199"/>
      <c r="AO305" s="199"/>
      <c r="AP305" s="202"/>
      <c r="AQ305" s="199"/>
    </row>
    <row r="306">
      <c r="A306" s="135" t="s">
        <v>2221</v>
      </c>
      <c r="B306" s="135" t="s">
        <v>2222</v>
      </c>
      <c r="C306" s="135" t="str">
        <f>VLOOKUP(A306,import!A:C,3,0)</f>
        <v>DOĞRU</v>
      </c>
      <c r="D306" s="135" t="s">
        <v>1170</v>
      </c>
      <c r="E306" s="194">
        <f>VLOOKUP(A306,import!A:AA,5,0)</f>
        <v>2025</v>
      </c>
      <c r="F306" s="194">
        <f>VLOOKUP(A306,import!A:AA,6,0)</f>
        <v>199</v>
      </c>
      <c r="G306" s="135">
        <f>VLOOKUP(A306,import!A:AA,7,0)</f>
        <v>0</v>
      </c>
      <c r="H306" s="135">
        <f>VLOOKUP(A306,import!A:AA,8,0)</f>
        <v>23</v>
      </c>
      <c r="I306" s="135">
        <f>VLOOKUP(A306,import!A:AA,9,0)</f>
        <v>23</v>
      </c>
      <c r="J306" s="195">
        <f>VLOOKUP(A306,import!A:AA,10,0)</f>
        <v>0</v>
      </c>
      <c r="K306" s="135" t="s">
        <v>2223</v>
      </c>
      <c r="L306" s="135">
        <v>5.399224034E9</v>
      </c>
      <c r="M306" s="135" t="s">
        <v>1147</v>
      </c>
      <c r="N306" s="135" t="s">
        <v>1200</v>
      </c>
      <c r="O306" s="135" t="s">
        <v>2224</v>
      </c>
      <c r="P306" s="135" t="str">
        <f>VLOOKUP(A306,import!A:P,16,0)</f>
        <v>Geleneksel</v>
      </c>
      <c r="Q306" s="196"/>
      <c r="R306" s="196" t="b">
        <v>1</v>
      </c>
      <c r="S306" s="196" t="b">
        <v>0</v>
      </c>
      <c r="T306" s="197" t="s">
        <v>1275</v>
      </c>
      <c r="U306" s="204"/>
      <c r="V306" s="204"/>
      <c r="W306" s="197" t="s">
        <v>2225</v>
      </c>
      <c r="X306" s="206"/>
      <c r="Y306" s="206"/>
      <c r="Z306" s="199"/>
      <c r="AA306" s="200" t="s">
        <v>1202</v>
      </c>
      <c r="AB306" s="201">
        <v>44392.0</v>
      </c>
      <c r="AC306" s="199"/>
      <c r="AD306" s="199"/>
      <c r="AE306" s="105"/>
      <c r="AF306" s="199"/>
      <c r="AG306" s="105"/>
      <c r="AH306" s="199"/>
      <c r="AI306" s="199"/>
      <c r="AJ306" s="199"/>
      <c r="AK306" s="200" t="s">
        <v>1167</v>
      </c>
      <c r="AL306" s="199"/>
      <c r="AM306" s="199"/>
      <c r="AN306" s="199"/>
      <c r="AO306" s="199"/>
      <c r="AP306" s="202" t="s">
        <v>1152</v>
      </c>
      <c r="AQ306" s="199"/>
    </row>
    <row r="307">
      <c r="A307" s="135" t="s">
        <v>93</v>
      </c>
      <c r="B307" s="135" t="s">
        <v>94</v>
      </c>
      <c r="C307" s="135" t="str">
        <f>VLOOKUP(A307,import!A:C,3,0)</f>
        <v>DOĞRU</v>
      </c>
      <c r="D307" s="135" t="s">
        <v>1155</v>
      </c>
      <c r="E307" s="194">
        <f>VLOOKUP(A307,import!A:AA,5,0)</f>
        <v>4294</v>
      </c>
      <c r="F307" s="194" t="str">
        <f>VLOOKUP(A307,import!A:AA,6,0)</f>
        <v/>
      </c>
      <c r="G307" s="135">
        <f>VLOOKUP(A307,import!A:AA,7,0)</f>
        <v>24</v>
      </c>
      <c r="H307" s="135">
        <f>VLOOKUP(A307,import!A:AA,8,0)</f>
        <v>9</v>
      </c>
      <c r="I307" s="135">
        <f>VLOOKUP(A307,import!A:AA,9,0)</f>
        <v>33</v>
      </c>
      <c r="J307" s="195">
        <f>VLOOKUP(A307,import!A:AA,10,0)</f>
        <v>0.73</v>
      </c>
      <c r="K307" s="135" t="s">
        <v>2226</v>
      </c>
      <c r="L307" s="135">
        <v>2.64241419E9</v>
      </c>
      <c r="M307" s="135" t="s">
        <v>1177</v>
      </c>
      <c r="N307" s="135" t="s">
        <v>1178</v>
      </c>
      <c r="O307" s="135" t="s">
        <v>98</v>
      </c>
      <c r="P307" s="135" t="str">
        <f>VLOOKUP(A307,import!A:P,16,0)</f>
        <v>Geleneksel</v>
      </c>
      <c r="Q307" s="196"/>
      <c r="R307" s="196" t="b">
        <v>1</v>
      </c>
      <c r="S307" s="196" t="b">
        <v>0</v>
      </c>
      <c r="T307" s="211" t="s">
        <v>1165</v>
      </c>
      <c r="U307" s="211" t="s">
        <v>92</v>
      </c>
      <c r="V307" s="211" t="s">
        <v>15</v>
      </c>
      <c r="W307" s="211" t="s">
        <v>2227</v>
      </c>
      <c r="X307" s="214">
        <v>44292.0</v>
      </c>
      <c r="Y307" s="214">
        <v>44294.0</v>
      </c>
      <c r="Z307" s="199"/>
      <c r="AA307" s="200" t="s">
        <v>1151</v>
      </c>
      <c r="AB307" s="201">
        <v>44405.0</v>
      </c>
      <c r="AC307" s="199"/>
      <c r="AD307" s="199"/>
      <c r="AE307" s="105"/>
      <c r="AF307" s="199"/>
      <c r="AG307" s="105"/>
      <c r="AH307" s="199"/>
      <c r="AI307" s="199"/>
      <c r="AJ307" s="199"/>
      <c r="AK307" s="200" t="s">
        <v>2228</v>
      </c>
      <c r="AL307" s="199"/>
      <c r="AM307" s="199"/>
      <c r="AN307" s="199"/>
      <c r="AO307" s="199"/>
      <c r="AP307" s="202" t="s">
        <v>1152</v>
      </c>
      <c r="AQ307" s="199"/>
    </row>
    <row r="308">
      <c r="A308" s="135" t="s">
        <v>56</v>
      </c>
      <c r="B308" s="135" t="s">
        <v>57</v>
      </c>
      <c r="C308" s="135" t="str">
        <f>VLOOKUP(A308,import!A:C,3,0)</f>
        <v>DOĞRU</v>
      </c>
      <c r="D308" s="135" t="s">
        <v>1216</v>
      </c>
      <c r="E308" s="194">
        <f>VLOOKUP(A308,import!A:AA,5,0)</f>
        <v>624</v>
      </c>
      <c r="F308" s="194" t="str">
        <f>VLOOKUP(A308,import!A:AA,6,0)</f>
        <v/>
      </c>
      <c r="G308" s="135">
        <f>VLOOKUP(A308,import!A:AA,7,0)</f>
        <v>32</v>
      </c>
      <c r="H308" s="135">
        <f>VLOOKUP(A308,import!A:AA,8,0)</f>
        <v>135</v>
      </c>
      <c r="I308" s="135">
        <f>VLOOKUP(A308,import!A:AA,9,0)</f>
        <v>167</v>
      </c>
      <c r="J308" s="195">
        <f>VLOOKUP(A308,import!A:AA,10,0)</f>
        <v>0.19</v>
      </c>
      <c r="K308" s="135" t="s">
        <v>2229</v>
      </c>
      <c r="L308" s="135">
        <v>5.41815731E9</v>
      </c>
      <c r="M308" s="135" t="s">
        <v>1147</v>
      </c>
      <c r="N308" s="135" t="s">
        <v>1362</v>
      </c>
      <c r="O308" s="135" t="s">
        <v>60</v>
      </c>
      <c r="P308" s="135" t="str">
        <f>VLOOKUP(A308,import!A:P,16,0)</f>
        <v>Geleneksel</v>
      </c>
      <c r="Q308" s="196"/>
      <c r="R308" s="196" t="b">
        <v>1</v>
      </c>
      <c r="S308" s="196" t="b">
        <v>0</v>
      </c>
      <c r="T308" s="197" t="s">
        <v>1165</v>
      </c>
      <c r="U308" s="197" t="s">
        <v>16</v>
      </c>
      <c r="V308" s="197" t="s">
        <v>15</v>
      </c>
      <c r="W308" s="197" t="s">
        <v>2230</v>
      </c>
      <c r="X308" s="198">
        <v>44285.0</v>
      </c>
      <c r="Y308" s="198">
        <v>44288.0</v>
      </c>
      <c r="Z308" s="199"/>
      <c r="AA308" s="200" t="s">
        <v>1151</v>
      </c>
      <c r="AB308" s="201">
        <v>44610.0</v>
      </c>
      <c r="AC308" s="199"/>
      <c r="AD308" s="199"/>
      <c r="AE308" s="105"/>
      <c r="AF308" s="199"/>
      <c r="AG308" s="105"/>
      <c r="AH308" s="199"/>
      <c r="AI308" s="199"/>
      <c r="AJ308" s="199"/>
      <c r="AK308" s="200" t="s">
        <v>1061</v>
      </c>
      <c r="AL308" s="199"/>
      <c r="AM308" s="199"/>
      <c r="AN308" s="199"/>
      <c r="AO308" s="199"/>
      <c r="AP308" s="202" t="s">
        <v>1152</v>
      </c>
      <c r="AQ308" s="199"/>
    </row>
    <row r="309">
      <c r="A309" s="135" t="s">
        <v>2231</v>
      </c>
      <c r="B309" s="135" t="s">
        <v>2232</v>
      </c>
      <c r="C309" s="135" t="str">
        <f>VLOOKUP(A309,import!A:C,3,0)</f>
        <v>DOĞRU</v>
      </c>
      <c r="D309" s="135" t="s">
        <v>1216</v>
      </c>
      <c r="E309" s="194">
        <f>VLOOKUP(A309,import!A:AA,5,0)</f>
        <v>95</v>
      </c>
      <c r="F309" s="194" t="str">
        <f>VLOOKUP(A309,import!A:AA,6,0)</f>
        <v/>
      </c>
      <c r="G309" s="135">
        <f>VLOOKUP(A309,import!A:AA,7,0)</f>
        <v>0</v>
      </c>
      <c r="H309" s="135">
        <f>VLOOKUP(A309,import!A:AA,8,0)</f>
        <v>38</v>
      </c>
      <c r="I309" s="135">
        <f>VLOOKUP(A309,import!A:AA,9,0)</f>
        <v>38</v>
      </c>
      <c r="J309" s="195">
        <f>VLOOKUP(A309,import!A:AA,10,0)</f>
        <v>0</v>
      </c>
      <c r="K309" s="135" t="s">
        <v>2233</v>
      </c>
      <c r="L309" s="135">
        <v>5.314953749E9</v>
      </c>
      <c r="M309" s="135" t="s">
        <v>1177</v>
      </c>
      <c r="N309" s="135" t="s">
        <v>1184</v>
      </c>
      <c r="O309" s="135" t="s">
        <v>2234</v>
      </c>
      <c r="P309" s="135" t="str">
        <f>VLOOKUP(A309,import!A:P,16,0)</f>
        <v>Geleneksel</v>
      </c>
      <c r="Q309" s="196"/>
      <c r="R309" s="196" t="b">
        <v>0</v>
      </c>
      <c r="S309" s="196" t="b">
        <v>0</v>
      </c>
      <c r="T309" s="197"/>
      <c r="U309" s="197"/>
      <c r="V309" s="197"/>
      <c r="W309" s="197"/>
      <c r="X309" s="198"/>
      <c r="Y309" s="198"/>
      <c r="Z309" s="199"/>
      <c r="AA309" s="200"/>
      <c r="AB309" s="201"/>
      <c r="AC309" s="199"/>
      <c r="AD309" s="199"/>
      <c r="AE309" s="105"/>
      <c r="AF309" s="199"/>
      <c r="AG309" s="105"/>
      <c r="AH309" s="199"/>
      <c r="AI309" s="199"/>
      <c r="AJ309" s="199"/>
      <c r="AK309" s="200"/>
      <c r="AL309" s="199"/>
      <c r="AM309" s="199"/>
      <c r="AN309" s="199"/>
      <c r="AO309" s="199"/>
      <c r="AP309" s="202" t="s">
        <v>1152</v>
      </c>
      <c r="AQ309" s="199"/>
    </row>
    <row r="310">
      <c r="A310" s="135" t="s">
        <v>2235</v>
      </c>
      <c r="B310" s="135" t="s">
        <v>2236</v>
      </c>
      <c r="C310" s="135" t="str">
        <f>VLOOKUP(A310,import!A:C,3,0)</f>
        <v>YANLIŞ</v>
      </c>
      <c r="D310" s="135" t="s">
        <v>1216</v>
      </c>
      <c r="E310" s="194">
        <f>VLOOKUP(A310,import!A:AA,5,0)</f>
        <v>1396</v>
      </c>
      <c r="F310" s="194" t="str">
        <f>VLOOKUP(A310,import!A:AA,6,0)</f>
        <v/>
      </c>
      <c r="G310" s="135">
        <f>VLOOKUP(A310,import!A:AA,7,0)</f>
        <v>0</v>
      </c>
      <c r="H310" s="135">
        <f>VLOOKUP(A310,import!A:AA,8,0)</f>
        <v>34</v>
      </c>
      <c r="I310" s="135">
        <f>VLOOKUP(A310,import!A:AA,9,0)</f>
        <v>34</v>
      </c>
      <c r="J310" s="195">
        <f>VLOOKUP(A310,import!A:AA,10,0)</f>
        <v>0</v>
      </c>
      <c r="K310" s="135" t="s">
        <v>2237</v>
      </c>
      <c r="L310" s="135">
        <v>2.642761001E9</v>
      </c>
      <c r="M310" s="135" t="s">
        <v>1147</v>
      </c>
      <c r="N310" s="135" t="s">
        <v>1362</v>
      </c>
      <c r="O310" s="135" t="s">
        <v>2238</v>
      </c>
      <c r="P310" s="135" t="str">
        <f>VLOOKUP(A310,import!A:P,16,0)</f>
        <v>Geleneksel</v>
      </c>
      <c r="Q310" s="196"/>
      <c r="R310" s="196" t="b">
        <v>0</v>
      </c>
      <c r="S310" s="196" t="b">
        <v>0</v>
      </c>
      <c r="T310" s="211" t="s">
        <v>1373</v>
      </c>
      <c r="U310" s="211"/>
      <c r="V310" s="211"/>
      <c r="W310" s="211" t="s">
        <v>2239</v>
      </c>
      <c r="X310" s="214"/>
      <c r="Y310" s="214"/>
      <c r="Z310" s="199"/>
      <c r="AA310" s="199"/>
      <c r="AB310" s="199"/>
      <c r="AC310" s="199"/>
      <c r="AD310" s="199"/>
      <c r="AE310" s="105"/>
      <c r="AF310" s="199"/>
      <c r="AG310" s="105"/>
      <c r="AH310" s="199"/>
      <c r="AI310" s="199"/>
      <c r="AJ310" s="199"/>
      <c r="AK310" s="199"/>
      <c r="AL310" s="199"/>
      <c r="AM310" s="199"/>
      <c r="AN310" s="199"/>
      <c r="AO310" s="199"/>
      <c r="AP310" s="202" t="s">
        <v>1152</v>
      </c>
      <c r="AQ310" s="199"/>
    </row>
    <row r="311">
      <c r="A311" s="135" t="s">
        <v>2240</v>
      </c>
      <c r="B311" s="135" t="s">
        <v>2241</v>
      </c>
      <c r="C311" s="135" t="str">
        <f>VLOOKUP(A311,import!A:C,3,0)</f>
        <v>DOĞRU</v>
      </c>
      <c r="D311" s="135" t="s">
        <v>1216</v>
      </c>
      <c r="E311" s="194">
        <f>VLOOKUP(A311,import!A:AA,5,0)</f>
        <v>930</v>
      </c>
      <c r="F311" s="194">
        <f>VLOOKUP(A311,import!A:AA,6,0)</f>
        <v>22</v>
      </c>
      <c r="G311" s="135">
        <f>VLOOKUP(A311,import!A:AA,7,0)</f>
        <v>0</v>
      </c>
      <c r="H311" s="135">
        <f>VLOOKUP(A311,import!A:AA,8,0)</f>
        <v>31</v>
      </c>
      <c r="I311" s="135">
        <f>VLOOKUP(A311,import!A:AA,9,0)</f>
        <v>31</v>
      </c>
      <c r="J311" s="195">
        <f>VLOOKUP(A311,import!A:AA,10,0)</f>
        <v>0</v>
      </c>
      <c r="K311" s="135" t="s">
        <v>2242</v>
      </c>
      <c r="L311" s="135">
        <v>2.645022777E9</v>
      </c>
      <c r="M311" s="135" t="s">
        <v>1147</v>
      </c>
      <c r="N311" s="135" t="s">
        <v>1200</v>
      </c>
      <c r="O311" s="135" t="s">
        <v>2243</v>
      </c>
      <c r="P311" s="135" t="str">
        <f>VLOOKUP(A311,import!A:P,16,0)</f>
        <v>Geleneksel</v>
      </c>
      <c r="Q311" s="196"/>
      <c r="R311" s="196" t="b">
        <v>1</v>
      </c>
      <c r="S311" s="196" t="b">
        <v>0</v>
      </c>
      <c r="T311" s="197" t="s">
        <v>1275</v>
      </c>
      <c r="U311" s="197"/>
      <c r="V311" s="197"/>
      <c r="W311" s="197" t="s">
        <v>2244</v>
      </c>
      <c r="X311" s="198"/>
      <c r="Y311" s="198"/>
      <c r="Z311" s="199"/>
      <c r="AA311" s="200" t="s">
        <v>1277</v>
      </c>
      <c r="AB311" s="201">
        <v>44358.0</v>
      </c>
      <c r="AC311" s="200" t="s">
        <v>1151</v>
      </c>
      <c r="AD311" s="201">
        <v>44376.0</v>
      </c>
      <c r="AE311" s="200" t="s">
        <v>1151</v>
      </c>
      <c r="AF311" s="201">
        <v>44392.0</v>
      </c>
      <c r="AG311" s="105"/>
      <c r="AH311" s="199"/>
      <c r="AI311" s="199"/>
      <c r="AJ311" s="199"/>
      <c r="AK311" s="200" t="s">
        <v>1278</v>
      </c>
      <c r="AL311" s="200" t="s">
        <v>1167</v>
      </c>
      <c r="AM311" s="200" t="s">
        <v>1167</v>
      </c>
      <c r="AN311" s="199"/>
      <c r="AO311" s="199"/>
      <c r="AP311" s="202" t="s">
        <v>1152</v>
      </c>
      <c r="AQ311" s="199"/>
    </row>
    <row r="312">
      <c r="A312" s="135" t="s">
        <v>385</v>
      </c>
      <c r="B312" s="135" t="s">
        <v>386</v>
      </c>
      <c r="C312" s="135" t="str">
        <f>VLOOKUP(A312,import!A:C,3,0)</f>
        <v>YANLIŞ</v>
      </c>
      <c r="D312" s="135" t="s">
        <v>1226</v>
      </c>
      <c r="E312" s="194">
        <f>VLOOKUP(A312,import!A:AA,5,0)</f>
        <v>92</v>
      </c>
      <c r="F312" s="194" t="str">
        <f>VLOOKUP(A312,import!A:AA,6,0)</f>
        <v/>
      </c>
      <c r="G312" s="135">
        <f>VLOOKUP(A312,import!A:AA,7,0)</f>
        <v>0</v>
      </c>
      <c r="H312" s="135">
        <f>VLOOKUP(A312,import!A:AA,8,0)</f>
        <v>9</v>
      </c>
      <c r="I312" s="135">
        <f>VLOOKUP(A312,import!A:AA,9,0)</f>
        <v>9</v>
      </c>
      <c r="J312" s="195">
        <f>VLOOKUP(A312,import!A:AA,10,0)</f>
        <v>0</v>
      </c>
      <c r="K312" s="135" t="s">
        <v>2245</v>
      </c>
      <c r="L312" s="135">
        <v>5.53548064E9</v>
      </c>
      <c r="M312" s="135" t="s">
        <v>1172</v>
      </c>
      <c r="N312" s="135" t="s">
        <v>2246</v>
      </c>
      <c r="O312" s="135" t="s">
        <v>390</v>
      </c>
      <c r="P312" s="135" t="str">
        <f>VLOOKUP(A312,import!A:P,16,0)</f>
        <v>Geleneksel</v>
      </c>
      <c r="Q312" s="196"/>
      <c r="R312" s="196" t="b">
        <v>1</v>
      </c>
      <c r="S312" s="196" t="b">
        <v>0</v>
      </c>
      <c r="T312" s="197" t="s">
        <v>2247</v>
      </c>
      <c r="U312" s="197"/>
      <c r="V312" s="197"/>
      <c r="W312" s="197" t="s">
        <v>2248</v>
      </c>
      <c r="X312" s="198"/>
      <c r="Y312" s="198"/>
      <c r="Z312" s="199"/>
      <c r="AA312" s="200" t="s">
        <v>1151</v>
      </c>
      <c r="AB312" s="201">
        <v>44365.0</v>
      </c>
      <c r="AC312" s="200" t="s">
        <v>1151</v>
      </c>
      <c r="AD312" s="201">
        <v>44389.0</v>
      </c>
      <c r="AE312" s="200" t="s">
        <v>1202</v>
      </c>
      <c r="AF312" s="201">
        <v>44405.0</v>
      </c>
      <c r="AG312" s="105"/>
      <c r="AH312" s="199"/>
      <c r="AI312" s="199"/>
      <c r="AJ312" s="199"/>
      <c r="AK312" s="200" t="s">
        <v>1278</v>
      </c>
      <c r="AL312" s="200" t="s">
        <v>92</v>
      </c>
      <c r="AM312" s="200" t="s">
        <v>1264</v>
      </c>
      <c r="AN312" s="199"/>
      <c r="AO312" s="199"/>
      <c r="AP312" s="202" t="s">
        <v>1152</v>
      </c>
      <c r="AQ312" s="199"/>
    </row>
    <row r="313">
      <c r="A313" s="135" t="s">
        <v>2249</v>
      </c>
      <c r="B313" s="135" t="s">
        <v>2250</v>
      </c>
      <c r="C313" s="135" t="str">
        <f>VLOOKUP(A313,import!A:C,3,0)</f>
        <v>DOĞRU</v>
      </c>
      <c r="D313" s="135" t="s">
        <v>1145</v>
      </c>
      <c r="E313" s="194">
        <f>VLOOKUP(A313,import!A:AA,5,0)</f>
        <v>102</v>
      </c>
      <c r="F313" s="194" t="str">
        <f>VLOOKUP(A313,import!A:AA,6,0)</f>
        <v/>
      </c>
      <c r="G313" s="135">
        <f>VLOOKUP(A313,import!A:AA,7,0)</f>
        <v>0</v>
      </c>
      <c r="H313" s="135">
        <f>VLOOKUP(A313,import!A:AA,8,0)</f>
        <v>11</v>
      </c>
      <c r="I313" s="135">
        <f>VLOOKUP(A313,import!A:AA,9,0)</f>
        <v>11</v>
      </c>
      <c r="J313" s="195">
        <f>VLOOKUP(A313,import!A:AA,10,0)</f>
        <v>0</v>
      </c>
      <c r="K313" s="135" t="s">
        <v>2251</v>
      </c>
      <c r="L313" s="135">
        <v>5.466962137E9</v>
      </c>
      <c r="M313" s="135" t="s">
        <v>1242</v>
      </c>
      <c r="N313" s="135" t="s">
        <v>1397</v>
      </c>
      <c r="O313" s="135" t="s">
        <v>2252</v>
      </c>
      <c r="P313" s="135" t="str">
        <f>VLOOKUP(A313,import!A:P,16,0)</f>
        <v>Geleneksel</v>
      </c>
      <c r="Q313" s="196"/>
      <c r="R313" s="196" t="b">
        <v>0</v>
      </c>
      <c r="S313" s="196" t="b">
        <v>0</v>
      </c>
      <c r="T313" s="197"/>
      <c r="U313" s="204"/>
      <c r="V313" s="224"/>
      <c r="W313" s="197"/>
      <c r="X313" s="206"/>
      <c r="Y313" s="206"/>
      <c r="Z313" s="199"/>
      <c r="AA313" s="199"/>
      <c r="AB313" s="199"/>
      <c r="AC313" s="199"/>
      <c r="AD313" s="199"/>
      <c r="AE313" s="105"/>
      <c r="AF313" s="199"/>
      <c r="AG313" s="105"/>
      <c r="AH313" s="199"/>
      <c r="AI313" s="199"/>
      <c r="AJ313" s="199"/>
      <c r="AK313" s="199"/>
      <c r="AL313" s="199"/>
      <c r="AM313" s="199"/>
      <c r="AN313" s="199"/>
      <c r="AO313" s="199"/>
      <c r="AP313" s="202" t="s">
        <v>1152</v>
      </c>
      <c r="AQ313" s="199"/>
    </row>
    <row r="314">
      <c r="A314" s="202" t="s">
        <v>2253</v>
      </c>
      <c r="B314" s="202" t="s">
        <v>2254</v>
      </c>
      <c r="C314" s="135" t="str">
        <f>VLOOKUP(A314,import!A:C,3,0)</f>
        <v>DOĞRU</v>
      </c>
      <c r="D314" s="202" t="s">
        <v>1235</v>
      </c>
      <c r="E314" s="194">
        <f>VLOOKUP(A314,import!A:AA,5,0)</f>
        <v>1</v>
      </c>
      <c r="F314" s="194">
        <f>VLOOKUP(A314,import!A:AA,6,0)</f>
        <v>1</v>
      </c>
      <c r="G314" s="135">
        <f>VLOOKUP(A314,import!A:AA,7,0)</f>
        <v>2</v>
      </c>
      <c r="H314" s="135">
        <f>VLOOKUP(A314,import!A:AA,8,0)</f>
        <v>50</v>
      </c>
      <c r="I314" s="135">
        <f>VLOOKUP(A314,import!A:AA,9,0)</f>
        <v>52</v>
      </c>
      <c r="J314" s="195">
        <f>VLOOKUP(A314,import!A:AA,10,0)</f>
        <v>0.04</v>
      </c>
      <c r="K314" s="202" t="s">
        <v>2255</v>
      </c>
      <c r="L314" s="202">
        <v>5.45563688E9</v>
      </c>
      <c r="M314" s="202" t="s">
        <v>2256</v>
      </c>
      <c r="N314" s="202" t="s">
        <v>2257</v>
      </c>
      <c r="O314" s="202" t="s">
        <v>2258</v>
      </c>
      <c r="P314" s="135" t="str">
        <f>VLOOKUP(A314,import!A:P,16,0)</f>
        <v>Geleneksel</v>
      </c>
      <c r="Q314" s="196"/>
      <c r="R314" s="196" t="b">
        <v>0</v>
      </c>
      <c r="S314" s="196" t="b">
        <v>0</v>
      </c>
      <c r="T314" s="197"/>
      <c r="U314" s="197"/>
      <c r="V314" s="197"/>
      <c r="W314" s="197"/>
      <c r="X314" s="198"/>
      <c r="Y314" s="198"/>
      <c r="Z314" s="199"/>
      <c r="AA314" s="200"/>
      <c r="AB314" s="201"/>
      <c r="AC314" s="199"/>
      <c r="AD314" s="199"/>
      <c r="AE314" s="105"/>
      <c r="AF314" s="199"/>
      <c r="AG314" s="105"/>
      <c r="AH314" s="199"/>
      <c r="AI314" s="199"/>
      <c r="AJ314" s="199"/>
      <c r="AK314" s="200"/>
      <c r="AL314" s="199"/>
      <c r="AM314" s="199"/>
      <c r="AN314" s="199"/>
      <c r="AO314" s="199"/>
      <c r="AP314" s="202"/>
      <c r="AQ314" s="199"/>
    </row>
    <row r="315">
      <c r="A315" s="202" t="s">
        <v>2259</v>
      </c>
      <c r="B315" s="202" t="s">
        <v>2260</v>
      </c>
      <c r="C315" s="135" t="str">
        <f>VLOOKUP(A315,import!A:C,3,0)</f>
        <v>DOĞRU</v>
      </c>
      <c r="D315" s="202" t="s">
        <v>1170</v>
      </c>
      <c r="E315" s="194">
        <f>VLOOKUP(A315,import!A:AA,5,0)</f>
        <v>12</v>
      </c>
      <c r="F315" s="194">
        <f>VLOOKUP(A315,import!A:AA,6,0)</f>
        <v>11</v>
      </c>
      <c r="G315" s="135">
        <f>VLOOKUP(A315,import!A:AA,7,0)</f>
        <v>0</v>
      </c>
      <c r="H315" s="135">
        <f>VLOOKUP(A315,import!A:AA,8,0)</f>
        <v>27</v>
      </c>
      <c r="I315" s="135">
        <f>VLOOKUP(A315,import!A:AA,9,0)</f>
        <v>27</v>
      </c>
      <c r="J315" s="195">
        <f>VLOOKUP(A315,import!A:AA,10,0)</f>
        <v>0</v>
      </c>
      <c r="K315" s="202" t="s">
        <v>2261</v>
      </c>
      <c r="L315" s="202">
        <v>5.45267037E9</v>
      </c>
      <c r="M315" s="202" t="s">
        <v>1147</v>
      </c>
      <c r="N315" s="202" t="s">
        <v>1157</v>
      </c>
      <c r="O315" s="202" t="s">
        <v>2262</v>
      </c>
      <c r="P315" s="135" t="str">
        <f>VLOOKUP(A315,import!A:P,16,0)</f>
        <v>Geleneksel</v>
      </c>
      <c r="Q315" s="196"/>
      <c r="R315" s="196" t="b">
        <v>0</v>
      </c>
      <c r="S315" s="196" t="b">
        <v>0</v>
      </c>
      <c r="T315" s="197"/>
      <c r="U315" s="197"/>
      <c r="V315" s="197"/>
      <c r="W315" s="197"/>
      <c r="X315" s="198"/>
      <c r="Y315" s="198"/>
      <c r="Z315" s="199"/>
      <c r="AA315" s="200"/>
      <c r="AB315" s="201"/>
      <c r="AC315" s="199"/>
      <c r="AD315" s="199"/>
      <c r="AE315" s="105"/>
      <c r="AF315" s="199"/>
      <c r="AG315" s="105"/>
      <c r="AH315" s="199"/>
      <c r="AI315" s="199"/>
      <c r="AJ315" s="199"/>
      <c r="AK315" s="200"/>
      <c r="AL315" s="199"/>
      <c r="AM315" s="199"/>
      <c r="AN315" s="199"/>
      <c r="AO315" s="199"/>
      <c r="AP315" s="202"/>
      <c r="AQ315" s="199"/>
    </row>
    <row r="316">
      <c r="A316" s="135" t="s">
        <v>337</v>
      </c>
      <c r="B316" s="135" t="s">
        <v>338</v>
      </c>
      <c r="C316" s="135" t="str">
        <f>VLOOKUP(A316,import!A:C,3,0)</f>
        <v>DOĞRU</v>
      </c>
      <c r="D316" s="135" t="s">
        <v>1188</v>
      </c>
      <c r="E316" s="194">
        <f>VLOOKUP(A316,import!A:AA,5,0)</f>
        <v>869</v>
      </c>
      <c r="F316" s="194">
        <f>VLOOKUP(A316,import!A:AA,6,0)</f>
        <v>35</v>
      </c>
      <c r="G316" s="135">
        <f>VLOOKUP(A316,import!A:AA,7,0)</f>
        <v>8</v>
      </c>
      <c r="H316" s="135">
        <f>VLOOKUP(A316,import!A:AA,8,0)</f>
        <v>3</v>
      </c>
      <c r="I316" s="135">
        <f>VLOOKUP(A316,import!A:AA,9,0)</f>
        <v>11</v>
      </c>
      <c r="J316" s="195">
        <f>VLOOKUP(A316,import!A:AA,10,0)</f>
        <v>0.73</v>
      </c>
      <c r="K316" s="135" t="s">
        <v>2263</v>
      </c>
      <c r="L316" s="135">
        <v>5.315200055E9</v>
      </c>
      <c r="M316" s="135" t="s">
        <v>1172</v>
      </c>
      <c r="N316" s="135" t="s">
        <v>1336</v>
      </c>
      <c r="O316" s="135" t="s">
        <v>341</v>
      </c>
      <c r="P316" s="135" t="str">
        <f>VLOOKUP(A316,import!A:P,16,0)</f>
        <v>Geleneksel</v>
      </c>
      <c r="Q316" s="196"/>
      <c r="R316" s="196" t="b">
        <v>1</v>
      </c>
      <c r="S316" s="196" t="b">
        <v>0</v>
      </c>
      <c r="T316" s="197" t="s">
        <v>1165</v>
      </c>
      <c r="U316" s="197" t="s">
        <v>1278</v>
      </c>
      <c r="V316" s="197" t="s">
        <v>91</v>
      </c>
      <c r="W316" s="197" t="s">
        <v>2264</v>
      </c>
      <c r="X316" s="198">
        <v>44365.0</v>
      </c>
      <c r="Y316" s="198">
        <v>44370.0</v>
      </c>
      <c r="Z316" s="199"/>
      <c r="AA316" s="200" t="s">
        <v>1202</v>
      </c>
      <c r="AB316" s="201">
        <v>44350.0</v>
      </c>
      <c r="AC316" s="200" t="s">
        <v>1151</v>
      </c>
      <c r="AD316" s="201">
        <v>44365.0</v>
      </c>
      <c r="AE316" s="105"/>
      <c r="AF316" s="199"/>
      <c r="AG316" s="105"/>
      <c r="AH316" s="199"/>
      <c r="AI316" s="199"/>
      <c r="AJ316" s="199"/>
      <c r="AK316" s="200" t="s">
        <v>1204</v>
      </c>
      <c r="AL316" s="200" t="s">
        <v>1278</v>
      </c>
      <c r="AM316" s="199"/>
      <c r="AN316" s="199"/>
      <c r="AO316" s="199"/>
      <c r="AP316" s="202" t="s">
        <v>1152</v>
      </c>
      <c r="AQ316" s="199"/>
    </row>
    <row r="317">
      <c r="A317" s="135" t="s">
        <v>2265</v>
      </c>
      <c r="B317" s="135" t="s">
        <v>2266</v>
      </c>
      <c r="C317" s="135" t="str">
        <f>VLOOKUP(A317,import!A:C,3,0)</f>
        <v>DOĞRU</v>
      </c>
      <c r="D317" s="135" t="s">
        <v>1235</v>
      </c>
      <c r="E317" s="194">
        <f>VLOOKUP(A317,import!A:AA,5,0)</f>
        <v>251</v>
      </c>
      <c r="F317" s="194">
        <f>VLOOKUP(A317,import!A:AA,6,0)</f>
        <v>7</v>
      </c>
      <c r="G317" s="135">
        <f>VLOOKUP(A317,import!A:AA,7,0)</f>
        <v>0</v>
      </c>
      <c r="H317" s="135">
        <f>VLOOKUP(A317,import!A:AA,8,0)</f>
        <v>37</v>
      </c>
      <c r="I317" s="135">
        <f>VLOOKUP(A317,import!A:AA,9,0)</f>
        <v>37</v>
      </c>
      <c r="J317" s="195">
        <f>VLOOKUP(A317,import!A:AA,10,0)</f>
        <v>0</v>
      </c>
      <c r="K317" s="135" t="s">
        <v>2267</v>
      </c>
      <c r="L317" s="135">
        <v>5.550492544E9</v>
      </c>
      <c r="M317" s="135" t="s">
        <v>1242</v>
      </c>
      <c r="N317" s="135" t="s">
        <v>1397</v>
      </c>
      <c r="O317" s="135" t="s">
        <v>2268</v>
      </c>
      <c r="P317" s="135" t="str">
        <f>VLOOKUP(A317,import!A:P,16,0)</f>
        <v>Geleneksel</v>
      </c>
      <c r="Q317" s="196"/>
      <c r="R317" s="196" t="b">
        <v>0</v>
      </c>
      <c r="S317" s="196" t="b">
        <v>0</v>
      </c>
      <c r="T317" s="197"/>
      <c r="U317" s="197"/>
      <c r="V317" s="197"/>
      <c r="W317" s="197"/>
      <c r="X317" s="198"/>
      <c r="Y317" s="198"/>
      <c r="Z317" s="199"/>
      <c r="AA317" s="199"/>
      <c r="AB317" s="199"/>
      <c r="AC317" s="199"/>
      <c r="AD317" s="199"/>
      <c r="AE317" s="105"/>
      <c r="AF317" s="199"/>
      <c r="AG317" s="105"/>
      <c r="AH317" s="199"/>
      <c r="AI317" s="199"/>
      <c r="AJ317" s="199"/>
      <c r="AK317" s="199"/>
      <c r="AL317" s="199"/>
      <c r="AM317" s="199"/>
      <c r="AN317" s="199"/>
      <c r="AO317" s="199"/>
      <c r="AP317" s="202" t="s">
        <v>1152</v>
      </c>
      <c r="AQ317" s="199"/>
    </row>
    <row r="318">
      <c r="A318" s="135" t="s">
        <v>2269</v>
      </c>
      <c r="B318" s="135" t="s">
        <v>2270</v>
      </c>
      <c r="C318" s="135" t="str">
        <f>VLOOKUP(A318,import!A:C,3,0)</f>
        <v>DOĞRU</v>
      </c>
      <c r="D318" s="135" t="s">
        <v>1869</v>
      </c>
      <c r="E318" s="194">
        <f>VLOOKUP(A318,import!A:AA,5,0)</f>
        <v>974</v>
      </c>
      <c r="F318" s="194" t="str">
        <f>VLOOKUP(A318,import!A:AA,6,0)</f>
        <v/>
      </c>
      <c r="G318" s="135">
        <f>VLOOKUP(A318,import!A:AA,7,0)</f>
        <v>0</v>
      </c>
      <c r="H318" s="135">
        <f>VLOOKUP(A318,import!A:AA,8,0)</f>
        <v>15</v>
      </c>
      <c r="I318" s="135">
        <f>VLOOKUP(A318,import!A:AA,9,0)</f>
        <v>15</v>
      </c>
      <c r="J318" s="195">
        <f>VLOOKUP(A318,import!A:AA,10,0)</f>
        <v>0</v>
      </c>
      <c r="K318" s="135" t="s">
        <v>2271</v>
      </c>
      <c r="L318" s="135">
        <v>5.524092014E9</v>
      </c>
      <c r="M318" s="135" t="s">
        <v>1147</v>
      </c>
      <c r="N318" s="135" t="s">
        <v>1200</v>
      </c>
      <c r="O318" s="135" t="s">
        <v>2272</v>
      </c>
      <c r="P318" s="135" t="str">
        <f>VLOOKUP(A318,import!A:P,16,0)</f>
        <v>Geleneksel</v>
      </c>
      <c r="Q318" s="196"/>
      <c r="R318" s="196" t="b">
        <v>1</v>
      </c>
      <c r="S318" s="196" t="b">
        <v>0</v>
      </c>
      <c r="T318" s="197" t="s">
        <v>1275</v>
      </c>
      <c r="U318" s="197"/>
      <c r="V318" s="197"/>
      <c r="W318" s="197" t="s">
        <v>2273</v>
      </c>
      <c r="X318" s="198"/>
      <c r="Y318" s="198"/>
      <c r="Z318" s="199"/>
      <c r="AA318" s="200" t="s">
        <v>1254</v>
      </c>
      <c r="AB318" s="201">
        <v>44376.0</v>
      </c>
      <c r="AC318" s="200" t="s">
        <v>1202</v>
      </c>
      <c r="AD318" s="201">
        <v>44376.0</v>
      </c>
      <c r="AE318" s="200" t="s">
        <v>1202</v>
      </c>
      <c r="AF318" s="201">
        <v>44376.0</v>
      </c>
      <c r="AG318" s="200" t="s">
        <v>1151</v>
      </c>
      <c r="AH318" s="201">
        <v>44392.0</v>
      </c>
      <c r="AI318" s="199"/>
      <c r="AJ318" s="199"/>
      <c r="AK318" s="200" t="s">
        <v>1518</v>
      </c>
      <c r="AL318" s="200" t="s">
        <v>1518</v>
      </c>
      <c r="AM318" s="200" t="s">
        <v>1167</v>
      </c>
      <c r="AN318" s="200" t="s">
        <v>1167</v>
      </c>
      <c r="AO318" s="199"/>
      <c r="AP318" s="202" t="s">
        <v>1152</v>
      </c>
      <c r="AQ318" s="199"/>
    </row>
    <row r="319">
      <c r="A319" s="202" t="s">
        <v>2274</v>
      </c>
      <c r="B319" s="202" t="s">
        <v>2275</v>
      </c>
      <c r="C319" s="135" t="str">
        <f>VLOOKUP(A319,import!A:C,3,0)</f>
        <v>DOĞRU</v>
      </c>
      <c r="D319" s="202" t="s">
        <v>1302</v>
      </c>
      <c r="E319" s="194">
        <f>VLOOKUP(A319,import!A:AA,5,0)</f>
        <v>5</v>
      </c>
      <c r="F319" s="194">
        <f>VLOOKUP(A319,import!A:AA,6,0)</f>
        <v>5</v>
      </c>
      <c r="G319" s="135">
        <f>VLOOKUP(A319,import!A:AA,7,0)</f>
        <v>0</v>
      </c>
      <c r="H319" s="135">
        <f>VLOOKUP(A319,import!A:AA,8,0)</f>
        <v>18</v>
      </c>
      <c r="I319" s="135">
        <f>VLOOKUP(A319,import!A:AA,9,0)</f>
        <v>18</v>
      </c>
      <c r="J319" s="195">
        <f>VLOOKUP(A319,import!A:AA,10,0)</f>
        <v>0</v>
      </c>
      <c r="K319" s="202" t="s">
        <v>2276</v>
      </c>
      <c r="L319" s="202">
        <v>2.642797999E9</v>
      </c>
      <c r="M319" s="202" t="s">
        <v>1147</v>
      </c>
      <c r="N319" s="202" t="s">
        <v>1148</v>
      </c>
      <c r="O319" s="202" t="s">
        <v>2277</v>
      </c>
      <c r="P319" s="135" t="str">
        <f>VLOOKUP(A319,import!A:P,16,0)</f>
        <v>Geleneksel</v>
      </c>
      <c r="Q319" s="196"/>
      <c r="R319" s="196" t="b">
        <v>0</v>
      </c>
      <c r="S319" s="196" t="b">
        <v>0</v>
      </c>
      <c r="T319" s="197"/>
      <c r="U319" s="197"/>
      <c r="V319" s="197"/>
      <c r="W319" s="197"/>
      <c r="X319" s="198"/>
      <c r="Y319" s="198"/>
      <c r="Z319" s="199"/>
      <c r="AA319" s="200"/>
      <c r="AB319" s="201"/>
      <c r="AC319" s="199"/>
      <c r="AD319" s="199"/>
      <c r="AE319" s="105"/>
      <c r="AF319" s="199"/>
      <c r="AG319" s="105"/>
      <c r="AH319" s="199"/>
      <c r="AI319" s="199"/>
      <c r="AJ319" s="199"/>
      <c r="AK319" s="200"/>
      <c r="AL319" s="199"/>
      <c r="AM319" s="199"/>
      <c r="AN319" s="199"/>
      <c r="AO319" s="199"/>
      <c r="AP319" s="202"/>
      <c r="AQ319" s="199"/>
    </row>
    <row r="320">
      <c r="A320" s="135" t="s">
        <v>2278</v>
      </c>
      <c r="B320" s="135" t="s">
        <v>2279</v>
      </c>
      <c r="C320" s="135" t="str">
        <f>VLOOKUP(A320,import!A:C,3,0)</f>
        <v>DOĞRU</v>
      </c>
      <c r="D320" s="135" t="s">
        <v>1188</v>
      </c>
      <c r="E320" s="194">
        <f>VLOOKUP(A320,import!A:AA,5,0)</f>
        <v>324</v>
      </c>
      <c r="F320" s="194">
        <f>VLOOKUP(A320,import!A:AA,6,0)</f>
        <v>79</v>
      </c>
      <c r="G320" s="135">
        <f>VLOOKUP(A320,import!A:AA,7,0)</f>
        <v>2</v>
      </c>
      <c r="H320" s="135">
        <f>VLOOKUP(A320,import!A:AA,8,0)</f>
        <v>12</v>
      </c>
      <c r="I320" s="135">
        <f>VLOOKUP(A320,import!A:AA,9,0)</f>
        <v>14</v>
      </c>
      <c r="J320" s="195">
        <f>VLOOKUP(A320,import!A:AA,10,0)</f>
        <v>0.14</v>
      </c>
      <c r="K320" s="135" t="s">
        <v>2280</v>
      </c>
      <c r="L320" s="135">
        <v>5.455233353E9</v>
      </c>
      <c r="M320" s="135" t="s">
        <v>1318</v>
      </c>
      <c r="N320" s="135" t="s">
        <v>1319</v>
      </c>
      <c r="O320" s="135" t="s">
        <v>2281</v>
      </c>
      <c r="P320" s="135" t="str">
        <f>VLOOKUP(A320,import!A:P,16,0)</f>
        <v>Geleneksel</v>
      </c>
      <c r="Q320" s="196"/>
      <c r="R320" s="196" t="b">
        <v>0</v>
      </c>
      <c r="S320" s="196" t="b">
        <v>0</v>
      </c>
      <c r="T320" s="197"/>
      <c r="U320" s="197"/>
      <c r="V320" s="197"/>
      <c r="W320" s="197"/>
      <c r="X320" s="198"/>
      <c r="Y320" s="198"/>
      <c r="Z320" s="199"/>
      <c r="AA320" s="200"/>
      <c r="AB320" s="201"/>
      <c r="AC320" s="199"/>
      <c r="AD320" s="199"/>
      <c r="AE320" s="105"/>
      <c r="AF320" s="199"/>
      <c r="AG320" s="105"/>
      <c r="AH320" s="199"/>
      <c r="AI320" s="199"/>
      <c r="AJ320" s="199"/>
      <c r="AK320" s="200"/>
      <c r="AL320" s="199"/>
      <c r="AM320" s="199"/>
      <c r="AN320" s="199"/>
      <c r="AO320" s="199"/>
      <c r="AP320" s="202"/>
      <c r="AQ320" s="199"/>
    </row>
    <row r="321">
      <c r="A321" s="135" t="s">
        <v>2282</v>
      </c>
      <c r="B321" s="135" t="s">
        <v>2283</v>
      </c>
      <c r="C321" s="135" t="str">
        <f>VLOOKUP(A321,import!A:C,3,0)</f>
        <v>DOĞRU</v>
      </c>
      <c r="D321" s="135" t="s">
        <v>1226</v>
      </c>
      <c r="E321" s="194">
        <f>VLOOKUP(A321,import!A:AA,5,0)</f>
        <v>1580</v>
      </c>
      <c r="F321" s="194" t="str">
        <f>VLOOKUP(A321,import!A:AA,6,0)</f>
        <v/>
      </c>
      <c r="G321" s="135">
        <f>VLOOKUP(A321,import!A:AA,7,0)</f>
        <v>0</v>
      </c>
      <c r="H321" s="135">
        <f>VLOOKUP(A321,import!A:AA,8,0)</f>
        <v>38</v>
      </c>
      <c r="I321" s="135">
        <f>VLOOKUP(A321,import!A:AA,9,0)</f>
        <v>38</v>
      </c>
      <c r="J321" s="195">
        <f>VLOOKUP(A321,import!A:AA,10,0)</f>
        <v>0</v>
      </c>
      <c r="K321" s="135" t="s">
        <v>2284</v>
      </c>
      <c r="L321" s="135">
        <v>5.413248884E9</v>
      </c>
      <c r="M321" s="135" t="s">
        <v>1242</v>
      </c>
      <c r="N321" s="135" t="s">
        <v>1243</v>
      </c>
      <c r="O321" s="135" t="s">
        <v>2285</v>
      </c>
      <c r="P321" s="135" t="str">
        <f>VLOOKUP(A321,import!A:P,16,0)</f>
        <v>Geleneksel</v>
      </c>
      <c r="Q321" s="196"/>
      <c r="R321" s="196" t="b">
        <v>0</v>
      </c>
      <c r="S321" s="196" t="b">
        <v>0</v>
      </c>
      <c r="T321" s="204"/>
      <c r="U321" s="204"/>
      <c r="V321" s="204"/>
      <c r="W321" s="197"/>
      <c r="X321" s="206"/>
      <c r="Y321" s="206"/>
      <c r="Z321" s="200" t="s">
        <v>1774</v>
      </c>
      <c r="AA321" s="199"/>
      <c r="AB321" s="199"/>
      <c r="AC321" s="199"/>
      <c r="AD321" s="199"/>
      <c r="AE321" s="105"/>
      <c r="AF321" s="199"/>
      <c r="AG321" s="105"/>
      <c r="AH321" s="199"/>
      <c r="AI321" s="199"/>
      <c r="AJ321" s="199"/>
      <c r="AK321" s="199"/>
      <c r="AL321" s="199"/>
      <c r="AM321" s="199"/>
      <c r="AN321" s="199"/>
      <c r="AO321" s="199"/>
      <c r="AP321" s="202" t="s">
        <v>1152</v>
      </c>
      <c r="AQ321" s="199"/>
    </row>
    <row r="322">
      <c r="A322" s="135" t="s">
        <v>491</v>
      </c>
      <c r="B322" s="135" t="s">
        <v>492</v>
      </c>
      <c r="C322" s="135" t="str">
        <f>VLOOKUP(A322,import!A:C,3,0)</f>
        <v>DOĞRU</v>
      </c>
      <c r="D322" s="135" t="s">
        <v>1302</v>
      </c>
      <c r="E322" s="194">
        <f>VLOOKUP(A322,import!A:AA,5,0)</f>
        <v>1025</v>
      </c>
      <c r="F322" s="194">
        <f>VLOOKUP(A322,import!A:AA,6,0)</f>
        <v>33</v>
      </c>
      <c r="G322" s="135">
        <f>VLOOKUP(A322,import!A:AA,7,0)</f>
        <v>21</v>
      </c>
      <c r="H322" s="135">
        <f>VLOOKUP(A322,import!A:AA,8,0)</f>
        <v>10</v>
      </c>
      <c r="I322" s="135">
        <f>VLOOKUP(A322,import!A:AA,9,0)</f>
        <v>31</v>
      </c>
      <c r="J322" s="195">
        <f>VLOOKUP(A322,import!A:AA,10,0)</f>
        <v>0.68</v>
      </c>
      <c r="K322" s="135" t="s">
        <v>2286</v>
      </c>
      <c r="L322" s="135">
        <v>5.323942354E9</v>
      </c>
      <c r="M322" s="135" t="s">
        <v>1147</v>
      </c>
      <c r="N322" s="135" t="s">
        <v>1164</v>
      </c>
      <c r="O322" s="135" t="s">
        <v>494</v>
      </c>
      <c r="P322" s="135" t="str">
        <f>VLOOKUP(A322,import!A:P,16,0)</f>
        <v>Geleneksel</v>
      </c>
      <c r="Q322" s="196"/>
      <c r="R322" s="196" t="b">
        <v>1</v>
      </c>
      <c r="S322" s="196" t="b">
        <v>0</v>
      </c>
      <c r="T322" s="197" t="s">
        <v>1165</v>
      </c>
      <c r="U322" s="197" t="s">
        <v>189</v>
      </c>
      <c r="V322" s="197" t="s">
        <v>91</v>
      </c>
      <c r="W322" s="197" t="s">
        <v>2287</v>
      </c>
      <c r="X322" s="198">
        <v>44335.0</v>
      </c>
      <c r="Y322" s="198">
        <v>44337.0</v>
      </c>
      <c r="Z322" s="199"/>
      <c r="AA322" s="200" t="s">
        <v>1202</v>
      </c>
      <c r="AB322" s="201">
        <v>44383.0</v>
      </c>
      <c r="AC322" s="199"/>
      <c r="AD322" s="199"/>
      <c r="AE322" s="105"/>
      <c r="AF322" s="199"/>
      <c r="AG322" s="105"/>
      <c r="AH322" s="199"/>
      <c r="AI322" s="199"/>
      <c r="AJ322" s="199"/>
      <c r="AK322" s="200" t="s">
        <v>189</v>
      </c>
      <c r="AL322" s="199"/>
      <c r="AM322" s="199"/>
      <c r="AN322" s="199"/>
      <c r="AO322" s="199"/>
      <c r="AP322" s="202" t="s">
        <v>1152</v>
      </c>
      <c r="AQ322" s="199"/>
    </row>
    <row r="323">
      <c r="A323" s="135" t="s">
        <v>2288</v>
      </c>
      <c r="B323" s="135" t="s">
        <v>2289</v>
      </c>
      <c r="C323" s="135" t="str">
        <f>VLOOKUP(A323,import!A:C,3,0)</f>
        <v>DOĞRU</v>
      </c>
      <c r="D323" s="135" t="s">
        <v>1235</v>
      </c>
      <c r="E323" s="194">
        <f>VLOOKUP(A323,import!A:AA,5,0)</f>
        <v>784</v>
      </c>
      <c r="F323" s="194">
        <f>VLOOKUP(A323,import!A:AA,6,0)</f>
        <v>31</v>
      </c>
      <c r="G323" s="135">
        <f>VLOOKUP(A323,import!A:AA,7,0)</f>
        <v>13</v>
      </c>
      <c r="H323" s="135">
        <f>VLOOKUP(A323,import!A:AA,8,0)</f>
        <v>21</v>
      </c>
      <c r="I323" s="135">
        <f>VLOOKUP(A323,import!A:AA,9,0)</f>
        <v>34</v>
      </c>
      <c r="J323" s="195">
        <f>VLOOKUP(A323,import!A:AA,10,0)</f>
        <v>0.38</v>
      </c>
      <c r="K323" s="135" t="s">
        <v>2290</v>
      </c>
      <c r="L323" s="135">
        <v>5.322140537E9</v>
      </c>
      <c r="M323" s="135" t="s">
        <v>1318</v>
      </c>
      <c r="N323" s="135" t="s">
        <v>2150</v>
      </c>
      <c r="O323" s="135" t="s">
        <v>2291</v>
      </c>
      <c r="P323" s="135" t="str">
        <f>VLOOKUP(A323,import!A:P,16,0)</f>
        <v>Geleneksel</v>
      </c>
      <c r="Q323" s="196"/>
      <c r="R323" s="196" t="b">
        <v>1</v>
      </c>
      <c r="S323" s="196" t="b">
        <v>0</v>
      </c>
      <c r="T323" s="197" t="s">
        <v>1165</v>
      </c>
      <c r="U323" s="197" t="s">
        <v>310</v>
      </c>
      <c r="V323" s="197" t="s">
        <v>91</v>
      </c>
      <c r="W323" s="197" t="s">
        <v>2292</v>
      </c>
      <c r="X323" s="198">
        <v>44326.0</v>
      </c>
      <c r="Y323" s="198">
        <v>44334.0</v>
      </c>
      <c r="Z323" s="199"/>
      <c r="AA323" s="200" t="s">
        <v>1151</v>
      </c>
      <c r="AB323" s="199"/>
      <c r="AC323" s="200" t="s">
        <v>1151</v>
      </c>
      <c r="AD323" s="201">
        <v>44384.0</v>
      </c>
      <c r="AE323" s="105"/>
      <c r="AF323" s="199"/>
      <c r="AG323" s="105"/>
      <c r="AH323" s="199"/>
      <c r="AI323" s="199"/>
      <c r="AJ323" s="199"/>
      <c r="AK323" s="200" t="s">
        <v>92</v>
      </c>
      <c r="AL323" s="200" t="s">
        <v>189</v>
      </c>
      <c r="AM323" s="199"/>
      <c r="AN323" s="199"/>
      <c r="AO323" s="199"/>
      <c r="AP323" s="202" t="s">
        <v>1152</v>
      </c>
      <c r="AQ323" s="199"/>
    </row>
    <row r="324">
      <c r="A324" s="135" t="s">
        <v>433</v>
      </c>
      <c r="B324" s="135" t="s">
        <v>434</v>
      </c>
      <c r="C324" s="135" t="str">
        <f>VLOOKUP(A324,import!A:C,3,0)</f>
        <v>DOĞRU</v>
      </c>
      <c r="D324" s="135" t="s">
        <v>1334</v>
      </c>
      <c r="E324" s="194">
        <f>VLOOKUP(A324,import!A:AA,5,0)</f>
        <v>79</v>
      </c>
      <c r="F324" s="194" t="str">
        <f>VLOOKUP(A324,import!A:AA,6,0)</f>
        <v/>
      </c>
      <c r="G324" s="135">
        <f>VLOOKUP(A324,import!A:AA,7,0)</f>
        <v>0</v>
      </c>
      <c r="H324" s="135">
        <f>VLOOKUP(A324,import!A:AA,8,0)</f>
        <v>10</v>
      </c>
      <c r="I324" s="135">
        <f>VLOOKUP(A324,import!A:AA,9,0)</f>
        <v>10</v>
      </c>
      <c r="J324" s="195">
        <f>VLOOKUP(A324,import!A:AA,10,0)</f>
        <v>0</v>
      </c>
      <c r="K324" s="135" t="s">
        <v>2290</v>
      </c>
      <c r="L324" s="135">
        <v>5.322140537E9</v>
      </c>
      <c r="M324" s="135" t="s">
        <v>1318</v>
      </c>
      <c r="N324" s="135" t="s">
        <v>2150</v>
      </c>
      <c r="O324" s="135" t="s">
        <v>437</v>
      </c>
      <c r="P324" s="135" t="str">
        <f>VLOOKUP(A324,import!A:P,16,0)</f>
        <v>Geleneksel</v>
      </c>
      <c r="Q324" s="196"/>
      <c r="R324" s="196" t="b">
        <v>1</v>
      </c>
      <c r="S324" s="196" t="b">
        <v>0</v>
      </c>
      <c r="T324" s="197" t="s">
        <v>1436</v>
      </c>
      <c r="U324" s="197" t="s">
        <v>310</v>
      </c>
      <c r="V324" s="197" t="s">
        <v>91</v>
      </c>
      <c r="W324" s="197" t="s">
        <v>2293</v>
      </c>
      <c r="X324" s="198">
        <v>44326.0</v>
      </c>
      <c r="Y324" s="198">
        <v>44334.0</v>
      </c>
      <c r="Z324" s="199"/>
      <c r="AA324" s="200" t="s">
        <v>1151</v>
      </c>
      <c r="AB324" s="201">
        <v>44384.0</v>
      </c>
      <c r="AC324" s="199"/>
      <c r="AD324" s="199"/>
      <c r="AE324" s="105"/>
      <c r="AF324" s="199"/>
      <c r="AG324" s="105"/>
      <c r="AH324" s="199"/>
      <c r="AI324" s="199"/>
      <c r="AJ324" s="199"/>
      <c r="AK324" s="200" t="s">
        <v>189</v>
      </c>
      <c r="AL324" s="199"/>
      <c r="AM324" s="199"/>
      <c r="AN324" s="199"/>
      <c r="AO324" s="199"/>
      <c r="AP324" s="202" t="s">
        <v>1152</v>
      </c>
      <c r="AQ324" s="199"/>
    </row>
    <row r="325">
      <c r="A325" s="135" t="s">
        <v>2294</v>
      </c>
      <c r="B325" s="135" t="s">
        <v>2295</v>
      </c>
      <c r="C325" s="135" t="str">
        <f>VLOOKUP(A325,import!A:C,3,0)</f>
        <v>DOĞRU</v>
      </c>
      <c r="D325" s="135" t="s">
        <v>1188</v>
      </c>
      <c r="E325" s="194">
        <f>VLOOKUP(A325,import!A:AA,5,0)</f>
        <v>226</v>
      </c>
      <c r="F325" s="194" t="str">
        <f>VLOOKUP(A325,import!A:AA,6,0)</f>
        <v/>
      </c>
      <c r="G325" s="135">
        <f>VLOOKUP(A325,import!A:AA,7,0)</f>
        <v>0</v>
      </c>
      <c r="H325" s="135">
        <f>VLOOKUP(A325,import!A:AA,8,0)</f>
        <v>12</v>
      </c>
      <c r="I325" s="135">
        <f>VLOOKUP(A325,import!A:AA,9,0)</f>
        <v>12</v>
      </c>
      <c r="J325" s="195">
        <f>VLOOKUP(A325,import!A:AA,10,0)</f>
        <v>0</v>
      </c>
      <c r="K325" s="135" t="s">
        <v>2296</v>
      </c>
      <c r="L325" s="135">
        <v>5.07287066E9</v>
      </c>
      <c r="M325" s="135" t="s">
        <v>1147</v>
      </c>
      <c r="N325" s="135" t="s">
        <v>1148</v>
      </c>
      <c r="O325" s="135" t="s">
        <v>2297</v>
      </c>
      <c r="P325" s="135" t="str">
        <f>VLOOKUP(A325,import!A:P,16,0)</f>
        <v>Geleneksel</v>
      </c>
      <c r="Q325" s="196"/>
      <c r="R325" s="196" t="b">
        <v>1</v>
      </c>
      <c r="S325" s="196" t="b">
        <v>0</v>
      </c>
      <c r="T325" s="197" t="s">
        <v>1275</v>
      </c>
      <c r="U325" s="197"/>
      <c r="V325" s="197"/>
      <c r="W325" s="197" t="s">
        <v>2298</v>
      </c>
      <c r="X325" s="198"/>
      <c r="Y325" s="198"/>
      <c r="Z325" s="199"/>
      <c r="AA325" s="200" t="s">
        <v>1202</v>
      </c>
      <c r="AB325" s="201">
        <v>44349.0</v>
      </c>
      <c r="AC325" s="200" t="s">
        <v>1277</v>
      </c>
      <c r="AD325" s="201">
        <v>44349.0</v>
      </c>
      <c r="AE325" s="200" t="s">
        <v>1202</v>
      </c>
      <c r="AF325" s="201">
        <v>44350.0</v>
      </c>
      <c r="AG325" s="200" t="s">
        <v>1277</v>
      </c>
      <c r="AH325" s="201">
        <v>44351.0</v>
      </c>
      <c r="AI325" s="200" t="s">
        <v>1202</v>
      </c>
      <c r="AJ325" s="201">
        <v>44392.0</v>
      </c>
      <c r="AK325" s="200" t="s">
        <v>1232</v>
      </c>
      <c r="AL325" s="200" t="s">
        <v>1232</v>
      </c>
      <c r="AM325" s="200" t="s">
        <v>1204</v>
      </c>
      <c r="AN325" s="200" t="s">
        <v>1232</v>
      </c>
      <c r="AO325" s="200" t="s">
        <v>1167</v>
      </c>
      <c r="AP325" s="202" t="s">
        <v>1152</v>
      </c>
      <c r="AQ325" s="200"/>
    </row>
    <row r="326">
      <c r="A326" s="135" t="s">
        <v>2299</v>
      </c>
      <c r="B326" s="135" t="s">
        <v>2300</v>
      </c>
      <c r="C326" s="135" t="str">
        <f>VLOOKUP(A326,import!A:C,3,0)</f>
        <v>DOĞRU</v>
      </c>
      <c r="D326" s="135" t="s">
        <v>1302</v>
      </c>
      <c r="E326" s="194">
        <f>VLOOKUP(A326,import!A:AA,5,0)</f>
        <v>150</v>
      </c>
      <c r="F326" s="194" t="str">
        <f>VLOOKUP(A326,import!A:AA,6,0)</f>
        <v/>
      </c>
      <c r="G326" s="135">
        <f>VLOOKUP(A326,import!A:AA,7,0)</f>
        <v>0</v>
      </c>
      <c r="H326" s="135">
        <f>VLOOKUP(A326,import!A:AA,8,0)</f>
        <v>52</v>
      </c>
      <c r="I326" s="135">
        <f>VLOOKUP(A326,import!A:AA,9,0)</f>
        <v>52</v>
      </c>
      <c r="J326" s="195">
        <f>VLOOKUP(A326,import!A:AA,10,0)</f>
        <v>0</v>
      </c>
      <c r="K326" s="135" t="s">
        <v>2301</v>
      </c>
      <c r="L326" s="135">
        <v>5.458412868E9</v>
      </c>
      <c r="M326" s="135" t="s">
        <v>1318</v>
      </c>
      <c r="N326" s="135" t="s">
        <v>1319</v>
      </c>
      <c r="O326" s="135" t="s">
        <v>2302</v>
      </c>
      <c r="P326" s="135" t="str">
        <f>VLOOKUP(A326,import!A:P,16,0)</f>
        <v>Geleneksel</v>
      </c>
      <c r="Q326" s="196"/>
      <c r="R326" s="196" t="b">
        <v>0</v>
      </c>
      <c r="S326" s="196" t="b">
        <v>0</v>
      </c>
      <c r="T326" s="197"/>
      <c r="U326" s="197"/>
      <c r="V326" s="203"/>
      <c r="W326" s="197"/>
      <c r="X326" s="198"/>
      <c r="Y326" s="198"/>
      <c r="Z326" s="199"/>
      <c r="AA326" s="200"/>
      <c r="AB326" s="201"/>
      <c r="AC326" s="199"/>
      <c r="AD326" s="199"/>
      <c r="AE326" s="105"/>
      <c r="AF326" s="199"/>
      <c r="AG326" s="105"/>
      <c r="AH326" s="199"/>
      <c r="AI326" s="199"/>
      <c r="AJ326" s="199"/>
      <c r="AK326" s="200"/>
      <c r="AL326" s="199"/>
      <c r="AM326" s="199"/>
      <c r="AN326" s="199"/>
      <c r="AO326" s="199"/>
      <c r="AP326" s="202" t="s">
        <v>1152</v>
      </c>
      <c r="AQ326" s="199"/>
    </row>
    <row r="327">
      <c r="A327" s="135" t="s">
        <v>2303</v>
      </c>
      <c r="B327" s="135" t="s">
        <v>2304</v>
      </c>
      <c r="C327" s="135" t="str">
        <f>VLOOKUP(A327,import!A:C,3,0)</f>
        <v>YANLIŞ</v>
      </c>
      <c r="D327" s="135" t="s">
        <v>1175</v>
      </c>
      <c r="E327" s="194" t="str">
        <f>VLOOKUP(A327,import!A:AA,5,0)</f>
        <v/>
      </c>
      <c r="F327" s="194" t="str">
        <f>VLOOKUP(A327,import!A:AA,6,0)</f>
        <v/>
      </c>
      <c r="G327" s="135">
        <f>VLOOKUP(A327,import!A:AA,7,0)</f>
        <v>0</v>
      </c>
      <c r="H327" s="135">
        <f>VLOOKUP(A327,import!A:AA,8,0)</f>
        <v>31</v>
      </c>
      <c r="I327" s="135">
        <f>VLOOKUP(A327,import!A:AA,9,0)</f>
        <v>31</v>
      </c>
      <c r="J327" s="195">
        <f>VLOOKUP(A327,import!A:AA,10,0)</f>
        <v>0</v>
      </c>
      <c r="K327" s="135" t="s">
        <v>2305</v>
      </c>
      <c r="L327" s="135">
        <v>5.435982524E9</v>
      </c>
      <c r="M327" s="135" t="s">
        <v>1172</v>
      </c>
      <c r="N327" s="135" t="s">
        <v>1356</v>
      </c>
      <c r="O327" s="135" t="s">
        <v>2306</v>
      </c>
      <c r="P327" s="135" t="str">
        <f>VLOOKUP(A327,import!A:P,16,0)</f>
        <v>Geleneksel</v>
      </c>
      <c r="Q327" s="196"/>
      <c r="R327" s="196" t="b">
        <v>1</v>
      </c>
      <c r="S327" s="196" t="b">
        <v>0</v>
      </c>
      <c r="T327" s="197" t="s">
        <v>1373</v>
      </c>
      <c r="U327" s="197"/>
      <c r="V327" s="197"/>
      <c r="W327" s="197" t="s">
        <v>2307</v>
      </c>
      <c r="X327" s="198"/>
      <c r="Y327" s="198"/>
      <c r="Z327" s="199"/>
      <c r="AA327" s="200" t="s">
        <v>1151</v>
      </c>
      <c r="AB327" s="201">
        <v>44379.0</v>
      </c>
      <c r="AC327" s="199"/>
      <c r="AD327" s="199"/>
      <c r="AE327" s="105"/>
      <c r="AF327" s="199"/>
      <c r="AG327" s="105"/>
      <c r="AH327" s="199"/>
      <c r="AI327" s="199"/>
      <c r="AJ327" s="199"/>
      <c r="AK327" s="200" t="s">
        <v>1264</v>
      </c>
      <c r="AL327" s="199"/>
      <c r="AM327" s="199"/>
      <c r="AN327" s="199"/>
      <c r="AO327" s="199"/>
      <c r="AP327" s="202" t="s">
        <v>1152</v>
      </c>
      <c r="AQ327" s="199"/>
    </row>
    <row r="328">
      <c r="A328" s="202" t="s">
        <v>2308</v>
      </c>
      <c r="B328" s="202" t="s">
        <v>2309</v>
      </c>
      <c r="C328" s="135" t="str">
        <f>VLOOKUP(A328,import!A:C,3,0)</f>
        <v>DOĞRU</v>
      </c>
      <c r="D328" s="202" t="s">
        <v>1175</v>
      </c>
      <c r="E328" s="194">
        <f>VLOOKUP(A328,import!A:AA,5,0)</f>
        <v>135</v>
      </c>
      <c r="F328" s="194">
        <f>VLOOKUP(A328,import!A:AA,6,0)</f>
        <v>82</v>
      </c>
      <c r="G328" s="135">
        <f>VLOOKUP(A328,import!A:AA,7,0)</f>
        <v>0</v>
      </c>
      <c r="H328" s="135">
        <f>VLOOKUP(A328,import!A:AA,8,0)</f>
        <v>28</v>
      </c>
      <c r="I328" s="135">
        <f>VLOOKUP(A328,import!A:AA,9,0)</f>
        <v>28</v>
      </c>
      <c r="J328" s="195">
        <f>VLOOKUP(A328,import!A:AA,10,0)</f>
        <v>0</v>
      </c>
      <c r="K328" s="202" t="s">
        <v>2310</v>
      </c>
      <c r="L328" s="202">
        <v>2.642712524E9</v>
      </c>
      <c r="M328" s="202" t="s">
        <v>1172</v>
      </c>
      <c r="N328" s="202" t="s">
        <v>1300</v>
      </c>
      <c r="O328" s="202" t="s">
        <v>2311</v>
      </c>
      <c r="P328" s="135" t="str">
        <f>VLOOKUP(A328,import!A:P,16,0)</f>
        <v>Geleneksel</v>
      </c>
      <c r="Q328" s="196"/>
      <c r="R328" s="196" t="b">
        <v>0</v>
      </c>
      <c r="S328" s="196" t="b">
        <v>0</v>
      </c>
      <c r="T328" s="197"/>
      <c r="U328" s="197"/>
      <c r="V328" s="197"/>
      <c r="W328" s="197"/>
      <c r="X328" s="198"/>
      <c r="Y328" s="198"/>
      <c r="Z328" s="199"/>
      <c r="AA328" s="200"/>
      <c r="AB328" s="201"/>
      <c r="AC328" s="199"/>
      <c r="AD328" s="199"/>
      <c r="AE328" s="105"/>
      <c r="AF328" s="199"/>
      <c r="AG328" s="105"/>
      <c r="AH328" s="199"/>
      <c r="AI328" s="199"/>
      <c r="AJ328" s="199"/>
      <c r="AK328" s="200"/>
      <c r="AL328" s="199"/>
      <c r="AM328" s="199"/>
      <c r="AN328" s="199"/>
      <c r="AO328" s="199"/>
      <c r="AP328" s="202"/>
      <c r="AQ328" s="199"/>
    </row>
    <row r="329">
      <c r="A329" s="135" t="s">
        <v>2312</v>
      </c>
      <c r="B329" s="135" t="s">
        <v>2313</v>
      </c>
      <c r="C329" s="135" t="str">
        <f>VLOOKUP(A329,import!A:C,3,0)</f>
        <v>DOĞRU</v>
      </c>
      <c r="D329" s="135" t="s">
        <v>1188</v>
      </c>
      <c r="E329" s="194">
        <f>VLOOKUP(A329,import!A:AA,5,0)</f>
        <v>7481</v>
      </c>
      <c r="F329" s="194">
        <f>VLOOKUP(A329,import!A:AA,6,0)</f>
        <v>1054</v>
      </c>
      <c r="G329" s="135">
        <f>VLOOKUP(A329,import!A:AA,7,0)</f>
        <v>0</v>
      </c>
      <c r="H329" s="135">
        <f>VLOOKUP(A329,import!A:AA,8,0)</f>
        <v>17</v>
      </c>
      <c r="I329" s="135">
        <f>VLOOKUP(A329,import!A:AA,9,0)</f>
        <v>17</v>
      </c>
      <c r="J329" s="195">
        <f>VLOOKUP(A329,import!A:AA,10,0)</f>
        <v>0</v>
      </c>
      <c r="K329" s="135" t="s">
        <v>2314</v>
      </c>
      <c r="L329" s="135">
        <v>5.534416401E9</v>
      </c>
      <c r="M329" s="135" t="s">
        <v>1147</v>
      </c>
      <c r="N329" s="135" t="s">
        <v>1157</v>
      </c>
      <c r="O329" s="135" t="s">
        <v>2315</v>
      </c>
      <c r="P329" s="135" t="str">
        <f>VLOOKUP(A329,import!A:P,16,0)</f>
        <v>Geleneksel</v>
      </c>
      <c r="Q329" s="196"/>
      <c r="R329" s="196" t="b">
        <v>1</v>
      </c>
      <c r="S329" s="196" t="b">
        <v>1</v>
      </c>
      <c r="T329" s="197"/>
      <c r="U329" s="197"/>
      <c r="V329" s="197"/>
      <c r="W329" s="197"/>
      <c r="X329" s="198"/>
      <c r="Y329" s="198"/>
      <c r="Z329" s="199"/>
      <c r="AA329" s="200" t="s">
        <v>1151</v>
      </c>
      <c r="AB329" s="201">
        <v>44606.0</v>
      </c>
      <c r="AC329" s="199"/>
      <c r="AD329" s="199"/>
      <c r="AE329" s="105"/>
      <c r="AF329" s="199"/>
      <c r="AG329" s="105"/>
      <c r="AH329" s="199"/>
      <c r="AI329" s="199"/>
      <c r="AJ329" s="199"/>
      <c r="AK329" s="200" t="s">
        <v>1161</v>
      </c>
      <c r="AL329" s="199"/>
      <c r="AM329" s="199"/>
      <c r="AN329" s="199"/>
      <c r="AO329" s="199"/>
      <c r="AP329" s="202"/>
      <c r="AQ329" s="199"/>
    </row>
    <row r="330">
      <c r="A330" s="135" t="s">
        <v>391</v>
      </c>
      <c r="B330" s="135" t="s">
        <v>392</v>
      </c>
      <c r="C330" s="135" t="str">
        <f>VLOOKUP(A330,import!A:C,3,0)</f>
        <v>YANLIŞ</v>
      </c>
      <c r="D330" s="135" t="s">
        <v>1341</v>
      </c>
      <c r="E330" s="194" t="str">
        <f>VLOOKUP(A330,import!A:AA,5,0)</f>
        <v/>
      </c>
      <c r="F330" s="194" t="str">
        <f>VLOOKUP(A330,import!A:AA,6,0)</f>
        <v/>
      </c>
      <c r="G330" s="135">
        <f>VLOOKUP(A330,import!A:AA,7,0)</f>
        <v>5</v>
      </c>
      <c r="H330" s="135">
        <f>VLOOKUP(A330,import!A:AA,8,0)</f>
        <v>2</v>
      </c>
      <c r="I330" s="135">
        <f>VLOOKUP(A330,import!A:AA,9,0)</f>
        <v>7</v>
      </c>
      <c r="J330" s="195">
        <f>VLOOKUP(A330,import!A:AA,10,0)</f>
        <v>0.71</v>
      </c>
      <c r="K330" s="135" t="s">
        <v>2316</v>
      </c>
      <c r="L330" s="135">
        <v>5.327318549E9</v>
      </c>
      <c r="M330" s="135" t="s">
        <v>1172</v>
      </c>
      <c r="N330" s="135" t="s">
        <v>1379</v>
      </c>
      <c r="O330" s="135" t="s">
        <v>395</v>
      </c>
      <c r="P330" s="135" t="str">
        <f>VLOOKUP(A330,import!A:P,16,0)</f>
        <v>Geleneksel</v>
      </c>
      <c r="Q330" s="196"/>
      <c r="R330" s="196" t="b">
        <v>1</v>
      </c>
      <c r="S330" s="196" t="b">
        <v>0</v>
      </c>
      <c r="T330" s="197" t="s">
        <v>1165</v>
      </c>
      <c r="U330" s="197" t="s">
        <v>92</v>
      </c>
      <c r="V330" s="197" t="s">
        <v>91</v>
      </c>
      <c r="W330" s="197" t="s">
        <v>2317</v>
      </c>
      <c r="X330" s="198">
        <v>44356.0</v>
      </c>
      <c r="Y330" s="198">
        <v>44362.0</v>
      </c>
      <c r="Z330" s="199"/>
      <c r="AA330" s="200" t="s">
        <v>1151</v>
      </c>
      <c r="AB330" s="201">
        <v>44356.0</v>
      </c>
      <c r="AC330" s="199"/>
      <c r="AD330" s="199"/>
      <c r="AE330" s="105"/>
      <c r="AF330" s="199"/>
      <c r="AG330" s="105"/>
      <c r="AH330" s="199"/>
      <c r="AI330" s="199"/>
      <c r="AJ330" s="199"/>
      <c r="AK330" s="200" t="s">
        <v>92</v>
      </c>
      <c r="AL330" s="199"/>
      <c r="AM330" s="199"/>
      <c r="AN330" s="199"/>
      <c r="AO330" s="199"/>
      <c r="AP330" s="202" t="s">
        <v>1152</v>
      </c>
      <c r="AQ330" s="199"/>
    </row>
    <row r="331">
      <c r="A331" s="135" t="s">
        <v>164</v>
      </c>
      <c r="B331" s="135" t="s">
        <v>165</v>
      </c>
      <c r="C331" s="135" t="str">
        <f>VLOOKUP(A331,import!A:C,3,0)</f>
        <v>YANLIŞ</v>
      </c>
      <c r="D331" s="135" t="s">
        <v>1155</v>
      </c>
      <c r="E331" s="194">
        <f>VLOOKUP(A331,import!A:AA,5,0)</f>
        <v>10</v>
      </c>
      <c r="F331" s="194" t="str">
        <f>VLOOKUP(A331,import!A:AA,6,0)</f>
        <v/>
      </c>
      <c r="G331" s="135">
        <f>VLOOKUP(A331,import!A:AA,7,0)</f>
        <v>0</v>
      </c>
      <c r="H331" s="135">
        <f>VLOOKUP(A331,import!A:AA,8,0)</f>
        <v>18</v>
      </c>
      <c r="I331" s="135">
        <f>VLOOKUP(A331,import!A:AA,9,0)</f>
        <v>18</v>
      </c>
      <c r="J331" s="195">
        <f>VLOOKUP(A331,import!A:AA,10,0)</f>
        <v>0</v>
      </c>
      <c r="K331" s="135" t="s">
        <v>2318</v>
      </c>
      <c r="L331" s="135">
        <v>5.415454587E9</v>
      </c>
      <c r="M331" s="135" t="s">
        <v>1147</v>
      </c>
      <c r="N331" s="135" t="s">
        <v>1148</v>
      </c>
      <c r="O331" s="135" t="s">
        <v>167</v>
      </c>
      <c r="P331" s="135" t="str">
        <f>VLOOKUP(A331,import!A:P,16,0)</f>
        <v>Geleneksel</v>
      </c>
      <c r="Q331" s="196"/>
      <c r="R331" s="196" t="b">
        <v>1</v>
      </c>
      <c r="S331" s="196" t="b">
        <v>0</v>
      </c>
      <c r="T331" s="197" t="s">
        <v>1202</v>
      </c>
      <c r="U331" s="197" t="s">
        <v>73</v>
      </c>
      <c r="V331" s="197" t="s">
        <v>91</v>
      </c>
      <c r="W331" s="197" t="s">
        <v>2319</v>
      </c>
      <c r="X331" s="198">
        <v>44298.0</v>
      </c>
      <c r="Y331" s="198">
        <v>44299.0</v>
      </c>
      <c r="Z331" s="199"/>
      <c r="AA331" s="200" t="s">
        <v>1202</v>
      </c>
      <c r="AB331" s="201">
        <v>44371.0</v>
      </c>
      <c r="AC331" s="200" t="s">
        <v>1202</v>
      </c>
      <c r="AD331" s="201">
        <v>44376.0</v>
      </c>
      <c r="AE331" s="200" t="s">
        <v>1202</v>
      </c>
      <c r="AF331" s="201">
        <v>44378.0</v>
      </c>
      <c r="AG331" s="200" t="s">
        <v>1202</v>
      </c>
      <c r="AH331" s="201">
        <v>44404.0</v>
      </c>
      <c r="AI331" s="199"/>
      <c r="AJ331" s="199"/>
      <c r="AK331" s="200" t="s">
        <v>1204</v>
      </c>
      <c r="AL331" s="200" t="s">
        <v>1518</v>
      </c>
      <c r="AM331" s="200" t="s">
        <v>1232</v>
      </c>
      <c r="AN331" s="200" t="s">
        <v>1255</v>
      </c>
      <c r="AO331" s="199"/>
      <c r="AP331" s="202" t="s">
        <v>1152</v>
      </c>
      <c r="AQ331" s="199"/>
    </row>
    <row r="332">
      <c r="A332" s="135" t="s">
        <v>87</v>
      </c>
      <c r="B332" s="135" t="s">
        <v>88</v>
      </c>
      <c r="C332" s="135" t="str">
        <f>VLOOKUP(A332,import!A:C,3,0)</f>
        <v>DOĞRU</v>
      </c>
      <c r="D332" s="135" t="s">
        <v>1226</v>
      </c>
      <c r="E332" s="194">
        <f>VLOOKUP(A332,import!A:AA,5,0)</f>
        <v>6215</v>
      </c>
      <c r="F332" s="194">
        <f>VLOOKUP(A332,import!A:AA,6,0)</f>
        <v>76</v>
      </c>
      <c r="G332" s="135">
        <f>VLOOKUP(A332,import!A:AA,7,0)</f>
        <v>8</v>
      </c>
      <c r="H332" s="135">
        <f>VLOOKUP(A332,import!A:AA,8,0)</f>
        <v>21</v>
      </c>
      <c r="I332" s="135">
        <f>VLOOKUP(A332,import!A:AA,9,0)</f>
        <v>29</v>
      </c>
      <c r="J332" s="195">
        <f>VLOOKUP(A332,import!A:AA,10,0)</f>
        <v>0.28</v>
      </c>
      <c r="K332" s="135" t="s">
        <v>2320</v>
      </c>
      <c r="L332" s="135">
        <v>2.642114911E9</v>
      </c>
      <c r="M332" s="135" t="s">
        <v>1147</v>
      </c>
      <c r="N332" s="135" t="s">
        <v>1200</v>
      </c>
      <c r="O332" s="135" t="s">
        <v>90</v>
      </c>
      <c r="P332" s="135" t="str">
        <f>VLOOKUP(A332,import!A:P,16,0)</f>
        <v>Geleneksel</v>
      </c>
      <c r="Q332" s="196"/>
      <c r="R332" s="196" t="b">
        <v>1</v>
      </c>
      <c r="S332" s="196" t="b">
        <v>0</v>
      </c>
      <c r="T332" s="197" t="s">
        <v>1165</v>
      </c>
      <c r="U332" s="197" t="s">
        <v>73</v>
      </c>
      <c r="V332" s="197" t="s">
        <v>15</v>
      </c>
      <c r="W332" s="197" t="s">
        <v>2321</v>
      </c>
      <c r="X332" s="198">
        <v>44256.0</v>
      </c>
      <c r="Y332" s="198">
        <v>44262.0</v>
      </c>
      <c r="Z332" s="220"/>
      <c r="AA332" s="220"/>
      <c r="AB332" s="220"/>
      <c r="AC332" s="199"/>
      <c r="AD332" s="220"/>
      <c r="AE332" s="105"/>
      <c r="AF332" s="220"/>
      <c r="AG332" s="220"/>
      <c r="AH332" s="220"/>
      <c r="AI332" s="199"/>
      <c r="AJ332" s="220"/>
      <c r="AK332" s="220"/>
      <c r="AL332" s="220"/>
      <c r="AM332" s="220"/>
      <c r="AN332" s="220"/>
      <c r="AO332" s="220"/>
      <c r="AP332" s="202" t="s">
        <v>1152</v>
      </c>
      <c r="AQ332" s="220"/>
    </row>
    <row r="333">
      <c r="A333" s="135" t="s">
        <v>2322</v>
      </c>
      <c r="B333" s="135" t="s">
        <v>2323</v>
      </c>
      <c r="C333" s="135" t="str">
        <f>VLOOKUP(A333,import!A:C,3,0)</f>
        <v>DOĞRU</v>
      </c>
      <c r="D333" s="135" t="s">
        <v>1235</v>
      </c>
      <c r="E333" s="194">
        <f>VLOOKUP(A333,import!A:AA,5,0)</f>
        <v>100</v>
      </c>
      <c r="F333" s="194" t="str">
        <f>VLOOKUP(A333,import!A:AA,6,0)</f>
        <v/>
      </c>
      <c r="G333" s="135">
        <f>VLOOKUP(A333,import!A:AA,7,0)</f>
        <v>0</v>
      </c>
      <c r="H333" s="135">
        <f>VLOOKUP(A333,import!A:AA,8,0)</f>
        <v>46</v>
      </c>
      <c r="I333" s="135">
        <f>VLOOKUP(A333,import!A:AA,9,0)</f>
        <v>46</v>
      </c>
      <c r="J333" s="195">
        <f>VLOOKUP(A333,import!A:AA,10,0)</f>
        <v>0</v>
      </c>
      <c r="K333" s="135" t="s">
        <v>2324</v>
      </c>
      <c r="L333" s="135">
        <v>5.462270031E9</v>
      </c>
      <c r="M333" s="135" t="s">
        <v>1147</v>
      </c>
      <c r="N333" s="135" t="s">
        <v>1148</v>
      </c>
      <c r="O333" s="135" t="s">
        <v>2325</v>
      </c>
      <c r="P333" s="135" t="str">
        <f>VLOOKUP(A333,import!A:P,16,0)</f>
        <v>Geleneksel</v>
      </c>
      <c r="Q333" s="196"/>
      <c r="R333" s="196" t="b">
        <v>1</v>
      </c>
      <c r="S333" s="196" t="b">
        <v>1</v>
      </c>
      <c r="T333" s="197"/>
      <c r="U333" s="197"/>
      <c r="V333" s="197"/>
      <c r="W333" s="197" t="s">
        <v>2326</v>
      </c>
      <c r="X333" s="198"/>
      <c r="Y333" s="198"/>
      <c r="Z333" s="199"/>
      <c r="AA333" s="200" t="s">
        <v>1277</v>
      </c>
      <c r="AB333" s="201">
        <v>44378.0</v>
      </c>
      <c r="AC333" s="199"/>
      <c r="AD333" s="199"/>
      <c r="AE333" s="105"/>
      <c r="AF333" s="199"/>
      <c r="AG333" s="105"/>
      <c r="AH333" s="199"/>
      <c r="AI333" s="199"/>
      <c r="AJ333" s="199"/>
      <c r="AK333" s="200" t="s">
        <v>1232</v>
      </c>
      <c r="AL333" s="199"/>
      <c r="AM333" s="199"/>
      <c r="AN333" s="199"/>
      <c r="AO333" s="199"/>
      <c r="AP333" s="202" t="s">
        <v>1152</v>
      </c>
      <c r="AQ333" s="199"/>
    </row>
    <row r="334">
      <c r="A334" s="135" t="s">
        <v>851</v>
      </c>
      <c r="B334" s="135" t="s">
        <v>852</v>
      </c>
      <c r="C334" s="135" t="str">
        <f>VLOOKUP(A334,import!A:C,3,0)</f>
        <v>DOĞRU</v>
      </c>
      <c r="D334" s="135" t="s">
        <v>1188</v>
      </c>
      <c r="E334" s="194">
        <f>VLOOKUP(A334,import!A:AA,5,0)</f>
        <v>4442</v>
      </c>
      <c r="F334" s="194" t="str">
        <f>VLOOKUP(A334,import!A:AA,6,0)</f>
        <v/>
      </c>
      <c r="G334" s="135">
        <f>VLOOKUP(A334,import!A:AA,7,0)</f>
        <v>13</v>
      </c>
      <c r="H334" s="135">
        <f>VLOOKUP(A334,import!A:AA,8,0)</f>
        <v>33</v>
      </c>
      <c r="I334" s="135">
        <f>VLOOKUP(A334,import!A:AA,9,0)</f>
        <v>46</v>
      </c>
      <c r="J334" s="195">
        <f>VLOOKUP(A334,import!A:AA,10,0)</f>
        <v>0.28</v>
      </c>
      <c r="K334" s="135" t="s">
        <v>2327</v>
      </c>
      <c r="L334" s="135">
        <v>5.301122154E9</v>
      </c>
      <c r="M334" s="135" t="s">
        <v>1172</v>
      </c>
      <c r="N334" s="135" t="s">
        <v>1379</v>
      </c>
      <c r="O334" s="135" t="s">
        <v>854</v>
      </c>
      <c r="P334" s="135" t="str">
        <f>VLOOKUP(A334,import!A:P,16,0)</f>
        <v>Geleneksel</v>
      </c>
      <c r="Q334" s="196"/>
      <c r="R334" s="196" t="b">
        <v>1</v>
      </c>
      <c r="S334" s="196" t="b">
        <v>0</v>
      </c>
      <c r="T334" s="211" t="s">
        <v>1165</v>
      </c>
      <c r="U334" s="211" t="s">
        <v>257</v>
      </c>
      <c r="V334" s="211" t="s">
        <v>91</v>
      </c>
      <c r="W334" s="211">
        <v>5.301123154E9</v>
      </c>
      <c r="X334" s="214">
        <v>44368.0</v>
      </c>
      <c r="Y334" s="214">
        <v>44371.0</v>
      </c>
      <c r="Z334" s="199"/>
      <c r="AA334" s="200" t="s">
        <v>1202</v>
      </c>
      <c r="AB334" s="201">
        <v>44363.0</v>
      </c>
      <c r="AC334" s="200" t="s">
        <v>1202</v>
      </c>
      <c r="AD334" s="201">
        <v>44363.0</v>
      </c>
      <c r="AE334" s="200" t="s">
        <v>1151</v>
      </c>
      <c r="AF334" s="201">
        <v>44368.0</v>
      </c>
      <c r="AG334" s="105"/>
      <c r="AH334" s="199"/>
      <c r="AI334" s="199"/>
      <c r="AJ334" s="199"/>
      <c r="AK334" s="200" t="s">
        <v>189</v>
      </c>
      <c r="AL334" s="200" t="s">
        <v>1204</v>
      </c>
      <c r="AM334" s="200" t="s">
        <v>257</v>
      </c>
      <c r="AN334" s="199"/>
      <c r="AO334" s="199"/>
      <c r="AP334" s="202" t="s">
        <v>1152</v>
      </c>
      <c r="AQ334" s="199"/>
    </row>
    <row r="335">
      <c r="A335" s="135" t="s">
        <v>933</v>
      </c>
      <c r="B335" s="135" t="s">
        <v>934</v>
      </c>
      <c r="C335" s="135" t="str">
        <f>VLOOKUP(A335,import!A:C,3,0)</f>
        <v>DOĞRU</v>
      </c>
      <c r="D335" s="135" t="s">
        <v>1302</v>
      </c>
      <c r="E335" s="194">
        <f>VLOOKUP(A335,import!A:AA,5,0)</f>
        <v>1285</v>
      </c>
      <c r="F335" s="194" t="str">
        <f>VLOOKUP(A335,import!A:AA,6,0)</f>
        <v/>
      </c>
      <c r="G335" s="135">
        <f>VLOOKUP(A335,import!A:AA,7,0)</f>
        <v>19</v>
      </c>
      <c r="H335" s="135">
        <f>VLOOKUP(A335,import!A:AA,8,0)</f>
        <v>30</v>
      </c>
      <c r="I335" s="135">
        <f>VLOOKUP(A335,import!A:AA,9,0)</f>
        <v>49</v>
      </c>
      <c r="J335" s="195">
        <f>VLOOKUP(A335,import!A:AA,10,0)</f>
        <v>0.39</v>
      </c>
      <c r="K335" s="135" t="s">
        <v>2328</v>
      </c>
      <c r="L335" s="135">
        <v>5.071807949E9</v>
      </c>
      <c r="M335" s="135" t="s">
        <v>1177</v>
      </c>
      <c r="N335" s="135" t="s">
        <v>1607</v>
      </c>
      <c r="O335" s="135" t="s">
        <v>936</v>
      </c>
      <c r="P335" s="135" t="str">
        <f>VLOOKUP(A335,import!A:P,16,0)</f>
        <v>Geleneksel</v>
      </c>
      <c r="Q335" s="196"/>
      <c r="R335" s="196" t="b">
        <v>1</v>
      </c>
      <c r="S335" s="196" t="b">
        <v>0</v>
      </c>
      <c r="T335" s="197" t="s">
        <v>1165</v>
      </c>
      <c r="U335" s="197" t="s">
        <v>2228</v>
      </c>
      <c r="V335" s="197" t="s">
        <v>91</v>
      </c>
      <c r="W335" s="197"/>
      <c r="X335" s="198">
        <v>44405.0</v>
      </c>
      <c r="Y335" s="198">
        <v>44406.0</v>
      </c>
      <c r="Z335" s="200" t="s">
        <v>1459</v>
      </c>
      <c r="AA335" s="200" t="s">
        <v>1151</v>
      </c>
      <c r="AB335" s="201">
        <v>44405.0</v>
      </c>
      <c r="AC335" s="199"/>
      <c r="AD335" s="199"/>
      <c r="AE335" s="105"/>
      <c r="AF335" s="199"/>
      <c r="AG335" s="105"/>
      <c r="AH335" s="199"/>
      <c r="AI335" s="199"/>
      <c r="AJ335" s="199"/>
      <c r="AK335" s="200" t="s">
        <v>2228</v>
      </c>
      <c r="AL335" s="199"/>
      <c r="AM335" s="199"/>
      <c r="AN335" s="199"/>
      <c r="AO335" s="199"/>
      <c r="AP335" s="202" t="s">
        <v>1152</v>
      </c>
      <c r="AQ335" s="199"/>
    </row>
    <row r="336">
      <c r="A336" s="135" t="s">
        <v>702</v>
      </c>
      <c r="B336" s="135" t="s">
        <v>703</v>
      </c>
      <c r="C336" s="135" t="str">
        <f>VLOOKUP(A336,import!A:C,3,0)</f>
        <v>DOĞRU</v>
      </c>
      <c r="D336" s="135" t="s">
        <v>1170</v>
      </c>
      <c r="E336" s="194">
        <f>VLOOKUP(A336,import!A:AA,5,0)</f>
        <v>388</v>
      </c>
      <c r="F336" s="194">
        <f>VLOOKUP(A336,import!A:AA,6,0)</f>
        <v>10</v>
      </c>
      <c r="G336" s="135">
        <f>VLOOKUP(A336,import!A:AA,7,0)</f>
        <v>0</v>
      </c>
      <c r="H336" s="135">
        <f>VLOOKUP(A336,import!A:AA,8,0)</f>
        <v>25</v>
      </c>
      <c r="I336" s="135">
        <f>VLOOKUP(A336,import!A:AA,9,0)</f>
        <v>25</v>
      </c>
      <c r="J336" s="195">
        <f>VLOOKUP(A336,import!A:AA,10,0)</f>
        <v>0</v>
      </c>
      <c r="K336" s="135" t="s">
        <v>2329</v>
      </c>
      <c r="L336" s="135">
        <v>5.342643127E9</v>
      </c>
      <c r="M336" s="135" t="s">
        <v>1147</v>
      </c>
      <c r="N336" s="135" t="s">
        <v>1164</v>
      </c>
      <c r="O336" s="135" t="s">
        <v>705</v>
      </c>
      <c r="P336" s="135" t="str">
        <f>VLOOKUP(A336,import!A:P,16,0)</f>
        <v>Geleneksel</v>
      </c>
      <c r="Q336" s="196"/>
      <c r="R336" s="196" t="b">
        <v>1</v>
      </c>
      <c r="S336" s="196" t="b">
        <v>0</v>
      </c>
      <c r="T336" s="197" t="s">
        <v>1165</v>
      </c>
      <c r="U336" s="197" t="s">
        <v>257</v>
      </c>
      <c r="V336" s="197" t="s">
        <v>91</v>
      </c>
      <c r="W336" s="197" t="s">
        <v>2330</v>
      </c>
      <c r="X336" s="198">
        <v>44351.0</v>
      </c>
      <c r="Y336" s="198">
        <v>44355.0</v>
      </c>
      <c r="Z336" s="199"/>
      <c r="AA336" s="200" t="s">
        <v>1151</v>
      </c>
      <c r="AB336" s="201">
        <v>44351.0</v>
      </c>
      <c r="AC336" s="199"/>
      <c r="AD336" s="199"/>
      <c r="AE336" s="105"/>
      <c r="AF336" s="199"/>
      <c r="AG336" s="105"/>
      <c r="AH336" s="199"/>
      <c r="AI336" s="199"/>
      <c r="AJ336" s="199"/>
      <c r="AK336" s="200" t="s">
        <v>257</v>
      </c>
      <c r="AL336" s="199"/>
      <c r="AM336" s="199"/>
      <c r="AN336" s="199"/>
      <c r="AO336" s="199"/>
      <c r="AP336" s="202" t="s">
        <v>1152</v>
      </c>
      <c r="AQ336" s="199"/>
    </row>
    <row r="337">
      <c r="A337" s="135" t="s">
        <v>2331</v>
      </c>
      <c r="B337" s="135" t="s">
        <v>2332</v>
      </c>
      <c r="C337" s="135" t="str">
        <f>VLOOKUP(A337,import!A:C,3,0)</f>
        <v>DOĞRU</v>
      </c>
      <c r="D337" s="135" t="s">
        <v>1162</v>
      </c>
      <c r="E337" s="194">
        <f>VLOOKUP(A337,import!A:AA,5,0)</f>
        <v>15</v>
      </c>
      <c r="F337" s="194" t="str">
        <f>VLOOKUP(A337,import!A:AA,6,0)</f>
        <v/>
      </c>
      <c r="G337" s="135">
        <f>VLOOKUP(A337,import!A:AA,7,0)</f>
        <v>0</v>
      </c>
      <c r="H337" s="135">
        <f>VLOOKUP(A337,import!A:AA,8,0)</f>
        <v>40</v>
      </c>
      <c r="I337" s="135">
        <f>VLOOKUP(A337,import!A:AA,9,0)</f>
        <v>40</v>
      </c>
      <c r="J337" s="195">
        <f>VLOOKUP(A337,import!A:AA,10,0)</f>
        <v>0</v>
      </c>
      <c r="K337" s="135" t="s">
        <v>2333</v>
      </c>
      <c r="L337" s="135">
        <v>5.383161453E9</v>
      </c>
      <c r="M337" s="135" t="s">
        <v>1679</v>
      </c>
      <c r="N337" s="135" t="s">
        <v>1811</v>
      </c>
      <c r="O337" s="135" t="s">
        <v>2334</v>
      </c>
      <c r="P337" s="135" t="str">
        <f>VLOOKUP(A337,import!A:P,16,0)</f>
        <v>Geleneksel</v>
      </c>
      <c r="Q337" s="196"/>
      <c r="R337" s="196" t="b">
        <v>0</v>
      </c>
      <c r="S337" s="196" t="b">
        <v>0</v>
      </c>
      <c r="T337" s="197"/>
      <c r="U337" s="197"/>
      <c r="V337" s="197"/>
      <c r="W337" s="197"/>
      <c r="X337" s="198"/>
      <c r="Y337" s="198"/>
      <c r="Z337" s="199"/>
      <c r="AA337" s="200"/>
      <c r="AB337" s="201"/>
      <c r="AC337" s="199"/>
      <c r="AD337" s="199"/>
      <c r="AE337" s="105"/>
      <c r="AF337" s="199"/>
      <c r="AG337" s="105"/>
      <c r="AH337" s="199"/>
      <c r="AI337" s="199"/>
      <c r="AJ337" s="199"/>
      <c r="AK337" s="200"/>
      <c r="AL337" s="199"/>
      <c r="AM337" s="199"/>
      <c r="AN337" s="199"/>
      <c r="AO337" s="199"/>
      <c r="AP337" s="202"/>
      <c r="AQ337" s="199"/>
    </row>
    <row r="338">
      <c r="A338" s="135" t="s">
        <v>2335</v>
      </c>
      <c r="B338" s="135" t="s">
        <v>2336</v>
      </c>
      <c r="C338" s="135" t="str">
        <f>VLOOKUP(A338,import!A:C,3,0)</f>
        <v>YANLIŞ</v>
      </c>
      <c r="D338" s="135" t="s">
        <v>1235</v>
      </c>
      <c r="E338" s="194">
        <f>VLOOKUP(A338,import!A:AA,5,0)</f>
        <v>299</v>
      </c>
      <c r="F338" s="194" t="str">
        <f>VLOOKUP(A338,import!A:AA,6,0)</f>
        <v/>
      </c>
      <c r="G338" s="135">
        <f>VLOOKUP(A338,import!A:AA,7,0)</f>
        <v>0</v>
      </c>
      <c r="H338" s="135">
        <f>VLOOKUP(A338,import!A:AA,8,0)</f>
        <v>10</v>
      </c>
      <c r="I338" s="135">
        <f>VLOOKUP(A338,import!A:AA,9,0)</f>
        <v>10</v>
      </c>
      <c r="J338" s="195">
        <f>VLOOKUP(A338,import!A:AA,10,0)</f>
        <v>0</v>
      </c>
      <c r="K338" s="135" t="s">
        <v>2337</v>
      </c>
      <c r="L338" s="135">
        <v>5.057766644E9</v>
      </c>
      <c r="M338" s="135" t="s">
        <v>1172</v>
      </c>
      <c r="N338" s="135" t="s">
        <v>1379</v>
      </c>
      <c r="O338" s="135" t="s">
        <v>2338</v>
      </c>
      <c r="P338" s="135" t="str">
        <f>VLOOKUP(A338,import!A:P,16,0)</f>
        <v>Geleneksel</v>
      </c>
      <c r="Q338" s="196"/>
      <c r="R338" s="196" t="b">
        <v>1</v>
      </c>
      <c r="S338" s="196" t="b">
        <v>1</v>
      </c>
      <c r="T338" s="197"/>
      <c r="U338" s="204"/>
      <c r="V338" s="204"/>
      <c r="W338" s="197" t="s">
        <v>2339</v>
      </c>
      <c r="X338" s="206"/>
      <c r="Y338" s="206"/>
      <c r="Z338" s="199"/>
      <c r="AA338" s="200" t="s">
        <v>1202</v>
      </c>
      <c r="AB338" s="201">
        <v>44363.0</v>
      </c>
      <c r="AC338" s="200" t="s">
        <v>1277</v>
      </c>
      <c r="AD338" s="201">
        <v>44368.0</v>
      </c>
      <c r="AE338" s="200" t="s">
        <v>1202</v>
      </c>
      <c r="AF338" s="201">
        <v>44379.0</v>
      </c>
      <c r="AG338" s="105"/>
      <c r="AH338" s="199"/>
      <c r="AI338" s="199"/>
      <c r="AJ338" s="199"/>
      <c r="AK338" s="200" t="s">
        <v>1167</v>
      </c>
      <c r="AL338" s="200" t="s">
        <v>257</v>
      </c>
      <c r="AM338" s="200" t="s">
        <v>257</v>
      </c>
      <c r="AN338" s="199"/>
      <c r="AO338" s="199"/>
      <c r="AP338" s="202" t="s">
        <v>1152</v>
      </c>
      <c r="AQ338" s="199"/>
    </row>
    <row r="339">
      <c r="A339" s="135" t="s">
        <v>2340</v>
      </c>
      <c r="B339" s="135" t="s">
        <v>2341</v>
      </c>
      <c r="C339" s="135" t="str">
        <f>VLOOKUP(A339,import!A:C,3,0)</f>
        <v>YANLIŞ</v>
      </c>
      <c r="D339" s="135" t="s">
        <v>1162</v>
      </c>
      <c r="E339" s="194" t="str">
        <f>VLOOKUP(A339,import!A:AA,5,0)</f>
        <v/>
      </c>
      <c r="F339" s="194" t="str">
        <f>VLOOKUP(A339,import!A:AA,6,0)</f>
        <v/>
      </c>
      <c r="G339" s="135">
        <f>VLOOKUP(A339,import!A:AA,7,0)</f>
        <v>63</v>
      </c>
      <c r="H339" s="135">
        <f>VLOOKUP(A339,import!A:AA,8,0)</f>
        <v>19</v>
      </c>
      <c r="I339" s="135">
        <f>VLOOKUP(A339,import!A:AA,9,0)</f>
        <v>82</v>
      </c>
      <c r="J339" s="195">
        <f>VLOOKUP(A339,import!A:AA,10,0)</f>
        <v>0.77</v>
      </c>
      <c r="K339" s="135" t="s">
        <v>2342</v>
      </c>
      <c r="L339" s="135">
        <v>2.645020033E9</v>
      </c>
      <c r="M339" s="135" t="s">
        <v>1147</v>
      </c>
      <c r="N339" s="135" t="s">
        <v>1164</v>
      </c>
      <c r="O339" s="135" t="s">
        <v>2343</v>
      </c>
      <c r="P339" s="135" t="str">
        <f>VLOOKUP(A339,import!A:P,16,0)</f>
        <v>Key</v>
      </c>
      <c r="Q339" s="196"/>
      <c r="R339" s="196" t="b">
        <v>1</v>
      </c>
      <c r="S339" s="196" t="b">
        <v>0</v>
      </c>
      <c r="T339" s="197" t="s">
        <v>1373</v>
      </c>
      <c r="U339" s="197"/>
      <c r="V339" s="197"/>
      <c r="W339" s="204"/>
      <c r="X339" s="198"/>
      <c r="Y339" s="198"/>
      <c r="Z339" s="199"/>
      <c r="AA339" s="199"/>
      <c r="AB339" s="199"/>
      <c r="AC339" s="199"/>
      <c r="AD339" s="199"/>
      <c r="AE339" s="105"/>
      <c r="AF339" s="199"/>
      <c r="AG339" s="105"/>
      <c r="AH339" s="199"/>
      <c r="AI339" s="199"/>
      <c r="AJ339" s="199"/>
      <c r="AK339" s="199"/>
      <c r="AL339" s="199"/>
      <c r="AM339" s="199"/>
      <c r="AN339" s="199"/>
      <c r="AO339" s="199"/>
      <c r="AP339" s="202" t="s">
        <v>2157</v>
      </c>
      <c r="AQ339" s="199"/>
    </row>
    <row r="340">
      <c r="A340" s="135" t="s">
        <v>2344</v>
      </c>
      <c r="B340" s="135" t="s">
        <v>2345</v>
      </c>
      <c r="C340" s="135" t="str">
        <f>VLOOKUP(A340,import!A:C,3,0)</f>
        <v>DOĞRU</v>
      </c>
      <c r="D340" s="135" t="s">
        <v>2346</v>
      </c>
      <c r="E340" s="194">
        <f>VLOOKUP(A340,import!A:AA,5,0)</f>
        <v>30</v>
      </c>
      <c r="F340" s="194" t="str">
        <f>VLOOKUP(A340,import!A:AA,6,0)</f>
        <v/>
      </c>
      <c r="G340" s="135">
        <f>VLOOKUP(A340,import!A:AA,7,0)</f>
        <v>0</v>
      </c>
      <c r="H340" s="135">
        <f>VLOOKUP(A340,import!A:AA,8,0)</f>
        <v>89</v>
      </c>
      <c r="I340" s="135">
        <f>VLOOKUP(A340,import!A:AA,9,0)</f>
        <v>89</v>
      </c>
      <c r="J340" s="195">
        <f>VLOOKUP(A340,import!A:AA,10,0)</f>
        <v>0</v>
      </c>
      <c r="K340" s="135" t="s">
        <v>2347</v>
      </c>
      <c r="L340" s="135">
        <v>5.388121136E9</v>
      </c>
      <c r="M340" s="135" t="s">
        <v>1318</v>
      </c>
      <c r="N340" s="135" t="s">
        <v>2348</v>
      </c>
      <c r="O340" s="135" t="s">
        <v>2349</v>
      </c>
      <c r="P340" s="135" t="str">
        <f>VLOOKUP(A340,import!A:P,16,0)</f>
        <v>Geleneksel</v>
      </c>
      <c r="Q340" s="196"/>
      <c r="R340" s="196" t="b">
        <v>0</v>
      </c>
      <c r="S340" s="196" t="b">
        <v>0</v>
      </c>
      <c r="T340" s="197"/>
      <c r="U340" s="197"/>
      <c r="V340" s="197"/>
      <c r="W340" s="197"/>
      <c r="X340" s="198"/>
      <c r="Y340" s="198"/>
      <c r="Z340" s="199"/>
      <c r="AA340" s="200"/>
      <c r="AB340" s="201"/>
      <c r="AC340" s="199"/>
      <c r="AD340" s="199"/>
      <c r="AE340" s="105"/>
      <c r="AF340" s="199"/>
      <c r="AG340" s="105"/>
      <c r="AH340" s="199"/>
      <c r="AI340" s="199"/>
      <c r="AJ340" s="199"/>
      <c r="AK340" s="200"/>
      <c r="AL340" s="199"/>
      <c r="AM340" s="199"/>
      <c r="AN340" s="199"/>
      <c r="AO340" s="199"/>
      <c r="AP340" s="202" t="s">
        <v>1152</v>
      </c>
      <c r="AQ340" s="199"/>
    </row>
    <row r="341">
      <c r="A341" s="135" t="s">
        <v>2350</v>
      </c>
      <c r="B341" s="135" t="s">
        <v>2351</v>
      </c>
      <c r="C341" s="135" t="str">
        <f>VLOOKUP(A341,import!A:C,3,0)</f>
        <v>DOĞRU</v>
      </c>
      <c r="D341" s="135" t="s">
        <v>2346</v>
      </c>
      <c r="E341" s="194">
        <f>VLOOKUP(A341,import!A:AA,5,0)</f>
        <v>1206</v>
      </c>
      <c r="F341" s="194" t="str">
        <f>VLOOKUP(A341,import!A:AA,6,0)</f>
        <v/>
      </c>
      <c r="G341" s="135">
        <f>VLOOKUP(A341,import!A:AA,7,0)</f>
        <v>42</v>
      </c>
      <c r="H341" s="135">
        <f>VLOOKUP(A341,import!A:AA,8,0)</f>
        <v>49</v>
      </c>
      <c r="I341" s="135">
        <f>VLOOKUP(A341,import!A:AA,9,0)</f>
        <v>91</v>
      </c>
      <c r="J341" s="195">
        <f>VLOOKUP(A341,import!A:AA,10,0)</f>
        <v>0.46</v>
      </c>
      <c r="K341" s="135" t="s">
        <v>2347</v>
      </c>
      <c r="L341" s="135">
        <v>5.388121136E9</v>
      </c>
      <c r="M341" s="135" t="s">
        <v>1147</v>
      </c>
      <c r="N341" s="135" t="s">
        <v>1164</v>
      </c>
      <c r="O341" s="135" t="s">
        <v>2352</v>
      </c>
      <c r="P341" s="135" t="str">
        <f>VLOOKUP(A341,import!A:P,16,0)</f>
        <v>Geleneksel</v>
      </c>
      <c r="Q341" s="196"/>
      <c r="R341" s="196" t="b">
        <v>1</v>
      </c>
      <c r="S341" s="196" t="b">
        <v>1</v>
      </c>
      <c r="T341" s="204"/>
      <c r="U341" s="204"/>
      <c r="V341" s="204"/>
      <c r="W341" s="197" t="s">
        <v>2353</v>
      </c>
      <c r="X341" s="206"/>
      <c r="Y341" s="206"/>
      <c r="Z341" s="199"/>
      <c r="AA341" s="200" t="s">
        <v>1151</v>
      </c>
      <c r="AB341" s="201">
        <v>44351.0</v>
      </c>
      <c r="AC341" s="200" t="s">
        <v>1151</v>
      </c>
      <c r="AD341" s="201">
        <v>44379.0</v>
      </c>
      <c r="AE341" s="105"/>
      <c r="AF341" s="199"/>
      <c r="AG341" s="105"/>
      <c r="AH341" s="199"/>
      <c r="AI341" s="199"/>
      <c r="AJ341" s="199"/>
      <c r="AK341" s="200" t="s">
        <v>257</v>
      </c>
      <c r="AL341" s="200" t="s">
        <v>257</v>
      </c>
      <c r="AM341" s="199"/>
      <c r="AN341" s="199"/>
      <c r="AO341" s="199"/>
      <c r="AP341" s="202" t="s">
        <v>1152</v>
      </c>
      <c r="AQ341" s="199"/>
    </row>
    <row r="342">
      <c r="A342" s="135" t="s">
        <v>2354</v>
      </c>
      <c r="B342" s="135" t="s">
        <v>2355</v>
      </c>
      <c r="C342" s="135" t="str">
        <f>VLOOKUP(A342,import!A:C,3,0)</f>
        <v>DOĞRU</v>
      </c>
      <c r="D342" s="135" t="s">
        <v>1188</v>
      </c>
      <c r="E342" s="194">
        <f>VLOOKUP(A342,import!A:AA,5,0)</f>
        <v>96</v>
      </c>
      <c r="F342" s="194" t="str">
        <f>VLOOKUP(A342,import!A:AA,6,0)</f>
        <v/>
      </c>
      <c r="G342" s="135">
        <f>VLOOKUP(A342,import!A:AA,7,0)</f>
        <v>0</v>
      </c>
      <c r="H342" s="135">
        <f>VLOOKUP(A342,import!A:AA,8,0)</f>
        <v>23</v>
      </c>
      <c r="I342" s="135">
        <f>VLOOKUP(A342,import!A:AA,9,0)</f>
        <v>23</v>
      </c>
      <c r="J342" s="195">
        <f>VLOOKUP(A342,import!A:AA,10,0)</f>
        <v>0</v>
      </c>
      <c r="K342" s="135" t="s">
        <v>2356</v>
      </c>
      <c r="L342" s="135">
        <v>5.514371605E9</v>
      </c>
      <c r="M342" s="135" t="s">
        <v>1242</v>
      </c>
      <c r="N342" s="135" t="s">
        <v>1283</v>
      </c>
      <c r="O342" s="135" t="s">
        <v>2357</v>
      </c>
      <c r="P342" s="135" t="str">
        <f>VLOOKUP(A342,import!A:P,16,0)</f>
        <v>Geleneksel</v>
      </c>
      <c r="Q342" s="196"/>
      <c r="R342" s="196" t="b">
        <v>0</v>
      </c>
      <c r="S342" s="196" t="b">
        <v>0</v>
      </c>
      <c r="T342" s="197"/>
      <c r="U342" s="197"/>
      <c r="V342" s="197"/>
      <c r="W342" s="197"/>
      <c r="X342" s="198"/>
      <c r="Y342" s="198"/>
      <c r="Z342" s="199"/>
      <c r="AA342" s="199"/>
      <c r="AB342" s="199"/>
      <c r="AC342" s="199"/>
      <c r="AD342" s="199"/>
      <c r="AE342" s="105"/>
      <c r="AF342" s="199"/>
      <c r="AG342" s="105"/>
      <c r="AH342" s="199"/>
      <c r="AI342" s="199"/>
      <c r="AJ342" s="199"/>
      <c r="AK342" s="199"/>
      <c r="AL342" s="199"/>
      <c r="AM342" s="199"/>
      <c r="AN342" s="199"/>
      <c r="AO342" s="199"/>
      <c r="AP342" s="202" t="s">
        <v>1152</v>
      </c>
      <c r="AQ342" s="199"/>
    </row>
    <row r="343">
      <c r="A343" s="135" t="s">
        <v>2358</v>
      </c>
      <c r="B343" s="135" t="s">
        <v>2359</v>
      </c>
      <c r="C343" s="135" t="str">
        <f>VLOOKUP(A343,import!A:C,3,0)</f>
        <v>YANLIŞ</v>
      </c>
      <c r="D343" s="135" t="s">
        <v>1170</v>
      </c>
      <c r="E343" s="194">
        <f>VLOOKUP(A343,import!A:AA,5,0)</f>
        <v>109</v>
      </c>
      <c r="F343" s="194" t="str">
        <f>VLOOKUP(A343,import!A:AA,6,0)</f>
        <v/>
      </c>
      <c r="G343" s="135">
        <f>VLOOKUP(A343,import!A:AA,7,0)</f>
        <v>0</v>
      </c>
      <c r="H343" s="135">
        <f>VLOOKUP(A343,import!A:AA,8,0)</f>
        <v>20</v>
      </c>
      <c r="I343" s="135">
        <f>VLOOKUP(A343,import!A:AA,9,0)</f>
        <v>20</v>
      </c>
      <c r="J343" s="195">
        <f>VLOOKUP(A343,import!A:AA,10,0)</f>
        <v>0</v>
      </c>
      <c r="K343" s="135" t="s">
        <v>2360</v>
      </c>
      <c r="L343" s="135">
        <v>5.396592954E9</v>
      </c>
      <c r="M343" s="135" t="s">
        <v>1147</v>
      </c>
      <c r="N343" s="135" t="s">
        <v>1148</v>
      </c>
      <c r="O343" s="135" t="s">
        <v>1598</v>
      </c>
      <c r="P343" s="135" t="str">
        <f>VLOOKUP(A343,import!A:P,16,0)</f>
        <v>Geleneksel</v>
      </c>
      <c r="Q343" s="196"/>
      <c r="R343" s="196" t="b">
        <v>0</v>
      </c>
      <c r="S343" s="196" t="b">
        <v>0</v>
      </c>
      <c r="T343" s="197"/>
      <c r="U343" s="197"/>
      <c r="V343" s="197"/>
      <c r="W343" s="197" t="s">
        <v>2361</v>
      </c>
      <c r="X343" s="198"/>
      <c r="Y343" s="198"/>
      <c r="Z343" s="199"/>
      <c r="AA343" s="200" t="s">
        <v>1151</v>
      </c>
      <c r="AB343" s="201">
        <v>44610.0</v>
      </c>
      <c r="AC343" s="199"/>
      <c r="AD343" s="199"/>
      <c r="AE343" s="105"/>
      <c r="AF343" s="199"/>
      <c r="AG343" s="105"/>
      <c r="AH343" s="199"/>
      <c r="AI343" s="199"/>
      <c r="AJ343" s="199"/>
      <c r="AK343" s="200" t="s">
        <v>1061</v>
      </c>
      <c r="AL343" s="199"/>
      <c r="AM343" s="199"/>
      <c r="AN343" s="199"/>
      <c r="AO343" s="199"/>
      <c r="AP343" s="202" t="s">
        <v>1152</v>
      </c>
      <c r="AQ343" s="199"/>
    </row>
    <row r="344">
      <c r="A344" s="135" t="s">
        <v>1097</v>
      </c>
      <c r="B344" s="135" t="s">
        <v>1098</v>
      </c>
      <c r="C344" s="135" t="str">
        <f>VLOOKUP(A344,import!A:C,3,0)</f>
        <v>DOĞRU</v>
      </c>
      <c r="D344" s="135" t="s">
        <v>1155</v>
      </c>
      <c r="E344" s="194">
        <f>VLOOKUP(A344,import!A:AA,5,0)</f>
        <v>562</v>
      </c>
      <c r="F344" s="194">
        <f>VLOOKUP(A344,import!A:AA,6,0)</f>
        <v>162</v>
      </c>
      <c r="G344" s="135">
        <f>VLOOKUP(A344,import!A:AA,7,0)</f>
        <v>0</v>
      </c>
      <c r="H344" s="135">
        <f>VLOOKUP(A344,import!A:AA,8,0)</f>
        <v>37</v>
      </c>
      <c r="I344" s="135">
        <f>VLOOKUP(A344,import!A:AA,9,0)</f>
        <v>37</v>
      </c>
      <c r="J344" s="195">
        <f>VLOOKUP(A344,import!A:AA,10,0)</f>
        <v>0</v>
      </c>
      <c r="K344" s="135" t="s">
        <v>2362</v>
      </c>
      <c r="L344" s="135">
        <v>2.642111112E9</v>
      </c>
      <c r="M344" s="135" t="s">
        <v>1147</v>
      </c>
      <c r="N344" s="135" t="s">
        <v>1164</v>
      </c>
      <c r="O344" s="135" t="s">
        <v>1100</v>
      </c>
      <c r="P344" s="135" t="str">
        <f>VLOOKUP(A344,import!A:P,16,0)</f>
        <v>Geleneksel</v>
      </c>
      <c r="Q344" s="196"/>
      <c r="R344" s="196" t="b">
        <v>1</v>
      </c>
      <c r="S344" s="196" t="b">
        <v>0</v>
      </c>
      <c r="T344" s="197" t="s">
        <v>1202</v>
      </c>
      <c r="U344" s="197"/>
      <c r="V344" s="210"/>
      <c r="W344" s="197" t="s">
        <v>1099</v>
      </c>
      <c r="X344" s="198"/>
      <c r="Y344" s="198"/>
      <c r="Z344" s="199"/>
      <c r="AA344" s="200" t="s">
        <v>1151</v>
      </c>
      <c r="AB344" s="201">
        <v>44621.0</v>
      </c>
      <c r="AC344" s="199"/>
      <c r="AD344" s="199"/>
      <c r="AE344" s="105"/>
      <c r="AF344" s="199"/>
      <c r="AG344" s="105"/>
      <c r="AH344" s="199"/>
      <c r="AI344" s="199"/>
      <c r="AJ344" s="199"/>
      <c r="AK344" s="200" t="s">
        <v>1024</v>
      </c>
      <c r="AL344" s="199"/>
      <c r="AM344" s="199"/>
      <c r="AN344" s="199"/>
      <c r="AO344" s="199"/>
      <c r="AP344" s="202"/>
      <c r="AQ344" s="199"/>
    </row>
    <row r="345">
      <c r="A345" s="135" t="s">
        <v>2363</v>
      </c>
      <c r="B345" s="135" t="s">
        <v>2364</v>
      </c>
      <c r="C345" s="135" t="str">
        <f>VLOOKUP(A345,import!A:C,3,0)</f>
        <v>YANLIŞ</v>
      </c>
      <c r="D345" s="135" t="s">
        <v>1170</v>
      </c>
      <c r="E345" s="194">
        <f>VLOOKUP(A345,import!A:AA,5,0)</f>
        <v>3</v>
      </c>
      <c r="F345" s="194" t="str">
        <f>VLOOKUP(A345,import!A:AA,6,0)</f>
        <v/>
      </c>
      <c r="G345" s="135">
        <f>VLOOKUP(A345,import!A:AA,7,0)</f>
        <v>0</v>
      </c>
      <c r="H345" s="135">
        <f>VLOOKUP(A345,import!A:AA,8,0)</f>
        <v>9</v>
      </c>
      <c r="I345" s="135">
        <f>VLOOKUP(A345,import!A:AA,9,0)</f>
        <v>9</v>
      </c>
      <c r="J345" s="195">
        <f>VLOOKUP(A345,import!A:AA,10,0)</f>
        <v>0</v>
      </c>
      <c r="K345" s="135" t="s">
        <v>2365</v>
      </c>
      <c r="L345" s="135">
        <v>5.387603208E9</v>
      </c>
      <c r="M345" s="135" t="s">
        <v>1177</v>
      </c>
      <c r="N345" s="135" t="s">
        <v>1184</v>
      </c>
      <c r="O345" s="135" t="s">
        <v>188</v>
      </c>
      <c r="P345" s="135" t="str">
        <f>VLOOKUP(A345,import!A:P,16,0)</f>
        <v>Geleneksel</v>
      </c>
      <c r="Q345" s="196"/>
      <c r="R345" s="196" t="b">
        <v>1</v>
      </c>
      <c r="S345" s="196" t="b">
        <v>1</v>
      </c>
      <c r="T345" s="197"/>
      <c r="U345" s="197"/>
      <c r="V345" s="197"/>
      <c r="W345" s="197" t="s">
        <v>2366</v>
      </c>
      <c r="X345" s="198"/>
      <c r="Y345" s="198"/>
      <c r="Z345" s="199"/>
      <c r="AA345" s="200" t="s">
        <v>1151</v>
      </c>
      <c r="AB345" s="201">
        <v>44379.0</v>
      </c>
      <c r="AC345" s="200" t="s">
        <v>1151</v>
      </c>
      <c r="AD345" s="201">
        <v>44384.0</v>
      </c>
      <c r="AE345" s="105"/>
      <c r="AF345" s="199"/>
      <c r="AG345" s="105"/>
      <c r="AH345" s="199"/>
      <c r="AI345" s="199"/>
      <c r="AJ345" s="199"/>
      <c r="AK345" s="200" t="s">
        <v>257</v>
      </c>
      <c r="AL345" s="200" t="s">
        <v>189</v>
      </c>
      <c r="AM345" s="199"/>
      <c r="AN345" s="199"/>
      <c r="AO345" s="199"/>
      <c r="AP345" s="202" t="s">
        <v>1152</v>
      </c>
      <c r="AQ345" s="199"/>
    </row>
    <row r="346">
      <c r="A346" s="135" t="s">
        <v>2367</v>
      </c>
      <c r="B346" s="135" t="s">
        <v>2368</v>
      </c>
      <c r="C346" s="135" t="str">
        <f>VLOOKUP(A346,import!A:C,3,0)</f>
        <v>DOĞRU</v>
      </c>
      <c r="D346" s="135" t="s">
        <v>1281</v>
      </c>
      <c r="E346" s="194">
        <f>VLOOKUP(A346,import!A:AA,5,0)</f>
        <v>2109</v>
      </c>
      <c r="F346" s="194">
        <f>VLOOKUP(A346,import!A:AA,6,0)</f>
        <v>153</v>
      </c>
      <c r="G346" s="135">
        <f>VLOOKUP(A346,import!A:AA,7,0)</f>
        <v>0</v>
      </c>
      <c r="H346" s="135">
        <f>VLOOKUP(A346,import!A:AA,8,0)</f>
        <v>27</v>
      </c>
      <c r="I346" s="135">
        <f>VLOOKUP(A346,import!A:AA,9,0)</f>
        <v>27</v>
      </c>
      <c r="J346" s="195">
        <f>VLOOKUP(A346,import!A:AA,10,0)</f>
        <v>0</v>
      </c>
      <c r="K346" s="135" t="s">
        <v>2369</v>
      </c>
      <c r="L346" s="135">
        <v>5.317851653E9</v>
      </c>
      <c r="M346" s="135" t="s">
        <v>1147</v>
      </c>
      <c r="N346" s="135" t="s">
        <v>1164</v>
      </c>
      <c r="O346" s="135" t="s">
        <v>2370</v>
      </c>
      <c r="P346" s="135" t="str">
        <f>VLOOKUP(A346,import!A:P,16,0)</f>
        <v>Geleneksel</v>
      </c>
      <c r="Q346" s="196"/>
      <c r="R346" s="196" t="b">
        <v>1</v>
      </c>
      <c r="S346" s="196" t="b">
        <v>1</v>
      </c>
      <c r="T346" s="197"/>
      <c r="U346" s="197"/>
      <c r="V346" s="197"/>
      <c r="W346" s="197" t="s">
        <v>2371</v>
      </c>
      <c r="X346" s="198"/>
      <c r="Y346" s="198"/>
      <c r="Z346" s="199"/>
      <c r="AA346" s="200" t="s">
        <v>1151</v>
      </c>
      <c r="AB346" s="201">
        <v>44606.0</v>
      </c>
      <c r="AC346" s="199"/>
      <c r="AD346" s="199"/>
      <c r="AE346" s="105"/>
      <c r="AF346" s="199"/>
      <c r="AG346" s="105"/>
      <c r="AH346" s="199"/>
      <c r="AI346" s="199"/>
      <c r="AJ346" s="199"/>
      <c r="AK346" s="200" t="s">
        <v>1161</v>
      </c>
      <c r="AL346" s="199"/>
      <c r="AM346" s="199"/>
      <c r="AN346" s="199"/>
      <c r="AO346" s="199"/>
      <c r="AP346" s="202" t="s">
        <v>1152</v>
      </c>
      <c r="AQ346" s="199"/>
    </row>
    <row r="347">
      <c r="A347" s="202" t="s">
        <v>2372</v>
      </c>
      <c r="B347" s="202" t="s">
        <v>2373</v>
      </c>
      <c r="C347" s="135" t="str">
        <f>VLOOKUP(A347,import!A:C,3,0)</f>
        <v>DOĞRU</v>
      </c>
      <c r="D347" s="202" t="s">
        <v>1256</v>
      </c>
      <c r="E347" s="194" t="str">
        <f>VLOOKUP(A347,import!A:AA,5,0)</f>
        <v/>
      </c>
      <c r="F347" s="194" t="str">
        <f>VLOOKUP(A347,import!A:AA,6,0)</f>
        <v/>
      </c>
      <c r="G347" s="135">
        <f>VLOOKUP(A347,import!A:AA,7,0)</f>
        <v>0</v>
      </c>
      <c r="H347" s="135">
        <f>VLOOKUP(A347,import!A:AA,8,0)</f>
        <v>12</v>
      </c>
      <c r="I347" s="135">
        <f>VLOOKUP(A347,import!A:AA,9,0)</f>
        <v>12</v>
      </c>
      <c r="J347" s="195">
        <f>VLOOKUP(A347,import!A:AA,10,0)</f>
        <v>0</v>
      </c>
      <c r="K347" s="202" t="s">
        <v>2374</v>
      </c>
      <c r="L347" s="202">
        <v>5.444547654E9</v>
      </c>
      <c r="M347" s="202" t="s">
        <v>1172</v>
      </c>
      <c r="N347" s="202" t="s">
        <v>1379</v>
      </c>
      <c r="O347" s="202" t="s">
        <v>918</v>
      </c>
      <c r="P347" s="135" t="str">
        <f>VLOOKUP(A347,import!A:P,16,0)</f>
        <v>Geleneksel</v>
      </c>
      <c r="Q347" s="196"/>
      <c r="R347" s="196" t="b">
        <v>0</v>
      </c>
      <c r="S347" s="196" t="b">
        <v>0</v>
      </c>
      <c r="T347" s="197"/>
      <c r="U347" s="197"/>
      <c r="V347" s="197"/>
      <c r="W347" s="197"/>
      <c r="X347" s="198"/>
      <c r="Y347" s="198"/>
      <c r="Z347" s="199"/>
      <c r="AA347" s="200"/>
      <c r="AB347" s="201"/>
      <c r="AC347" s="199"/>
      <c r="AD347" s="199"/>
      <c r="AE347" s="105"/>
      <c r="AF347" s="199"/>
      <c r="AG347" s="105"/>
      <c r="AH347" s="199"/>
      <c r="AI347" s="199"/>
      <c r="AJ347" s="199"/>
      <c r="AK347" s="200"/>
      <c r="AL347" s="199"/>
      <c r="AM347" s="199"/>
      <c r="AN347" s="199"/>
      <c r="AO347" s="199"/>
      <c r="AP347" s="202"/>
      <c r="AQ347" s="199"/>
    </row>
    <row r="348">
      <c r="A348" s="135" t="s">
        <v>271</v>
      </c>
      <c r="B348" s="135" t="s">
        <v>272</v>
      </c>
      <c r="C348" s="135" t="str">
        <f>VLOOKUP(A348,import!A:C,3,0)</f>
        <v>DOĞRU</v>
      </c>
      <c r="D348" s="135" t="s">
        <v>1341</v>
      </c>
      <c r="E348" s="194">
        <f>VLOOKUP(A348,import!A:AA,5,0)</f>
        <v>471</v>
      </c>
      <c r="F348" s="194">
        <f>VLOOKUP(A348,import!A:AA,6,0)</f>
        <v>47</v>
      </c>
      <c r="G348" s="135">
        <f>VLOOKUP(A348,import!A:AA,7,0)</f>
        <v>16</v>
      </c>
      <c r="H348" s="135">
        <f>VLOOKUP(A348,import!A:AA,8,0)</f>
        <v>26</v>
      </c>
      <c r="I348" s="135">
        <f>VLOOKUP(A348,import!A:AA,9,0)</f>
        <v>42</v>
      </c>
      <c r="J348" s="195">
        <f>VLOOKUP(A348,import!A:AA,10,0)</f>
        <v>0.38</v>
      </c>
      <c r="K348" s="135" t="s">
        <v>2375</v>
      </c>
      <c r="L348" s="135">
        <v>5.444709254E9</v>
      </c>
      <c r="M348" s="135" t="s">
        <v>1172</v>
      </c>
      <c r="N348" s="135" t="s">
        <v>1173</v>
      </c>
      <c r="O348" s="135" t="s">
        <v>275</v>
      </c>
      <c r="P348" s="135" t="str">
        <f>VLOOKUP(A348,import!A:P,16,0)</f>
        <v>Geleneksel</v>
      </c>
      <c r="Q348" s="196"/>
      <c r="R348" s="196" t="b">
        <v>1</v>
      </c>
      <c r="S348" s="196" t="b">
        <v>0</v>
      </c>
      <c r="T348" s="197" t="s">
        <v>1165</v>
      </c>
      <c r="U348" s="197" t="s">
        <v>257</v>
      </c>
      <c r="V348" s="197" t="s">
        <v>91</v>
      </c>
      <c r="W348" s="197" t="s">
        <v>2376</v>
      </c>
      <c r="X348" s="198">
        <v>44305.0</v>
      </c>
      <c r="Y348" s="198">
        <v>44306.0</v>
      </c>
      <c r="Z348" s="199"/>
      <c r="AA348" s="199"/>
      <c r="AB348" s="199"/>
      <c r="AC348" s="199"/>
      <c r="AD348" s="199"/>
      <c r="AE348" s="105"/>
      <c r="AF348" s="199"/>
      <c r="AG348" s="105"/>
      <c r="AH348" s="199"/>
      <c r="AI348" s="199"/>
      <c r="AJ348" s="199"/>
      <c r="AK348" s="199"/>
      <c r="AL348" s="199"/>
      <c r="AM348" s="199"/>
      <c r="AN348" s="199"/>
      <c r="AO348" s="199"/>
      <c r="AP348" s="202" t="s">
        <v>1152</v>
      </c>
      <c r="AQ348" s="199"/>
    </row>
    <row r="349">
      <c r="A349" s="135" t="s">
        <v>119</v>
      </c>
      <c r="B349" s="135" t="s">
        <v>120</v>
      </c>
      <c r="C349" s="135" t="str">
        <f>VLOOKUP(A349,import!A:C,3,0)</f>
        <v>DOĞRU</v>
      </c>
      <c r="D349" s="135" t="s">
        <v>1341</v>
      </c>
      <c r="E349" s="194">
        <f>VLOOKUP(A349,import!A:AA,5,0)</f>
        <v>439</v>
      </c>
      <c r="F349" s="194" t="str">
        <f>VLOOKUP(A349,import!A:AA,6,0)</f>
        <v/>
      </c>
      <c r="G349" s="135">
        <f>VLOOKUP(A349,import!A:AA,7,0)</f>
        <v>5</v>
      </c>
      <c r="H349" s="135">
        <f>VLOOKUP(A349,import!A:AA,8,0)</f>
        <v>26</v>
      </c>
      <c r="I349" s="135">
        <f>VLOOKUP(A349,import!A:AA,9,0)</f>
        <v>31</v>
      </c>
      <c r="J349" s="195">
        <f>VLOOKUP(A349,import!A:AA,10,0)</f>
        <v>0.16</v>
      </c>
      <c r="K349" s="135" t="s">
        <v>2377</v>
      </c>
      <c r="L349" s="135">
        <v>5.373801343E9</v>
      </c>
      <c r="M349" s="135" t="s">
        <v>1147</v>
      </c>
      <c r="N349" s="135" t="s">
        <v>1148</v>
      </c>
      <c r="O349" s="135" t="s">
        <v>123</v>
      </c>
      <c r="P349" s="135" t="str">
        <f>VLOOKUP(A349,import!A:P,16,0)</f>
        <v>Geleneksel</v>
      </c>
      <c r="Q349" s="196"/>
      <c r="R349" s="196" t="b">
        <v>1</v>
      </c>
      <c r="S349" s="196" t="b">
        <v>0</v>
      </c>
      <c r="T349" s="197" t="s">
        <v>1165</v>
      </c>
      <c r="U349" s="197" t="s">
        <v>257</v>
      </c>
      <c r="V349" s="197" t="s">
        <v>91</v>
      </c>
      <c r="W349" s="197" t="s">
        <v>2378</v>
      </c>
      <c r="X349" s="198">
        <v>44355.0</v>
      </c>
      <c r="Y349" s="198">
        <v>44361.0</v>
      </c>
      <c r="Z349" s="199"/>
      <c r="AA349" s="200" t="s">
        <v>1254</v>
      </c>
      <c r="AB349" s="201">
        <v>44386.0</v>
      </c>
      <c r="AC349" s="199"/>
      <c r="AD349" s="199"/>
      <c r="AE349" s="105"/>
      <c r="AF349" s="199"/>
      <c r="AG349" s="105"/>
      <c r="AH349" s="199"/>
      <c r="AI349" s="199"/>
      <c r="AJ349" s="199"/>
      <c r="AK349" s="200" t="s">
        <v>1167</v>
      </c>
      <c r="AL349" s="199"/>
      <c r="AM349" s="199"/>
      <c r="AN349" s="199"/>
      <c r="AO349" s="199"/>
      <c r="AP349" s="202" t="s">
        <v>1152</v>
      </c>
      <c r="AQ349" s="199"/>
    </row>
    <row r="350">
      <c r="A350" s="135" t="s">
        <v>996</v>
      </c>
      <c r="B350" s="135" t="s">
        <v>997</v>
      </c>
      <c r="C350" s="135" t="str">
        <f>VLOOKUP(A350,import!A:C,3,0)</f>
        <v>DOĞRU</v>
      </c>
      <c r="D350" s="135" t="s">
        <v>1182</v>
      </c>
      <c r="E350" s="194">
        <f>VLOOKUP(A350,import!A:AA,5,0)</f>
        <v>815</v>
      </c>
      <c r="F350" s="194">
        <f>VLOOKUP(A350,import!A:AA,6,0)</f>
        <v>26</v>
      </c>
      <c r="G350" s="135">
        <f>VLOOKUP(A350,import!A:AA,7,0)</f>
        <v>4</v>
      </c>
      <c r="H350" s="135">
        <f>VLOOKUP(A350,import!A:AA,8,0)</f>
        <v>4</v>
      </c>
      <c r="I350" s="135">
        <f>VLOOKUP(A350,import!A:AA,9,0)</f>
        <v>8</v>
      </c>
      <c r="J350" s="195">
        <f>VLOOKUP(A350,import!A:AA,10,0)</f>
        <v>0.5</v>
      </c>
      <c r="K350" s="135" t="s">
        <v>2379</v>
      </c>
      <c r="L350" s="135">
        <v>5.321382978E9</v>
      </c>
      <c r="M350" s="135" t="s">
        <v>1172</v>
      </c>
      <c r="N350" s="135" t="s">
        <v>1379</v>
      </c>
      <c r="O350" s="135" t="s">
        <v>999</v>
      </c>
      <c r="P350" s="135" t="str">
        <f>VLOOKUP(A350,import!A:P,16,0)</f>
        <v>Geleneksel</v>
      </c>
      <c r="Q350" s="196"/>
      <c r="R350" s="196" t="b">
        <v>1</v>
      </c>
      <c r="S350" s="196" t="b">
        <v>0</v>
      </c>
      <c r="T350" s="197" t="s">
        <v>1165</v>
      </c>
      <c r="U350" s="197" t="s">
        <v>1161</v>
      </c>
      <c r="V350" s="207" t="s">
        <v>940</v>
      </c>
      <c r="W350" s="197" t="s">
        <v>2380</v>
      </c>
      <c r="X350" s="198">
        <v>44607.0</v>
      </c>
      <c r="Y350" s="198">
        <v>44608.0</v>
      </c>
      <c r="Z350" s="199"/>
      <c r="AA350" s="200" t="s">
        <v>1253</v>
      </c>
      <c r="AB350" s="201">
        <v>44371.0</v>
      </c>
      <c r="AC350" s="200" t="s">
        <v>1151</v>
      </c>
      <c r="AD350" s="201">
        <v>44607.0</v>
      </c>
      <c r="AE350" s="105"/>
      <c r="AF350" s="199"/>
      <c r="AG350" s="105"/>
      <c r="AH350" s="199"/>
      <c r="AI350" s="199"/>
      <c r="AJ350" s="199"/>
      <c r="AK350" s="200" t="s">
        <v>1204</v>
      </c>
      <c r="AL350" s="200" t="s">
        <v>1161</v>
      </c>
      <c r="AM350" s="199"/>
      <c r="AN350" s="199"/>
      <c r="AO350" s="199"/>
      <c r="AP350" s="202" t="s">
        <v>1152</v>
      </c>
      <c r="AQ350" s="199"/>
    </row>
    <row r="351">
      <c r="A351" s="135" t="s">
        <v>642</v>
      </c>
      <c r="B351" s="135" t="s">
        <v>643</v>
      </c>
      <c r="C351" s="135" t="str">
        <f>VLOOKUP(A351,import!A:C,3,0)</f>
        <v>DOĞRU</v>
      </c>
      <c r="D351" s="135" t="s">
        <v>1170</v>
      </c>
      <c r="E351" s="194">
        <f>VLOOKUP(A351,import!A:AA,5,0)</f>
        <v>2963</v>
      </c>
      <c r="F351" s="194">
        <f>VLOOKUP(A351,import!A:AA,6,0)</f>
        <v>149</v>
      </c>
      <c r="G351" s="135">
        <f>VLOOKUP(A351,import!A:AA,7,0)</f>
        <v>5</v>
      </c>
      <c r="H351" s="135">
        <f>VLOOKUP(A351,import!A:AA,8,0)</f>
        <v>4</v>
      </c>
      <c r="I351" s="135">
        <f>VLOOKUP(A351,import!A:AA,9,0)</f>
        <v>9</v>
      </c>
      <c r="J351" s="195">
        <f>VLOOKUP(A351,import!A:AA,10,0)</f>
        <v>0.56</v>
      </c>
      <c r="K351" s="135" t="s">
        <v>2381</v>
      </c>
      <c r="L351" s="135">
        <v>2.642796739E9</v>
      </c>
      <c r="M351" s="135" t="s">
        <v>1172</v>
      </c>
      <c r="N351" s="135" t="s">
        <v>1190</v>
      </c>
      <c r="O351" s="135" t="s">
        <v>645</v>
      </c>
      <c r="P351" s="135" t="str">
        <f>VLOOKUP(A351,import!A:P,16,0)</f>
        <v>Geleneksel</v>
      </c>
      <c r="Q351" s="196"/>
      <c r="R351" s="196" t="b">
        <v>1</v>
      </c>
      <c r="S351" s="196" t="b">
        <v>0</v>
      </c>
      <c r="T351" s="197" t="s">
        <v>1165</v>
      </c>
      <c r="U351" s="197" t="s">
        <v>189</v>
      </c>
      <c r="V351" s="197" t="s">
        <v>91</v>
      </c>
      <c r="W351" s="197" t="s">
        <v>2382</v>
      </c>
      <c r="X351" s="198">
        <v>44347.0</v>
      </c>
      <c r="Y351" s="198">
        <v>44349.0</v>
      </c>
      <c r="Z351" s="199"/>
      <c r="AA351" s="200" t="s">
        <v>1151</v>
      </c>
      <c r="AB351" s="201">
        <v>44363.0</v>
      </c>
      <c r="AC351" s="199"/>
      <c r="AD351" s="199"/>
      <c r="AE351" s="105"/>
      <c r="AF351" s="199"/>
      <c r="AG351" s="105"/>
      <c r="AH351" s="199"/>
      <c r="AI351" s="199"/>
      <c r="AJ351" s="199"/>
      <c r="AK351" s="200" t="s">
        <v>1167</v>
      </c>
      <c r="AL351" s="199"/>
      <c r="AM351" s="199"/>
      <c r="AN351" s="199"/>
      <c r="AO351" s="199"/>
      <c r="AP351" s="202" t="s">
        <v>1152</v>
      </c>
      <c r="AQ351" s="199"/>
    </row>
    <row r="352">
      <c r="A352" s="135" t="s">
        <v>526</v>
      </c>
      <c r="B352" s="135" t="s">
        <v>527</v>
      </c>
      <c r="C352" s="135" t="str">
        <f>VLOOKUP(A352,import!A:C,3,0)</f>
        <v>DOĞRU</v>
      </c>
      <c r="D352" s="135" t="s">
        <v>1226</v>
      </c>
      <c r="E352" s="194">
        <f>VLOOKUP(A352,import!A:AA,5,0)</f>
        <v>1096</v>
      </c>
      <c r="F352" s="194">
        <f>VLOOKUP(A352,import!A:AA,6,0)</f>
        <v>58</v>
      </c>
      <c r="G352" s="135">
        <f>VLOOKUP(A352,import!A:AA,7,0)</f>
        <v>35</v>
      </c>
      <c r="H352" s="135">
        <f>VLOOKUP(A352,import!A:AA,8,0)</f>
        <v>9</v>
      </c>
      <c r="I352" s="135">
        <f>VLOOKUP(A352,import!A:AA,9,0)</f>
        <v>44</v>
      </c>
      <c r="J352" s="195">
        <f>VLOOKUP(A352,import!A:AA,10,0)</f>
        <v>0.8</v>
      </c>
      <c r="K352" s="135" t="s">
        <v>2383</v>
      </c>
      <c r="L352" s="135">
        <v>5.372806245E9</v>
      </c>
      <c r="M352" s="135" t="s">
        <v>1177</v>
      </c>
      <c r="N352" s="135" t="s">
        <v>2384</v>
      </c>
      <c r="O352" s="135" t="s">
        <v>530</v>
      </c>
      <c r="P352" s="135" t="str">
        <f>VLOOKUP(A352,import!A:P,16,0)</f>
        <v>Geleneksel</v>
      </c>
      <c r="Q352" s="196"/>
      <c r="R352" s="196" t="b">
        <v>1</v>
      </c>
      <c r="S352" s="196" t="b">
        <v>0</v>
      </c>
      <c r="T352" s="197" t="s">
        <v>1165</v>
      </c>
      <c r="U352" s="197" t="s">
        <v>92</v>
      </c>
      <c r="V352" s="197" t="s">
        <v>91</v>
      </c>
      <c r="W352" s="197" t="s">
        <v>2385</v>
      </c>
      <c r="X352" s="198">
        <v>44377.0</v>
      </c>
      <c r="Y352" s="198">
        <v>44378.0</v>
      </c>
      <c r="Z352" s="199"/>
      <c r="AA352" s="200" t="s">
        <v>1151</v>
      </c>
      <c r="AB352" s="201">
        <v>44377.0</v>
      </c>
      <c r="AC352" s="199"/>
      <c r="AD352" s="199"/>
      <c r="AE352" s="105"/>
      <c r="AF352" s="199"/>
      <c r="AG352" s="105"/>
      <c r="AH352" s="199"/>
      <c r="AI352" s="199"/>
      <c r="AJ352" s="199"/>
      <c r="AK352" s="200" t="s">
        <v>92</v>
      </c>
      <c r="AL352" s="199"/>
      <c r="AM352" s="199"/>
      <c r="AN352" s="199"/>
      <c r="AO352" s="199"/>
      <c r="AP352" s="202" t="s">
        <v>1152</v>
      </c>
      <c r="AQ352" s="199"/>
    </row>
    <row r="353">
      <c r="A353" s="202" t="s">
        <v>2386</v>
      </c>
      <c r="B353" s="202" t="s">
        <v>2387</v>
      </c>
      <c r="C353" s="135" t="str">
        <f>VLOOKUP(A353,import!A:C,3,0)</f>
        <v>DOĞRU</v>
      </c>
      <c r="D353" s="202" t="s">
        <v>1170</v>
      </c>
      <c r="E353" s="194">
        <f>VLOOKUP(A353,import!A:AA,5,0)</f>
        <v>25</v>
      </c>
      <c r="F353" s="194">
        <f>VLOOKUP(A353,import!A:AA,6,0)</f>
        <v>20</v>
      </c>
      <c r="G353" s="135">
        <f>VLOOKUP(A353,import!A:AA,7,0)</f>
        <v>0</v>
      </c>
      <c r="H353" s="135">
        <f>VLOOKUP(A353,import!A:AA,8,0)</f>
        <v>15</v>
      </c>
      <c r="I353" s="135">
        <f>VLOOKUP(A353,import!A:AA,9,0)</f>
        <v>15</v>
      </c>
      <c r="J353" s="195">
        <f>VLOOKUP(A353,import!A:AA,10,0)</f>
        <v>0</v>
      </c>
      <c r="K353" s="202" t="s">
        <v>2388</v>
      </c>
      <c r="L353" s="202">
        <v>2.642554444E9</v>
      </c>
      <c r="M353" s="202" t="s">
        <v>1147</v>
      </c>
      <c r="N353" s="202" t="s">
        <v>1148</v>
      </c>
      <c r="O353" s="202" t="s">
        <v>2389</v>
      </c>
      <c r="P353" s="135" t="str">
        <f>VLOOKUP(A353,import!A:P,16,0)</f>
        <v>Geleneksel</v>
      </c>
      <c r="Q353" s="196"/>
      <c r="R353" s="196" t="b">
        <v>0</v>
      </c>
      <c r="S353" s="196" t="b">
        <v>0</v>
      </c>
      <c r="T353" s="197"/>
      <c r="U353" s="197"/>
      <c r="V353" s="197"/>
      <c r="W353" s="197"/>
      <c r="X353" s="198"/>
      <c r="Y353" s="198"/>
      <c r="Z353" s="199"/>
      <c r="AA353" s="200"/>
      <c r="AB353" s="201"/>
      <c r="AC353" s="199"/>
      <c r="AD353" s="199"/>
      <c r="AE353" s="105"/>
      <c r="AF353" s="199"/>
      <c r="AG353" s="105"/>
      <c r="AH353" s="199"/>
      <c r="AI353" s="199"/>
      <c r="AJ353" s="199"/>
      <c r="AK353" s="200"/>
      <c r="AL353" s="199"/>
      <c r="AM353" s="199"/>
      <c r="AN353" s="199"/>
      <c r="AO353" s="199"/>
      <c r="AP353" s="202"/>
      <c r="AQ353" s="199"/>
    </row>
    <row r="354">
      <c r="A354" s="202" t="s">
        <v>2390</v>
      </c>
      <c r="B354" s="202" t="s">
        <v>2391</v>
      </c>
      <c r="C354" s="135" t="str">
        <f>VLOOKUP(A354,import!A:C,3,0)</f>
        <v>DOĞRU</v>
      </c>
      <c r="D354" s="202" t="s">
        <v>1170</v>
      </c>
      <c r="E354" s="194" t="str">
        <f>VLOOKUP(A354,import!A:AA,5,0)</f>
        <v/>
      </c>
      <c r="F354" s="194" t="str">
        <f>VLOOKUP(A354,import!A:AA,6,0)</f>
        <v/>
      </c>
      <c r="G354" s="135">
        <f>VLOOKUP(A354,import!A:AA,7,0)</f>
        <v>0</v>
      </c>
      <c r="H354" s="135">
        <f>VLOOKUP(A354,import!A:AA,8,0)</f>
        <v>4</v>
      </c>
      <c r="I354" s="135">
        <f>VLOOKUP(A354,import!A:AA,9,0)</f>
        <v>4</v>
      </c>
      <c r="J354" s="195">
        <f>VLOOKUP(A354,import!A:AA,10,0)</f>
        <v>0</v>
      </c>
      <c r="K354" s="202" t="s">
        <v>2392</v>
      </c>
      <c r="L354" s="202">
        <v>5.522967192E9</v>
      </c>
      <c r="M354" s="202" t="s">
        <v>1318</v>
      </c>
      <c r="N354" s="202" t="s">
        <v>1319</v>
      </c>
      <c r="O354" s="202" t="s">
        <v>2393</v>
      </c>
      <c r="P354" s="135" t="str">
        <f>VLOOKUP(A354,import!A:P,16,0)</f>
        <v>Geleneksel</v>
      </c>
      <c r="Q354" s="196"/>
      <c r="R354" s="196" t="b">
        <v>0</v>
      </c>
      <c r="S354" s="196" t="b">
        <v>0</v>
      </c>
      <c r="T354" s="197"/>
      <c r="U354" s="197"/>
      <c r="V354" s="197"/>
      <c r="W354" s="197"/>
      <c r="X354" s="198"/>
      <c r="Y354" s="198"/>
      <c r="Z354" s="199"/>
      <c r="AA354" s="200"/>
      <c r="AB354" s="201"/>
      <c r="AC354" s="199"/>
      <c r="AD354" s="199"/>
      <c r="AE354" s="105"/>
      <c r="AF354" s="199"/>
      <c r="AG354" s="105"/>
      <c r="AH354" s="199"/>
      <c r="AI354" s="199"/>
      <c r="AJ354" s="199"/>
      <c r="AK354" s="200"/>
      <c r="AL354" s="199"/>
      <c r="AM354" s="199"/>
      <c r="AN354" s="199"/>
      <c r="AO354" s="199"/>
      <c r="AP354" s="202"/>
      <c r="AQ354" s="199"/>
    </row>
    <row r="355">
      <c r="A355" s="135" t="s">
        <v>2394</v>
      </c>
      <c r="B355" s="135" t="s">
        <v>2395</v>
      </c>
      <c r="C355" s="135" t="str">
        <f>VLOOKUP(A355,import!A:C,3,0)</f>
        <v>YANLIŞ</v>
      </c>
      <c r="D355" s="135" t="s">
        <v>1302</v>
      </c>
      <c r="E355" s="194">
        <f>VLOOKUP(A355,import!A:AA,5,0)</f>
        <v>1</v>
      </c>
      <c r="F355" s="194" t="str">
        <f>VLOOKUP(A355,import!A:AA,6,0)</f>
        <v/>
      </c>
      <c r="G355" s="135">
        <f>VLOOKUP(A355,import!A:AA,7,0)</f>
        <v>0</v>
      </c>
      <c r="H355" s="135">
        <f>VLOOKUP(A355,import!A:AA,8,0)</f>
        <v>3</v>
      </c>
      <c r="I355" s="135">
        <f>VLOOKUP(A355,import!A:AA,9,0)</f>
        <v>3</v>
      </c>
      <c r="J355" s="195">
        <f>VLOOKUP(A355,import!A:AA,10,0)</f>
        <v>0</v>
      </c>
      <c r="K355" s="135" t="s">
        <v>2396</v>
      </c>
      <c r="L355" s="135">
        <v>5.522967192E9</v>
      </c>
      <c r="M355" s="135" t="s">
        <v>1463</v>
      </c>
      <c r="N355" s="135" t="s">
        <v>1464</v>
      </c>
      <c r="O355" s="135" t="s">
        <v>2397</v>
      </c>
      <c r="P355" s="135" t="str">
        <f>VLOOKUP(A355,import!A:P,16,0)</f>
        <v>Geleneksel</v>
      </c>
      <c r="Q355" s="196"/>
      <c r="R355" s="196" t="b">
        <v>1</v>
      </c>
      <c r="S355" s="196" t="b">
        <v>0</v>
      </c>
      <c r="T355" s="197" t="s">
        <v>1373</v>
      </c>
      <c r="U355" s="204"/>
      <c r="V355" s="204"/>
      <c r="W355" s="197"/>
      <c r="X355" s="206"/>
      <c r="Y355" s="206"/>
      <c r="Z355" s="199"/>
      <c r="AA355" s="199"/>
      <c r="AB355" s="199"/>
      <c r="AC355" s="199"/>
      <c r="AD355" s="199"/>
      <c r="AE355" s="105"/>
      <c r="AF355" s="199"/>
      <c r="AG355" s="105"/>
      <c r="AH355" s="199"/>
      <c r="AI355" s="199"/>
      <c r="AJ355" s="199"/>
      <c r="AK355" s="199"/>
      <c r="AL355" s="199"/>
      <c r="AM355" s="199"/>
      <c r="AN355" s="199"/>
      <c r="AO355" s="199"/>
      <c r="AP355" s="202" t="s">
        <v>1152</v>
      </c>
      <c r="AQ355" s="199"/>
    </row>
    <row r="356">
      <c r="A356" s="135" t="s">
        <v>112</v>
      </c>
      <c r="B356" s="135" t="s">
        <v>113</v>
      </c>
      <c r="C356" s="135" t="str">
        <f>VLOOKUP(A356,import!A:C,3,0)</f>
        <v>DOĞRU</v>
      </c>
      <c r="D356" s="135" t="s">
        <v>1220</v>
      </c>
      <c r="E356" s="194">
        <f>VLOOKUP(A356,import!A:AA,5,0)</f>
        <v>339</v>
      </c>
      <c r="F356" s="194">
        <f>VLOOKUP(A356,import!A:AA,6,0)</f>
        <v>2</v>
      </c>
      <c r="G356" s="135">
        <f>VLOOKUP(A356,import!A:AA,7,0)</f>
        <v>7</v>
      </c>
      <c r="H356" s="135">
        <f>VLOOKUP(A356,import!A:AA,8,0)</f>
        <v>1</v>
      </c>
      <c r="I356" s="135">
        <f>VLOOKUP(A356,import!A:AA,9,0)</f>
        <v>8</v>
      </c>
      <c r="J356" s="195">
        <f>VLOOKUP(A356,import!A:AA,10,0)</f>
        <v>0.88</v>
      </c>
      <c r="K356" s="135" t="s">
        <v>1630</v>
      </c>
      <c r="L356" s="135">
        <v>5.399342723E9</v>
      </c>
      <c r="M356" s="135" t="s">
        <v>1177</v>
      </c>
      <c r="N356" s="135" t="s">
        <v>1607</v>
      </c>
      <c r="O356" s="135" t="s">
        <v>117</v>
      </c>
      <c r="P356" s="135" t="str">
        <f>VLOOKUP(A356,import!A:P,16,0)</f>
        <v>Geleneksel</v>
      </c>
      <c r="Q356" s="196"/>
      <c r="R356" s="196" t="b">
        <v>1</v>
      </c>
      <c r="S356" s="196" t="b">
        <v>0</v>
      </c>
      <c r="T356" s="211" t="s">
        <v>1165</v>
      </c>
      <c r="U356" s="211" t="s">
        <v>257</v>
      </c>
      <c r="V356" s="211" t="s">
        <v>91</v>
      </c>
      <c r="W356" s="211"/>
      <c r="X356" s="214">
        <v>44314.0</v>
      </c>
      <c r="Y356" s="214">
        <v>44314.0</v>
      </c>
      <c r="Z356" s="199"/>
      <c r="AA356" s="199"/>
      <c r="AB356" s="199"/>
      <c r="AC356" s="199"/>
      <c r="AD356" s="199"/>
      <c r="AE356" s="105"/>
      <c r="AF356" s="199"/>
      <c r="AG356" s="105"/>
      <c r="AH356" s="199"/>
      <c r="AI356" s="199"/>
      <c r="AJ356" s="199"/>
      <c r="AK356" s="199"/>
      <c r="AL356" s="199"/>
      <c r="AM356" s="199"/>
      <c r="AN356" s="199"/>
      <c r="AO356" s="199"/>
      <c r="AP356" s="202" t="s">
        <v>1152</v>
      </c>
      <c r="AQ356" s="199"/>
    </row>
    <row r="357">
      <c r="A357" s="135" t="s">
        <v>800</v>
      </c>
      <c r="B357" s="135" t="s">
        <v>801</v>
      </c>
      <c r="C357" s="135" t="str">
        <f>VLOOKUP(A357,import!A:C,3,0)</f>
        <v>DOĞRU</v>
      </c>
      <c r="D357" s="135" t="s">
        <v>1226</v>
      </c>
      <c r="E357" s="194">
        <f>VLOOKUP(A357,import!A:AA,5,0)</f>
        <v>210</v>
      </c>
      <c r="F357" s="194">
        <f>VLOOKUP(A357,import!A:AA,6,0)</f>
        <v>4</v>
      </c>
      <c r="G357" s="135">
        <f>VLOOKUP(A357,import!A:AA,7,0)</f>
        <v>12</v>
      </c>
      <c r="H357" s="135">
        <f>VLOOKUP(A357,import!A:AA,8,0)</f>
        <v>6</v>
      </c>
      <c r="I357" s="135">
        <f>VLOOKUP(A357,import!A:AA,9,0)</f>
        <v>18</v>
      </c>
      <c r="J357" s="195">
        <f>VLOOKUP(A357,import!A:AA,10,0)</f>
        <v>0.67</v>
      </c>
      <c r="K357" s="135" t="s">
        <v>2398</v>
      </c>
      <c r="L357" s="135">
        <v>5.354054736E9</v>
      </c>
      <c r="M357" s="135" t="s">
        <v>1172</v>
      </c>
      <c r="N357" s="135" t="s">
        <v>1379</v>
      </c>
      <c r="O357" s="135" t="s">
        <v>803</v>
      </c>
      <c r="P357" s="135" t="str">
        <f>VLOOKUP(A357,import!A:P,16,0)</f>
        <v>Geleneksel</v>
      </c>
      <c r="Q357" s="196"/>
      <c r="R357" s="196" t="b">
        <v>1</v>
      </c>
      <c r="S357" s="196" t="b">
        <v>0</v>
      </c>
      <c r="T357" s="197" t="s">
        <v>1165</v>
      </c>
      <c r="U357" s="197" t="s">
        <v>1204</v>
      </c>
      <c r="V357" s="197" t="s">
        <v>91</v>
      </c>
      <c r="W357" s="197" t="s">
        <v>2399</v>
      </c>
      <c r="X357" s="198">
        <v>44362.0</v>
      </c>
      <c r="Y357" s="198">
        <v>44365.0</v>
      </c>
      <c r="Z357" s="199"/>
      <c r="AA357" s="200" t="s">
        <v>1277</v>
      </c>
      <c r="AB357" s="201">
        <v>44351.0</v>
      </c>
      <c r="AC357" s="200" t="s">
        <v>1151</v>
      </c>
      <c r="AD357" s="201">
        <v>44362.0</v>
      </c>
      <c r="AE357" s="105"/>
      <c r="AF357" s="199"/>
      <c r="AG357" s="105"/>
      <c r="AH357" s="199"/>
      <c r="AI357" s="199"/>
      <c r="AJ357" s="199"/>
      <c r="AK357" s="200" t="s">
        <v>1232</v>
      </c>
      <c r="AL357" s="200" t="s">
        <v>1204</v>
      </c>
      <c r="AM357" s="199"/>
      <c r="AN357" s="199"/>
      <c r="AO357" s="199"/>
      <c r="AP357" s="202" t="s">
        <v>1152</v>
      </c>
      <c r="AQ357" s="199"/>
    </row>
    <row r="358">
      <c r="A358" s="135" t="s">
        <v>2400</v>
      </c>
      <c r="B358" s="135" t="s">
        <v>2401</v>
      </c>
      <c r="C358" s="135" t="str">
        <f>VLOOKUP(A358,import!A:C,3,0)</f>
        <v>DOĞRU</v>
      </c>
      <c r="D358" s="135" t="s">
        <v>1216</v>
      </c>
      <c r="E358" s="194">
        <f>VLOOKUP(A358,import!A:AA,5,0)</f>
        <v>3579</v>
      </c>
      <c r="F358" s="194">
        <f>VLOOKUP(A358,import!A:AA,6,0)</f>
        <v>203</v>
      </c>
      <c r="G358" s="135">
        <f>VLOOKUP(A358,import!A:AA,7,0)</f>
        <v>0</v>
      </c>
      <c r="H358" s="135">
        <f>VLOOKUP(A358,import!A:AA,8,0)</f>
        <v>34</v>
      </c>
      <c r="I358" s="135">
        <f>VLOOKUP(A358,import!A:AA,9,0)</f>
        <v>34</v>
      </c>
      <c r="J358" s="195">
        <f>VLOOKUP(A358,import!A:AA,10,0)</f>
        <v>0</v>
      </c>
      <c r="K358" s="135" t="s">
        <v>2402</v>
      </c>
      <c r="L358" s="135">
        <v>5.365811082E9</v>
      </c>
      <c r="M358" s="135" t="s">
        <v>1172</v>
      </c>
      <c r="N358" s="135" t="s">
        <v>1190</v>
      </c>
      <c r="O358" s="135" t="s">
        <v>2403</v>
      </c>
      <c r="P358" s="135" t="str">
        <f>VLOOKUP(A358,import!A:P,16,0)</f>
        <v>Geleneksel</v>
      </c>
      <c r="Q358" s="196"/>
      <c r="R358" s="196" t="b">
        <v>1</v>
      </c>
      <c r="S358" s="196" t="b">
        <v>0</v>
      </c>
      <c r="T358" s="197" t="s">
        <v>1275</v>
      </c>
      <c r="U358" s="197"/>
      <c r="V358" s="197"/>
      <c r="W358" s="197" t="s">
        <v>2404</v>
      </c>
      <c r="X358" s="198"/>
      <c r="Y358" s="198"/>
      <c r="Z358" s="199"/>
      <c r="AA358" s="200" t="s">
        <v>1254</v>
      </c>
      <c r="AB358" s="201">
        <v>44390.0</v>
      </c>
      <c r="AC358" s="200" t="s">
        <v>1151</v>
      </c>
      <c r="AD358" s="201">
        <v>44405.0</v>
      </c>
      <c r="AE358" s="105"/>
      <c r="AF358" s="199"/>
      <c r="AG358" s="105"/>
      <c r="AH358" s="199"/>
      <c r="AI358" s="199"/>
      <c r="AJ358" s="199"/>
      <c r="AK358" s="200" t="s">
        <v>1264</v>
      </c>
      <c r="AL358" s="200" t="s">
        <v>1264</v>
      </c>
      <c r="AM358" s="199"/>
      <c r="AN358" s="199"/>
      <c r="AO358" s="199"/>
      <c r="AP358" s="202" t="s">
        <v>1152</v>
      </c>
      <c r="AQ358" s="199"/>
    </row>
    <row r="359">
      <c r="A359" s="135" t="s">
        <v>977</v>
      </c>
      <c r="B359" s="135" t="s">
        <v>978</v>
      </c>
      <c r="C359" s="135" t="str">
        <f>VLOOKUP(A359,import!A:C,3,0)</f>
        <v>DOĞRU</v>
      </c>
      <c r="D359" s="135" t="s">
        <v>1216</v>
      </c>
      <c r="E359" s="194">
        <f>VLOOKUP(A359,import!A:AA,5,0)</f>
        <v>2818</v>
      </c>
      <c r="F359" s="194">
        <f>VLOOKUP(A359,import!A:AA,6,0)</f>
        <v>223</v>
      </c>
      <c r="G359" s="135">
        <f>VLOOKUP(A359,import!A:AA,7,0)</f>
        <v>10</v>
      </c>
      <c r="H359" s="135">
        <f>VLOOKUP(A359,import!A:AA,8,0)</f>
        <v>4</v>
      </c>
      <c r="I359" s="135">
        <f>VLOOKUP(A359,import!A:AA,9,0)</f>
        <v>14</v>
      </c>
      <c r="J359" s="195">
        <f>VLOOKUP(A359,import!A:AA,10,0)</f>
        <v>0.71</v>
      </c>
      <c r="K359" s="135" t="s">
        <v>2405</v>
      </c>
      <c r="L359" s="135">
        <v>5.387370923E9</v>
      </c>
      <c r="M359" s="135" t="s">
        <v>1147</v>
      </c>
      <c r="N359" s="135" t="s">
        <v>1164</v>
      </c>
      <c r="O359" s="135" t="s">
        <v>980</v>
      </c>
      <c r="P359" s="135" t="str">
        <f>VLOOKUP(A359,import!A:P,16,0)</f>
        <v>Geleneksel</v>
      </c>
      <c r="Q359" s="196"/>
      <c r="R359" s="196" t="b">
        <v>1</v>
      </c>
      <c r="S359" s="196" t="b">
        <v>0</v>
      </c>
      <c r="T359" s="197" t="s">
        <v>1165</v>
      </c>
      <c r="U359" s="197" t="s">
        <v>1161</v>
      </c>
      <c r="V359" s="207" t="s">
        <v>940</v>
      </c>
      <c r="W359" s="197"/>
      <c r="X359" s="198">
        <v>44606.0</v>
      </c>
      <c r="Y359" s="198">
        <v>44607.0</v>
      </c>
      <c r="Z359" s="199"/>
      <c r="AA359" s="200" t="s">
        <v>1151</v>
      </c>
      <c r="AB359" s="201">
        <v>44606.0</v>
      </c>
      <c r="AC359" s="199"/>
      <c r="AD359" s="199"/>
      <c r="AE359" s="105"/>
      <c r="AF359" s="199"/>
      <c r="AG359" s="105"/>
      <c r="AH359" s="199"/>
      <c r="AI359" s="199"/>
      <c r="AJ359" s="199"/>
      <c r="AK359" s="200" t="s">
        <v>1161</v>
      </c>
      <c r="AL359" s="199"/>
      <c r="AM359" s="199"/>
      <c r="AN359" s="199"/>
      <c r="AO359" s="199"/>
      <c r="AP359" s="202" t="s">
        <v>1152</v>
      </c>
      <c r="AQ359" s="199"/>
    </row>
    <row r="360">
      <c r="A360" s="135" t="s">
        <v>840</v>
      </c>
      <c r="B360" s="135" t="s">
        <v>841</v>
      </c>
      <c r="C360" s="135" t="str">
        <f>VLOOKUP(A360,import!A:C,3,0)</f>
        <v>DOĞRU</v>
      </c>
      <c r="D360" s="135" t="s">
        <v>1182</v>
      </c>
      <c r="E360" s="194">
        <f>VLOOKUP(A360,import!A:AA,5,0)</f>
        <v>260</v>
      </c>
      <c r="F360" s="194" t="str">
        <f>VLOOKUP(A360,import!A:AA,6,0)</f>
        <v/>
      </c>
      <c r="G360" s="135">
        <f>VLOOKUP(A360,import!A:AA,7,0)</f>
        <v>6</v>
      </c>
      <c r="H360" s="135">
        <f>VLOOKUP(A360,import!A:AA,8,0)</f>
        <v>9</v>
      </c>
      <c r="I360" s="135">
        <f>VLOOKUP(A360,import!A:AA,9,0)</f>
        <v>15</v>
      </c>
      <c r="J360" s="195">
        <f>VLOOKUP(A360,import!A:AA,10,0)</f>
        <v>0.4</v>
      </c>
      <c r="K360" s="135" t="s">
        <v>1472</v>
      </c>
      <c r="L360" s="135">
        <v>5.382733854E9</v>
      </c>
      <c r="M360" s="135" t="s">
        <v>1172</v>
      </c>
      <c r="N360" s="135" t="s">
        <v>1336</v>
      </c>
      <c r="O360" s="135" t="s">
        <v>336</v>
      </c>
      <c r="P360" s="135" t="str">
        <f>VLOOKUP(A360,import!A:P,16,0)</f>
        <v>Geleneksel</v>
      </c>
      <c r="Q360" s="196"/>
      <c r="R360" s="196" t="b">
        <v>1</v>
      </c>
      <c r="S360" s="196" t="b">
        <v>0</v>
      </c>
      <c r="T360" s="197" t="s">
        <v>1436</v>
      </c>
      <c r="U360" s="197" t="s">
        <v>1278</v>
      </c>
      <c r="V360" s="197" t="s">
        <v>91</v>
      </c>
      <c r="W360" s="197"/>
      <c r="X360" s="198">
        <v>44365.0</v>
      </c>
      <c r="Y360" s="198">
        <v>44370.0</v>
      </c>
      <c r="Z360" s="199"/>
      <c r="AA360" s="200" t="s">
        <v>1151</v>
      </c>
      <c r="AB360" s="201">
        <v>44365.0</v>
      </c>
      <c r="AC360" s="199"/>
      <c r="AD360" s="199"/>
      <c r="AE360" s="105"/>
      <c r="AF360" s="199"/>
      <c r="AG360" s="105"/>
      <c r="AH360" s="199"/>
      <c r="AI360" s="199"/>
      <c r="AJ360" s="199"/>
      <c r="AK360" s="200" t="s">
        <v>1278</v>
      </c>
      <c r="AL360" s="199"/>
      <c r="AM360" s="199"/>
      <c r="AN360" s="199"/>
      <c r="AO360" s="199"/>
      <c r="AP360" s="202" t="s">
        <v>1152</v>
      </c>
      <c r="AQ360" s="199"/>
    </row>
    <row r="361">
      <c r="A361" s="135" t="s">
        <v>2406</v>
      </c>
      <c r="B361" s="135" t="s">
        <v>2407</v>
      </c>
      <c r="C361" s="135" t="str">
        <f>VLOOKUP(A361,import!A:C,3,0)</f>
        <v>YANLIŞ</v>
      </c>
      <c r="D361" s="135" t="s">
        <v>1235</v>
      </c>
      <c r="E361" s="194" t="str">
        <f>VLOOKUP(A361,import!A:AA,5,0)</f>
        <v/>
      </c>
      <c r="F361" s="194" t="str">
        <f>VLOOKUP(A361,import!A:AA,6,0)</f>
        <v/>
      </c>
      <c r="G361" s="135">
        <f>VLOOKUP(A361,import!A:AA,7,0)</f>
        <v>0</v>
      </c>
      <c r="H361" s="135">
        <f>VLOOKUP(A361,import!A:AA,8,0)</f>
        <v>45</v>
      </c>
      <c r="I361" s="135">
        <f>VLOOKUP(A361,import!A:AA,9,0)</f>
        <v>45</v>
      </c>
      <c r="J361" s="195">
        <f>VLOOKUP(A361,import!A:AA,10,0)</f>
        <v>0</v>
      </c>
      <c r="K361" s="135" t="s">
        <v>1146</v>
      </c>
      <c r="L361" s="135">
        <v>5.394067198E9</v>
      </c>
      <c r="M361" s="135" t="s">
        <v>1147</v>
      </c>
      <c r="N361" s="135" t="s">
        <v>1148</v>
      </c>
      <c r="O361" s="135" t="s">
        <v>1149</v>
      </c>
      <c r="P361" s="135" t="str">
        <f>VLOOKUP(A361,import!A:P,16,0)</f>
        <v>Geleneksel</v>
      </c>
      <c r="Q361" s="196"/>
      <c r="R361" s="196" t="b">
        <v>1</v>
      </c>
      <c r="S361" s="196" t="b">
        <v>1</v>
      </c>
      <c r="T361" s="197"/>
      <c r="U361" s="197"/>
      <c r="V361" s="197"/>
      <c r="W361" s="197" t="s">
        <v>2408</v>
      </c>
      <c r="X361" s="198"/>
      <c r="Y361" s="198"/>
      <c r="Z361" s="199"/>
      <c r="AA361" s="200" t="s">
        <v>1151</v>
      </c>
      <c r="AB361" s="201">
        <v>44351.0</v>
      </c>
      <c r="AC361" s="200" t="s">
        <v>1202</v>
      </c>
      <c r="AD361" s="201">
        <v>44379.0</v>
      </c>
      <c r="AE361" s="105"/>
      <c r="AF361" s="199"/>
      <c r="AG361" s="105"/>
      <c r="AH361" s="199"/>
      <c r="AI361" s="199"/>
      <c r="AJ361" s="199"/>
      <c r="AK361" s="200" t="s">
        <v>1232</v>
      </c>
      <c r="AL361" s="200" t="s">
        <v>257</v>
      </c>
      <c r="AM361" s="199"/>
      <c r="AN361" s="199"/>
      <c r="AO361" s="199"/>
      <c r="AP361" s="202" t="s">
        <v>1152</v>
      </c>
      <c r="AQ361" s="199"/>
    </row>
    <row r="362">
      <c r="A362" s="135" t="s">
        <v>2409</v>
      </c>
      <c r="B362" s="135" t="s">
        <v>2410</v>
      </c>
      <c r="C362" s="135" t="str">
        <f>VLOOKUP(A362,import!A:C,3,0)</f>
        <v>DOĞRU</v>
      </c>
      <c r="D362" s="135" t="s">
        <v>1170</v>
      </c>
      <c r="E362" s="194">
        <f>VLOOKUP(A362,import!A:AA,5,0)</f>
        <v>267</v>
      </c>
      <c r="F362" s="194">
        <f>VLOOKUP(A362,import!A:AA,6,0)</f>
        <v>4</v>
      </c>
      <c r="G362" s="135">
        <f>VLOOKUP(A362,import!A:AA,7,0)</f>
        <v>0</v>
      </c>
      <c r="H362" s="135">
        <f>VLOOKUP(A362,import!A:AA,8,0)</f>
        <v>44</v>
      </c>
      <c r="I362" s="135">
        <f>VLOOKUP(A362,import!A:AA,9,0)</f>
        <v>44</v>
      </c>
      <c r="J362" s="195">
        <f>VLOOKUP(A362,import!A:AA,10,0)</f>
        <v>0</v>
      </c>
      <c r="K362" s="135" t="s">
        <v>2411</v>
      </c>
      <c r="L362" s="135">
        <v>5.452863254E9</v>
      </c>
      <c r="M362" s="135" t="s">
        <v>1177</v>
      </c>
      <c r="N362" s="135" t="s">
        <v>1184</v>
      </c>
      <c r="O362" s="135" t="s">
        <v>2412</v>
      </c>
      <c r="P362" s="135" t="str">
        <f>VLOOKUP(A362,import!A:P,16,0)</f>
        <v>Geleneksel</v>
      </c>
      <c r="Q362" s="196"/>
      <c r="R362" s="196" t="b">
        <v>1</v>
      </c>
      <c r="S362" s="196" t="b">
        <v>1</v>
      </c>
      <c r="T362" s="197"/>
      <c r="U362" s="197"/>
      <c r="V362" s="197"/>
      <c r="W362" s="197" t="s">
        <v>2413</v>
      </c>
      <c r="X362" s="198"/>
      <c r="Y362" s="198"/>
      <c r="Z362" s="199"/>
      <c r="AA362" s="200" t="s">
        <v>1254</v>
      </c>
      <c r="AB362" s="201">
        <v>44379.0</v>
      </c>
      <c r="AC362" s="199"/>
      <c r="AD362" s="199"/>
      <c r="AE362" s="105"/>
      <c r="AF362" s="199"/>
      <c r="AG362" s="105"/>
      <c r="AH362" s="199"/>
      <c r="AI362" s="199"/>
      <c r="AJ362" s="199"/>
      <c r="AK362" s="200" t="s">
        <v>257</v>
      </c>
      <c r="AL362" s="199"/>
      <c r="AM362" s="199"/>
      <c r="AN362" s="199"/>
      <c r="AO362" s="199"/>
      <c r="AP362" s="202" t="s">
        <v>1152</v>
      </c>
      <c r="AQ362" s="199"/>
    </row>
    <row r="363">
      <c r="A363" s="135" t="s">
        <v>2414</v>
      </c>
      <c r="B363" s="135" t="s">
        <v>2415</v>
      </c>
      <c r="C363" s="135" t="str">
        <f>VLOOKUP(A363,import!A:C,3,0)</f>
        <v>DOĞRU</v>
      </c>
      <c r="D363" s="135" t="s">
        <v>1302</v>
      </c>
      <c r="E363" s="194">
        <f>VLOOKUP(A363,import!A:AA,5,0)</f>
        <v>208</v>
      </c>
      <c r="F363" s="194">
        <f>VLOOKUP(A363,import!A:AA,6,0)</f>
        <v>5</v>
      </c>
      <c r="G363" s="135">
        <f>VLOOKUP(A363,import!A:AA,7,0)</f>
        <v>0</v>
      </c>
      <c r="H363" s="135">
        <f>VLOOKUP(A363,import!A:AA,8,0)</f>
        <v>63</v>
      </c>
      <c r="I363" s="135">
        <f>VLOOKUP(A363,import!A:AA,9,0)</f>
        <v>63</v>
      </c>
      <c r="J363" s="195">
        <f>VLOOKUP(A363,import!A:AA,10,0)</f>
        <v>0</v>
      </c>
      <c r="K363" s="135" t="s">
        <v>2416</v>
      </c>
      <c r="L363" s="135">
        <v>5.458412868E9</v>
      </c>
      <c r="M363" s="135" t="s">
        <v>1318</v>
      </c>
      <c r="N363" s="135" t="s">
        <v>1319</v>
      </c>
      <c r="O363" s="135" t="s">
        <v>2417</v>
      </c>
      <c r="P363" s="135" t="str">
        <f>VLOOKUP(A363,import!A:P,16,0)</f>
        <v>Geleneksel</v>
      </c>
      <c r="Q363" s="196"/>
      <c r="R363" s="196" t="b">
        <v>1</v>
      </c>
      <c r="S363" s="196" t="b">
        <v>0</v>
      </c>
      <c r="T363" s="197" t="s">
        <v>1275</v>
      </c>
      <c r="U363" s="197"/>
      <c r="V363" s="197"/>
      <c r="W363" s="197" t="s">
        <v>2418</v>
      </c>
      <c r="X363" s="198"/>
      <c r="Y363" s="198"/>
      <c r="Z363" s="199"/>
      <c r="AA363" s="200" t="s">
        <v>1151</v>
      </c>
      <c r="AB363" s="201">
        <v>44376.0</v>
      </c>
      <c r="AC363" s="200" t="s">
        <v>1202</v>
      </c>
      <c r="AD363" s="201">
        <v>44392.0</v>
      </c>
      <c r="AE363" s="200" t="s">
        <v>1151</v>
      </c>
      <c r="AF363" s="201">
        <v>44404.0</v>
      </c>
      <c r="AG363" s="105"/>
      <c r="AH363" s="199"/>
      <c r="AI363" s="199"/>
      <c r="AJ363" s="199"/>
      <c r="AK363" s="200" t="s">
        <v>189</v>
      </c>
      <c r="AL363" s="200" t="s">
        <v>1167</v>
      </c>
      <c r="AM363" s="200" t="s">
        <v>189</v>
      </c>
      <c r="AN363" s="199"/>
      <c r="AO363" s="199"/>
      <c r="AP363" s="202" t="s">
        <v>1152</v>
      </c>
      <c r="AQ363" s="199"/>
    </row>
    <row r="364">
      <c r="A364" s="135" t="s">
        <v>746</v>
      </c>
      <c r="B364" s="135" t="s">
        <v>747</v>
      </c>
      <c r="C364" s="135" t="str">
        <f>VLOOKUP(A364,import!A:C,3,0)</f>
        <v>YANLIŞ</v>
      </c>
      <c r="D364" s="135" t="s">
        <v>1216</v>
      </c>
      <c r="E364" s="194">
        <f>VLOOKUP(A364,import!A:AA,5,0)</f>
        <v>56</v>
      </c>
      <c r="F364" s="194" t="str">
        <f>VLOOKUP(A364,import!A:AA,6,0)</f>
        <v/>
      </c>
      <c r="G364" s="135">
        <f>VLOOKUP(A364,import!A:AA,7,0)</f>
        <v>11</v>
      </c>
      <c r="H364" s="135">
        <f>VLOOKUP(A364,import!A:AA,8,0)</f>
        <v>4</v>
      </c>
      <c r="I364" s="135">
        <f>VLOOKUP(A364,import!A:AA,9,0)</f>
        <v>15</v>
      </c>
      <c r="J364" s="195">
        <f>VLOOKUP(A364,import!A:AA,10,0)</f>
        <v>0.73</v>
      </c>
      <c r="K364" s="135" t="s">
        <v>2419</v>
      </c>
      <c r="L364" s="135">
        <v>5.428423854E9</v>
      </c>
      <c r="M364" s="135" t="s">
        <v>1147</v>
      </c>
      <c r="N364" s="135" t="s">
        <v>1200</v>
      </c>
      <c r="O364" s="135" t="s">
        <v>749</v>
      </c>
      <c r="P364" s="135" t="str">
        <f>VLOOKUP(A364,import!A:P,16,0)</f>
        <v>Geleneksel</v>
      </c>
      <c r="Q364" s="196"/>
      <c r="R364" s="196" t="b">
        <v>1</v>
      </c>
      <c r="S364" s="196" t="b">
        <v>0</v>
      </c>
      <c r="T364" s="197" t="s">
        <v>1165</v>
      </c>
      <c r="U364" s="197" t="s">
        <v>257</v>
      </c>
      <c r="V364" s="197" t="s">
        <v>91</v>
      </c>
      <c r="W364" s="197" t="s">
        <v>2420</v>
      </c>
      <c r="X364" s="198">
        <v>44355.0</v>
      </c>
      <c r="Y364" s="198">
        <v>44361.0</v>
      </c>
      <c r="Z364" s="199"/>
      <c r="AA364" s="200" t="s">
        <v>1202</v>
      </c>
      <c r="AB364" s="201">
        <v>44349.0</v>
      </c>
      <c r="AC364" s="200" t="s">
        <v>1202</v>
      </c>
      <c r="AD364" s="201">
        <v>44349.0</v>
      </c>
      <c r="AE364" s="200" t="s">
        <v>1151</v>
      </c>
      <c r="AF364" s="201">
        <v>44349.0</v>
      </c>
      <c r="AG364" s="200" t="s">
        <v>1151</v>
      </c>
      <c r="AH364" s="201">
        <v>44355.0</v>
      </c>
      <c r="AI364" s="199"/>
      <c r="AJ364" s="199"/>
      <c r="AK364" s="200" t="s">
        <v>1232</v>
      </c>
      <c r="AL364" s="200" t="s">
        <v>1232</v>
      </c>
      <c r="AM364" s="200" t="s">
        <v>1232</v>
      </c>
      <c r="AN364" s="200" t="s">
        <v>1167</v>
      </c>
      <c r="AO364" s="199"/>
      <c r="AP364" s="202" t="s">
        <v>1152</v>
      </c>
      <c r="AQ364" s="199"/>
    </row>
    <row r="365">
      <c r="A365" s="135" t="s">
        <v>2421</v>
      </c>
      <c r="B365" s="135" t="s">
        <v>2422</v>
      </c>
      <c r="C365" s="135" t="str">
        <f>VLOOKUP(A365,import!A:C,3,0)</f>
        <v>YANLIŞ</v>
      </c>
      <c r="D365" s="135" t="s">
        <v>1302</v>
      </c>
      <c r="E365" s="194">
        <f>VLOOKUP(A365,import!A:AA,5,0)</f>
        <v>1782</v>
      </c>
      <c r="F365" s="194" t="str">
        <f>VLOOKUP(A365,import!A:AA,6,0)</f>
        <v/>
      </c>
      <c r="G365" s="135">
        <f>VLOOKUP(A365,import!A:AA,7,0)</f>
        <v>0</v>
      </c>
      <c r="H365" s="135">
        <f>VLOOKUP(A365,import!A:AA,8,0)</f>
        <v>12</v>
      </c>
      <c r="I365" s="135">
        <f>VLOOKUP(A365,import!A:AA,9,0)</f>
        <v>12</v>
      </c>
      <c r="J365" s="195">
        <f>VLOOKUP(A365,import!A:AA,10,0)</f>
        <v>0</v>
      </c>
      <c r="K365" s="135" t="s">
        <v>2423</v>
      </c>
      <c r="L365" s="135">
        <v>5.493208182E9</v>
      </c>
      <c r="M365" s="135" t="s">
        <v>1147</v>
      </c>
      <c r="N365" s="135" t="s">
        <v>1362</v>
      </c>
      <c r="O365" s="135" t="s">
        <v>2424</v>
      </c>
      <c r="P365" s="135" t="str">
        <f>VLOOKUP(A365,import!A:P,16,0)</f>
        <v>Geleneksel</v>
      </c>
      <c r="Q365" s="196"/>
      <c r="R365" s="196" t="b">
        <v>1</v>
      </c>
      <c r="S365" s="196" t="b">
        <v>1</v>
      </c>
      <c r="T365" s="204"/>
      <c r="U365" s="204"/>
      <c r="V365" s="204"/>
      <c r="W365" s="197" t="s">
        <v>2425</v>
      </c>
      <c r="X365" s="206"/>
      <c r="Y365" s="206"/>
      <c r="Z365" s="199"/>
      <c r="AA365" s="200" t="s">
        <v>1151</v>
      </c>
      <c r="AB365" s="201">
        <v>44351.0</v>
      </c>
      <c r="AC365" s="200" t="s">
        <v>1151</v>
      </c>
      <c r="AD365" s="201">
        <v>44379.0</v>
      </c>
      <c r="AE365" s="200" t="s">
        <v>1151</v>
      </c>
      <c r="AF365" s="201">
        <v>44383.0</v>
      </c>
      <c r="AG365" s="200" t="s">
        <v>1151</v>
      </c>
      <c r="AH365" s="201">
        <v>44610.0</v>
      </c>
      <c r="AI365" s="199"/>
      <c r="AJ365" s="199"/>
      <c r="AK365" s="200" t="s">
        <v>1232</v>
      </c>
      <c r="AL365" s="200" t="s">
        <v>257</v>
      </c>
      <c r="AM365" s="200" t="s">
        <v>189</v>
      </c>
      <c r="AN365" s="200" t="s">
        <v>1061</v>
      </c>
      <c r="AO365" s="199"/>
      <c r="AP365" s="202" t="s">
        <v>1152</v>
      </c>
      <c r="AQ365" s="199"/>
    </row>
    <row r="366">
      <c r="A366" s="135" t="s">
        <v>99</v>
      </c>
      <c r="B366" s="135" t="s">
        <v>100</v>
      </c>
      <c r="C366" s="135" t="str">
        <f>VLOOKUP(A366,import!A:C,3,0)</f>
        <v>DOĞRU</v>
      </c>
      <c r="D366" s="135" t="s">
        <v>1155</v>
      </c>
      <c r="E366" s="194">
        <f>VLOOKUP(A366,import!A:AA,5,0)</f>
        <v>2713</v>
      </c>
      <c r="F366" s="194">
        <f>VLOOKUP(A366,import!A:AA,6,0)</f>
        <v>52</v>
      </c>
      <c r="G366" s="135">
        <f>VLOOKUP(A366,import!A:AA,7,0)</f>
        <v>42</v>
      </c>
      <c r="H366" s="135">
        <f>VLOOKUP(A366,import!A:AA,8,0)</f>
        <v>6</v>
      </c>
      <c r="I366" s="135">
        <f>VLOOKUP(A366,import!A:AA,9,0)</f>
        <v>48</v>
      </c>
      <c r="J366" s="195">
        <f>VLOOKUP(A366,import!A:AA,10,0)</f>
        <v>0.88</v>
      </c>
      <c r="K366" s="135" t="s">
        <v>2426</v>
      </c>
      <c r="L366" s="135">
        <v>5.362504936E9</v>
      </c>
      <c r="M366" s="135" t="s">
        <v>1177</v>
      </c>
      <c r="N366" s="135" t="s">
        <v>1607</v>
      </c>
      <c r="O366" s="135" t="s">
        <v>104</v>
      </c>
      <c r="P366" s="135" t="str">
        <f>VLOOKUP(A366,import!A:P,16,0)</f>
        <v>Geleneksel</v>
      </c>
      <c r="Q366" s="196"/>
      <c r="R366" s="196" t="b">
        <v>1</v>
      </c>
      <c r="S366" s="196" t="b">
        <v>0</v>
      </c>
      <c r="T366" s="197" t="s">
        <v>1165</v>
      </c>
      <c r="U366" s="197" t="s">
        <v>92</v>
      </c>
      <c r="V366" s="197" t="s">
        <v>91</v>
      </c>
      <c r="W366" s="197" t="s">
        <v>2427</v>
      </c>
      <c r="X366" s="198">
        <v>44377.0</v>
      </c>
      <c r="Y366" s="198">
        <v>44378.0</v>
      </c>
      <c r="Z366" s="199"/>
      <c r="AA366" s="200" t="s">
        <v>1151</v>
      </c>
      <c r="AB366" s="201">
        <v>44377.0</v>
      </c>
      <c r="AC366" s="199"/>
      <c r="AD366" s="199"/>
      <c r="AE366" s="105"/>
      <c r="AF366" s="199"/>
      <c r="AG366" s="105"/>
      <c r="AH366" s="199"/>
      <c r="AI366" s="199"/>
      <c r="AJ366" s="199"/>
      <c r="AK366" s="200" t="s">
        <v>92</v>
      </c>
      <c r="AL366" s="199"/>
      <c r="AM366" s="199"/>
      <c r="AN366" s="199"/>
      <c r="AO366" s="199"/>
      <c r="AP366" s="202" t="s">
        <v>1152</v>
      </c>
      <c r="AQ366" s="199"/>
    </row>
    <row r="367">
      <c r="A367" s="135" t="s">
        <v>1046</v>
      </c>
      <c r="B367" s="135" t="s">
        <v>1047</v>
      </c>
      <c r="C367" s="135" t="str">
        <f>VLOOKUP(A367,import!A:C,3,0)</f>
        <v>DOĞRU</v>
      </c>
      <c r="D367" s="135" t="s">
        <v>1170</v>
      </c>
      <c r="E367" s="194">
        <f>VLOOKUP(A367,import!A:AA,5,0)</f>
        <v>2888</v>
      </c>
      <c r="F367" s="194">
        <f>VLOOKUP(A367,import!A:AA,6,0)</f>
        <v>158</v>
      </c>
      <c r="G367" s="135">
        <f>VLOOKUP(A367,import!A:AA,7,0)</f>
        <v>2</v>
      </c>
      <c r="H367" s="135">
        <f>VLOOKUP(A367,import!A:AA,8,0)</f>
        <v>13</v>
      </c>
      <c r="I367" s="135">
        <f>VLOOKUP(A367,import!A:AA,9,0)</f>
        <v>15</v>
      </c>
      <c r="J367" s="195">
        <f>VLOOKUP(A367,import!A:AA,10,0)</f>
        <v>0.13</v>
      </c>
      <c r="K367" s="135" t="s">
        <v>2428</v>
      </c>
      <c r="L367" s="135">
        <v>2.642746767E9</v>
      </c>
      <c r="M367" s="135" t="s">
        <v>1147</v>
      </c>
      <c r="N367" s="135" t="s">
        <v>1148</v>
      </c>
      <c r="O367" s="135" t="s">
        <v>1049</v>
      </c>
      <c r="P367" s="135" t="str">
        <f>VLOOKUP(A367,import!A:P,16,0)</f>
        <v>Geleneksel</v>
      </c>
      <c r="Q367" s="196"/>
      <c r="R367" s="196" t="b">
        <v>1</v>
      </c>
      <c r="S367" s="196" t="b">
        <v>0</v>
      </c>
      <c r="T367" s="197" t="s">
        <v>1289</v>
      </c>
      <c r="U367" s="197" t="s">
        <v>1061</v>
      </c>
      <c r="V367" s="197" t="s">
        <v>940</v>
      </c>
      <c r="W367" s="197"/>
      <c r="X367" s="198">
        <v>44613.0</v>
      </c>
      <c r="Y367" s="198">
        <v>44614.0</v>
      </c>
      <c r="Z367" s="199"/>
      <c r="AA367" s="200" t="s">
        <v>1151</v>
      </c>
      <c r="AB367" s="201">
        <v>44610.0</v>
      </c>
      <c r="AC367" s="200" t="s">
        <v>1151</v>
      </c>
      <c r="AD367" s="198">
        <v>44613.0</v>
      </c>
      <c r="AE367" s="105"/>
      <c r="AF367" s="199"/>
      <c r="AG367" s="105"/>
      <c r="AH367" s="199"/>
      <c r="AI367" s="199"/>
      <c r="AJ367" s="199"/>
      <c r="AK367" s="200" t="s">
        <v>1061</v>
      </c>
      <c r="AL367" s="200" t="s">
        <v>1061</v>
      </c>
      <c r="AM367" s="199"/>
      <c r="AN367" s="199"/>
      <c r="AO367" s="199"/>
      <c r="AP367" s="202" t="s">
        <v>1152</v>
      </c>
      <c r="AQ367" s="199"/>
    </row>
    <row r="368">
      <c r="A368" s="135" t="s">
        <v>581</v>
      </c>
      <c r="B368" s="135" t="s">
        <v>582</v>
      </c>
      <c r="C368" s="135" t="str">
        <f>VLOOKUP(A368,import!A:C,3,0)</f>
        <v>DOĞRU</v>
      </c>
      <c r="D368" s="135" t="s">
        <v>1162</v>
      </c>
      <c r="E368" s="194">
        <f>VLOOKUP(A368,import!A:AA,5,0)</f>
        <v>916</v>
      </c>
      <c r="F368" s="194" t="str">
        <f>VLOOKUP(A368,import!A:AA,6,0)</f>
        <v/>
      </c>
      <c r="G368" s="135">
        <f>VLOOKUP(A368,import!A:AA,7,0)</f>
        <v>14</v>
      </c>
      <c r="H368" s="135">
        <f>VLOOKUP(A368,import!A:AA,8,0)</f>
        <v>47</v>
      </c>
      <c r="I368" s="135">
        <f>VLOOKUP(A368,import!A:AA,9,0)</f>
        <v>61</v>
      </c>
      <c r="J368" s="195">
        <f>VLOOKUP(A368,import!A:AA,10,0)</f>
        <v>0.23</v>
      </c>
      <c r="K368" s="135" t="s">
        <v>2429</v>
      </c>
      <c r="L368" s="135">
        <v>5.414025733E9</v>
      </c>
      <c r="M368" s="135" t="s">
        <v>1172</v>
      </c>
      <c r="N368" s="135" t="s">
        <v>1379</v>
      </c>
      <c r="O368" s="135" t="s">
        <v>584</v>
      </c>
      <c r="P368" s="135" t="str">
        <f>VLOOKUP(A368,import!A:P,16,0)</f>
        <v>Geleneksel</v>
      </c>
      <c r="Q368" s="196"/>
      <c r="R368" s="196" t="b">
        <v>1</v>
      </c>
      <c r="S368" s="196" t="b">
        <v>0</v>
      </c>
      <c r="T368" s="197" t="s">
        <v>1165</v>
      </c>
      <c r="U368" s="197" t="s">
        <v>189</v>
      </c>
      <c r="V368" s="197" t="s">
        <v>91</v>
      </c>
      <c r="W368" s="197" t="s">
        <v>2430</v>
      </c>
      <c r="X368" s="198">
        <v>44342.0</v>
      </c>
      <c r="Y368" s="198">
        <v>44344.0</v>
      </c>
      <c r="Z368" s="199"/>
      <c r="AA368" s="200" t="s">
        <v>1202</v>
      </c>
      <c r="AB368" s="201">
        <v>44363.0</v>
      </c>
      <c r="AC368" s="200" t="s">
        <v>1151</v>
      </c>
      <c r="AD368" s="201">
        <v>44368.0</v>
      </c>
      <c r="AE368" s="105"/>
      <c r="AF368" s="199"/>
      <c r="AG368" s="105"/>
      <c r="AH368" s="199"/>
      <c r="AI368" s="199"/>
      <c r="AJ368" s="199"/>
      <c r="AK368" s="200" t="s">
        <v>1167</v>
      </c>
      <c r="AL368" s="200" t="s">
        <v>257</v>
      </c>
      <c r="AM368" s="199"/>
      <c r="AN368" s="199"/>
      <c r="AO368" s="199"/>
      <c r="AP368" s="202" t="s">
        <v>1152</v>
      </c>
      <c r="AQ368" s="199"/>
    </row>
    <row r="369">
      <c r="A369" s="135" t="s">
        <v>866</v>
      </c>
      <c r="B369" s="135" t="s">
        <v>867</v>
      </c>
      <c r="C369" s="135" t="str">
        <f>VLOOKUP(A369,import!A:C,3,0)</f>
        <v>DOĞRU</v>
      </c>
      <c r="D369" s="135" t="s">
        <v>1170</v>
      </c>
      <c r="E369" s="194">
        <f>VLOOKUP(A369,import!A:AA,5,0)</f>
        <v>1455</v>
      </c>
      <c r="F369" s="194">
        <f>VLOOKUP(A369,import!A:AA,6,0)</f>
        <v>29</v>
      </c>
      <c r="G369" s="135">
        <f>VLOOKUP(A369,import!A:AA,7,0)</f>
        <v>7</v>
      </c>
      <c r="H369" s="135">
        <f>VLOOKUP(A369,import!A:AA,8,0)</f>
        <v>37</v>
      </c>
      <c r="I369" s="135">
        <f>VLOOKUP(A369,import!A:AA,9,0)</f>
        <v>44</v>
      </c>
      <c r="J369" s="195">
        <f>VLOOKUP(A369,import!A:AA,10,0)</f>
        <v>0.16</v>
      </c>
      <c r="K369" s="135" t="s">
        <v>2431</v>
      </c>
      <c r="L369" s="135">
        <v>5.388987265E9</v>
      </c>
      <c r="M369" s="135" t="s">
        <v>1348</v>
      </c>
      <c r="N369" s="135" t="s">
        <v>2432</v>
      </c>
      <c r="O369" s="135" t="s">
        <v>870</v>
      </c>
      <c r="P369" s="135" t="str">
        <f>VLOOKUP(A369,import!A:P,16,0)</f>
        <v>Geleneksel</v>
      </c>
      <c r="Q369" s="196"/>
      <c r="R369" s="196" t="b">
        <v>1</v>
      </c>
      <c r="S369" s="196" t="b">
        <v>0</v>
      </c>
      <c r="T369" s="197" t="s">
        <v>1165</v>
      </c>
      <c r="U369" s="197" t="s">
        <v>92</v>
      </c>
      <c r="V369" s="197" t="s">
        <v>91</v>
      </c>
      <c r="W369" s="197">
        <v>5.379766005E9</v>
      </c>
      <c r="X369" s="198">
        <v>44368.0</v>
      </c>
      <c r="Y369" s="198">
        <v>44372.0</v>
      </c>
      <c r="Z369" s="199"/>
      <c r="AA369" s="200" t="s">
        <v>1202</v>
      </c>
      <c r="AB369" s="201">
        <v>44354.0</v>
      </c>
      <c r="AC369" s="200" t="s">
        <v>1151</v>
      </c>
      <c r="AD369" s="201">
        <v>44368.0</v>
      </c>
      <c r="AE369" s="105"/>
      <c r="AF369" s="199"/>
      <c r="AG369" s="105"/>
      <c r="AH369" s="199"/>
      <c r="AI369" s="199"/>
      <c r="AJ369" s="199"/>
      <c r="AK369" s="200" t="s">
        <v>189</v>
      </c>
      <c r="AL369" s="199"/>
      <c r="AM369" s="199"/>
      <c r="AN369" s="199"/>
      <c r="AO369" s="199"/>
      <c r="AP369" s="202" t="s">
        <v>1152</v>
      </c>
      <c r="AQ369" s="199"/>
    </row>
    <row r="370">
      <c r="A370" s="135" t="s">
        <v>2433</v>
      </c>
      <c r="B370" s="135" t="s">
        <v>2434</v>
      </c>
      <c r="C370" s="135" t="str">
        <f>VLOOKUP(A370,import!A:C,3,0)</f>
        <v>DOĞRU</v>
      </c>
      <c r="D370" s="135" t="s">
        <v>1216</v>
      </c>
      <c r="E370" s="194">
        <f>VLOOKUP(A370,import!A:AA,5,0)</f>
        <v>1</v>
      </c>
      <c r="F370" s="194" t="str">
        <f>VLOOKUP(A370,import!A:AA,6,0)</f>
        <v/>
      </c>
      <c r="G370" s="135">
        <f>VLOOKUP(A370,import!A:AA,7,0)</f>
        <v>0</v>
      </c>
      <c r="H370" s="135">
        <f>VLOOKUP(A370,import!A:AA,8,0)</f>
        <v>71</v>
      </c>
      <c r="I370" s="135">
        <f>VLOOKUP(A370,import!A:AA,9,0)</f>
        <v>71</v>
      </c>
      <c r="J370" s="195">
        <f>VLOOKUP(A370,import!A:AA,10,0)</f>
        <v>0</v>
      </c>
      <c r="K370" s="135" t="s">
        <v>2435</v>
      </c>
      <c r="L370" s="135">
        <v>5.306152275E9</v>
      </c>
      <c r="M370" s="135" t="s">
        <v>1172</v>
      </c>
      <c r="N370" s="135" t="s">
        <v>1379</v>
      </c>
      <c r="O370" s="135" t="s">
        <v>2436</v>
      </c>
      <c r="P370" s="135" t="str">
        <f>VLOOKUP(A370,import!A:P,16,0)</f>
        <v>Geleneksel</v>
      </c>
      <c r="Q370" s="196"/>
      <c r="R370" s="196" t="b">
        <v>1</v>
      </c>
      <c r="S370" s="196" t="b">
        <v>0</v>
      </c>
      <c r="T370" s="211" t="s">
        <v>1209</v>
      </c>
      <c r="U370" s="211"/>
      <c r="V370" s="211"/>
      <c r="W370" s="211" t="s">
        <v>2437</v>
      </c>
      <c r="X370" s="214"/>
      <c r="Y370" s="214"/>
      <c r="Z370" s="199"/>
      <c r="AA370" s="200" t="s">
        <v>1253</v>
      </c>
      <c r="AB370" s="201">
        <v>44350.0</v>
      </c>
      <c r="AC370" s="200" t="s">
        <v>1202</v>
      </c>
      <c r="AD370" s="201">
        <v>44368.0</v>
      </c>
      <c r="AE370" s="200" t="s">
        <v>1254</v>
      </c>
      <c r="AF370" s="201">
        <v>44371.0</v>
      </c>
      <c r="AG370" s="200" t="s">
        <v>1254</v>
      </c>
      <c r="AH370" s="201">
        <v>44392.0</v>
      </c>
      <c r="AI370" s="200" t="s">
        <v>1151</v>
      </c>
      <c r="AJ370" s="201">
        <v>44609.0</v>
      </c>
      <c r="AK370" s="200" t="s">
        <v>1204</v>
      </c>
      <c r="AL370" s="200" t="s">
        <v>257</v>
      </c>
      <c r="AM370" s="200" t="s">
        <v>1204</v>
      </c>
      <c r="AN370" s="200" t="s">
        <v>1167</v>
      </c>
      <c r="AO370" s="200" t="s">
        <v>1024</v>
      </c>
      <c r="AP370" s="202" t="s">
        <v>1152</v>
      </c>
      <c r="AQ370" s="199"/>
    </row>
    <row r="371">
      <c r="A371" s="135" t="s">
        <v>592</v>
      </c>
      <c r="B371" s="135" t="s">
        <v>593</v>
      </c>
      <c r="C371" s="135" t="str">
        <f>VLOOKUP(A371,import!A:C,3,0)</f>
        <v>DOĞRU</v>
      </c>
      <c r="D371" s="135" t="s">
        <v>1162</v>
      </c>
      <c r="E371" s="194">
        <f>VLOOKUP(A371,import!A:AA,5,0)</f>
        <v>410</v>
      </c>
      <c r="F371" s="194">
        <f>VLOOKUP(A371,import!A:AA,6,0)</f>
        <v>22</v>
      </c>
      <c r="G371" s="135">
        <f>VLOOKUP(A371,import!A:AA,7,0)</f>
        <v>15</v>
      </c>
      <c r="H371" s="135">
        <f>VLOOKUP(A371,import!A:AA,8,0)</f>
        <v>35</v>
      </c>
      <c r="I371" s="135">
        <f>VLOOKUP(A371,import!A:AA,9,0)</f>
        <v>50</v>
      </c>
      <c r="J371" s="195">
        <f>VLOOKUP(A371,import!A:AA,10,0)</f>
        <v>0.3</v>
      </c>
      <c r="K371" s="135" t="s">
        <v>2438</v>
      </c>
      <c r="L371" s="135">
        <v>5.396772462E9</v>
      </c>
      <c r="M371" s="135" t="s">
        <v>1147</v>
      </c>
      <c r="N371" s="135" t="s">
        <v>1200</v>
      </c>
      <c r="O371" s="135" t="s">
        <v>595</v>
      </c>
      <c r="P371" s="135" t="str">
        <f>VLOOKUP(A371,import!A:P,16,0)</f>
        <v>Geleneksel</v>
      </c>
      <c r="Q371" s="196"/>
      <c r="R371" s="196" t="b">
        <v>1</v>
      </c>
      <c r="S371" s="196" t="b">
        <v>0</v>
      </c>
      <c r="T371" s="197" t="s">
        <v>1165</v>
      </c>
      <c r="U371" s="197" t="s">
        <v>189</v>
      </c>
      <c r="V371" s="197" t="s">
        <v>91</v>
      </c>
      <c r="W371" s="197" t="s">
        <v>2439</v>
      </c>
      <c r="X371" s="198">
        <v>44342.0</v>
      </c>
      <c r="Y371" s="198">
        <v>44344.0</v>
      </c>
      <c r="Z371" s="199"/>
      <c r="AA371" s="200" t="s">
        <v>1151</v>
      </c>
      <c r="AB371" s="201">
        <v>44376.0</v>
      </c>
      <c r="AC371" s="199"/>
      <c r="AD371" s="199"/>
      <c r="AE371" s="105"/>
      <c r="AF371" s="199"/>
      <c r="AG371" s="105"/>
      <c r="AH371" s="199"/>
      <c r="AI371" s="199"/>
      <c r="AJ371" s="199"/>
      <c r="AK371" s="200" t="s">
        <v>1167</v>
      </c>
      <c r="AL371" s="199"/>
      <c r="AM371" s="199"/>
      <c r="AN371" s="199"/>
      <c r="AO371" s="199"/>
      <c r="AP371" s="202" t="s">
        <v>1152</v>
      </c>
      <c r="AQ371" s="199"/>
    </row>
    <row r="372">
      <c r="A372" s="135" t="s">
        <v>2440</v>
      </c>
      <c r="B372" s="135" t="s">
        <v>2441</v>
      </c>
      <c r="C372" s="135" t="str">
        <f>VLOOKUP(A372,import!A:C,3,0)</f>
        <v>YANLIŞ</v>
      </c>
      <c r="D372" s="135" t="s">
        <v>1162</v>
      </c>
      <c r="E372" s="194">
        <f>VLOOKUP(A372,import!A:AA,5,0)</f>
        <v>66</v>
      </c>
      <c r="F372" s="194" t="str">
        <f>VLOOKUP(A372,import!A:AA,6,0)</f>
        <v/>
      </c>
      <c r="G372" s="135">
        <f>VLOOKUP(A372,import!A:AA,7,0)</f>
        <v>0</v>
      </c>
      <c r="H372" s="135">
        <f>VLOOKUP(A372,import!A:AA,8,0)</f>
        <v>11</v>
      </c>
      <c r="I372" s="135">
        <f>VLOOKUP(A372,import!A:AA,9,0)</f>
        <v>11</v>
      </c>
      <c r="J372" s="195">
        <f>VLOOKUP(A372,import!A:AA,10,0)</f>
        <v>0</v>
      </c>
      <c r="K372" s="135" t="s">
        <v>2442</v>
      </c>
      <c r="L372" s="135">
        <v>5.426454154E9</v>
      </c>
      <c r="M372" s="135" t="s">
        <v>1348</v>
      </c>
      <c r="N372" s="135" t="s">
        <v>1419</v>
      </c>
      <c r="O372" s="135" t="s">
        <v>2443</v>
      </c>
      <c r="P372" s="135" t="str">
        <f>VLOOKUP(A372,import!A:P,16,0)</f>
        <v>Geleneksel</v>
      </c>
      <c r="Q372" s="196"/>
      <c r="R372" s="196" t="b">
        <v>1</v>
      </c>
      <c r="S372" s="196" t="b">
        <v>0</v>
      </c>
      <c r="T372" s="197" t="s">
        <v>1289</v>
      </c>
      <c r="U372" s="197"/>
      <c r="V372" s="197"/>
      <c r="W372" s="197" t="s">
        <v>2444</v>
      </c>
      <c r="X372" s="198"/>
      <c r="Y372" s="198"/>
      <c r="Z372" s="199"/>
      <c r="AA372" s="200" t="s">
        <v>1254</v>
      </c>
      <c r="AB372" s="201">
        <v>44354.0</v>
      </c>
      <c r="AC372" s="199"/>
      <c r="AD372" s="199"/>
      <c r="AE372" s="105"/>
      <c r="AF372" s="199"/>
      <c r="AG372" s="105"/>
      <c r="AH372" s="199"/>
      <c r="AI372" s="199"/>
      <c r="AJ372" s="199"/>
      <c r="AK372" s="200" t="s">
        <v>189</v>
      </c>
      <c r="AL372" s="199"/>
      <c r="AM372" s="199"/>
      <c r="AN372" s="199"/>
      <c r="AO372" s="199"/>
      <c r="AP372" s="202" t="s">
        <v>1152</v>
      </c>
      <c r="AQ372" s="199"/>
    </row>
    <row r="373">
      <c r="A373" s="135" t="s">
        <v>2445</v>
      </c>
      <c r="B373" s="135" t="s">
        <v>2446</v>
      </c>
      <c r="C373" s="135" t="str">
        <f>VLOOKUP(A373,import!A:C,3,0)</f>
        <v>YANLIŞ</v>
      </c>
      <c r="D373" s="135" t="s">
        <v>1162</v>
      </c>
      <c r="E373" s="194" t="str">
        <f>VLOOKUP(A373,import!A:AA,5,0)</f>
        <v/>
      </c>
      <c r="F373" s="194" t="str">
        <f>VLOOKUP(A373,import!A:AA,6,0)</f>
        <v/>
      </c>
      <c r="G373" s="135">
        <f>VLOOKUP(A373,import!A:AA,7,0)</f>
        <v>0</v>
      </c>
      <c r="H373" s="135">
        <f>VLOOKUP(A373,import!A:AA,8,0)</f>
        <v>82</v>
      </c>
      <c r="I373" s="135">
        <f>VLOOKUP(A373,import!A:AA,9,0)</f>
        <v>82</v>
      </c>
      <c r="J373" s="195">
        <f>VLOOKUP(A373,import!A:AA,10,0)</f>
        <v>0</v>
      </c>
      <c r="K373" s="135" t="s">
        <v>1323</v>
      </c>
      <c r="L373" s="135">
        <v>5.491323535E9</v>
      </c>
      <c r="M373" s="135" t="s">
        <v>1318</v>
      </c>
      <c r="N373" s="135" t="s">
        <v>1324</v>
      </c>
      <c r="O373" s="135" t="s">
        <v>1325</v>
      </c>
      <c r="P373" s="135" t="str">
        <f>VLOOKUP(A373,import!A:P,16,0)</f>
        <v>Geleneksel</v>
      </c>
      <c r="Q373" s="196"/>
      <c r="R373" s="196" t="b">
        <v>0</v>
      </c>
      <c r="S373" s="196" t="b">
        <v>0</v>
      </c>
      <c r="T373" s="197"/>
      <c r="U373" s="197"/>
      <c r="V373" s="197"/>
      <c r="W373" s="197"/>
      <c r="X373" s="198"/>
      <c r="Y373" s="198"/>
      <c r="Z373" s="199"/>
      <c r="AA373" s="200"/>
      <c r="AB373" s="201"/>
      <c r="AC373" s="199"/>
      <c r="AD373" s="199"/>
      <c r="AE373" s="105"/>
      <c r="AF373" s="199"/>
      <c r="AG373" s="105"/>
      <c r="AH373" s="199"/>
      <c r="AI373" s="199"/>
      <c r="AJ373" s="199"/>
      <c r="AK373" s="200"/>
      <c r="AL373" s="199"/>
      <c r="AM373" s="199"/>
      <c r="AN373" s="199"/>
      <c r="AO373" s="199"/>
      <c r="AP373" s="202"/>
      <c r="AQ373" s="199"/>
    </row>
    <row r="374">
      <c r="A374" s="135" t="s">
        <v>2447</v>
      </c>
      <c r="B374" s="135" t="s">
        <v>2448</v>
      </c>
      <c r="C374" s="135" t="str">
        <f>VLOOKUP(A374,import!A:C,3,0)</f>
        <v>YANLIŞ</v>
      </c>
      <c r="D374" s="135" t="s">
        <v>1170</v>
      </c>
      <c r="E374" s="194">
        <f>VLOOKUP(A374,import!A:AA,5,0)</f>
        <v>79</v>
      </c>
      <c r="F374" s="194" t="str">
        <f>VLOOKUP(A374,import!A:AA,6,0)</f>
        <v/>
      </c>
      <c r="G374" s="135">
        <f>VLOOKUP(A374,import!A:AA,7,0)</f>
        <v>0</v>
      </c>
      <c r="H374" s="135">
        <f>VLOOKUP(A374,import!A:AA,8,0)</f>
        <v>6</v>
      </c>
      <c r="I374" s="135">
        <f>VLOOKUP(A374,import!A:AA,9,0)</f>
        <v>6</v>
      </c>
      <c r="J374" s="195">
        <f>VLOOKUP(A374,import!A:AA,10,0)</f>
        <v>0</v>
      </c>
      <c r="K374" s="135" t="s">
        <v>1622</v>
      </c>
      <c r="L374" s="135">
        <v>5.386020191E9</v>
      </c>
      <c r="M374" s="135" t="s">
        <v>1147</v>
      </c>
      <c r="N374" s="135" t="s">
        <v>1164</v>
      </c>
      <c r="O374" s="135" t="s">
        <v>2449</v>
      </c>
      <c r="P374" s="135" t="str">
        <f>VLOOKUP(A374,import!A:P,16,0)</f>
        <v>Geleneksel</v>
      </c>
      <c r="Q374" s="196"/>
      <c r="R374" s="196" t="b">
        <v>1</v>
      </c>
      <c r="S374" s="196" t="b">
        <v>0</v>
      </c>
      <c r="T374" s="197" t="s">
        <v>1852</v>
      </c>
      <c r="U374" s="204"/>
      <c r="V374" s="204"/>
      <c r="W374" s="197" t="s">
        <v>2450</v>
      </c>
      <c r="X374" s="206"/>
      <c r="Y374" s="206"/>
      <c r="Z374" s="199"/>
      <c r="AA374" s="200" t="s">
        <v>1254</v>
      </c>
      <c r="AB374" s="201">
        <v>44392.0</v>
      </c>
      <c r="AC374" s="200" t="s">
        <v>1151</v>
      </c>
      <c r="AD374" s="201">
        <v>44616.0</v>
      </c>
      <c r="AE374" s="105"/>
      <c r="AF374" s="199"/>
      <c r="AG374" s="105"/>
      <c r="AH374" s="199"/>
      <c r="AI374" s="199"/>
      <c r="AJ374" s="199"/>
      <c r="AK374" s="200" t="s">
        <v>1167</v>
      </c>
      <c r="AL374" s="200" t="s">
        <v>1647</v>
      </c>
      <c r="AM374" s="199"/>
      <c r="AN374" s="199"/>
      <c r="AO374" s="199"/>
      <c r="AP374" s="202" t="s">
        <v>1152</v>
      </c>
      <c r="AQ374" s="199"/>
    </row>
    <row r="375">
      <c r="A375" s="135" t="s">
        <v>2451</v>
      </c>
      <c r="B375" s="135" t="s">
        <v>2452</v>
      </c>
      <c r="C375" s="135" t="str">
        <f>VLOOKUP(A375,import!A:C,3,0)</f>
        <v>YANLIŞ</v>
      </c>
      <c r="D375" s="135" t="s">
        <v>1256</v>
      </c>
      <c r="E375" s="194">
        <f>VLOOKUP(A375,import!A:AA,5,0)</f>
        <v>616</v>
      </c>
      <c r="F375" s="194" t="str">
        <f>VLOOKUP(A375,import!A:AA,6,0)</f>
        <v/>
      </c>
      <c r="G375" s="135">
        <f>VLOOKUP(A375,import!A:AA,7,0)</f>
        <v>0</v>
      </c>
      <c r="H375" s="135">
        <f>VLOOKUP(A375,import!A:AA,8,0)</f>
        <v>50</v>
      </c>
      <c r="I375" s="135">
        <f>VLOOKUP(A375,import!A:AA,9,0)</f>
        <v>50</v>
      </c>
      <c r="J375" s="195">
        <f>VLOOKUP(A375,import!A:AA,10,0)</f>
        <v>0</v>
      </c>
      <c r="K375" s="135" t="s">
        <v>2453</v>
      </c>
      <c r="L375" s="135">
        <v>5.396091739E9</v>
      </c>
      <c r="M375" s="135" t="s">
        <v>1318</v>
      </c>
      <c r="N375" s="135" t="s">
        <v>1533</v>
      </c>
      <c r="O375" s="135" t="s">
        <v>2454</v>
      </c>
      <c r="P375" s="135" t="str">
        <f>VLOOKUP(A375,import!A:P,16,0)</f>
        <v>Geleneksel</v>
      </c>
      <c r="Q375" s="196"/>
      <c r="R375" s="196" t="b">
        <v>1</v>
      </c>
      <c r="S375" s="196" t="b">
        <v>1</v>
      </c>
      <c r="T375" s="197"/>
      <c r="U375" s="204"/>
      <c r="V375" s="204"/>
      <c r="W375" s="197" t="s">
        <v>2455</v>
      </c>
      <c r="X375" s="206"/>
      <c r="Y375" s="206"/>
      <c r="Z375" s="199"/>
      <c r="AA375" s="200" t="s">
        <v>1202</v>
      </c>
      <c r="AB375" s="201">
        <v>44348.0</v>
      </c>
      <c r="AC375" s="200" t="s">
        <v>1151</v>
      </c>
      <c r="AD375" s="201">
        <v>44348.0</v>
      </c>
      <c r="AE375" s="200" t="s">
        <v>1151</v>
      </c>
      <c r="AF375" s="201">
        <v>44355.0</v>
      </c>
      <c r="AG375" s="200" t="s">
        <v>1202</v>
      </c>
      <c r="AH375" s="201">
        <v>44379.0</v>
      </c>
      <c r="AI375" s="200" t="s">
        <v>1151</v>
      </c>
      <c r="AJ375" s="201">
        <v>44404.0</v>
      </c>
      <c r="AK375" s="200" t="s">
        <v>1232</v>
      </c>
      <c r="AL375" s="200" t="s">
        <v>1232</v>
      </c>
      <c r="AM375" s="200" t="s">
        <v>1167</v>
      </c>
      <c r="AN375" s="200" t="s">
        <v>257</v>
      </c>
      <c r="AO375" s="200" t="s">
        <v>189</v>
      </c>
      <c r="AP375" s="202" t="s">
        <v>1152</v>
      </c>
      <c r="AQ375" s="200"/>
    </row>
    <row r="376">
      <c r="A376" s="135" t="s">
        <v>2456</v>
      </c>
      <c r="B376" s="135" t="s">
        <v>2457</v>
      </c>
      <c r="C376" s="135" t="str">
        <f>VLOOKUP(A376,import!A:C,3,0)</f>
        <v>YANLIŞ</v>
      </c>
      <c r="D376" s="135" t="s">
        <v>1155</v>
      </c>
      <c r="E376" s="194">
        <f>VLOOKUP(A376,import!A:AA,5,0)</f>
        <v>207</v>
      </c>
      <c r="F376" s="194" t="str">
        <f>VLOOKUP(A376,import!A:AA,6,0)</f>
        <v/>
      </c>
      <c r="G376" s="135">
        <f>VLOOKUP(A376,import!A:AA,7,0)</f>
        <v>0</v>
      </c>
      <c r="H376" s="135">
        <f>VLOOKUP(A376,import!A:AA,8,0)</f>
        <v>44</v>
      </c>
      <c r="I376" s="135">
        <f>VLOOKUP(A376,import!A:AA,9,0)</f>
        <v>44</v>
      </c>
      <c r="J376" s="195">
        <f>VLOOKUP(A376,import!A:AA,10,0)</f>
        <v>0</v>
      </c>
      <c r="K376" s="135" t="s">
        <v>2458</v>
      </c>
      <c r="L376" s="135">
        <v>5.327117463E9</v>
      </c>
      <c r="M376" s="135" t="s">
        <v>1147</v>
      </c>
      <c r="N376" s="135" t="s">
        <v>1164</v>
      </c>
      <c r="O376" s="135" t="s">
        <v>2459</v>
      </c>
      <c r="P376" s="135" t="str">
        <f>VLOOKUP(A376,import!A:P,16,0)</f>
        <v>Geleneksel</v>
      </c>
      <c r="Q376" s="196"/>
      <c r="R376" s="196" t="b">
        <v>1</v>
      </c>
      <c r="S376" s="196" t="b">
        <v>1</v>
      </c>
      <c r="T376" s="204"/>
      <c r="U376" s="204"/>
      <c r="V376" s="204"/>
      <c r="W376" s="197" t="s">
        <v>2460</v>
      </c>
      <c r="X376" s="206"/>
      <c r="Y376" s="206"/>
      <c r="Z376" s="199"/>
      <c r="AA376" s="200" t="s">
        <v>1151</v>
      </c>
      <c r="AB376" s="201">
        <v>44351.0</v>
      </c>
      <c r="AC376" s="200" t="s">
        <v>1151</v>
      </c>
      <c r="AD376" s="201">
        <v>44379.0</v>
      </c>
      <c r="AE376" s="105"/>
      <c r="AF376" s="199"/>
      <c r="AG376" s="105"/>
      <c r="AH376" s="199"/>
      <c r="AI376" s="199"/>
      <c r="AJ376" s="199"/>
      <c r="AK376" s="200" t="s">
        <v>257</v>
      </c>
      <c r="AL376" s="200" t="s">
        <v>257</v>
      </c>
      <c r="AM376" s="199"/>
      <c r="AN376" s="199"/>
      <c r="AO376" s="199"/>
      <c r="AP376" s="202" t="s">
        <v>1152</v>
      </c>
      <c r="AQ376" s="199"/>
    </row>
    <row r="377">
      <c r="A377" s="202" t="s">
        <v>2461</v>
      </c>
      <c r="B377" s="202" t="s">
        <v>2462</v>
      </c>
      <c r="C377" s="135" t="str">
        <f>VLOOKUP(A377,import!A:C,3,0)</f>
        <v>DOĞRU</v>
      </c>
      <c r="D377" s="202" t="s">
        <v>1155</v>
      </c>
      <c r="E377" s="194" t="str">
        <f>VLOOKUP(A377,import!A:AA,5,0)</f>
        <v/>
      </c>
      <c r="F377" s="194" t="str">
        <f>VLOOKUP(A377,import!A:AA,6,0)</f>
        <v/>
      </c>
      <c r="G377" s="135">
        <f>VLOOKUP(A377,import!A:AA,7,0)</f>
        <v>0</v>
      </c>
      <c r="H377" s="135">
        <f>VLOOKUP(A377,import!A:AA,8,0)</f>
        <v>29</v>
      </c>
      <c r="I377" s="135">
        <f>VLOOKUP(A377,import!A:AA,9,0)</f>
        <v>29</v>
      </c>
      <c r="J377" s="195">
        <f>VLOOKUP(A377,import!A:AA,10,0)</f>
        <v>0</v>
      </c>
      <c r="K377" s="202" t="s">
        <v>2463</v>
      </c>
      <c r="L377" s="202">
        <v>5.525616354E9</v>
      </c>
      <c r="M377" s="202" t="s">
        <v>1172</v>
      </c>
      <c r="N377" s="202" t="s">
        <v>1228</v>
      </c>
      <c r="O377" s="202" t="s">
        <v>2464</v>
      </c>
      <c r="P377" s="135" t="str">
        <f>VLOOKUP(A377,import!A:P,16,0)</f>
        <v>Geleneksel</v>
      </c>
      <c r="Q377" s="196"/>
      <c r="R377" s="196" t="b">
        <v>0</v>
      </c>
      <c r="S377" s="196" t="b">
        <v>0</v>
      </c>
      <c r="T377" s="197"/>
      <c r="U377" s="197"/>
      <c r="V377" s="197"/>
      <c r="W377" s="197"/>
      <c r="X377" s="198"/>
      <c r="Y377" s="198"/>
      <c r="Z377" s="199"/>
      <c r="AA377" s="200"/>
      <c r="AB377" s="201"/>
      <c r="AC377" s="199"/>
      <c r="AD377" s="199"/>
      <c r="AE377" s="105"/>
      <c r="AF377" s="199"/>
      <c r="AG377" s="105"/>
      <c r="AH377" s="199"/>
      <c r="AI377" s="199"/>
      <c r="AJ377" s="199"/>
      <c r="AK377" s="200"/>
      <c r="AL377" s="199"/>
      <c r="AM377" s="199"/>
      <c r="AN377" s="199"/>
      <c r="AO377" s="199"/>
      <c r="AP377" s="202"/>
      <c r="AQ377" s="199"/>
    </row>
    <row r="378">
      <c r="A378" s="135" t="s">
        <v>1026</v>
      </c>
      <c r="B378" s="135" t="s">
        <v>1027</v>
      </c>
      <c r="C378" s="135" t="str">
        <f>VLOOKUP(A378,import!A:C,3,0)</f>
        <v>DOĞRU</v>
      </c>
      <c r="D378" s="135" t="s">
        <v>1281</v>
      </c>
      <c r="E378" s="194">
        <f>VLOOKUP(A378,import!A:AA,5,0)</f>
        <v>1454</v>
      </c>
      <c r="F378" s="194">
        <f>VLOOKUP(A378,import!A:AA,6,0)</f>
        <v>60</v>
      </c>
      <c r="G378" s="135">
        <f>VLOOKUP(A378,import!A:AA,7,0)</f>
        <v>13</v>
      </c>
      <c r="H378" s="135">
        <f>VLOOKUP(A378,import!A:AA,8,0)</f>
        <v>31</v>
      </c>
      <c r="I378" s="135">
        <f>VLOOKUP(A378,import!A:AA,9,0)</f>
        <v>44</v>
      </c>
      <c r="J378" s="195">
        <f>VLOOKUP(A378,import!A:AA,10,0)</f>
        <v>0.3</v>
      </c>
      <c r="K378" s="135" t="s">
        <v>2465</v>
      </c>
      <c r="L378" s="135">
        <v>2.642767126E9</v>
      </c>
      <c r="M378" s="135" t="s">
        <v>1172</v>
      </c>
      <c r="N378" s="135" t="s">
        <v>1979</v>
      </c>
      <c r="O378" s="135" t="s">
        <v>525</v>
      </c>
      <c r="P378" s="135" t="str">
        <f>VLOOKUP(A378,import!A:P,16,0)</f>
        <v>Geleneksel</v>
      </c>
      <c r="Q378" s="196"/>
      <c r="R378" s="196" t="b">
        <v>1</v>
      </c>
      <c r="S378" s="196" t="b">
        <v>0</v>
      </c>
      <c r="T378" s="197" t="s">
        <v>1165</v>
      </c>
      <c r="U378" s="197" t="s">
        <v>1024</v>
      </c>
      <c r="V378" s="207" t="s">
        <v>940</v>
      </c>
      <c r="W378" s="197" t="s">
        <v>2466</v>
      </c>
      <c r="X378" s="198">
        <v>44609.0</v>
      </c>
      <c r="Y378" s="198">
        <v>44610.0</v>
      </c>
      <c r="Z378" s="199"/>
      <c r="AA378" s="200" t="s">
        <v>1253</v>
      </c>
      <c r="AB378" s="201">
        <v>44607.0</v>
      </c>
      <c r="AC378" s="200" t="s">
        <v>1151</v>
      </c>
      <c r="AD378" s="201">
        <v>44609.0</v>
      </c>
      <c r="AE378" s="105"/>
      <c r="AF378" s="199"/>
      <c r="AG378" s="105"/>
      <c r="AH378" s="199"/>
      <c r="AI378" s="199"/>
      <c r="AJ378" s="201"/>
      <c r="AK378" s="200" t="s">
        <v>1161</v>
      </c>
      <c r="AL378" s="200" t="s">
        <v>1024</v>
      </c>
      <c r="AM378" s="199"/>
      <c r="AN378" s="199"/>
      <c r="AO378" s="199"/>
      <c r="AP378" s="202" t="s">
        <v>1152</v>
      </c>
      <c r="AQ378" s="199"/>
    </row>
    <row r="379">
      <c r="A379" s="135" t="s">
        <v>124</v>
      </c>
      <c r="B379" s="135" t="s">
        <v>125</v>
      </c>
      <c r="C379" s="135" t="str">
        <f>VLOOKUP(A379,import!A:C,3,0)</f>
        <v>DOĞRU</v>
      </c>
      <c r="D379" s="135" t="s">
        <v>1155</v>
      </c>
      <c r="E379" s="194">
        <f>VLOOKUP(A379,import!A:AA,5,0)</f>
        <v>1740</v>
      </c>
      <c r="F379" s="194">
        <f>VLOOKUP(A379,import!A:AA,6,0)</f>
        <v>90</v>
      </c>
      <c r="G379" s="135">
        <f>VLOOKUP(A379,import!A:AA,7,0)</f>
        <v>9</v>
      </c>
      <c r="H379" s="135">
        <f>VLOOKUP(A379,import!A:AA,8,0)</f>
        <v>36</v>
      </c>
      <c r="I379" s="135">
        <f>VLOOKUP(A379,import!A:AA,9,0)</f>
        <v>45</v>
      </c>
      <c r="J379" s="195">
        <f>VLOOKUP(A379,import!A:AA,10,0)</f>
        <v>0.2</v>
      </c>
      <c r="K379" s="135" t="s">
        <v>2467</v>
      </c>
      <c r="L379" s="135">
        <v>5.439206234E9</v>
      </c>
      <c r="M379" s="135" t="s">
        <v>1147</v>
      </c>
      <c r="N379" s="135" t="s">
        <v>1148</v>
      </c>
      <c r="O379" s="135" t="s">
        <v>128</v>
      </c>
      <c r="P379" s="135" t="str">
        <f>VLOOKUP(A379,import!A:P,16,0)</f>
        <v>Geleneksel</v>
      </c>
      <c r="Q379" s="196"/>
      <c r="R379" s="196" t="b">
        <v>1</v>
      </c>
      <c r="S379" s="196" t="b">
        <v>0</v>
      </c>
      <c r="T379" s="197" t="s">
        <v>1165</v>
      </c>
      <c r="U379" s="197" t="s">
        <v>92</v>
      </c>
      <c r="V379" s="197" t="s">
        <v>91</v>
      </c>
      <c r="W379" s="197" t="s">
        <v>2468</v>
      </c>
      <c r="X379" s="198">
        <v>44294.0</v>
      </c>
      <c r="Y379" s="198">
        <v>44295.0</v>
      </c>
      <c r="Z379" s="199"/>
      <c r="AA379" s="200" t="s">
        <v>1253</v>
      </c>
      <c r="AB379" s="201">
        <v>44355.0</v>
      </c>
      <c r="AC379" s="199"/>
      <c r="AD379" s="199"/>
      <c r="AE379" s="105"/>
      <c r="AF379" s="199"/>
      <c r="AG379" s="105"/>
      <c r="AH379" s="199"/>
      <c r="AI379" s="199"/>
      <c r="AJ379" s="199"/>
      <c r="AK379" s="200" t="s">
        <v>257</v>
      </c>
      <c r="AL379" s="199"/>
      <c r="AM379" s="199"/>
      <c r="AN379" s="199"/>
      <c r="AO379" s="199"/>
      <c r="AP379" s="202" t="s">
        <v>1152</v>
      </c>
      <c r="AQ379" s="199"/>
    </row>
    <row r="380">
      <c r="A380" s="135" t="s">
        <v>981</v>
      </c>
      <c r="B380" s="135" t="s">
        <v>982</v>
      </c>
      <c r="C380" s="135" t="str">
        <f>VLOOKUP(A380,import!A:C,3,0)</f>
        <v>DOĞRU</v>
      </c>
      <c r="D380" s="135" t="s">
        <v>1281</v>
      </c>
      <c r="E380" s="194">
        <f>VLOOKUP(A380,import!A:AA,5,0)</f>
        <v>1983</v>
      </c>
      <c r="F380" s="194">
        <f>VLOOKUP(A380,import!A:AA,6,0)</f>
        <v>29</v>
      </c>
      <c r="G380" s="135">
        <f>VLOOKUP(A380,import!A:AA,7,0)</f>
        <v>0</v>
      </c>
      <c r="H380" s="135">
        <f>VLOOKUP(A380,import!A:AA,8,0)</f>
        <v>23</v>
      </c>
      <c r="I380" s="135">
        <f>VLOOKUP(A380,import!A:AA,9,0)</f>
        <v>23</v>
      </c>
      <c r="J380" s="195">
        <f>VLOOKUP(A380,import!A:AA,10,0)</f>
        <v>0</v>
      </c>
      <c r="K380" s="135" t="s">
        <v>2469</v>
      </c>
      <c r="L380" s="135">
        <v>5.426166563E9</v>
      </c>
      <c r="M380" s="135" t="s">
        <v>1147</v>
      </c>
      <c r="N380" s="135" t="s">
        <v>1200</v>
      </c>
      <c r="O380" s="135" t="s">
        <v>984</v>
      </c>
      <c r="P380" s="135" t="str">
        <f>VLOOKUP(A380,import!A:P,16,0)</f>
        <v>Geleneksel</v>
      </c>
      <c r="Q380" s="196"/>
      <c r="R380" s="196" t="b">
        <v>1</v>
      </c>
      <c r="S380" s="196" t="b">
        <v>0</v>
      </c>
      <c r="T380" s="197" t="s">
        <v>1436</v>
      </c>
      <c r="U380" s="197" t="s">
        <v>1161</v>
      </c>
      <c r="V380" s="207" t="s">
        <v>940</v>
      </c>
      <c r="W380" s="197" t="s">
        <v>983</v>
      </c>
      <c r="X380" s="198">
        <v>44606.0</v>
      </c>
      <c r="Y380" s="198">
        <v>44607.0</v>
      </c>
      <c r="Z380" s="199"/>
      <c r="AA380" s="200" t="s">
        <v>1202</v>
      </c>
      <c r="AB380" s="201">
        <v>44358.0</v>
      </c>
      <c r="AC380" s="200" t="s">
        <v>1254</v>
      </c>
      <c r="AD380" s="201">
        <v>44376.0</v>
      </c>
      <c r="AE380" s="200" t="s">
        <v>1254</v>
      </c>
      <c r="AF380" s="201">
        <v>44392.0</v>
      </c>
      <c r="AG380" s="200" t="s">
        <v>1151</v>
      </c>
      <c r="AH380" s="201">
        <v>44606.0</v>
      </c>
      <c r="AI380" s="199"/>
      <c r="AJ380" s="199"/>
      <c r="AK380" s="200" t="s">
        <v>1278</v>
      </c>
      <c r="AL380" s="200" t="s">
        <v>1518</v>
      </c>
      <c r="AM380" s="200" t="s">
        <v>1167</v>
      </c>
      <c r="AN380" s="200" t="s">
        <v>1161</v>
      </c>
      <c r="AO380" s="199"/>
      <c r="AP380" s="202" t="s">
        <v>1152</v>
      </c>
      <c r="AQ380" s="199"/>
    </row>
    <row r="381">
      <c r="A381" s="202" t="s">
        <v>2470</v>
      </c>
      <c r="B381" s="202" t="s">
        <v>2471</v>
      </c>
      <c r="C381" s="135" t="str">
        <f>VLOOKUP(A381,import!A:C,3,0)</f>
        <v>DOĞRU</v>
      </c>
      <c r="D381" s="202" t="s">
        <v>1155</v>
      </c>
      <c r="E381" s="194">
        <f>VLOOKUP(A381,import!A:AA,5,0)</f>
        <v>8</v>
      </c>
      <c r="F381" s="194">
        <f>VLOOKUP(A381,import!A:AA,6,0)</f>
        <v>2</v>
      </c>
      <c r="G381" s="135">
        <f>VLOOKUP(A381,import!A:AA,7,0)</f>
        <v>0</v>
      </c>
      <c r="H381" s="135">
        <f>VLOOKUP(A381,import!A:AA,8,0)</f>
        <v>13</v>
      </c>
      <c r="I381" s="135">
        <f>VLOOKUP(A381,import!A:AA,9,0)</f>
        <v>13</v>
      </c>
      <c r="J381" s="195">
        <f>VLOOKUP(A381,import!A:AA,10,0)</f>
        <v>0</v>
      </c>
      <c r="K381" s="202" t="s">
        <v>2472</v>
      </c>
      <c r="L381" s="202">
        <v>5.310287084E9</v>
      </c>
      <c r="M381" s="202" t="s">
        <v>1172</v>
      </c>
      <c r="N381" s="202" t="s">
        <v>2473</v>
      </c>
      <c r="O381" s="202" t="s">
        <v>2474</v>
      </c>
      <c r="P381" s="135" t="str">
        <f>VLOOKUP(A381,import!A:P,16,0)</f>
        <v>Geleneksel</v>
      </c>
      <c r="Q381" s="196"/>
      <c r="R381" s="196" t="b">
        <v>0</v>
      </c>
      <c r="S381" s="196" t="b">
        <v>0</v>
      </c>
      <c r="T381" s="197"/>
      <c r="U381" s="197"/>
      <c r="V381" s="197"/>
      <c r="W381" s="197"/>
      <c r="X381" s="198"/>
      <c r="Y381" s="198"/>
      <c r="Z381" s="199"/>
      <c r="AA381" s="200"/>
      <c r="AB381" s="201"/>
      <c r="AC381" s="199"/>
      <c r="AD381" s="199"/>
      <c r="AE381" s="105"/>
      <c r="AF381" s="199"/>
      <c r="AG381" s="105"/>
      <c r="AH381" s="199"/>
      <c r="AI381" s="199"/>
      <c r="AJ381" s="199"/>
      <c r="AK381" s="200"/>
      <c r="AL381" s="199"/>
      <c r="AM381" s="199"/>
      <c r="AN381" s="199"/>
      <c r="AO381" s="199"/>
      <c r="AP381" s="202"/>
      <c r="AQ381" s="199"/>
    </row>
    <row r="382">
      <c r="A382" s="135" t="s">
        <v>968</v>
      </c>
      <c r="B382" s="135" t="s">
        <v>969</v>
      </c>
      <c r="C382" s="135" t="str">
        <f>VLOOKUP(A382,import!A:C,3,0)</f>
        <v>DOĞRU</v>
      </c>
      <c r="D382" s="135" t="s">
        <v>1170</v>
      </c>
      <c r="E382" s="194">
        <f>VLOOKUP(A382,import!A:AA,5,0)</f>
        <v>449</v>
      </c>
      <c r="F382" s="194">
        <f>VLOOKUP(A382,import!A:AA,6,0)</f>
        <v>156</v>
      </c>
      <c r="G382" s="135">
        <f>VLOOKUP(A382,import!A:AA,7,0)</f>
        <v>6</v>
      </c>
      <c r="H382" s="135">
        <f>VLOOKUP(A382,import!A:AA,8,0)</f>
        <v>29</v>
      </c>
      <c r="I382" s="135">
        <f>VLOOKUP(A382,import!A:AA,9,0)</f>
        <v>35</v>
      </c>
      <c r="J382" s="195">
        <f>VLOOKUP(A382,import!A:AA,10,0)</f>
        <v>0.17</v>
      </c>
      <c r="K382" s="135" t="s">
        <v>2475</v>
      </c>
      <c r="L382" s="135">
        <v>5.326217461E9</v>
      </c>
      <c r="M382" s="135" t="s">
        <v>1147</v>
      </c>
      <c r="N382" s="135" t="s">
        <v>1200</v>
      </c>
      <c r="O382" s="135" t="s">
        <v>971</v>
      </c>
      <c r="P382" s="135" t="str">
        <f>VLOOKUP(A382,import!A:P,16,0)</f>
        <v>Geleneksel</v>
      </c>
      <c r="Q382" s="196"/>
      <c r="R382" s="196" t="b">
        <v>1</v>
      </c>
      <c r="S382" s="196" t="b">
        <v>0</v>
      </c>
      <c r="T382" s="197" t="s">
        <v>1165</v>
      </c>
      <c r="U382" s="197" t="s">
        <v>1161</v>
      </c>
      <c r="V382" s="207" t="s">
        <v>940</v>
      </c>
      <c r="W382" s="197" t="s">
        <v>2476</v>
      </c>
      <c r="X382" s="198">
        <v>44606.0</v>
      </c>
      <c r="Y382" s="198">
        <v>44607.0</v>
      </c>
      <c r="Z382" s="199"/>
      <c r="AA382" s="200" t="s">
        <v>1151</v>
      </c>
      <c r="AB382" s="201">
        <v>44606.0</v>
      </c>
      <c r="AC382" s="199"/>
      <c r="AD382" s="199"/>
      <c r="AE382" s="105"/>
      <c r="AF382" s="199"/>
      <c r="AG382" s="105"/>
      <c r="AH382" s="199"/>
      <c r="AI382" s="199"/>
      <c r="AJ382" s="199"/>
      <c r="AK382" s="200" t="s">
        <v>1161</v>
      </c>
      <c r="AL382" s="199"/>
      <c r="AM382" s="199"/>
      <c r="AN382" s="199"/>
      <c r="AO382" s="199"/>
      <c r="AP382" s="202"/>
      <c r="AQ382" s="199"/>
    </row>
    <row r="383">
      <c r="A383" s="135" t="s">
        <v>2477</v>
      </c>
      <c r="B383" s="135" t="s">
        <v>2478</v>
      </c>
      <c r="C383" s="135" t="str">
        <f>VLOOKUP(A383,import!A:C,3,0)</f>
        <v>DOĞRU</v>
      </c>
      <c r="D383" s="135" t="s">
        <v>1170</v>
      </c>
      <c r="E383" s="194">
        <f>VLOOKUP(A383,import!A:AA,5,0)</f>
        <v>39</v>
      </c>
      <c r="F383" s="194" t="str">
        <f>VLOOKUP(A383,import!A:AA,6,0)</f>
        <v/>
      </c>
      <c r="G383" s="135">
        <f>VLOOKUP(A383,import!A:AA,7,0)</f>
        <v>0</v>
      </c>
      <c r="H383" s="135">
        <f>VLOOKUP(A383,import!A:AA,8,0)</f>
        <v>9</v>
      </c>
      <c r="I383" s="135">
        <f>VLOOKUP(A383,import!A:AA,9,0)</f>
        <v>9</v>
      </c>
      <c r="J383" s="195">
        <f>VLOOKUP(A383,import!A:AA,10,0)</f>
        <v>0</v>
      </c>
      <c r="K383" s="135" t="s">
        <v>2479</v>
      </c>
      <c r="L383" s="135">
        <v>5.326217461E9</v>
      </c>
      <c r="M383" s="135" t="s">
        <v>1172</v>
      </c>
      <c r="N383" s="135" t="s">
        <v>1379</v>
      </c>
      <c r="O383" s="135" t="s">
        <v>2480</v>
      </c>
      <c r="P383" s="135" t="str">
        <f>VLOOKUP(A383,import!A:P,16,0)</f>
        <v>Geleneksel</v>
      </c>
      <c r="Q383" s="196"/>
      <c r="R383" s="196" t="b">
        <v>1</v>
      </c>
      <c r="S383" s="196" t="b">
        <v>0</v>
      </c>
      <c r="T383" s="197" t="s">
        <v>1251</v>
      </c>
      <c r="U383" s="197"/>
      <c r="V383" s="204"/>
      <c r="W383" s="135" t="s">
        <v>968</v>
      </c>
      <c r="X383" s="198"/>
      <c r="Y383" s="198"/>
      <c r="Z383" s="199"/>
      <c r="AA383" s="200" t="s">
        <v>1202</v>
      </c>
      <c r="AB383" s="201">
        <v>44363.0</v>
      </c>
      <c r="AC383" s="199"/>
      <c r="AD383" s="199"/>
      <c r="AE383" s="105"/>
      <c r="AF383" s="199"/>
      <c r="AG383" s="105"/>
      <c r="AH383" s="199"/>
      <c r="AI383" s="199"/>
      <c r="AJ383" s="199"/>
      <c r="AK383" s="200" t="s">
        <v>189</v>
      </c>
      <c r="AL383" s="199"/>
      <c r="AM383" s="199"/>
      <c r="AN383" s="199"/>
      <c r="AO383" s="199"/>
      <c r="AP383" s="202" t="s">
        <v>1152</v>
      </c>
      <c r="AQ383" s="199"/>
    </row>
    <row r="384">
      <c r="A384" s="135" t="s">
        <v>815</v>
      </c>
      <c r="B384" s="135" t="s">
        <v>816</v>
      </c>
      <c r="C384" s="135" t="str">
        <f>VLOOKUP(A384,import!A:C,3,0)</f>
        <v>DOĞRU</v>
      </c>
      <c r="D384" s="135" t="s">
        <v>1188</v>
      </c>
      <c r="E384" s="194">
        <f>VLOOKUP(A384,import!A:AA,5,0)</f>
        <v>6929</v>
      </c>
      <c r="F384" s="194">
        <f>VLOOKUP(A384,import!A:AA,6,0)</f>
        <v>75</v>
      </c>
      <c r="G384" s="135">
        <f>VLOOKUP(A384,import!A:AA,7,0)</f>
        <v>4</v>
      </c>
      <c r="H384" s="135">
        <f>VLOOKUP(A384,import!A:AA,8,0)</f>
        <v>14</v>
      </c>
      <c r="I384" s="135">
        <f>VLOOKUP(A384,import!A:AA,9,0)</f>
        <v>18</v>
      </c>
      <c r="J384" s="195">
        <f>VLOOKUP(A384,import!A:AA,10,0)</f>
        <v>0.22</v>
      </c>
      <c r="K384" s="135" t="s">
        <v>2481</v>
      </c>
      <c r="L384" s="135">
        <v>5.372159553E9</v>
      </c>
      <c r="M384" s="135" t="s">
        <v>1172</v>
      </c>
      <c r="N384" s="135" t="s">
        <v>1352</v>
      </c>
      <c r="O384" s="135" t="s">
        <v>819</v>
      </c>
      <c r="P384" s="135" t="str">
        <f>VLOOKUP(A384,import!A:P,16,0)</f>
        <v>Geleneksel</v>
      </c>
      <c r="Q384" s="196"/>
      <c r="R384" s="196" t="b">
        <v>1</v>
      </c>
      <c r="S384" s="196" t="b">
        <v>0</v>
      </c>
      <c r="T384" s="197" t="s">
        <v>1165</v>
      </c>
      <c r="U384" s="197" t="s">
        <v>189</v>
      </c>
      <c r="V384" s="197" t="s">
        <v>91</v>
      </c>
      <c r="W384" s="197" t="s">
        <v>2482</v>
      </c>
      <c r="X384" s="198">
        <v>44365.0</v>
      </c>
      <c r="Y384" s="198">
        <v>44368.0</v>
      </c>
      <c r="Z384" s="199"/>
      <c r="AA384" s="200" t="s">
        <v>1151</v>
      </c>
      <c r="AB384" s="201">
        <v>44365.0</v>
      </c>
      <c r="AC384" s="199"/>
      <c r="AD384" s="199"/>
      <c r="AE384" s="105"/>
      <c r="AF384" s="199"/>
      <c r="AG384" s="105"/>
      <c r="AH384" s="199"/>
      <c r="AI384" s="199"/>
      <c r="AJ384" s="199"/>
      <c r="AK384" s="200" t="s">
        <v>189</v>
      </c>
      <c r="AL384" s="199"/>
      <c r="AM384" s="199"/>
      <c r="AN384" s="199"/>
      <c r="AO384" s="199"/>
      <c r="AP384" s="202" t="s">
        <v>1152</v>
      </c>
      <c r="AQ384" s="199"/>
    </row>
    <row r="385">
      <c r="A385" s="135" t="s">
        <v>2483</v>
      </c>
      <c r="B385" s="135" t="s">
        <v>2484</v>
      </c>
      <c r="C385" s="135" t="str">
        <f>VLOOKUP(A385,import!A:C,3,0)</f>
        <v>DOĞRU</v>
      </c>
      <c r="D385" s="135" t="s">
        <v>1188</v>
      </c>
      <c r="E385" s="194">
        <f>VLOOKUP(A385,import!A:AA,5,0)</f>
        <v>993</v>
      </c>
      <c r="F385" s="194">
        <f>VLOOKUP(A385,import!A:AA,6,0)</f>
        <v>113</v>
      </c>
      <c r="G385" s="135">
        <f>VLOOKUP(A385,import!A:AA,7,0)</f>
        <v>0</v>
      </c>
      <c r="H385" s="135">
        <f>VLOOKUP(A385,import!A:AA,8,0)</f>
        <v>9</v>
      </c>
      <c r="I385" s="135">
        <f>VLOOKUP(A385,import!A:AA,9,0)</f>
        <v>9</v>
      </c>
      <c r="J385" s="195">
        <f>VLOOKUP(A385,import!A:AA,10,0)</f>
        <v>0</v>
      </c>
      <c r="K385" s="135" t="s">
        <v>2131</v>
      </c>
      <c r="L385" s="135">
        <v>5.332346953E9</v>
      </c>
      <c r="M385" s="135" t="s">
        <v>1147</v>
      </c>
      <c r="N385" s="135" t="s">
        <v>1164</v>
      </c>
      <c r="O385" s="135" t="s">
        <v>2132</v>
      </c>
      <c r="P385" s="135" t="str">
        <f>VLOOKUP(A385,import!A:P,16,0)</f>
        <v>Geleneksel</v>
      </c>
      <c r="Q385" s="196"/>
      <c r="R385" s="196" t="b">
        <v>1</v>
      </c>
      <c r="S385" s="196" t="b">
        <v>0</v>
      </c>
      <c r="T385" s="197" t="s">
        <v>1275</v>
      </c>
      <c r="U385" s="197"/>
      <c r="V385" s="197"/>
      <c r="W385" s="197" t="s">
        <v>2485</v>
      </c>
      <c r="X385" s="198"/>
      <c r="Y385" s="198"/>
      <c r="Z385" s="199"/>
      <c r="AA385" s="200" t="s">
        <v>1151</v>
      </c>
      <c r="AB385" s="201">
        <v>44608.0</v>
      </c>
      <c r="AC385" s="199"/>
      <c r="AD385" s="199"/>
      <c r="AE385" s="105"/>
      <c r="AF385" s="199"/>
      <c r="AG385" s="105"/>
      <c r="AH385" s="199"/>
      <c r="AI385" s="199"/>
      <c r="AJ385" s="199"/>
      <c r="AK385" s="200"/>
      <c r="AL385" s="199"/>
      <c r="AM385" s="199"/>
      <c r="AN385" s="199"/>
      <c r="AO385" s="199"/>
      <c r="AP385" s="202"/>
      <c r="AQ385" s="199"/>
    </row>
    <row r="386">
      <c r="A386" s="135" t="s">
        <v>2486</v>
      </c>
      <c r="B386" s="135" t="s">
        <v>2487</v>
      </c>
      <c r="C386" s="135" t="str">
        <f>VLOOKUP(A386,import!A:C,3,0)</f>
        <v>YANLIŞ</v>
      </c>
      <c r="D386" s="135" t="s">
        <v>1235</v>
      </c>
      <c r="E386" s="194">
        <f>VLOOKUP(A386,import!A:AA,5,0)</f>
        <v>34</v>
      </c>
      <c r="F386" s="194" t="str">
        <f>VLOOKUP(A386,import!A:AA,6,0)</f>
        <v/>
      </c>
      <c r="G386" s="135">
        <f>VLOOKUP(A386,import!A:AA,7,0)</f>
        <v>0</v>
      </c>
      <c r="H386" s="135">
        <f>VLOOKUP(A386,import!A:AA,8,0)</f>
        <v>11</v>
      </c>
      <c r="I386" s="135">
        <f>VLOOKUP(A386,import!A:AA,9,0)</f>
        <v>11</v>
      </c>
      <c r="J386" s="195">
        <f>VLOOKUP(A386,import!A:AA,10,0)</f>
        <v>0</v>
      </c>
      <c r="K386" s="135" t="s">
        <v>2488</v>
      </c>
      <c r="L386" s="135">
        <v>5.434685454E9</v>
      </c>
      <c r="M386" s="135" t="s">
        <v>1172</v>
      </c>
      <c r="N386" s="135" t="s">
        <v>1433</v>
      </c>
      <c r="O386" s="135" t="s">
        <v>2489</v>
      </c>
      <c r="P386" s="135" t="str">
        <f>VLOOKUP(A386,import!A:P,16,0)</f>
        <v>Geleneksel</v>
      </c>
      <c r="Q386" s="196"/>
      <c r="R386" s="196" t="b">
        <v>1</v>
      </c>
      <c r="S386" s="196" t="b">
        <v>0</v>
      </c>
      <c r="T386" s="197" t="s">
        <v>1159</v>
      </c>
      <c r="U386" s="197"/>
      <c r="V386" s="197"/>
      <c r="W386" s="197" t="s">
        <v>2490</v>
      </c>
      <c r="X386" s="198"/>
      <c r="Y386" s="198"/>
      <c r="Z386" s="199"/>
      <c r="AA386" s="200" t="s">
        <v>1151</v>
      </c>
      <c r="AB386" s="201">
        <v>44607.0</v>
      </c>
      <c r="AC386" s="199"/>
      <c r="AD386" s="199"/>
      <c r="AE386" s="105"/>
      <c r="AF386" s="199"/>
      <c r="AG386" s="105"/>
      <c r="AH386" s="199"/>
      <c r="AI386" s="199"/>
      <c r="AJ386" s="199"/>
      <c r="AK386" s="200" t="s">
        <v>1161</v>
      </c>
      <c r="AL386" s="199"/>
      <c r="AM386" s="199"/>
      <c r="AN386" s="199"/>
      <c r="AO386" s="199"/>
      <c r="AP386" s="202" t="s">
        <v>1152</v>
      </c>
      <c r="AQ386" s="199"/>
    </row>
    <row r="387">
      <c r="A387" s="202" t="s">
        <v>2491</v>
      </c>
      <c r="B387" s="202" t="s">
        <v>2492</v>
      </c>
      <c r="C387" s="135" t="str">
        <f>VLOOKUP(A387,import!A:C,3,0)</f>
        <v>DOĞRU</v>
      </c>
      <c r="D387" s="202" t="s">
        <v>1170</v>
      </c>
      <c r="E387" s="194">
        <f>VLOOKUP(A387,import!A:AA,5,0)</f>
        <v>3</v>
      </c>
      <c r="F387" s="194">
        <f>VLOOKUP(A387,import!A:AA,6,0)</f>
        <v>1</v>
      </c>
      <c r="G387" s="135">
        <f>VLOOKUP(A387,import!A:AA,7,0)</f>
        <v>0</v>
      </c>
      <c r="H387" s="135">
        <f>VLOOKUP(A387,import!A:AA,8,0)</f>
        <v>11</v>
      </c>
      <c r="I387" s="135">
        <f>VLOOKUP(A387,import!A:AA,9,0)</f>
        <v>11</v>
      </c>
      <c r="J387" s="195">
        <f>VLOOKUP(A387,import!A:AA,10,0)</f>
        <v>0</v>
      </c>
      <c r="K387" s="202" t="s">
        <v>2493</v>
      </c>
      <c r="L387" s="202">
        <v>5.468556228E9</v>
      </c>
      <c r="M387" s="202" t="s">
        <v>1147</v>
      </c>
      <c r="N387" s="202" t="s">
        <v>1157</v>
      </c>
      <c r="O387" s="202" t="s">
        <v>2494</v>
      </c>
      <c r="P387" s="135" t="str">
        <f>VLOOKUP(A387,import!A:P,16,0)</f>
        <v>Geleneksel</v>
      </c>
      <c r="Q387" s="196"/>
      <c r="R387" s="196" t="b">
        <v>0</v>
      </c>
      <c r="S387" s="196" t="b">
        <v>0</v>
      </c>
      <c r="T387" s="197"/>
      <c r="U387" s="197"/>
      <c r="V387" s="197"/>
      <c r="W387" s="197"/>
      <c r="X387" s="198"/>
      <c r="Y387" s="198"/>
      <c r="Z387" s="199"/>
      <c r="AA387" s="200"/>
      <c r="AB387" s="201"/>
      <c r="AC387" s="199"/>
      <c r="AD387" s="199"/>
      <c r="AE387" s="105"/>
      <c r="AF387" s="199"/>
      <c r="AG387" s="105"/>
      <c r="AH387" s="199"/>
      <c r="AI387" s="199"/>
      <c r="AJ387" s="199"/>
      <c r="AK387" s="200"/>
      <c r="AL387" s="199"/>
      <c r="AM387" s="199"/>
      <c r="AN387" s="199"/>
      <c r="AO387" s="199"/>
      <c r="AP387" s="202"/>
      <c r="AQ387" s="199"/>
    </row>
    <row r="388">
      <c r="A388" s="135" t="s">
        <v>135</v>
      </c>
      <c r="B388" s="135" t="s">
        <v>136</v>
      </c>
      <c r="C388" s="135" t="str">
        <f>VLOOKUP(A388,import!A:C,3,0)</f>
        <v>DOĞRU</v>
      </c>
      <c r="D388" s="135" t="s">
        <v>2495</v>
      </c>
      <c r="E388" s="194">
        <f>VLOOKUP(A388,import!A:AA,5,0)</f>
        <v>471</v>
      </c>
      <c r="F388" s="194">
        <f>VLOOKUP(A388,import!A:AA,6,0)</f>
        <v>3</v>
      </c>
      <c r="G388" s="135">
        <f>VLOOKUP(A388,import!A:AA,7,0)</f>
        <v>37</v>
      </c>
      <c r="H388" s="135">
        <f>VLOOKUP(A388,import!A:AA,8,0)</f>
        <v>42</v>
      </c>
      <c r="I388" s="135">
        <f>VLOOKUP(A388,import!A:AA,9,0)</f>
        <v>79</v>
      </c>
      <c r="J388" s="195">
        <f>VLOOKUP(A388,import!A:AA,10,0)</f>
        <v>0.47</v>
      </c>
      <c r="K388" s="135" t="s">
        <v>2496</v>
      </c>
      <c r="L388" s="135">
        <v>5.312218647E9</v>
      </c>
      <c r="M388" s="135" t="s">
        <v>1147</v>
      </c>
      <c r="N388" s="135" t="s">
        <v>1148</v>
      </c>
      <c r="O388" s="135" t="s">
        <v>139</v>
      </c>
      <c r="P388" s="135" t="str">
        <f>VLOOKUP(A388,import!A:P,16,0)</f>
        <v>Geleneksel</v>
      </c>
      <c r="Q388" s="196"/>
      <c r="R388" s="196" t="b">
        <v>1</v>
      </c>
      <c r="S388" s="196" t="b">
        <v>0</v>
      </c>
      <c r="T388" s="211" t="s">
        <v>1165</v>
      </c>
      <c r="U388" s="211" t="s">
        <v>92</v>
      </c>
      <c r="V388" s="211" t="s">
        <v>91</v>
      </c>
      <c r="W388" s="211" t="s">
        <v>2497</v>
      </c>
      <c r="X388" s="214">
        <v>44294.0</v>
      </c>
      <c r="Y388" s="214">
        <v>44295.0</v>
      </c>
      <c r="Z388" s="199"/>
      <c r="AA388" s="199"/>
      <c r="AB388" s="199"/>
      <c r="AC388" s="199"/>
      <c r="AD388" s="199"/>
      <c r="AE388" s="105"/>
      <c r="AF388" s="199"/>
      <c r="AG388" s="105"/>
      <c r="AH388" s="199"/>
      <c r="AI388" s="199"/>
      <c r="AJ388" s="199"/>
      <c r="AK388" s="199"/>
      <c r="AL388" s="199"/>
      <c r="AM388" s="199"/>
      <c r="AN388" s="199"/>
      <c r="AO388" s="199"/>
      <c r="AP388" s="202" t="s">
        <v>1152</v>
      </c>
      <c r="AQ388" s="199"/>
    </row>
    <row r="389">
      <c r="A389" s="135" t="s">
        <v>1079</v>
      </c>
      <c r="B389" s="135" t="s">
        <v>1080</v>
      </c>
      <c r="C389" s="135" t="str">
        <f>VLOOKUP(A389,import!A:C,3,0)</f>
        <v>DOĞRU</v>
      </c>
      <c r="D389" s="135" t="s">
        <v>1175</v>
      </c>
      <c r="E389" s="194">
        <f>VLOOKUP(A389,import!A:AA,5,0)</f>
        <v>309</v>
      </c>
      <c r="F389" s="194">
        <f>VLOOKUP(A389,import!A:AA,6,0)</f>
        <v>67</v>
      </c>
      <c r="G389" s="135">
        <f>VLOOKUP(A389,import!A:AA,7,0)</f>
        <v>0</v>
      </c>
      <c r="H389" s="135">
        <f>VLOOKUP(A389,import!A:AA,8,0)</f>
        <v>37</v>
      </c>
      <c r="I389" s="135">
        <f>VLOOKUP(A389,import!A:AA,9,0)</f>
        <v>37</v>
      </c>
      <c r="J389" s="195">
        <f>VLOOKUP(A389,import!A:AA,10,0)</f>
        <v>0</v>
      </c>
      <c r="K389" s="135" t="s">
        <v>2498</v>
      </c>
      <c r="L389" s="135">
        <v>5.522405454E9</v>
      </c>
      <c r="M389" s="135" t="s">
        <v>1147</v>
      </c>
      <c r="N389" s="135" t="s">
        <v>1352</v>
      </c>
      <c r="O389" s="135" t="s">
        <v>1083</v>
      </c>
      <c r="P389" s="135" t="str">
        <f>VLOOKUP(A389,import!A:P,16,0)</f>
        <v>Geleneksel</v>
      </c>
      <c r="Q389" s="196"/>
      <c r="R389" s="196" t="b">
        <v>1</v>
      </c>
      <c r="S389" s="196" t="b">
        <v>0</v>
      </c>
      <c r="T389" s="197" t="s">
        <v>1289</v>
      </c>
      <c r="U389" s="197" t="s">
        <v>1024</v>
      </c>
      <c r="V389" s="210" t="s">
        <v>940</v>
      </c>
      <c r="W389" s="197" t="s">
        <v>2499</v>
      </c>
      <c r="X389" s="198">
        <v>44616.0</v>
      </c>
      <c r="Y389" s="198">
        <v>44622.0</v>
      </c>
      <c r="Z389" s="199"/>
      <c r="AA389" s="200" t="s">
        <v>1151</v>
      </c>
      <c r="AB389" s="201">
        <v>44616.0</v>
      </c>
      <c r="AC389" s="200" t="s">
        <v>1151</v>
      </c>
      <c r="AD389" s="201">
        <v>44616.0</v>
      </c>
      <c r="AE389" s="105"/>
      <c r="AF389" s="199"/>
      <c r="AG389" s="105"/>
      <c r="AH389" s="199"/>
      <c r="AI389" s="199"/>
      <c r="AJ389" s="199"/>
      <c r="AK389" s="200" t="s">
        <v>1647</v>
      </c>
      <c r="AL389" s="200" t="s">
        <v>1024</v>
      </c>
      <c r="AM389" s="199"/>
      <c r="AN389" s="199"/>
      <c r="AO389" s="199"/>
      <c r="AP389" s="202"/>
      <c r="AQ389" s="199"/>
    </row>
    <row r="390">
      <c r="A390" s="135" t="s">
        <v>589</v>
      </c>
      <c r="B390" s="135" t="s">
        <v>590</v>
      </c>
      <c r="C390" s="135" t="str">
        <f>VLOOKUP(A390,import!A:C,3,0)</f>
        <v>DOĞRU</v>
      </c>
      <c r="D390" s="135" t="s">
        <v>1302</v>
      </c>
      <c r="E390" s="194">
        <f>VLOOKUP(A390,import!A:AA,5,0)</f>
        <v>1181</v>
      </c>
      <c r="F390" s="194" t="str">
        <f>VLOOKUP(A390,import!A:AA,6,0)</f>
        <v/>
      </c>
      <c r="G390" s="135">
        <f>VLOOKUP(A390,import!A:AA,7,0)</f>
        <v>2</v>
      </c>
      <c r="H390" s="135">
        <f>VLOOKUP(A390,import!A:AA,8,0)</f>
        <v>7</v>
      </c>
      <c r="I390" s="135">
        <f>VLOOKUP(A390,import!A:AA,9,0)</f>
        <v>9</v>
      </c>
      <c r="J390" s="195">
        <f>VLOOKUP(A390,import!A:AA,10,0)</f>
        <v>0.22</v>
      </c>
      <c r="K390" s="135" t="s">
        <v>2095</v>
      </c>
      <c r="L390" s="135">
        <v>5.414649144E9</v>
      </c>
      <c r="M390" s="135" t="s">
        <v>1147</v>
      </c>
      <c r="N390" s="135" t="s">
        <v>1200</v>
      </c>
      <c r="O390" s="135" t="s">
        <v>591</v>
      </c>
      <c r="P390" s="135" t="str">
        <f>VLOOKUP(A390,import!A:P,16,0)</f>
        <v>Geleneksel</v>
      </c>
      <c r="Q390" s="196"/>
      <c r="R390" s="196" t="b">
        <v>1</v>
      </c>
      <c r="S390" s="196" t="b">
        <v>0</v>
      </c>
      <c r="T390" s="197" t="s">
        <v>1165</v>
      </c>
      <c r="U390" s="197" t="s">
        <v>189</v>
      </c>
      <c r="V390" s="197" t="s">
        <v>91</v>
      </c>
      <c r="W390" s="197"/>
      <c r="X390" s="198">
        <v>44342.0</v>
      </c>
      <c r="Y390" s="198">
        <v>44344.0</v>
      </c>
      <c r="Z390" s="199"/>
      <c r="AA390" s="199"/>
      <c r="AB390" s="199"/>
      <c r="AC390" s="199"/>
      <c r="AD390" s="199"/>
      <c r="AE390" s="105"/>
      <c r="AF390" s="199"/>
      <c r="AG390" s="105"/>
      <c r="AH390" s="199"/>
      <c r="AI390" s="199"/>
      <c r="AJ390" s="199"/>
      <c r="AK390" s="199"/>
      <c r="AL390" s="199"/>
      <c r="AM390" s="199"/>
      <c r="AN390" s="199"/>
      <c r="AO390" s="199"/>
      <c r="AP390" s="202" t="s">
        <v>1152</v>
      </c>
      <c r="AQ390" s="199"/>
    </row>
    <row r="391">
      <c r="A391" s="135" t="s">
        <v>2500</v>
      </c>
      <c r="B391" s="135" t="s">
        <v>2501</v>
      </c>
      <c r="C391" s="135" t="str">
        <f>VLOOKUP(A391,import!A:C,3,0)</f>
        <v>YANLIŞ</v>
      </c>
      <c r="D391" s="135" t="s">
        <v>1302</v>
      </c>
      <c r="E391" s="194">
        <f>VLOOKUP(A391,import!A:AA,5,0)</f>
        <v>672</v>
      </c>
      <c r="F391" s="194" t="str">
        <f>VLOOKUP(A391,import!A:AA,6,0)</f>
        <v/>
      </c>
      <c r="G391" s="135">
        <f>VLOOKUP(A391,import!A:AA,7,0)</f>
        <v>0</v>
      </c>
      <c r="H391" s="135">
        <f>VLOOKUP(A391,import!A:AA,8,0)</f>
        <v>21</v>
      </c>
      <c r="I391" s="135">
        <f>VLOOKUP(A391,import!A:AA,9,0)</f>
        <v>21</v>
      </c>
      <c r="J391" s="195">
        <f>VLOOKUP(A391,import!A:AA,10,0)</f>
        <v>0</v>
      </c>
      <c r="K391" s="135" t="s">
        <v>2502</v>
      </c>
      <c r="L391" s="135">
        <v>5.556259618E9</v>
      </c>
      <c r="M391" s="135" t="s">
        <v>1147</v>
      </c>
      <c r="N391" s="135" t="s">
        <v>1164</v>
      </c>
      <c r="O391" s="135" t="s">
        <v>2503</v>
      </c>
      <c r="P391" s="135" t="str">
        <f>VLOOKUP(A391,import!A:P,16,0)</f>
        <v>Geleneksel</v>
      </c>
      <c r="Q391" s="196"/>
      <c r="R391" s="196" t="b">
        <v>1</v>
      </c>
      <c r="S391" s="196" t="b">
        <v>1</v>
      </c>
      <c r="T391" s="197"/>
      <c r="U391" s="197"/>
      <c r="V391" s="197"/>
      <c r="W391" s="197" t="s">
        <v>2504</v>
      </c>
      <c r="X391" s="198"/>
      <c r="Y391" s="198"/>
      <c r="Z391" s="199"/>
      <c r="AA391" s="200" t="s">
        <v>1151</v>
      </c>
      <c r="AB391" s="201">
        <v>44376.0</v>
      </c>
      <c r="AC391" s="200" t="s">
        <v>1202</v>
      </c>
      <c r="AD391" s="201">
        <v>44383.0</v>
      </c>
      <c r="AE391" s="200" t="s">
        <v>1151</v>
      </c>
      <c r="AF391" s="201">
        <v>44610.0</v>
      </c>
      <c r="AG391" s="105"/>
      <c r="AH391" s="199"/>
      <c r="AI391" s="199"/>
      <c r="AJ391" s="199"/>
      <c r="AK391" s="200" t="s">
        <v>189</v>
      </c>
      <c r="AL391" s="200" t="s">
        <v>189</v>
      </c>
      <c r="AM391" s="200" t="s">
        <v>1061</v>
      </c>
      <c r="AN391" s="199"/>
      <c r="AO391" s="199"/>
      <c r="AP391" s="202" t="s">
        <v>1152</v>
      </c>
      <c r="AQ391" s="199"/>
    </row>
    <row r="392">
      <c r="A392" s="135" t="s">
        <v>964</v>
      </c>
      <c r="B392" s="135" t="s">
        <v>965</v>
      </c>
      <c r="C392" s="135" t="str">
        <f>VLOOKUP(A392,import!A:C,3,0)</f>
        <v>DOĞRU</v>
      </c>
      <c r="D392" s="135" t="s">
        <v>1145</v>
      </c>
      <c r="E392" s="194">
        <f>VLOOKUP(A392,import!A:AA,5,0)</f>
        <v>400</v>
      </c>
      <c r="F392" s="194">
        <f>VLOOKUP(A392,import!A:AA,6,0)</f>
        <v>7</v>
      </c>
      <c r="G392" s="135">
        <f>VLOOKUP(A392,import!A:AA,7,0)</f>
        <v>0</v>
      </c>
      <c r="H392" s="135">
        <f>VLOOKUP(A392,import!A:AA,8,0)</f>
        <v>14</v>
      </c>
      <c r="I392" s="135">
        <f>VLOOKUP(A392,import!A:AA,9,0)</f>
        <v>14</v>
      </c>
      <c r="J392" s="195">
        <f>VLOOKUP(A392,import!A:AA,10,0)</f>
        <v>0</v>
      </c>
      <c r="K392" s="135" t="s">
        <v>1549</v>
      </c>
      <c r="L392" s="135">
        <v>5.536324854E9</v>
      </c>
      <c r="M392" s="135" t="s">
        <v>1147</v>
      </c>
      <c r="N392" s="135" t="s">
        <v>1157</v>
      </c>
      <c r="O392" s="135" t="s">
        <v>967</v>
      </c>
      <c r="P392" s="135" t="str">
        <f>VLOOKUP(A392,import!A:P,16,0)</f>
        <v>Geleneksel</v>
      </c>
      <c r="Q392" s="196"/>
      <c r="R392" s="196" t="b">
        <v>1</v>
      </c>
      <c r="S392" s="196" t="b">
        <v>0</v>
      </c>
      <c r="T392" s="197" t="s">
        <v>1165</v>
      </c>
      <c r="U392" s="197" t="s">
        <v>1161</v>
      </c>
      <c r="V392" s="207" t="s">
        <v>940</v>
      </c>
      <c r="W392" s="197"/>
      <c r="X392" s="198">
        <v>44606.0</v>
      </c>
      <c r="Y392" s="198">
        <v>44607.0</v>
      </c>
      <c r="Z392" s="199"/>
      <c r="AA392" s="200" t="s">
        <v>1151</v>
      </c>
      <c r="AB392" s="201">
        <v>44606.0</v>
      </c>
      <c r="AC392" s="199"/>
      <c r="AD392" s="199"/>
      <c r="AE392" s="105"/>
      <c r="AF392" s="199"/>
      <c r="AG392" s="105"/>
      <c r="AH392" s="199"/>
      <c r="AI392" s="199"/>
      <c r="AJ392" s="199"/>
      <c r="AK392" s="200" t="s">
        <v>1161</v>
      </c>
      <c r="AL392" s="199"/>
      <c r="AM392" s="199"/>
      <c r="AN392" s="199"/>
      <c r="AO392" s="199"/>
      <c r="AP392" s="202" t="s">
        <v>1152</v>
      </c>
      <c r="AQ392" s="199"/>
    </row>
    <row r="393">
      <c r="A393" s="135" t="s">
        <v>61</v>
      </c>
      <c r="B393" s="135" t="s">
        <v>62</v>
      </c>
      <c r="C393" s="135" t="str">
        <f>VLOOKUP(A393,import!A:C,3,0)</f>
        <v>YANLIŞ</v>
      </c>
      <c r="D393" s="135" t="s">
        <v>2505</v>
      </c>
      <c r="E393" s="194">
        <f>VLOOKUP(A393,import!A:AA,5,0)</f>
        <v>116</v>
      </c>
      <c r="F393" s="194" t="str">
        <f>VLOOKUP(A393,import!A:AA,6,0)</f>
        <v/>
      </c>
      <c r="G393" s="135">
        <f>VLOOKUP(A393,import!A:AA,7,0)</f>
        <v>0</v>
      </c>
      <c r="H393" s="135">
        <f>VLOOKUP(A393,import!A:AA,8,0)</f>
        <v>26</v>
      </c>
      <c r="I393" s="135">
        <f>VLOOKUP(A393,import!A:AA,9,0)</f>
        <v>26</v>
      </c>
      <c r="J393" s="195">
        <f>VLOOKUP(A393,import!A:AA,10,0)</f>
        <v>0</v>
      </c>
      <c r="K393" s="135" t="s">
        <v>2506</v>
      </c>
      <c r="L393" s="135">
        <v>5.535491624E9</v>
      </c>
      <c r="M393" s="135" t="s">
        <v>1147</v>
      </c>
      <c r="N393" s="135" t="s">
        <v>1200</v>
      </c>
      <c r="O393" s="135" t="s">
        <v>64</v>
      </c>
      <c r="P393" s="135" t="str">
        <f>VLOOKUP(A393,import!A:P,16,0)</f>
        <v>Geleneksel</v>
      </c>
      <c r="Q393" s="196"/>
      <c r="R393" s="196" t="b">
        <v>1</v>
      </c>
      <c r="S393" s="196" t="b">
        <v>0</v>
      </c>
      <c r="T393" s="211" t="s">
        <v>1165</v>
      </c>
      <c r="U393" s="211" t="s">
        <v>16</v>
      </c>
      <c r="V393" s="211" t="s">
        <v>15</v>
      </c>
      <c r="W393" s="211" t="s">
        <v>2507</v>
      </c>
      <c r="X393" s="214">
        <v>44285.0</v>
      </c>
      <c r="Y393" s="214">
        <v>44288.0</v>
      </c>
      <c r="Z393" s="199"/>
      <c r="AA393" s="200" t="s">
        <v>1151</v>
      </c>
      <c r="AB393" s="201">
        <v>44364.0</v>
      </c>
      <c r="AC393" s="200" t="s">
        <v>1151</v>
      </c>
      <c r="AD393" s="201">
        <v>44375.0</v>
      </c>
      <c r="AE393" s="105"/>
      <c r="AF393" s="199"/>
      <c r="AG393" s="105"/>
      <c r="AH393" s="199"/>
      <c r="AI393" s="199"/>
      <c r="AJ393" s="199"/>
      <c r="AK393" s="200" t="s">
        <v>1167</v>
      </c>
      <c r="AL393" s="200" t="s">
        <v>1167</v>
      </c>
      <c r="AM393" s="199"/>
      <c r="AN393" s="199"/>
      <c r="AO393" s="199"/>
      <c r="AP393" s="202" t="s">
        <v>1152</v>
      </c>
      <c r="AQ393" s="199"/>
    </row>
    <row r="394">
      <c r="A394" s="135" t="s">
        <v>2508</v>
      </c>
      <c r="B394" s="135" t="s">
        <v>2509</v>
      </c>
      <c r="C394" s="135" t="str">
        <f>VLOOKUP(A394,import!A:C,3,0)</f>
        <v>DOĞRU</v>
      </c>
      <c r="D394" s="135" t="s">
        <v>1341</v>
      </c>
      <c r="E394" s="194">
        <f>VLOOKUP(A394,import!A:AA,5,0)</f>
        <v>577</v>
      </c>
      <c r="F394" s="194" t="str">
        <f>VLOOKUP(A394,import!A:AA,6,0)</f>
        <v/>
      </c>
      <c r="G394" s="135">
        <f>VLOOKUP(A394,import!A:AA,7,0)</f>
        <v>0</v>
      </c>
      <c r="H394" s="135">
        <f>VLOOKUP(A394,import!A:AA,8,0)</f>
        <v>16</v>
      </c>
      <c r="I394" s="135">
        <f>VLOOKUP(A394,import!A:AA,9,0)</f>
        <v>16</v>
      </c>
      <c r="J394" s="195">
        <f>VLOOKUP(A394,import!A:AA,10,0)</f>
        <v>0</v>
      </c>
      <c r="K394" s="135" t="s">
        <v>2510</v>
      </c>
      <c r="L394" s="135">
        <v>5.3170386E9</v>
      </c>
      <c r="M394" s="135" t="s">
        <v>1318</v>
      </c>
      <c r="N394" s="135" t="s">
        <v>1636</v>
      </c>
      <c r="O394" s="135" t="s">
        <v>2511</v>
      </c>
      <c r="P394" s="135" t="str">
        <f>VLOOKUP(A394,import!A:P,16,0)</f>
        <v>Geleneksel</v>
      </c>
      <c r="Q394" s="196"/>
      <c r="R394" s="196" t="b">
        <v>1</v>
      </c>
      <c r="S394" s="196" t="b">
        <v>0</v>
      </c>
      <c r="T394" s="197" t="s">
        <v>1275</v>
      </c>
      <c r="U394" s="197"/>
      <c r="V394" s="197"/>
      <c r="W394" s="197" t="s">
        <v>2512</v>
      </c>
      <c r="X394" s="197"/>
      <c r="Y394" s="198"/>
      <c r="Z394" s="199"/>
      <c r="AA394" s="200" t="s">
        <v>1151</v>
      </c>
      <c r="AB394" s="201">
        <v>44348.0</v>
      </c>
      <c r="AC394" s="200" t="s">
        <v>1254</v>
      </c>
      <c r="AD394" s="201">
        <v>44371.0</v>
      </c>
      <c r="AE394" s="200" t="s">
        <v>1254</v>
      </c>
      <c r="AF394" s="201">
        <v>44375.0</v>
      </c>
      <c r="AG394" s="200" t="s">
        <v>1202</v>
      </c>
      <c r="AH394" s="201">
        <v>44376.0</v>
      </c>
      <c r="AI394" s="200" t="s">
        <v>1151</v>
      </c>
      <c r="AJ394" s="201">
        <v>44376.0</v>
      </c>
      <c r="AK394" s="200" t="s">
        <v>1232</v>
      </c>
      <c r="AL394" s="200" t="s">
        <v>1204</v>
      </c>
      <c r="AM394" s="200" t="s">
        <v>92</v>
      </c>
      <c r="AN394" s="199"/>
      <c r="AO394" s="200" t="s">
        <v>189</v>
      </c>
      <c r="AP394" s="202" t="s">
        <v>1152</v>
      </c>
      <c r="AQ394" s="200"/>
    </row>
    <row r="395">
      <c r="A395" s="135" t="s">
        <v>2513</v>
      </c>
      <c r="B395" s="135" t="s">
        <v>2514</v>
      </c>
      <c r="C395" s="135" t="str">
        <f>VLOOKUP(A395,import!A:C,3,0)</f>
        <v>YANLIŞ</v>
      </c>
      <c r="D395" s="135" t="s">
        <v>1226</v>
      </c>
      <c r="E395" s="194" t="str">
        <f>VLOOKUP(A395,import!A:AA,5,0)</f>
        <v/>
      </c>
      <c r="F395" s="194" t="str">
        <f>VLOOKUP(A395,import!A:AA,6,0)</f>
        <v/>
      </c>
      <c r="G395" s="135">
        <f>VLOOKUP(A395,import!A:AA,7,0)</f>
        <v>0</v>
      </c>
      <c r="H395" s="135">
        <f>VLOOKUP(A395,import!A:AA,8,0)</f>
        <v>17</v>
      </c>
      <c r="I395" s="135">
        <f>VLOOKUP(A395,import!A:AA,9,0)</f>
        <v>17</v>
      </c>
      <c r="J395" s="195">
        <f>VLOOKUP(A395,import!A:AA,10,0)</f>
        <v>0</v>
      </c>
      <c r="K395" s="135" t="s">
        <v>2515</v>
      </c>
      <c r="L395" s="135">
        <v>5.452684941E9</v>
      </c>
      <c r="M395" s="135" t="s">
        <v>1172</v>
      </c>
      <c r="N395" s="135" t="s">
        <v>1665</v>
      </c>
      <c r="O395" s="135" t="s">
        <v>2516</v>
      </c>
      <c r="P395" s="135" t="str">
        <f>VLOOKUP(A395,import!A:P,16,0)</f>
        <v>Geleneksel</v>
      </c>
      <c r="Q395" s="196"/>
      <c r="R395" s="196" t="b">
        <v>1</v>
      </c>
      <c r="S395" s="196" t="b">
        <v>0</v>
      </c>
      <c r="T395" s="197" t="s">
        <v>1209</v>
      </c>
      <c r="U395" s="204"/>
      <c r="V395" s="204"/>
      <c r="W395" s="197" t="s">
        <v>2517</v>
      </c>
      <c r="X395" s="206"/>
      <c r="Y395" s="206"/>
      <c r="Z395" s="199"/>
      <c r="AA395" s="199"/>
      <c r="AB395" s="199"/>
      <c r="AC395" s="199"/>
      <c r="AD395" s="199"/>
      <c r="AE395" s="105"/>
      <c r="AF395" s="199"/>
      <c r="AG395" s="105"/>
      <c r="AH395" s="199"/>
      <c r="AI395" s="199"/>
      <c r="AJ395" s="199"/>
      <c r="AK395" s="199"/>
      <c r="AL395" s="199"/>
      <c r="AM395" s="199"/>
      <c r="AN395" s="199"/>
      <c r="AO395" s="199"/>
      <c r="AP395" s="202" t="s">
        <v>1152</v>
      </c>
      <c r="AQ395" s="199"/>
    </row>
  </sheetData>
  <autoFilter ref="$A$1:$AQ$395">
    <sortState ref="A1:AQ395">
      <sortCondition ref="B1:B395"/>
      <sortCondition descending="1" ref="C1:C395"/>
    </sortState>
  </autoFilter>
  <customSheetViews>
    <customSheetView guid="{43FAC60D-FF90-4B39-B813-FA5064B595F6}" filter="1" showAutoFilter="1">
      <autoFilter ref="$W$147:$W$148"/>
    </customSheetView>
    <customSheetView guid="{1879FECD-52E4-43E3-9C53-B9DD841F44C4}" filter="1" showAutoFilter="1">
      <autoFilter ref="$A$1:$AO$312">
        <filterColumn colId="25">
          <filters>
            <filter val="Hemen Randevu İstiyorum"/>
            <filter val="İleride Randevu İstiyorum"/>
          </filters>
        </filterColumn>
      </autoFilter>
    </customSheetView>
    <customSheetView guid="{387C2910-DC2E-4D76-82A7-48043E6C9953}" filter="1" showAutoFilter="1">
      <autoFilter ref="$AK$262:$AK$264"/>
    </customSheetView>
    <customSheetView guid="{27BDF363-1A2F-42B8-AE1D-D91C3C165A87}" filter="1" showAutoFilter="1">
      <autoFilter ref="$A$1:$AI$232">
        <filterColumn colId="8">
          <customFilters>
            <customFilter operator="greaterThan" val="35"/>
          </customFilters>
        </filterColumn>
      </autoFilter>
    </customSheetView>
    <customSheetView guid="{69819ED0-71EB-4137-80D2-295D0F70F283}" filter="1" showAutoFilter="1">
      <autoFilter ref="$X$109:$Y$113"/>
    </customSheetView>
    <customSheetView guid="{AB671C1A-E793-4366-AE38-7CFAEF55FA38}" filter="1" showAutoFilter="1">
      <autoFilter ref="$A$1:$AA$232">
        <filterColumn colId="8">
          <customFilters>
            <customFilter operator="greaterThanOrEqual" val="35"/>
          </customFilters>
        </filterColumn>
        <filterColumn colId="16">
          <filters blank="1"/>
        </filterColumn>
      </autoFilter>
    </customSheetView>
    <customSheetView guid="{A87CE89C-6545-4BB6-9CBF-6C9584963C90}" filter="1" showAutoFilter="1">
      <autoFilter ref="$A$1:$AA$232"/>
    </customSheetView>
  </customSheetViews>
  <conditionalFormatting sqref="C1:C395">
    <cfRule type="cellIs" dxfId="0" priority="1" operator="equal">
      <formula>"True"</formula>
    </cfRule>
  </conditionalFormatting>
  <conditionalFormatting sqref="C1:C395">
    <cfRule type="cellIs" dxfId="1" priority="2" operator="equal">
      <formula>"False"</formula>
    </cfRule>
  </conditionalFormatting>
  <conditionalFormatting sqref="J1:J39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T2:T395">
      <formula1>'Durum Parametreler'!$C$2:$C$19</formula1>
    </dataValidation>
    <dataValidation type="list" allowBlank="1" showErrorMessage="1" sqref="X2:Y395 AB2:AB395 AD2:AD395 AF2:AF395 AH2:AH395 AJ2:AJ395">
      <formula1>'Durum Parametreler'!$A$1:$A$700</formula1>
    </dataValidation>
    <dataValidation type="list" allowBlank="1" showErrorMessage="1" sqref="Z2:Z395">
      <formula1>'Durum Parametreler'!$C$27:$C$29</formula1>
    </dataValidation>
    <dataValidation type="list" allowBlank="1" showErrorMessage="1" sqref="U2:U395 AK2:AO395">
      <formula1>'Durum Parametreler'!$F$11:$F$49</formula1>
    </dataValidation>
    <dataValidation type="list" allowBlank="1" sqref="V2:V20 V22:V50 V52:V57 V59:V74 V76:V95 V97:V109 V111:V132 V134:V136 V138:V145 V149:V182 V184:V192 V194:V196 V198:V211 V213 V215:V229 V231 V233:V260 V262:V265 V267:V288 V290:V291 V293:V297 V299:V301 V303:V343 V345:V349 V351:V358 V360:V377 V379 V381 V383:V388 V390:V391 V393:V395">
      <formula1>'Durum Parametreler'!$F$2:$F$5</formula1>
    </dataValidation>
    <dataValidation type="list" allowBlank="1" showErrorMessage="1" sqref="AQ2:AQ395">
      <formula1>'Durum Parametreler'!$C$32:$C$35</formula1>
    </dataValidation>
    <dataValidation type="list" allowBlank="1" showErrorMessage="1" sqref="AA2:AA395 AC2:AC395 AE2:AE395 AG2:AG395 AI2:AI395">
      <formula1>'Durum Parametreler'!$C$21:$C$26</formula1>
    </dataValidation>
  </dataValidations>
  <hyperlinks>
    <hyperlink r:id="rId1" ref="W21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5" t="s">
        <v>1102</v>
      </c>
      <c r="B1" s="226" t="s">
        <v>1103</v>
      </c>
      <c r="C1" s="226" t="s">
        <v>2518</v>
      </c>
      <c r="D1" s="225" t="s">
        <v>1105</v>
      </c>
      <c r="E1" s="226" t="s">
        <v>1106</v>
      </c>
      <c r="F1" s="225" t="s">
        <v>2519</v>
      </c>
      <c r="G1" s="227" t="s">
        <v>1108</v>
      </c>
      <c r="H1" s="227" t="s">
        <v>1109</v>
      </c>
      <c r="I1" s="227" t="s">
        <v>1110</v>
      </c>
      <c r="J1" s="225" t="s">
        <v>1111</v>
      </c>
      <c r="K1" s="225" t="s">
        <v>1112</v>
      </c>
      <c r="L1" s="225" t="s">
        <v>1113</v>
      </c>
      <c r="M1" s="225" t="s">
        <v>1114</v>
      </c>
      <c r="N1" s="225" t="s">
        <v>1115</v>
      </c>
      <c r="O1" s="225" t="s">
        <v>8</v>
      </c>
      <c r="P1" s="226" t="s">
        <v>1116</v>
      </c>
      <c r="Q1" s="228" t="s">
        <v>2520</v>
      </c>
      <c r="R1" s="229"/>
      <c r="S1" s="229"/>
      <c r="T1" s="228"/>
      <c r="U1" s="228"/>
      <c r="V1" s="229"/>
      <c r="W1" s="229"/>
      <c r="X1" s="229"/>
      <c r="Y1" s="230"/>
      <c r="Z1" s="230"/>
      <c r="AA1" s="230"/>
      <c r="AB1" s="230"/>
      <c r="AC1" s="230"/>
    </row>
    <row r="2" hidden="1">
      <c r="A2" s="202" t="s">
        <v>1830</v>
      </c>
      <c r="B2" s="202" t="s">
        <v>1831</v>
      </c>
      <c r="C2" s="231" t="s">
        <v>2521</v>
      </c>
      <c r="D2" s="202" t="s">
        <v>1155</v>
      </c>
      <c r="E2" s="232">
        <v>205.0</v>
      </c>
      <c r="F2" s="233"/>
      <c r="G2" s="232">
        <v>0.0</v>
      </c>
      <c r="H2" s="232">
        <v>44.0</v>
      </c>
      <c r="I2" s="232">
        <v>44.0</v>
      </c>
      <c r="J2" s="234">
        <v>0.0</v>
      </c>
      <c r="K2" s="202" t="s">
        <v>1832</v>
      </c>
      <c r="L2" s="202">
        <v>2.642798872E9</v>
      </c>
      <c r="M2" s="202" t="s">
        <v>1172</v>
      </c>
      <c r="N2" s="202" t="s">
        <v>1193</v>
      </c>
      <c r="O2" s="202" t="s">
        <v>1833</v>
      </c>
      <c r="P2" s="202" t="s">
        <v>2522</v>
      </c>
      <c r="Q2" s="235">
        <f>COUNTIF('Hedef Liste'!A:A,A2)</f>
        <v>1</v>
      </c>
    </row>
    <row r="3" hidden="1">
      <c r="A3" s="202" t="s">
        <v>2350</v>
      </c>
      <c r="B3" s="202" t="s">
        <v>2351</v>
      </c>
      <c r="C3" s="231" t="s">
        <v>2523</v>
      </c>
      <c r="D3" s="202" t="s">
        <v>2524</v>
      </c>
      <c r="E3" s="232">
        <v>1206.0</v>
      </c>
      <c r="F3" s="233"/>
      <c r="G3" s="232">
        <v>42.0</v>
      </c>
      <c r="H3" s="232">
        <v>49.0</v>
      </c>
      <c r="I3" s="232">
        <v>91.0</v>
      </c>
      <c r="J3" s="234">
        <v>0.46</v>
      </c>
      <c r="K3" s="202" t="s">
        <v>2347</v>
      </c>
      <c r="L3" s="202">
        <v>5.388121136E9</v>
      </c>
      <c r="M3" s="202" t="s">
        <v>1147</v>
      </c>
      <c r="N3" s="202" t="s">
        <v>1164</v>
      </c>
      <c r="O3" s="202" t="s">
        <v>2352</v>
      </c>
      <c r="P3" s="202" t="s">
        <v>2522</v>
      </c>
      <c r="Q3" s="235">
        <f>COUNTIF('Hedef Liste'!A:A,A3)</f>
        <v>1</v>
      </c>
    </row>
    <row r="4" hidden="1">
      <c r="A4" s="202" t="s">
        <v>552</v>
      </c>
      <c r="B4" s="202" t="s">
        <v>2525</v>
      </c>
      <c r="C4" s="231" t="s">
        <v>2521</v>
      </c>
      <c r="D4" s="202" t="s">
        <v>1302</v>
      </c>
      <c r="E4" s="232">
        <v>73.0</v>
      </c>
      <c r="F4" s="233"/>
      <c r="G4" s="232">
        <v>48.0</v>
      </c>
      <c r="H4" s="232">
        <v>10.0</v>
      </c>
      <c r="I4" s="232">
        <v>58.0</v>
      </c>
      <c r="J4" s="234">
        <v>0.83</v>
      </c>
      <c r="K4" s="202" t="s">
        <v>1730</v>
      </c>
      <c r="L4" s="202">
        <v>2.6421108E9</v>
      </c>
      <c r="M4" s="202" t="s">
        <v>1147</v>
      </c>
      <c r="N4" s="202" t="s">
        <v>1164</v>
      </c>
      <c r="O4" s="202" t="s">
        <v>555</v>
      </c>
      <c r="P4" s="202" t="s">
        <v>2522</v>
      </c>
      <c r="Q4" s="235">
        <f>COUNTIF('Hedef Liste'!A:A,A4)</f>
        <v>1</v>
      </c>
    </row>
    <row r="5" hidden="1">
      <c r="A5" s="202" t="s">
        <v>17</v>
      </c>
      <c r="B5" s="202" t="s">
        <v>18</v>
      </c>
      <c r="C5" s="231" t="s">
        <v>2523</v>
      </c>
      <c r="D5" s="202" t="s">
        <v>1162</v>
      </c>
      <c r="E5" s="232">
        <v>2123.0</v>
      </c>
      <c r="F5" s="232">
        <v>124.0</v>
      </c>
      <c r="G5" s="232">
        <v>32.0</v>
      </c>
      <c r="H5" s="232">
        <v>25.0</v>
      </c>
      <c r="I5" s="232">
        <v>57.0</v>
      </c>
      <c r="J5" s="234">
        <v>0.56</v>
      </c>
      <c r="K5" s="202" t="s">
        <v>2526</v>
      </c>
      <c r="L5" s="202">
        <v>5.462777754E9</v>
      </c>
      <c r="M5" s="202" t="s">
        <v>1147</v>
      </c>
      <c r="N5" s="202" t="s">
        <v>1200</v>
      </c>
      <c r="O5" s="202" t="s">
        <v>21</v>
      </c>
      <c r="P5" s="202" t="s">
        <v>2522</v>
      </c>
      <c r="Q5" s="235">
        <f>COUNTIF('Hedef Liste'!A:A,A5)</f>
        <v>1</v>
      </c>
    </row>
    <row r="6" hidden="1">
      <c r="A6" s="202" t="s">
        <v>537</v>
      </c>
      <c r="B6" s="202" t="s">
        <v>538</v>
      </c>
      <c r="C6" s="231" t="s">
        <v>2523</v>
      </c>
      <c r="D6" s="202" t="s">
        <v>1235</v>
      </c>
      <c r="E6" s="232">
        <v>266.0</v>
      </c>
      <c r="F6" s="233"/>
      <c r="G6" s="232">
        <v>24.0</v>
      </c>
      <c r="H6" s="232">
        <v>17.0</v>
      </c>
      <c r="I6" s="232">
        <v>41.0</v>
      </c>
      <c r="J6" s="234">
        <v>0.59</v>
      </c>
      <c r="K6" s="202" t="s">
        <v>1698</v>
      </c>
      <c r="L6" s="202">
        <v>5.324709754E9</v>
      </c>
      <c r="M6" s="202" t="s">
        <v>1147</v>
      </c>
      <c r="N6" s="202" t="s">
        <v>1164</v>
      </c>
      <c r="O6" s="202" t="s">
        <v>1018</v>
      </c>
      <c r="P6" s="202" t="s">
        <v>2522</v>
      </c>
      <c r="Q6" s="235">
        <f>COUNTIF('Hedef Liste'!A:A,A6)</f>
        <v>1</v>
      </c>
    </row>
    <row r="7" hidden="1">
      <c r="A7" s="202" t="s">
        <v>337</v>
      </c>
      <c r="B7" s="202" t="s">
        <v>338</v>
      </c>
      <c r="C7" s="231" t="s">
        <v>2523</v>
      </c>
      <c r="D7" s="202" t="s">
        <v>1188</v>
      </c>
      <c r="E7" s="232">
        <v>869.0</v>
      </c>
      <c r="F7" s="232">
        <v>35.0</v>
      </c>
      <c r="G7" s="232">
        <v>8.0</v>
      </c>
      <c r="H7" s="232">
        <v>3.0</v>
      </c>
      <c r="I7" s="232">
        <v>11.0</v>
      </c>
      <c r="J7" s="234">
        <v>0.73</v>
      </c>
      <c r="K7" s="202" t="s">
        <v>2263</v>
      </c>
      <c r="L7" s="202">
        <v>5.425741454E9</v>
      </c>
      <c r="M7" s="202" t="s">
        <v>1172</v>
      </c>
      <c r="N7" s="202" t="s">
        <v>1336</v>
      </c>
      <c r="O7" s="202" t="s">
        <v>341</v>
      </c>
      <c r="P7" s="202" t="s">
        <v>2522</v>
      </c>
      <c r="Q7" s="235">
        <f>COUNTIF('Hedef Liste'!A:A,A7)</f>
        <v>1</v>
      </c>
    </row>
    <row r="8" hidden="1">
      <c r="A8" s="202" t="s">
        <v>28</v>
      </c>
      <c r="B8" s="202" t="s">
        <v>29</v>
      </c>
      <c r="C8" s="231" t="s">
        <v>2523</v>
      </c>
      <c r="D8" s="202" t="s">
        <v>1162</v>
      </c>
      <c r="E8" s="232">
        <v>5615.0</v>
      </c>
      <c r="F8" s="232">
        <v>125.0</v>
      </c>
      <c r="G8" s="232">
        <v>7.0</v>
      </c>
      <c r="H8" s="232">
        <v>33.0</v>
      </c>
      <c r="I8" s="232">
        <v>40.0</v>
      </c>
      <c r="J8" s="234">
        <v>0.18</v>
      </c>
      <c r="K8" s="202" t="s">
        <v>2126</v>
      </c>
      <c r="L8" s="202">
        <v>5.423614452E9</v>
      </c>
      <c r="M8" s="202" t="s">
        <v>1147</v>
      </c>
      <c r="N8" s="202" t="s">
        <v>1157</v>
      </c>
      <c r="O8" s="202" t="s">
        <v>32</v>
      </c>
      <c r="P8" s="202" t="s">
        <v>2522</v>
      </c>
      <c r="Q8" s="235">
        <f>COUNTIF('Hedef Liste'!A:A,A8)</f>
        <v>1</v>
      </c>
    </row>
    <row r="9" hidden="1">
      <c r="A9" s="202" t="s">
        <v>285</v>
      </c>
      <c r="B9" s="202" t="s">
        <v>286</v>
      </c>
      <c r="C9" s="231" t="s">
        <v>2523</v>
      </c>
      <c r="D9" s="202" t="s">
        <v>1155</v>
      </c>
      <c r="E9" s="232">
        <v>906.0</v>
      </c>
      <c r="F9" s="233"/>
      <c r="G9" s="232">
        <v>14.0</v>
      </c>
      <c r="H9" s="232">
        <v>10.0</v>
      </c>
      <c r="I9" s="232">
        <v>24.0</v>
      </c>
      <c r="J9" s="234">
        <v>0.58</v>
      </c>
      <c r="K9" s="202" t="s">
        <v>1560</v>
      </c>
      <c r="L9" s="202">
        <v>5.340794102E9</v>
      </c>
      <c r="M9" s="202" t="s">
        <v>1147</v>
      </c>
      <c r="N9" s="202" t="s">
        <v>1200</v>
      </c>
      <c r="O9" s="202" t="s">
        <v>289</v>
      </c>
      <c r="P9" s="202" t="s">
        <v>2522</v>
      </c>
      <c r="Q9" s="235">
        <f>COUNTIF('Hedef Liste'!A:A,A9)</f>
        <v>1</v>
      </c>
    </row>
    <row r="10" hidden="1">
      <c r="A10" s="202" t="s">
        <v>2221</v>
      </c>
      <c r="B10" s="202" t="s">
        <v>2222</v>
      </c>
      <c r="C10" s="231" t="s">
        <v>2523</v>
      </c>
      <c r="D10" s="202" t="s">
        <v>1170</v>
      </c>
      <c r="E10" s="232">
        <v>2025.0</v>
      </c>
      <c r="F10" s="232">
        <v>199.0</v>
      </c>
      <c r="G10" s="232">
        <v>0.0</v>
      </c>
      <c r="H10" s="232">
        <v>23.0</v>
      </c>
      <c r="I10" s="232">
        <v>23.0</v>
      </c>
      <c r="J10" s="234">
        <v>0.0</v>
      </c>
      <c r="K10" s="202" t="s">
        <v>2223</v>
      </c>
      <c r="L10" s="202">
        <v>5.399224034E9</v>
      </c>
      <c r="M10" s="202" t="s">
        <v>1147</v>
      </c>
      <c r="N10" s="202" t="s">
        <v>1164</v>
      </c>
      <c r="O10" s="202" t="s">
        <v>2224</v>
      </c>
      <c r="P10" s="202" t="s">
        <v>2522</v>
      </c>
      <c r="Q10" s="235">
        <f>COUNTIF('Hedef Liste'!A:A,A10)</f>
        <v>1</v>
      </c>
    </row>
    <row r="11" hidden="1">
      <c r="A11" s="202" t="s">
        <v>322</v>
      </c>
      <c r="B11" s="202" t="s">
        <v>323</v>
      </c>
      <c r="C11" s="231" t="s">
        <v>2523</v>
      </c>
      <c r="D11" s="202" t="s">
        <v>1281</v>
      </c>
      <c r="E11" s="232">
        <v>875.0</v>
      </c>
      <c r="F11" s="232">
        <v>56.0</v>
      </c>
      <c r="G11" s="232">
        <v>7.0</v>
      </c>
      <c r="H11" s="232">
        <v>29.0</v>
      </c>
      <c r="I11" s="232">
        <v>36.0</v>
      </c>
      <c r="J11" s="234">
        <v>0.19</v>
      </c>
      <c r="K11" s="202" t="s">
        <v>2168</v>
      </c>
      <c r="L11" s="202">
        <v>5.41323857E9</v>
      </c>
      <c r="M11" s="202" t="s">
        <v>1177</v>
      </c>
      <c r="N11" s="202" t="s">
        <v>2384</v>
      </c>
      <c r="O11" s="202" t="s">
        <v>326</v>
      </c>
      <c r="P11" s="202" t="s">
        <v>2522</v>
      </c>
      <c r="Q11" s="235">
        <f>COUNTIF('Hedef Liste'!A:A,A11)</f>
        <v>1</v>
      </c>
    </row>
    <row r="12" hidden="1">
      <c r="A12" s="202" t="s">
        <v>2527</v>
      </c>
      <c r="B12" s="202" t="s">
        <v>2528</v>
      </c>
      <c r="C12" s="231" t="s">
        <v>2523</v>
      </c>
      <c r="D12" s="202" t="s">
        <v>1216</v>
      </c>
      <c r="E12" s="232">
        <v>8464.0</v>
      </c>
      <c r="F12" s="232">
        <v>290.0</v>
      </c>
      <c r="G12" s="232">
        <v>121.0</v>
      </c>
      <c r="H12" s="232">
        <v>3.0</v>
      </c>
      <c r="I12" s="232">
        <v>124.0</v>
      </c>
      <c r="J12" s="234">
        <v>0.98</v>
      </c>
      <c r="K12" s="202" t="s">
        <v>2529</v>
      </c>
      <c r="L12" s="202">
        <v>2.64278681E9</v>
      </c>
      <c r="M12" s="202" t="s">
        <v>1172</v>
      </c>
      <c r="N12" s="202" t="s">
        <v>1196</v>
      </c>
      <c r="O12" s="202" t="s">
        <v>2530</v>
      </c>
      <c r="P12" s="202" t="s">
        <v>2531</v>
      </c>
      <c r="Q12" s="235">
        <f>COUNTIF('Hedef Liste'!A:A,A12)</f>
        <v>0</v>
      </c>
    </row>
    <row r="13" hidden="1">
      <c r="A13" s="202" t="s">
        <v>2532</v>
      </c>
      <c r="B13" s="202" t="s">
        <v>2533</v>
      </c>
      <c r="C13" s="231" t="s">
        <v>2523</v>
      </c>
      <c r="D13" s="202" t="s">
        <v>1216</v>
      </c>
      <c r="E13" s="232">
        <v>121.0</v>
      </c>
      <c r="F13" s="232">
        <v>17.0</v>
      </c>
      <c r="G13" s="232">
        <v>121.0</v>
      </c>
      <c r="H13" s="232">
        <v>3.0</v>
      </c>
      <c r="I13" s="232">
        <v>124.0</v>
      </c>
      <c r="J13" s="234">
        <v>0.98</v>
      </c>
      <c r="K13" s="202" t="s">
        <v>2529</v>
      </c>
      <c r="L13" s="202">
        <v>2.644621592E9</v>
      </c>
      <c r="M13" s="202" t="s">
        <v>1679</v>
      </c>
      <c r="N13" s="202" t="s">
        <v>2534</v>
      </c>
      <c r="O13" s="202" t="s">
        <v>2535</v>
      </c>
      <c r="P13" s="202" t="s">
        <v>2531</v>
      </c>
      <c r="Q13" s="235">
        <f>COUNTIF('Hedef Liste'!A:A,A13)</f>
        <v>0</v>
      </c>
    </row>
    <row r="14" hidden="1">
      <c r="A14" s="202" t="s">
        <v>2536</v>
      </c>
      <c r="B14" s="202" t="s">
        <v>2537</v>
      </c>
      <c r="C14" s="231" t="s">
        <v>2523</v>
      </c>
      <c r="D14" s="202" t="s">
        <v>1216</v>
      </c>
      <c r="E14" s="232">
        <v>9990.0</v>
      </c>
      <c r="F14" s="232">
        <v>439.0</v>
      </c>
      <c r="G14" s="232">
        <v>121.0</v>
      </c>
      <c r="H14" s="232">
        <v>3.0</v>
      </c>
      <c r="I14" s="232">
        <v>124.0</v>
      </c>
      <c r="J14" s="234">
        <v>0.98</v>
      </c>
      <c r="K14" s="202" t="s">
        <v>2529</v>
      </c>
      <c r="L14" s="202">
        <v>2.642282203E9</v>
      </c>
      <c r="M14" s="202" t="s">
        <v>1147</v>
      </c>
      <c r="N14" s="202" t="s">
        <v>1164</v>
      </c>
      <c r="O14" s="202" t="s">
        <v>2538</v>
      </c>
      <c r="P14" s="202" t="s">
        <v>2531</v>
      </c>
      <c r="Q14" s="235">
        <f>COUNTIF('Hedef Liste'!A:A,A14)</f>
        <v>0</v>
      </c>
    </row>
    <row r="15" hidden="1">
      <c r="A15" s="202" t="s">
        <v>461</v>
      </c>
      <c r="B15" s="202" t="s">
        <v>809</v>
      </c>
      <c r="C15" s="231" t="s">
        <v>2521</v>
      </c>
      <c r="D15" s="202" t="s">
        <v>1162</v>
      </c>
      <c r="E15" s="232">
        <v>98.0</v>
      </c>
      <c r="F15" s="233"/>
      <c r="G15" s="232">
        <v>5.0</v>
      </c>
      <c r="H15" s="232">
        <v>34.0</v>
      </c>
      <c r="I15" s="232">
        <v>39.0</v>
      </c>
      <c r="J15" s="234">
        <v>0.13</v>
      </c>
      <c r="K15" s="202" t="s">
        <v>2124</v>
      </c>
      <c r="L15" s="202">
        <v>5.434311111E9</v>
      </c>
      <c r="M15" s="202" t="s">
        <v>1172</v>
      </c>
      <c r="N15" s="202" t="s">
        <v>1379</v>
      </c>
      <c r="O15" s="202" t="s">
        <v>464</v>
      </c>
      <c r="P15" s="202" t="s">
        <v>2522</v>
      </c>
      <c r="Q15" s="235">
        <f>COUNTIF('Hedef Liste'!A:A,A15)</f>
        <v>1</v>
      </c>
    </row>
    <row r="16" hidden="1">
      <c r="A16" s="202" t="s">
        <v>2189</v>
      </c>
      <c r="B16" s="202" t="s">
        <v>2190</v>
      </c>
      <c r="C16" s="231" t="s">
        <v>2523</v>
      </c>
      <c r="D16" s="202" t="s">
        <v>1216</v>
      </c>
      <c r="E16" s="232">
        <v>1653.0</v>
      </c>
      <c r="F16" s="232">
        <v>33.0</v>
      </c>
      <c r="G16" s="232">
        <v>124.0</v>
      </c>
      <c r="H16" s="232">
        <v>3.0</v>
      </c>
      <c r="I16" s="232">
        <v>127.0</v>
      </c>
      <c r="J16" s="234">
        <v>0.98</v>
      </c>
      <c r="K16" s="202" t="s">
        <v>2191</v>
      </c>
      <c r="L16" s="202">
        <v>2.642412626E9</v>
      </c>
      <c r="M16" s="202" t="s">
        <v>1177</v>
      </c>
      <c r="N16" s="202" t="s">
        <v>1178</v>
      </c>
      <c r="O16" s="202" t="s">
        <v>2192</v>
      </c>
      <c r="P16" s="202" t="s">
        <v>2522</v>
      </c>
      <c r="Q16" s="235">
        <f>COUNTIF('Hedef Liste'!A:A,A16)</f>
        <v>1</v>
      </c>
    </row>
    <row r="17" hidden="1">
      <c r="A17" s="202" t="s">
        <v>761</v>
      </c>
      <c r="B17" s="202" t="s">
        <v>762</v>
      </c>
      <c r="C17" s="231" t="s">
        <v>2523</v>
      </c>
      <c r="D17" s="202" t="s">
        <v>1155</v>
      </c>
      <c r="E17" s="232">
        <v>2585.0</v>
      </c>
      <c r="F17" s="232">
        <v>199.0</v>
      </c>
      <c r="G17" s="232">
        <v>31.0</v>
      </c>
      <c r="H17" s="232">
        <v>25.0</v>
      </c>
      <c r="I17" s="232">
        <v>56.0</v>
      </c>
      <c r="J17" s="234">
        <v>0.55</v>
      </c>
      <c r="K17" s="202" t="s">
        <v>2009</v>
      </c>
      <c r="L17" s="202">
        <v>2.642722222E9</v>
      </c>
      <c r="M17" s="202" t="s">
        <v>1147</v>
      </c>
      <c r="N17" s="202" t="s">
        <v>1164</v>
      </c>
      <c r="O17" s="202" t="s">
        <v>764</v>
      </c>
      <c r="P17" s="202" t="s">
        <v>2522</v>
      </c>
      <c r="Q17" s="235">
        <f>COUNTIF('Hedef Liste'!A:A,A17)</f>
        <v>1</v>
      </c>
    </row>
    <row r="18" hidden="1">
      <c r="A18" s="202" t="s">
        <v>2003</v>
      </c>
      <c r="B18" s="202" t="s">
        <v>2004</v>
      </c>
      <c r="C18" s="231" t="s">
        <v>2523</v>
      </c>
      <c r="D18" s="202" t="s">
        <v>1226</v>
      </c>
      <c r="E18" s="232">
        <v>114.0</v>
      </c>
      <c r="F18" s="233"/>
      <c r="G18" s="232">
        <v>0.0</v>
      </c>
      <c r="H18" s="232">
        <v>9.0</v>
      </c>
      <c r="I18" s="232">
        <v>9.0</v>
      </c>
      <c r="J18" s="234">
        <v>0.0</v>
      </c>
      <c r="K18" s="202" t="s">
        <v>1552</v>
      </c>
      <c r="L18" s="202">
        <v>2.642796136E9</v>
      </c>
      <c r="M18" s="202" t="s">
        <v>1147</v>
      </c>
      <c r="N18" s="202" t="s">
        <v>1148</v>
      </c>
      <c r="O18" s="202" t="s">
        <v>1553</v>
      </c>
      <c r="P18" s="202" t="s">
        <v>2522</v>
      </c>
      <c r="Q18" s="235">
        <f>COUNTIF('Hedef Liste'!A:A,A18)</f>
        <v>1</v>
      </c>
    </row>
    <row r="19" hidden="1">
      <c r="A19" s="202" t="s">
        <v>327</v>
      </c>
      <c r="B19" s="202" t="s">
        <v>328</v>
      </c>
      <c r="C19" s="231" t="s">
        <v>2523</v>
      </c>
      <c r="D19" s="202" t="s">
        <v>1311</v>
      </c>
      <c r="E19" s="232">
        <v>525.0</v>
      </c>
      <c r="F19" s="232">
        <v>9.0</v>
      </c>
      <c r="G19" s="232">
        <v>0.0</v>
      </c>
      <c r="H19" s="232">
        <v>54.0</v>
      </c>
      <c r="I19" s="232">
        <v>54.0</v>
      </c>
      <c r="J19" s="234">
        <v>0.0</v>
      </c>
      <c r="K19" s="202" t="s">
        <v>1470</v>
      </c>
      <c r="L19" s="202">
        <v>5.441406154E9</v>
      </c>
      <c r="M19" s="202" t="s">
        <v>1172</v>
      </c>
      <c r="N19" s="202" t="s">
        <v>1336</v>
      </c>
      <c r="O19" s="202" t="s">
        <v>331</v>
      </c>
      <c r="P19" s="202" t="s">
        <v>2522</v>
      </c>
      <c r="Q19" s="235">
        <f>COUNTIF('Hedef Liste'!A:A,A19)</f>
        <v>1</v>
      </c>
    </row>
    <row r="20" hidden="1">
      <c r="A20" s="202" t="s">
        <v>2288</v>
      </c>
      <c r="B20" s="202" t="s">
        <v>2289</v>
      </c>
      <c r="C20" s="231" t="s">
        <v>2523</v>
      </c>
      <c r="D20" s="202" t="s">
        <v>1235</v>
      </c>
      <c r="E20" s="232">
        <v>784.0</v>
      </c>
      <c r="F20" s="232">
        <v>31.0</v>
      </c>
      <c r="G20" s="232">
        <v>13.0</v>
      </c>
      <c r="H20" s="232">
        <v>21.0</v>
      </c>
      <c r="I20" s="232">
        <v>34.0</v>
      </c>
      <c r="J20" s="234">
        <v>0.38</v>
      </c>
      <c r="K20" s="202" t="s">
        <v>2290</v>
      </c>
      <c r="L20" s="202">
        <v>5.322140537E9</v>
      </c>
      <c r="M20" s="202" t="s">
        <v>1318</v>
      </c>
      <c r="N20" s="202" t="s">
        <v>1636</v>
      </c>
      <c r="O20" s="202" t="s">
        <v>2291</v>
      </c>
      <c r="P20" s="202" t="s">
        <v>2522</v>
      </c>
      <c r="Q20" s="235">
        <f>COUNTIF('Hedef Liste'!A:A,A20)</f>
        <v>1</v>
      </c>
    </row>
    <row r="21" hidden="1">
      <c r="A21" s="202" t="s">
        <v>677</v>
      </c>
      <c r="B21" s="202" t="s">
        <v>678</v>
      </c>
      <c r="C21" s="231" t="s">
        <v>2523</v>
      </c>
      <c r="D21" s="202" t="s">
        <v>1188</v>
      </c>
      <c r="E21" s="232">
        <v>3785.0</v>
      </c>
      <c r="F21" s="232">
        <v>81.0</v>
      </c>
      <c r="G21" s="232">
        <v>19.0</v>
      </c>
      <c r="H21" s="232">
        <v>14.0</v>
      </c>
      <c r="I21" s="232">
        <v>33.0</v>
      </c>
      <c r="J21" s="234">
        <v>0.58</v>
      </c>
      <c r="K21" s="202" t="s">
        <v>2539</v>
      </c>
      <c r="L21" s="202">
        <v>2.642733141E9</v>
      </c>
      <c r="M21" s="202" t="s">
        <v>1172</v>
      </c>
      <c r="N21" s="202" t="s">
        <v>1190</v>
      </c>
      <c r="O21" s="202" t="s">
        <v>680</v>
      </c>
      <c r="P21" s="202" t="s">
        <v>2522</v>
      </c>
      <c r="Q21" s="235">
        <f>COUNTIF('Hedef Liste'!A:A,A21)</f>
        <v>1</v>
      </c>
    </row>
    <row r="22" hidden="1">
      <c r="A22" s="202" t="s">
        <v>1496</v>
      </c>
      <c r="B22" s="202" t="s">
        <v>1497</v>
      </c>
      <c r="C22" s="231" t="s">
        <v>2521</v>
      </c>
      <c r="D22" s="202" t="s">
        <v>1145</v>
      </c>
      <c r="E22" s="232">
        <v>707.0</v>
      </c>
      <c r="F22" s="233"/>
      <c r="G22" s="232">
        <v>0.0</v>
      </c>
      <c r="H22" s="232">
        <v>29.0</v>
      </c>
      <c r="I22" s="232">
        <v>29.0</v>
      </c>
      <c r="J22" s="234">
        <v>0.0</v>
      </c>
      <c r="K22" s="202" t="s">
        <v>1498</v>
      </c>
      <c r="L22" s="202">
        <v>2.642755275E9</v>
      </c>
      <c r="M22" s="202" t="s">
        <v>1172</v>
      </c>
      <c r="N22" s="202" t="s">
        <v>1979</v>
      </c>
      <c r="O22" s="202" t="s">
        <v>299</v>
      </c>
      <c r="P22" s="202" t="s">
        <v>2522</v>
      </c>
      <c r="Q22" s="235">
        <f>COUNTIF('Hedef Liste'!A:A,A22)</f>
        <v>1</v>
      </c>
    </row>
    <row r="23" hidden="1">
      <c r="A23" s="202" t="s">
        <v>491</v>
      </c>
      <c r="B23" s="202" t="s">
        <v>492</v>
      </c>
      <c r="C23" s="231" t="s">
        <v>2523</v>
      </c>
      <c r="D23" s="202" t="s">
        <v>1302</v>
      </c>
      <c r="E23" s="232">
        <v>1025.0</v>
      </c>
      <c r="F23" s="232">
        <v>33.0</v>
      </c>
      <c r="G23" s="232">
        <v>21.0</v>
      </c>
      <c r="H23" s="232">
        <v>10.0</v>
      </c>
      <c r="I23" s="232">
        <v>31.0</v>
      </c>
      <c r="J23" s="234">
        <v>0.68</v>
      </c>
      <c r="K23" s="202" t="s">
        <v>2286</v>
      </c>
      <c r="L23" s="202">
        <v>5.323942354E9</v>
      </c>
      <c r="M23" s="202" t="s">
        <v>1147</v>
      </c>
      <c r="N23" s="202" t="s">
        <v>1148</v>
      </c>
      <c r="O23" s="202" t="s">
        <v>494</v>
      </c>
      <c r="P23" s="202" t="s">
        <v>2522</v>
      </c>
      <c r="Q23" s="235">
        <f>COUNTIF('Hedef Liste'!A:A,A23)</f>
        <v>1</v>
      </c>
    </row>
    <row r="24" hidden="1">
      <c r="A24" s="202" t="s">
        <v>2414</v>
      </c>
      <c r="B24" s="202" t="s">
        <v>2415</v>
      </c>
      <c r="C24" s="231" t="s">
        <v>2523</v>
      </c>
      <c r="D24" s="202" t="s">
        <v>1302</v>
      </c>
      <c r="E24" s="232">
        <v>208.0</v>
      </c>
      <c r="F24" s="232">
        <v>5.0</v>
      </c>
      <c r="G24" s="232">
        <v>0.0</v>
      </c>
      <c r="H24" s="232">
        <v>63.0</v>
      </c>
      <c r="I24" s="232">
        <v>63.0</v>
      </c>
      <c r="J24" s="234">
        <v>0.0</v>
      </c>
      <c r="K24" s="202" t="s">
        <v>2416</v>
      </c>
      <c r="L24" s="202">
        <v>2.645825452E9</v>
      </c>
      <c r="M24" s="202" t="s">
        <v>1318</v>
      </c>
      <c r="N24" s="202" t="s">
        <v>1319</v>
      </c>
      <c r="O24" s="202" t="s">
        <v>2417</v>
      </c>
      <c r="P24" s="202" t="s">
        <v>2522</v>
      </c>
      <c r="Q24" s="235">
        <f>COUNTIF('Hedef Liste'!A:A,A24)</f>
        <v>1</v>
      </c>
    </row>
    <row r="25" hidden="1">
      <c r="A25" s="202" t="s">
        <v>2071</v>
      </c>
      <c r="B25" s="202" t="s">
        <v>2072</v>
      </c>
      <c r="C25" s="231" t="s">
        <v>2523</v>
      </c>
      <c r="D25" s="202" t="s">
        <v>1188</v>
      </c>
      <c r="E25" s="232">
        <v>6.0</v>
      </c>
      <c r="F25" s="232">
        <v>2.0</v>
      </c>
      <c r="G25" s="232">
        <v>0.0</v>
      </c>
      <c r="H25" s="232">
        <v>20.0</v>
      </c>
      <c r="I25" s="232">
        <v>20.0</v>
      </c>
      <c r="J25" s="234">
        <v>0.0</v>
      </c>
      <c r="K25" s="202" t="s">
        <v>2073</v>
      </c>
      <c r="L25" s="202">
        <v>5.300271965E9</v>
      </c>
      <c r="M25" s="202" t="s">
        <v>1172</v>
      </c>
      <c r="N25" s="202" t="s">
        <v>1190</v>
      </c>
      <c r="O25" s="202" t="s">
        <v>2074</v>
      </c>
      <c r="P25" s="202" t="s">
        <v>2522</v>
      </c>
      <c r="Q25" s="235">
        <f>COUNTIF('Hedef Liste'!A:A,A25)</f>
        <v>1</v>
      </c>
    </row>
    <row r="26" hidden="1">
      <c r="A26" s="202" t="s">
        <v>900</v>
      </c>
      <c r="B26" s="202" t="s">
        <v>901</v>
      </c>
      <c r="C26" s="231" t="s">
        <v>2521</v>
      </c>
      <c r="D26" s="202" t="s">
        <v>1155</v>
      </c>
      <c r="E26" s="232">
        <v>93.0</v>
      </c>
      <c r="F26" s="233"/>
      <c r="G26" s="232">
        <v>22.0</v>
      </c>
      <c r="H26" s="232">
        <v>16.0</v>
      </c>
      <c r="I26" s="232">
        <v>38.0</v>
      </c>
      <c r="J26" s="234">
        <v>0.58</v>
      </c>
      <c r="K26" s="202" t="s">
        <v>1749</v>
      </c>
      <c r="L26" s="202">
        <v>2.642411919E9</v>
      </c>
      <c r="M26" s="202" t="s">
        <v>1177</v>
      </c>
      <c r="N26" s="202" t="s">
        <v>1177</v>
      </c>
      <c r="O26" s="202" t="s">
        <v>1750</v>
      </c>
      <c r="P26" s="202" t="s">
        <v>2522</v>
      </c>
      <c r="Q26" s="235">
        <f>COUNTIF('Hedef Liste'!A:A,A26)</f>
        <v>1</v>
      </c>
    </row>
    <row r="27" hidden="1">
      <c r="A27" s="202" t="s">
        <v>1632</v>
      </c>
      <c r="B27" s="202" t="s">
        <v>1633</v>
      </c>
      <c r="C27" s="231" t="s">
        <v>2523</v>
      </c>
      <c r="D27" s="202" t="s">
        <v>1182</v>
      </c>
      <c r="E27" s="232">
        <v>621.0</v>
      </c>
      <c r="F27" s="232">
        <v>19.0</v>
      </c>
      <c r="G27" s="232">
        <v>8.0</v>
      </c>
      <c r="H27" s="232">
        <v>1.0</v>
      </c>
      <c r="I27" s="232">
        <v>9.0</v>
      </c>
      <c r="J27" s="234">
        <v>0.89</v>
      </c>
      <c r="K27" s="202" t="s">
        <v>1580</v>
      </c>
      <c r="L27" s="202">
        <v>5.528375854E9</v>
      </c>
      <c r="M27" s="202" t="s">
        <v>1318</v>
      </c>
      <c r="N27" s="202" t="s">
        <v>1324</v>
      </c>
      <c r="O27" s="202" t="s">
        <v>455</v>
      </c>
      <c r="P27" s="202" t="s">
        <v>2522</v>
      </c>
      <c r="Q27" s="235">
        <f>COUNTIF('Hedef Liste'!A:A,A27)</f>
        <v>1</v>
      </c>
    </row>
    <row r="28" hidden="1">
      <c r="A28" s="202" t="s">
        <v>1394</v>
      </c>
      <c r="B28" s="202" t="s">
        <v>1395</v>
      </c>
      <c r="C28" s="231" t="s">
        <v>2523</v>
      </c>
      <c r="D28" s="202" t="s">
        <v>1155</v>
      </c>
      <c r="E28" s="232">
        <v>999.0</v>
      </c>
      <c r="F28" s="232">
        <v>22.0</v>
      </c>
      <c r="G28" s="232">
        <v>3.0</v>
      </c>
      <c r="H28" s="232">
        <v>16.0</v>
      </c>
      <c r="I28" s="232">
        <v>19.0</v>
      </c>
      <c r="J28" s="234">
        <v>0.16</v>
      </c>
      <c r="K28" s="202" t="s">
        <v>1396</v>
      </c>
      <c r="L28" s="202">
        <v>5.418954334E9</v>
      </c>
      <c r="M28" s="202" t="s">
        <v>1242</v>
      </c>
      <c r="N28" s="202" t="s">
        <v>1397</v>
      </c>
      <c r="O28" s="202" t="s">
        <v>1398</v>
      </c>
      <c r="P28" s="202" t="s">
        <v>2522</v>
      </c>
      <c r="Q28" s="235">
        <f>COUNTIF('Hedef Liste'!A:A,A28)</f>
        <v>1</v>
      </c>
    </row>
    <row r="29" hidden="1">
      <c r="A29" s="202" t="s">
        <v>2034</v>
      </c>
      <c r="B29" s="202" t="s">
        <v>2035</v>
      </c>
      <c r="C29" s="231" t="s">
        <v>2521</v>
      </c>
      <c r="D29" s="202" t="s">
        <v>1302</v>
      </c>
      <c r="F29" s="233"/>
      <c r="G29" s="232">
        <v>0.0</v>
      </c>
      <c r="H29" s="232">
        <v>36.0</v>
      </c>
      <c r="I29" s="232">
        <v>36.0</v>
      </c>
      <c r="J29" s="234">
        <v>0.0</v>
      </c>
      <c r="K29" s="202" t="s">
        <v>2036</v>
      </c>
      <c r="L29" s="202">
        <v>5.433299137E9</v>
      </c>
      <c r="M29" s="202" t="s">
        <v>1147</v>
      </c>
      <c r="N29" s="202" t="s">
        <v>1148</v>
      </c>
      <c r="O29" s="202" t="s">
        <v>2037</v>
      </c>
      <c r="P29" s="202" t="s">
        <v>2522</v>
      </c>
      <c r="Q29" s="235">
        <f>COUNTIF('Hedef Liste'!A:A,A29)</f>
        <v>1</v>
      </c>
    </row>
    <row r="30" hidden="1">
      <c r="A30" s="202" t="s">
        <v>1876</v>
      </c>
      <c r="B30" s="202" t="s">
        <v>1877</v>
      </c>
      <c r="C30" s="231" t="s">
        <v>2521</v>
      </c>
      <c r="D30" s="202" t="s">
        <v>1311</v>
      </c>
      <c r="E30" s="232">
        <v>1.0</v>
      </c>
      <c r="F30" s="233"/>
      <c r="G30" s="232">
        <v>0.0</v>
      </c>
      <c r="H30" s="232">
        <v>37.0</v>
      </c>
      <c r="I30" s="232">
        <v>37.0</v>
      </c>
      <c r="J30" s="234">
        <v>0.0</v>
      </c>
      <c r="K30" s="202" t="s">
        <v>1878</v>
      </c>
      <c r="L30" s="202">
        <v>5.062044065E9</v>
      </c>
      <c r="M30" s="202" t="s">
        <v>1172</v>
      </c>
      <c r="N30" s="202" t="s">
        <v>1190</v>
      </c>
      <c r="O30" s="202" t="s">
        <v>1879</v>
      </c>
      <c r="P30" s="202" t="s">
        <v>2522</v>
      </c>
      <c r="Q30" s="235">
        <f>COUNTIF('Hedef Liste'!A:A,A30)</f>
        <v>1</v>
      </c>
    </row>
    <row r="31" hidden="1">
      <c r="A31" s="202" t="s">
        <v>522</v>
      </c>
      <c r="B31" s="202" t="s">
        <v>523</v>
      </c>
      <c r="C31" s="231" t="s">
        <v>2521</v>
      </c>
      <c r="D31" s="202" t="s">
        <v>1155</v>
      </c>
      <c r="E31" s="232">
        <v>2960.0</v>
      </c>
      <c r="F31" s="233"/>
      <c r="G31" s="232">
        <v>34.0</v>
      </c>
      <c r="H31" s="232">
        <v>21.0</v>
      </c>
      <c r="I31" s="232">
        <v>55.0</v>
      </c>
      <c r="J31" s="234">
        <v>0.62</v>
      </c>
      <c r="K31" s="202" t="s">
        <v>2187</v>
      </c>
      <c r="L31" s="202">
        <v>5.312105641E9</v>
      </c>
      <c r="M31" s="202" t="s">
        <v>1172</v>
      </c>
      <c r="N31" s="202" t="s">
        <v>1405</v>
      </c>
      <c r="O31" s="202" t="s">
        <v>525</v>
      </c>
      <c r="P31" s="202" t="s">
        <v>2522</v>
      </c>
      <c r="Q31" s="235">
        <f>COUNTIF('Hedef Liste'!A:A,A31)</f>
        <v>1</v>
      </c>
    </row>
    <row r="32" hidden="1">
      <c r="A32" s="202" t="s">
        <v>1572</v>
      </c>
      <c r="B32" s="202" t="s">
        <v>1573</v>
      </c>
      <c r="C32" s="231" t="s">
        <v>2523</v>
      </c>
      <c r="D32" s="202" t="s">
        <v>1220</v>
      </c>
      <c r="E32" s="232">
        <v>469.0</v>
      </c>
      <c r="F32" s="232">
        <v>9.0</v>
      </c>
      <c r="G32" s="232">
        <v>0.0</v>
      </c>
      <c r="H32" s="232">
        <v>37.0</v>
      </c>
      <c r="I32" s="232">
        <v>37.0</v>
      </c>
      <c r="J32" s="234">
        <v>0.0</v>
      </c>
      <c r="K32" s="202" t="s">
        <v>1574</v>
      </c>
      <c r="L32" s="202">
        <v>2.64273524E9</v>
      </c>
      <c r="M32" s="202" t="s">
        <v>1147</v>
      </c>
      <c r="N32" s="202" t="s">
        <v>1148</v>
      </c>
      <c r="O32" s="202" t="s">
        <v>1212</v>
      </c>
      <c r="P32" s="202" t="s">
        <v>2522</v>
      </c>
      <c r="Q32" s="235">
        <f>COUNTIF('Hedef Liste'!A:A,A32)</f>
        <v>1</v>
      </c>
    </row>
    <row r="33" hidden="1">
      <c r="A33" s="202" t="s">
        <v>2235</v>
      </c>
      <c r="B33" s="202" t="s">
        <v>2236</v>
      </c>
      <c r="C33" s="231" t="s">
        <v>2521</v>
      </c>
      <c r="D33" s="202" t="s">
        <v>1216</v>
      </c>
      <c r="E33" s="232">
        <v>1396.0</v>
      </c>
      <c r="F33" s="233"/>
      <c r="G33" s="232">
        <v>0.0</v>
      </c>
      <c r="H33" s="232">
        <v>34.0</v>
      </c>
      <c r="I33" s="232">
        <v>34.0</v>
      </c>
      <c r="J33" s="234">
        <v>0.0</v>
      </c>
      <c r="K33" s="202" t="s">
        <v>2237</v>
      </c>
      <c r="L33" s="202">
        <v>2.642761001E9</v>
      </c>
      <c r="M33" s="202" t="s">
        <v>1147</v>
      </c>
      <c r="N33" s="202" t="s">
        <v>1362</v>
      </c>
      <c r="O33" s="202" t="s">
        <v>2238</v>
      </c>
      <c r="P33" s="202" t="s">
        <v>2522</v>
      </c>
      <c r="Q33" s="235">
        <f>COUNTIF('Hedef Liste'!A:A,A33)</f>
        <v>1</v>
      </c>
    </row>
    <row r="34" hidden="1">
      <c r="A34" s="202" t="s">
        <v>592</v>
      </c>
      <c r="B34" s="202" t="s">
        <v>593</v>
      </c>
      <c r="C34" s="231" t="s">
        <v>2523</v>
      </c>
      <c r="D34" s="202" t="s">
        <v>1162</v>
      </c>
      <c r="E34" s="232">
        <v>410.0</v>
      </c>
      <c r="F34" s="232">
        <v>22.0</v>
      </c>
      <c r="G34" s="232">
        <v>15.0</v>
      </c>
      <c r="H34" s="232">
        <v>35.0</v>
      </c>
      <c r="I34" s="232">
        <v>50.0</v>
      </c>
      <c r="J34" s="234">
        <v>0.3</v>
      </c>
      <c r="K34" s="202" t="s">
        <v>2438</v>
      </c>
      <c r="L34" s="202">
        <v>5.396772462E9</v>
      </c>
      <c r="M34" s="202" t="s">
        <v>1147</v>
      </c>
      <c r="N34" s="202" t="s">
        <v>1200</v>
      </c>
      <c r="O34" s="202" t="s">
        <v>595</v>
      </c>
      <c r="P34" s="202" t="s">
        <v>2522</v>
      </c>
      <c r="Q34" s="235">
        <f>COUNTIF('Hedef Liste'!A:A,A34)</f>
        <v>1</v>
      </c>
    </row>
    <row r="35" hidden="1">
      <c r="A35" s="202" t="s">
        <v>205</v>
      </c>
      <c r="B35" s="202" t="s">
        <v>206</v>
      </c>
      <c r="C35" s="231" t="s">
        <v>2523</v>
      </c>
      <c r="D35" s="202" t="s">
        <v>1162</v>
      </c>
      <c r="E35" s="232">
        <v>563.0</v>
      </c>
      <c r="F35" s="233"/>
      <c r="G35" s="232">
        <v>12.0</v>
      </c>
      <c r="H35" s="232">
        <v>15.0</v>
      </c>
      <c r="I35" s="232">
        <v>27.0</v>
      </c>
      <c r="J35" s="234">
        <v>0.44</v>
      </c>
      <c r="K35" s="202" t="s">
        <v>1163</v>
      </c>
      <c r="L35" s="202">
        <v>5.436606666E9</v>
      </c>
      <c r="M35" s="202" t="s">
        <v>1147</v>
      </c>
      <c r="N35" s="202" t="s">
        <v>1164</v>
      </c>
      <c r="O35" s="202" t="s">
        <v>1018</v>
      </c>
      <c r="P35" s="202" t="s">
        <v>2522</v>
      </c>
      <c r="Q35" s="235">
        <f>COUNTIF('Hedef Liste'!A:A,A35)</f>
        <v>1</v>
      </c>
    </row>
    <row r="36" hidden="1">
      <c r="A36" s="202" t="s">
        <v>2199</v>
      </c>
      <c r="B36" s="202" t="s">
        <v>2200</v>
      </c>
      <c r="C36" s="231" t="s">
        <v>2523</v>
      </c>
      <c r="D36" s="202" t="s">
        <v>1162</v>
      </c>
      <c r="E36" s="232">
        <v>561.0</v>
      </c>
      <c r="F36" s="232">
        <v>34.0</v>
      </c>
      <c r="G36" s="232">
        <v>0.0</v>
      </c>
      <c r="H36" s="232">
        <v>57.0</v>
      </c>
      <c r="I36" s="232">
        <v>57.0</v>
      </c>
      <c r="J36" s="234">
        <v>0.0</v>
      </c>
      <c r="K36" s="202" t="s">
        <v>2201</v>
      </c>
      <c r="L36" s="202">
        <v>2.642793939E9</v>
      </c>
      <c r="M36" s="202" t="s">
        <v>1172</v>
      </c>
      <c r="N36" s="202" t="s">
        <v>1196</v>
      </c>
      <c r="O36" s="202" t="s">
        <v>2202</v>
      </c>
      <c r="P36" s="202" t="s">
        <v>2522</v>
      </c>
      <c r="Q36" s="235">
        <f>COUNTIF('Hedef Liste'!A:A,A36)</f>
        <v>1</v>
      </c>
    </row>
    <row r="37" hidden="1">
      <c r="A37" s="202" t="s">
        <v>1727</v>
      </c>
      <c r="B37" s="202" t="s">
        <v>2540</v>
      </c>
      <c r="C37" s="231" t="s">
        <v>2523</v>
      </c>
      <c r="D37" s="202" t="s">
        <v>1188</v>
      </c>
      <c r="E37" s="232">
        <v>1588.0</v>
      </c>
      <c r="F37" s="232">
        <v>32.0</v>
      </c>
      <c r="G37" s="232">
        <v>3.0</v>
      </c>
      <c r="H37" s="232">
        <v>16.0</v>
      </c>
      <c r="I37" s="232">
        <v>19.0</v>
      </c>
      <c r="J37" s="234">
        <v>0.16</v>
      </c>
      <c r="K37" s="202" t="s">
        <v>1724</v>
      </c>
      <c r="L37" s="202">
        <v>5.398644354E9</v>
      </c>
      <c r="M37" s="202" t="s">
        <v>1147</v>
      </c>
      <c r="N37" s="202" t="s">
        <v>1157</v>
      </c>
      <c r="O37" s="202" t="s">
        <v>1729</v>
      </c>
      <c r="P37" s="202" t="s">
        <v>2522</v>
      </c>
      <c r="Q37" s="235">
        <f>COUNTIF('Hedef Liste'!A:A,A37)</f>
        <v>1</v>
      </c>
    </row>
    <row r="38" hidden="1">
      <c r="A38" s="202" t="s">
        <v>2110</v>
      </c>
      <c r="B38" s="202" t="s">
        <v>2541</v>
      </c>
      <c r="C38" s="231" t="s">
        <v>2523</v>
      </c>
      <c r="D38" s="202" t="s">
        <v>1216</v>
      </c>
      <c r="E38" s="232">
        <v>4928.0</v>
      </c>
      <c r="F38" s="232">
        <v>194.0</v>
      </c>
      <c r="G38" s="232">
        <v>0.0</v>
      </c>
      <c r="H38" s="232">
        <v>16.0</v>
      </c>
      <c r="I38" s="232">
        <v>16.0</v>
      </c>
      <c r="J38" s="234">
        <v>0.0</v>
      </c>
      <c r="K38" s="202" t="s">
        <v>2112</v>
      </c>
      <c r="L38" s="202">
        <v>5.538319554E9</v>
      </c>
      <c r="M38" s="202" t="s">
        <v>1147</v>
      </c>
      <c r="N38" s="202" t="s">
        <v>1200</v>
      </c>
      <c r="O38" s="202" t="s">
        <v>2113</v>
      </c>
      <c r="P38" s="202" t="s">
        <v>2522</v>
      </c>
      <c r="Q38" s="235">
        <f>COUNTIF('Hedef Liste'!A:A,A38)</f>
        <v>1</v>
      </c>
    </row>
    <row r="39" hidden="1">
      <c r="A39" s="202" t="s">
        <v>770</v>
      </c>
      <c r="B39" s="202" t="s">
        <v>771</v>
      </c>
      <c r="C39" s="231" t="s">
        <v>2523</v>
      </c>
      <c r="D39" s="202" t="s">
        <v>1145</v>
      </c>
      <c r="E39" s="232">
        <v>32.0</v>
      </c>
      <c r="F39" s="233"/>
      <c r="G39" s="232">
        <v>6.0</v>
      </c>
      <c r="H39" s="232">
        <v>23.0</v>
      </c>
      <c r="I39" s="232">
        <v>29.0</v>
      </c>
      <c r="J39" s="234">
        <v>0.21</v>
      </c>
      <c r="K39" s="202" t="s">
        <v>1445</v>
      </c>
      <c r="L39" s="202">
        <v>5.375141441E9</v>
      </c>
      <c r="M39" s="202" t="s">
        <v>1172</v>
      </c>
      <c r="N39" s="202" t="s">
        <v>1379</v>
      </c>
      <c r="O39" s="202" t="s">
        <v>773</v>
      </c>
      <c r="P39" s="202" t="s">
        <v>2522</v>
      </c>
      <c r="Q39" s="235">
        <f>COUNTIF('Hedef Liste'!A:A,A39)</f>
        <v>1</v>
      </c>
    </row>
    <row r="40" hidden="1">
      <c r="A40" s="202" t="s">
        <v>1691</v>
      </c>
      <c r="B40" s="202" t="s">
        <v>1692</v>
      </c>
      <c r="C40" s="231" t="s">
        <v>2521</v>
      </c>
      <c r="D40" s="202" t="s">
        <v>1341</v>
      </c>
      <c r="E40" s="232">
        <v>115.0</v>
      </c>
      <c r="F40" s="233"/>
      <c r="G40" s="232">
        <v>0.0</v>
      </c>
      <c r="H40" s="232">
        <v>20.0</v>
      </c>
      <c r="I40" s="232">
        <v>20.0</v>
      </c>
      <c r="J40" s="234">
        <v>0.0</v>
      </c>
      <c r="K40" s="202" t="s">
        <v>1693</v>
      </c>
      <c r="L40" s="202">
        <v>5.075312331E9</v>
      </c>
      <c r="M40" s="202" t="s">
        <v>1172</v>
      </c>
      <c r="N40" s="202" t="s">
        <v>1433</v>
      </c>
      <c r="O40" s="202" t="s">
        <v>2542</v>
      </c>
      <c r="P40" s="202" t="s">
        <v>2522</v>
      </c>
      <c r="Q40" s="235">
        <f>COUNTIF('Hedef Liste'!A:A,A40)</f>
        <v>1</v>
      </c>
    </row>
    <row r="41" hidden="1">
      <c r="A41" s="202" t="s">
        <v>295</v>
      </c>
      <c r="B41" s="202" t="s">
        <v>296</v>
      </c>
      <c r="C41" s="231" t="s">
        <v>2521</v>
      </c>
      <c r="D41" s="202" t="s">
        <v>1455</v>
      </c>
      <c r="E41" s="232">
        <v>82.0</v>
      </c>
      <c r="F41" s="233"/>
      <c r="G41" s="232">
        <v>5.0</v>
      </c>
      <c r="H41" s="232">
        <v>11.0</v>
      </c>
      <c r="I41" s="232">
        <v>16.0</v>
      </c>
      <c r="J41" s="234">
        <v>0.31</v>
      </c>
      <c r="K41" s="202" t="s">
        <v>1498</v>
      </c>
      <c r="L41" s="202">
        <v>5.432120886E9</v>
      </c>
      <c r="M41" s="202" t="s">
        <v>1172</v>
      </c>
      <c r="N41" s="202" t="s">
        <v>1979</v>
      </c>
      <c r="O41" s="202" t="s">
        <v>299</v>
      </c>
      <c r="P41" s="202" t="s">
        <v>2522</v>
      </c>
      <c r="Q41" s="235">
        <f>COUNTIF('Hedef Liste'!A:A,A41)</f>
        <v>1</v>
      </c>
    </row>
    <row r="42" hidden="1">
      <c r="A42" s="202" t="s">
        <v>1015</v>
      </c>
      <c r="B42" s="202" t="s">
        <v>1016</v>
      </c>
      <c r="C42" s="231" t="s">
        <v>2523</v>
      </c>
      <c r="D42" s="202" t="s">
        <v>1316</v>
      </c>
      <c r="E42" s="232">
        <v>69.0</v>
      </c>
      <c r="F42" s="233"/>
      <c r="G42" s="232">
        <v>5.0</v>
      </c>
      <c r="H42" s="232">
        <v>15.0</v>
      </c>
      <c r="I42" s="232">
        <v>20.0</v>
      </c>
      <c r="J42" s="234">
        <v>0.25</v>
      </c>
      <c r="K42" s="202" t="s">
        <v>1705</v>
      </c>
      <c r="L42" s="202">
        <v>5.467437869E9</v>
      </c>
      <c r="M42" s="202" t="s">
        <v>1147</v>
      </c>
      <c r="N42" s="202" t="s">
        <v>1164</v>
      </c>
      <c r="O42" s="202" t="s">
        <v>1018</v>
      </c>
      <c r="P42" s="202" t="s">
        <v>2522</v>
      </c>
      <c r="Q42" s="235">
        <f>COUNTIF('Hedef Liste'!A:A,A42)</f>
        <v>1</v>
      </c>
    </row>
    <row r="43" hidden="1">
      <c r="A43" s="202" t="s">
        <v>2513</v>
      </c>
      <c r="B43" s="202" t="s">
        <v>2514</v>
      </c>
      <c r="C43" s="231" t="s">
        <v>2521</v>
      </c>
      <c r="D43" s="202" t="s">
        <v>1226</v>
      </c>
      <c r="E43" s="233"/>
      <c r="F43" s="233"/>
      <c r="G43" s="232">
        <v>0.0</v>
      </c>
      <c r="H43" s="232">
        <v>17.0</v>
      </c>
      <c r="I43" s="232">
        <v>17.0</v>
      </c>
      <c r="J43" s="234">
        <v>0.0</v>
      </c>
      <c r="K43" s="202" t="s">
        <v>2515</v>
      </c>
      <c r="L43" s="202">
        <v>5.452684941E9</v>
      </c>
      <c r="M43" s="202" t="s">
        <v>1172</v>
      </c>
      <c r="N43" s="202" t="s">
        <v>1665</v>
      </c>
      <c r="O43" s="202" t="s">
        <v>2516</v>
      </c>
      <c r="P43" s="202" t="s">
        <v>2522</v>
      </c>
      <c r="Q43" s="235">
        <f>COUNTIF('Hedef Liste'!A:A,A43)</f>
        <v>1</v>
      </c>
    </row>
    <row r="44" hidden="1">
      <c r="A44" s="202" t="s">
        <v>882</v>
      </c>
      <c r="B44" s="202" t="s">
        <v>883</v>
      </c>
      <c r="C44" s="231" t="s">
        <v>2523</v>
      </c>
      <c r="D44" s="202" t="s">
        <v>1226</v>
      </c>
      <c r="E44" s="232">
        <v>595.0</v>
      </c>
      <c r="F44" s="232">
        <v>8.0</v>
      </c>
      <c r="G44" s="232">
        <v>17.0</v>
      </c>
      <c r="H44" s="232">
        <v>25.0</v>
      </c>
      <c r="I44" s="232">
        <v>42.0</v>
      </c>
      <c r="J44" s="234">
        <v>0.4</v>
      </c>
      <c r="K44" s="202" t="s">
        <v>1945</v>
      </c>
      <c r="L44" s="202">
        <v>5.439570054E9</v>
      </c>
      <c r="M44" s="202" t="s">
        <v>1318</v>
      </c>
      <c r="N44" s="202" t="s">
        <v>1319</v>
      </c>
      <c r="O44" s="202" t="s">
        <v>230</v>
      </c>
      <c r="P44" s="202" t="s">
        <v>2522</v>
      </c>
      <c r="Q44" s="235">
        <f>COUNTIF('Hedef Liste'!A:A,A44)</f>
        <v>1</v>
      </c>
    </row>
    <row r="45" hidden="1">
      <c r="A45" s="202" t="s">
        <v>1513</v>
      </c>
      <c r="B45" s="202" t="s">
        <v>2543</v>
      </c>
      <c r="C45" s="231" t="s">
        <v>2523</v>
      </c>
      <c r="D45" s="202" t="s">
        <v>1155</v>
      </c>
      <c r="E45" s="232">
        <v>1.0</v>
      </c>
      <c r="F45" s="233"/>
      <c r="G45" s="232">
        <v>0.0</v>
      </c>
      <c r="H45" s="232">
        <v>16.0</v>
      </c>
      <c r="I45" s="232">
        <v>16.0</v>
      </c>
      <c r="J45" s="234">
        <v>0.0</v>
      </c>
      <c r="K45" s="202" t="s">
        <v>1515</v>
      </c>
      <c r="L45" s="202">
        <v>5.365129033E9</v>
      </c>
      <c r="M45" s="202" t="s">
        <v>1147</v>
      </c>
      <c r="N45" s="202" t="s">
        <v>1148</v>
      </c>
      <c r="O45" s="202" t="s">
        <v>2544</v>
      </c>
      <c r="P45" s="202" t="s">
        <v>2522</v>
      </c>
      <c r="Q45" s="235">
        <f>COUNTIF('Hedef Liste'!A:A,A45)</f>
        <v>1</v>
      </c>
    </row>
    <row r="46" hidden="1">
      <c r="A46" s="202" t="s">
        <v>924</v>
      </c>
      <c r="B46" s="202" t="s">
        <v>925</v>
      </c>
      <c r="C46" s="231" t="s">
        <v>2523</v>
      </c>
      <c r="D46" s="202" t="s">
        <v>1170</v>
      </c>
      <c r="E46" s="232">
        <v>567.0</v>
      </c>
      <c r="F46" s="232">
        <v>1.0</v>
      </c>
      <c r="G46" s="232">
        <v>13.0</v>
      </c>
      <c r="H46" s="232">
        <v>33.0</v>
      </c>
      <c r="I46" s="232">
        <v>46.0</v>
      </c>
      <c r="J46" s="234">
        <v>0.28</v>
      </c>
      <c r="K46" s="202" t="s">
        <v>1678</v>
      </c>
      <c r="L46" s="202">
        <v>5.334373298E9</v>
      </c>
      <c r="M46" s="202" t="s">
        <v>1679</v>
      </c>
      <c r="N46" s="202" t="s">
        <v>1680</v>
      </c>
      <c r="O46" s="202" t="s">
        <v>927</v>
      </c>
      <c r="P46" s="202" t="s">
        <v>2522</v>
      </c>
      <c r="Q46" s="235">
        <f>COUNTIF('Hedef Liste'!A:A,A46)</f>
        <v>1</v>
      </c>
    </row>
    <row r="47" hidden="1">
      <c r="A47" s="202" t="s">
        <v>1197</v>
      </c>
      <c r="B47" s="202" t="s">
        <v>1198</v>
      </c>
      <c r="C47" s="231" t="s">
        <v>2521</v>
      </c>
      <c r="D47" s="202" t="s">
        <v>1188</v>
      </c>
      <c r="E47" s="232">
        <v>366.0</v>
      </c>
      <c r="F47" s="233"/>
      <c r="G47" s="232">
        <v>0.0</v>
      </c>
      <c r="H47" s="232">
        <v>24.0</v>
      </c>
      <c r="I47" s="232">
        <v>24.0</v>
      </c>
      <c r="J47" s="234">
        <v>0.0</v>
      </c>
      <c r="K47" s="202" t="s">
        <v>1199</v>
      </c>
      <c r="L47" s="202">
        <v>5.525305454E9</v>
      </c>
      <c r="M47" s="202" t="s">
        <v>1147</v>
      </c>
      <c r="N47" s="202" t="s">
        <v>1200</v>
      </c>
      <c r="O47" s="202" t="s">
        <v>1201</v>
      </c>
      <c r="P47" s="202" t="s">
        <v>2522</v>
      </c>
      <c r="Q47" s="235">
        <f>COUNTIF('Hedef Liste'!A:A,A47)</f>
        <v>1</v>
      </c>
    </row>
    <row r="48" hidden="1">
      <c r="A48" s="202" t="s">
        <v>713</v>
      </c>
      <c r="B48" s="202" t="s">
        <v>714</v>
      </c>
      <c r="C48" s="231" t="s">
        <v>2523</v>
      </c>
      <c r="D48" s="202" t="s">
        <v>1341</v>
      </c>
      <c r="E48" s="232">
        <v>15.0</v>
      </c>
      <c r="F48" s="233"/>
      <c r="G48" s="232">
        <v>0.0</v>
      </c>
      <c r="H48" s="232">
        <v>53.0</v>
      </c>
      <c r="I48" s="232">
        <v>53.0</v>
      </c>
      <c r="J48" s="234">
        <v>0.0</v>
      </c>
      <c r="K48" s="202" t="s">
        <v>1474</v>
      </c>
      <c r="L48" s="202">
        <v>5.417692345E9</v>
      </c>
      <c r="M48" s="202" t="s">
        <v>1348</v>
      </c>
      <c r="N48" s="202" t="s">
        <v>1475</v>
      </c>
      <c r="O48" s="202" t="s">
        <v>717</v>
      </c>
      <c r="P48" s="202" t="s">
        <v>2522</v>
      </c>
      <c r="Q48" s="235">
        <f>COUNTIF('Hedef Liste'!A:A,A48)</f>
        <v>1</v>
      </c>
    </row>
    <row r="49" hidden="1">
      <c r="A49" s="202" t="s">
        <v>2152</v>
      </c>
      <c r="B49" s="202" t="s">
        <v>2153</v>
      </c>
      <c r="C49" s="231" t="s">
        <v>2523</v>
      </c>
      <c r="D49" s="202" t="s">
        <v>1188</v>
      </c>
      <c r="E49" s="232">
        <v>1649.0</v>
      </c>
      <c r="F49" s="232">
        <v>66.0</v>
      </c>
      <c r="G49" s="232">
        <v>0.0</v>
      </c>
      <c r="H49" s="232">
        <v>9.0</v>
      </c>
      <c r="I49" s="232">
        <v>9.0</v>
      </c>
      <c r="J49" s="234">
        <v>0.0</v>
      </c>
      <c r="K49" s="202" t="s">
        <v>2154</v>
      </c>
      <c r="L49" s="202">
        <v>2.6427777E9</v>
      </c>
      <c r="M49" s="202" t="s">
        <v>1172</v>
      </c>
      <c r="N49" s="202" t="s">
        <v>1190</v>
      </c>
      <c r="O49" s="202" t="s">
        <v>2155</v>
      </c>
      <c r="P49" s="202" t="s">
        <v>2531</v>
      </c>
      <c r="Q49" s="235">
        <f>COUNTIF('Hedef Liste'!A:A,A49)</f>
        <v>1</v>
      </c>
    </row>
    <row r="50" hidden="1">
      <c r="A50" s="202" t="s">
        <v>708</v>
      </c>
      <c r="B50" s="202" t="s">
        <v>709</v>
      </c>
      <c r="C50" s="231" t="s">
        <v>2521</v>
      </c>
      <c r="D50" s="202" t="s">
        <v>1226</v>
      </c>
      <c r="E50" s="232">
        <v>324.0</v>
      </c>
      <c r="F50" s="233"/>
      <c r="G50" s="232">
        <v>5.0</v>
      </c>
      <c r="H50" s="232">
        <v>29.0</v>
      </c>
      <c r="I50" s="232">
        <v>34.0</v>
      </c>
      <c r="J50" s="234">
        <v>0.15</v>
      </c>
      <c r="K50" s="202" t="s">
        <v>1934</v>
      </c>
      <c r="L50" s="202">
        <v>5.339450235E9</v>
      </c>
      <c r="M50" s="202" t="s">
        <v>1348</v>
      </c>
      <c r="N50" s="202" t="s">
        <v>1893</v>
      </c>
      <c r="O50" s="202" t="s">
        <v>712</v>
      </c>
      <c r="P50" s="202" t="s">
        <v>2522</v>
      </c>
      <c r="Q50" s="235">
        <f>COUNTIF('Hedef Liste'!A:A,A50)</f>
        <v>1</v>
      </c>
    </row>
    <row r="51" hidden="1">
      <c r="A51" s="202" t="s">
        <v>2433</v>
      </c>
      <c r="B51" s="202" t="s">
        <v>2434</v>
      </c>
      <c r="C51" s="231" t="s">
        <v>2523</v>
      </c>
      <c r="D51" s="202" t="s">
        <v>1216</v>
      </c>
      <c r="E51" s="232">
        <v>1.0</v>
      </c>
      <c r="F51" s="233"/>
      <c r="G51" s="232">
        <v>0.0</v>
      </c>
      <c r="H51" s="232">
        <v>71.0</v>
      </c>
      <c r="I51" s="232">
        <v>71.0</v>
      </c>
      <c r="J51" s="234">
        <v>0.0</v>
      </c>
      <c r="K51" s="202" t="s">
        <v>2435</v>
      </c>
      <c r="L51" s="202">
        <v>5.306152275E9</v>
      </c>
      <c r="M51" s="202" t="s">
        <v>1172</v>
      </c>
      <c r="N51" s="202" t="s">
        <v>1379</v>
      </c>
      <c r="O51" s="202" t="s">
        <v>2436</v>
      </c>
      <c r="P51" s="202" t="s">
        <v>2522</v>
      </c>
      <c r="Q51" s="235">
        <f>COUNTIF('Hedef Liste'!A:A,A51)</f>
        <v>1</v>
      </c>
    </row>
    <row r="52" hidden="1">
      <c r="A52" s="202" t="s">
        <v>905</v>
      </c>
      <c r="B52" s="202" t="s">
        <v>906</v>
      </c>
      <c r="C52" s="231" t="s">
        <v>2523</v>
      </c>
      <c r="D52" s="202" t="s">
        <v>1235</v>
      </c>
      <c r="E52" s="232">
        <v>258.0</v>
      </c>
      <c r="F52" s="232">
        <v>4.0</v>
      </c>
      <c r="G52" s="232">
        <v>6.0</v>
      </c>
      <c r="H52" s="232">
        <v>12.0</v>
      </c>
      <c r="I52" s="232">
        <v>18.0</v>
      </c>
      <c r="J52" s="234">
        <v>0.33</v>
      </c>
      <c r="K52" s="202" t="s">
        <v>1385</v>
      </c>
      <c r="L52" s="202">
        <v>2.642784441E9</v>
      </c>
      <c r="M52" s="202" t="s">
        <v>1172</v>
      </c>
      <c r="N52" s="202" t="s">
        <v>1386</v>
      </c>
      <c r="O52" s="202" t="s">
        <v>908</v>
      </c>
      <c r="P52" s="202" t="s">
        <v>2522</v>
      </c>
      <c r="Q52" s="235">
        <f>COUNTIF('Hedef Liste'!A:A,A52)</f>
        <v>1</v>
      </c>
    </row>
    <row r="53" hidden="1">
      <c r="A53" s="202" t="s">
        <v>672</v>
      </c>
      <c r="B53" s="202" t="s">
        <v>673</v>
      </c>
      <c r="C53" s="231" t="s">
        <v>2521</v>
      </c>
      <c r="D53" s="202" t="s">
        <v>1226</v>
      </c>
      <c r="E53" s="232">
        <v>203.0</v>
      </c>
      <c r="F53" s="233"/>
      <c r="G53" s="232">
        <v>0.0</v>
      </c>
      <c r="H53" s="232">
        <v>26.0</v>
      </c>
      <c r="I53" s="232">
        <v>26.0</v>
      </c>
      <c r="J53" s="234">
        <v>0.0</v>
      </c>
      <c r="K53" s="202" t="s">
        <v>1900</v>
      </c>
      <c r="L53" s="202">
        <v>5.362099354E9</v>
      </c>
      <c r="M53" s="202" t="s">
        <v>1147</v>
      </c>
      <c r="N53" s="202" t="s">
        <v>1200</v>
      </c>
      <c r="O53" s="202" t="s">
        <v>675</v>
      </c>
      <c r="P53" s="202" t="s">
        <v>2522</v>
      </c>
      <c r="Q53" s="235">
        <f>COUNTIF('Hedef Liste'!A:A,A53)</f>
        <v>1</v>
      </c>
    </row>
    <row r="54" hidden="1">
      <c r="A54" s="202" t="s">
        <v>385</v>
      </c>
      <c r="B54" s="202" t="s">
        <v>386</v>
      </c>
      <c r="C54" s="231" t="s">
        <v>2521</v>
      </c>
      <c r="D54" s="202" t="s">
        <v>1226</v>
      </c>
      <c r="E54" s="232">
        <v>92.0</v>
      </c>
      <c r="F54" s="233"/>
      <c r="G54" s="232">
        <v>0.0</v>
      </c>
      <c r="H54" s="232">
        <v>9.0</v>
      </c>
      <c r="I54" s="232">
        <v>9.0</v>
      </c>
      <c r="J54" s="234">
        <v>0.0</v>
      </c>
      <c r="K54" s="202" t="s">
        <v>2245</v>
      </c>
      <c r="L54" s="202">
        <v>5.53548064E9</v>
      </c>
      <c r="M54" s="202" t="s">
        <v>1172</v>
      </c>
      <c r="N54" s="202" t="s">
        <v>2246</v>
      </c>
      <c r="O54" s="202" t="s">
        <v>390</v>
      </c>
      <c r="P54" s="202" t="s">
        <v>2522</v>
      </c>
      <c r="Q54" s="235">
        <f>COUNTIF('Hedef Liste'!A:A,A54)</f>
        <v>1</v>
      </c>
    </row>
    <row r="55" hidden="1">
      <c r="A55" s="202" t="s">
        <v>1505</v>
      </c>
      <c r="B55" s="202" t="s">
        <v>1506</v>
      </c>
      <c r="C55" s="231" t="s">
        <v>2523</v>
      </c>
      <c r="D55" s="202" t="s">
        <v>1175</v>
      </c>
      <c r="E55" s="232">
        <v>623.0</v>
      </c>
      <c r="F55" s="232">
        <v>5.0</v>
      </c>
      <c r="G55" s="232">
        <v>4.0</v>
      </c>
      <c r="H55" s="232">
        <v>14.0</v>
      </c>
      <c r="I55" s="232">
        <v>18.0</v>
      </c>
      <c r="J55" s="234">
        <v>0.22</v>
      </c>
      <c r="K55" s="202" t="s">
        <v>1507</v>
      </c>
      <c r="L55" s="202">
        <v>2.647773388E9</v>
      </c>
      <c r="M55" s="202" t="s">
        <v>1172</v>
      </c>
      <c r="N55" s="202" t="s">
        <v>1379</v>
      </c>
      <c r="O55" s="202" t="s">
        <v>1508</v>
      </c>
      <c r="P55" s="202" t="s">
        <v>2522</v>
      </c>
      <c r="Q55" s="235">
        <f>COUNTIF('Hedef Liste'!A:A,A55)</f>
        <v>1</v>
      </c>
    </row>
    <row r="56" hidden="1">
      <c r="A56" s="202" t="s">
        <v>456</v>
      </c>
      <c r="B56" s="202" t="s">
        <v>457</v>
      </c>
      <c r="C56" s="231" t="s">
        <v>2523</v>
      </c>
      <c r="D56" s="202" t="s">
        <v>1226</v>
      </c>
      <c r="E56" s="232">
        <v>1053.0</v>
      </c>
      <c r="F56" s="232">
        <v>4.0</v>
      </c>
      <c r="G56" s="232">
        <v>7.0</v>
      </c>
      <c r="H56" s="232">
        <v>7.0</v>
      </c>
      <c r="I56" s="232">
        <v>14.0</v>
      </c>
      <c r="J56" s="234">
        <v>0.5</v>
      </c>
      <c r="K56" s="202" t="s">
        <v>2149</v>
      </c>
      <c r="L56" s="202">
        <v>5.523836654E9</v>
      </c>
      <c r="M56" s="202" t="s">
        <v>1318</v>
      </c>
      <c r="N56" s="202" t="s">
        <v>2150</v>
      </c>
      <c r="O56" s="202" t="s">
        <v>460</v>
      </c>
      <c r="P56" s="202" t="s">
        <v>2522</v>
      </c>
      <c r="Q56" s="235">
        <f>COUNTIF('Hedef Liste'!A:A,A56)</f>
        <v>1</v>
      </c>
    </row>
    <row r="57" hidden="1">
      <c r="A57" s="202" t="s">
        <v>1258</v>
      </c>
      <c r="B57" s="202" t="s">
        <v>1259</v>
      </c>
      <c r="C57" s="231" t="s">
        <v>2523</v>
      </c>
      <c r="D57" s="202" t="s">
        <v>1145</v>
      </c>
      <c r="E57" s="232">
        <v>2504.0</v>
      </c>
      <c r="F57" s="232">
        <v>29.0</v>
      </c>
      <c r="G57" s="232">
        <v>4.0</v>
      </c>
      <c r="H57" s="232">
        <v>25.0</v>
      </c>
      <c r="I57" s="232">
        <v>29.0</v>
      </c>
      <c r="J57" s="234">
        <v>0.14</v>
      </c>
      <c r="K57" s="202" t="s">
        <v>1260</v>
      </c>
      <c r="L57" s="202">
        <v>5.324095676E9</v>
      </c>
      <c r="M57" s="202" t="s">
        <v>1172</v>
      </c>
      <c r="N57" s="202" t="s">
        <v>1261</v>
      </c>
      <c r="O57" s="202" t="s">
        <v>1262</v>
      </c>
      <c r="P57" s="202" t="s">
        <v>2522</v>
      </c>
      <c r="Q57" s="235">
        <f>COUNTIF('Hedef Liste'!A:A,A57)</f>
        <v>1</v>
      </c>
    </row>
    <row r="58" hidden="1">
      <c r="A58" s="202" t="s">
        <v>2294</v>
      </c>
      <c r="B58" s="202" t="s">
        <v>2295</v>
      </c>
      <c r="C58" s="231" t="s">
        <v>2523</v>
      </c>
      <c r="D58" s="202" t="s">
        <v>1188</v>
      </c>
      <c r="E58" s="232">
        <v>226.0</v>
      </c>
      <c r="F58" s="233"/>
      <c r="G58" s="232">
        <v>0.0</v>
      </c>
      <c r="H58" s="232">
        <v>12.0</v>
      </c>
      <c r="I58" s="232">
        <v>12.0</v>
      </c>
      <c r="J58" s="234">
        <v>0.0</v>
      </c>
      <c r="K58" s="202" t="s">
        <v>2296</v>
      </c>
      <c r="L58" s="202">
        <v>5.07287066E9</v>
      </c>
      <c r="M58" s="202" t="s">
        <v>1147</v>
      </c>
      <c r="N58" s="202" t="s">
        <v>1148</v>
      </c>
      <c r="O58" s="202" t="s">
        <v>2297</v>
      </c>
      <c r="P58" s="202" t="s">
        <v>2522</v>
      </c>
      <c r="Q58" s="235">
        <f>COUNTIF('Hedef Liste'!A:A,A58)</f>
        <v>1</v>
      </c>
    </row>
    <row r="59" hidden="1">
      <c r="A59" s="202" t="s">
        <v>836</v>
      </c>
      <c r="B59" s="202" t="s">
        <v>837</v>
      </c>
      <c r="C59" s="231" t="s">
        <v>2523</v>
      </c>
      <c r="D59" s="202" t="s">
        <v>1188</v>
      </c>
      <c r="E59" s="232">
        <v>1366.0</v>
      </c>
      <c r="F59" s="232">
        <v>13.0</v>
      </c>
      <c r="G59" s="232">
        <v>19.0</v>
      </c>
      <c r="H59" s="232">
        <v>12.0</v>
      </c>
      <c r="I59" s="232">
        <v>31.0</v>
      </c>
      <c r="J59" s="234">
        <v>0.61</v>
      </c>
      <c r="K59" s="202" t="s">
        <v>2085</v>
      </c>
      <c r="L59" s="202">
        <v>5.543486443E9</v>
      </c>
      <c r="M59" s="202" t="s">
        <v>1172</v>
      </c>
      <c r="N59" s="202" t="s">
        <v>1336</v>
      </c>
      <c r="O59" s="202" t="s">
        <v>839</v>
      </c>
      <c r="P59" s="202" t="s">
        <v>2522</v>
      </c>
      <c r="Q59" s="235">
        <f>COUNTIF('Hedef Liste'!A:A,A59)</f>
        <v>1</v>
      </c>
    </row>
    <row r="60" hidden="1">
      <c r="A60" s="202" t="s">
        <v>2456</v>
      </c>
      <c r="B60" s="202" t="s">
        <v>2457</v>
      </c>
      <c r="C60" s="231" t="s">
        <v>2521</v>
      </c>
      <c r="D60" s="202" t="s">
        <v>1155</v>
      </c>
      <c r="E60" s="232">
        <v>207.0</v>
      </c>
      <c r="F60" s="233"/>
      <c r="G60" s="232">
        <v>0.0</v>
      </c>
      <c r="H60" s="232">
        <v>44.0</v>
      </c>
      <c r="I60" s="232">
        <v>44.0</v>
      </c>
      <c r="J60" s="234">
        <v>0.0</v>
      </c>
      <c r="K60" s="202" t="s">
        <v>2458</v>
      </c>
      <c r="L60" s="202">
        <v>5.327117463E9</v>
      </c>
      <c r="M60" s="202" t="s">
        <v>1147</v>
      </c>
      <c r="N60" s="202" t="s">
        <v>1362</v>
      </c>
      <c r="O60" s="202" t="s">
        <v>2459</v>
      </c>
      <c r="P60" s="202" t="s">
        <v>2522</v>
      </c>
      <c r="Q60" s="235">
        <f>COUNTIF('Hedef Liste'!A:A,A60)</f>
        <v>1</v>
      </c>
    </row>
    <row r="61" hidden="1">
      <c r="A61" s="202" t="s">
        <v>617</v>
      </c>
      <c r="B61" s="202" t="s">
        <v>618</v>
      </c>
      <c r="C61" s="231" t="s">
        <v>2521</v>
      </c>
      <c r="D61" s="202" t="s">
        <v>1188</v>
      </c>
      <c r="E61" s="232">
        <v>111.0</v>
      </c>
      <c r="F61" s="233"/>
      <c r="G61" s="232">
        <v>7.0</v>
      </c>
      <c r="H61" s="232">
        <v>27.0</v>
      </c>
      <c r="I61" s="232">
        <v>34.0</v>
      </c>
      <c r="J61" s="234">
        <v>0.21</v>
      </c>
      <c r="K61" s="202" t="s">
        <v>1778</v>
      </c>
      <c r="L61" s="202">
        <v>2.642290909E9</v>
      </c>
      <c r="M61" s="202" t="s">
        <v>1463</v>
      </c>
      <c r="N61" s="202" t="s">
        <v>1464</v>
      </c>
      <c r="O61" s="202" t="s">
        <v>621</v>
      </c>
      <c r="P61" s="202" t="s">
        <v>2522</v>
      </c>
      <c r="Q61" s="235">
        <f>COUNTIF('Hedef Liste'!A:A,A61)</f>
        <v>1</v>
      </c>
    </row>
    <row r="62" hidden="1">
      <c r="A62" s="202" t="s">
        <v>450</v>
      </c>
      <c r="B62" s="202" t="s">
        <v>451</v>
      </c>
      <c r="C62" s="231" t="s">
        <v>2523</v>
      </c>
      <c r="D62" s="202" t="s">
        <v>1170</v>
      </c>
      <c r="E62" s="232">
        <v>784.0</v>
      </c>
      <c r="F62" s="232">
        <v>23.0</v>
      </c>
      <c r="G62" s="232">
        <v>0.0</v>
      </c>
      <c r="H62" s="232">
        <v>62.0</v>
      </c>
      <c r="I62" s="232">
        <v>62.0</v>
      </c>
      <c r="J62" s="234">
        <v>0.0</v>
      </c>
      <c r="K62" s="202" t="s">
        <v>1580</v>
      </c>
      <c r="L62" s="202">
        <v>5.528375854E9</v>
      </c>
      <c r="M62" s="202" t="s">
        <v>1318</v>
      </c>
      <c r="N62" s="202" t="s">
        <v>1324</v>
      </c>
      <c r="O62" s="202" t="s">
        <v>455</v>
      </c>
      <c r="P62" s="202" t="s">
        <v>2522</v>
      </c>
      <c r="Q62" s="235">
        <f>COUNTIF('Hedef Liste'!A:A,A62)</f>
        <v>1</v>
      </c>
    </row>
    <row r="63" hidden="1">
      <c r="A63" s="202" t="s">
        <v>1460</v>
      </c>
      <c r="B63" s="202" t="s">
        <v>1461</v>
      </c>
      <c r="C63" s="231" t="s">
        <v>2523</v>
      </c>
      <c r="D63" s="202" t="s">
        <v>1216</v>
      </c>
      <c r="E63" s="232">
        <v>135.0</v>
      </c>
      <c r="F63" s="233"/>
      <c r="G63" s="232">
        <v>0.0</v>
      </c>
      <c r="H63" s="232">
        <v>43.0</v>
      </c>
      <c r="I63" s="232">
        <v>43.0</v>
      </c>
      <c r="J63" s="234">
        <v>0.0</v>
      </c>
      <c r="K63" s="202" t="s">
        <v>1462</v>
      </c>
      <c r="L63" s="202">
        <v>5.442645484E9</v>
      </c>
      <c r="M63" s="202" t="s">
        <v>1463</v>
      </c>
      <c r="N63" s="202" t="s">
        <v>2545</v>
      </c>
      <c r="O63" s="202" t="s">
        <v>1465</v>
      </c>
      <c r="P63" s="202" t="s">
        <v>2522</v>
      </c>
      <c r="Q63" s="235">
        <f>COUNTIF('Hedef Liste'!A:A,A63)</f>
        <v>1</v>
      </c>
    </row>
    <row r="64" hidden="1">
      <c r="A64" s="202" t="s">
        <v>915</v>
      </c>
      <c r="B64" s="202" t="s">
        <v>916</v>
      </c>
      <c r="C64" s="231" t="s">
        <v>2523</v>
      </c>
      <c r="D64" s="202" t="s">
        <v>1155</v>
      </c>
      <c r="E64" s="232">
        <v>260.0</v>
      </c>
      <c r="F64" s="232">
        <v>7.0</v>
      </c>
      <c r="G64" s="232">
        <v>16.0</v>
      </c>
      <c r="H64" s="232">
        <v>23.0</v>
      </c>
      <c r="I64" s="232">
        <v>39.0</v>
      </c>
      <c r="J64" s="234">
        <v>0.41</v>
      </c>
      <c r="K64" s="202" t="s">
        <v>1378</v>
      </c>
      <c r="L64" s="202">
        <v>2.642784022E9</v>
      </c>
      <c r="M64" s="202" t="s">
        <v>1172</v>
      </c>
      <c r="N64" s="202" t="s">
        <v>1379</v>
      </c>
      <c r="O64" s="202" t="s">
        <v>918</v>
      </c>
      <c r="P64" s="202" t="s">
        <v>2522</v>
      </c>
      <c r="Q64" s="235">
        <f>COUNTIF('Hedef Liste'!A:A,A64)</f>
        <v>1</v>
      </c>
    </row>
    <row r="65" hidden="1">
      <c r="A65" s="202" t="s">
        <v>690</v>
      </c>
      <c r="B65" s="202" t="s">
        <v>691</v>
      </c>
      <c r="C65" s="231" t="s">
        <v>2523</v>
      </c>
      <c r="D65" s="202" t="s">
        <v>1162</v>
      </c>
      <c r="E65" s="232">
        <v>2419.0</v>
      </c>
      <c r="F65" s="232">
        <v>12.0</v>
      </c>
      <c r="G65" s="232">
        <v>11.0</v>
      </c>
      <c r="H65" s="232">
        <v>27.0</v>
      </c>
      <c r="I65" s="232">
        <v>38.0</v>
      </c>
      <c r="J65" s="234">
        <v>0.29</v>
      </c>
      <c r="K65" s="202" t="s">
        <v>1582</v>
      </c>
      <c r="L65" s="202">
        <v>5.42811112E9</v>
      </c>
      <c r="M65" s="202" t="s">
        <v>1172</v>
      </c>
      <c r="N65" s="202" t="s">
        <v>1379</v>
      </c>
      <c r="O65" s="202" t="s">
        <v>694</v>
      </c>
      <c r="P65" s="202" t="s">
        <v>2522</v>
      </c>
      <c r="Q65" s="235">
        <f>COUNTIF('Hedef Liste'!A:A,A65)</f>
        <v>1</v>
      </c>
    </row>
    <row r="66" hidden="1">
      <c r="A66" s="202" t="s">
        <v>1739</v>
      </c>
      <c r="B66" s="202" t="s">
        <v>1740</v>
      </c>
      <c r="C66" s="231" t="s">
        <v>2523</v>
      </c>
      <c r="D66" s="202" t="s">
        <v>1341</v>
      </c>
      <c r="E66" s="232">
        <v>414.0</v>
      </c>
      <c r="F66" s="232">
        <v>25.0</v>
      </c>
      <c r="G66" s="232">
        <v>0.0</v>
      </c>
      <c r="H66" s="232">
        <v>28.0</v>
      </c>
      <c r="I66" s="232">
        <v>28.0</v>
      </c>
      <c r="J66" s="234">
        <v>0.0</v>
      </c>
      <c r="K66" s="202" t="s">
        <v>1741</v>
      </c>
      <c r="L66" s="202">
        <v>2.642295434E9</v>
      </c>
      <c r="M66" s="202" t="s">
        <v>1463</v>
      </c>
      <c r="N66" s="202" t="s">
        <v>2546</v>
      </c>
      <c r="O66" s="202" t="s">
        <v>1742</v>
      </c>
      <c r="P66" s="202" t="s">
        <v>2522</v>
      </c>
      <c r="Q66" s="235">
        <f>COUNTIF('Hedef Liste'!A:A,A66)</f>
        <v>1</v>
      </c>
    </row>
    <row r="67" hidden="1">
      <c r="A67" s="202" t="s">
        <v>34</v>
      </c>
      <c r="B67" s="202" t="s">
        <v>35</v>
      </c>
      <c r="C67" s="231" t="s">
        <v>2521</v>
      </c>
      <c r="D67" s="202" t="s">
        <v>1170</v>
      </c>
      <c r="E67" s="232">
        <v>262.0</v>
      </c>
      <c r="F67" s="233"/>
      <c r="G67" s="232">
        <v>16.0</v>
      </c>
      <c r="H67" s="232">
        <v>3.0</v>
      </c>
      <c r="I67" s="232">
        <v>19.0</v>
      </c>
      <c r="J67" s="234">
        <v>0.84</v>
      </c>
      <c r="K67" s="202" t="s">
        <v>1798</v>
      </c>
      <c r="L67" s="202">
        <v>5.466116241E9</v>
      </c>
      <c r="M67" s="202" t="s">
        <v>1147</v>
      </c>
      <c r="N67" s="202" t="s">
        <v>1157</v>
      </c>
      <c r="O67" s="202" t="s">
        <v>1799</v>
      </c>
      <c r="P67" s="202" t="s">
        <v>2522</v>
      </c>
      <c r="Q67" s="235">
        <f>COUNTIF('Hedef Liste'!A:A,A67)</f>
        <v>1</v>
      </c>
    </row>
    <row r="68" hidden="1">
      <c r="A68" s="202" t="s">
        <v>866</v>
      </c>
      <c r="B68" s="202" t="s">
        <v>867</v>
      </c>
      <c r="C68" s="231" t="s">
        <v>2523</v>
      </c>
      <c r="D68" s="202" t="s">
        <v>1170</v>
      </c>
      <c r="E68" s="232">
        <v>1455.0</v>
      </c>
      <c r="F68" s="232">
        <v>29.0</v>
      </c>
      <c r="G68" s="232">
        <v>7.0</v>
      </c>
      <c r="H68" s="232">
        <v>37.0</v>
      </c>
      <c r="I68" s="232">
        <v>44.0</v>
      </c>
      <c r="J68" s="234">
        <v>0.16</v>
      </c>
      <c r="K68" s="202" t="s">
        <v>2431</v>
      </c>
      <c r="L68" s="202">
        <v>5.388987265E9</v>
      </c>
      <c r="M68" s="202" t="s">
        <v>1348</v>
      </c>
      <c r="N68" s="202" t="s">
        <v>1419</v>
      </c>
      <c r="O68" s="202" t="s">
        <v>870</v>
      </c>
      <c r="P68" s="202" t="s">
        <v>2522</v>
      </c>
      <c r="Q68" s="235">
        <f>COUNTIF('Hedef Liste'!A:A,A68)</f>
        <v>1</v>
      </c>
    </row>
    <row r="69" hidden="1">
      <c r="A69" s="202" t="s">
        <v>2030</v>
      </c>
      <c r="B69" s="202" t="s">
        <v>2031</v>
      </c>
      <c r="C69" s="231" t="s">
        <v>2523</v>
      </c>
      <c r="D69" s="202" t="s">
        <v>1170</v>
      </c>
      <c r="E69" s="232">
        <v>10.0</v>
      </c>
      <c r="F69" s="233"/>
      <c r="G69" s="232">
        <v>0.0</v>
      </c>
      <c r="H69" s="232">
        <v>28.0</v>
      </c>
      <c r="I69" s="232">
        <v>28.0</v>
      </c>
      <c r="J69" s="234">
        <v>0.0</v>
      </c>
      <c r="K69" s="202" t="s">
        <v>2032</v>
      </c>
      <c r="L69" s="202">
        <v>5.335601747E9</v>
      </c>
      <c r="M69" s="202" t="s">
        <v>1242</v>
      </c>
      <c r="N69" s="202" t="s">
        <v>1397</v>
      </c>
      <c r="O69" s="202" t="s">
        <v>2033</v>
      </c>
      <c r="P69" s="202" t="s">
        <v>2522</v>
      </c>
      <c r="Q69" s="235">
        <f>COUNTIF('Hedef Liste'!A:A,A69)</f>
        <v>1</v>
      </c>
    </row>
    <row r="70" hidden="1">
      <c r="A70" s="202" t="s">
        <v>190</v>
      </c>
      <c r="B70" s="202" t="s">
        <v>191</v>
      </c>
      <c r="C70" s="231" t="s">
        <v>2523</v>
      </c>
      <c r="D70" s="202" t="s">
        <v>1155</v>
      </c>
      <c r="E70" s="232">
        <v>970.0</v>
      </c>
      <c r="F70" s="232">
        <v>22.0</v>
      </c>
      <c r="G70" s="232">
        <v>13.0</v>
      </c>
      <c r="H70" s="232">
        <v>33.0</v>
      </c>
      <c r="I70" s="232">
        <v>46.0</v>
      </c>
      <c r="J70" s="234">
        <v>0.28</v>
      </c>
      <c r="K70" s="202" t="s">
        <v>1570</v>
      </c>
      <c r="L70" s="202">
        <v>5.541794954E9</v>
      </c>
      <c r="M70" s="202" t="s">
        <v>1147</v>
      </c>
      <c r="N70" s="202" t="s">
        <v>1451</v>
      </c>
      <c r="O70" s="202" t="s">
        <v>194</v>
      </c>
      <c r="P70" s="202" t="s">
        <v>2522</v>
      </c>
      <c r="Q70" s="235">
        <f>COUNTIF('Hedef Liste'!A:A,A70)</f>
        <v>1</v>
      </c>
    </row>
    <row r="71" hidden="1">
      <c r="A71" s="202" t="s">
        <v>955</v>
      </c>
      <c r="B71" s="202" t="s">
        <v>956</v>
      </c>
      <c r="C71" s="231" t="s">
        <v>2523</v>
      </c>
      <c r="D71" s="202" t="s">
        <v>1188</v>
      </c>
      <c r="E71" s="232">
        <v>4371.0</v>
      </c>
      <c r="F71" s="232">
        <v>2.0</v>
      </c>
      <c r="G71" s="232">
        <v>0.0</v>
      </c>
      <c r="H71" s="232">
        <v>13.0</v>
      </c>
      <c r="I71" s="232">
        <v>13.0</v>
      </c>
      <c r="J71" s="234">
        <v>0.0</v>
      </c>
      <c r="K71" s="202" t="s">
        <v>2197</v>
      </c>
      <c r="L71" s="202">
        <v>5.349442965E9</v>
      </c>
      <c r="M71" s="202" t="s">
        <v>1348</v>
      </c>
      <c r="N71" s="202" t="s">
        <v>1349</v>
      </c>
      <c r="O71" s="202" t="s">
        <v>958</v>
      </c>
      <c r="P71" s="202" t="s">
        <v>2522</v>
      </c>
      <c r="Q71" s="235">
        <f>COUNTIF('Hedef Liste'!A:A,A71)</f>
        <v>1</v>
      </c>
    </row>
    <row r="72" hidden="1">
      <c r="A72" s="202" t="s">
        <v>1953</v>
      </c>
      <c r="B72" s="202" t="s">
        <v>1954</v>
      </c>
      <c r="C72" s="231" t="s">
        <v>2521</v>
      </c>
      <c r="D72" s="202" t="s">
        <v>1145</v>
      </c>
      <c r="E72" s="232">
        <v>135.0</v>
      </c>
      <c r="F72" s="233"/>
      <c r="G72" s="232">
        <v>0.0</v>
      </c>
      <c r="H72" s="232">
        <v>104.0</v>
      </c>
      <c r="I72" s="232">
        <v>104.0</v>
      </c>
      <c r="J72" s="234">
        <v>0.0</v>
      </c>
      <c r="K72" s="202" t="s">
        <v>1951</v>
      </c>
      <c r="L72" s="202">
        <v>5.451541154E9</v>
      </c>
      <c r="M72" s="202" t="s">
        <v>1172</v>
      </c>
      <c r="N72" s="202" t="s">
        <v>1190</v>
      </c>
      <c r="O72" s="202" t="s">
        <v>1955</v>
      </c>
      <c r="P72" s="202" t="s">
        <v>2522</v>
      </c>
      <c r="Q72" s="235">
        <f>COUNTIF('Hedef Liste'!A:A,A72)</f>
        <v>1</v>
      </c>
    </row>
    <row r="73" hidden="1">
      <c r="A73" s="202" t="s">
        <v>141</v>
      </c>
      <c r="B73" s="202" t="s">
        <v>2137</v>
      </c>
      <c r="C73" s="231" t="s">
        <v>2523</v>
      </c>
      <c r="D73" s="202" t="s">
        <v>1155</v>
      </c>
      <c r="E73" s="232">
        <v>5516.0</v>
      </c>
      <c r="F73" s="232">
        <v>83.0</v>
      </c>
      <c r="G73" s="232">
        <v>9.0</v>
      </c>
      <c r="H73" s="232">
        <v>29.0</v>
      </c>
      <c r="I73" s="232">
        <v>38.0</v>
      </c>
      <c r="J73" s="234">
        <v>0.24</v>
      </c>
      <c r="K73" s="202" t="s">
        <v>2138</v>
      </c>
      <c r="L73" s="202">
        <v>2.642744454E9</v>
      </c>
      <c r="M73" s="202" t="s">
        <v>1172</v>
      </c>
      <c r="N73" s="202" t="s">
        <v>1379</v>
      </c>
      <c r="O73" s="202" t="s">
        <v>2139</v>
      </c>
      <c r="P73" s="202" t="s">
        <v>2522</v>
      </c>
      <c r="Q73" s="235">
        <f>COUNTIF('Hedef Liste'!A:A,A73)</f>
        <v>1</v>
      </c>
    </row>
    <row r="74" hidden="1">
      <c r="A74" s="202" t="s">
        <v>56</v>
      </c>
      <c r="B74" s="202" t="s">
        <v>57</v>
      </c>
      <c r="C74" s="231" t="s">
        <v>2523</v>
      </c>
      <c r="D74" s="202" t="s">
        <v>1216</v>
      </c>
      <c r="E74" s="232">
        <v>624.0</v>
      </c>
      <c r="F74" s="233"/>
      <c r="G74" s="232">
        <v>32.0</v>
      </c>
      <c r="H74" s="232">
        <v>135.0</v>
      </c>
      <c r="I74" s="232">
        <v>167.0</v>
      </c>
      <c r="J74" s="234">
        <v>0.19</v>
      </c>
      <c r="K74" s="202" t="s">
        <v>2229</v>
      </c>
      <c r="L74" s="202">
        <v>5.41815731E9</v>
      </c>
      <c r="M74" s="202" t="s">
        <v>1172</v>
      </c>
      <c r="N74" s="202" t="s">
        <v>1979</v>
      </c>
      <c r="O74" s="202" t="s">
        <v>60</v>
      </c>
      <c r="P74" s="202" t="s">
        <v>2522</v>
      </c>
      <c r="Q74" s="235">
        <f>COUNTIF('Hedef Liste'!A:A,A74)</f>
        <v>1</v>
      </c>
    </row>
    <row r="75" hidden="1">
      <c r="A75" s="202" t="s">
        <v>800</v>
      </c>
      <c r="B75" s="202" t="s">
        <v>2547</v>
      </c>
      <c r="C75" s="231" t="s">
        <v>2523</v>
      </c>
      <c r="D75" s="202" t="s">
        <v>1226</v>
      </c>
      <c r="E75" s="232">
        <v>210.0</v>
      </c>
      <c r="F75" s="232">
        <v>4.0</v>
      </c>
      <c r="G75" s="232">
        <v>12.0</v>
      </c>
      <c r="H75" s="232">
        <v>6.0</v>
      </c>
      <c r="I75" s="232">
        <v>18.0</v>
      </c>
      <c r="J75" s="234">
        <v>0.67</v>
      </c>
      <c r="K75" s="202" t="s">
        <v>2398</v>
      </c>
      <c r="L75" s="202">
        <v>5.354054736E9</v>
      </c>
      <c r="M75" s="202" t="s">
        <v>1172</v>
      </c>
      <c r="N75" s="202" t="s">
        <v>1196</v>
      </c>
      <c r="O75" s="202" t="s">
        <v>803</v>
      </c>
      <c r="P75" s="202" t="s">
        <v>2522</v>
      </c>
      <c r="Q75" s="235">
        <f>COUNTIF('Hedef Liste'!A:A,A75)</f>
        <v>1</v>
      </c>
    </row>
    <row r="76" hidden="1">
      <c r="A76" s="202" t="s">
        <v>1530</v>
      </c>
      <c r="B76" s="202" t="s">
        <v>1531</v>
      </c>
      <c r="C76" s="231" t="s">
        <v>2523</v>
      </c>
      <c r="D76" s="202" t="s">
        <v>1216</v>
      </c>
      <c r="E76" s="232">
        <v>540.0</v>
      </c>
      <c r="F76" s="233"/>
      <c r="G76" s="232">
        <v>0.0</v>
      </c>
      <c r="H76" s="232">
        <v>143.0</v>
      </c>
      <c r="I76" s="232">
        <v>143.0</v>
      </c>
      <c r="J76" s="234">
        <v>0.0</v>
      </c>
      <c r="K76" s="202" t="s">
        <v>1532</v>
      </c>
      <c r="L76" s="202">
        <v>5.549463381E9</v>
      </c>
      <c r="M76" s="202" t="s">
        <v>1318</v>
      </c>
      <c r="N76" s="202" t="s">
        <v>1324</v>
      </c>
      <c r="O76" s="202" t="s">
        <v>1534</v>
      </c>
      <c r="P76" s="202" t="s">
        <v>2522</v>
      </c>
      <c r="Q76" s="235">
        <f>COUNTIF('Hedef Liste'!A:A,A76)</f>
        <v>1</v>
      </c>
    </row>
    <row r="77" hidden="1">
      <c r="A77" s="202" t="s">
        <v>2548</v>
      </c>
      <c r="B77" s="202" t="s">
        <v>2549</v>
      </c>
      <c r="C77" s="231" t="s">
        <v>2523</v>
      </c>
      <c r="D77" s="202" t="s">
        <v>1182</v>
      </c>
      <c r="E77" s="232">
        <v>2009.0</v>
      </c>
      <c r="F77" s="232">
        <v>17.0</v>
      </c>
      <c r="G77" s="232">
        <v>76.0</v>
      </c>
      <c r="H77" s="232">
        <v>10.0</v>
      </c>
      <c r="I77" s="232">
        <v>86.0</v>
      </c>
      <c r="J77" s="234">
        <v>0.88</v>
      </c>
      <c r="K77" s="202" t="s">
        <v>2550</v>
      </c>
      <c r="L77" s="202">
        <v>5.432250054E9</v>
      </c>
      <c r="M77" s="202" t="s">
        <v>1147</v>
      </c>
      <c r="N77" s="202" t="s">
        <v>1218</v>
      </c>
      <c r="O77" s="202" t="s">
        <v>2551</v>
      </c>
      <c r="P77" s="202" t="s">
        <v>2531</v>
      </c>
      <c r="Q77" s="235">
        <f>COUNTIF('Hedef Liste'!A:A,A77)</f>
        <v>0</v>
      </c>
    </row>
    <row r="78" hidden="1">
      <c r="A78" s="202" t="s">
        <v>2552</v>
      </c>
      <c r="B78" s="202" t="s">
        <v>2553</v>
      </c>
      <c r="C78" s="231" t="s">
        <v>2523</v>
      </c>
      <c r="D78" s="202" t="s">
        <v>1182</v>
      </c>
      <c r="E78" s="232">
        <v>635.0</v>
      </c>
      <c r="F78" s="232">
        <v>11.0</v>
      </c>
      <c r="G78" s="232">
        <v>46.0</v>
      </c>
      <c r="H78" s="232">
        <v>3.0</v>
      </c>
      <c r="I78" s="232">
        <v>49.0</v>
      </c>
      <c r="J78" s="234">
        <v>0.94</v>
      </c>
      <c r="K78" s="202" t="s">
        <v>2550</v>
      </c>
      <c r="L78" s="202">
        <v>5.066893638E9</v>
      </c>
      <c r="M78" s="202" t="s">
        <v>1172</v>
      </c>
      <c r="N78" s="202" t="s">
        <v>1379</v>
      </c>
      <c r="O78" s="202" t="s">
        <v>2554</v>
      </c>
      <c r="P78" s="202" t="s">
        <v>2531</v>
      </c>
      <c r="Q78" s="235">
        <f>COUNTIF('Hedef Liste'!A:A,A78)</f>
        <v>0</v>
      </c>
    </row>
    <row r="79" hidden="1">
      <c r="A79" s="202" t="s">
        <v>357</v>
      </c>
      <c r="B79" s="202" t="s">
        <v>358</v>
      </c>
      <c r="C79" s="231" t="s">
        <v>2521</v>
      </c>
      <c r="D79" s="202" t="s">
        <v>1302</v>
      </c>
      <c r="E79" s="232">
        <v>44.0</v>
      </c>
      <c r="F79" s="233"/>
      <c r="G79" s="232">
        <v>10.0</v>
      </c>
      <c r="H79" s="232">
        <v>57.0</v>
      </c>
      <c r="I79" s="232">
        <v>67.0</v>
      </c>
      <c r="J79" s="234">
        <v>0.15</v>
      </c>
      <c r="K79" s="202" t="s">
        <v>1801</v>
      </c>
      <c r="L79" s="202">
        <v>5.300530054E9</v>
      </c>
      <c r="M79" s="202" t="s">
        <v>1147</v>
      </c>
      <c r="N79" s="202" t="s">
        <v>1362</v>
      </c>
      <c r="O79" s="202" t="s">
        <v>362</v>
      </c>
      <c r="P79" s="202" t="s">
        <v>2522</v>
      </c>
      <c r="Q79" s="235">
        <f>COUNTIF('Hedef Liste'!A:A,A79)</f>
        <v>1</v>
      </c>
    </row>
    <row r="80" hidden="1">
      <c r="A80" s="202" t="s">
        <v>2508</v>
      </c>
      <c r="B80" s="202" t="s">
        <v>2509</v>
      </c>
      <c r="C80" s="231" t="s">
        <v>2523</v>
      </c>
      <c r="D80" s="202" t="s">
        <v>1341</v>
      </c>
      <c r="E80" s="232">
        <v>577.0</v>
      </c>
      <c r="F80" s="233"/>
      <c r="G80" s="232">
        <v>0.0</v>
      </c>
      <c r="H80" s="232">
        <v>16.0</v>
      </c>
      <c r="I80" s="232">
        <v>16.0</v>
      </c>
      <c r="J80" s="234">
        <v>0.0</v>
      </c>
      <c r="K80" s="202" t="s">
        <v>2510</v>
      </c>
      <c r="L80" s="202">
        <v>5.3170386E9</v>
      </c>
      <c r="M80" s="202" t="s">
        <v>1318</v>
      </c>
      <c r="N80" s="202" t="s">
        <v>1636</v>
      </c>
      <c r="O80" s="202" t="s">
        <v>2511</v>
      </c>
      <c r="P80" s="202" t="s">
        <v>2522</v>
      </c>
      <c r="Q80" s="235">
        <f>COUNTIF('Hedef Liste'!A:A,A80)</f>
        <v>1</v>
      </c>
    </row>
    <row r="81" hidden="1">
      <c r="A81" s="202" t="s">
        <v>857</v>
      </c>
      <c r="B81" s="202" t="s">
        <v>858</v>
      </c>
      <c r="C81" s="231" t="s">
        <v>2523</v>
      </c>
      <c r="D81" s="202" t="s">
        <v>1226</v>
      </c>
      <c r="E81" s="232">
        <v>1400.0</v>
      </c>
      <c r="F81" s="232">
        <v>13.0</v>
      </c>
      <c r="G81" s="232">
        <v>21.0</v>
      </c>
      <c r="H81" s="232">
        <v>15.0</v>
      </c>
      <c r="I81" s="232">
        <v>36.0</v>
      </c>
      <c r="J81" s="234">
        <v>0.58</v>
      </c>
      <c r="K81" s="202" t="s">
        <v>2210</v>
      </c>
      <c r="L81" s="202">
        <v>2.64614204E9</v>
      </c>
      <c r="M81" s="202" t="s">
        <v>1348</v>
      </c>
      <c r="N81" s="202" t="s">
        <v>1349</v>
      </c>
      <c r="O81" s="202" t="s">
        <v>861</v>
      </c>
      <c r="P81" s="202" t="s">
        <v>2522</v>
      </c>
      <c r="Q81" s="235">
        <f>COUNTIF('Hedef Liste'!A:A,A81)</f>
        <v>1</v>
      </c>
    </row>
    <row r="82" hidden="1">
      <c r="A82" s="202" t="s">
        <v>732</v>
      </c>
      <c r="B82" s="202" t="s">
        <v>733</v>
      </c>
      <c r="C82" s="231" t="s">
        <v>2521</v>
      </c>
      <c r="D82" s="202" t="s">
        <v>1341</v>
      </c>
      <c r="F82" s="233"/>
      <c r="G82" s="232">
        <v>0.0</v>
      </c>
      <c r="H82" s="232">
        <v>19.0</v>
      </c>
      <c r="I82" s="232">
        <v>19.0</v>
      </c>
      <c r="J82" s="234">
        <v>0.0</v>
      </c>
      <c r="K82" s="202" t="s">
        <v>2096</v>
      </c>
      <c r="L82" s="202">
        <v>5.32725245E9</v>
      </c>
      <c r="M82" s="202" t="s">
        <v>1318</v>
      </c>
      <c r="N82" s="202" t="s">
        <v>1324</v>
      </c>
      <c r="O82" s="202" t="s">
        <v>2097</v>
      </c>
      <c r="P82" s="202" t="s">
        <v>2522</v>
      </c>
      <c r="Q82" s="235">
        <f>COUNTIF('Hedef Liste'!A:A,A82)</f>
        <v>1</v>
      </c>
    </row>
    <row r="83" hidden="1">
      <c r="A83" s="202" t="s">
        <v>2162</v>
      </c>
      <c r="B83" s="202" t="s">
        <v>2163</v>
      </c>
      <c r="C83" s="231" t="s">
        <v>2523</v>
      </c>
      <c r="D83" s="202" t="s">
        <v>1188</v>
      </c>
      <c r="E83" s="232">
        <v>11201.0</v>
      </c>
      <c r="F83" s="232">
        <v>244.0</v>
      </c>
      <c r="G83" s="232">
        <v>0.0</v>
      </c>
      <c r="H83" s="232">
        <v>14.0</v>
      </c>
      <c r="I83" s="232">
        <v>14.0</v>
      </c>
      <c r="J83" s="234">
        <v>0.0</v>
      </c>
      <c r="K83" s="202" t="s">
        <v>2164</v>
      </c>
      <c r="L83" s="202">
        <v>2.642736628E9</v>
      </c>
      <c r="M83" s="202" t="s">
        <v>1147</v>
      </c>
      <c r="N83" s="202" t="s">
        <v>1164</v>
      </c>
      <c r="O83" s="202" t="s">
        <v>2165</v>
      </c>
      <c r="P83" s="202" t="s">
        <v>2531</v>
      </c>
      <c r="Q83" s="235">
        <f>COUNTIF('Hedef Liste'!A:A,A83)</f>
        <v>1</v>
      </c>
    </row>
    <row r="84" hidden="1">
      <c r="A84" s="202" t="s">
        <v>1734</v>
      </c>
      <c r="B84" s="202" t="s">
        <v>1735</v>
      </c>
      <c r="C84" s="231" t="s">
        <v>2523</v>
      </c>
      <c r="D84" s="202" t="s">
        <v>1226</v>
      </c>
      <c r="E84" s="232">
        <v>532.0</v>
      </c>
      <c r="F84" s="232">
        <v>11.0</v>
      </c>
      <c r="G84" s="232">
        <v>0.0</v>
      </c>
      <c r="H84" s="232">
        <v>33.0</v>
      </c>
      <c r="I84" s="232">
        <v>33.0</v>
      </c>
      <c r="J84" s="234">
        <v>0.0</v>
      </c>
      <c r="K84" s="202" t="s">
        <v>1736</v>
      </c>
      <c r="L84" s="202">
        <v>5.320641254E9</v>
      </c>
      <c r="M84" s="202" t="s">
        <v>1318</v>
      </c>
      <c r="N84" s="202" t="s">
        <v>1319</v>
      </c>
      <c r="O84" s="202" t="s">
        <v>1737</v>
      </c>
      <c r="P84" s="202" t="s">
        <v>2522</v>
      </c>
      <c r="Q84" s="235">
        <f>COUNTIF('Hedef Liste'!A:A,A84)</f>
        <v>1</v>
      </c>
    </row>
    <row r="85" hidden="1">
      <c r="A85" s="202" t="s">
        <v>2087</v>
      </c>
      <c r="B85" s="202" t="s">
        <v>2088</v>
      </c>
      <c r="C85" s="231" t="s">
        <v>2521</v>
      </c>
      <c r="D85" s="202" t="s">
        <v>1235</v>
      </c>
      <c r="E85" s="233"/>
      <c r="F85" s="233"/>
      <c r="G85" s="232">
        <v>0.0</v>
      </c>
      <c r="H85" s="232">
        <v>48.0</v>
      </c>
      <c r="I85" s="232">
        <v>48.0</v>
      </c>
      <c r="J85" s="234">
        <v>0.0</v>
      </c>
      <c r="K85" s="202" t="s">
        <v>2089</v>
      </c>
      <c r="L85" s="202">
        <v>5.512171709E9</v>
      </c>
      <c r="M85" s="202" t="s">
        <v>1172</v>
      </c>
      <c r="N85" s="202" t="s">
        <v>1665</v>
      </c>
      <c r="O85" s="202" t="s">
        <v>2090</v>
      </c>
      <c r="P85" s="202" t="s">
        <v>2522</v>
      </c>
      <c r="Q85" s="235">
        <f>COUNTIF('Hedef Liste'!A:A,A85)</f>
        <v>1</v>
      </c>
    </row>
    <row r="86" hidden="1">
      <c r="A86" s="202" t="s">
        <v>2092</v>
      </c>
      <c r="B86" s="202" t="s">
        <v>2093</v>
      </c>
      <c r="C86" s="231" t="s">
        <v>2521</v>
      </c>
      <c r="D86" s="202" t="s">
        <v>1235</v>
      </c>
      <c r="E86" s="232">
        <v>2.0</v>
      </c>
      <c r="F86" s="233"/>
      <c r="G86" s="232">
        <v>0.0</v>
      </c>
      <c r="H86" s="232">
        <v>55.0</v>
      </c>
      <c r="I86" s="232">
        <v>55.0</v>
      </c>
      <c r="J86" s="234">
        <v>0.0</v>
      </c>
      <c r="K86" s="202" t="s">
        <v>2089</v>
      </c>
      <c r="L86" s="202">
        <v>5.512171709E9</v>
      </c>
      <c r="M86" s="202" t="s">
        <v>1147</v>
      </c>
      <c r="N86" s="202" t="s">
        <v>1362</v>
      </c>
      <c r="O86" s="202" t="s">
        <v>2090</v>
      </c>
      <c r="P86" s="202" t="s">
        <v>2522</v>
      </c>
      <c r="Q86" s="235">
        <f>COUNTIF('Hedef Liste'!A:A,A86)</f>
        <v>1</v>
      </c>
    </row>
    <row r="87" hidden="1">
      <c r="A87" s="202" t="s">
        <v>2249</v>
      </c>
      <c r="B87" s="202" t="s">
        <v>2250</v>
      </c>
      <c r="C87" s="231" t="s">
        <v>2523</v>
      </c>
      <c r="D87" s="202" t="s">
        <v>1145</v>
      </c>
      <c r="E87" s="232">
        <v>102.0</v>
      </c>
      <c r="F87" s="233"/>
      <c r="G87" s="232">
        <v>0.0</v>
      </c>
      <c r="H87" s="232">
        <v>11.0</v>
      </c>
      <c r="I87" s="232">
        <v>11.0</v>
      </c>
      <c r="J87" s="234">
        <v>0.0</v>
      </c>
      <c r="K87" s="202" t="s">
        <v>2251</v>
      </c>
      <c r="L87" s="202">
        <v>5.466962137E9</v>
      </c>
      <c r="M87" s="202" t="s">
        <v>1242</v>
      </c>
      <c r="N87" s="202" t="s">
        <v>1397</v>
      </c>
      <c r="O87" s="202" t="s">
        <v>2252</v>
      </c>
      <c r="P87" s="202" t="s">
        <v>2522</v>
      </c>
      <c r="Q87" s="235">
        <f>COUNTIF('Hedef Liste'!A:A,A87)</f>
        <v>1</v>
      </c>
    </row>
    <row r="88" hidden="1">
      <c r="A88" s="202" t="s">
        <v>2240</v>
      </c>
      <c r="B88" s="202" t="s">
        <v>2241</v>
      </c>
      <c r="C88" s="231" t="s">
        <v>2523</v>
      </c>
      <c r="D88" s="202" t="s">
        <v>1216</v>
      </c>
      <c r="E88" s="232">
        <v>930.0</v>
      </c>
      <c r="F88" s="232">
        <v>22.0</v>
      </c>
      <c r="G88" s="232">
        <v>0.0</v>
      </c>
      <c r="H88" s="232">
        <v>31.0</v>
      </c>
      <c r="I88" s="232">
        <v>31.0</v>
      </c>
      <c r="J88" s="234">
        <v>0.0</v>
      </c>
      <c r="K88" s="202" t="s">
        <v>2242</v>
      </c>
      <c r="L88" s="202">
        <v>2.645022777E9</v>
      </c>
      <c r="M88" s="202" t="s">
        <v>1147</v>
      </c>
      <c r="N88" s="202" t="s">
        <v>1200</v>
      </c>
      <c r="O88" s="202" t="s">
        <v>2243</v>
      </c>
      <c r="P88" s="202" t="s">
        <v>2522</v>
      </c>
      <c r="Q88" s="235">
        <f>COUNTIF('Hedef Liste'!A:A,A88)</f>
        <v>1</v>
      </c>
    </row>
    <row r="89" hidden="1">
      <c r="A89" s="202" t="s">
        <v>2335</v>
      </c>
      <c r="B89" s="202" t="s">
        <v>2336</v>
      </c>
      <c r="C89" s="231" t="s">
        <v>2521</v>
      </c>
      <c r="D89" s="202" t="s">
        <v>1235</v>
      </c>
      <c r="E89" s="232">
        <v>299.0</v>
      </c>
      <c r="F89" s="233"/>
      <c r="G89" s="232">
        <v>0.0</v>
      </c>
      <c r="H89" s="232">
        <v>10.0</v>
      </c>
      <c r="I89" s="232">
        <v>10.0</v>
      </c>
      <c r="J89" s="234">
        <v>0.0</v>
      </c>
      <c r="K89" s="202" t="s">
        <v>2337</v>
      </c>
      <c r="L89" s="202">
        <v>5.057766644E9</v>
      </c>
      <c r="M89" s="202" t="s">
        <v>1172</v>
      </c>
      <c r="N89" s="202" t="s">
        <v>1379</v>
      </c>
      <c r="O89" s="202" t="s">
        <v>2338</v>
      </c>
      <c r="P89" s="202" t="s">
        <v>2522</v>
      </c>
      <c r="Q89" s="235">
        <f>COUNTIF('Hedef Liste'!A:A,A89)</f>
        <v>1</v>
      </c>
    </row>
    <row r="90" hidden="1">
      <c r="A90" s="202" t="s">
        <v>39</v>
      </c>
      <c r="B90" s="202" t="s">
        <v>40</v>
      </c>
      <c r="C90" s="231" t="s">
        <v>2523</v>
      </c>
      <c r="D90" s="202" t="s">
        <v>1341</v>
      </c>
      <c r="E90" s="232">
        <v>3417.0</v>
      </c>
      <c r="F90" s="232">
        <v>151.0</v>
      </c>
      <c r="G90" s="232">
        <v>22.0</v>
      </c>
      <c r="H90" s="232">
        <v>38.0</v>
      </c>
      <c r="I90" s="232">
        <v>60.0</v>
      </c>
      <c r="J90" s="234">
        <v>0.37</v>
      </c>
      <c r="K90" s="202" t="s">
        <v>2555</v>
      </c>
      <c r="L90" s="202">
        <v>5.5377054E9</v>
      </c>
      <c r="M90" s="202" t="s">
        <v>1147</v>
      </c>
      <c r="N90" s="202" t="s">
        <v>1200</v>
      </c>
      <c r="O90" s="202" t="s">
        <v>1914</v>
      </c>
      <c r="P90" s="202" t="s">
        <v>2522</v>
      </c>
      <c r="Q90" s="235">
        <f>COUNTIF('Hedef Liste'!A:A,A90)</f>
        <v>1</v>
      </c>
    </row>
    <row r="91" hidden="1">
      <c r="A91" s="202" t="s">
        <v>1542</v>
      </c>
      <c r="B91" s="202" t="s">
        <v>1543</v>
      </c>
      <c r="C91" s="231" t="s">
        <v>2521</v>
      </c>
      <c r="D91" s="202" t="s">
        <v>1455</v>
      </c>
      <c r="E91" s="233"/>
      <c r="F91" s="233"/>
      <c r="G91" s="232">
        <v>0.0</v>
      </c>
      <c r="H91" s="232">
        <v>33.0</v>
      </c>
      <c r="I91" s="232">
        <v>33.0</v>
      </c>
      <c r="J91" s="234">
        <v>0.0</v>
      </c>
      <c r="K91" s="202" t="s">
        <v>1544</v>
      </c>
      <c r="L91" s="202">
        <v>5.447786841E9</v>
      </c>
      <c r="M91" s="202" t="s">
        <v>1147</v>
      </c>
      <c r="N91" s="202" t="s">
        <v>1200</v>
      </c>
      <c r="O91" s="202" t="s">
        <v>1545</v>
      </c>
      <c r="P91" s="202" t="s">
        <v>2522</v>
      </c>
      <c r="Q91" s="235">
        <f>COUNTIF('Hedef Liste'!A:A,A91)</f>
        <v>1</v>
      </c>
    </row>
    <row r="92" hidden="1">
      <c r="A92" s="202" t="s">
        <v>1926</v>
      </c>
      <c r="B92" s="202" t="s">
        <v>1927</v>
      </c>
      <c r="C92" s="231" t="s">
        <v>2523</v>
      </c>
      <c r="D92" s="202" t="s">
        <v>1216</v>
      </c>
      <c r="E92" s="232">
        <v>9691.0</v>
      </c>
      <c r="F92" s="232">
        <v>475.0</v>
      </c>
      <c r="G92" s="232">
        <v>0.0</v>
      </c>
      <c r="H92" s="232">
        <v>12.0</v>
      </c>
      <c r="I92" s="232">
        <v>12.0</v>
      </c>
      <c r="J92" s="234">
        <v>0.0</v>
      </c>
      <c r="K92" s="202" t="s">
        <v>1928</v>
      </c>
      <c r="L92" s="202">
        <v>5.433460807E9</v>
      </c>
      <c r="M92" s="202" t="s">
        <v>1147</v>
      </c>
      <c r="N92" s="202" t="s">
        <v>1200</v>
      </c>
      <c r="O92" s="202" t="s">
        <v>68</v>
      </c>
      <c r="P92" s="202" t="s">
        <v>2522</v>
      </c>
      <c r="Q92" s="235">
        <f>COUNTIF('Hedef Liste'!A:A,A92)</f>
        <v>1</v>
      </c>
    </row>
    <row r="93" hidden="1">
      <c r="A93" s="202" t="s">
        <v>150</v>
      </c>
      <c r="B93" s="202" t="s">
        <v>1687</v>
      </c>
      <c r="C93" s="231" t="s">
        <v>2523</v>
      </c>
      <c r="D93" s="202" t="s">
        <v>1226</v>
      </c>
      <c r="E93" s="232">
        <v>610.0</v>
      </c>
      <c r="F93" s="233"/>
      <c r="G93" s="232">
        <v>7.0</v>
      </c>
      <c r="H93" s="232">
        <v>10.0</v>
      </c>
      <c r="I93" s="232">
        <v>17.0</v>
      </c>
      <c r="J93" s="234">
        <v>0.41</v>
      </c>
      <c r="K93" s="202" t="s">
        <v>1688</v>
      </c>
      <c r="L93" s="202">
        <v>5.304312412E9</v>
      </c>
      <c r="M93" s="202" t="s">
        <v>1172</v>
      </c>
      <c r="N93" s="202" t="s">
        <v>1379</v>
      </c>
      <c r="O93" s="202" t="s">
        <v>1689</v>
      </c>
      <c r="P93" s="202" t="s">
        <v>2522</v>
      </c>
      <c r="Q93" s="235">
        <f>COUNTIF('Hedef Liste'!A:A,A93)</f>
        <v>1</v>
      </c>
    </row>
    <row r="94" hidden="1">
      <c r="A94" s="202" t="s">
        <v>154</v>
      </c>
      <c r="B94" s="202" t="s">
        <v>155</v>
      </c>
      <c r="C94" s="231" t="s">
        <v>2523</v>
      </c>
      <c r="D94" s="202" t="s">
        <v>1302</v>
      </c>
      <c r="E94" s="232">
        <v>259.0</v>
      </c>
      <c r="F94" s="232">
        <v>2.0</v>
      </c>
      <c r="G94" s="232">
        <v>3.0</v>
      </c>
      <c r="H94" s="232">
        <v>6.0</v>
      </c>
      <c r="I94" s="232">
        <v>9.0</v>
      </c>
      <c r="J94" s="234">
        <v>0.33</v>
      </c>
      <c r="K94" s="202" t="s">
        <v>1951</v>
      </c>
      <c r="L94" s="202">
        <v>5.442733273E9</v>
      </c>
      <c r="M94" s="202" t="s">
        <v>1172</v>
      </c>
      <c r="N94" s="202" t="s">
        <v>1379</v>
      </c>
      <c r="O94" s="202" t="s">
        <v>490</v>
      </c>
      <c r="P94" s="202" t="s">
        <v>2522</v>
      </c>
      <c r="Q94" s="235">
        <f>COUNTIF('Hedef Liste'!A:A,A94)</f>
        <v>1</v>
      </c>
    </row>
    <row r="95" hidden="1">
      <c r="A95" s="202" t="s">
        <v>65</v>
      </c>
      <c r="B95" s="202" t="s">
        <v>2556</v>
      </c>
      <c r="C95" s="231" t="s">
        <v>2523</v>
      </c>
      <c r="D95" s="202" t="s">
        <v>1170</v>
      </c>
      <c r="E95" s="232">
        <v>2916.0</v>
      </c>
      <c r="F95" s="232">
        <v>315.0</v>
      </c>
      <c r="G95" s="232">
        <v>14.0</v>
      </c>
      <c r="H95" s="232">
        <v>25.0</v>
      </c>
      <c r="I95" s="232">
        <v>39.0</v>
      </c>
      <c r="J95" s="234">
        <v>0.36</v>
      </c>
      <c r="K95" s="202" t="s">
        <v>1245</v>
      </c>
      <c r="L95" s="202">
        <v>2.645024549E9</v>
      </c>
      <c r="M95" s="202" t="s">
        <v>1147</v>
      </c>
      <c r="N95" s="202" t="s">
        <v>1200</v>
      </c>
      <c r="O95" s="202" t="s">
        <v>68</v>
      </c>
      <c r="P95" s="202" t="s">
        <v>2522</v>
      </c>
      <c r="Q95" s="235">
        <f>COUNTIF('Hedef Liste'!A:A,A95)</f>
        <v>1</v>
      </c>
    </row>
    <row r="96" hidden="1">
      <c r="A96" s="202" t="s">
        <v>1519</v>
      </c>
      <c r="B96" s="202" t="s">
        <v>1520</v>
      </c>
      <c r="C96" s="231" t="s">
        <v>2521</v>
      </c>
      <c r="D96" s="202" t="s">
        <v>1170</v>
      </c>
      <c r="E96" s="232">
        <v>58.0</v>
      </c>
      <c r="F96" s="233"/>
      <c r="G96" s="232">
        <v>0.0</v>
      </c>
      <c r="H96" s="232">
        <v>32.0</v>
      </c>
      <c r="I96" s="232">
        <v>32.0</v>
      </c>
      <c r="J96" s="234">
        <v>0.0</v>
      </c>
      <c r="K96" s="202" t="s">
        <v>1521</v>
      </c>
      <c r="L96" s="202">
        <v>5.322302893E9</v>
      </c>
      <c r="M96" s="202" t="s">
        <v>1147</v>
      </c>
      <c r="N96" s="202" t="s">
        <v>2557</v>
      </c>
      <c r="O96" s="202" t="s">
        <v>1522</v>
      </c>
      <c r="P96" s="202" t="s">
        <v>2522</v>
      </c>
      <c r="Q96" s="235">
        <f>COUNTIF('Hedef Liste'!A:A,A96)</f>
        <v>1</v>
      </c>
    </row>
    <row r="97" hidden="1">
      <c r="A97" s="202" t="s">
        <v>2558</v>
      </c>
      <c r="B97" s="202" t="s">
        <v>2559</v>
      </c>
      <c r="C97" s="231" t="s">
        <v>2523</v>
      </c>
      <c r="D97" s="202" t="s">
        <v>1182</v>
      </c>
      <c r="E97" s="232">
        <v>933.0</v>
      </c>
      <c r="F97" s="232">
        <v>20.0</v>
      </c>
      <c r="G97" s="232">
        <v>110.0</v>
      </c>
      <c r="H97" s="232">
        <v>10.0</v>
      </c>
      <c r="I97" s="232">
        <v>120.0</v>
      </c>
      <c r="J97" s="234">
        <v>0.92</v>
      </c>
      <c r="K97" s="202" t="s">
        <v>2550</v>
      </c>
      <c r="L97" s="202">
        <v>5.423592732E9</v>
      </c>
      <c r="M97" s="202" t="s">
        <v>1172</v>
      </c>
      <c r="N97" s="202" t="s">
        <v>1379</v>
      </c>
      <c r="O97" s="202" t="s">
        <v>2560</v>
      </c>
      <c r="P97" s="202" t="s">
        <v>2531</v>
      </c>
      <c r="Q97" s="235">
        <f>COUNTIF('Hedef Liste'!A:A,A97)</f>
        <v>0</v>
      </c>
    </row>
    <row r="98" hidden="1">
      <c r="A98" s="202" t="s">
        <v>2561</v>
      </c>
      <c r="B98" s="202" t="s">
        <v>2562</v>
      </c>
      <c r="C98" s="231" t="s">
        <v>2523</v>
      </c>
      <c r="D98" s="202" t="s">
        <v>1182</v>
      </c>
      <c r="E98" s="232">
        <v>916.0</v>
      </c>
      <c r="F98" s="232">
        <v>23.0</v>
      </c>
      <c r="G98" s="232">
        <v>41.0</v>
      </c>
      <c r="H98" s="232">
        <v>2.0</v>
      </c>
      <c r="I98" s="232">
        <v>43.0</v>
      </c>
      <c r="J98" s="234">
        <v>0.95</v>
      </c>
      <c r="K98" s="202" t="s">
        <v>2550</v>
      </c>
      <c r="L98" s="202">
        <v>5.351007565E9</v>
      </c>
      <c r="M98" s="202" t="s">
        <v>1172</v>
      </c>
      <c r="N98" s="202" t="s">
        <v>1268</v>
      </c>
      <c r="O98" s="202" t="s">
        <v>2563</v>
      </c>
      <c r="P98" s="202" t="s">
        <v>2531</v>
      </c>
      <c r="Q98" s="235">
        <f>COUNTIF('Hedef Liste'!A:A,A98)</f>
        <v>0</v>
      </c>
    </row>
    <row r="99" hidden="1">
      <c r="A99" s="202" t="s">
        <v>2564</v>
      </c>
      <c r="B99" s="202" t="s">
        <v>2565</v>
      </c>
      <c r="C99" s="231" t="s">
        <v>2523</v>
      </c>
      <c r="D99" s="202" t="s">
        <v>1182</v>
      </c>
      <c r="E99" s="232">
        <v>222.0</v>
      </c>
      <c r="F99" s="232">
        <v>3.0</v>
      </c>
      <c r="G99" s="232">
        <v>55.0</v>
      </c>
      <c r="H99" s="232">
        <v>2.0</v>
      </c>
      <c r="I99" s="232">
        <v>57.0</v>
      </c>
      <c r="J99" s="234">
        <v>0.96</v>
      </c>
      <c r="K99" s="202" t="s">
        <v>2550</v>
      </c>
      <c r="L99" s="202">
        <v>5.41886869E9</v>
      </c>
      <c r="M99" s="202" t="s">
        <v>1172</v>
      </c>
      <c r="N99" s="202" t="s">
        <v>2566</v>
      </c>
      <c r="O99" s="202" t="s">
        <v>2567</v>
      </c>
      <c r="P99" s="202" t="s">
        <v>2531</v>
      </c>
      <c r="Q99" s="235">
        <f>COUNTIF('Hedef Liste'!A:A,A99)</f>
        <v>0</v>
      </c>
    </row>
    <row r="100" hidden="1">
      <c r="A100" s="202" t="s">
        <v>851</v>
      </c>
      <c r="B100" s="202" t="s">
        <v>852</v>
      </c>
      <c r="C100" s="231" t="s">
        <v>2523</v>
      </c>
      <c r="D100" s="202" t="s">
        <v>1188</v>
      </c>
      <c r="E100" s="232">
        <v>4442.0</v>
      </c>
      <c r="F100" s="233"/>
      <c r="G100" s="232">
        <v>13.0</v>
      </c>
      <c r="H100" s="232">
        <v>33.0</v>
      </c>
      <c r="I100" s="232">
        <v>46.0</v>
      </c>
      <c r="J100" s="234">
        <v>0.28</v>
      </c>
      <c r="K100" s="202" t="s">
        <v>2327</v>
      </c>
      <c r="L100" s="202">
        <v>2.642720115E9</v>
      </c>
      <c r="M100" s="202" t="s">
        <v>1172</v>
      </c>
      <c r="N100" s="202" t="s">
        <v>1190</v>
      </c>
      <c r="O100" s="202" t="s">
        <v>854</v>
      </c>
      <c r="P100" s="202" t="s">
        <v>2522</v>
      </c>
      <c r="Q100" s="235">
        <f>COUNTIF('Hedef Liste'!A:A,A100)</f>
        <v>1</v>
      </c>
    </row>
    <row r="101" hidden="1">
      <c r="A101" s="202" t="s">
        <v>1477</v>
      </c>
      <c r="B101" s="202" t="s">
        <v>1478</v>
      </c>
      <c r="C101" s="231" t="s">
        <v>2523</v>
      </c>
      <c r="D101" s="202" t="s">
        <v>1302</v>
      </c>
      <c r="E101" s="232">
        <v>145.0</v>
      </c>
      <c r="F101" s="232">
        <v>4.0</v>
      </c>
      <c r="G101" s="232">
        <v>0.0</v>
      </c>
      <c r="H101" s="232">
        <v>48.0</v>
      </c>
      <c r="I101" s="232">
        <v>48.0</v>
      </c>
      <c r="J101" s="234">
        <v>0.0</v>
      </c>
      <c r="K101" s="202" t="s">
        <v>1479</v>
      </c>
      <c r="L101" s="202">
        <v>2.645922486E9</v>
      </c>
      <c r="M101" s="202" t="s">
        <v>1318</v>
      </c>
      <c r="N101" s="202" t="s">
        <v>2568</v>
      </c>
      <c r="O101" s="202" t="s">
        <v>1480</v>
      </c>
      <c r="P101" s="202" t="s">
        <v>2522</v>
      </c>
      <c r="Q101" s="235">
        <f>COUNTIF('Hedef Liste'!A:A,A101)</f>
        <v>1</v>
      </c>
    </row>
    <row r="102" hidden="1">
      <c r="A102" s="202" t="s">
        <v>2569</v>
      </c>
      <c r="B102" s="202" t="s">
        <v>2570</v>
      </c>
      <c r="C102" s="231" t="s">
        <v>2523</v>
      </c>
      <c r="D102" s="202" t="s">
        <v>1145</v>
      </c>
      <c r="E102" s="232">
        <v>9074.0</v>
      </c>
      <c r="F102" s="232">
        <v>206.0</v>
      </c>
      <c r="G102" s="232">
        <v>157.0</v>
      </c>
      <c r="H102" s="232">
        <v>0.0</v>
      </c>
      <c r="I102" s="232">
        <v>157.0</v>
      </c>
      <c r="J102" s="234">
        <v>1.0</v>
      </c>
      <c r="K102" s="202" t="s">
        <v>2571</v>
      </c>
      <c r="L102" s="202">
        <v>9.999999999E9</v>
      </c>
      <c r="M102" s="202" t="s">
        <v>1172</v>
      </c>
      <c r="N102" s="202" t="s">
        <v>1190</v>
      </c>
      <c r="O102" s="202" t="s">
        <v>2572</v>
      </c>
      <c r="P102" s="202" t="s">
        <v>2531</v>
      </c>
      <c r="Q102" s="235">
        <f>COUNTIF('Hedef Liste'!A:A,A102)</f>
        <v>0</v>
      </c>
    </row>
    <row r="103" hidden="1">
      <c r="A103" s="202" t="s">
        <v>2573</v>
      </c>
      <c r="B103" s="202" t="s">
        <v>2574</v>
      </c>
      <c r="C103" s="231" t="s">
        <v>2523</v>
      </c>
      <c r="D103" s="202" t="s">
        <v>1235</v>
      </c>
      <c r="E103" s="232">
        <v>7426.0</v>
      </c>
      <c r="F103" s="232">
        <v>226.0</v>
      </c>
      <c r="G103" s="232">
        <v>109.0</v>
      </c>
      <c r="H103" s="232">
        <v>0.0</v>
      </c>
      <c r="I103" s="232">
        <v>109.0</v>
      </c>
      <c r="J103" s="234">
        <v>1.0</v>
      </c>
      <c r="K103" s="202" t="s">
        <v>2571</v>
      </c>
      <c r="L103" s="202">
        <v>9.999999999E9</v>
      </c>
      <c r="M103" s="202" t="s">
        <v>1177</v>
      </c>
      <c r="N103" s="202" t="s">
        <v>1177</v>
      </c>
      <c r="O103" s="202" t="s">
        <v>2575</v>
      </c>
      <c r="P103" s="202" t="s">
        <v>2531</v>
      </c>
      <c r="Q103" s="235">
        <f>COUNTIF('Hedef Liste'!A:A,A103)</f>
        <v>0</v>
      </c>
    </row>
    <row r="104" hidden="1">
      <c r="A104" s="202" t="s">
        <v>195</v>
      </c>
      <c r="B104" s="202" t="s">
        <v>196</v>
      </c>
      <c r="C104" s="231" t="s">
        <v>2523</v>
      </c>
      <c r="D104" s="202" t="s">
        <v>1162</v>
      </c>
      <c r="E104" s="232">
        <v>164.0</v>
      </c>
      <c r="F104" s="232">
        <v>2.0</v>
      </c>
      <c r="G104" s="232">
        <v>0.0</v>
      </c>
      <c r="H104" s="232">
        <v>17.0</v>
      </c>
      <c r="I104" s="232">
        <v>17.0</v>
      </c>
      <c r="J104" s="234">
        <v>0.0</v>
      </c>
      <c r="K104" s="202" t="s">
        <v>1450</v>
      </c>
      <c r="L104" s="202">
        <v>5.326003283E9</v>
      </c>
      <c r="M104" s="202" t="s">
        <v>1147</v>
      </c>
      <c r="N104" s="202" t="s">
        <v>1451</v>
      </c>
      <c r="O104" s="202" t="s">
        <v>198</v>
      </c>
      <c r="P104" s="202" t="s">
        <v>2522</v>
      </c>
      <c r="Q104" s="235">
        <f>COUNTIF('Hedef Liste'!A:A,A104)</f>
        <v>1</v>
      </c>
    </row>
    <row r="105" hidden="1">
      <c r="A105" s="202" t="s">
        <v>2049</v>
      </c>
      <c r="B105" s="202" t="s">
        <v>2050</v>
      </c>
      <c r="C105" s="231" t="s">
        <v>2523</v>
      </c>
      <c r="D105" s="202" t="s">
        <v>1170</v>
      </c>
      <c r="E105" s="232">
        <v>482.0</v>
      </c>
      <c r="F105" s="232">
        <v>1.0</v>
      </c>
      <c r="G105" s="232">
        <v>0.0</v>
      </c>
      <c r="H105" s="232">
        <v>29.0</v>
      </c>
      <c r="I105" s="232">
        <v>29.0</v>
      </c>
      <c r="J105" s="234">
        <v>0.0</v>
      </c>
      <c r="K105" s="202" t="s">
        <v>2051</v>
      </c>
      <c r="L105" s="202">
        <v>5.514506415E9</v>
      </c>
      <c r="M105" s="202" t="s">
        <v>1318</v>
      </c>
      <c r="N105" s="202" t="s">
        <v>1324</v>
      </c>
      <c r="O105" s="202" t="s">
        <v>2052</v>
      </c>
      <c r="P105" s="202" t="s">
        <v>2522</v>
      </c>
      <c r="Q105" s="235">
        <f>COUNTIF('Hedef Liste'!A:A,A105)</f>
        <v>1</v>
      </c>
    </row>
    <row r="106" hidden="1">
      <c r="A106" s="202" t="s">
        <v>2576</v>
      </c>
      <c r="B106" s="202" t="s">
        <v>2577</v>
      </c>
      <c r="C106" s="231" t="s">
        <v>2523</v>
      </c>
      <c r="D106" s="202" t="s">
        <v>1182</v>
      </c>
      <c r="E106" s="232">
        <v>633.0</v>
      </c>
      <c r="F106" s="232">
        <v>15.0</v>
      </c>
      <c r="G106" s="232">
        <v>103.0</v>
      </c>
      <c r="H106" s="232">
        <v>7.0</v>
      </c>
      <c r="I106" s="232">
        <v>110.0</v>
      </c>
      <c r="J106" s="234">
        <v>0.94</v>
      </c>
      <c r="K106" s="202" t="s">
        <v>2550</v>
      </c>
      <c r="L106" s="202">
        <v>5.535644114E9</v>
      </c>
      <c r="M106" s="202" t="s">
        <v>1172</v>
      </c>
      <c r="N106" s="202" t="s">
        <v>2566</v>
      </c>
      <c r="O106" s="202" t="s">
        <v>2578</v>
      </c>
      <c r="P106" s="202" t="s">
        <v>2531</v>
      </c>
      <c r="Q106" s="235">
        <f>COUNTIF('Hedef Liste'!A:A,A106)</f>
        <v>0</v>
      </c>
    </row>
    <row r="107" hidden="1">
      <c r="A107" s="202" t="s">
        <v>2579</v>
      </c>
      <c r="B107" s="202" t="s">
        <v>2580</v>
      </c>
      <c r="C107" s="231" t="s">
        <v>2523</v>
      </c>
      <c r="D107" s="202" t="s">
        <v>1182</v>
      </c>
      <c r="E107" s="232">
        <v>673.0</v>
      </c>
      <c r="F107" s="232">
        <v>9.0</v>
      </c>
      <c r="G107" s="232">
        <v>111.0</v>
      </c>
      <c r="H107" s="232">
        <v>9.0</v>
      </c>
      <c r="I107" s="232">
        <v>120.0</v>
      </c>
      <c r="J107" s="234">
        <v>0.93</v>
      </c>
      <c r="K107" s="202" t="s">
        <v>2550</v>
      </c>
      <c r="L107" s="202">
        <v>5.458665254E9</v>
      </c>
      <c r="M107" s="202" t="s">
        <v>1463</v>
      </c>
      <c r="N107" s="202" t="s">
        <v>1464</v>
      </c>
      <c r="O107" s="202" t="s">
        <v>2581</v>
      </c>
      <c r="P107" s="202" t="s">
        <v>2531</v>
      </c>
      <c r="Q107" s="235">
        <f>COUNTIF('Hedef Liste'!A:A,A107)</f>
        <v>0</v>
      </c>
    </row>
    <row r="108" hidden="1">
      <c r="A108" s="202" t="s">
        <v>2582</v>
      </c>
      <c r="B108" s="202" t="s">
        <v>2583</v>
      </c>
      <c r="C108" s="231" t="s">
        <v>2523</v>
      </c>
      <c r="D108" s="202" t="s">
        <v>1182</v>
      </c>
      <c r="E108" s="232">
        <v>2619.0</v>
      </c>
      <c r="F108" s="232">
        <v>38.0</v>
      </c>
      <c r="G108" s="232">
        <v>105.0</v>
      </c>
      <c r="H108" s="232">
        <v>3.0</v>
      </c>
      <c r="I108" s="232">
        <v>108.0</v>
      </c>
      <c r="J108" s="234">
        <v>0.97</v>
      </c>
      <c r="K108" s="202" t="s">
        <v>2550</v>
      </c>
      <c r="L108" s="202">
        <v>5.333466127E9</v>
      </c>
      <c r="M108" s="202" t="s">
        <v>1172</v>
      </c>
      <c r="N108" s="202" t="s">
        <v>1228</v>
      </c>
      <c r="O108" s="202" t="s">
        <v>2584</v>
      </c>
      <c r="P108" s="202" t="s">
        <v>2531</v>
      </c>
      <c r="Q108" s="235">
        <f>COUNTIF('Hedef Liste'!A:A,A108)</f>
        <v>0</v>
      </c>
    </row>
    <row r="109" hidden="1">
      <c r="A109" s="202" t="s">
        <v>2585</v>
      </c>
      <c r="B109" s="202" t="s">
        <v>2586</v>
      </c>
      <c r="C109" s="231" t="s">
        <v>2523</v>
      </c>
      <c r="D109" s="202" t="s">
        <v>1182</v>
      </c>
      <c r="E109" s="232">
        <v>776.0</v>
      </c>
      <c r="F109" s="232">
        <v>10.0</v>
      </c>
      <c r="G109" s="232">
        <v>65.0</v>
      </c>
      <c r="H109" s="232">
        <v>6.0</v>
      </c>
      <c r="I109" s="232">
        <v>71.0</v>
      </c>
      <c r="J109" s="234">
        <v>0.92</v>
      </c>
      <c r="K109" s="202" t="s">
        <v>2550</v>
      </c>
      <c r="L109" s="202">
        <v>5.334706654E9</v>
      </c>
      <c r="M109" s="202" t="s">
        <v>1172</v>
      </c>
      <c r="N109" s="202" t="s">
        <v>1336</v>
      </c>
      <c r="O109" s="202" t="s">
        <v>2587</v>
      </c>
      <c r="P109" s="202" t="s">
        <v>2531</v>
      </c>
      <c r="Q109" s="235">
        <f>COUNTIF('Hedef Liste'!A:A,A109)</f>
        <v>0</v>
      </c>
    </row>
    <row r="110" hidden="1">
      <c r="A110" s="202" t="s">
        <v>2588</v>
      </c>
      <c r="B110" s="202" t="s">
        <v>2589</v>
      </c>
      <c r="C110" s="231" t="s">
        <v>2523</v>
      </c>
      <c r="D110" s="202" t="s">
        <v>1182</v>
      </c>
      <c r="E110" s="232">
        <v>1207.0</v>
      </c>
      <c r="F110" s="232">
        <v>35.0</v>
      </c>
      <c r="G110" s="232">
        <v>72.0</v>
      </c>
      <c r="H110" s="232">
        <v>4.0</v>
      </c>
      <c r="I110" s="232">
        <v>76.0</v>
      </c>
      <c r="J110" s="234">
        <v>0.95</v>
      </c>
      <c r="K110" s="202" t="s">
        <v>2550</v>
      </c>
      <c r="L110" s="202">
        <v>5.464706172E9</v>
      </c>
      <c r="M110" s="202" t="s">
        <v>1147</v>
      </c>
      <c r="N110" s="202" t="s">
        <v>1352</v>
      </c>
      <c r="O110" s="202" t="s">
        <v>2590</v>
      </c>
      <c r="P110" s="202" t="s">
        <v>2531</v>
      </c>
      <c r="Q110" s="235">
        <f>COUNTIF('Hedef Liste'!A:A,A110)</f>
        <v>0</v>
      </c>
    </row>
    <row r="111" hidden="1">
      <c r="A111" s="202" t="s">
        <v>164</v>
      </c>
      <c r="B111" s="202" t="s">
        <v>165</v>
      </c>
      <c r="C111" s="231" t="s">
        <v>2521</v>
      </c>
      <c r="D111" s="202" t="s">
        <v>1155</v>
      </c>
      <c r="E111" s="232">
        <v>10.0</v>
      </c>
      <c r="F111" s="233"/>
      <c r="G111" s="232">
        <v>0.0</v>
      </c>
      <c r="H111" s="232">
        <v>18.0</v>
      </c>
      <c r="I111" s="232">
        <v>18.0</v>
      </c>
      <c r="J111" s="234">
        <v>0.0</v>
      </c>
      <c r="K111" s="202" t="s">
        <v>2318</v>
      </c>
      <c r="L111" s="202">
        <v>5.415454587E9</v>
      </c>
      <c r="M111" s="202" t="s">
        <v>1147</v>
      </c>
      <c r="N111" s="202" t="s">
        <v>1164</v>
      </c>
      <c r="O111" s="202" t="s">
        <v>167</v>
      </c>
      <c r="P111" s="202" t="s">
        <v>2522</v>
      </c>
      <c r="Q111" s="235">
        <f>COUNTIF('Hedef Liste'!A:A,A111)</f>
        <v>1</v>
      </c>
    </row>
    <row r="112" hidden="1">
      <c r="A112" s="202" t="s">
        <v>99</v>
      </c>
      <c r="B112" s="202" t="s">
        <v>100</v>
      </c>
      <c r="C112" s="231" t="s">
        <v>2523</v>
      </c>
      <c r="D112" s="202" t="s">
        <v>1155</v>
      </c>
      <c r="E112" s="232">
        <v>2713.0</v>
      </c>
      <c r="F112" s="232">
        <v>52.0</v>
      </c>
      <c r="G112" s="232">
        <v>42.0</v>
      </c>
      <c r="H112" s="232">
        <v>6.0</v>
      </c>
      <c r="I112" s="232">
        <v>48.0</v>
      </c>
      <c r="J112" s="234">
        <v>0.88</v>
      </c>
      <c r="K112" s="202" t="s">
        <v>2426</v>
      </c>
      <c r="L112" s="202">
        <v>5.37966838E9</v>
      </c>
      <c r="M112" s="202" t="s">
        <v>1177</v>
      </c>
      <c r="N112" s="202" t="s">
        <v>1607</v>
      </c>
      <c r="O112" s="202" t="s">
        <v>104</v>
      </c>
      <c r="P112" s="202" t="s">
        <v>2522</v>
      </c>
      <c r="Q112" s="235">
        <f>COUNTIF('Hedef Liste'!A:A,A112)</f>
        <v>1</v>
      </c>
    </row>
    <row r="113" hidden="1">
      <c r="A113" s="202" t="s">
        <v>2591</v>
      </c>
      <c r="B113" s="202" t="s">
        <v>2592</v>
      </c>
      <c r="C113" s="231" t="s">
        <v>2523</v>
      </c>
      <c r="D113" s="202" t="s">
        <v>1182</v>
      </c>
      <c r="E113" s="232">
        <v>2130.0</v>
      </c>
      <c r="F113" s="232">
        <v>74.0</v>
      </c>
      <c r="G113" s="232">
        <v>100.0</v>
      </c>
      <c r="H113" s="232">
        <v>11.0</v>
      </c>
      <c r="I113" s="232">
        <v>111.0</v>
      </c>
      <c r="J113" s="234">
        <v>0.9</v>
      </c>
      <c r="K113" s="202" t="s">
        <v>2550</v>
      </c>
      <c r="L113" s="202">
        <v>5.372707837E9</v>
      </c>
      <c r="M113" s="202" t="s">
        <v>1348</v>
      </c>
      <c r="N113" s="202" t="s">
        <v>1897</v>
      </c>
      <c r="O113" s="202" t="s">
        <v>2593</v>
      </c>
      <c r="P113" s="202" t="s">
        <v>2531</v>
      </c>
      <c r="Q113" s="235">
        <f>COUNTIF('Hedef Liste'!A:A,A113)</f>
        <v>0</v>
      </c>
    </row>
    <row r="114" hidden="1">
      <c r="A114" s="202" t="s">
        <v>2594</v>
      </c>
      <c r="B114" s="202" t="s">
        <v>2595</v>
      </c>
      <c r="C114" s="231" t="s">
        <v>2523</v>
      </c>
      <c r="D114" s="202" t="s">
        <v>1182</v>
      </c>
      <c r="E114" s="232">
        <v>58.0</v>
      </c>
      <c r="F114" s="232">
        <v>10.0</v>
      </c>
      <c r="G114" s="232">
        <v>155.0</v>
      </c>
      <c r="H114" s="232">
        <v>13.0</v>
      </c>
      <c r="I114" s="232">
        <v>168.0</v>
      </c>
      <c r="J114" s="234">
        <v>0.92</v>
      </c>
      <c r="K114" s="202" t="s">
        <v>2550</v>
      </c>
      <c r="L114" s="202">
        <v>5.425130878E9</v>
      </c>
      <c r="M114" s="202" t="s">
        <v>1147</v>
      </c>
      <c r="N114" s="202" t="s">
        <v>1164</v>
      </c>
      <c r="O114" s="202" t="s">
        <v>2596</v>
      </c>
      <c r="P114" s="202" t="s">
        <v>2531</v>
      </c>
      <c r="Q114" s="235">
        <f>COUNTIF('Hedef Liste'!A:A,A114)</f>
        <v>0</v>
      </c>
    </row>
    <row r="115" hidden="1">
      <c r="A115" s="202" t="s">
        <v>2597</v>
      </c>
      <c r="B115" s="202" t="s">
        <v>2598</v>
      </c>
      <c r="C115" s="231" t="s">
        <v>2523</v>
      </c>
      <c r="D115" s="202" t="s">
        <v>1182</v>
      </c>
      <c r="E115" s="232">
        <v>1331.0</v>
      </c>
      <c r="F115" s="232">
        <v>29.0</v>
      </c>
      <c r="G115" s="232">
        <v>80.0</v>
      </c>
      <c r="H115" s="232">
        <v>5.0</v>
      </c>
      <c r="I115" s="232">
        <v>85.0</v>
      </c>
      <c r="J115" s="234">
        <v>0.94</v>
      </c>
      <c r="K115" s="202" t="s">
        <v>2550</v>
      </c>
      <c r="L115" s="202">
        <v>5.532866008E9</v>
      </c>
      <c r="M115" s="202" t="s">
        <v>1242</v>
      </c>
      <c r="N115" s="202" t="s">
        <v>1243</v>
      </c>
      <c r="O115" s="202" t="s">
        <v>2599</v>
      </c>
      <c r="P115" s="202" t="s">
        <v>2531</v>
      </c>
      <c r="Q115" s="235">
        <f>COUNTIF('Hedef Liste'!A:A,A115)</f>
        <v>0</v>
      </c>
    </row>
    <row r="116" hidden="1">
      <c r="A116" s="202" t="s">
        <v>2600</v>
      </c>
      <c r="B116" s="202" t="s">
        <v>2601</v>
      </c>
      <c r="C116" s="231" t="s">
        <v>2523</v>
      </c>
      <c r="D116" s="202" t="s">
        <v>1182</v>
      </c>
      <c r="E116" s="232">
        <v>190.0</v>
      </c>
      <c r="F116" s="232">
        <v>2.0</v>
      </c>
      <c r="G116" s="232">
        <v>109.0</v>
      </c>
      <c r="H116" s="232">
        <v>10.0</v>
      </c>
      <c r="I116" s="232">
        <v>119.0</v>
      </c>
      <c r="J116" s="234">
        <v>0.92</v>
      </c>
      <c r="K116" s="202" t="s">
        <v>2550</v>
      </c>
      <c r="L116" s="202">
        <v>5.423592734E9</v>
      </c>
      <c r="M116" s="202" t="s">
        <v>1172</v>
      </c>
      <c r="N116" s="202" t="s">
        <v>1193</v>
      </c>
      <c r="O116" s="202" t="s">
        <v>2602</v>
      </c>
      <c r="P116" s="202" t="s">
        <v>2531</v>
      </c>
      <c r="Q116" s="235">
        <f>COUNTIF('Hedef Liste'!A:A,A116)</f>
        <v>0</v>
      </c>
    </row>
    <row r="117" hidden="1">
      <c r="A117" s="202" t="s">
        <v>2603</v>
      </c>
      <c r="B117" s="202" t="s">
        <v>2604</v>
      </c>
      <c r="C117" s="231" t="s">
        <v>2523</v>
      </c>
      <c r="D117" s="202" t="s">
        <v>1182</v>
      </c>
      <c r="E117" s="232">
        <v>2196.0</v>
      </c>
      <c r="F117" s="232">
        <v>42.0</v>
      </c>
      <c r="G117" s="232">
        <v>76.0</v>
      </c>
      <c r="H117" s="232">
        <v>8.0</v>
      </c>
      <c r="I117" s="232">
        <v>84.0</v>
      </c>
      <c r="J117" s="234">
        <v>0.9</v>
      </c>
      <c r="K117" s="202" t="s">
        <v>2550</v>
      </c>
      <c r="L117" s="202">
        <v>5.353273708E9</v>
      </c>
      <c r="M117" s="202" t="s">
        <v>1172</v>
      </c>
      <c r="N117" s="202" t="s">
        <v>1173</v>
      </c>
      <c r="O117" s="202" t="s">
        <v>2605</v>
      </c>
      <c r="P117" s="202" t="s">
        <v>2531</v>
      </c>
      <c r="Q117" s="235">
        <f>COUNTIF('Hedef Liste'!A:A,A117)</f>
        <v>0</v>
      </c>
    </row>
    <row r="118" hidden="1">
      <c r="A118" s="202" t="s">
        <v>2606</v>
      </c>
      <c r="B118" s="202" t="s">
        <v>2607</v>
      </c>
      <c r="C118" s="231" t="s">
        <v>2523</v>
      </c>
      <c r="D118" s="202" t="s">
        <v>1182</v>
      </c>
      <c r="E118" s="232">
        <v>339.0</v>
      </c>
      <c r="F118" s="233"/>
      <c r="G118" s="232">
        <v>59.0</v>
      </c>
      <c r="H118" s="232">
        <v>3.0</v>
      </c>
      <c r="I118" s="232">
        <v>62.0</v>
      </c>
      <c r="J118" s="234">
        <v>0.95</v>
      </c>
      <c r="K118" s="202" t="s">
        <v>2550</v>
      </c>
      <c r="L118" s="202">
        <v>5.432064899E9</v>
      </c>
      <c r="M118" s="202" t="s">
        <v>1147</v>
      </c>
      <c r="N118" s="202" t="s">
        <v>1164</v>
      </c>
      <c r="O118" s="202" t="s">
        <v>2608</v>
      </c>
      <c r="P118" s="202" t="s">
        <v>2531</v>
      </c>
      <c r="Q118" s="235">
        <f>COUNTIF('Hedef Liste'!A:A,A118)</f>
        <v>0</v>
      </c>
    </row>
    <row r="119" hidden="1">
      <c r="A119" s="202" t="s">
        <v>589</v>
      </c>
      <c r="B119" s="202" t="s">
        <v>590</v>
      </c>
      <c r="C119" s="231" t="s">
        <v>2523</v>
      </c>
      <c r="D119" s="202" t="s">
        <v>1302</v>
      </c>
      <c r="E119" s="232">
        <v>1181.0</v>
      </c>
      <c r="F119" s="233"/>
      <c r="G119" s="232">
        <v>2.0</v>
      </c>
      <c r="H119" s="232">
        <v>7.0</v>
      </c>
      <c r="I119" s="232">
        <v>9.0</v>
      </c>
      <c r="J119" s="234">
        <v>0.22</v>
      </c>
      <c r="K119" s="202" t="s">
        <v>2095</v>
      </c>
      <c r="L119" s="202">
        <v>5.414649144E9</v>
      </c>
      <c r="M119" s="202" t="s">
        <v>1147</v>
      </c>
      <c r="N119" s="202" t="s">
        <v>1157</v>
      </c>
      <c r="O119" s="202" t="s">
        <v>591</v>
      </c>
      <c r="P119" s="202" t="s">
        <v>2522</v>
      </c>
      <c r="Q119" s="235">
        <f>COUNTIF('Hedef Liste'!A:A,A119)</f>
        <v>1</v>
      </c>
    </row>
    <row r="120" hidden="1">
      <c r="A120" s="202" t="s">
        <v>1695</v>
      </c>
      <c r="B120" s="202" t="s">
        <v>1696</v>
      </c>
      <c r="C120" s="231" t="s">
        <v>2521</v>
      </c>
      <c r="D120" s="202" t="s">
        <v>1188</v>
      </c>
      <c r="E120" s="232">
        <v>1024.0</v>
      </c>
      <c r="F120" s="233"/>
      <c r="G120" s="232">
        <v>0.0</v>
      </c>
      <c r="H120" s="232">
        <v>26.0</v>
      </c>
      <c r="I120" s="232">
        <v>26.0</v>
      </c>
      <c r="J120" s="234">
        <v>0.0</v>
      </c>
      <c r="K120" s="202" t="s">
        <v>1199</v>
      </c>
      <c r="L120" s="202">
        <v>2.643460585E9</v>
      </c>
      <c r="M120" s="202" t="s">
        <v>1147</v>
      </c>
      <c r="N120" s="202" t="s">
        <v>1200</v>
      </c>
      <c r="O120" s="202" t="s">
        <v>1201</v>
      </c>
      <c r="P120" s="202" t="s">
        <v>2522</v>
      </c>
      <c r="Q120" s="235">
        <f>COUNTIF('Hedef Liste'!A:A,A120)</f>
        <v>1</v>
      </c>
    </row>
    <row r="121" hidden="1">
      <c r="A121" s="202" t="s">
        <v>419</v>
      </c>
      <c r="B121" s="202" t="s">
        <v>420</v>
      </c>
      <c r="C121" s="231" t="s">
        <v>2523</v>
      </c>
      <c r="D121" s="202" t="s">
        <v>1162</v>
      </c>
      <c r="E121" s="232">
        <v>131.0</v>
      </c>
      <c r="F121" s="233"/>
      <c r="G121" s="232">
        <v>0.0</v>
      </c>
      <c r="H121" s="232">
        <v>37.0</v>
      </c>
      <c r="I121" s="232">
        <v>37.0</v>
      </c>
      <c r="J121" s="234">
        <v>0.0</v>
      </c>
      <c r="K121" s="202" t="s">
        <v>2043</v>
      </c>
      <c r="L121" s="202">
        <v>5.456063367E9</v>
      </c>
      <c r="M121" s="202" t="s">
        <v>1318</v>
      </c>
      <c r="N121" s="202" t="s">
        <v>1324</v>
      </c>
      <c r="O121" s="202" t="s">
        <v>422</v>
      </c>
      <c r="P121" s="202" t="s">
        <v>2522</v>
      </c>
      <c r="Q121" s="235">
        <f>COUNTIF('Hedef Liste'!A:A,A121)</f>
        <v>1</v>
      </c>
    </row>
    <row r="122" hidden="1">
      <c r="A122" s="202" t="s">
        <v>2609</v>
      </c>
      <c r="B122" s="202" t="s">
        <v>2610</v>
      </c>
      <c r="C122" s="231" t="s">
        <v>2523</v>
      </c>
      <c r="D122" s="202" t="s">
        <v>1869</v>
      </c>
      <c r="E122" s="232">
        <v>1466.0</v>
      </c>
      <c r="F122" s="232">
        <v>71.0</v>
      </c>
      <c r="G122" s="232">
        <v>58.0</v>
      </c>
      <c r="H122" s="232">
        <v>65.0</v>
      </c>
      <c r="I122" s="232">
        <v>123.0</v>
      </c>
      <c r="J122" s="234">
        <v>0.47</v>
      </c>
      <c r="K122" s="202" t="s">
        <v>2611</v>
      </c>
      <c r="L122" s="202">
        <v>2.645023727E9</v>
      </c>
      <c r="M122" s="202" t="s">
        <v>1147</v>
      </c>
      <c r="N122" s="202" t="s">
        <v>1362</v>
      </c>
      <c r="O122" s="202" t="s">
        <v>2612</v>
      </c>
      <c r="P122" s="202" t="s">
        <v>2613</v>
      </c>
      <c r="Q122" s="235">
        <f>COUNTIF('Hedef Liste'!A:A,A122)</f>
        <v>0</v>
      </c>
    </row>
    <row r="123" hidden="1">
      <c r="A123" s="202" t="s">
        <v>1650</v>
      </c>
      <c r="B123" s="202" t="s">
        <v>306</v>
      </c>
      <c r="C123" s="231" t="s">
        <v>2523</v>
      </c>
      <c r="D123" s="202" t="s">
        <v>1302</v>
      </c>
      <c r="E123" s="232">
        <v>1.0</v>
      </c>
      <c r="F123" s="233"/>
      <c r="G123" s="232">
        <v>0.0</v>
      </c>
      <c r="H123" s="232">
        <v>38.0</v>
      </c>
      <c r="I123" s="232">
        <v>38.0</v>
      </c>
      <c r="J123" s="234">
        <v>0.0</v>
      </c>
      <c r="K123" s="202" t="s">
        <v>1615</v>
      </c>
      <c r="L123" s="202">
        <v>5.372643754E9</v>
      </c>
      <c r="M123" s="202" t="s">
        <v>1147</v>
      </c>
      <c r="N123" s="202" t="s">
        <v>2614</v>
      </c>
      <c r="O123" s="202" t="s">
        <v>309</v>
      </c>
      <c r="P123" s="202" t="s">
        <v>2522</v>
      </c>
      <c r="Q123" s="235">
        <f>COUNTIF('Hedef Liste'!A:A,A123)</f>
        <v>1</v>
      </c>
    </row>
    <row r="124" hidden="1">
      <c r="A124" s="202" t="s">
        <v>2615</v>
      </c>
      <c r="B124" s="202" t="s">
        <v>2616</v>
      </c>
      <c r="C124" s="231" t="s">
        <v>2523</v>
      </c>
      <c r="D124" s="202" t="s">
        <v>1145</v>
      </c>
      <c r="E124" s="232">
        <v>3525.0</v>
      </c>
      <c r="F124" s="232">
        <v>73.0</v>
      </c>
      <c r="G124" s="232">
        <v>168.0</v>
      </c>
      <c r="H124" s="232">
        <v>0.0</v>
      </c>
      <c r="I124" s="232">
        <v>168.0</v>
      </c>
      <c r="J124" s="234">
        <v>1.0</v>
      </c>
      <c r="K124" s="202" t="s">
        <v>2571</v>
      </c>
      <c r="L124" s="202">
        <v>9.999999999E9</v>
      </c>
      <c r="M124" s="202" t="s">
        <v>1172</v>
      </c>
      <c r="N124" s="202" t="s">
        <v>1874</v>
      </c>
      <c r="O124" s="202" t="s">
        <v>2617</v>
      </c>
      <c r="P124" s="202" t="s">
        <v>2531</v>
      </c>
      <c r="Q124" s="235">
        <f>COUNTIF('Hedef Liste'!A:A,A124)</f>
        <v>0</v>
      </c>
    </row>
    <row r="125" hidden="1">
      <c r="A125" s="202" t="s">
        <v>2618</v>
      </c>
      <c r="B125" s="202" t="s">
        <v>2619</v>
      </c>
      <c r="C125" s="231" t="s">
        <v>2523</v>
      </c>
      <c r="D125" s="202" t="s">
        <v>1145</v>
      </c>
      <c r="E125" s="232">
        <v>6335.0</v>
      </c>
      <c r="F125" s="232">
        <v>173.0</v>
      </c>
      <c r="G125" s="232">
        <v>168.0</v>
      </c>
      <c r="H125" s="232">
        <v>0.0</v>
      </c>
      <c r="I125" s="232">
        <v>168.0</v>
      </c>
      <c r="J125" s="234">
        <v>1.0</v>
      </c>
      <c r="K125" s="202" t="s">
        <v>2571</v>
      </c>
      <c r="L125" s="202">
        <v>9.999999999E9</v>
      </c>
      <c r="M125" s="202" t="s">
        <v>1177</v>
      </c>
      <c r="N125" s="202" t="s">
        <v>1177</v>
      </c>
      <c r="O125" s="202" t="s">
        <v>2620</v>
      </c>
      <c r="P125" s="202" t="s">
        <v>2531</v>
      </c>
      <c r="Q125" s="235">
        <f>COUNTIF('Hedef Liste'!A:A,A125)</f>
        <v>0</v>
      </c>
    </row>
    <row r="126" hidden="1">
      <c r="A126" s="202" t="s">
        <v>1368</v>
      </c>
      <c r="B126" s="202" t="s">
        <v>1369</v>
      </c>
      <c r="C126" s="231" t="s">
        <v>2523</v>
      </c>
      <c r="D126" s="202" t="s">
        <v>1182</v>
      </c>
      <c r="E126" s="232">
        <v>249.0</v>
      </c>
      <c r="F126" s="232">
        <v>5.0</v>
      </c>
      <c r="G126" s="232">
        <v>6.0</v>
      </c>
      <c r="H126" s="232">
        <v>7.0</v>
      </c>
      <c r="I126" s="232">
        <v>13.0</v>
      </c>
      <c r="J126" s="234">
        <v>0.46</v>
      </c>
      <c r="K126" s="202" t="s">
        <v>1370</v>
      </c>
      <c r="L126" s="202">
        <v>5.532943089E9</v>
      </c>
      <c r="M126" s="202" t="s">
        <v>1318</v>
      </c>
      <c r="N126" s="202" t="s">
        <v>1371</v>
      </c>
      <c r="O126" s="202" t="s">
        <v>1372</v>
      </c>
      <c r="P126" s="202" t="s">
        <v>2522</v>
      </c>
      <c r="Q126" s="235">
        <f>COUNTIF('Hedef Liste'!A:A,A126)</f>
        <v>1</v>
      </c>
    </row>
    <row r="127" hidden="1">
      <c r="A127" s="202" t="s">
        <v>2621</v>
      </c>
      <c r="B127" s="202" t="s">
        <v>2622</v>
      </c>
      <c r="C127" s="231" t="s">
        <v>2523</v>
      </c>
      <c r="D127" s="202" t="s">
        <v>1145</v>
      </c>
      <c r="E127" s="232">
        <v>11166.0</v>
      </c>
      <c r="F127" s="232">
        <v>329.0</v>
      </c>
      <c r="G127" s="232">
        <v>166.0</v>
      </c>
      <c r="H127" s="232">
        <v>0.0</v>
      </c>
      <c r="I127" s="232">
        <v>166.0</v>
      </c>
      <c r="J127" s="234">
        <v>1.0</v>
      </c>
      <c r="K127" s="202" t="s">
        <v>2571</v>
      </c>
      <c r="L127" s="202">
        <v>9.999999999E9</v>
      </c>
      <c r="M127" s="202" t="s">
        <v>1348</v>
      </c>
      <c r="N127" s="202" t="s">
        <v>2623</v>
      </c>
      <c r="O127" s="202" t="s">
        <v>2624</v>
      </c>
      <c r="P127" s="202" t="s">
        <v>2531</v>
      </c>
      <c r="Q127" s="235">
        <f>COUNTIF('Hedef Liste'!A:A,A127)</f>
        <v>0</v>
      </c>
    </row>
    <row r="128" hidden="1">
      <c r="A128" s="202" t="s">
        <v>342</v>
      </c>
      <c r="B128" s="202" t="s">
        <v>343</v>
      </c>
      <c r="C128" s="231" t="s">
        <v>2523</v>
      </c>
      <c r="D128" s="202" t="s">
        <v>1302</v>
      </c>
      <c r="E128" s="232">
        <v>247.0</v>
      </c>
      <c r="F128" s="232">
        <v>8.0</v>
      </c>
      <c r="G128" s="232">
        <v>3.0</v>
      </c>
      <c r="H128" s="232">
        <v>6.0</v>
      </c>
      <c r="I128" s="232">
        <v>9.0</v>
      </c>
      <c r="J128" s="234">
        <v>0.33</v>
      </c>
      <c r="K128" s="202" t="s">
        <v>1842</v>
      </c>
      <c r="L128" s="202">
        <v>5.315764723E9</v>
      </c>
      <c r="M128" s="202" t="s">
        <v>1172</v>
      </c>
      <c r="N128" s="202" t="s">
        <v>1336</v>
      </c>
      <c r="O128" s="202" t="s">
        <v>345</v>
      </c>
      <c r="P128" s="202" t="s">
        <v>2522</v>
      </c>
      <c r="Q128" s="235">
        <f>COUNTIF('Hedef Liste'!A:A,A128)</f>
        <v>1</v>
      </c>
    </row>
    <row r="129" hidden="1">
      <c r="A129" s="202" t="s">
        <v>1584</v>
      </c>
      <c r="B129" s="202" t="s">
        <v>1585</v>
      </c>
      <c r="C129" s="231" t="s">
        <v>2523</v>
      </c>
      <c r="D129" s="202" t="s">
        <v>1155</v>
      </c>
      <c r="E129" s="232">
        <v>2618.0</v>
      </c>
      <c r="F129" s="232">
        <v>135.0</v>
      </c>
      <c r="G129" s="232">
        <v>6.0</v>
      </c>
      <c r="H129" s="232">
        <v>28.0</v>
      </c>
      <c r="I129" s="232">
        <v>34.0</v>
      </c>
      <c r="J129" s="234">
        <v>0.18</v>
      </c>
      <c r="K129" s="202" t="s">
        <v>1586</v>
      </c>
      <c r="L129" s="202">
        <v>5.325453904E9</v>
      </c>
      <c r="M129" s="202" t="s">
        <v>1147</v>
      </c>
      <c r="N129" s="202" t="s">
        <v>1157</v>
      </c>
      <c r="O129" s="202" t="s">
        <v>1158</v>
      </c>
      <c r="P129" s="202" t="s">
        <v>2522</v>
      </c>
      <c r="Q129" s="235">
        <f>COUNTIF('Hedef Liste'!A:A,A129)</f>
        <v>1</v>
      </c>
    </row>
    <row r="130" hidden="1">
      <c r="A130" s="202" t="s">
        <v>87</v>
      </c>
      <c r="B130" s="202" t="s">
        <v>88</v>
      </c>
      <c r="C130" s="231" t="s">
        <v>2523</v>
      </c>
      <c r="D130" s="202" t="s">
        <v>1226</v>
      </c>
      <c r="E130" s="232">
        <v>6215.0</v>
      </c>
      <c r="F130" s="232">
        <v>76.0</v>
      </c>
      <c r="G130" s="232">
        <v>8.0</v>
      </c>
      <c r="H130" s="232">
        <v>21.0</v>
      </c>
      <c r="I130" s="232">
        <v>29.0</v>
      </c>
      <c r="J130" s="234">
        <v>0.28</v>
      </c>
      <c r="K130" s="202" t="s">
        <v>2320</v>
      </c>
      <c r="L130" s="202">
        <v>2.642114911E9</v>
      </c>
      <c r="M130" s="202" t="s">
        <v>1147</v>
      </c>
      <c r="N130" s="202" t="s">
        <v>1164</v>
      </c>
      <c r="O130" s="202" t="s">
        <v>90</v>
      </c>
      <c r="P130" s="202" t="s">
        <v>2522</v>
      </c>
      <c r="Q130" s="235">
        <f>COUNTIF('Hedef Liste'!A:A,A130)</f>
        <v>1</v>
      </c>
    </row>
    <row r="131" hidden="1">
      <c r="A131" s="202" t="s">
        <v>840</v>
      </c>
      <c r="B131" s="202" t="s">
        <v>841</v>
      </c>
      <c r="C131" s="231" t="s">
        <v>2523</v>
      </c>
      <c r="D131" s="202" t="s">
        <v>1182</v>
      </c>
      <c r="E131" s="232">
        <v>260.0</v>
      </c>
      <c r="F131" s="233"/>
      <c r="G131" s="232">
        <v>6.0</v>
      </c>
      <c r="H131" s="232">
        <v>9.0</v>
      </c>
      <c r="I131" s="232">
        <v>15.0</v>
      </c>
      <c r="J131" s="234">
        <v>0.4</v>
      </c>
      <c r="K131" s="202" t="s">
        <v>1472</v>
      </c>
      <c r="L131" s="202">
        <v>5.382733854E9</v>
      </c>
      <c r="M131" s="202" t="s">
        <v>1172</v>
      </c>
      <c r="N131" s="202" t="s">
        <v>1336</v>
      </c>
      <c r="O131" s="202" t="s">
        <v>336</v>
      </c>
      <c r="P131" s="202" t="s">
        <v>2522</v>
      </c>
      <c r="Q131" s="235">
        <f>COUNTIF('Hedef Liste'!A:A,A131)</f>
        <v>1</v>
      </c>
    </row>
    <row r="132" hidden="1">
      <c r="A132" s="202" t="s">
        <v>243</v>
      </c>
      <c r="B132" s="202" t="s">
        <v>244</v>
      </c>
      <c r="C132" s="231" t="s">
        <v>2523</v>
      </c>
      <c r="D132" s="202" t="s">
        <v>1155</v>
      </c>
      <c r="E132" s="232">
        <v>30.0</v>
      </c>
      <c r="F132" s="233"/>
      <c r="G132" s="232">
        <v>10.0</v>
      </c>
      <c r="H132" s="232">
        <v>10.0</v>
      </c>
      <c r="I132" s="232">
        <v>20.0</v>
      </c>
      <c r="J132" s="234">
        <v>0.5</v>
      </c>
      <c r="K132" s="202" t="s">
        <v>1195</v>
      </c>
      <c r="L132" s="202">
        <v>5.42583995E9</v>
      </c>
      <c r="M132" s="202" t="s">
        <v>1172</v>
      </c>
      <c r="N132" s="202" t="s">
        <v>1196</v>
      </c>
      <c r="O132" s="202" t="s">
        <v>247</v>
      </c>
      <c r="P132" s="202" t="s">
        <v>2522</v>
      </c>
      <c r="Q132" s="235">
        <f>COUNTIF('Hedef Liste'!A:A,A132)</f>
        <v>1</v>
      </c>
    </row>
    <row r="133" hidden="1">
      <c r="A133" s="202" t="s">
        <v>2625</v>
      </c>
      <c r="B133" s="202" t="s">
        <v>2626</v>
      </c>
      <c r="C133" s="231" t="s">
        <v>2523</v>
      </c>
      <c r="D133" s="202" t="s">
        <v>1216</v>
      </c>
      <c r="E133" s="232">
        <v>4269.0</v>
      </c>
      <c r="F133" s="232">
        <v>166.0</v>
      </c>
      <c r="G133" s="232">
        <v>72.0</v>
      </c>
      <c r="H133" s="232">
        <v>15.0</v>
      </c>
      <c r="I133" s="232">
        <v>87.0</v>
      </c>
      <c r="J133" s="234">
        <v>0.83</v>
      </c>
      <c r="K133" s="202" t="s">
        <v>2627</v>
      </c>
      <c r="L133" s="202">
        <v>2.642911818E9</v>
      </c>
      <c r="M133" s="202" t="s">
        <v>1172</v>
      </c>
      <c r="N133" s="202" t="s">
        <v>1173</v>
      </c>
      <c r="O133" s="202" t="s">
        <v>2628</v>
      </c>
      <c r="P133" s="202" t="s">
        <v>2531</v>
      </c>
      <c r="Q133" s="235">
        <f>COUNTIF('Hedef Liste'!A:A,A133)</f>
        <v>0</v>
      </c>
    </row>
    <row r="134" hidden="1">
      <c r="A134" s="202" t="s">
        <v>1957</v>
      </c>
      <c r="B134" s="202" t="s">
        <v>1958</v>
      </c>
      <c r="C134" s="231" t="s">
        <v>2523</v>
      </c>
      <c r="D134" s="202" t="s">
        <v>1145</v>
      </c>
      <c r="E134" s="232">
        <v>153.0</v>
      </c>
      <c r="F134" s="233"/>
      <c r="G134" s="232">
        <v>0.0</v>
      </c>
      <c r="H134" s="232">
        <v>46.0</v>
      </c>
      <c r="I134" s="232">
        <v>46.0</v>
      </c>
      <c r="J134" s="234">
        <v>0.0</v>
      </c>
      <c r="K134" s="202" t="s">
        <v>2629</v>
      </c>
      <c r="L134" s="202">
        <v>5.324014767E9</v>
      </c>
      <c r="M134" s="202" t="s">
        <v>1463</v>
      </c>
      <c r="N134" s="202" t="s">
        <v>2545</v>
      </c>
      <c r="O134" s="202" t="s">
        <v>356</v>
      </c>
      <c r="P134" s="202" t="s">
        <v>2522</v>
      </c>
      <c r="Q134" s="235">
        <f>COUNTIF('Hedef Liste'!A:A,A134)</f>
        <v>1</v>
      </c>
    </row>
    <row r="135" hidden="1">
      <c r="A135" s="202" t="s">
        <v>1363</v>
      </c>
      <c r="B135" s="202" t="s">
        <v>1364</v>
      </c>
      <c r="C135" s="231" t="s">
        <v>2523</v>
      </c>
      <c r="D135" s="202" t="s">
        <v>1182</v>
      </c>
      <c r="E135" s="232">
        <v>621.0</v>
      </c>
      <c r="F135" s="233"/>
      <c r="G135" s="232">
        <v>7.0</v>
      </c>
      <c r="H135" s="232">
        <v>5.0</v>
      </c>
      <c r="I135" s="232">
        <v>12.0</v>
      </c>
      <c r="J135" s="234">
        <v>0.58</v>
      </c>
      <c r="K135" s="202" t="s">
        <v>1365</v>
      </c>
      <c r="L135" s="202">
        <v>5.326782084E9</v>
      </c>
      <c r="M135" s="202" t="s">
        <v>1242</v>
      </c>
      <c r="N135" s="202" t="s">
        <v>1243</v>
      </c>
      <c r="O135" s="202" t="s">
        <v>1366</v>
      </c>
      <c r="P135" s="202" t="s">
        <v>2522</v>
      </c>
      <c r="Q135" s="235">
        <f>COUNTIF('Hedef Liste'!A:A,A135)</f>
        <v>1</v>
      </c>
    </row>
    <row r="136" hidden="1">
      <c r="A136" s="202" t="s">
        <v>465</v>
      </c>
      <c r="B136" s="202" t="s">
        <v>466</v>
      </c>
      <c r="C136" s="231" t="s">
        <v>2523</v>
      </c>
      <c r="D136" s="202" t="s">
        <v>1226</v>
      </c>
      <c r="E136" s="232">
        <v>145.0</v>
      </c>
      <c r="F136" s="233"/>
      <c r="G136" s="232">
        <v>9.0</v>
      </c>
      <c r="H136" s="232">
        <v>9.0</v>
      </c>
      <c r="I136" s="232">
        <v>18.0</v>
      </c>
      <c r="J136" s="234">
        <v>0.5</v>
      </c>
      <c r="K136" s="202" t="s">
        <v>2211</v>
      </c>
      <c r="L136" s="202">
        <v>5.355886448E9</v>
      </c>
      <c r="M136" s="202" t="s">
        <v>1172</v>
      </c>
      <c r="N136" s="202" t="s">
        <v>1329</v>
      </c>
      <c r="O136" s="202" t="s">
        <v>468</v>
      </c>
      <c r="P136" s="202" t="s">
        <v>2522</v>
      </c>
      <c r="Q136" s="235">
        <f>COUNTIF('Hedef Liste'!A:A,A136)</f>
        <v>1</v>
      </c>
    </row>
    <row r="137" hidden="1">
      <c r="A137" s="202" t="s">
        <v>135</v>
      </c>
      <c r="B137" s="202" t="s">
        <v>136</v>
      </c>
      <c r="C137" s="231" t="s">
        <v>2523</v>
      </c>
      <c r="D137" s="202" t="s">
        <v>2495</v>
      </c>
      <c r="E137" s="232">
        <v>471.0</v>
      </c>
      <c r="F137" s="232">
        <v>3.0</v>
      </c>
      <c r="G137" s="232">
        <v>37.0</v>
      </c>
      <c r="H137" s="232">
        <v>42.0</v>
      </c>
      <c r="I137" s="232">
        <v>79.0</v>
      </c>
      <c r="J137" s="234">
        <v>0.47</v>
      </c>
      <c r="K137" s="202" t="s">
        <v>2496</v>
      </c>
      <c r="L137" s="202">
        <v>5.312218647E9</v>
      </c>
      <c r="M137" s="202" t="s">
        <v>1147</v>
      </c>
      <c r="N137" s="202" t="s">
        <v>1148</v>
      </c>
      <c r="O137" s="202" t="s">
        <v>139</v>
      </c>
      <c r="P137" s="202" t="s">
        <v>2522</v>
      </c>
      <c r="Q137" s="235">
        <f>COUNTIF('Hedef Liste'!A:A,A137)</f>
        <v>1</v>
      </c>
    </row>
    <row r="138" hidden="1">
      <c r="A138" s="202" t="s">
        <v>231</v>
      </c>
      <c r="B138" s="202" t="s">
        <v>232</v>
      </c>
      <c r="C138" s="231" t="s">
        <v>2521</v>
      </c>
      <c r="D138" s="202" t="s">
        <v>1155</v>
      </c>
      <c r="E138" s="232">
        <v>129.0</v>
      </c>
      <c r="F138" s="233"/>
      <c r="G138" s="232">
        <v>8.0</v>
      </c>
      <c r="H138" s="232">
        <v>24.0</v>
      </c>
      <c r="I138" s="232">
        <v>32.0</v>
      </c>
      <c r="J138" s="234">
        <v>0.25</v>
      </c>
      <c r="K138" s="202" t="s">
        <v>2122</v>
      </c>
      <c r="L138" s="202">
        <v>5.428194161E9</v>
      </c>
      <c r="M138" s="202" t="s">
        <v>1318</v>
      </c>
      <c r="N138" s="202" t="s">
        <v>2150</v>
      </c>
      <c r="O138" s="202" t="s">
        <v>236</v>
      </c>
      <c r="P138" s="202" t="s">
        <v>2522</v>
      </c>
      <c r="Q138" s="235">
        <f>COUNTIF('Hedef Liste'!A:A,A138)</f>
        <v>1</v>
      </c>
    </row>
    <row r="139" hidden="1">
      <c r="A139" s="202" t="s">
        <v>414</v>
      </c>
      <c r="B139" s="202" t="s">
        <v>415</v>
      </c>
      <c r="C139" s="231" t="s">
        <v>2521</v>
      </c>
      <c r="D139" s="202" t="s">
        <v>1235</v>
      </c>
      <c r="E139" s="232">
        <v>151.0</v>
      </c>
      <c r="F139" s="233"/>
      <c r="G139" s="232">
        <v>33.0</v>
      </c>
      <c r="H139" s="232">
        <v>40.0</v>
      </c>
      <c r="I139" s="232">
        <v>73.0</v>
      </c>
      <c r="J139" s="234">
        <v>0.45</v>
      </c>
      <c r="K139" s="202" t="s">
        <v>1449</v>
      </c>
      <c r="L139" s="202">
        <v>5.452490333E9</v>
      </c>
      <c r="M139" s="202" t="s">
        <v>1318</v>
      </c>
      <c r="N139" s="202" t="s">
        <v>1324</v>
      </c>
      <c r="O139" s="202" t="s">
        <v>418</v>
      </c>
      <c r="P139" s="202" t="s">
        <v>2522</v>
      </c>
      <c r="Q139" s="235">
        <f>COUNTIF('Hedef Liste'!A:A,A139)</f>
        <v>1</v>
      </c>
    </row>
    <row r="140" hidden="1">
      <c r="A140" s="202" t="s">
        <v>2630</v>
      </c>
      <c r="B140" s="202" t="s">
        <v>2631</v>
      </c>
      <c r="C140" s="231" t="s">
        <v>2523</v>
      </c>
      <c r="D140" s="202" t="s">
        <v>1235</v>
      </c>
      <c r="E140" s="232">
        <v>8140.0</v>
      </c>
      <c r="F140" s="232">
        <v>295.0</v>
      </c>
      <c r="G140" s="232">
        <v>115.0</v>
      </c>
      <c r="H140" s="232">
        <v>0.0</v>
      </c>
      <c r="I140" s="232">
        <v>115.0</v>
      </c>
      <c r="J140" s="234">
        <v>1.0</v>
      </c>
      <c r="K140" s="202" t="s">
        <v>2571</v>
      </c>
      <c r="L140" s="202">
        <v>9.999999999E9</v>
      </c>
      <c r="M140" s="202" t="s">
        <v>1172</v>
      </c>
      <c r="N140" s="202" t="s">
        <v>1874</v>
      </c>
      <c r="O140" s="202" t="s">
        <v>2632</v>
      </c>
      <c r="P140" s="202" t="s">
        <v>2531</v>
      </c>
      <c r="Q140" s="235">
        <f>COUNTIF('Hedef Liste'!A:A,A140)</f>
        <v>0</v>
      </c>
    </row>
    <row r="141" hidden="1">
      <c r="A141" s="202" t="s">
        <v>2633</v>
      </c>
      <c r="B141" s="202" t="s">
        <v>2634</v>
      </c>
      <c r="C141" s="231" t="s">
        <v>2521</v>
      </c>
      <c r="D141" s="202" t="s">
        <v>1145</v>
      </c>
      <c r="E141" s="232">
        <v>6839.0</v>
      </c>
      <c r="F141" s="233"/>
      <c r="G141" s="232">
        <v>93.0</v>
      </c>
      <c r="H141" s="232">
        <v>0.0</v>
      </c>
      <c r="I141" s="232">
        <v>93.0</v>
      </c>
      <c r="J141" s="234">
        <v>1.0</v>
      </c>
      <c r="K141" s="202" t="s">
        <v>2635</v>
      </c>
      <c r="L141" s="202">
        <v>5.439122902E9</v>
      </c>
      <c r="M141" s="202" t="s">
        <v>1172</v>
      </c>
      <c r="N141" s="202" t="s">
        <v>1874</v>
      </c>
      <c r="O141" s="202" t="s">
        <v>2636</v>
      </c>
      <c r="P141" s="202" t="s">
        <v>2531</v>
      </c>
      <c r="Q141" s="235">
        <f>COUNTIF('Hedef Liste'!A:A,A141)</f>
        <v>0</v>
      </c>
    </row>
    <row r="142" hidden="1">
      <c r="A142" s="202" t="s">
        <v>2637</v>
      </c>
      <c r="B142" s="202" t="s">
        <v>2638</v>
      </c>
      <c r="C142" s="231" t="s">
        <v>2523</v>
      </c>
      <c r="D142" s="202" t="s">
        <v>1145</v>
      </c>
      <c r="E142" s="232">
        <v>11618.0</v>
      </c>
      <c r="F142" s="232">
        <v>337.0</v>
      </c>
      <c r="G142" s="232">
        <v>150.0</v>
      </c>
      <c r="H142" s="232">
        <v>0.0</v>
      </c>
      <c r="I142" s="232">
        <v>150.0</v>
      </c>
      <c r="J142" s="234">
        <v>1.0</v>
      </c>
      <c r="K142" s="202" t="s">
        <v>2571</v>
      </c>
      <c r="L142" s="202">
        <v>9.999999999E9</v>
      </c>
      <c r="M142" s="202" t="s">
        <v>1147</v>
      </c>
      <c r="N142" s="202" t="s">
        <v>1164</v>
      </c>
      <c r="O142" s="202" t="s">
        <v>2639</v>
      </c>
      <c r="P142" s="202" t="s">
        <v>2531</v>
      </c>
      <c r="Q142" s="235">
        <f>COUNTIF('Hedef Liste'!A:A,A142)</f>
        <v>0</v>
      </c>
    </row>
    <row r="143" hidden="1">
      <c r="A143" s="202" t="s">
        <v>2640</v>
      </c>
      <c r="B143" s="202" t="s">
        <v>2641</v>
      </c>
      <c r="C143" s="231" t="s">
        <v>2523</v>
      </c>
      <c r="D143" s="202" t="s">
        <v>1145</v>
      </c>
      <c r="E143" s="232">
        <v>4846.0</v>
      </c>
      <c r="F143" s="232">
        <v>10.0</v>
      </c>
      <c r="G143" s="232">
        <v>164.0</v>
      </c>
      <c r="H143" s="232">
        <v>0.0</v>
      </c>
      <c r="I143" s="232">
        <v>164.0</v>
      </c>
      <c r="J143" s="234">
        <v>1.0</v>
      </c>
      <c r="K143" s="202" t="s">
        <v>2571</v>
      </c>
      <c r="L143" s="202">
        <v>9.999999999E9</v>
      </c>
      <c r="M143" s="202" t="s">
        <v>1242</v>
      </c>
      <c r="N143" s="202" t="s">
        <v>1243</v>
      </c>
      <c r="O143" s="202" t="s">
        <v>2642</v>
      </c>
      <c r="P143" s="202" t="s">
        <v>2531</v>
      </c>
      <c r="Q143" s="235">
        <f>COUNTIF('Hedef Liste'!A:A,A143)</f>
        <v>0</v>
      </c>
    </row>
    <row r="144" hidden="1">
      <c r="A144" s="202" t="s">
        <v>1550</v>
      </c>
      <c r="B144" s="202" t="s">
        <v>1551</v>
      </c>
      <c r="C144" s="231" t="s">
        <v>2523</v>
      </c>
      <c r="D144" s="202" t="s">
        <v>1235</v>
      </c>
      <c r="E144" s="232">
        <v>223.0</v>
      </c>
      <c r="F144" s="232">
        <v>2.0</v>
      </c>
      <c r="G144" s="232">
        <v>0.0</v>
      </c>
      <c r="H144" s="232">
        <v>29.0</v>
      </c>
      <c r="I144" s="232">
        <v>29.0</v>
      </c>
      <c r="J144" s="234">
        <v>0.0</v>
      </c>
      <c r="K144" s="202" t="s">
        <v>1552</v>
      </c>
      <c r="L144" s="202">
        <v>2.642796136E9</v>
      </c>
      <c r="M144" s="202" t="s">
        <v>1147</v>
      </c>
      <c r="N144" s="202" t="s">
        <v>1148</v>
      </c>
      <c r="O144" s="202" t="s">
        <v>1553</v>
      </c>
      <c r="P144" s="202" t="s">
        <v>2522</v>
      </c>
      <c r="Q144" s="235">
        <f>COUNTIF('Hedef Liste'!A:A,A144)</f>
        <v>1</v>
      </c>
    </row>
    <row r="145" hidden="1">
      <c r="A145" s="202" t="s">
        <v>949</v>
      </c>
      <c r="B145" s="202" t="s">
        <v>950</v>
      </c>
      <c r="C145" s="231" t="s">
        <v>2523</v>
      </c>
      <c r="D145" s="202" t="s">
        <v>1226</v>
      </c>
      <c r="E145" s="232">
        <v>3135.0</v>
      </c>
      <c r="F145" s="233"/>
      <c r="G145" s="232">
        <v>0.0</v>
      </c>
      <c r="H145" s="232">
        <v>47.0</v>
      </c>
      <c r="I145" s="232">
        <v>47.0</v>
      </c>
      <c r="J145" s="234">
        <v>0.0</v>
      </c>
      <c r="K145" s="202" t="s">
        <v>1836</v>
      </c>
      <c r="L145" s="202">
        <v>5.444525354E9</v>
      </c>
      <c r="M145" s="202" t="s">
        <v>1348</v>
      </c>
      <c r="N145" s="202" t="s">
        <v>1893</v>
      </c>
      <c r="O145" s="202" t="s">
        <v>953</v>
      </c>
      <c r="P145" s="202" t="s">
        <v>2522</v>
      </c>
      <c r="Q145" s="235">
        <f>COUNTIF('Hedef Liste'!A:A,A145)</f>
        <v>1</v>
      </c>
    </row>
    <row r="146" hidden="1">
      <c r="A146" s="202" t="s">
        <v>174</v>
      </c>
      <c r="B146" s="202" t="s">
        <v>175</v>
      </c>
      <c r="C146" s="231" t="s">
        <v>2521</v>
      </c>
      <c r="D146" s="202" t="s">
        <v>1226</v>
      </c>
      <c r="E146" s="232">
        <v>3.0</v>
      </c>
      <c r="F146" s="233"/>
      <c r="G146" s="232">
        <v>21.0</v>
      </c>
      <c r="H146" s="232">
        <v>15.0</v>
      </c>
      <c r="I146" s="232">
        <v>36.0</v>
      </c>
      <c r="J146" s="234">
        <v>0.58</v>
      </c>
      <c r="K146" s="202" t="s">
        <v>1885</v>
      </c>
      <c r="L146" s="202">
        <v>5.436069621E9</v>
      </c>
      <c r="M146" s="202" t="s">
        <v>1172</v>
      </c>
      <c r="N146" s="202" t="s">
        <v>1874</v>
      </c>
      <c r="O146" s="202" t="s">
        <v>1886</v>
      </c>
      <c r="P146" s="202" t="s">
        <v>2522</v>
      </c>
      <c r="Q146" s="235">
        <f>COUNTIF('Hedef Liste'!A:A,A146)</f>
        <v>1</v>
      </c>
    </row>
    <row r="147" hidden="1">
      <c r="A147" s="202" t="s">
        <v>832</v>
      </c>
      <c r="B147" s="202" t="s">
        <v>833</v>
      </c>
      <c r="C147" s="231" t="s">
        <v>2523</v>
      </c>
      <c r="D147" s="202" t="s">
        <v>1145</v>
      </c>
      <c r="E147" s="232">
        <v>141.0</v>
      </c>
      <c r="F147" s="233"/>
      <c r="G147" s="232">
        <v>12.0</v>
      </c>
      <c r="H147" s="232">
        <v>16.0</v>
      </c>
      <c r="I147" s="232">
        <v>28.0</v>
      </c>
      <c r="J147" s="234">
        <v>0.43</v>
      </c>
      <c r="K147" s="202" t="s">
        <v>1411</v>
      </c>
      <c r="L147" s="202">
        <v>5.41440109E9</v>
      </c>
      <c r="M147" s="202" t="s">
        <v>1172</v>
      </c>
      <c r="N147" s="202" t="s">
        <v>1336</v>
      </c>
      <c r="O147" s="202" t="s">
        <v>835</v>
      </c>
      <c r="P147" s="202" t="s">
        <v>2522</v>
      </c>
      <c r="Q147" s="235">
        <f>COUNTIF('Hedef Liste'!A:A,A147)</f>
        <v>1</v>
      </c>
    </row>
    <row r="148" hidden="1">
      <c r="A148" s="202" t="s">
        <v>635</v>
      </c>
      <c r="B148" s="202" t="s">
        <v>636</v>
      </c>
      <c r="C148" s="231" t="s">
        <v>2523</v>
      </c>
      <c r="D148" s="202" t="s">
        <v>1162</v>
      </c>
      <c r="E148" s="232">
        <v>660.0</v>
      </c>
      <c r="F148" s="233"/>
      <c r="G148" s="232">
        <v>6.0</v>
      </c>
      <c r="H148" s="232">
        <v>16.0</v>
      </c>
      <c r="I148" s="232">
        <v>22.0</v>
      </c>
      <c r="J148" s="234">
        <v>0.27</v>
      </c>
      <c r="K148" s="202" t="s">
        <v>2120</v>
      </c>
      <c r="L148" s="202">
        <v>5.425210054E9</v>
      </c>
      <c r="M148" s="202" t="s">
        <v>1172</v>
      </c>
      <c r="N148" s="202" t="s">
        <v>1190</v>
      </c>
      <c r="O148" s="202" t="s">
        <v>2643</v>
      </c>
      <c r="P148" s="202" t="s">
        <v>2522</v>
      </c>
      <c r="Q148" s="235">
        <f>COUNTIF('Hedef Liste'!A:A,A148)</f>
        <v>1</v>
      </c>
    </row>
    <row r="149" hidden="1">
      <c r="A149" s="202" t="s">
        <v>402</v>
      </c>
      <c r="B149" s="202" t="s">
        <v>2644</v>
      </c>
      <c r="C149" s="231" t="s">
        <v>2521</v>
      </c>
      <c r="D149" s="202" t="s">
        <v>1175</v>
      </c>
      <c r="E149" s="232">
        <v>44.0</v>
      </c>
      <c r="F149" s="233"/>
      <c r="G149" s="232">
        <v>7.0</v>
      </c>
      <c r="H149" s="232">
        <v>11.0</v>
      </c>
      <c r="I149" s="232">
        <v>18.0</v>
      </c>
      <c r="J149" s="234">
        <v>0.39</v>
      </c>
      <c r="K149" s="202" t="s">
        <v>1176</v>
      </c>
      <c r="L149" s="202">
        <v>5.42833075E9</v>
      </c>
      <c r="M149" s="202" t="s">
        <v>1177</v>
      </c>
      <c r="N149" s="202" t="s">
        <v>1607</v>
      </c>
      <c r="O149" s="202" t="s">
        <v>407</v>
      </c>
      <c r="P149" s="202" t="s">
        <v>2522</v>
      </c>
      <c r="Q149" s="235">
        <f>COUNTIF('Hedef Liste'!A:A,A149)</f>
        <v>1</v>
      </c>
    </row>
    <row r="150" hidden="1">
      <c r="A150" s="202" t="s">
        <v>93</v>
      </c>
      <c r="B150" s="202" t="s">
        <v>94</v>
      </c>
      <c r="C150" s="231" t="s">
        <v>2523</v>
      </c>
      <c r="D150" s="202" t="s">
        <v>1155</v>
      </c>
      <c r="E150" s="232">
        <v>4294.0</v>
      </c>
      <c r="F150" s="233"/>
      <c r="G150" s="232">
        <v>24.0</v>
      </c>
      <c r="H150" s="232">
        <v>9.0</v>
      </c>
      <c r="I150" s="232">
        <v>33.0</v>
      </c>
      <c r="J150" s="234">
        <v>0.73</v>
      </c>
      <c r="K150" s="202" t="s">
        <v>2226</v>
      </c>
      <c r="L150" s="202">
        <v>2.64241419E9</v>
      </c>
      <c r="M150" s="202" t="s">
        <v>1177</v>
      </c>
      <c r="N150" s="202" t="s">
        <v>1607</v>
      </c>
      <c r="O150" s="202" t="s">
        <v>98</v>
      </c>
      <c r="P150" s="202" t="s">
        <v>2522</v>
      </c>
      <c r="Q150" s="235">
        <f>COUNTIF('Hedef Liste'!A:A,A150)</f>
        <v>1</v>
      </c>
    </row>
    <row r="151" hidden="1">
      <c r="A151" s="202" t="s">
        <v>1770</v>
      </c>
      <c r="B151" s="202" t="s">
        <v>1771</v>
      </c>
      <c r="C151" s="231" t="s">
        <v>2523</v>
      </c>
      <c r="D151" s="202" t="s">
        <v>1226</v>
      </c>
      <c r="E151" s="232">
        <v>597.0</v>
      </c>
      <c r="F151" s="232">
        <v>26.0</v>
      </c>
      <c r="G151" s="232">
        <v>0.0</v>
      </c>
      <c r="H151" s="232">
        <v>28.0</v>
      </c>
      <c r="I151" s="232">
        <v>28.0</v>
      </c>
      <c r="J151" s="234">
        <v>0.0</v>
      </c>
      <c r="K151" s="202" t="s">
        <v>2645</v>
      </c>
      <c r="L151" s="202">
        <v>5.45202639E9</v>
      </c>
      <c r="M151" s="202" t="s">
        <v>1242</v>
      </c>
      <c r="N151" s="202" t="s">
        <v>1243</v>
      </c>
      <c r="O151" s="202" t="s">
        <v>1773</v>
      </c>
      <c r="P151" s="202" t="s">
        <v>2522</v>
      </c>
      <c r="Q151" s="235">
        <f>COUNTIF('Hedef Liste'!A:A,A151)</f>
        <v>1</v>
      </c>
    </row>
    <row r="152" hidden="1">
      <c r="A152" s="202" t="s">
        <v>2421</v>
      </c>
      <c r="B152" s="202" t="s">
        <v>2422</v>
      </c>
      <c r="C152" s="231" t="s">
        <v>2521</v>
      </c>
      <c r="D152" s="202" t="s">
        <v>1302</v>
      </c>
      <c r="E152" s="232">
        <v>1782.0</v>
      </c>
      <c r="F152" s="233"/>
      <c r="G152" s="232">
        <v>0.0</v>
      </c>
      <c r="H152" s="232">
        <v>12.0</v>
      </c>
      <c r="I152" s="232">
        <v>12.0</v>
      </c>
      <c r="J152" s="234">
        <v>0.0</v>
      </c>
      <c r="K152" s="202" t="s">
        <v>2423</v>
      </c>
      <c r="L152" s="202">
        <v>5.448695454E9</v>
      </c>
      <c r="M152" s="202" t="s">
        <v>1147</v>
      </c>
      <c r="N152" s="202" t="s">
        <v>1164</v>
      </c>
      <c r="O152" s="202" t="s">
        <v>2424</v>
      </c>
      <c r="P152" s="202" t="s">
        <v>2522</v>
      </c>
      <c r="Q152" s="235">
        <f>COUNTIF('Hedef Liste'!A:A,A152)</f>
        <v>1</v>
      </c>
    </row>
    <row r="153" hidden="1">
      <c r="A153" s="202" t="s">
        <v>862</v>
      </c>
      <c r="B153" s="202" t="s">
        <v>863</v>
      </c>
      <c r="C153" s="231" t="s">
        <v>2521</v>
      </c>
      <c r="D153" s="202" t="s">
        <v>1226</v>
      </c>
      <c r="E153" s="233"/>
      <c r="F153" s="233"/>
      <c r="G153" s="232">
        <v>10.0</v>
      </c>
      <c r="H153" s="232">
        <v>29.0</v>
      </c>
      <c r="I153" s="232">
        <v>39.0</v>
      </c>
      <c r="J153" s="234">
        <v>0.26</v>
      </c>
      <c r="K153" s="202" t="s">
        <v>1892</v>
      </c>
      <c r="L153" s="202">
        <v>5.419159233E9</v>
      </c>
      <c r="M153" s="202" t="s">
        <v>1348</v>
      </c>
      <c r="N153" s="202" t="s">
        <v>1893</v>
      </c>
      <c r="O153" s="202" t="s">
        <v>865</v>
      </c>
      <c r="P153" s="202" t="s">
        <v>2522</v>
      </c>
      <c r="Q153" s="235">
        <f>COUNTIF('Hedef Liste'!A:A,A153)</f>
        <v>1</v>
      </c>
    </row>
    <row r="154" hidden="1">
      <c r="A154" s="202" t="s">
        <v>2265</v>
      </c>
      <c r="B154" s="202" t="s">
        <v>2266</v>
      </c>
      <c r="C154" s="231" t="s">
        <v>2523</v>
      </c>
      <c r="D154" s="202" t="s">
        <v>1235</v>
      </c>
      <c r="E154" s="232">
        <v>251.0</v>
      </c>
      <c r="F154" s="232">
        <v>7.0</v>
      </c>
      <c r="G154" s="232">
        <v>0.0</v>
      </c>
      <c r="H154" s="232">
        <v>37.0</v>
      </c>
      <c r="I154" s="232">
        <v>37.0</v>
      </c>
      <c r="J154" s="234">
        <v>0.0</v>
      </c>
      <c r="K154" s="202" t="s">
        <v>2267</v>
      </c>
      <c r="L154" s="202">
        <v>5.550492544E9</v>
      </c>
      <c r="M154" s="202" t="s">
        <v>1242</v>
      </c>
      <c r="N154" s="202" t="s">
        <v>1397</v>
      </c>
      <c r="O154" s="202" t="s">
        <v>2268</v>
      </c>
      <c r="P154" s="202" t="s">
        <v>2522</v>
      </c>
      <c r="Q154" s="235">
        <f>COUNTIF('Hedef Liste'!A:A,A154)</f>
        <v>1</v>
      </c>
    </row>
    <row r="155" hidden="1">
      <c r="A155" s="202" t="s">
        <v>1813</v>
      </c>
      <c r="B155" s="202" t="s">
        <v>1814</v>
      </c>
      <c r="C155" s="231" t="s">
        <v>2523</v>
      </c>
      <c r="D155" s="202" t="s">
        <v>1155</v>
      </c>
      <c r="E155" s="232">
        <v>2580.0</v>
      </c>
      <c r="F155" s="232">
        <v>43.0</v>
      </c>
      <c r="G155" s="232">
        <v>0.0</v>
      </c>
      <c r="H155" s="232">
        <v>27.0</v>
      </c>
      <c r="I155" s="232">
        <v>27.0</v>
      </c>
      <c r="J155" s="234">
        <v>0.0</v>
      </c>
      <c r="K155" s="202" t="s">
        <v>1815</v>
      </c>
      <c r="L155" s="202">
        <v>2.642110039E9</v>
      </c>
      <c r="M155" s="202" t="s">
        <v>1147</v>
      </c>
      <c r="N155" s="202" t="s">
        <v>1157</v>
      </c>
      <c r="O155" s="202" t="s">
        <v>1816</v>
      </c>
      <c r="P155" s="202" t="s">
        <v>2522</v>
      </c>
      <c r="Q155" s="235">
        <f>COUNTIF('Hedef Liste'!A:A,A155)</f>
        <v>1</v>
      </c>
    </row>
    <row r="156" hidden="1">
      <c r="A156" s="202" t="s">
        <v>2646</v>
      </c>
      <c r="B156" s="202" t="s">
        <v>2647</v>
      </c>
      <c r="C156" s="231" t="s">
        <v>2523</v>
      </c>
      <c r="D156" s="202" t="s">
        <v>1188</v>
      </c>
      <c r="E156" s="232">
        <v>2133.0</v>
      </c>
      <c r="F156" s="232">
        <v>65.0</v>
      </c>
      <c r="G156" s="232">
        <v>80.0</v>
      </c>
      <c r="H156" s="232">
        <v>0.0</v>
      </c>
      <c r="I156" s="232">
        <v>80.0</v>
      </c>
      <c r="J156" s="234">
        <v>1.0</v>
      </c>
      <c r="K156" s="202" t="s">
        <v>2571</v>
      </c>
      <c r="L156" s="202">
        <v>9.999999999E9</v>
      </c>
      <c r="M156" s="202" t="s">
        <v>1177</v>
      </c>
      <c r="N156" s="202" t="s">
        <v>1177</v>
      </c>
      <c r="O156" s="202" t="s">
        <v>2648</v>
      </c>
      <c r="P156" s="202" t="s">
        <v>2531</v>
      </c>
      <c r="Q156" s="235">
        <f>COUNTIF('Hedef Liste'!A:A,A156)</f>
        <v>0</v>
      </c>
    </row>
    <row r="157" hidden="1">
      <c r="A157" s="202" t="s">
        <v>2649</v>
      </c>
      <c r="B157" s="202" t="s">
        <v>2650</v>
      </c>
      <c r="C157" s="231" t="s">
        <v>2523</v>
      </c>
      <c r="D157" s="202" t="s">
        <v>1216</v>
      </c>
      <c r="E157" s="232">
        <v>1301.0</v>
      </c>
      <c r="F157" s="232">
        <v>41.0</v>
      </c>
      <c r="G157" s="232">
        <v>70.0</v>
      </c>
      <c r="H157" s="232">
        <v>15.0</v>
      </c>
      <c r="I157" s="232">
        <v>85.0</v>
      </c>
      <c r="J157" s="234">
        <v>0.82</v>
      </c>
      <c r="K157" s="202" t="s">
        <v>2627</v>
      </c>
      <c r="L157" s="202">
        <v>2.642551515E9</v>
      </c>
      <c r="M157" s="202" t="s">
        <v>1463</v>
      </c>
      <c r="N157" s="202" t="s">
        <v>1464</v>
      </c>
      <c r="O157" s="202" t="s">
        <v>2651</v>
      </c>
      <c r="P157" s="202" t="s">
        <v>2531</v>
      </c>
      <c r="Q157" s="235">
        <f>COUNTIF('Hedef Liste'!A:A,A157)</f>
        <v>0</v>
      </c>
    </row>
    <row r="158" hidden="1">
      <c r="A158" s="202" t="s">
        <v>2652</v>
      </c>
      <c r="B158" s="202" t="s">
        <v>2653</v>
      </c>
      <c r="C158" s="231" t="s">
        <v>2523</v>
      </c>
      <c r="D158" s="202" t="s">
        <v>1216</v>
      </c>
      <c r="E158" s="232">
        <v>4410.0</v>
      </c>
      <c r="F158" s="232">
        <v>229.0</v>
      </c>
      <c r="G158" s="232">
        <v>77.0</v>
      </c>
      <c r="H158" s="232">
        <v>26.0</v>
      </c>
      <c r="I158" s="232">
        <v>103.0</v>
      </c>
      <c r="J158" s="234">
        <v>0.75</v>
      </c>
      <c r="K158" s="202" t="s">
        <v>2627</v>
      </c>
      <c r="L158" s="202">
        <v>2.643332222E9</v>
      </c>
      <c r="M158" s="202" t="s">
        <v>1147</v>
      </c>
      <c r="N158" s="202" t="s">
        <v>1164</v>
      </c>
      <c r="O158" s="202" t="s">
        <v>2654</v>
      </c>
      <c r="P158" s="202" t="s">
        <v>2531</v>
      </c>
      <c r="Q158" s="235">
        <f>COUNTIF('Hedef Liste'!A:A,A158)</f>
        <v>0</v>
      </c>
    </row>
    <row r="159" hidden="1">
      <c r="A159" s="202" t="s">
        <v>1247</v>
      </c>
      <c r="B159" s="202" t="s">
        <v>1248</v>
      </c>
      <c r="C159" s="231" t="s">
        <v>2523</v>
      </c>
      <c r="D159" s="202" t="s">
        <v>1188</v>
      </c>
      <c r="E159" s="232">
        <v>637.0</v>
      </c>
      <c r="F159" s="232">
        <v>237.0</v>
      </c>
      <c r="G159" s="232">
        <v>0.0</v>
      </c>
      <c r="H159" s="232">
        <v>40.0</v>
      </c>
      <c r="I159" s="232">
        <v>40.0</v>
      </c>
      <c r="J159" s="234">
        <v>0.0</v>
      </c>
      <c r="K159" s="202" t="s">
        <v>1249</v>
      </c>
      <c r="L159" s="202">
        <v>5.312105658E9</v>
      </c>
      <c r="M159" s="202" t="s">
        <v>1147</v>
      </c>
      <c r="N159" s="202" t="s">
        <v>1200</v>
      </c>
      <c r="O159" s="202" t="s">
        <v>1250</v>
      </c>
      <c r="P159" s="202" t="s">
        <v>2522</v>
      </c>
      <c r="Q159" s="235">
        <f>COUNTIF('Hedef Liste'!A:A,A159)</f>
        <v>1</v>
      </c>
    </row>
    <row r="160" hidden="1">
      <c r="A160" s="202" t="s">
        <v>1617</v>
      </c>
      <c r="B160" s="202" t="s">
        <v>1618</v>
      </c>
      <c r="C160" s="231" t="s">
        <v>2523</v>
      </c>
      <c r="D160" s="202" t="s">
        <v>1182</v>
      </c>
      <c r="E160" s="232">
        <v>1290.0</v>
      </c>
      <c r="F160" s="233"/>
      <c r="G160" s="232">
        <v>5.0</v>
      </c>
      <c r="H160" s="232">
        <v>6.0</v>
      </c>
      <c r="I160" s="232">
        <v>11.0</v>
      </c>
      <c r="J160" s="234">
        <v>0.45</v>
      </c>
      <c r="K160" s="202" t="s">
        <v>1619</v>
      </c>
      <c r="L160" s="202">
        <v>5.41723107E9</v>
      </c>
      <c r="M160" s="202" t="s">
        <v>1147</v>
      </c>
      <c r="N160" s="202" t="s">
        <v>1200</v>
      </c>
      <c r="O160" s="202" t="s">
        <v>541</v>
      </c>
      <c r="P160" s="202" t="s">
        <v>2522</v>
      </c>
      <c r="Q160" s="235">
        <f>COUNTIF('Hedef Liste'!A:A,A160)</f>
        <v>1</v>
      </c>
    </row>
    <row r="161" hidden="1">
      <c r="A161" s="202" t="s">
        <v>2655</v>
      </c>
      <c r="B161" s="202" t="s">
        <v>2656</v>
      </c>
      <c r="C161" s="231" t="s">
        <v>2523</v>
      </c>
      <c r="D161" s="202" t="s">
        <v>1216</v>
      </c>
      <c r="E161" s="232">
        <v>1030.0</v>
      </c>
      <c r="F161" s="232">
        <v>39.0</v>
      </c>
      <c r="G161" s="232">
        <v>72.0</v>
      </c>
      <c r="H161" s="232">
        <v>15.0</v>
      </c>
      <c r="I161" s="232">
        <v>87.0</v>
      </c>
      <c r="J161" s="234">
        <v>0.83</v>
      </c>
      <c r="K161" s="202" t="s">
        <v>2627</v>
      </c>
      <c r="L161" s="202">
        <v>2.6440018E9</v>
      </c>
      <c r="M161" s="202" t="s">
        <v>1679</v>
      </c>
      <c r="N161" s="202" t="s">
        <v>1811</v>
      </c>
      <c r="O161" s="202" t="s">
        <v>2657</v>
      </c>
      <c r="P161" s="202" t="s">
        <v>2531</v>
      </c>
      <c r="Q161" s="235">
        <f>COUNTIF('Hedef Liste'!A:A,A161)</f>
        <v>0</v>
      </c>
    </row>
    <row r="162" hidden="1">
      <c r="A162" s="202" t="s">
        <v>2658</v>
      </c>
      <c r="B162" s="202" t="s">
        <v>2659</v>
      </c>
      <c r="C162" s="231" t="s">
        <v>2523</v>
      </c>
      <c r="D162" s="202" t="s">
        <v>1216</v>
      </c>
      <c r="E162" s="232">
        <v>2501.0</v>
      </c>
      <c r="F162" s="232">
        <v>83.0</v>
      </c>
      <c r="G162" s="232">
        <v>72.0</v>
      </c>
      <c r="H162" s="232">
        <v>15.0</v>
      </c>
      <c r="I162" s="232">
        <v>87.0</v>
      </c>
      <c r="J162" s="234">
        <v>0.83</v>
      </c>
      <c r="K162" s="202" t="s">
        <v>2627</v>
      </c>
      <c r="L162" s="202">
        <v>5.44320102E9</v>
      </c>
      <c r="M162" s="202" t="s">
        <v>1172</v>
      </c>
      <c r="N162" s="202" t="s">
        <v>1268</v>
      </c>
      <c r="O162" s="202" t="s">
        <v>2660</v>
      </c>
      <c r="P162" s="202" t="s">
        <v>2531</v>
      </c>
      <c r="Q162" s="235">
        <f>COUNTIF('Hedef Liste'!A:A,A162)</f>
        <v>0</v>
      </c>
    </row>
    <row r="163" hidden="1">
      <c r="A163" s="202" t="s">
        <v>2661</v>
      </c>
      <c r="B163" s="202" t="s">
        <v>2662</v>
      </c>
      <c r="C163" s="231" t="s">
        <v>2523</v>
      </c>
      <c r="D163" s="202" t="s">
        <v>1216</v>
      </c>
      <c r="E163" s="232">
        <v>3989.0</v>
      </c>
      <c r="F163" s="232">
        <v>148.0</v>
      </c>
      <c r="G163" s="232">
        <v>72.0</v>
      </c>
      <c r="H163" s="232">
        <v>15.0</v>
      </c>
      <c r="I163" s="232">
        <v>87.0</v>
      </c>
      <c r="J163" s="234">
        <v>0.83</v>
      </c>
      <c r="K163" s="202" t="s">
        <v>2627</v>
      </c>
      <c r="L163" s="202">
        <v>2.646144445E9</v>
      </c>
      <c r="M163" s="202" t="s">
        <v>1348</v>
      </c>
      <c r="N163" s="202" t="s">
        <v>2623</v>
      </c>
      <c r="O163" s="202" t="s">
        <v>2663</v>
      </c>
      <c r="P163" s="202" t="s">
        <v>2531</v>
      </c>
      <c r="Q163" s="235">
        <f>COUNTIF('Hedef Liste'!A:A,A163)</f>
        <v>0</v>
      </c>
    </row>
    <row r="164" hidden="1">
      <c r="A164" s="202" t="s">
        <v>484</v>
      </c>
      <c r="B164" s="202" t="s">
        <v>485</v>
      </c>
      <c r="C164" s="231" t="s">
        <v>2523</v>
      </c>
      <c r="D164" s="202" t="s">
        <v>1281</v>
      </c>
      <c r="E164" s="232">
        <v>2634.0</v>
      </c>
      <c r="F164" s="233"/>
      <c r="G164" s="232">
        <v>7.0</v>
      </c>
      <c r="H164" s="232">
        <v>4.0</v>
      </c>
      <c r="I164" s="232">
        <v>11.0</v>
      </c>
      <c r="J164" s="234">
        <v>0.64</v>
      </c>
      <c r="K164" s="202" t="s">
        <v>1846</v>
      </c>
      <c r="L164" s="202">
        <v>5.06052822E9</v>
      </c>
      <c r="M164" s="202" t="s">
        <v>1172</v>
      </c>
      <c r="N164" s="202" t="s">
        <v>1379</v>
      </c>
      <c r="O164" s="202" t="s">
        <v>488</v>
      </c>
      <c r="P164" s="202" t="s">
        <v>2522</v>
      </c>
      <c r="Q164" s="235">
        <f>COUNTIF('Hedef Liste'!A:A,A164)</f>
        <v>1</v>
      </c>
    </row>
    <row r="165" hidden="1">
      <c r="A165" s="202" t="s">
        <v>2664</v>
      </c>
      <c r="B165" s="202" t="s">
        <v>2665</v>
      </c>
      <c r="C165" s="231" t="s">
        <v>2523</v>
      </c>
      <c r="D165" s="202" t="s">
        <v>1216</v>
      </c>
      <c r="E165" s="232">
        <v>5062.0</v>
      </c>
      <c r="F165" s="232">
        <v>204.0</v>
      </c>
      <c r="G165" s="232">
        <v>72.0</v>
      </c>
      <c r="H165" s="232">
        <v>22.0</v>
      </c>
      <c r="I165" s="232">
        <v>94.0</v>
      </c>
      <c r="J165" s="234">
        <v>0.77</v>
      </c>
      <c r="K165" s="202" t="s">
        <v>2627</v>
      </c>
      <c r="L165" s="202">
        <v>2.645921999E9</v>
      </c>
      <c r="M165" s="202" t="s">
        <v>1318</v>
      </c>
      <c r="N165" s="202" t="s">
        <v>2568</v>
      </c>
      <c r="O165" s="202" t="s">
        <v>2666</v>
      </c>
      <c r="P165" s="202" t="s">
        <v>2531</v>
      </c>
      <c r="Q165" s="235">
        <f>COUNTIF('Hedef Liste'!A:A,A165)</f>
        <v>0</v>
      </c>
    </row>
    <row r="166" hidden="1">
      <c r="A166" s="202" t="s">
        <v>1935</v>
      </c>
      <c r="B166" s="202" t="s">
        <v>1936</v>
      </c>
      <c r="C166" s="231" t="s">
        <v>2521</v>
      </c>
      <c r="D166" s="202" t="s">
        <v>1341</v>
      </c>
      <c r="E166" s="232">
        <v>54.0</v>
      </c>
      <c r="F166" s="233"/>
      <c r="G166" s="232">
        <v>0.0</v>
      </c>
      <c r="H166" s="232">
        <v>34.0</v>
      </c>
      <c r="I166" s="232">
        <v>34.0</v>
      </c>
      <c r="J166" s="234">
        <v>0.0</v>
      </c>
      <c r="K166" s="202" t="s">
        <v>1937</v>
      </c>
      <c r="L166" s="202">
        <v>5.352224343E9</v>
      </c>
      <c r="M166" s="202" t="s">
        <v>1348</v>
      </c>
      <c r="N166" s="202" t="s">
        <v>1349</v>
      </c>
      <c r="O166" s="202" t="s">
        <v>1938</v>
      </c>
      <c r="P166" s="202" t="s">
        <v>2522</v>
      </c>
      <c r="Q166" s="235">
        <f>COUNTIF('Hedef Liste'!A:A,A166)</f>
        <v>1</v>
      </c>
    </row>
    <row r="167" hidden="1">
      <c r="A167" s="202" t="s">
        <v>1453</v>
      </c>
      <c r="B167" s="202" t="s">
        <v>1454</v>
      </c>
      <c r="C167" s="231" t="s">
        <v>2521</v>
      </c>
      <c r="D167" s="202" t="s">
        <v>1455</v>
      </c>
      <c r="E167" s="232">
        <v>531.0</v>
      </c>
      <c r="F167" s="233"/>
      <c r="G167" s="232">
        <v>0.0</v>
      </c>
      <c r="H167" s="232">
        <v>67.0</v>
      </c>
      <c r="I167" s="232">
        <v>67.0</v>
      </c>
      <c r="J167" s="234">
        <v>0.0</v>
      </c>
      <c r="K167" s="202" t="s">
        <v>1456</v>
      </c>
      <c r="L167" s="202">
        <v>5.462609661E9</v>
      </c>
      <c r="M167" s="202" t="s">
        <v>1147</v>
      </c>
      <c r="N167" s="202" t="s">
        <v>1148</v>
      </c>
      <c r="O167" s="202" t="s">
        <v>1457</v>
      </c>
      <c r="P167" s="202" t="s">
        <v>2522</v>
      </c>
      <c r="Q167" s="235">
        <f>COUNTIF('Hedef Liste'!A:A,A167)</f>
        <v>1</v>
      </c>
    </row>
    <row r="168" hidden="1">
      <c r="A168" s="202" t="s">
        <v>724</v>
      </c>
      <c r="B168" s="202" t="s">
        <v>725</v>
      </c>
      <c r="C168" s="231" t="s">
        <v>2523</v>
      </c>
      <c r="D168" s="202" t="s">
        <v>1188</v>
      </c>
      <c r="E168" s="232">
        <v>1645.0</v>
      </c>
      <c r="F168" s="232">
        <v>42.0</v>
      </c>
      <c r="G168" s="232">
        <v>40.0</v>
      </c>
      <c r="H168" s="232">
        <v>25.0</v>
      </c>
      <c r="I168" s="232">
        <v>65.0</v>
      </c>
      <c r="J168" s="234">
        <v>0.62</v>
      </c>
      <c r="K168" s="202" t="s">
        <v>1861</v>
      </c>
      <c r="L168" s="202">
        <v>5.466619E9</v>
      </c>
      <c r="M168" s="202" t="s">
        <v>1348</v>
      </c>
      <c r="N168" s="202" t="s">
        <v>1419</v>
      </c>
      <c r="O168" s="202" t="s">
        <v>727</v>
      </c>
      <c r="P168" s="202" t="s">
        <v>2522</v>
      </c>
      <c r="Q168" s="235">
        <f>COUNTIF('Hedef Liste'!A:A,A168)</f>
        <v>1</v>
      </c>
    </row>
    <row r="169" hidden="1">
      <c r="A169" s="202" t="s">
        <v>253</v>
      </c>
      <c r="B169" s="202" t="s">
        <v>254</v>
      </c>
      <c r="C169" s="231" t="s">
        <v>2523</v>
      </c>
      <c r="D169" s="202" t="s">
        <v>1302</v>
      </c>
      <c r="E169" s="232">
        <v>565.0</v>
      </c>
      <c r="F169" s="232">
        <v>12.0</v>
      </c>
      <c r="G169" s="232">
        <v>27.0</v>
      </c>
      <c r="H169" s="232">
        <v>11.0</v>
      </c>
      <c r="I169" s="232">
        <v>38.0</v>
      </c>
      <c r="J169" s="234">
        <v>0.71</v>
      </c>
      <c r="K169" s="202" t="s">
        <v>1303</v>
      </c>
      <c r="L169" s="202">
        <v>5.315130658E9</v>
      </c>
      <c r="M169" s="202" t="s">
        <v>1172</v>
      </c>
      <c r="N169" s="202" t="s">
        <v>1190</v>
      </c>
      <c r="O169" s="202" t="s">
        <v>256</v>
      </c>
      <c r="P169" s="202" t="s">
        <v>2522</v>
      </c>
      <c r="Q169" s="235">
        <f>COUNTIF('Hedef Liste'!A:A,A169)</f>
        <v>1</v>
      </c>
    </row>
    <row r="170" hidden="1">
      <c r="A170" s="202" t="s">
        <v>2141</v>
      </c>
      <c r="B170" s="202" t="s">
        <v>2142</v>
      </c>
      <c r="C170" s="231" t="s">
        <v>2523</v>
      </c>
      <c r="D170" s="202" t="s">
        <v>1341</v>
      </c>
      <c r="E170" s="232">
        <v>434.0</v>
      </c>
      <c r="F170" s="232">
        <v>3.0</v>
      </c>
      <c r="G170" s="232">
        <v>0.0</v>
      </c>
      <c r="H170" s="232">
        <v>11.0</v>
      </c>
      <c r="I170" s="232">
        <v>11.0</v>
      </c>
      <c r="J170" s="234">
        <v>0.0</v>
      </c>
      <c r="K170" s="202" t="s">
        <v>2143</v>
      </c>
      <c r="L170" s="202">
        <v>5.443111257E9</v>
      </c>
      <c r="M170" s="202" t="s">
        <v>1242</v>
      </c>
      <c r="N170" s="202" t="s">
        <v>1243</v>
      </c>
      <c r="O170" s="202" t="s">
        <v>2144</v>
      </c>
      <c r="P170" s="202" t="s">
        <v>2522</v>
      </c>
      <c r="Q170" s="235">
        <f>COUNTIF('Hedef Liste'!A:A,A170)</f>
        <v>1</v>
      </c>
    </row>
    <row r="171" hidden="1">
      <c r="A171" s="202" t="s">
        <v>2054</v>
      </c>
      <c r="B171" s="202" t="s">
        <v>2055</v>
      </c>
      <c r="C171" s="231" t="s">
        <v>2523</v>
      </c>
      <c r="D171" s="202" t="s">
        <v>1302</v>
      </c>
      <c r="E171" s="232">
        <v>233.0</v>
      </c>
      <c r="F171" s="233"/>
      <c r="G171" s="232">
        <v>0.0</v>
      </c>
      <c r="H171" s="232">
        <v>32.0</v>
      </c>
      <c r="I171" s="232">
        <v>32.0</v>
      </c>
      <c r="J171" s="234">
        <v>0.0</v>
      </c>
      <c r="K171" s="202" t="s">
        <v>2056</v>
      </c>
      <c r="L171" s="202">
        <v>5.379669753E9</v>
      </c>
      <c r="M171" s="202" t="s">
        <v>1242</v>
      </c>
      <c r="N171" s="202" t="s">
        <v>1243</v>
      </c>
      <c r="O171" s="202" t="s">
        <v>2057</v>
      </c>
      <c r="P171" s="202" t="s">
        <v>2522</v>
      </c>
      <c r="Q171" s="235">
        <f>COUNTIF('Hedef Liste'!A:A,A171)</f>
        <v>1</v>
      </c>
    </row>
    <row r="172" hidden="1">
      <c r="A172" s="202" t="s">
        <v>391</v>
      </c>
      <c r="B172" s="202" t="s">
        <v>392</v>
      </c>
      <c r="C172" s="231" t="s">
        <v>2521</v>
      </c>
      <c r="D172" s="202" t="s">
        <v>1341</v>
      </c>
      <c r="F172" s="233"/>
      <c r="G172" s="232">
        <v>5.0</v>
      </c>
      <c r="H172" s="232">
        <v>2.0</v>
      </c>
      <c r="I172" s="232">
        <v>7.0</v>
      </c>
      <c r="J172" s="234">
        <v>0.71</v>
      </c>
      <c r="K172" s="202" t="s">
        <v>2316</v>
      </c>
      <c r="L172" s="202">
        <v>5.327318549E9</v>
      </c>
      <c r="M172" s="202" t="s">
        <v>1172</v>
      </c>
      <c r="N172" s="202" t="s">
        <v>1379</v>
      </c>
      <c r="O172" s="202" t="s">
        <v>395</v>
      </c>
      <c r="P172" s="202" t="s">
        <v>2522</v>
      </c>
      <c r="Q172" s="235">
        <f>COUNTIF('Hedef Liste'!A:A,A172)</f>
        <v>1</v>
      </c>
    </row>
    <row r="173" hidden="1">
      <c r="A173" s="202" t="s">
        <v>1562</v>
      </c>
      <c r="B173" s="202" t="s">
        <v>347</v>
      </c>
      <c r="C173" s="231" t="s">
        <v>2523</v>
      </c>
      <c r="D173" s="202" t="s">
        <v>1145</v>
      </c>
      <c r="E173" s="232">
        <v>5251.0</v>
      </c>
      <c r="F173" s="232">
        <v>160.0</v>
      </c>
      <c r="G173" s="232">
        <v>0.0</v>
      </c>
      <c r="H173" s="232">
        <v>26.0</v>
      </c>
      <c r="I173" s="232">
        <v>26.0</v>
      </c>
      <c r="J173" s="234">
        <v>0.0</v>
      </c>
      <c r="K173" s="202" t="s">
        <v>1563</v>
      </c>
      <c r="L173" s="202">
        <v>5.335030112E9</v>
      </c>
      <c r="M173" s="202" t="s">
        <v>1147</v>
      </c>
      <c r="N173" s="202" t="s">
        <v>1200</v>
      </c>
      <c r="O173" s="202" t="s">
        <v>1564</v>
      </c>
      <c r="P173" s="202" t="s">
        <v>2522</v>
      </c>
      <c r="Q173" s="235">
        <f>COUNTIF('Hedef Liste'!A:A,A173)</f>
        <v>1</v>
      </c>
    </row>
    <row r="174" hidden="1">
      <c r="A174" s="202" t="s">
        <v>268</v>
      </c>
      <c r="B174" s="202" t="s">
        <v>269</v>
      </c>
      <c r="C174" s="231" t="s">
        <v>2523</v>
      </c>
      <c r="D174" s="202" t="s">
        <v>1302</v>
      </c>
      <c r="E174" s="232">
        <v>1112.0</v>
      </c>
      <c r="F174" s="232">
        <v>57.0</v>
      </c>
      <c r="G174" s="232">
        <v>17.0</v>
      </c>
      <c r="H174" s="232">
        <v>56.0</v>
      </c>
      <c r="I174" s="232">
        <v>73.0</v>
      </c>
      <c r="J174" s="234">
        <v>0.23</v>
      </c>
      <c r="K174" s="202" t="s">
        <v>1949</v>
      </c>
      <c r="L174" s="202">
        <v>2.642793484E9</v>
      </c>
      <c r="M174" s="202" t="s">
        <v>1172</v>
      </c>
      <c r="N174" s="202" t="s">
        <v>1379</v>
      </c>
      <c r="O174" s="202" t="s">
        <v>270</v>
      </c>
      <c r="P174" s="202" t="s">
        <v>2522</v>
      </c>
      <c r="Q174" s="235">
        <f>COUNTIF('Hedef Liste'!A:A,A174)</f>
        <v>1</v>
      </c>
    </row>
    <row r="175" hidden="1">
      <c r="A175" s="202" t="s">
        <v>1430</v>
      </c>
      <c r="B175" s="202" t="s">
        <v>1431</v>
      </c>
      <c r="C175" s="231" t="s">
        <v>2521</v>
      </c>
      <c r="D175" s="202" t="s">
        <v>1302</v>
      </c>
      <c r="E175" s="232">
        <v>1.0</v>
      </c>
      <c r="F175" s="233"/>
      <c r="G175" s="232">
        <v>0.0</v>
      </c>
      <c r="H175" s="232">
        <v>50.0</v>
      </c>
      <c r="I175" s="232">
        <v>50.0</v>
      </c>
      <c r="J175" s="234">
        <v>0.0</v>
      </c>
      <c r="K175" s="202" t="s">
        <v>1432</v>
      </c>
      <c r="L175" s="202">
        <v>5.314555888E9</v>
      </c>
      <c r="M175" s="202" t="s">
        <v>1172</v>
      </c>
      <c r="N175" s="202" t="s">
        <v>1228</v>
      </c>
      <c r="O175" s="202" t="s">
        <v>1434</v>
      </c>
      <c r="P175" s="202" t="s">
        <v>2522</v>
      </c>
      <c r="Q175" s="235">
        <f>COUNTIF('Hedef Liste'!A:A,A175)</f>
        <v>1</v>
      </c>
    </row>
    <row r="176" hidden="1">
      <c r="A176" s="202" t="s">
        <v>1789</v>
      </c>
      <c r="B176" s="202" t="s">
        <v>1790</v>
      </c>
      <c r="C176" s="231" t="s">
        <v>2523</v>
      </c>
      <c r="D176" s="202" t="s">
        <v>1302</v>
      </c>
      <c r="E176" s="232">
        <v>156.0</v>
      </c>
      <c r="F176" s="232">
        <v>7.0</v>
      </c>
      <c r="G176" s="232">
        <v>0.0</v>
      </c>
      <c r="H176" s="232">
        <v>13.0</v>
      </c>
      <c r="I176" s="232">
        <v>13.0</v>
      </c>
      <c r="J176" s="234">
        <v>0.0</v>
      </c>
      <c r="K176" s="202" t="s">
        <v>1791</v>
      </c>
      <c r="L176" s="202">
        <v>5.334299598E9</v>
      </c>
      <c r="M176" s="202" t="s">
        <v>1147</v>
      </c>
      <c r="N176" s="202" t="s">
        <v>1164</v>
      </c>
      <c r="O176" s="202" t="s">
        <v>1792</v>
      </c>
      <c r="P176" s="202" t="s">
        <v>2522</v>
      </c>
      <c r="Q176" s="235">
        <f>COUNTIF('Hedef Liste'!A:A,A176)</f>
        <v>1</v>
      </c>
    </row>
    <row r="177" hidden="1">
      <c r="A177" s="202" t="s">
        <v>606</v>
      </c>
      <c r="B177" s="202" t="s">
        <v>607</v>
      </c>
      <c r="C177" s="231" t="s">
        <v>2523</v>
      </c>
      <c r="D177" s="202" t="s">
        <v>1302</v>
      </c>
      <c r="E177" s="232">
        <v>245.0</v>
      </c>
      <c r="F177" s="232">
        <v>11.0</v>
      </c>
      <c r="G177" s="232">
        <v>12.0</v>
      </c>
      <c r="H177" s="232">
        <v>17.0</v>
      </c>
      <c r="I177" s="232">
        <v>29.0</v>
      </c>
      <c r="J177" s="234">
        <v>0.41</v>
      </c>
      <c r="K177" s="202" t="s">
        <v>1495</v>
      </c>
      <c r="L177" s="202">
        <v>2.642743663E9</v>
      </c>
      <c r="M177" s="202" t="s">
        <v>1172</v>
      </c>
      <c r="N177" s="202" t="s">
        <v>1356</v>
      </c>
      <c r="O177" s="202" t="s">
        <v>610</v>
      </c>
      <c r="P177" s="202" t="s">
        <v>2522</v>
      </c>
      <c r="Q177" s="235">
        <f>COUNTIF('Hedef Liste'!A:A,A177)</f>
        <v>1</v>
      </c>
    </row>
    <row r="178" hidden="1">
      <c r="A178" s="202" t="s">
        <v>1604</v>
      </c>
      <c r="B178" s="202" t="s">
        <v>1605</v>
      </c>
      <c r="C178" s="231" t="s">
        <v>2523</v>
      </c>
      <c r="D178" s="202" t="s">
        <v>1182</v>
      </c>
      <c r="E178" s="232">
        <v>1169.0</v>
      </c>
      <c r="F178" s="232">
        <v>12.0</v>
      </c>
      <c r="G178" s="232">
        <v>5.0</v>
      </c>
      <c r="H178" s="232">
        <v>5.0</v>
      </c>
      <c r="I178" s="232">
        <v>10.0</v>
      </c>
      <c r="J178" s="234">
        <v>0.5</v>
      </c>
      <c r="K178" s="202" t="s">
        <v>1606</v>
      </c>
      <c r="L178" s="202">
        <v>5.323976523E9</v>
      </c>
      <c r="M178" s="202" t="s">
        <v>1177</v>
      </c>
      <c r="N178" s="202" t="s">
        <v>1607</v>
      </c>
      <c r="O178" s="202" t="s">
        <v>1608</v>
      </c>
      <c r="P178" s="202" t="s">
        <v>2522</v>
      </c>
      <c r="Q178" s="235">
        <f>COUNTIF('Hedef Liste'!A:A,A178)</f>
        <v>1</v>
      </c>
    </row>
    <row r="179" hidden="1">
      <c r="A179" s="202" t="s">
        <v>2667</v>
      </c>
      <c r="B179" s="202" t="s">
        <v>2668</v>
      </c>
      <c r="C179" s="231" t="s">
        <v>2523</v>
      </c>
      <c r="D179" s="202" t="s">
        <v>1188</v>
      </c>
      <c r="E179" s="232">
        <v>3424.0</v>
      </c>
      <c r="F179" s="232">
        <v>143.0</v>
      </c>
      <c r="G179" s="232">
        <v>81.0</v>
      </c>
      <c r="H179" s="232">
        <v>0.0</v>
      </c>
      <c r="I179" s="232">
        <v>81.0</v>
      </c>
      <c r="J179" s="234">
        <v>1.0</v>
      </c>
      <c r="K179" s="202" t="s">
        <v>2571</v>
      </c>
      <c r="L179" s="202">
        <v>9.999999999E9</v>
      </c>
      <c r="M179" s="202" t="s">
        <v>1172</v>
      </c>
      <c r="N179" s="202" t="s">
        <v>1874</v>
      </c>
      <c r="O179" s="202" t="s">
        <v>2669</v>
      </c>
      <c r="P179" s="202" t="s">
        <v>2531</v>
      </c>
      <c r="Q179" s="235">
        <f>COUNTIF('Hedef Liste'!A:A,A179)</f>
        <v>0</v>
      </c>
    </row>
    <row r="180" hidden="1">
      <c r="A180" s="202" t="s">
        <v>2115</v>
      </c>
      <c r="B180" s="202" t="s">
        <v>2116</v>
      </c>
      <c r="C180" s="231" t="s">
        <v>2521</v>
      </c>
      <c r="D180" s="202" t="s">
        <v>1170</v>
      </c>
      <c r="E180" s="232">
        <v>58.0</v>
      </c>
      <c r="F180" s="233"/>
      <c r="G180" s="232">
        <v>0.0</v>
      </c>
      <c r="H180" s="232">
        <v>7.0</v>
      </c>
      <c r="I180" s="232">
        <v>7.0</v>
      </c>
      <c r="J180" s="234">
        <v>0.0</v>
      </c>
      <c r="K180" s="202" t="s">
        <v>2117</v>
      </c>
      <c r="L180" s="202">
        <v>5.071580433E9</v>
      </c>
      <c r="M180" s="202" t="s">
        <v>1172</v>
      </c>
      <c r="N180" s="202" t="s">
        <v>1556</v>
      </c>
      <c r="O180" s="202" t="s">
        <v>2118</v>
      </c>
      <c r="P180" s="202" t="s">
        <v>2522</v>
      </c>
      <c r="Q180" s="235">
        <f>COUNTIF('Hedef Liste'!A:A,A180)</f>
        <v>1</v>
      </c>
    </row>
    <row r="181" hidden="1">
      <c r="A181" s="202" t="s">
        <v>2451</v>
      </c>
      <c r="B181" s="202" t="s">
        <v>2452</v>
      </c>
      <c r="C181" s="231" t="s">
        <v>2521</v>
      </c>
      <c r="D181" s="202" t="s">
        <v>1256</v>
      </c>
      <c r="E181" s="232">
        <v>616.0</v>
      </c>
      <c r="F181" s="233"/>
      <c r="G181" s="232">
        <v>0.0</v>
      </c>
      <c r="H181" s="232">
        <v>50.0</v>
      </c>
      <c r="I181" s="232">
        <v>50.0</v>
      </c>
      <c r="J181" s="234">
        <v>0.0</v>
      </c>
      <c r="K181" s="202" t="s">
        <v>2453</v>
      </c>
      <c r="L181" s="202">
        <v>5.396091739E9</v>
      </c>
      <c r="M181" s="202" t="s">
        <v>1318</v>
      </c>
      <c r="N181" s="202" t="s">
        <v>1533</v>
      </c>
      <c r="O181" s="202" t="s">
        <v>2454</v>
      </c>
      <c r="P181" s="202" t="s">
        <v>2522</v>
      </c>
      <c r="Q181" s="235">
        <f>COUNTIF('Hedef Liste'!A:A,A181)</f>
        <v>1</v>
      </c>
    </row>
    <row r="182" hidden="1">
      <c r="A182" s="202" t="s">
        <v>1210</v>
      </c>
      <c r="B182" s="202" t="s">
        <v>1211</v>
      </c>
      <c r="C182" s="231" t="s">
        <v>2523</v>
      </c>
      <c r="D182" s="202" t="s">
        <v>1170</v>
      </c>
      <c r="E182" s="232">
        <v>14.0</v>
      </c>
      <c r="F182" s="233"/>
      <c r="G182" s="232">
        <v>0.0</v>
      </c>
      <c r="H182" s="232">
        <v>5.0</v>
      </c>
      <c r="I182" s="232">
        <v>5.0</v>
      </c>
      <c r="J182" s="234">
        <v>0.0</v>
      </c>
      <c r="K182" s="202" t="s">
        <v>1207</v>
      </c>
      <c r="L182" s="202">
        <v>5.52828321E9</v>
      </c>
      <c r="M182" s="202" t="s">
        <v>1147</v>
      </c>
      <c r="N182" s="202" t="s">
        <v>1148</v>
      </c>
      <c r="O182" s="202" t="s">
        <v>1212</v>
      </c>
      <c r="P182" s="202" t="s">
        <v>2522</v>
      </c>
      <c r="Q182" s="235">
        <f>COUNTIF('Hedef Liste'!A:A,A182)</f>
        <v>1</v>
      </c>
    </row>
    <row r="183" hidden="1">
      <c r="A183" s="202" t="s">
        <v>531</v>
      </c>
      <c r="B183" s="202" t="s">
        <v>532</v>
      </c>
      <c r="C183" s="231" t="s">
        <v>2521</v>
      </c>
      <c r="D183" s="202" t="s">
        <v>1302</v>
      </c>
      <c r="E183" s="232">
        <v>253.0</v>
      </c>
      <c r="F183" s="233"/>
      <c r="G183" s="232">
        <v>10.0</v>
      </c>
      <c r="H183" s="232">
        <v>14.0</v>
      </c>
      <c r="I183" s="232">
        <v>24.0</v>
      </c>
      <c r="J183" s="234">
        <v>0.42</v>
      </c>
      <c r="K183" s="202" t="s">
        <v>1588</v>
      </c>
      <c r="L183" s="202">
        <v>5.33216826E9</v>
      </c>
      <c r="M183" s="202" t="s">
        <v>1147</v>
      </c>
      <c r="N183" s="202" t="s">
        <v>1164</v>
      </c>
      <c r="O183" s="202" t="s">
        <v>598</v>
      </c>
      <c r="P183" s="202" t="s">
        <v>2522</v>
      </c>
      <c r="Q183" s="235">
        <f>COUNTIF('Hedef Liste'!A:A,A183)</f>
        <v>1</v>
      </c>
    </row>
    <row r="184" hidden="1">
      <c r="A184" s="202" t="s">
        <v>373</v>
      </c>
      <c r="B184" s="202" t="s">
        <v>374</v>
      </c>
      <c r="C184" s="231" t="s">
        <v>2523</v>
      </c>
      <c r="D184" s="202" t="s">
        <v>1341</v>
      </c>
      <c r="E184" s="232">
        <v>1438.0</v>
      </c>
      <c r="F184" s="232">
        <v>84.0</v>
      </c>
      <c r="G184" s="232">
        <v>25.0</v>
      </c>
      <c r="H184" s="232">
        <v>30.0</v>
      </c>
      <c r="I184" s="232">
        <v>55.0</v>
      </c>
      <c r="J184" s="234">
        <v>0.45</v>
      </c>
      <c r="K184" s="202" t="s">
        <v>1676</v>
      </c>
      <c r="L184" s="202">
        <v>2.642778868E9</v>
      </c>
      <c r="M184" s="202" t="s">
        <v>1172</v>
      </c>
      <c r="N184" s="202" t="s">
        <v>1190</v>
      </c>
      <c r="O184" s="202" t="s">
        <v>377</v>
      </c>
      <c r="P184" s="202" t="s">
        <v>2522</v>
      </c>
      <c r="Q184" s="235">
        <f>COUNTIF('Hedef Liste'!A:A,A184)</f>
        <v>1</v>
      </c>
    </row>
    <row r="185" hidden="1">
      <c r="A185" s="202" t="s">
        <v>2193</v>
      </c>
      <c r="B185" s="202" t="s">
        <v>2194</v>
      </c>
      <c r="C185" s="231" t="s">
        <v>2521</v>
      </c>
      <c r="D185" s="202" t="s">
        <v>1162</v>
      </c>
      <c r="E185" s="232">
        <v>45.0</v>
      </c>
      <c r="F185" s="233"/>
      <c r="G185" s="232">
        <v>0.0</v>
      </c>
      <c r="H185" s="232">
        <v>27.0</v>
      </c>
      <c r="I185" s="232">
        <v>27.0</v>
      </c>
      <c r="J185" s="234">
        <v>0.0</v>
      </c>
      <c r="K185" s="202" t="s">
        <v>2195</v>
      </c>
      <c r="L185" s="202">
        <v>5.396005374E9</v>
      </c>
      <c r="M185" s="202" t="s">
        <v>1147</v>
      </c>
      <c r="N185" s="202" t="s">
        <v>1148</v>
      </c>
      <c r="O185" s="202" t="s">
        <v>2196</v>
      </c>
      <c r="P185" s="202" t="s">
        <v>2522</v>
      </c>
      <c r="Q185" s="235">
        <f>COUNTIF('Hedef Liste'!A:A,A185)</f>
        <v>1</v>
      </c>
    </row>
    <row r="186" hidden="1">
      <c r="A186" s="202" t="s">
        <v>2282</v>
      </c>
      <c r="B186" s="202" t="s">
        <v>2283</v>
      </c>
      <c r="C186" s="231" t="s">
        <v>2523</v>
      </c>
      <c r="D186" s="202" t="s">
        <v>1281</v>
      </c>
      <c r="E186" s="232">
        <v>1580.0</v>
      </c>
      <c r="F186" s="233"/>
      <c r="G186" s="232">
        <v>0.0</v>
      </c>
      <c r="H186" s="232">
        <v>38.0</v>
      </c>
      <c r="I186" s="232">
        <v>38.0</v>
      </c>
      <c r="J186" s="234">
        <v>0.0</v>
      </c>
      <c r="K186" s="202" t="s">
        <v>2284</v>
      </c>
      <c r="L186" s="202">
        <v>5.413248884E9</v>
      </c>
      <c r="M186" s="202" t="s">
        <v>1242</v>
      </c>
      <c r="N186" s="202" t="s">
        <v>1243</v>
      </c>
      <c r="O186" s="202" t="s">
        <v>2285</v>
      </c>
      <c r="P186" s="202" t="s">
        <v>2522</v>
      </c>
      <c r="Q186" s="235">
        <f>COUNTIF('Hedef Liste'!A:A,A186)</f>
        <v>1</v>
      </c>
    </row>
    <row r="187" hidden="1">
      <c r="A187" s="202" t="s">
        <v>439</v>
      </c>
      <c r="B187" s="202" t="s">
        <v>440</v>
      </c>
      <c r="C187" s="231" t="s">
        <v>2521</v>
      </c>
      <c r="D187" s="202" t="s">
        <v>1455</v>
      </c>
      <c r="E187" s="232">
        <v>32.0</v>
      </c>
      <c r="F187" s="233"/>
      <c r="G187" s="232">
        <v>0.0</v>
      </c>
      <c r="H187" s="232">
        <v>18.0</v>
      </c>
      <c r="I187" s="232">
        <v>18.0</v>
      </c>
      <c r="J187" s="234">
        <v>0.0</v>
      </c>
      <c r="K187" s="202" t="s">
        <v>2083</v>
      </c>
      <c r="L187" s="202">
        <v>5.395888899E9</v>
      </c>
      <c r="M187" s="202" t="s">
        <v>1318</v>
      </c>
      <c r="N187" s="202" t="s">
        <v>1324</v>
      </c>
      <c r="O187" s="202" t="s">
        <v>443</v>
      </c>
      <c r="P187" s="202" t="s">
        <v>2522</v>
      </c>
      <c r="Q187" s="235">
        <f>COUNTIF('Hedef Liste'!A:A,A187)</f>
        <v>1</v>
      </c>
    </row>
    <row r="188" hidden="1">
      <c r="A188" s="202" t="s">
        <v>1894</v>
      </c>
      <c r="B188" s="202" t="s">
        <v>1895</v>
      </c>
      <c r="C188" s="231" t="s">
        <v>2521</v>
      </c>
      <c r="D188" s="202" t="s">
        <v>1226</v>
      </c>
      <c r="E188" s="233"/>
      <c r="F188" s="233"/>
      <c r="G188" s="232">
        <v>0.0</v>
      </c>
      <c r="H188" s="232">
        <v>39.0</v>
      </c>
      <c r="I188" s="232">
        <v>39.0</v>
      </c>
      <c r="J188" s="234">
        <v>0.0</v>
      </c>
      <c r="K188" s="202" t="s">
        <v>1896</v>
      </c>
      <c r="L188" s="202">
        <v>5.419159233E9</v>
      </c>
      <c r="M188" s="202" t="s">
        <v>1348</v>
      </c>
      <c r="N188" s="202" t="s">
        <v>1897</v>
      </c>
      <c r="O188" s="202" t="s">
        <v>1898</v>
      </c>
      <c r="P188" s="202" t="s">
        <v>2522</v>
      </c>
      <c r="Q188" s="235">
        <f>COUNTIF('Hedef Liste'!A:A,A188)</f>
        <v>1</v>
      </c>
    </row>
    <row r="189" hidden="1">
      <c r="A189" s="202" t="s">
        <v>681</v>
      </c>
      <c r="B189" s="202" t="s">
        <v>682</v>
      </c>
      <c r="C189" s="231" t="s">
        <v>2523</v>
      </c>
      <c r="D189" s="202" t="s">
        <v>1170</v>
      </c>
      <c r="E189" s="232">
        <v>1793.0</v>
      </c>
      <c r="F189" s="232">
        <v>31.0</v>
      </c>
      <c r="G189" s="232">
        <v>4.0</v>
      </c>
      <c r="H189" s="232">
        <v>7.0</v>
      </c>
      <c r="I189" s="232">
        <v>11.0</v>
      </c>
      <c r="J189" s="234">
        <v>0.36</v>
      </c>
      <c r="K189" s="202" t="s">
        <v>1835</v>
      </c>
      <c r="L189" s="202">
        <v>5.541546767E9</v>
      </c>
      <c r="M189" s="202" t="s">
        <v>1172</v>
      </c>
      <c r="N189" s="202" t="s">
        <v>1379</v>
      </c>
      <c r="O189" s="202" t="s">
        <v>684</v>
      </c>
      <c r="P189" s="202" t="s">
        <v>2522</v>
      </c>
      <c r="Q189" s="235">
        <f>COUNTIF('Hedef Liste'!A:A,A189)</f>
        <v>1</v>
      </c>
    </row>
    <row r="190" hidden="1">
      <c r="A190" s="202" t="s">
        <v>2670</v>
      </c>
      <c r="B190" s="202" t="s">
        <v>2671</v>
      </c>
      <c r="C190" s="231" t="s">
        <v>2523</v>
      </c>
      <c r="D190" s="202" t="s">
        <v>1216</v>
      </c>
      <c r="E190" s="232">
        <v>2721.0</v>
      </c>
      <c r="F190" s="232">
        <v>100.0</v>
      </c>
      <c r="G190" s="232">
        <v>77.0</v>
      </c>
      <c r="H190" s="232">
        <v>24.0</v>
      </c>
      <c r="I190" s="232">
        <v>101.0</v>
      </c>
      <c r="J190" s="234">
        <v>0.76</v>
      </c>
      <c r="K190" s="202" t="s">
        <v>2627</v>
      </c>
      <c r="L190" s="202">
        <v>2.647183839E9</v>
      </c>
      <c r="M190" s="202" t="s">
        <v>1242</v>
      </c>
      <c r="N190" s="202" t="s">
        <v>1243</v>
      </c>
      <c r="O190" s="202" t="s">
        <v>2672</v>
      </c>
      <c r="P190" s="202" t="s">
        <v>2531</v>
      </c>
      <c r="Q190" s="235">
        <f>COUNTIF('Hedef Liste'!A:A,A190)</f>
        <v>0</v>
      </c>
    </row>
    <row r="191" hidden="1">
      <c r="A191" s="202" t="s">
        <v>611</v>
      </c>
      <c r="B191" s="202" t="s">
        <v>612</v>
      </c>
      <c r="C191" s="231" t="s">
        <v>2523</v>
      </c>
      <c r="D191" s="202" t="s">
        <v>1155</v>
      </c>
      <c r="E191" s="232">
        <v>232.0</v>
      </c>
      <c r="F191" s="232">
        <v>9.0</v>
      </c>
      <c r="G191" s="232">
        <v>0.0</v>
      </c>
      <c r="H191" s="232">
        <v>16.0</v>
      </c>
      <c r="I191" s="232">
        <v>16.0</v>
      </c>
      <c r="J191" s="234">
        <v>0.0</v>
      </c>
      <c r="K191" s="202" t="s">
        <v>1858</v>
      </c>
      <c r="L191" s="202">
        <v>5.368253358E9</v>
      </c>
      <c r="M191" s="202" t="s">
        <v>1172</v>
      </c>
      <c r="N191" s="202" t="s">
        <v>1859</v>
      </c>
      <c r="O191" s="202" t="s">
        <v>615</v>
      </c>
      <c r="P191" s="202" t="s">
        <v>2522</v>
      </c>
      <c r="Q191" s="235">
        <f>COUNTIF('Hedef Liste'!A:A,A191)</f>
        <v>1</v>
      </c>
    </row>
    <row r="192" hidden="1">
      <c r="A192" s="202" t="s">
        <v>2409</v>
      </c>
      <c r="B192" s="202" t="s">
        <v>2410</v>
      </c>
      <c r="C192" s="231" t="s">
        <v>2523</v>
      </c>
      <c r="D192" s="202" t="s">
        <v>1170</v>
      </c>
      <c r="E192" s="232">
        <v>267.0</v>
      </c>
      <c r="F192" s="232">
        <v>4.0</v>
      </c>
      <c r="G192" s="232">
        <v>0.0</v>
      </c>
      <c r="H192" s="232">
        <v>44.0</v>
      </c>
      <c r="I192" s="232">
        <v>44.0</v>
      </c>
      <c r="J192" s="234">
        <v>0.0</v>
      </c>
      <c r="K192" s="202" t="s">
        <v>2411</v>
      </c>
      <c r="L192" s="202">
        <v>5.452863254E9</v>
      </c>
      <c r="M192" s="202" t="s">
        <v>1177</v>
      </c>
      <c r="N192" s="202" t="s">
        <v>1184</v>
      </c>
      <c r="O192" s="202" t="s">
        <v>2412</v>
      </c>
      <c r="P192" s="202" t="s">
        <v>2522</v>
      </c>
      <c r="Q192" s="235">
        <f>COUNTIF('Hedef Liste'!A:A,A192)</f>
        <v>1</v>
      </c>
    </row>
    <row r="193" hidden="1">
      <c r="A193" s="202" t="s">
        <v>2673</v>
      </c>
      <c r="B193" s="202" t="s">
        <v>2674</v>
      </c>
      <c r="C193" s="231" t="s">
        <v>2523</v>
      </c>
      <c r="D193" s="202" t="s">
        <v>1182</v>
      </c>
      <c r="E193" s="232">
        <v>350.0</v>
      </c>
      <c r="F193" s="232">
        <v>8.0</v>
      </c>
      <c r="G193" s="232">
        <v>73.0</v>
      </c>
      <c r="H193" s="232">
        <v>7.0</v>
      </c>
      <c r="I193" s="232">
        <v>80.0</v>
      </c>
      <c r="J193" s="234">
        <v>0.91</v>
      </c>
      <c r="K193" s="202" t="s">
        <v>2550</v>
      </c>
      <c r="L193" s="202">
        <v>5.446445481E9</v>
      </c>
      <c r="M193" s="202" t="s">
        <v>1679</v>
      </c>
      <c r="N193" s="202" t="s">
        <v>1680</v>
      </c>
      <c r="O193" s="202" t="s">
        <v>2675</v>
      </c>
      <c r="P193" s="202" t="s">
        <v>2531</v>
      </c>
      <c r="Q193" s="235">
        <f>COUNTIF('Hedef Liste'!A:A,A193)</f>
        <v>0</v>
      </c>
    </row>
    <row r="194" hidden="1">
      <c r="A194" s="202" t="s">
        <v>428</v>
      </c>
      <c r="B194" s="202" t="s">
        <v>2676</v>
      </c>
      <c r="C194" s="231" t="s">
        <v>2523</v>
      </c>
      <c r="D194" s="202" t="s">
        <v>1182</v>
      </c>
      <c r="E194" s="232">
        <v>1211.0</v>
      </c>
      <c r="F194" s="232">
        <v>41.0</v>
      </c>
      <c r="G194" s="232">
        <v>16.0</v>
      </c>
      <c r="H194" s="232">
        <v>18.0</v>
      </c>
      <c r="I194" s="232">
        <v>34.0</v>
      </c>
      <c r="J194" s="234">
        <v>0.47</v>
      </c>
      <c r="K194" s="202" t="s">
        <v>1635</v>
      </c>
      <c r="L194" s="202">
        <v>5.43734305E9</v>
      </c>
      <c r="M194" s="202" t="s">
        <v>1318</v>
      </c>
      <c r="N194" s="202" t="s">
        <v>1636</v>
      </c>
      <c r="O194" s="202" t="s">
        <v>432</v>
      </c>
      <c r="P194" s="202" t="s">
        <v>2522</v>
      </c>
      <c r="Q194" s="235">
        <f>COUNTIF('Hedef Liste'!A:A,A194)</f>
        <v>1</v>
      </c>
    </row>
    <row r="195" hidden="1">
      <c r="A195" s="202" t="s">
        <v>1066</v>
      </c>
      <c r="B195" s="202" t="s">
        <v>1067</v>
      </c>
      <c r="C195" s="231" t="s">
        <v>2523</v>
      </c>
      <c r="D195" s="202" t="s">
        <v>1145</v>
      </c>
      <c r="E195" s="232">
        <v>1084.0</v>
      </c>
      <c r="F195" s="232">
        <v>39.0</v>
      </c>
      <c r="G195" s="232">
        <v>4.0</v>
      </c>
      <c r="H195" s="232">
        <v>54.0</v>
      </c>
      <c r="I195" s="232">
        <v>58.0</v>
      </c>
      <c r="J195" s="234">
        <v>0.07</v>
      </c>
      <c r="K195" s="202" t="s">
        <v>1418</v>
      </c>
      <c r="L195" s="202">
        <v>5.550148961E9</v>
      </c>
      <c r="M195" s="202" t="s">
        <v>1348</v>
      </c>
      <c r="N195" s="202" t="s">
        <v>1349</v>
      </c>
      <c r="O195" s="202" t="s">
        <v>1069</v>
      </c>
      <c r="P195" s="202" t="s">
        <v>2522</v>
      </c>
      <c r="Q195" s="235">
        <f>COUNTIF('Hedef Liste'!A:A,A195)</f>
        <v>1</v>
      </c>
    </row>
    <row r="196" hidden="1">
      <c r="A196" s="202" t="s">
        <v>2677</v>
      </c>
      <c r="B196" s="202" t="s">
        <v>2678</v>
      </c>
      <c r="C196" s="231" t="s">
        <v>2523</v>
      </c>
      <c r="D196" s="202" t="s">
        <v>1182</v>
      </c>
      <c r="E196" s="232">
        <v>14.0</v>
      </c>
      <c r="F196" s="232">
        <v>2.0</v>
      </c>
      <c r="G196" s="232">
        <v>38.0</v>
      </c>
      <c r="H196" s="232">
        <v>3.0</v>
      </c>
      <c r="I196" s="232">
        <v>41.0</v>
      </c>
      <c r="J196" s="234">
        <v>0.93</v>
      </c>
      <c r="K196" s="202" t="s">
        <v>2550</v>
      </c>
      <c r="L196" s="202">
        <v>5.425953325E9</v>
      </c>
      <c r="M196" s="202" t="s">
        <v>1172</v>
      </c>
      <c r="N196" s="202" t="s">
        <v>1556</v>
      </c>
      <c r="O196" s="202" t="s">
        <v>2679</v>
      </c>
      <c r="P196" s="202" t="s">
        <v>2531</v>
      </c>
      <c r="Q196" s="235">
        <f>COUNTIF('Hedef Liste'!A:A,A196)</f>
        <v>0</v>
      </c>
    </row>
    <row r="197" hidden="1">
      <c r="A197" s="202" t="s">
        <v>2354</v>
      </c>
      <c r="B197" s="202" t="s">
        <v>2355</v>
      </c>
      <c r="C197" s="231" t="s">
        <v>2523</v>
      </c>
      <c r="D197" s="202" t="s">
        <v>1188</v>
      </c>
      <c r="E197" s="232">
        <v>96.0</v>
      </c>
      <c r="F197" s="233"/>
      <c r="G197" s="232">
        <v>0.0</v>
      </c>
      <c r="H197" s="232">
        <v>23.0</v>
      </c>
      <c r="I197" s="232">
        <v>23.0</v>
      </c>
      <c r="J197" s="234">
        <v>0.0</v>
      </c>
      <c r="K197" s="202" t="s">
        <v>2356</v>
      </c>
      <c r="L197" s="202">
        <v>5.514371605E9</v>
      </c>
      <c r="M197" s="202" t="s">
        <v>1242</v>
      </c>
      <c r="N197" s="202" t="s">
        <v>1283</v>
      </c>
      <c r="O197" s="202" t="s">
        <v>2357</v>
      </c>
      <c r="P197" s="202" t="s">
        <v>2522</v>
      </c>
      <c r="Q197" s="235">
        <f>COUNTIF('Hedef Liste'!A:A,A197)</f>
        <v>1</v>
      </c>
    </row>
    <row r="198" hidden="1">
      <c r="A198" s="202" t="s">
        <v>639</v>
      </c>
      <c r="B198" s="202" t="s">
        <v>2680</v>
      </c>
      <c r="C198" s="231" t="s">
        <v>2523</v>
      </c>
      <c r="D198" s="202" t="s">
        <v>1216</v>
      </c>
      <c r="E198" s="232">
        <v>168.0</v>
      </c>
      <c r="F198" s="232">
        <v>10.0</v>
      </c>
      <c r="G198" s="232">
        <v>18.0</v>
      </c>
      <c r="H198" s="232">
        <v>44.0</v>
      </c>
      <c r="I198" s="232">
        <v>62.0</v>
      </c>
      <c r="J198" s="234">
        <v>0.29</v>
      </c>
      <c r="K198" s="202" t="s">
        <v>1287</v>
      </c>
      <c r="L198" s="202">
        <v>2.6450291E9</v>
      </c>
      <c r="M198" s="202" t="s">
        <v>1147</v>
      </c>
      <c r="N198" s="202" t="s">
        <v>1164</v>
      </c>
      <c r="O198" s="202" t="s">
        <v>1291</v>
      </c>
      <c r="P198" s="202" t="s">
        <v>2522</v>
      </c>
      <c r="Q198" s="235">
        <f>COUNTIF('Hedef Liste'!A:A,A198)</f>
        <v>1</v>
      </c>
    </row>
    <row r="199" hidden="1">
      <c r="A199" s="202" t="s">
        <v>2269</v>
      </c>
      <c r="B199" s="202" t="s">
        <v>2270</v>
      </c>
      <c r="C199" s="231" t="s">
        <v>2523</v>
      </c>
      <c r="D199" s="202" t="s">
        <v>1869</v>
      </c>
      <c r="E199" s="232">
        <v>974.0</v>
      </c>
      <c r="F199" s="233"/>
      <c r="G199" s="232">
        <v>0.0</v>
      </c>
      <c r="H199" s="232">
        <v>15.0</v>
      </c>
      <c r="I199" s="232">
        <v>15.0</v>
      </c>
      <c r="J199" s="234">
        <v>0.0</v>
      </c>
      <c r="K199" s="202" t="s">
        <v>2271</v>
      </c>
      <c r="L199" s="202">
        <v>5.524092014E9</v>
      </c>
      <c r="M199" s="202" t="s">
        <v>1147</v>
      </c>
      <c r="N199" s="202" t="s">
        <v>1157</v>
      </c>
      <c r="O199" s="202" t="s">
        <v>2272</v>
      </c>
      <c r="P199" s="202" t="s">
        <v>2522</v>
      </c>
      <c r="Q199" s="235">
        <f>COUNTIF('Hedef Liste'!A:A,A199)</f>
        <v>1</v>
      </c>
    </row>
    <row r="200" hidden="1">
      <c r="A200" s="202" t="s">
        <v>2363</v>
      </c>
      <c r="B200" s="202" t="s">
        <v>2364</v>
      </c>
      <c r="C200" s="231" t="s">
        <v>2521</v>
      </c>
      <c r="D200" s="202" t="s">
        <v>1170</v>
      </c>
      <c r="E200" s="232">
        <v>3.0</v>
      </c>
      <c r="F200" s="233"/>
      <c r="G200" s="232">
        <v>0.0</v>
      </c>
      <c r="H200" s="232">
        <v>9.0</v>
      </c>
      <c r="I200" s="232">
        <v>9.0</v>
      </c>
      <c r="J200" s="234">
        <v>0.0</v>
      </c>
      <c r="K200" s="202" t="s">
        <v>2365</v>
      </c>
      <c r="L200" s="202">
        <v>5.387603208E9</v>
      </c>
      <c r="M200" s="202" t="s">
        <v>1177</v>
      </c>
      <c r="N200" s="202" t="s">
        <v>1184</v>
      </c>
      <c r="O200" s="202" t="s">
        <v>188</v>
      </c>
      <c r="P200" s="202" t="s">
        <v>2522</v>
      </c>
      <c r="Q200" s="235">
        <f>COUNTIF('Hedef Liste'!A:A,A200)</f>
        <v>1</v>
      </c>
    </row>
    <row r="201" hidden="1">
      <c r="A201" s="202" t="s">
        <v>2406</v>
      </c>
      <c r="B201" s="202" t="s">
        <v>2407</v>
      </c>
      <c r="C201" s="231" t="s">
        <v>2521</v>
      </c>
      <c r="D201" s="202" t="s">
        <v>1235</v>
      </c>
      <c r="E201" s="233"/>
      <c r="F201" s="233"/>
      <c r="G201" s="232">
        <v>0.0</v>
      </c>
      <c r="H201" s="232">
        <v>45.0</v>
      </c>
      <c r="I201" s="232">
        <v>45.0</v>
      </c>
      <c r="J201" s="234">
        <v>0.0</v>
      </c>
      <c r="K201" s="202" t="s">
        <v>1146</v>
      </c>
      <c r="L201" s="202">
        <v>5.394067198E9</v>
      </c>
      <c r="M201" s="202" t="s">
        <v>1147</v>
      </c>
      <c r="N201" s="202" t="s">
        <v>1148</v>
      </c>
      <c r="O201" s="202" t="s">
        <v>1149</v>
      </c>
      <c r="P201" s="202" t="s">
        <v>2522</v>
      </c>
      <c r="Q201" s="235">
        <f>COUNTIF('Hedef Liste'!A:A,A201)</f>
        <v>1</v>
      </c>
    </row>
    <row r="202" hidden="1">
      <c r="A202" s="202" t="s">
        <v>577</v>
      </c>
      <c r="B202" s="202" t="s">
        <v>578</v>
      </c>
      <c r="C202" s="231" t="s">
        <v>2521</v>
      </c>
      <c r="D202" s="202" t="s">
        <v>1302</v>
      </c>
      <c r="E202" s="232">
        <v>2.0</v>
      </c>
      <c r="F202" s="233"/>
      <c r="G202" s="232">
        <v>32.0</v>
      </c>
      <c r="H202" s="232">
        <v>18.0</v>
      </c>
      <c r="I202" s="232">
        <v>50.0</v>
      </c>
      <c r="J202" s="234">
        <v>0.64</v>
      </c>
      <c r="K202" s="202" t="s">
        <v>1432</v>
      </c>
      <c r="L202" s="202">
        <v>5.314555888E9</v>
      </c>
      <c r="M202" s="202" t="s">
        <v>1172</v>
      </c>
      <c r="N202" s="202" t="s">
        <v>1190</v>
      </c>
      <c r="O202" s="202" t="s">
        <v>580</v>
      </c>
      <c r="P202" s="202" t="s">
        <v>2522</v>
      </c>
      <c r="Q202" s="235">
        <f>COUNTIF('Hedef Liste'!A:A,A202)</f>
        <v>1</v>
      </c>
    </row>
    <row r="203" hidden="1">
      <c r="A203" s="202" t="s">
        <v>1285</v>
      </c>
      <c r="B203" s="202" t="s">
        <v>1286</v>
      </c>
      <c r="C203" s="231" t="s">
        <v>2523</v>
      </c>
      <c r="D203" s="202" t="s">
        <v>1216</v>
      </c>
      <c r="E203" s="232">
        <v>577.0</v>
      </c>
      <c r="F203" s="232">
        <v>44.0</v>
      </c>
      <c r="G203" s="232">
        <v>0.0</v>
      </c>
      <c r="H203" s="232">
        <v>61.0</v>
      </c>
      <c r="I203" s="232">
        <v>61.0</v>
      </c>
      <c r="J203" s="234">
        <v>0.0</v>
      </c>
      <c r="K203" s="202" t="s">
        <v>1287</v>
      </c>
      <c r="L203" s="202">
        <v>5.428270693E9</v>
      </c>
      <c r="M203" s="202" t="s">
        <v>1147</v>
      </c>
      <c r="N203" s="202" t="s">
        <v>1164</v>
      </c>
      <c r="O203" s="202" t="s">
        <v>1288</v>
      </c>
      <c r="P203" s="202" t="s">
        <v>2522</v>
      </c>
      <c r="Q203" s="235">
        <f>COUNTIF('Hedef Liste'!A:A,A203)</f>
        <v>1</v>
      </c>
    </row>
    <row r="204" hidden="1">
      <c r="A204" s="202" t="s">
        <v>622</v>
      </c>
      <c r="B204" s="202" t="s">
        <v>623</v>
      </c>
      <c r="C204" s="231" t="s">
        <v>2521</v>
      </c>
      <c r="D204" s="202" t="s">
        <v>1188</v>
      </c>
      <c r="E204" s="232">
        <v>7.0</v>
      </c>
      <c r="F204" s="233"/>
      <c r="G204" s="232">
        <v>7.0</v>
      </c>
      <c r="H204" s="232">
        <v>19.0</v>
      </c>
      <c r="I204" s="232">
        <v>26.0</v>
      </c>
      <c r="J204" s="234">
        <v>0.27</v>
      </c>
      <c r="K204" s="202" t="s">
        <v>1672</v>
      </c>
      <c r="L204" s="202">
        <v>5.517035096E9</v>
      </c>
      <c r="M204" s="202" t="s">
        <v>1463</v>
      </c>
      <c r="N204" s="202" t="s">
        <v>1464</v>
      </c>
      <c r="O204" s="202" t="s">
        <v>625</v>
      </c>
      <c r="P204" s="202" t="s">
        <v>2522</v>
      </c>
      <c r="Q204" s="235">
        <f>COUNTIF('Hedef Liste'!A:A,A204)</f>
        <v>1</v>
      </c>
    </row>
    <row r="205" hidden="1">
      <c r="A205" s="202" t="s">
        <v>765</v>
      </c>
      <c r="B205" s="202" t="s">
        <v>766</v>
      </c>
      <c r="C205" s="231" t="s">
        <v>2523</v>
      </c>
      <c r="D205" s="202" t="s">
        <v>1155</v>
      </c>
      <c r="E205" s="232">
        <v>1136.0</v>
      </c>
      <c r="F205" s="232">
        <v>27.0</v>
      </c>
      <c r="G205" s="232">
        <v>17.0</v>
      </c>
      <c r="H205" s="232">
        <v>8.0</v>
      </c>
      <c r="I205" s="232">
        <v>25.0</v>
      </c>
      <c r="J205" s="234">
        <v>0.68</v>
      </c>
      <c r="K205" s="202" t="s">
        <v>2170</v>
      </c>
      <c r="L205" s="202">
        <v>2.642823E9</v>
      </c>
      <c r="M205" s="202" t="s">
        <v>1172</v>
      </c>
      <c r="N205" s="202" t="s">
        <v>1556</v>
      </c>
      <c r="O205" s="202" t="s">
        <v>769</v>
      </c>
      <c r="P205" s="202" t="s">
        <v>2522</v>
      </c>
      <c r="Q205" s="235">
        <f>COUNTIF('Hedef Liste'!A:A,A205)</f>
        <v>1</v>
      </c>
    </row>
    <row r="206" hidden="1">
      <c r="A206" s="202" t="s">
        <v>846</v>
      </c>
      <c r="B206" s="202" t="s">
        <v>847</v>
      </c>
      <c r="C206" s="231" t="s">
        <v>2521</v>
      </c>
      <c r="D206" s="202" t="s">
        <v>1162</v>
      </c>
      <c r="E206" s="232">
        <v>30.0</v>
      </c>
      <c r="F206" s="233"/>
      <c r="G206" s="232">
        <v>22.0</v>
      </c>
      <c r="H206" s="232">
        <v>18.0</v>
      </c>
      <c r="I206" s="232">
        <v>40.0</v>
      </c>
      <c r="J206" s="234">
        <v>0.55</v>
      </c>
      <c r="K206" s="202" t="s">
        <v>2076</v>
      </c>
      <c r="L206" s="202">
        <v>5.345024112E9</v>
      </c>
      <c r="M206" s="202" t="s">
        <v>1679</v>
      </c>
      <c r="N206" s="202" t="s">
        <v>1811</v>
      </c>
      <c r="O206" s="202" t="s">
        <v>850</v>
      </c>
      <c r="P206" s="202" t="s">
        <v>2522</v>
      </c>
      <c r="Q206" s="235">
        <f>COUNTIF('Hedef Liste'!A:A,A206)</f>
        <v>1</v>
      </c>
    </row>
    <row r="207" hidden="1">
      <c r="A207" s="202" t="s">
        <v>1744</v>
      </c>
      <c r="B207" s="202" t="s">
        <v>1745</v>
      </c>
      <c r="C207" s="231" t="s">
        <v>2523</v>
      </c>
      <c r="D207" s="202" t="s">
        <v>1145</v>
      </c>
      <c r="E207" s="232">
        <v>4509.0</v>
      </c>
      <c r="F207" s="232">
        <v>77.0</v>
      </c>
      <c r="G207" s="232">
        <v>10.0</v>
      </c>
      <c r="H207" s="232">
        <v>23.0</v>
      </c>
      <c r="I207" s="232">
        <v>33.0</v>
      </c>
      <c r="J207" s="234">
        <v>0.3</v>
      </c>
      <c r="K207" s="202" t="s">
        <v>1746</v>
      </c>
      <c r="L207" s="202">
        <v>2.6421109E9</v>
      </c>
      <c r="M207" s="202" t="s">
        <v>1147</v>
      </c>
      <c r="N207" s="202" t="s">
        <v>1164</v>
      </c>
      <c r="O207" s="202" t="s">
        <v>1747</v>
      </c>
      <c r="P207" s="202" t="s">
        <v>2522</v>
      </c>
      <c r="Q207" s="235">
        <f>COUNTIF('Hedef Liste'!A:A,A207)</f>
        <v>1</v>
      </c>
    </row>
    <row r="208" hidden="1">
      <c r="A208" s="202" t="s">
        <v>737</v>
      </c>
      <c r="B208" s="202" t="s">
        <v>738</v>
      </c>
      <c r="C208" s="231" t="s">
        <v>2523</v>
      </c>
      <c r="D208" s="202" t="s">
        <v>1302</v>
      </c>
      <c r="E208" s="232">
        <v>364.0</v>
      </c>
      <c r="F208" s="233"/>
      <c r="G208" s="232">
        <v>14.0</v>
      </c>
      <c r="H208" s="232">
        <v>14.0</v>
      </c>
      <c r="I208" s="232">
        <v>28.0</v>
      </c>
      <c r="J208" s="234">
        <v>0.5</v>
      </c>
      <c r="K208" s="202" t="s">
        <v>2104</v>
      </c>
      <c r="L208" s="202">
        <v>5.439312289E9</v>
      </c>
      <c r="M208" s="202" t="s">
        <v>1172</v>
      </c>
      <c r="N208" s="202" t="s">
        <v>1228</v>
      </c>
      <c r="O208" s="202" t="s">
        <v>741</v>
      </c>
      <c r="P208" s="202" t="s">
        <v>2522</v>
      </c>
      <c r="Q208" s="235">
        <f>COUNTIF('Hedef Liste'!A:A,A208)</f>
        <v>1</v>
      </c>
    </row>
    <row r="209" hidden="1">
      <c r="A209" s="202" t="s">
        <v>2681</v>
      </c>
      <c r="B209" s="202" t="s">
        <v>2682</v>
      </c>
      <c r="C209" s="231" t="s">
        <v>2523</v>
      </c>
      <c r="D209" s="202" t="s">
        <v>1216</v>
      </c>
      <c r="E209" s="232">
        <v>633.0</v>
      </c>
      <c r="F209" s="232">
        <v>33.0</v>
      </c>
      <c r="G209" s="232">
        <v>87.0</v>
      </c>
      <c r="H209" s="232">
        <v>0.0</v>
      </c>
      <c r="I209" s="232">
        <v>87.0</v>
      </c>
      <c r="J209" s="234">
        <v>1.0</v>
      </c>
      <c r="K209" s="202" t="s">
        <v>2571</v>
      </c>
      <c r="L209" s="202">
        <v>9.999999999E9</v>
      </c>
      <c r="M209" s="202" t="s">
        <v>1172</v>
      </c>
      <c r="N209" s="202" t="s">
        <v>1874</v>
      </c>
      <c r="O209" s="202" t="s">
        <v>2683</v>
      </c>
      <c r="P209" s="202" t="s">
        <v>2531</v>
      </c>
      <c r="Q209" s="235">
        <f>COUNTIF('Hedef Liste'!A:A,A209)</f>
        <v>0</v>
      </c>
    </row>
    <row r="210" hidden="1">
      <c r="A210" s="202" t="s">
        <v>774</v>
      </c>
      <c r="B210" s="202" t="s">
        <v>775</v>
      </c>
      <c r="C210" s="231" t="s">
        <v>2521</v>
      </c>
      <c r="D210" s="202" t="s">
        <v>1188</v>
      </c>
      <c r="E210" s="233"/>
      <c r="F210" s="233"/>
      <c r="G210" s="232">
        <v>0.0</v>
      </c>
      <c r="H210" s="232">
        <v>24.0</v>
      </c>
      <c r="I210" s="232">
        <v>24.0</v>
      </c>
      <c r="J210" s="234">
        <v>0.0</v>
      </c>
      <c r="K210" s="202" t="s">
        <v>1933</v>
      </c>
      <c r="L210" s="202">
        <v>5.458922467E9</v>
      </c>
      <c r="M210" s="202" t="s">
        <v>1172</v>
      </c>
      <c r="N210" s="202" t="s">
        <v>1979</v>
      </c>
      <c r="O210" s="202" t="s">
        <v>777</v>
      </c>
      <c r="P210" s="202" t="s">
        <v>2522</v>
      </c>
      <c r="Q210" s="235">
        <f>COUNTIF('Hedef Liste'!A:A,A210)</f>
        <v>1</v>
      </c>
    </row>
    <row r="211" hidden="1">
      <c r="A211" s="202" t="s">
        <v>1413</v>
      </c>
      <c r="B211" s="202" t="s">
        <v>1414</v>
      </c>
      <c r="C211" s="231" t="s">
        <v>2523</v>
      </c>
      <c r="D211" s="202" t="s">
        <v>1302</v>
      </c>
      <c r="E211" s="232">
        <v>217.0</v>
      </c>
      <c r="F211" s="232">
        <v>56.0</v>
      </c>
      <c r="G211" s="232">
        <v>0.0</v>
      </c>
      <c r="H211" s="232">
        <v>34.0</v>
      </c>
      <c r="I211" s="232">
        <v>34.0</v>
      </c>
      <c r="J211" s="234">
        <v>0.0</v>
      </c>
      <c r="K211" s="202" t="s">
        <v>1415</v>
      </c>
      <c r="L211" s="202">
        <v>5.444985323E9</v>
      </c>
      <c r="M211" s="202" t="s">
        <v>1147</v>
      </c>
      <c r="N211" s="202" t="s">
        <v>1164</v>
      </c>
      <c r="O211" s="202" t="s">
        <v>1416</v>
      </c>
      <c r="P211" s="202" t="s">
        <v>2522</v>
      </c>
      <c r="Q211" s="235">
        <f>COUNTIF('Hedef Liste'!A:A,A211)</f>
        <v>1</v>
      </c>
    </row>
    <row r="212" hidden="1">
      <c r="A212" s="202" t="s">
        <v>2063</v>
      </c>
      <c r="B212" s="202" t="s">
        <v>2064</v>
      </c>
      <c r="C212" s="231" t="s">
        <v>2521</v>
      </c>
      <c r="D212" s="202" t="s">
        <v>1162</v>
      </c>
      <c r="E212" s="232">
        <v>1053.0</v>
      </c>
      <c r="F212" s="233"/>
      <c r="G212" s="232">
        <v>26.0</v>
      </c>
      <c r="H212" s="232">
        <v>7.0</v>
      </c>
      <c r="I212" s="232">
        <v>33.0</v>
      </c>
      <c r="J212" s="234">
        <v>0.79</v>
      </c>
      <c r="K212" s="202" t="s">
        <v>2065</v>
      </c>
      <c r="L212" s="202">
        <v>5.546357024E9</v>
      </c>
      <c r="M212" s="202" t="s">
        <v>1318</v>
      </c>
      <c r="N212" s="202" t="s">
        <v>1533</v>
      </c>
      <c r="O212" s="202" t="s">
        <v>2066</v>
      </c>
      <c r="P212" s="202" t="s">
        <v>2522</v>
      </c>
      <c r="Q212" s="235">
        <f>COUNTIF('Hedef Liste'!A:A,A212)</f>
        <v>1</v>
      </c>
    </row>
    <row r="213" hidden="1">
      <c r="A213" s="202" t="s">
        <v>2204</v>
      </c>
      <c r="B213" s="202" t="s">
        <v>2205</v>
      </c>
      <c r="C213" s="231" t="s">
        <v>2521</v>
      </c>
      <c r="D213" s="202" t="s">
        <v>1302</v>
      </c>
      <c r="F213" s="233"/>
      <c r="G213" s="232">
        <v>0.0</v>
      </c>
      <c r="H213" s="232">
        <v>67.0</v>
      </c>
      <c r="I213" s="232">
        <v>67.0</v>
      </c>
      <c r="J213" s="234">
        <v>0.0</v>
      </c>
      <c r="K213" s="202" t="s">
        <v>2206</v>
      </c>
      <c r="L213" s="202">
        <v>5.428376706E9</v>
      </c>
      <c r="M213" s="202" t="s">
        <v>1147</v>
      </c>
      <c r="N213" s="202" t="s">
        <v>1164</v>
      </c>
      <c r="O213" s="202" t="s">
        <v>2207</v>
      </c>
      <c r="P213" s="202" t="s">
        <v>2522</v>
      </c>
      <c r="Q213" s="235">
        <f>COUNTIF('Hedef Liste'!A:A,A213)</f>
        <v>1</v>
      </c>
    </row>
    <row r="214" hidden="1">
      <c r="A214" s="202" t="s">
        <v>626</v>
      </c>
      <c r="B214" s="202" t="s">
        <v>627</v>
      </c>
      <c r="C214" s="231" t="s">
        <v>2521</v>
      </c>
      <c r="D214" s="202" t="s">
        <v>1188</v>
      </c>
      <c r="E214" s="232">
        <v>12.0</v>
      </c>
      <c r="F214" s="233"/>
      <c r="G214" s="232">
        <v>5.0</v>
      </c>
      <c r="H214" s="232">
        <v>5.0</v>
      </c>
      <c r="I214" s="232">
        <v>10.0</v>
      </c>
      <c r="J214" s="234">
        <v>0.5</v>
      </c>
      <c r="K214" s="202" t="s">
        <v>1495</v>
      </c>
      <c r="L214" s="202">
        <v>5.326663639E9</v>
      </c>
      <c r="M214" s="202" t="s">
        <v>1172</v>
      </c>
      <c r="N214" s="202" t="s">
        <v>1300</v>
      </c>
      <c r="O214" s="202" t="s">
        <v>628</v>
      </c>
      <c r="P214" s="202" t="s">
        <v>2522</v>
      </c>
      <c r="Q214" s="235">
        <f>COUNTIF('Hedef Liste'!A:A,A214)</f>
        <v>1</v>
      </c>
    </row>
    <row r="215" hidden="1">
      <c r="A215" s="202" t="s">
        <v>526</v>
      </c>
      <c r="B215" s="202" t="s">
        <v>527</v>
      </c>
      <c r="C215" s="231" t="s">
        <v>2523</v>
      </c>
      <c r="D215" s="202" t="s">
        <v>1226</v>
      </c>
      <c r="E215" s="232">
        <v>1096.0</v>
      </c>
      <c r="F215" s="232">
        <v>58.0</v>
      </c>
      <c r="G215" s="232">
        <v>35.0</v>
      </c>
      <c r="H215" s="232">
        <v>9.0</v>
      </c>
      <c r="I215" s="232">
        <v>44.0</v>
      </c>
      <c r="J215" s="234">
        <v>0.8</v>
      </c>
      <c r="K215" s="202" t="s">
        <v>2383</v>
      </c>
      <c r="L215" s="202">
        <v>5.372806245E9</v>
      </c>
      <c r="M215" s="202" t="s">
        <v>1177</v>
      </c>
      <c r="N215" s="202" t="s">
        <v>2384</v>
      </c>
      <c r="O215" s="202" t="s">
        <v>530</v>
      </c>
      <c r="P215" s="202" t="s">
        <v>2522</v>
      </c>
      <c r="Q215" s="235">
        <f>COUNTIF('Hedef Liste'!A:A,A215)</f>
        <v>1</v>
      </c>
    </row>
    <row r="216" hidden="1">
      <c r="A216" s="202" t="s">
        <v>2684</v>
      </c>
      <c r="B216" s="202" t="s">
        <v>2685</v>
      </c>
      <c r="C216" s="231" t="s">
        <v>2523</v>
      </c>
      <c r="D216" s="202" t="s">
        <v>1188</v>
      </c>
      <c r="E216" s="232">
        <v>2677.0</v>
      </c>
      <c r="F216" s="232">
        <v>122.0</v>
      </c>
      <c r="G216" s="232">
        <v>73.0</v>
      </c>
      <c r="H216" s="232">
        <v>0.0</v>
      </c>
      <c r="I216" s="232">
        <v>73.0</v>
      </c>
      <c r="J216" s="234">
        <v>1.0</v>
      </c>
      <c r="K216" s="202" t="s">
        <v>2571</v>
      </c>
      <c r="L216" s="202">
        <v>9.999999999E9</v>
      </c>
      <c r="M216" s="202" t="s">
        <v>1147</v>
      </c>
      <c r="N216" s="202" t="s">
        <v>1148</v>
      </c>
      <c r="O216" s="202" t="s">
        <v>2686</v>
      </c>
      <c r="P216" s="202" t="s">
        <v>2531</v>
      </c>
      <c r="Q216" s="235">
        <f>COUNTIF('Hedef Liste'!A:A,A216)</f>
        <v>0</v>
      </c>
    </row>
    <row r="217" hidden="1">
      <c r="A217" s="202" t="s">
        <v>1819</v>
      </c>
      <c r="B217" s="202" t="s">
        <v>1820</v>
      </c>
      <c r="C217" s="231" t="s">
        <v>2523</v>
      </c>
      <c r="D217" s="202" t="s">
        <v>1226</v>
      </c>
      <c r="E217" s="232">
        <v>1.0</v>
      </c>
      <c r="F217" s="233"/>
      <c r="G217" s="232">
        <v>0.0</v>
      </c>
      <c r="H217" s="232">
        <v>57.0</v>
      </c>
      <c r="I217" s="232">
        <v>57.0</v>
      </c>
      <c r="J217" s="234">
        <v>0.0</v>
      </c>
      <c r="K217" s="202" t="s">
        <v>1821</v>
      </c>
      <c r="L217" s="202">
        <v>5.435892947E9</v>
      </c>
      <c r="M217" s="202" t="s">
        <v>1679</v>
      </c>
      <c r="N217" s="202" t="s">
        <v>1822</v>
      </c>
      <c r="O217" s="202" t="s">
        <v>1823</v>
      </c>
      <c r="P217" s="202" t="s">
        <v>2522</v>
      </c>
      <c r="Q217" s="235">
        <f>COUNTIF('Hedef Liste'!A:A,A217)</f>
        <v>1</v>
      </c>
    </row>
    <row r="218" hidden="1">
      <c r="A218" s="202" t="s">
        <v>1265</v>
      </c>
      <c r="B218" s="202" t="s">
        <v>1266</v>
      </c>
      <c r="C218" s="231" t="s">
        <v>2523</v>
      </c>
      <c r="D218" s="202" t="s">
        <v>1155</v>
      </c>
      <c r="E218" s="232">
        <v>799.0</v>
      </c>
      <c r="F218" s="233"/>
      <c r="G218" s="232">
        <v>0.0</v>
      </c>
      <c r="H218" s="232">
        <v>35.0</v>
      </c>
      <c r="I218" s="232">
        <v>35.0</v>
      </c>
      <c r="J218" s="234">
        <v>0.0</v>
      </c>
      <c r="K218" s="202" t="s">
        <v>1267</v>
      </c>
      <c r="L218" s="202">
        <v>5.464985001E9</v>
      </c>
      <c r="M218" s="202" t="s">
        <v>1172</v>
      </c>
      <c r="N218" s="202" t="s">
        <v>1268</v>
      </c>
      <c r="O218" s="202" t="s">
        <v>1269</v>
      </c>
      <c r="P218" s="202" t="s">
        <v>2522</v>
      </c>
      <c r="Q218" s="235">
        <f>COUNTIF('Hedef Liste'!A:A,A218)</f>
        <v>1</v>
      </c>
    </row>
    <row r="219" hidden="1">
      <c r="A219" s="202" t="s">
        <v>561</v>
      </c>
      <c r="B219" s="202" t="s">
        <v>562</v>
      </c>
      <c r="C219" s="231" t="s">
        <v>2523</v>
      </c>
      <c r="D219" s="202" t="s">
        <v>1216</v>
      </c>
      <c r="E219" s="232">
        <v>372.0</v>
      </c>
      <c r="F219" s="232">
        <v>54.0</v>
      </c>
      <c r="G219" s="232">
        <v>0.0</v>
      </c>
      <c r="H219" s="232">
        <v>44.0</v>
      </c>
      <c r="I219" s="232">
        <v>44.0</v>
      </c>
      <c r="J219" s="234">
        <v>0.0</v>
      </c>
      <c r="K219" s="202" t="s">
        <v>1871</v>
      </c>
      <c r="L219" s="202">
        <v>5.378703381E9</v>
      </c>
      <c r="M219" s="202" t="s">
        <v>1147</v>
      </c>
      <c r="N219" s="202" t="s">
        <v>1157</v>
      </c>
      <c r="O219" s="202" t="s">
        <v>564</v>
      </c>
      <c r="P219" s="202" t="s">
        <v>2522</v>
      </c>
      <c r="Q219" s="235">
        <f>COUNTIF('Hedef Liste'!A:A,A219)</f>
        <v>1</v>
      </c>
    </row>
    <row r="220" hidden="1">
      <c r="A220" s="202" t="s">
        <v>225</v>
      </c>
      <c r="B220" s="202" t="s">
        <v>2687</v>
      </c>
      <c r="C220" s="231" t="s">
        <v>2523</v>
      </c>
      <c r="D220" s="202" t="s">
        <v>1145</v>
      </c>
      <c r="E220" s="232">
        <v>1539.0</v>
      </c>
      <c r="F220" s="233"/>
      <c r="G220" s="232">
        <v>17.0</v>
      </c>
      <c r="H220" s="232">
        <v>21.0</v>
      </c>
      <c r="I220" s="232">
        <v>38.0</v>
      </c>
      <c r="J220" s="234">
        <v>0.45</v>
      </c>
      <c r="K220" s="202" t="s">
        <v>1524</v>
      </c>
      <c r="L220" s="202">
        <v>5.415121235E9</v>
      </c>
      <c r="M220" s="202" t="s">
        <v>1318</v>
      </c>
      <c r="N220" s="202" t="s">
        <v>1319</v>
      </c>
      <c r="O220" s="202" t="s">
        <v>230</v>
      </c>
      <c r="P220" s="202" t="s">
        <v>2522</v>
      </c>
      <c r="Q220" s="235">
        <f>COUNTIF('Hedef Liste'!A:A,A220)</f>
        <v>1</v>
      </c>
    </row>
    <row r="221" hidden="1">
      <c r="A221" s="202" t="s">
        <v>2688</v>
      </c>
      <c r="B221" s="202" t="s">
        <v>2689</v>
      </c>
      <c r="C221" s="231" t="s">
        <v>2523</v>
      </c>
      <c r="D221" s="202" t="s">
        <v>1235</v>
      </c>
      <c r="E221" s="232">
        <v>5625.0</v>
      </c>
      <c r="F221" s="232">
        <v>177.0</v>
      </c>
      <c r="G221" s="232">
        <v>101.0</v>
      </c>
      <c r="H221" s="232">
        <v>0.0</v>
      </c>
      <c r="I221" s="232">
        <v>101.0</v>
      </c>
      <c r="J221" s="234">
        <v>1.0</v>
      </c>
      <c r="K221" s="202" t="s">
        <v>2571</v>
      </c>
      <c r="L221" s="202">
        <v>9.999999999E9</v>
      </c>
      <c r="M221" s="202" t="s">
        <v>1147</v>
      </c>
      <c r="N221" s="202" t="s">
        <v>1148</v>
      </c>
      <c r="O221" s="202" t="s">
        <v>2690</v>
      </c>
      <c r="P221" s="202" t="s">
        <v>2531</v>
      </c>
      <c r="Q221" s="235">
        <f>COUNTIF('Hedef Liste'!A:A,A221)</f>
        <v>0</v>
      </c>
    </row>
    <row r="222" hidden="1">
      <c r="A222" s="202" t="s">
        <v>1143</v>
      </c>
      <c r="B222" s="202" t="s">
        <v>1144</v>
      </c>
      <c r="C222" s="231" t="s">
        <v>2521</v>
      </c>
      <c r="D222" s="202" t="s">
        <v>1145</v>
      </c>
      <c r="E222" s="233"/>
      <c r="F222" s="233"/>
      <c r="G222" s="232">
        <v>15.0</v>
      </c>
      <c r="H222" s="232">
        <v>4.0</v>
      </c>
      <c r="I222" s="232">
        <v>19.0</v>
      </c>
      <c r="J222" s="234">
        <v>0.79</v>
      </c>
      <c r="K222" s="202" t="s">
        <v>1146</v>
      </c>
      <c r="L222" s="202">
        <v>5.394067198E9</v>
      </c>
      <c r="M222" s="202" t="s">
        <v>1147</v>
      </c>
      <c r="N222" s="202" t="s">
        <v>1148</v>
      </c>
      <c r="O222" s="202" t="s">
        <v>1149</v>
      </c>
      <c r="P222" s="202" t="s">
        <v>2522</v>
      </c>
      <c r="Q222" s="235">
        <f>COUNTIF('Hedef Liste'!A:A,A222)</f>
        <v>1</v>
      </c>
    </row>
    <row r="223" hidden="1">
      <c r="A223" s="202" t="s">
        <v>646</v>
      </c>
      <c r="B223" s="202" t="s">
        <v>647</v>
      </c>
      <c r="C223" s="231" t="s">
        <v>2521</v>
      </c>
      <c r="D223" s="202" t="s">
        <v>1226</v>
      </c>
      <c r="E223" s="232">
        <v>395.0</v>
      </c>
      <c r="F223" s="233"/>
      <c r="G223" s="232">
        <v>15.0</v>
      </c>
      <c r="H223" s="232">
        <v>7.0</v>
      </c>
      <c r="I223" s="232">
        <v>22.0</v>
      </c>
      <c r="J223" s="234">
        <v>0.68</v>
      </c>
      <c r="K223" s="202" t="s">
        <v>2166</v>
      </c>
      <c r="L223" s="202">
        <v>2.642716561E9</v>
      </c>
      <c r="M223" s="202" t="s">
        <v>1318</v>
      </c>
      <c r="N223" s="202" t="s">
        <v>1324</v>
      </c>
      <c r="O223" s="202" t="s">
        <v>649</v>
      </c>
      <c r="P223" s="202" t="s">
        <v>2522</v>
      </c>
      <c r="Q223" s="235">
        <f>COUNTIF('Hedef Liste'!A:A,A223)</f>
        <v>1</v>
      </c>
    </row>
    <row r="224" hidden="1">
      <c r="A224" s="202" t="s">
        <v>778</v>
      </c>
      <c r="B224" s="202" t="s">
        <v>779</v>
      </c>
      <c r="C224" s="231" t="s">
        <v>2521</v>
      </c>
      <c r="D224" s="202" t="s">
        <v>1220</v>
      </c>
      <c r="E224" s="232">
        <v>1.0</v>
      </c>
      <c r="F224" s="233"/>
      <c r="G224" s="232">
        <v>8.0</v>
      </c>
      <c r="H224" s="232">
        <v>10.0</v>
      </c>
      <c r="I224" s="232">
        <v>18.0</v>
      </c>
      <c r="J224" s="234">
        <v>0.44</v>
      </c>
      <c r="K224" s="202" t="s">
        <v>1221</v>
      </c>
      <c r="L224" s="202">
        <v>5.543149053E9</v>
      </c>
      <c r="M224" s="202" t="s">
        <v>1172</v>
      </c>
      <c r="N224" s="202" t="s">
        <v>1228</v>
      </c>
      <c r="O224" s="202" t="s">
        <v>1223</v>
      </c>
      <c r="P224" s="202" t="s">
        <v>2522</v>
      </c>
      <c r="Q224" s="235">
        <f>COUNTIF('Hedef Liste'!A:A,A224)</f>
        <v>1</v>
      </c>
    </row>
    <row r="225" hidden="1">
      <c r="A225" s="202" t="s">
        <v>169</v>
      </c>
      <c r="B225" s="202" t="s">
        <v>2691</v>
      </c>
      <c r="C225" s="231" t="s">
        <v>2523</v>
      </c>
      <c r="D225" s="202" t="s">
        <v>1235</v>
      </c>
      <c r="E225" s="232">
        <v>143.0</v>
      </c>
      <c r="F225" s="233"/>
      <c r="G225" s="232">
        <v>0.0</v>
      </c>
      <c r="H225" s="232">
        <v>35.0</v>
      </c>
      <c r="I225" s="232">
        <v>35.0</v>
      </c>
      <c r="J225" s="234">
        <v>0.0</v>
      </c>
      <c r="K225" s="202" t="s">
        <v>1902</v>
      </c>
      <c r="L225" s="202">
        <v>5.396592954E9</v>
      </c>
      <c r="M225" s="202" t="s">
        <v>1147</v>
      </c>
      <c r="N225" s="202" t="s">
        <v>1148</v>
      </c>
      <c r="O225" s="202" t="s">
        <v>172</v>
      </c>
      <c r="P225" s="202" t="s">
        <v>2522</v>
      </c>
      <c r="Q225" s="235">
        <f>COUNTIF('Hedef Liste'!A:A,A225)</f>
        <v>1</v>
      </c>
    </row>
    <row r="226" hidden="1">
      <c r="A226" s="202" t="s">
        <v>2692</v>
      </c>
      <c r="B226" s="202" t="s">
        <v>2693</v>
      </c>
      <c r="C226" s="231" t="s">
        <v>2523</v>
      </c>
      <c r="D226" s="202" t="s">
        <v>1226</v>
      </c>
      <c r="E226" s="232">
        <v>539.0</v>
      </c>
      <c r="F226" s="232">
        <v>23.0</v>
      </c>
      <c r="G226" s="232">
        <v>57.0</v>
      </c>
      <c r="H226" s="232">
        <v>0.0</v>
      </c>
      <c r="I226" s="232">
        <v>57.0</v>
      </c>
      <c r="J226" s="234">
        <v>1.0</v>
      </c>
      <c r="K226" s="202" t="s">
        <v>2571</v>
      </c>
      <c r="L226" s="202">
        <v>9.999999999E9</v>
      </c>
      <c r="M226" s="202" t="s">
        <v>1172</v>
      </c>
      <c r="N226" s="202" t="s">
        <v>1874</v>
      </c>
      <c r="O226" s="202" t="s">
        <v>2694</v>
      </c>
      <c r="P226" s="202" t="s">
        <v>2531</v>
      </c>
      <c r="Q226" s="235">
        <f>COUNTIF('Hedef Liste'!A:A,A226)</f>
        <v>0</v>
      </c>
    </row>
    <row r="227" hidden="1">
      <c r="A227" s="202" t="s">
        <v>2695</v>
      </c>
      <c r="B227" s="202" t="s">
        <v>2696</v>
      </c>
      <c r="C227" s="231" t="s">
        <v>2523</v>
      </c>
      <c r="D227" s="202" t="s">
        <v>1182</v>
      </c>
      <c r="E227" s="232">
        <v>2.0</v>
      </c>
      <c r="F227" s="233"/>
      <c r="G227" s="232">
        <v>47.0</v>
      </c>
      <c r="H227" s="232">
        <v>4.0</v>
      </c>
      <c r="I227" s="232">
        <v>51.0</v>
      </c>
      <c r="J227" s="234">
        <v>0.92</v>
      </c>
      <c r="K227" s="202" t="s">
        <v>2550</v>
      </c>
      <c r="L227" s="202">
        <v>5.307991254E9</v>
      </c>
      <c r="M227" s="202" t="s">
        <v>2697</v>
      </c>
      <c r="N227" s="202" t="s">
        <v>2698</v>
      </c>
      <c r="O227" s="202" t="s">
        <v>2699</v>
      </c>
      <c r="P227" s="202" t="s">
        <v>2531</v>
      </c>
      <c r="Q227" s="235">
        <f>COUNTIF('Hedef Liste'!A:A,A227)</f>
        <v>0</v>
      </c>
    </row>
    <row r="228" hidden="1">
      <c r="A228" s="202" t="s">
        <v>1825</v>
      </c>
      <c r="B228" s="202" t="s">
        <v>1826</v>
      </c>
      <c r="C228" s="231" t="s">
        <v>2523</v>
      </c>
      <c r="D228" s="202" t="s">
        <v>1226</v>
      </c>
      <c r="E228" s="232">
        <v>265.0</v>
      </c>
      <c r="F228" s="233"/>
      <c r="G228" s="232">
        <v>0.0</v>
      </c>
      <c r="H228" s="232">
        <v>14.0</v>
      </c>
      <c r="I228" s="232">
        <v>14.0</v>
      </c>
      <c r="J228" s="234">
        <v>0.0</v>
      </c>
      <c r="K228" s="202" t="s">
        <v>1827</v>
      </c>
      <c r="L228" s="202">
        <v>5.442757601E9</v>
      </c>
      <c r="M228" s="202" t="s">
        <v>1147</v>
      </c>
      <c r="N228" s="202" t="s">
        <v>1362</v>
      </c>
      <c r="O228" s="202" t="s">
        <v>1828</v>
      </c>
      <c r="P228" s="202" t="s">
        <v>2522</v>
      </c>
      <c r="Q228" s="235">
        <f>COUNTIF('Hedef Liste'!A:A,A228)</f>
        <v>1</v>
      </c>
    </row>
    <row r="229" hidden="1">
      <c r="A229" s="202" t="s">
        <v>146</v>
      </c>
      <c r="B229" s="202" t="s">
        <v>1426</v>
      </c>
      <c r="C229" s="231" t="s">
        <v>2523</v>
      </c>
      <c r="D229" s="202" t="s">
        <v>1226</v>
      </c>
      <c r="E229" s="232">
        <v>1324.0</v>
      </c>
      <c r="F229" s="232">
        <v>9.0</v>
      </c>
      <c r="G229" s="232">
        <v>10.0</v>
      </c>
      <c r="H229" s="232">
        <v>5.0</v>
      </c>
      <c r="I229" s="232">
        <v>15.0</v>
      </c>
      <c r="J229" s="234">
        <v>0.67</v>
      </c>
      <c r="K229" s="202" t="s">
        <v>1427</v>
      </c>
      <c r="L229" s="202">
        <v>5.321762554E9</v>
      </c>
      <c r="M229" s="202" t="s">
        <v>1172</v>
      </c>
      <c r="N229" s="202" t="s">
        <v>2566</v>
      </c>
      <c r="O229" s="202" t="s">
        <v>1428</v>
      </c>
      <c r="P229" s="202" t="s">
        <v>2522</v>
      </c>
      <c r="Q229" s="235">
        <f>COUNTIF('Hedef Liste'!A:A,A229)</f>
        <v>1</v>
      </c>
    </row>
    <row r="230" hidden="1">
      <c r="A230" s="202" t="s">
        <v>332</v>
      </c>
      <c r="B230" s="202" t="s">
        <v>333</v>
      </c>
      <c r="C230" s="231" t="s">
        <v>2523</v>
      </c>
      <c r="D230" s="202" t="s">
        <v>1341</v>
      </c>
      <c r="E230" s="232">
        <v>367.0</v>
      </c>
      <c r="F230" s="233"/>
      <c r="G230" s="232">
        <v>10.0</v>
      </c>
      <c r="H230" s="232">
        <v>3.0</v>
      </c>
      <c r="I230" s="232">
        <v>13.0</v>
      </c>
      <c r="J230" s="234">
        <v>0.77</v>
      </c>
      <c r="K230" s="202" t="s">
        <v>1472</v>
      </c>
      <c r="L230" s="202">
        <v>5.382733854E9</v>
      </c>
      <c r="M230" s="202" t="s">
        <v>1172</v>
      </c>
      <c r="N230" s="202" t="s">
        <v>1336</v>
      </c>
      <c r="O230" s="202" t="s">
        <v>336</v>
      </c>
      <c r="P230" s="202" t="s">
        <v>2522</v>
      </c>
      <c r="Q230" s="235">
        <f>COUNTIF('Hedef Liste'!A:A,A230)</f>
        <v>1</v>
      </c>
    </row>
    <row r="231" hidden="1">
      <c r="A231" s="202" t="s">
        <v>1722</v>
      </c>
      <c r="B231" s="202" t="s">
        <v>2700</v>
      </c>
      <c r="C231" s="231" t="s">
        <v>2523</v>
      </c>
      <c r="D231" s="202" t="s">
        <v>1188</v>
      </c>
      <c r="E231" s="232">
        <v>1256.0</v>
      </c>
      <c r="F231" s="232">
        <v>16.0</v>
      </c>
      <c r="G231" s="232">
        <v>5.0</v>
      </c>
      <c r="H231" s="232">
        <v>8.0</v>
      </c>
      <c r="I231" s="232">
        <v>13.0</v>
      </c>
      <c r="J231" s="234">
        <v>0.38</v>
      </c>
      <c r="K231" s="202" t="s">
        <v>1724</v>
      </c>
      <c r="L231" s="202">
        <v>5.355682787E9</v>
      </c>
      <c r="M231" s="202" t="s">
        <v>1172</v>
      </c>
      <c r="N231" s="202" t="s">
        <v>1190</v>
      </c>
      <c r="O231" s="202" t="s">
        <v>1725</v>
      </c>
      <c r="P231" s="202" t="s">
        <v>2522</v>
      </c>
      <c r="Q231" s="235">
        <f>COUNTIF('Hedef Liste'!A:A,A231)</f>
        <v>1</v>
      </c>
    </row>
    <row r="232" hidden="1">
      <c r="A232" s="202" t="s">
        <v>822</v>
      </c>
      <c r="B232" s="202" t="s">
        <v>823</v>
      </c>
      <c r="C232" s="231" t="s">
        <v>2521</v>
      </c>
      <c r="D232" s="202" t="s">
        <v>1155</v>
      </c>
      <c r="E232" s="232">
        <v>8.0</v>
      </c>
      <c r="F232" s="233"/>
      <c r="G232" s="232">
        <v>5.0</v>
      </c>
      <c r="H232" s="232">
        <v>5.0</v>
      </c>
      <c r="I232" s="232">
        <v>10.0</v>
      </c>
      <c r="J232" s="234">
        <v>0.5</v>
      </c>
      <c r="K232" s="202" t="s">
        <v>2041</v>
      </c>
      <c r="L232" s="202">
        <v>5.435414648E9</v>
      </c>
      <c r="M232" s="202" t="s">
        <v>1172</v>
      </c>
      <c r="N232" s="202" t="s">
        <v>1386</v>
      </c>
      <c r="O232" s="202" t="s">
        <v>826</v>
      </c>
      <c r="P232" s="202" t="s">
        <v>2522</v>
      </c>
      <c r="Q232" s="235">
        <f>COUNTIF('Hedef Liste'!A:A,A232)</f>
        <v>1</v>
      </c>
    </row>
    <row r="233" hidden="1">
      <c r="A233" s="202" t="s">
        <v>396</v>
      </c>
      <c r="B233" s="202" t="s">
        <v>397</v>
      </c>
      <c r="C233" s="231" t="s">
        <v>2521</v>
      </c>
      <c r="D233" s="202" t="s">
        <v>1235</v>
      </c>
      <c r="E233" s="232">
        <v>1588.0</v>
      </c>
      <c r="F233" s="233"/>
      <c r="G233" s="232">
        <v>15.0</v>
      </c>
      <c r="H233" s="232">
        <v>21.0</v>
      </c>
      <c r="I233" s="232">
        <v>36.0</v>
      </c>
      <c r="J233" s="234">
        <v>0.42</v>
      </c>
      <c r="K233" s="202" t="s">
        <v>1947</v>
      </c>
      <c r="L233" s="202">
        <v>5.415310531E9</v>
      </c>
      <c r="M233" s="202" t="s">
        <v>1172</v>
      </c>
      <c r="N233" s="202" t="s">
        <v>1228</v>
      </c>
      <c r="O233" s="202" t="s">
        <v>400</v>
      </c>
      <c r="P233" s="202" t="s">
        <v>2522</v>
      </c>
      <c r="Q233" s="235">
        <f>COUNTIF('Hedef Liste'!A:A,A233)</f>
        <v>1</v>
      </c>
    </row>
    <row r="234" hidden="1">
      <c r="A234" s="202" t="s">
        <v>1620</v>
      </c>
      <c r="B234" s="202" t="s">
        <v>1621</v>
      </c>
      <c r="C234" s="231" t="s">
        <v>2521</v>
      </c>
      <c r="D234" s="202" t="s">
        <v>1182</v>
      </c>
      <c r="E234" s="232">
        <v>797.0</v>
      </c>
      <c r="F234" s="233"/>
      <c r="G234" s="232">
        <v>8.0</v>
      </c>
      <c r="H234" s="232">
        <v>6.0</v>
      </c>
      <c r="I234" s="232">
        <v>14.0</v>
      </c>
      <c r="J234" s="234">
        <v>0.57</v>
      </c>
      <c r="K234" s="202" t="s">
        <v>1622</v>
      </c>
      <c r="L234" s="202">
        <v>5.34606112E9</v>
      </c>
      <c r="M234" s="202" t="s">
        <v>1147</v>
      </c>
      <c r="N234" s="202" t="s">
        <v>1164</v>
      </c>
      <c r="O234" s="202" t="s">
        <v>1623</v>
      </c>
      <c r="P234" s="202" t="s">
        <v>2522</v>
      </c>
      <c r="Q234" s="235">
        <f>COUNTIF('Hedef Liste'!A:A,A234)</f>
        <v>1</v>
      </c>
    </row>
    <row r="235" hidden="1">
      <c r="A235" s="202" t="s">
        <v>629</v>
      </c>
      <c r="B235" s="202" t="s">
        <v>630</v>
      </c>
      <c r="C235" s="231" t="s">
        <v>2523</v>
      </c>
      <c r="D235" s="202" t="s">
        <v>1188</v>
      </c>
      <c r="E235" s="232">
        <v>16.0</v>
      </c>
      <c r="F235" s="233"/>
      <c r="G235" s="232">
        <v>4.0</v>
      </c>
      <c r="H235" s="232">
        <v>7.0</v>
      </c>
      <c r="I235" s="232">
        <v>11.0</v>
      </c>
      <c r="J235" s="234">
        <v>0.36</v>
      </c>
      <c r="K235" s="202" t="s">
        <v>1540</v>
      </c>
      <c r="L235" s="202">
        <v>5.077891251E9</v>
      </c>
      <c r="M235" s="202" t="s">
        <v>1172</v>
      </c>
      <c r="N235" s="202" t="s">
        <v>1190</v>
      </c>
      <c r="O235" s="202" t="s">
        <v>752</v>
      </c>
      <c r="P235" s="202" t="s">
        <v>2522</v>
      </c>
      <c r="Q235" s="235">
        <f>COUNTIF('Hedef Liste'!A:A,A235)</f>
        <v>1</v>
      </c>
    </row>
    <row r="236" hidden="1">
      <c r="A236" s="202" t="s">
        <v>271</v>
      </c>
      <c r="B236" s="202" t="s">
        <v>272</v>
      </c>
      <c r="C236" s="231" t="s">
        <v>2523</v>
      </c>
      <c r="D236" s="202" t="s">
        <v>1341</v>
      </c>
      <c r="E236" s="232">
        <v>471.0</v>
      </c>
      <c r="F236" s="232">
        <v>47.0</v>
      </c>
      <c r="G236" s="232">
        <v>16.0</v>
      </c>
      <c r="H236" s="232">
        <v>26.0</v>
      </c>
      <c r="I236" s="232">
        <v>42.0</v>
      </c>
      <c r="J236" s="234">
        <v>0.38</v>
      </c>
      <c r="K236" s="202" t="s">
        <v>2375</v>
      </c>
      <c r="L236" s="202">
        <v>5.444709254E9</v>
      </c>
      <c r="M236" s="202" t="s">
        <v>1172</v>
      </c>
      <c r="N236" s="202" t="s">
        <v>1173</v>
      </c>
      <c r="O236" s="202" t="s">
        <v>275</v>
      </c>
      <c r="P236" s="202" t="s">
        <v>2522</v>
      </c>
      <c r="Q236" s="235">
        <f>COUNTIF('Hedef Liste'!A:A,A236)</f>
        <v>1</v>
      </c>
    </row>
    <row r="237" hidden="1">
      <c r="A237" s="202" t="s">
        <v>1780</v>
      </c>
      <c r="B237" s="202" t="s">
        <v>1781</v>
      </c>
      <c r="C237" s="231" t="s">
        <v>2521</v>
      </c>
      <c r="D237" s="202" t="s">
        <v>1341</v>
      </c>
      <c r="E237" s="232">
        <v>16.0</v>
      </c>
      <c r="F237" s="233"/>
      <c r="G237" s="232">
        <v>0.0</v>
      </c>
      <c r="H237" s="232">
        <v>14.0</v>
      </c>
      <c r="I237" s="232">
        <v>14.0</v>
      </c>
      <c r="J237" s="234">
        <v>0.0</v>
      </c>
      <c r="K237" s="202" t="s">
        <v>1782</v>
      </c>
      <c r="L237" s="202">
        <v>5.326965145E9</v>
      </c>
      <c r="M237" s="202" t="s">
        <v>1147</v>
      </c>
      <c r="N237" s="202" t="s">
        <v>1352</v>
      </c>
      <c r="O237" s="202" t="s">
        <v>1783</v>
      </c>
      <c r="P237" s="202" t="s">
        <v>2522</v>
      </c>
      <c r="Q237" s="235">
        <f>COUNTIF('Hedef Liste'!A:A,A237)</f>
        <v>1</v>
      </c>
    </row>
    <row r="238" hidden="1">
      <c r="A238" s="202" t="s">
        <v>124</v>
      </c>
      <c r="B238" s="202" t="s">
        <v>125</v>
      </c>
      <c r="C238" s="231" t="s">
        <v>2523</v>
      </c>
      <c r="D238" s="202" t="s">
        <v>1155</v>
      </c>
      <c r="E238" s="232">
        <v>1740.0</v>
      </c>
      <c r="F238" s="232">
        <v>90.0</v>
      </c>
      <c r="G238" s="232">
        <v>9.0</v>
      </c>
      <c r="H238" s="232">
        <v>36.0</v>
      </c>
      <c r="I238" s="232">
        <v>45.0</v>
      </c>
      <c r="J238" s="234">
        <v>0.2</v>
      </c>
      <c r="K238" s="202" t="s">
        <v>2467</v>
      </c>
      <c r="L238" s="202">
        <v>5.439206234E9</v>
      </c>
      <c r="M238" s="202" t="s">
        <v>1147</v>
      </c>
      <c r="N238" s="202" t="s">
        <v>1148</v>
      </c>
      <c r="O238" s="202" t="s">
        <v>128</v>
      </c>
      <c r="P238" s="202" t="s">
        <v>2522</v>
      </c>
      <c r="Q238" s="235">
        <f>COUNTIF('Hedef Liste'!A:A,A238)</f>
        <v>1</v>
      </c>
    </row>
    <row r="239" hidden="1">
      <c r="A239" s="202" t="s">
        <v>433</v>
      </c>
      <c r="B239" s="202" t="s">
        <v>434</v>
      </c>
      <c r="C239" s="231" t="s">
        <v>2523</v>
      </c>
      <c r="D239" s="202" t="s">
        <v>1316</v>
      </c>
      <c r="E239" s="232">
        <v>79.0</v>
      </c>
      <c r="F239" s="233"/>
      <c r="G239" s="232">
        <v>0.0</v>
      </c>
      <c r="H239" s="232">
        <v>10.0</v>
      </c>
      <c r="I239" s="232">
        <v>10.0</v>
      </c>
      <c r="J239" s="234">
        <v>0.0</v>
      </c>
      <c r="K239" s="202" t="s">
        <v>2290</v>
      </c>
      <c r="L239" s="202">
        <v>5.322140537E9</v>
      </c>
      <c r="M239" s="202" t="s">
        <v>1318</v>
      </c>
      <c r="N239" s="202" t="s">
        <v>2150</v>
      </c>
      <c r="O239" s="202" t="s">
        <v>437</v>
      </c>
      <c r="P239" s="202" t="s">
        <v>2522</v>
      </c>
      <c r="Q239" s="235">
        <f>COUNTIF('Hedef Liste'!A:A,A239)</f>
        <v>1</v>
      </c>
    </row>
    <row r="240" hidden="1">
      <c r="A240" s="202" t="s">
        <v>1239</v>
      </c>
      <c r="B240" s="202" t="s">
        <v>1240</v>
      </c>
      <c r="C240" s="231" t="s">
        <v>2523</v>
      </c>
      <c r="D240" s="202" t="s">
        <v>1170</v>
      </c>
      <c r="E240" s="232">
        <v>565.0</v>
      </c>
      <c r="F240" s="233"/>
      <c r="G240" s="232">
        <v>1.0</v>
      </c>
      <c r="H240" s="232">
        <v>18.0</v>
      </c>
      <c r="I240" s="232">
        <v>19.0</v>
      </c>
      <c r="J240" s="234">
        <v>0.05</v>
      </c>
      <c r="K240" s="202" t="s">
        <v>2701</v>
      </c>
      <c r="L240" s="202">
        <v>5.434705404E9</v>
      </c>
      <c r="M240" s="202" t="s">
        <v>1242</v>
      </c>
      <c r="N240" s="202" t="s">
        <v>1243</v>
      </c>
      <c r="O240" s="202" t="s">
        <v>1244</v>
      </c>
      <c r="P240" s="202" t="s">
        <v>2522</v>
      </c>
      <c r="Q240" s="235">
        <f>COUNTIF('Hedef Liste'!A:A,A240)</f>
        <v>1</v>
      </c>
    </row>
    <row r="241" hidden="1">
      <c r="A241" s="202" t="s">
        <v>581</v>
      </c>
      <c r="B241" s="202" t="s">
        <v>582</v>
      </c>
      <c r="C241" s="231" t="s">
        <v>2523</v>
      </c>
      <c r="D241" s="202" t="s">
        <v>1162</v>
      </c>
      <c r="E241" s="232">
        <v>916.0</v>
      </c>
      <c r="F241" s="233"/>
      <c r="G241" s="232">
        <v>14.0</v>
      </c>
      <c r="H241" s="232">
        <v>47.0</v>
      </c>
      <c r="I241" s="232">
        <v>61.0</v>
      </c>
      <c r="J241" s="234">
        <v>0.23</v>
      </c>
      <c r="K241" s="202" t="s">
        <v>2429</v>
      </c>
      <c r="L241" s="202">
        <v>5.414025733E9</v>
      </c>
      <c r="M241" s="202" t="s">
        <v>1172</v>
      </c>
      <c r="N241" s="202" t="s">
        <v>1379</v>
      </c>
      <c r="O241" s="202" t="s">
        <v>584</v>
      </c>
      <c r="P241" s="202" t="s">
        <v>2522</v>
      </c>
      <c r="Q241" s="235">
        <f>COUNTIF('Hedef Liste'!A:A,A241)</f>
        <v>1</v>
      </c>
    </row>
    <row r="242" hidden="1">
      <c r="A242" s="202" t="s">
        <v>1628</v>
      </c>
      <c r="B242" s="202" t="s">
        <v>1629</v>
      </c>
      <c r="C242" s="231" t="s">
        <v>2521</v>
      </c>
      <c r="D242" s="202" t="s">
        <v>1182</v>
      </c>
      <c r="E242" s="232">
        <v>204.0</v>
      </c>
      <c r="F242" s="233"/>
      <c r="G242" s="232">
        <v>6.0</v>
      </c>
      <c r="H242" s="232">
        <v>2.0</v>
      </c>
      <c r="I242" s="232">
        <v>8.0</v>
      </c>
      <c r="J242" s="234">
        <v>0.75</v>
      </c>
      <c r="K242" s="202" t="s">
        <v>1630</v>
      </c>
      <c r="L242" s="202">
        <v>5.399342723E9</v>
      </c>
      <c r="M242" s="202" t="s">
        <v>1177</v>
      </c>
      <c r="N242" s="202" t="s">
        <v>1607</v>
      </c>
      <c r="O242" s="202" t="s">
        <v>117</v>
      </c>
      <c r="P242" s="202" t="s">
        <v>2522</v>
      </c>
      <c r="Q242" s="235">
        <f>COUNTIF('Hedef Liste'!A:A,A242)</f>
        <v>1</v>
      </c>
    </row>
    <row r="243" hidden="1">
      <c r="A243" s="202" t="s">
        <v>1613</v>
      </c>
      <c r="B243" s="202" t="s">
        <v>1614</v>
      </c>
      <c r="C243" s="231" t="s">
        <v>2523</v>
      </c>
      <c r="D243" s="202" t="s">
        <v>1182</v>
      </c>
      <c r="E243" s="232">
        <v>5.0</v>
      </c>
      <c r="F243" s="233"/>
      <c r="G243" s="232">
        <v>6.0</v>
      </c>
      <c r="H243" s="232">
        <v>1.0</v>
      </c>
      <c r="I243" s="232">
        <v>7.0</v>
      </c>
      <c r="J243" s="234">
        <v>0.86</v>
      </c>
      <c r="K243" s="202" t="s">
        <v>1615</v>
      </c>
      <c r="L243" s="202">
        <v>5.372643754E9</v>
      </c>
      <c r="M243" s="202" t="s">
        <v>1147</v>
      </c>
      <c r="N243" s="202" t="s">
        <v>2614</v>
      </c>
      <c r="O243" s="202" t="s">
        <v>309</v>
      </c>
      <c r="P243" s="202" t="s">
        <v>2522</v>
      </c>
      <c r="Q243" s="235">
        <f>COUNTIF('Hedef Liste'!A:A,A243)</f>
        <v>1</v>
      </c>
    </row>
    <row r="244" hidden="1">
      <c r="A244" s="202" t="s">
        <v>756</v>
      </c>
      <c r="B244" s="202" t="s">
        <v>757</v>
      </c>
      <c r="C244" s="231" t="s">
        <v>2523</v>
      </c>
      <c r="D244" s="202" t="s">
        <v>1188</v>
      </c>
      <c r="E244" s="232">
        <v>128.0</v>
      </c>
      <c r="F244" s="233"/>
      <c r="G244" s="232">
        <v>8.0</v>
      </c>
      <c r="H244" s="232">
        <v>7.0</v>
      </c>
      <c r="I244" s="232">
        <v>15.0</v>
      </c>
      <c r="J244" s="234">
        <v>0.53</v>
      </c>
      <c r="K244" s="202" t="s">
        <v>1429</v>
      </c>
      <c r="L244" s="202">
        <v>5.419192026E9</v>
      </c>
      <c r="M244" s="202" t="s">
        <v>1172</v>
      </c>
      <c r="N244" s="202" t="s">
        <v>1196</v>
      </c>
      <c r="O244" s="202" t="s">
        <v>759</v>
      </c>
      <c r="P244" s="202" t="s">
        <v>2522</v>
      </c>
      <c r="Q244" s="235">
        <f>COUNTIF('Hedef Liste'!A:A,A244)</f>
        <v>1</v>
      </c>
    </row>
    <row r="245" hidden="1">
      <c r="A245" s="202" t="s">
        <v>1888</v>
      </c>
      <c r="B245" s="202" t="s">
        <v>1889</v>
      </c>
      <c r="C245" s="231" t="s">
        <v>2523</v>
      </c>
      <c r="D245" s="202" t="s">
        <v>1226</v>
      </c>
      <c r="E245" s="232">
        <v>4328.0</v>
      </c>
      <c r="F245" s="232">
        <v>162.0</v>
      </c>
      <c r="G245" s="232">
        <v>21.0</v>
      </c>
      <c r="H245" s="232">
        <v>19.0</v>
      </c>
      <c r="I245" s="232">
        <v>40.0</v>
      </c>
      <c r="J245" s="234">
        <v>0.53</v>
      </c>
      <c r="K245" s="202" t="s">
        <v>1885</v>
      </c>
      <c r="L245" s="202">
        <v>2.642745427E9</v>
      </c>
      <c r="M245" s="202" t="s">
        <v>1147</v>
      </c>
      <c r="N245" s="202" t="s">
        <v>1164</v>
      </c>
      <c r="O245" s="202" t="s">
        <v>1890</v>
      </c>
      <c r="P245" s="202" t="s">
        <v>2522</v>
      </c>
      <c r="Q245" s="235">
        <f>COUNTIF('Hedef Liste'!A:A,A245)</f>
        <v>1</v>
      </c>
    </row>
    <row r="246" hidden="1">
      <c r="A246" s="202" t="s">
        <v>2158</v>
      </c>
      <c r="B246" s="202" t="s">
        <v>2159</v>
      </c>
      <c r="C246" s="231" t="s">
        <v>2523</v>
      </c>
      <c r="D246" s="202" t="s">
        <v>1188</v>
      </c>
      <c r="E246" s="232">
        <v>4214.0</v>
      </c>
      <c r="F246" s="232">
        <v>40.0</v>
      </c>
      <c r="G246" s="232">
        <v>0.0</v>
      </c>
      <c r="H246" s="232">
        <v>8.0</v>
      </c>
      <c r="I246" s="232">
        <v>8.0</v>
      </c>
      <c r="J246" s="234">
        <v>0.0</v>
      </c>
      <c r="K246" s="202" t="s">
        <v>2160</v>
      </c>
      <c r="L246" s="202">
        <v>2.642816628E9</v>
      </c>
      <c r="M246" s="202" t="s">
        <v>1172</v>
      </c>
      <c r="N246" s="202" t="s">
        <v>1379</v>
      </c>
      <c r="O246" s="202" t="s">
        <v>2161</v>
      </c>
      <c r="P246" s="202" t="s">
        <v>2531</v>
      </c>
      <c r="Q246" s="235">
        <f>COUNTIF('Hedef Liste'!A:A,A246)</f>
        <v>1</v>
      </c>
    </row>
    <row r="247" hidden="1">
      <c r="A247" s="202" t="s">
        <v>569</v>
      </c>
      <c r="B247" s="202" t="s">
        <v>570</v>
      </c>
      <c r="C247" s="231" t="s">
        <v>2523</v>
      </c>
      <c r="D247" s="202" t="s">
        <v>1302</v>
      </c>
      <c r="E247" s="232">
        <v>179.0</v>
      </c>
      <c r="F247" s="233"/>
      <c r="G247" s="232">
        <v>1.0</v>
      </c>
      <c r="H247" s="232">
        <v>5.0</v>
      </c>
      <c r="I247" s="232">
        <v>6.0</v>
      </c>
      <c r="J247" s="234">
        <v>0.17</v>
      </c>
      <c r="K247" s="202" t="s">
        <v>1558</v>
      </c>
      <c r="L247" s="202">
        <v>5.468703094E9</v>
      </c>
      <c r="M247" s="202" t="s">
        <v>1147</v>
      </c>
      <c r="N247" s="202" t="s">
        <v>1164</v>
      </c>
      <c r="O247" s="202" t="s">
        <v>568</v>
      </c>
      <c r="P247" s="202" t="s">
        <v>2522</v>
      </c>
      <c r="Q247" s="235">
        <f>COUNTIF('Hedef Liste'!A:A,A247)</f>
        <v>1</v>
      </c>
    </row>
    <row r="248" hidden="1">
      <c r="A248" s="202" t="s">
        <v>1916</v>
      </c>
      <c r="B248" s="202" t="s">
        <v>1917</v>
      </c>
      <c r="C248" s="231" t="s">
        <v>2523</v>
      </c>
      <c r="D248" s="202" t="s">
        <v>1170</v>
      </c>
      <c r="E248" s="232">
        <v>651.0</v>
      </c>
      <c r="F248" s="232">
        <v>16.0</v>
      </c>
      <c r="G248" s="232">
        <v>0.0</v>
      </c>
      <c r="H248" s="232">
        <v>28.0</v>
      </c>
      <c r="I248" s="232">
        <v>28.0</v>
      </c>
      <c r="J248" s="234">
        <v>0.0</v>
      </c>
      <c r="K248" s="202" t="s">
        <v>2702</v>
      </c>
      <c r="L248" s="202">
        <v>5.442267778E9</v>
      </c>
      <c r="M248" s="202" t="s">
        <v>1172</v>
      </c>
      <c r="N248" s="202" t="s">
        <v>1261</v>
      </c>
      <c r="O248" s="202" t="s">
        <v>1919</v>
      </c>
      <c r="P248" s="202" t="s">
        <v>2522</v>
      </c>
      <c r="Q248" s="235">
        <f>COUNTIF('Hedef Liste'!A:A,A248)</f>
        <v>1</v>
      </c>
    </row>
    <row r="249" hidden="1">
      <c r="A249" s="202" t="s">
        <v>2703</v>
      </c>
      <c r="B249" s="202" t="s">
        <v>2704</v>
      </c>
      <c r="C249" s="231" t="s">
        <v>2523</v>
      </c>
      <c r="D249" s="202" t="s">
        <v>1235</v>
      </c>
      <c r="E249" s="232">
        <v>5665.0</v>
      </c>
      <c r="F249" s="232">
        <v>182.0</v>
      </c>
      <c r="G249" s="232">
        <v>85.0</v>
      </c>
      <c r="H249" s="232">
        <v>1.0</v>
      </c>
      <c r="I249" s="232">
        <v>86.0</v>
      </c>
      <c r="J249" s="234">
        <v>0.99</v>
      </c>
      <c r="K249" s="202" t="s">
        <v>2705</v>
      </c>
      <c r="L249" s="202">
        <v>1.111111111E9</v>
      </c>
      <c r="M249" s="202" t="s">
        <v>1147</v>
      </c>
      <c r="N249" s="202" t="s">
        <v>1148</v>
      </c>
      <c r="O249" s="202" t="s">
        <v>2706</v>
      </c>
      <c r="P249" s="202" t="s">
        <v>2531</v>
      </c>
      <c r="Q249" s="235">
        <f>COUNTIF('Hedef Liste'!A:A,A249)</f>
        <v>0</v>
      </c>
    </row>
    <row r="250" hidden="1">
      <c r="A250" s="202" t="s">
        <v>794</v>
      </c>
      <c r="B250" s="202" t="s">
        <v>795</v>
      </c>
      <c r="C250" s="231" t="s">
        <v>2523</v>
      </c>
      <c r="D250" s="202" t="s">
        <v>1182</v>
      </c>
      <c r="E250" s="232">
        <v>147.0</v>
      </c>
      <c r="F250" s="233"/>
      <c r="G250" s="232">
        <v>1.0</v>
      </c>
      <c r="H250" s="232">
        <v>7.0</v>
      </c>
      <c r="I250" s="232">
        <v>8.0</v>
      </c>
      <c r="J250" s="234">
        <v>0.13</v>
      </c>
      <c r="K250" s="202" t="s">
        <v>1624</v>
      </c>
      <c r="L250" s="202">
        <v>5.377807454E9</v>
      </c>
      <c r="M250" s="202" t="s">
        <v>1172</v>
      </c>
      <c r="N250" s="202" t="s">
        <v>1300</v>
      </c>
      <c r="O250" s="202" t="s">
        <v>797</v>
      </c>
      <c r="P250" s="202" t="s">
        <v>2522</v>
      </c>
      <c r="Q250" s="235">
        <f>COUNTIF('Hedef Liste'!A:A,A250)</f>
        <v>1</v>
      </c>
    </row>
    <row r="251" hidden="1">
      <c r="A251" s="202" t="s">
        <v>290</v>
      </c>
      <c r="B251" s="202" t="s">
        <v>291</v>
      </c>
      <c r="C251" s="231" t="s">
        <v>2523</v>
      </c>
      <c r="D251" s="202" t="s">
        <v>1145</v>
      </c>
      <c r="E251" s="232">
        <v>795.0</v>
      </c>
      <c r="F251" s="233"/>
      <c r="G251" s="232">
        <v>4.0</v>
      </c>
      <c r="H251" s="232">
        <v>16.0</v>
      </c>
      <c r="I251" s="232">
        <v>20.0</v>
      </c>
      <c r="J251" s="234">
        <v>0.2</v>
      </c>
      <c r="K251" s="202" t="s">
        <v>1619</v>
      </c>
      <c r="L251" s="202">
        <v>5.452465454E9</v>
      </c>
      <c r="M251" s="202" t="s">
        <v>1147</v>
      </c>
      <c r="N251" s="202" t="s">
        <v>2557</v>
      </c>
      <c r="O251" s="202" t="s">
        <v>541</v>
      </c>
      <c r="P251" s="202" t="s">
        <v>2522</v>
      </c>
      <c r="Q251" s="235">
        <f>COUNTIF('Hedef Liste'!A:A,A251)</f>
        <v>1</v>
      </c>
    </row>
    <row r="252" hidden="1">
      <c r="A252" s="202" t="s">
        <v>1961</v>
      </c>
      <c r="B252" s="202" t="s">
        <v>2707</v>
      </c>
      <c r="C252" s="231" t="s">
        <v>2523</v>
      </c>
      <c r="D252" s="202" t="s">
        <v>1155</v>
      </c>
      <c r="E252" s="232">
        <v>3047.0</v>
      </c>
      <c r="F252" s="232">
        <v>75.0</v>
      </c>
      <c r="G252" s="232">
        <v>0.0</v>
      </c>
      <c r="H252" s="232">
        <v>18.0</v>
      </c>
      <c r="I252" s="232">
        <v>18.0</v>
      </c>
      <c r="J252" s="234">
        <v>0.0</v>
      </c>
      <c r="K252" s="202" t="s">
        <v>1963</v>
      </c>
      <c r="L252" s="202">
        <v>5.532144578E9</v>
      </c>
      <c r="M252" s="202" t="s">
        <v>1172</v>
      </c>
      <c r="N252" s="202" t="s">
        <v>1356</v>
      </c>
      <c r="O252" s="202" t="s">
        <v>1964</v>
      </c>
      <c r="P252" s="202" t="s">
        <v>2522</v>
      </c>
      <c r="Q252" s="235">
        <f>COUNTIF('Hedef Liste'!A:A,A252)</f>
        <v>1</v>
      </c>
    </row>
    <row r="253" hidden="1">
      <c r="A253" s="202" t="s">
        <v>1332</v>
      </c>
      <c r="B253" s="202" t="s">
        <v>1333</v>
      </c>
      <c r="C253" s="231" t="s">
        <v>2523</v>
      </c>
      <c r="D253" s="202" t="s">
        <v>1316</v>
      </c>
      <c r="E253" s="232">
        <v>201.0</v>
      </c>
      <c r="F253" s="233"/>
      <c r="G253" s="232">
        <v>0.0</v>
      </c>
      <c r="H253" s="232">
        <v>4.0</v>
      </c>
      <c r="I253" s="232">
        <v>4.0</v>
      </c>
      <c r="J253" s="234">
        <v>0.0</v>
      </c>
      <c r="K253" s="202" t="s">
        <v>1335</v>
      </c>
      <c r="L253" s="202">
        <v>5.356246554E9</v>
      </c>
      <c r="M253" s="202" t="s">
        <v>1172</v>
      </c>
      <c r="N253" s="202" t="s">
        <v>1336</v>
      </c>
      <c r="O253" s="202" t="s">
        <v>1337</v>
      </c>
      <c r="P253" s="202" t="s">
        <v>2522</v>
      </c>
      <c r="Q253" s="235">
        <f>COUNTIF('Hedef Liste'!A:A,A253)</f>
        <v>1</v>
      </c>
    </row>
    <row r="254" hidden="1">
      <c r="A254" s="202" t="s">
        <v>798</v>
      </c>
      <c r="B254" s="202" t="s">
        <v>799</v>
      </c>
      <c r="C254" s="231" t="s">
        <v>2523</v>
      </c>
      <c r="D254" s="202" t="s">
        <v>1182</v>
      </c>
      <c r="E254" s="232">
        <v>144.0</v>
      </c>
      <c r="F254" s="233"/>
      <c r="G254" s="232">
        <v>7.0</v>
      </c>
      <c r="H254" s="232">
        <v>9.0</v>
      </c>
      <c r="I254" s="232">
        <v>16.0</v>
      </c>
      <c r="J254" s="234">
        <v>0.44</v>
      </c>
      <c r="K254" s="202" t="s">
        <v>1624</v>
      </c>
      <c r="L254" s="202">
        <v>5.377807454E9</v>
      </c>
      <c r="M254" s="202" t="s">
        <v>1172</v>
      </c>
      <c r="N254" s="202" t="s">
        <v>1300</v>
      </c>
      <c r="O254" s="202" t="s">
        <v>2103</v>
      </c>
      <c r="P254" s="202" t="s">
        <v>2522</v>
      </c>
      <c r="Q254" s="235">
        <f>COUNTIF('Hedef Liste'!A:A,A254)</f>
        <v>1</v>
      </c>
    </row>
    <row r="255" hidden="1">
      <c r="A255" s="202" t="s">
        <v>702</v>
      </c>
      <c r="B255" s="202" t="s">
        <v>703</v>
      </c>
      <c r="C255" s="231" t="s">
        <v>2523</v>
      </c>
      <c r="D255" s="202" t="s">
        <v>1170</v>
      </c>
      <c r="E255" s="232">
        <v>388.0</v>
      </c>
      <c r="F255" s="232">
        <v>10.0</v>
      </c>
      <c r="G255" s="232">
        <v>0.0</v>
      </c>
      <c r="H255" s="232">
        <v>25.0</v>
      </c>
      <c r="I255" s="232">
        <v>25.0</v>
      </c>
      <c r="J255" s="234">
        <v>0.0</v>
      </c>
      <c r="K255" s="202" t="s">
        <v>2329</v>
      </c>
      <c r="L255" s="202">
        <v>5.51022525E9</v>
      </c>
      <c r="M255" s="202" t="s">
        <v>1147</v>
      </c>
      <c r="N255" s="202" t="s">
        <v>1164</v>
      </c>
      <c r="O255" s="202" t="s">
        <v>705</v>
      </c>
      <c r="P255" s="202" t="s">
        <v>2522</v>
      </c>
      <c r="Q255" s="235">
        <f>COUNTIF('Hedef Liste'!A:A,A255)</f>
        <v>1</v>
      </c>
    </row>
    <row r="256" hidden="1">
      <c r="A256" s="202" t="s">
        <v>495</v>
      </c>
      <c r="B256" s="202" t="s">
        <v>496</v>
      </c>
      <c r="C256" s="231" t="s">
        <v>2523</v>
      </c>
      <c r="D256" s="202" t="s">
        <v>1226</v>
      </c>
      <c r="E256" s="232">
        <v>758.0</v>
      </c>
      <c r="F256" s="232">
        <v>11.0</v>
      </c>
      <c r="G256" s="232">
        <v>15.0</v>
      </c>
      <c r="H256" s="232">
        <v>43.0</v>
      </c>
      <c r="I256" s="232">
        <v>58.0</v>
      </c>
      <c r="J256" s="234">
        <v>0.26</v>
      </c>
      <c r="K256" s="202" t="s">
        <v>1966</v>
      </c>
      <c r="L256" s="202">
        <v>5.339610532E9</v>
      </c>
      <c r="M256" s="202" t="s">
        <v>1177</v>
      </c>
      <c r="N256" s="202" t="s">
        <v>1184</v>
      </c>
      <c r="O256" s="202" t="s">
        <v>499</v>
      </c>
      <c r="P256" s="202" t="s">
        <v>2522</v>
      </c>
      <c r="Q256" s="235">
        <f>COUNTIF('Hedef Liste'!A:A,A256)</f>
        <v>1</v>
      </c>
    </row>
    <row r="257" hidden="1">
      <c r="A257" s="202" t="s">
        <v>2500</v>
      </c>
      <c r="B257" s="202" t="s">
        <v>2708</v>
      </c>
      <c r="C257" s="231" t="s">
        <v>2521</v>
      </c>
      <c r="D257" s="202" t="s">
        <v>1302</v>
      </c>
      <c r="E257" s="232">
        <v>672.0</v>
      </c>
      <c r="F257" s="233"/>
      <c r="G257" s="232">
        <v>0.0</v>
      </c>
      <c r="H257" s="232">
        <v>21.0</v>
      </c>
      <c r="I257" s="232">
        <v>21.0</v>
      </c>
      <c r="J257" s="234">
        <v>0.0</v>
      </c>
      <c r="K257" s="202" t="s">
        <v>2502</v>
      </c>
      <c r="L257" s="202">
        <v>5.383887342E9</v>
      </c>
      <c r="M257" s="202" t="s">
        <v>1147</v>
      </c>
      <c r="N257" s="202" t="s">
        <v>1164</v>
      </c>
      <c r="O257" s="202" t="s">
        <v>2503</v>
      </c>
      <c r="P257" s="202" t="s">
        <v>2522</v>
      </c>
      <c r="Q257" s="235">
        <f>COUNTIF('Hedef Liste'!A:A,A257)</f>
        <v>1</v>
      </c>
    </row>
    <row r="258" hidden="1">
      <c r="A258" s="202" t="s">
        <v>1438</v>
      </c>
      <c r="B258" s="202" t="s">
        <v>1439</v>
      </c>
      <c r="C258" s="231" t="s">
        <v>2521</v>
      </c>
      <c r="D258" s="202" t="s">
        <v>1302</v>
      </c>
      <c r="F258" s="233"/>
      <c r="G258" s="232">
        <v>0.0</v>
      </c>
      <c r="H258" s="232">
        <v>50.0</v>
      </c>
      <c r="I258" s="232">
        <v>50.0</v>
      </c>
      <c r="J258" s="234">
        <v>0.0</v>
      </c>
      <c r="K258" s="202" t="s">
        <v>1432</v>
      </c>
      <c r="L258" s="202">
        <v>5.314555888E9</v>
      </c>
      <c r="M258" s="202" t="s">
        <v>1172</v>
      </c>
      <c r="N258" s="202" t="s">
        <v>1300</v>
      </c>
      <c r="O258" s="202" t="s">
        <v>1440</v>
      </c>
      <c r="P258" s="202" t="s">
        <v>2522</v>
      </c>
      <c r="Q258" s="235">
        <f>COUNTIF('Hedef Liste'!A:A,A258)</f>
        <v>1</v>
      </c>
    </row>
    <row r="259" hidden="1">
      <c r="A259" s="202" t="s">
        <v>178</v>
      </c>
      <c r="B259" s="202" t="s">
        <v>179</v>
      </c>
      <c r="C259" s="231" t="s">
        <v>2523</v>
      </c>
      <c r="D259" s="202" t="s">
        <v>1311</v>
      </c>
      <c r="E259" s="232">
        <v>213.0</v>
      </c>
      <c r="F259" s="232">
        <v>29.0</v>
      </c>
      <c r="G259" s="232">
        <v>8.0</v>
      </c>
      <c r="H259" s="232">
        <v>24.0</v>
      </c>
      <c r="I259" s="232">
        <v>32.0</v>
      </c>
      <c r="J259" s="234">
        <v>0.25</v>
      </c>
      <c r="K259" s="202" t="s">
        <v>1669</v>
      </c>
      <c r="L259" s="202">
        <v>5.39312002E9</v>
      </c>
      <c r="M259" s="202" t="s">
        <v>1147</v>
      </c>
      <c r="N259" s="202" t="s">
        <v>1164</v>
      </c>
      <c r="O259" s="202" t="s">
        <v>182</v>
      </c>
      <c r="P259" s="202" t="s">
        <v>2522</v>
      </c>
      <c r="Q259" s="235">
        <f>COUNTIF('Hedef Liste'!A:A,A259)</f>
        <v>1</v>
      </c>
    </row>
    <row r="260" hidden="1">
      <c r="A260" s="202" t="s">
        <v>2400</v>
      </c>
      <c r="B260" s="202" t="s">
        <v>2401</v>
      </c>
      <c r="C260" s="231" t="s">
        <v>2523</v>
      </c>
      <c r="D260" s="202" t="s">
        <v>1216</v>
      </c>
      <c r="E260" s="232">
        <v>3579.0</v>
      </c>
      <c r="F260" s="232">
        <v>203.0</v>
      </c>
      <c r="G260" s="232">
        <v>0.0</v>
      </c>
      <c r="H260" s="232">
        <v>34.0</v>
      </c>
      <c r="I260" s="232">
        <v>34.0</v>
      </c>
      <c r="J260" s="234">
        <v>0.0</v>
      </c>
      <c r="K260" s="202" t="s">
        <v>2402</v>
      </c>
      <c r="L260" s="202">
        <v>5.377370054E9</v>
      </c>
      <c r="M260" s="202" t="s">
        <v>1172</v>
      </c>
      <c r="N260" s="202" t="s">
        <v>1190</v>
      </c>
      <c r="O260" s="202" t="s">
        <v>2403</v>
      </c>
      <c r="P260" s="202" t="s">
        <v>2522</v>
      </c>
      <c r="Q260" s="235">
        <f>COUNTIF('Hedef Liste'!A:A,A260)</f>
        <v>1</v>
      </c>
    </row>
    <row r="261" hidden="1">
      <c r="A261" s="202" t="s">
        <v>2709</v>
      </c>
      <c r="B261" s="202" t="s">
        <v>2710</v>
      </c>
      <c r="C261" s="231" t="s">
        <v>2523</v>
      </c>
      <c r="D261" s="202" t="s">
        <v>1182</v>
      </c>
      <c r="E261" s="232">
        <v>3186.0</v>
      </c>
      <c r="F261" s="232">
        <v>127.0</v>
      </c>
      <c r="G261" s="232">
        <v>100.0</v>
      </c>
      <c r="H261" s="232">
        <v>11.0</v>
      </c>
      <c r="I261" s="232">
        <v>111.0</v>
      </c>
      <c r="J261" s="234">
        <v>0.9</v>
      </c>
      <c r="K261" s="202" t="s">
        <v>2550</v>
      </c>
      <c r="L261" s="202">
        <v>5.524180304E9</v>
      </c>
      <c r="M261" s="202" t="s">
        <v>1177</v>
      </c>
      <c r="N261" s="202" t="s">
        <v>1177</v>
      </c>
      <c r="O261" s="202" t="s">
        <v>2711</v>
      </c>
      <c r="P261" s="202" t="s">
        <v>2531</v>
      </c>
      <c r="Q261" s="235">
        <f>COUNTIF('Hedef Liste'!A:A,A261)</f>
        <v>0</v>
      </c>
    </row>
    <row r="262" hidden="1">
      <c r="A262" s="202" t="s">
        <v>944</v>
      </c>
      <c r="B262" s="202" t="s">
        <v>945</v>
      </c>
      <c r="C262" s="231" t="s">
        <v>2521</v>
      </c>
      <c r="D262" s="202" t="s">
        <v>1188</v>
      </c>
      <c r="E262" s="232">
        <v>99.0</v>
      </c>
      <c r="F262" s="233"/>
      <c r="G262" s="232">
        <v>15.0</v>
      </c>
      <c r="H262" s="232">
        <v>10.0</v>
      </c>
      <c r="I262" s="232">
        <v>25.0</v>
      </c>
      <c r="J262" s="234">
        <v>0.6</v>
      </c>
      <c r="K262" s="202" t="s">
        <v>1972</v>
      </c>
      <c r="L262" s="202">
        <v>5.375433785E9</v>
      </c>
      <c r="M262" s="202" t="s">
        <v>1348</v>
      </c>
      <c r="N262" s="202" t="s">
        <v>1419</v>
      </c>
      <c r="O262" s="202" t="s">
        <v>947</v>
      </c>
      <c r="P262" s="202" t="s">
        <v>2522</v>
      </c>
      <c r="Q262" s="235">
        <f>COUNTIF('Hedef Liste'!A:A,A262)</f>
        <v>1</v>
      </c>
    </row>
    <row r="263" hidden="1">
      <c r="A263" s="202" t="s">
        <v>655</v>
      </c>
      <c r="B263" s="202" t="s">
        <v>656</v>
      </c>
      <c r="C263" s="231" t="s">
        <v>2523</v>
      </c>
      <c r="D263" s="202" t="s">
        <v>1170</v>
      </c>
      <c r="E263" s="232">
        <v>83.0</v>
      </c>
      <c r="F263" s="233"/>
      <c r="G263" s="232">
        <v>8.0</v>
      </c>
      <c r="H263" s="232">
        <v>2.0</v>
      </c>
      <c r="I263" s="232">
        <v>10.0</v>
      </c>
      <c r="J263" s="234">
        <v>0.8</v>
      </c>
      <c r="K263" s="202" t="s">
        <v>1810</v>
      </c>
      <c r="L263" s="202">
        <v>5.43773633E9</v>
      </c>
      <c r="M263" s="202" t="s">
        <v>1679</v>
      </c>
      <c r="N263" s="202" t="s">
        <v>1811</v>
      </c>
      <c r="O263" s="202" t="s">
        <v>1812</v>
      </c>
      <c r="P263" s="202" t="s">
        <v>2522</v>
      </c>
      <c r="Q263" s="235">
        <f>COUNTIF('Hedef Liste'!A:A,A263)</f>
        <v>1</v>
      </c>
    </row>
    <row r="264" hidden="1">
      <c r="A264" s="202" t="s">
        <v>119</v>
      </c>
      <c r="B264" s="202" t="s">
        <v>120</v>
      </c>
      <c r="C264" s="231" t="s">
        <v>2523</v>
      </c>
      <c r="D264" s="202" t="s">
        <v>1341</v>
      </c>
      <c r="E264" s="232">
        <v>439.0</v>
      </c>
      <c r="F264" s="233"/>
      <c r="G264" s="232">
        <v>5.0</v>
      </c>
      <c r="H264" s="232">
        <v>26.0</v>
      </c>
      <c r="I264" s="232">
        <v>31.0</v>
      </c>
      <c r="J264" s="234">
        <v>0.16</v>
      </c>
      <c r="K264" s="202" t="s">
        <v>2377</v>
      </c>
      <c r="L264" s="202">
        <v>5.373801343E9</v>
      </c>
      <c r="M264" s="202" t="s">
        <v>1147</v>
      </c>
      <c r="N264" s="202" t="s">
        <v>1148</v>
      </c>
      <c r="O264" s="202" t="s">
        <v>123</v>
      </c>
      <c r="P264" s="202" t="s">
        <v>2522</v>
      </c>
      <c r="Q264" s="235">
        <f>COUNTIF('Hedef Liste'!A:A,A264)</f>
        <v>1</v>
      </c>
    </row>
    <row r="265" hidden="1">
      <c r="A265" s="202" t="s">
        <v>2486</v>
      </c>
      <c r="B265" s="202" t="s">
        <v>2487</v>
      </c>
      <c r="C265" s="231" t="s">
        <v>2521</v>
      </c>
      <c r="D265" s="202" t="s">
        <v>1235</v>
      </c>
      <c r="E265" s="232">
        <v>34.0</v>
      </c>
      <c r="F265" s="233"/>
      <c r="G265" s="232">
        <v>0.0</v>
      </c>
      <c r="H265" s="232">
        <v>11.0</v>
      </c>
      <c r="I265" s="232">
        <v>11.0</v>
      </c>
      <c r="J265" s="234">
        <v>0.0</v>
      </c>
      <c r="K265" s="202" t="s">
        <v>2488</v>
      </c>
      <c r="L265" s="202">
        <v>5.434685454E9</v>
      </c>
      <c r="M265" s="202" t="s">
        <v>1172</v>
      </c>
      <c r="N265" s="202" t="s">
        <v>1433</v>
      </c>
      <c r="O265" s="202" t="s">
        <v>2489</v>
      </c>
      <c r="P265" s="202" t="s">
        <v>2522</v>
      </c>
      <c r="Q265" s="235">
        <f>COUNTIF('Hedef Liste'!A:A,A265)</f>
        <v>1</v>
      </c>
    </row>
    <row r="266" hidden="1">
      <c r="A266" s="202" t="s">
        <v>572</v>
      </c>
      <c r="B266" s="202" t="s">
        <v>2712</v>
      </c>
      <c r="C266" s="231" t="s">
        <v>2521</v>
      </c>
      <c r="D266" s="202" t="s">
        <v>1162</v>
      </c>
      <c r="E266" s="232">
        <v>42.0</v>
      </c>
      <c r="F266" s="233"/>
      <c r="G266" s="232">
        <v>8.0</v>
      </c>
      <c r="H266" s="232">
        <v>16.0</v>
      </c>
      <c r="I266" s="232">
        <v>24.0</v>
      </c>
      <c r="J266" s="234">
        <v>0.33</v>
      </c>
      <c r="K266" s="202" t="s">
        <v>1399</v>
      </c>
      <c r="L266" s="202">
        <v>5.309116493E9</v>
      </c>
      <c r="M266" s="202" t="s">
        <v>1172</v>
      </c>
      <c r="N266" s="202" t="s">
        <v>1173</v>
      </c>
      <c r="O266" s="202" t="s">
        <v>1400</v>
      </c>
      <c r="P266" s="202" t="s">
        <v>2522</v>
      </c>
      <c r="Q266" s="235">
        <f>COUNTIF('Hedef Liste'!A:A,A266)</f>
        <v>1</v>
      </c>
    </row>
    <row r="267" hidden="1">
      <c r="A267" s="202" t="s">
        <v>1279</v>
      </c>
      <c r="B267" s="202" t="s">
        <v>1280</v>
      </c>
      <c r="C267" s="231" t="s">
        <v>2523</v>
      </c>
      <c r="D267" s="202" t="s">
        <v>1281</v>
      </c>
      <c r="E267" s="232">
        <v>308.0</v>
      </c>
      <c r="F267" s="233"/>
      <c r="G267" s="232">
        <v>0.0</v>
      </c>
      <c r="H267" s="232">
        <v>45.0</v>
      </c>
      <c r="I267" s="232">
        <v>45.0</v>
      </c>
      <c r="J267" s="234">
        <v>0.0</v>
      </c>
      <c r="K267" s="202" t="s">
        <v>1282</v>
      </c>
      <c r="L267" s="202">
        <v>5.344117719E9</v>
      </c>
      <c r="M267" s="202" t="s">
        <v>1242</v>
      </c>
      <c r="N267" s="202" t="s">
        <v>1283</v>
      </c>
      <c r="O267" s="202" t="s">
        <v>1284</v>
      </c>
      <c r="P267" s="202" t="s">
        <v>2522</v>
      </c>
      <c r="Q267" s="235">
        <f>COUNTIF('Hedef Liste'!A:A,A267)</f>
        <v>1</v>
      </c>
    </row>
    <row r="268" hidden="1">
      <c r="A268" s="202" t="s">
        <v>2713</v>
      </c>
      <c r="B268" s="202" t="s">
        <v>2714</v>
      </c>
      <c r="C268" s="231" t="s">
        <v>2523</v>
      </c>
      <c r="D268" s="202" t="s">
        <v>2524</v>
      </c>
      <c r="E268" s="232">
        <v>201.0</v>
      </c>
      <c r="F268" s="232">
        <v>5.0</v>
      </c>
      <c r="G268" s="232">
        <v>140.0</v>
      </c>
      <c r="H268" s="232">
        <v>11.0</v>
      </c>
      <c r="I268" s="232">
        <v>151.0</v>
      </c>
      <c r="J268" s="234">
        <v>0.93</v>
      </c>
      <c r="K268" s="202" t="s">
        <v>2715</v>
      </c>
      <c r="L268" s="202">
        <v>5.45454804E9</v>
      </c>
      <c r="M268" s="202" t="s">
        <v>1172</v>
      </c>
      <c r="N268" s="202" t="s">
        <v>2716</v>
      </c>
      <c r="O268" s="202" t="s">
        <v>2717</v>
      </c>
      <c r="P268" s="202" t="s">
        <v>2531</v>
      </c>
      <c r="Q268" s="235">
        <f>COUNTIF('Hedef Liste'!A:A,A268)</f>
        <v>0</v>
      </c>
    </row>
    <row r="269" hidden="1">
      <c r="A269" s="202" t="s">
        <v>2212</v>
      </c>
      <c r="B269" s="202" t="s">
        <v>2213</v>
      </c>
      <c r="C269" s="231" t="s">
        <v>2523</v>
      </c>
      <c r="D269" s="202" t="s">
        <v>1226</v>
      </c>
      <c r="E269" s="232">
        <v>823.0</v>
      </c>
      <c r="F269" s="232">
        <v>71.0</v>
      </c>
      <c r="G269" s="232">
        <v>6.0</v>
      </c>
      <c r="H269" s="232">
        <v>18.0</v>
      </c>
      <c r="I269" s="232">
        <v>24.0</v>
      </c>
      <c r="J269" s="234">
        <v>0.25</v>
      </c>
      <c r="K269" s="202" t="s">
        <v>2214</v>
      </c>
      <c r="L269" s="202">
        <v>5.511510054E9</v>
      </c>
      <c r="M269" s="202" t="s">
        <v>1172</v>
      </c>
      <c r="N269" s="202" t="s">
        <v>1859</v>
      </c>
      <c r="O269" s="202" t="s">
        <v>2215</v>
      </c>
      <c r="P269" s="202" t="s">
        <v>2522</v>
      </c>
      <c r="Q269" s="235">
        <f>COUNTIF('Hedef Liste'!A:A,A269)</f>
        <v>1</v>
      </c>
    </row>
    <row r="270" hidden="1">
      <c r="A270" s="202" t="s">
        <v>1019</v>
      </c>
      <c r="B270" s="202" t="s">
        <v>1020</v>
      </c>
      <c r="C270" s="231" t="s">
        <v>2523</v>
      </c>
      <c r="D270" s="202" t="s">
        <v>1235</v>
      </c>
      <c r="E270" s="232">
        <v>159.0</v>
      </c>
      <c r="F270" s="232">
        <v>3.0</v>
      </c>
      <c r="G270" s="232">
        <v>0.0</v>
      </c>
      <c r="H270" s="232">
        <v>43.0</v>
      </c>
      <c r="I270" s="232">
        <v>43.0</v>
      </c>
      <c r="J270" s="234">
        <v>0.0</v>
      </c>
      <c r="K270" s="202" t="s">
        <v>1676</v>
      </c>
      <c r="L270" s="202">
        <v>5.305148954E9</v>
      </c>
      <c r="M270" s="202" t="s">
        <v>1172</v>
      </c>
      <c r="N270" s="202" t="s">
        <v>1190</v>
      </c>
      <c r="O270" s="202" t="s">
        <v>1022</v>
      </c>
      <c r="P270" s="202" t="s">
        <v>2522</v>
      </c>
      <c r="Q270" s="235">
        <f>COUNTIF('Hedef Liste'!A:A,A270)</f>
        <v>1</v>
      </c>
    </row>
    <row r="271" hidden="1">
      <c r="A271" s="202" t="s">
        <v>2344</v>
      </c>
      <c r="B271" s="202" t="s">
        <v>2345</v>
      </c>
      <c r="C271" s="231" t="s">
        <v>2523</v>
      </c>
      <c r="D271" s="202" t="s">
        <v>2524</v>
      </c>
      <c r="E271" s="232">
        <v>30.0</v>
      </c>
      <c r="F271" s="233"/>
      <c r="G271" s="232">
        <v>0.0</v>
      </c>
      <c r="H271" s="232">
        <v>89.0</v>
      </c>
      <c r="I271" s="232">
        <v>89.0</v>
      </c>
      <c r="J271" s="234">
        <v>0.0</v>
      </c>
      <c r="K271" s="202" t="s">
        <v>2347</v>
      </c>
      <c r="L271" s="202">
        <v>5.388121136E9</v>
      </c>
      <c r="M271" s="202" t="s">
        <v>1318</v>
      </c>
      <c r="N271" s="202" t="s">
        <v>2348</v>
      </c>
      <c r="O271" s="202" t="s">
        <v>2349</v>
      </c>
      <c r="P271" s="202" t="s">
        <v>2522</v>
      </c>
      <c r="Q271" s="235">
        <f>COUNTIF('Hedef Liste'!A:A,A271)</f>
        <v>1</v>
      </c>
    </row>
    <row r="272" hidden="1">
      <c r="A272" s="202" t="s">
        <v>1904</v>
      </c>
      <c r="B272" s="202" t="s">
        <v>1905</v>
      </c>
      <c r="C272" s="231" t="s">
        <v>2521</v>
      </c>
      <c r="D272" s="202" t="s">
        <v>1170</v>
      </c>
      <c r="E272" s="232">
        <v>59.0</v>
      </c>
      <c r="F272" s="233"/>
      <c r="G272" s="232">
        <v>0.0</v>
      </c>
      <c r="H272" s="232">
        <v>23.0</v>
      </c>
      <c r="I272" s="232">
        <v>23.0</v>
      </c>
      <c r="J272" s="234">
        <v>0.0</v>
      </c>
      <c r="K272" s="202" t="s">
        <v>1906</v>
      </c>
      <c r="L272" s="202">
        <v>5.326698261E9</v>
      </c>
      <c r="M272" s="202" t="s">
        <v>1147</v>
      </c>
      <c r="N272" s="202" t="s">
        <v>1164</v>
      </c>
      <c r="O272" s="202" t="s">
        <v>1907</v>
      </c>
      <c r="P272" s="202" t="s">
        <v>2522</v>
      </c>
      <c r="Q272" s="235">
        <f>COUNTIF('Hedef Liste'!A:A,A272)</f>
        <v>1</v>
      </c>
    </row>
    <row r="273" hidden="1">
      <c r="A273" s="202" t="s">
        <v>61</v>
      </c>
      <c r="B273" s="202" t="s">
        <v>62</v>
      </c>
      <c r="C273" s="231" t="s">
        <v>2521</v>
      </c>
      <c r="D273" s="202" t="s">
        <v>2505</v>
      </c>
      <c r="E273" s="232">
        <v>116.0</v>
      </c>
      <c r="F273" s="233"/>
      <c r="G273" s="232">
        <v>0.0</v>
      </c>
      <c r="H273" s="232">
        <v>26.0</v>
      </c>
      <c r="I273" s="232">
        <v>26.0</v>
      </c>
      <c r="J273" s="234">
        <v>0.0</v>
      </c>
      <c r="K273" s="202" t="s">
        <v>2506</v>
      </c>
      <c r="L273" s="202">
        <v>5.535491624E9</v>
      </c>
      <c r="M273" s="202" t="s">
        <v>1147</v>
      </c>
      <c r="N273" s="202" t="s">
        <v>1200</v>
      </c>
      <c r="O273" s="202" t="s">
        <v>64</v>
      </c>
      <c r="P273" s="202" t="s">
        <v>2522</v>
      </c>
      <c r="Q273" s="235">
        <f>COUNTIF('Hedef Liste'!A:A,A273)</f>
        <v>1</v>
      </c>
    </row>
    <row r="274" hidden="1">
      <c r="A274" s="202" t="s">
        <v>2171</v>
      </c>
      <c r="B274" s="202" t="s">
        <v>2172</v>
      </c>
      <c r="C274" s="231" t="s">
        <v>2521</v>
      </c>
      <c r="D274" s="202" t="s">
        <v>1455</v>
      </c>
      <c r="E274" s="233"/>
      <c r="F274" s="233"/>
      <c r="G274" s="232">
        <v>0.0</v>
      </c>
      <c r="H274" s="232">
        <v>6.0</v>
      </c>
      <c r="I274" s="232">
        <v>6.0</v>
      </c>
      <c r="J274" s="234">
        <v>0.0</v>
      </c>
      <c r="K274" s="202" t="s">
        <v>2173</v>
      </c>
      <c r="L274" s="202">
        <v>5.325592005E9</v>
      </c>
      <c r="M274" s="202" t="s">
        <v>1463</v>
      </c>
      <c r="N274" s="202" t="s">
        <v>2718</v>
      </c>
      <c r="O274" s="202" t="s">
        <v>2175</v>
      </c>
      <c r="P274" s="202" t="s">
        <v>2522</v>
      </c>
      <c r="Q274" s="235">
        <f>COUNTIF('Hedef Liste'!A:A,A274)</f>
        <v>1</v>
      </c>
    </row>
    <row r="275" hidden="1">
      <c r="A275" s="202" t="s">
        <v>2719</v>
      </c>
      <c r="B275" s="202" t="s">
        <v>2720</v>
      </c>
      <c r="C275" s="231" t="s">
        <v>2523</v>
      </c>
      <c r="D275" s="202" t="s">
        <v>1145</v>
      </c>
      <c r="E275" s="232">
        <v>5136.0</v>
      </c>
      <c r="F275" s="232">
        <v>205.0</v>
      </c>
      <c r="G275" s="232">
        <v>167.0</v>
      </c>
      <c r="H275" s="232">
        <v>0.0</v>
      </c>
      <c r="I275" s="232">
        <v>167.0</v>
      </c>
      <c r="J275" s="234">
        <v>1.0</v>
      </c>
      <c r="K275" s="202" t="s">
        <v>2571</v>
      </c>
      <c r="L275" s="202">
        <v>9.999999999E9</v>
      </c>
      <c r="M275" s="202" t="s">
        <v>1147</v>
      </c>
      <c r="N275" s="202" t="s">
        <v>1200</v>
      </c>
      <c r="O275" s="202" t="s">
        <v>2721</v>
      </c>
      <c r="P275" s="202" t="s">
        <v>2531</v>
      </c>
      <c r="Q275" s="235">
        <f>COUNTIF('Hedef Liste'!A:A,A275)</f>
        <v>0</v>
      </c>
    </row>
    <row r="276" hidden="1">
      <c r="A276" s="202" t="s">
        <v>2231</v>
      </c>
      <c r="B276" s="202" t="s">
        <v>2232</v>
      </c>
      <c r="C276" s="231" t="s">
        <v>2523</v>
      </c>
      <c r="D276" s="202" t="s">
        <v>1216</v>
      </c>
      <c r="E276" s="232">
        <v>95.0</v>
      </c>
      <c r="F276" s="233"/>
      <c r="G276" s="232">
        <v>0.0</v>
      </c>
      <c r="H276" s="232">
        <v>38.0</v>
      </c>
      <c r="I276" s="232">
        <v>38.0</v>
      </c>
      <c r="J276" s="234">
        <v>0.0</v>
      </c>
      <c r="K276" s="202" t="s">
        <v>2233</v>
      </c>
      <c r="L276" s="202">
        <v>5.314953749E9</v>
      </c>
      <c r="M276" s="202" t="s">
        <v>1177</v>
      </c>
      <c r="N276" s="202" t="s">
        <v>1184</v>
      </c>
      <c r="O276" s="202" t="s">
        <v>2234</v>
      </c>
      <c r="P276" s="202" t="s">
        <v>2522</v>
      </c>
      <c r="Q276" s="235">
        <f>COUNTIF('Hedef Liste'!A:A,A276)</f>
        <v>1</v>
      </c>
    </row>
    <row r="277" hidden="1">
      <c r="A277" s="202" t="s">
        <v>1326</v>
      </c>
      <c r="B277" s="202" t="s">
        <v>1327</v>
      </c>
      <c r="C277" s="231" t="s">
        <v>2523</v>
      </c>
      <c r="D277" s="202" t="s">
        <v>1170</v>
      </c>
      <c r="E277" s="232">
        <v>7.0</v>
      </c>
      <c r="F277" s="233"/>
      <c r="G277" s="232">
        <v>0.0</v>
      </c>
      <c r="H277" s="232">
        <v>40.0</v>
      </c>
      <c r="I277" s="232">
        <v>40.0</v>
      </c>
      <c r="J277" s="234">
        <v>0.0</v>
      </c>
      <c r="K277" s="202" t="s">
        <v>1328</v>
      </c>
      <c r="L277" s="202">
        <v>5.050346475E9</v>
      </c>
      <c r="M277" s="202" t="s">
        <v>1172</v>
      </c>
      <c r="N277" s="202" t="s">
        <v>1329</v>
      </c>
      <c r="O277" s="202" t="s">
        <v>1330</v>
      </c>
      <c r="P277" s="202" t="s">
        <v>2522</v>
      </c>
      <c r="Q277" s="235">
        <f>COUNTIF('Hedef Liste'!A:A,A277)</f>
        <v>1</v>
      </c>
    </row>
    <row r="278" hidden="1">
      <c r="A278" s="202" t="s">
        <v>1233</v>
      </c>
      <c r="B278" s="202" t="s">
        <v>1234</v>
      </c>
      <c r="C278" s="231" t="s">
        <v>2523</v>
      </c>
      <c r="D278" s="202" t="s">
        <v>1235</v>
      </c>
      <c r="E278" s="232">
        <v>10650.0</v>
      </c>
      <c r="F278" s="232">
        <v>419.0</v>
      </c>
      <c r="G278" s="232">
        <v>3.0</v>
      </c>
      <c r="H278" s="232">
        <v>22.0</v>
      </c>
      <c r="I278" s="232">
        <v>25.0</v>
      </c>
      <c r="J278" s="234">
        <v>0.12</v>
      </c>
      <c r="K278" s="202" t="s">
        <v>1236</v>
      </c>
      <c r="L278" s="202">
        <v>5.388201124E9</v>
      </c>
      <c r="M278" s="202" t="s">
        <v>1147</v>
      </c>
      <c r="N278" s="202" t="s">
        <v>1200</v>
      </c>
      <c r="O278" s="202" t="s">
        <v>1237</v>
      </c>
      <c r="P278" s="202" t="s">
        <v>2522</v>
      </c>
      <c r="Q278" s="235">
        <f>COUNTIF('Hedef Liste'!A:A,A278)</f>
        <v>1</v>
      </c>
    </row>
    <row r="279" hidden="1">
      <c r="A279" s="202" t="s">
        <v>2722</v>
      </c>
      <c r="B279" s="202" t="s">
        <v>2723</v>
      </c>
      <c r="C279" s="231" t="s">
        <v>2523</v>
      </c>
      <c r="D279" s="202" t="s">
        <v>1216</v>
      </c>
      <c r="E279" s="232">
        <v>3689.0</v>
      </c>
      <c r="F279" s="232">
        <v>224.0</v>
      </c>
      <c r="G279" s="232">
        <v>51.0</v>
      </c>
      <c r="H279" s="232">
        <v>5.0</v>
      </c>
      <c r="I279" s="232">
        <v>56.0</v>
      </c>
      <c r="J279" s="234">
        <v>0.91</v>
      </c>
      <c r="K279" s="202" t="s">
        <v>2724</v>
      </c>
      <c r="L279" s="202">
        <v>2.647771268E9</v>
      </c>
      <c r="M279" s="202" t="s">
        <v>1147</v>
      </c>
      <c r="N279" s="202" t="s">
        <v>1362</v>
      </c>
      <c r="O279" s="202" t="s">
        <v>2725</v>
      </c>
      <c r="P279" s="202" t="s">
        <v>2522</v>
      </c>
      <c r="Q279" s="235">
        <f>COUNTIF('Hedef Liste'!A:A,A279)</f>
        <v>0</v>
      </c>
    </row>
    <row r="280" hidden="1">
      <c r="A280" s="202" t="s">
        <v>1297</v>
      </c>
      <c r="B280" s="202" t="s">
        <v>1298</v>
      </c>
      <c r="C280" s="231" t="s">
        <v>2523</v>
      </c>
      <c r="D280" s="202" t="s">
        <v>1182</v>
      </c>
      <c r="E280" s="233"/>
      <c r="F280" s="233"/>
      <c r="G280" s="232">
        <v>0.0</v>
      </c>
      <c r="H280" s="232">
        <v>13.0</v>
      </c>
      <c r="I280" s="232">
        <v>13.0</v>
      </c>
      <c r="J280" s="234">
        <v>0.0</v>
      </c>
      <c r="K280" s="202" t="s">
        <v>1299</v>
      </c>
      <c r="L280" s="202">
        <v>5.322824382E9</v>
      </c>
      <c r="M280" s="202" t="s">
        <v>1172</v>
      </c>
      <c r="N280" s="202" t="s">
        <v>1300</v>
      </c>
      <c r="O280" s="202" t="s">
        <v>1301</v>
      </c>
      <c r="P280" s="202" t="s">
        <v>2522</v>
      </c>
      <c r="Q280" s="235">
        <f>COUNTIF('Hedef Liste'!A:A,A280)</f>
        <v>1</v>
      </c>
    </row>
    <row r="281" hidden="1">
      <c r="A281" s="202" t="s">
        <v>933</v>
      </c>
      <c r="B281" s="202" t="s">
        <v>934</v>
      </c>
      <c r="C281" s="231" t="s">
        <v>2523</v>
      </c>
      <c r="D281" s="202" t="s">
        <v>1302</v>
      </c>
      <c r="E281" s="232">
        <v>1285.0</v>
      </c>
      <c r="F281" s="233"/>
      <c r="G281" s="232">
        <v>19.0</v>
      </c>
      <c r="H281" s="232">
        <v>30.0</v>
      </c>
      <c r="I281" s="232">
        <v>49.0</v>
      </c>
      <c r="J281" s="234">
        <v>0.39</v>
      </c>
      <c r="K281" s="202" t="s">
        <v>2328</v>
      </c>
      <c r="L281" s="202">
        <v>5.538474051E9</v>
      </c>
      <c r="M281" s="202" t="s">
        <v>1177</v>
      </c>
      <c r="N281" s="202" t="s">
        <v>1607</v>
      </c>
      <c r="O281" s="202" t="s">
        <v>936</v>
      </c>
      <c r="P281" s="202" t="s">
        <v>2522</v>
      </c>
      <c r="Q281" s="235">
        <f>COUNTIF('Hedef Liste'!A:A,A281)</f>
        <v>1</v>
      </c>
    </row>
    <row r="282" hidden="1">
      <c r="A282" s="202" t="s">
        <v>2726</v>
      </c>
      <c r="B282" s="202" t="s">
        <v>2727</v>
      </c>
      <c r="C282" s="231" t="s">
        <v>2523</v>
      </c>
      <c r="D282" s="202" t="s">
        <v>1188</v>
      </c>
      <c r="E282" s="232">
        <v>534.0</v>
      </c>
      <c r="F282" s="232">
        <v>4.0</v>
      </c>
      <c r="G282" s="232">
        <v>18.0</v>
      </c>
      <c r="H282" s="232">
        <v>5.0</v>
      </c>
      <c r="I282" s="232">
        <v>23.0</v>
      </c>
      <c r="J282" s="234">
        <v>0.78</v>
      </c>
      <c r="K282" s="202" t="s">
        <v>2728</v>
      </c>
      <c r="L282" s="202">
        <v>2.645020141E9</v>
      </c>
      <c r="M282" s="202" t="s">
        <v>1147</v>
      </c>
      <c r="N282" s="202" t="s">
        <v>1148</v>
      </c>
      <c r="O282" s="202" t="s">
        <v>2729</v>
      </c>
      <c r="P282" s="202" t="s">
        <v>2531</v>
      </c>
      <c r="Q282" s="235">
        <f>COUNTIF('Hedef Liste'!A:A,A282)</f>
        <v>0</v>
      </c>
    </row>
    <row r="283" hidden="1">
      <c r="A283" s="202" t="s">
        <v>1046</v>
      </c>
      <c r="B283" s="202" t="s">
        <v>1047</v>
      </c>
      <c r="C283" s="231" t="s">
        <v>2523</v>
      </c>
      <c r="D283" s="202" t="s">
        <v>1170</v>
      </c>
      <c r="E283" s="232">
        <v>2888.0</v>
      </c>
      <c r="F283" s="232">
        <v>158.0</v>
      </c>
      <c r="G283" s="232">
        <v>2.0</v>
      </c>
      <c r="H283" s="232">
        <v>13.0</v>
      </c>
      <c r="I283" s="232">
        <v>15.0</v>
      </c>
      <c r="J283" s="234">
        <v>0.13</v>
      </c>
      <c r="K283" s="202" t="s">
        <v>2428</v>
      </c>
      <c r="L283" s="202">
        <v>2.642746767E9</v>
      </c>
      <c r="M283" s="202" t="s">
        <v>1147</v>
      </c>
      <c r="N283" s="202" t="s">
        <v>1148</v>
      </c>
      <c r="O283" s="202" t="s">
        <v>1049</v>
      </c>
      <c r="P283" s="202" t="s">
        <v>2522</v>
      </c>
      <c r="Q283" s="235">
        <f>COUNTIF('Hedef Liste'!A:A,A283)</f>
        <v>1</v>
      </c>
    </row>
    <row r="284" hidden="1">
      <c r="A284" s="202" t="s">
        <v>991</v>
      </c>
      <c r="B284" s="202" t="s">
        <v>992</v>
      </c>
      <c r="C284" s="231" t="s">
        <v>2523</v>
      </c>
      <c r="D284" s="202" t="s">
        <v>1235</v>
      </c>
      <c r="E284" s="232">
        <v>698.0</v>
      </c>
      <c r="F284" s="232">
        <v>44.0</v>
      </c>
      <c r="G284" s="232">
        <v>0.0</v>
      </c>
      <c r="H284" s="232">
        <v>30.0</v>
      </c>
      <c r="I284" s="232">
        <v>30.0</v>
      </c>
      <c r="J284" s="234">
        <v>0.0</v>
      </c>
      <c r="K284" s="202" t="s">
        <v>1555</v>
      </c>
      <c r="L284" s="202">
        <v>5.413592818E9</v>
      </c>
      <c r="M284" s="202" t="s">
        <v>1172</v>
      </c>
      <c r="N284" s="202" t="s">
        <v>1556</v>
      </c>
      <c r="O284" s="202" t="s">
        <v>994</v>
      </c>
      <c r="P284" s="202" t="s">
        <v>2522</v>
      </c>
      <c r="Q284" s="235">
        <f>COUNTIF('Hedef Liste'!A:A,A284)</f>
        <v>1</v>
      </c>
    </row>
    <row r="285" hidden="1">
      <c r="A285" s="202" t="s">
        <v>1700</v>
      </c>
      <c r="B285" s="202" t="s">
        <v>2730</v>
      </c>
      <c r="C285" s="231" t="s">
        <v>2523</v>
      </c>
      <c r="D285" s="202" t="s">
        <v>1155</v>
      </c>
      <c r="E285" s="232">
        <v>1950.0</v>
      </c>
      <c r="F285" s="233"/>
      <c r="G285" s="232">
        <v>0.0</v>
      </c>
      <c r="H285" s="232">
        <v>30.0</v>
      </c>
      <c r="I285" s="232">
        <v>30.0</v>
      </c>
      <c r="J285" s="234">
        <v>0.0</v>
      </c>
      <c r="K285" s="202" t="s">
        <v>1702</v>
      </c>
      <c r="L285" s="202">
        <v>2.645029412E9</v>
      </c>
      <c r="M285" s="202" t="s">
        <v>1147</v>
      </c>
      <c r="N285" s="202" t="s">
        <v>1200</v>
      </c>
      <c r="O285" s="202" t="s">
        <v>1703</v>
      </c>
      <c r="P285" s="202" t="s">
        <v>2522</v>
      </c>
      <c r="Q285" s="235">
        <f>COUNTIF('Hedef Liste'!A:A,A285)</f>
        <v>1</v>
      </c>
    </row>
    <row r="286" hidden="1">
      <c r="A286" s="202" t="s">
        <v>1011</v>
      </c>
      <c r="B286" s="202" t="s">
        <v>2731</v>
      </c>
      <c r="C286" s="231" t="s">
        <v>2523</v>
      </c>
      <c r="D286" s="202" t="s">
        <v>1170</v>
      </c>
      <c r="E286" s="232">
        <v>1668.0</v>
      </c>
      <c r="F286" s="232">
        <v>184.0</v>
      </c>
      <c r="G286" s="232">
        <v>10.0</v>
      </c>
      <c r="H286" s="232">
        <v>11.0</v>
      </c>
      <c r="I286" s="232">
        <v>21.0</v>
      </c>
      <c r="J286" s="234">
        <v>0.48</v>
      </c>
      <c r="K286" s="202" t="s">
        <v>2082</v>
      </c>
      <c r="L286" s="202">
        <v>2.645022888E9</v>
      </c>
      <c r="M286" s="202" t="s">
        <v>1147</v>
      </c>
      <c r="N286" s="202" t="s">
        <v>1164</v>
      </c>
      <c r="O286" s="202" t="s">
        <v>1014</v>
      </c>
      <c r="P286" s="202" t="s">
        <v>2522</v>
      </c>
      <c r="Q286" s="235">
        <f>COUNTIF('Hedef Liste'!A:A,A286)</f>
        <v>1</v>
      </c>
    </row>
    <row r="287" hidden="1">
      <c r="A287" s="202" t="s">
        <v>1509</v>
      </c>
      <c r="B287" s="202" t="s">
        <v>2732</v>
      </c>
      <c r="C287" s="231" t="s">
        <v>2521</v>
      </c>
      <c r="D287" s="202" t="s">
        <v>1256</v>
      </c>
      <c r="E287" s="232">
        <v>213.0</v>
      </c>
      <c r="F287" s="233"/>
      <c r="G287" s="232">
        <v>0.0</v>
      </c>
      <c r="H287" s="232">
        <v>63.0</v>
      </c>
      <c r="I287" s="232">
        <v>63.0</v>
      </c>
      <c r="J287" s="234">
        <v>0.0</v>
      </c>
      <c r="K287" s="202" t="s">
        <v>1511</v>
      </c>
      <c r="L287" s="202">
        <v>5.468595231E9</v>
      </c>
      <c r="M287" s="202" t="s">
        <v>1242</v>
      </c>
      <c r="N287" s="202" t="s">
        <v>1283</v>
      </c>
      <c r="O287" s="202" t="s">
        <v>1512</v>
      </c>
      <c r="P287" s="202" t="s">
        <v>2522</v>
      </c>
      <c r="Q287" s="235">
        <f>COUNTIF('Hedef Liste'!A:A,A287)</f>
        <v>1</v>
      </c>
    </row>
    <row r="288" hidden="1">
      <c r="A288" s="202" t="s">
        <v>2733</v>
      </c>
      <c r="B288" s="202" t="s">
        <v>2734</v>
      </c>
      <c r="C288" s="231" t="s">
        <v>2523</v>
      </c>
      <c r="D288" s="202" t="s">
        <v>1145</v>
      </c>
      <c r="E288" s="232">
        <v>3599.0</v>
      </c>
      <c r="F288" s="232">
        <v>132.0</v>
      </c>
      <c r="G288" s="232">
        <v>97.0</v>
      </c>
      <c r="H288" s="232">
        <v>3.0</v>
      </c>
      <c r="I288" s="232">
        <v>100.0</v>
      </c>
      <c r="J288" s="234">
        <v>0.97</v>
      </c>
      <c r="K288" s="202" t="s">
        <v>2735</v>
      </c>
      <c r="L288" s="202">
        <v>2.123363575E9</v>
      </c>
      <c r="M288" s="202" t="s">
        <v>1147</v>
      </c>
      <c r="N288" s="202" t="s">
        <v>1148</v>
      </c>
      <c r="O288" s="202" t="s">
        <v>2736</v>
      </c>
      <c r="P288" s="202" t="s">
        <v>2531</v>
      </c>
      <c r="Q288" s="235">
        <f>COUNTIF('Hedef Liste'!A:A,A288)</f>
        <v>0</v>
      </c>
    </row>
    <row r="289" hidden="1">
      <c r="A289" s="202" t="s">
        <v>981</v>
      </c>
      <c r="B289" s="202" t="s">
        <v>982</v>
      </c>
      <c r="C289" s="231" t="s">
        <v>2523</v>
      </c>
      <c r="D289" s="202" t="s">
        <v>1281</v>
      </c>
      <c r="E289" s="232">
        <v>1983.0</v>
      </c>
      <c r="F289" s="232">
        <v>29.0</v>
      </c>
      <c r="G289" s="232">
        <v>0.0</v>
      </c>
      <c r="H289" s="232">
        <v>23.0</v>
      </c>
      <c r="I289" s="232">
        <v>23.0</v>
      </c>
      <c r="J289" s="234">
        <v>0.0</v>
      </c>
      <c r="K289" s="202" t="s">
        <v>2469</v>
      </c>
      <c r="L289" s="202">
        <v>5.426166563E9</v>
      </c>
      <c r="M289" s="202" t="s">
        <v>1147</v>
      </c>
      <c r="N289" s="202" t="s">
        <v>1200</v>
      </c>
      <c r="O289" s="202" t="s">
        <v>984</v>
      </c>
      <c r="P289" s="202" t="s">
        <v>2522</v>
      </c>
      <c r="Q289" s="235">
        <f>COUNTIF('Hedef Liste'!A:A,A289)</f>
        <v>1</v>
      </c>
    </row>
    <row r="290" hidden="1">
      <c r="A290" s="202" t="s">
        <v>2015</v>
      </c>
      <c r="B290" s="202" t="s">
        <v>2016</v>
      </c>
      <c r="C290" s="231" t="s">
        <v>2523</v>
      </c>
      <c r="D290" s="202" t="s">
        <v>1170</v>
      </c>
      <c r="E290" s="232">
        <v>4908.0</v>
      </c>
      <c r="F290" s="232">
        <v>143.0</v>
      </c>
      <c r="G290" s="232">
        <v>0.0</v>
      </c>
      <c r="H290" s="232">
        <v>17.0</v>
      </c>
      <c r="I290" s="232">
        <v>17.0</v>
      </c>
      <c r="J290" s="234">
        <v>0.0</v>
      </c>
      <c r="K290" s="202" t="s">
        <v>2017</v>
      </c>
      <c r="L290" s="202">
        <v>2.645023003E9</v>
      </c>
      <c r="M290" s="202" t="s">
        <v>1147</v>
      </c>
      <c r="N290" s="202" t="s">
        <v>1157</v>
      </c>
      <c r="O290" s="202" t="s">
        <v>2018</v>
      </c>
      <c r="P290" s="202" t="s">
        <v>2522</v>
      </c>
      <c r="Q290" s="235">
        <f>COUNTIF('Hedef Liste'!A:A,A290)</f>
        <v>1</v>
      </c>
    </row>
    <row r="291" hidden="1">
      <c r="A291" s="202" t="s">
        <v>2737</v>
      </c>
      <c r="B291" s="202" t="s">
        <v>2738</v>
      </c>
      <c r="C291" s="231" t="s">
        <v>2523</v>
      </c>
      <c r="D291" s="202" t="s">
        <v>1182</v>
      </c>
      <c r="E291" s="232">
        <v>890.0</v>
      </c>
      <c r="F291" s="232">
        <v>22.0</v>
      </c>
      <c r="G291" s="232">
        <v>85.0</v>
      </c>
      <c r="H291" s="232">
        <v>4.0</v>
      </c>
      <c r="I291" s="232">
        <v>89.0</v>
      </c>
      <c r="J291" s="234">
        <v>0.96</v>
      </c>
      <c r="K291" s="202" t="s">
        <v>2550</v>
      </c>
      <c r="L291" s="202">
        <v>5.342743481E9</v>
      </c>
      <c r="M291" s="202" t="s">
        <v>1147</v>
      </c>
      <c r="N291" s="202" t="s">
        <v>1164</v>
      </c>
      <c r="O291" s="202" t="s">
        <v>2739</v>
      </c>
      <c r="P291" s="202" t="s">
        <v>2531</v>
      </c>
      <c r="Q291" s="235">
        <f>COUNTIF('Hedef Liste'!A:A,A291)</f>
        <v>0</v>
      </c>
    </row>
    <row r="292" hidden="1">
      <c r="A292" s="202" t="s">
        <v>1940</v>
      </c>
      <c r="B292" s="202" t="s">
        <v>2740</v>
      </c>
      <c r="C292" s="231" t="s">
        <v>2523</v>
      </c>
      <c r="D292" s="202" t="s">
        <v>1302</v>
      </c>
      <c r="E292" s="232">
        <v>1361.0</v>
      </c>
      <c r="F292" s="232">
        <v>1.0</v>
      </c>
      <c r="G292" s="232">
        <v>0.0</v>
      </c>
      <c r="H292" s="232">
        <v>3.0</v>
      </c>
      <c r="I292" s="232">
        <v>3.0</v>
      </c>
      <c r="J292" s="234">
        <v>0.0</v>
      </c>
      <c r="K292" s="202" t="s">
        <v>1942</v>
      </c>
      <c r="L292" s="202">
        <v>5.372707837E9</v>
      </c>
      <c r="M292" s="202" t="s">
        <v>1348</v>
      </c>
      <c r="N292" s="202" t="s">
        <v>1897</v>
      </c>
      <c r="O292" s="202" t="s">
        <v>1943</v>
      </c>
      <c r="P292" s="202" t="s">
        <v>2522</v>
      </c>
      <c r="Q292" s="235">
        <f>COUNTIF('Hedef Liste'!A:A,A292)</f>
        <v>1</v>
      </c>
    </row>
    <row r="293" hidden="1">
      <c r="A293" s="202" t="s">
        <v>2303</v>
      </c>
      <c r="B293" s="202" t="s">
        <v>2304</v>
      </c>
      <c r="C293" s="231" t="s">
        <v>2521</v>
      </c>
      <c r="D293" s="202" t="s">
        <v>1175</v>
      </c>
      <c r="E293" s="233"/>
      <c r="F293" s="233"/>
      <c r="G293" s="232">
        <v>0.0</v>
      </c>
      <c r="H293" s="232">
        <v>31.0</v>
      </c>
      <c r="I293" s="232">
        <v>31.0</v>
      </c>
      <c r="J293" s="234">
        <v>0.0</v>
      </c>
      <c r="K293" s="202" t="s">
        <v>2305</v>
      </c>
      <c r="L293" s="202">
        <v>5.435982524E9</v>
      </c>
      <c r="M293" s="202" t="s">
        <v>1172</v>
      </c>
      <c r="N293" s="202" t="s">
        <v>1300</v>
      </c>
      <c r="O293" s="202" t="s">
        <v>2306</v>
      </c>
      <c r="P293" s="202" t="s">
        <v>2522</v>
      </c>
      <c r="Q293" s="235">
        <f>COUNTIF('Hedef Liste'!A:A,A293)</f>
        <v>1</v>
      </c>
    </row>
    <row r="294" hidden="1">
      <c r="A294" s="202" t="s">
        <v>1765</v>
      </c>
      <c r="B294" s="202" t="s">
        <v>1766</v>
      </c>
      <c r="C294" s="231" t="s">
        <v>2523</v>
      </c>
      <c r="D294" s="202" t="s">
        <v>1182</v>
      </c>
      <c r="E294" s="232">
        <v>150.0</v>
      </c>
      <c r="F294" s="233"/>
      <c r="G294" s="232">
        <v>0.0</v>
      </c>
      <c r="H294" s="232">
        <v>18.0</v>
      </c>
      <c r="I294" s="232">
        <v>18.0</v>
      </c>
      <c r="J294" s="234">
        <v>0.0</v>
      </c>
      <c r="K294" s="202" t="s">
        <v>1767</v>
      </c>
      <c r="L294" s="202">
        <v>5.321382978E9</v>
      </c>
      <c r="M294" s="202" t="s">
        <v>1147</v>
      </c>
      <c r="N294" s="202" t="s">
        <v>1362</v>
      </c>
      <c r="O294" s="202" t="s">
        <v>1768</v>
      </c>
      <c r="P294" s="202" t="s">
        <v>2522</v>
      </c>
      <c r="Q294" s="235">
        <f>COUNTIF('Hedef Liste'!A:A,A294)</f>
        <v>1</v>
      </c>
    </row>
    <row r="295" hidden="1">
      <c r="A295" s="202" t="s">
        <v>1500</v>
      </c>
      <c r="B295" s="202" t="s">
        <v>1501</v>
      </c>
      <c r="C295" s="231" t="s">
        <v>2523</v>
      </c>
      <c r="D295" s="202" t="s">
        <v>1145</v>
      </c>
      <c r="E295" s="232">
        <v>16.0</v>
      </c>
      <c r="F295" s="232">
        <v>15.0</v>
      </c>
      <c r="G295" s="232">
        <v>0.0</v>
      </c>
      <c r="H295" s="232">
        <v>41.0</v>
      </c>
      <c r="I295" s="232">
        <v>41.0</v>
      </c>
      <c r="J295" s="234">
        <v>0.0</v>
      </c>
      <c r="K295" s="202" t="s">
        <v>1502</v>
      </c>
      <c r="L295" s="202">
        <v>5.324157666E9</v>
      </c>
      <c r="M295" s="202" t="s">
        <v>1147</v>
      </c>
      <c r="N295" s="202" t="s">
        <v>1148</v>
      </c>
      <c r="O295" s="202" t="s">
        <v>1503</v>
      </c>
      <c r="P295" s="202" t="s">
        <v>2522</v>
      </c>
      <c r="Q295" s="235">
        <f>COUNTIF('Hedef Liste'!A:A,A295)</f>
        <v>1</v>
      </c>
    </row>
    <row r="296" hidden="1">
      <c r="A296" s="202" t="s">
        <v>1482</v>
      </c>
      <c r="B296" s="202" t="s">
        <v>1483</v>
      </c>
      <c r="C296" s="231" t="s">
        <v>2523</v>
      </c>
      <c r="D296" s="202" t="s">
        <v>1302</v>
      </c>
      <c r="E296" s="232">
        <v>337.0</v>
      </c>
      <c r="F296" s="232">
        <v>74.0</v>
      </c>
      <c r="G296" s="232">
        <v>0.0</v>
      </c>
      <c r="H296" s="232">
        <v>30.0</v>
      </c>
      <c r="I296" s="232">
        <v>30.0</v>
      </c>
      <c r="J296" s="234">
        <v>0.0</v>
      </c>
      <c r="K296" s="202" t="s">
        <v>1479</v>
      </c>
      <c r="L296" s="202">
        <v>2.642111376E9</v>
      </c>
      <c r="M296" s="202" t="s">
        <v>1147</v>
      </c>
      <c r="N296" s="202" t="s">
        <v>1164</v>
      </c>
      <c r="O296" s="202" t="s">
        <v>1484</v>
      </c>
      <c r="P296" s="202" t="s">
        <v>2522</v>
      </c>
      <c r="Q296" s="235">
        <f>COUNTIF('Hedef Liste'!A:A,A296)</f>
        <v>1</v>
      </c>
    </row>
    <row r="297" hidden="1">
      <c r="A297" s="202" t="s">
        <v>1271</v>
      </c>
      <c r="B297" s="202" t="s">
        <v>1272</v>
      </c>
      <c r="C297" s="231" t="s">
        <v>2523</v>
      </c>
      <c r="D297" s="202" t="s">
        <v>1226</v>
      </c>
      <c r="E297" s="232">
        <v>2182.0</v>
      </c>
      <c r="F297" s="232">
        <v>47.0</v>
      </c>
      <c r="G297" s="232">
        <v>0.0</v>
      </c>
      <c r="H297" s="232">
        <v>31.0</v>
      </c>
      <c r="I297" s="232">
        <v>31.0</v>
      </c>
      <c r="J297" s="234">
        <v>0.0</v>
      </c>
      <c r="K297" s="202" t="s">
        <v>1273</v>
      </c>
      <c r="L297" s="202">
        <v>5.325100864E9</v>
      </c>
      <c r="M297" s="202" t="s">
        <v>1172</v>
      </c>
      <c r="N297" s="202" t="s">
        <v>1268</v>
      </c>
      <c r="O297" s="202" t="s">
        <v>1274</v>
      </c>
      <c r="P297" s="202" t="s">
        <v>2522</v>
      </c>
      <c r="Q297" s="235">
        <f>COUNTIF('Hedef Liste'!A:A,A297)</f>
        <v>1</v>
      </c>
    </row>
    <row r="298" hidden="1">
      <c r="A298" s="202" t="s">
        <v>1042</v>
      </c>
      <c r="B298" s="202" t="s">
        <v>1043</v>
      </c>
      <c r="C298" s="231" t="s">
        <v>2523</v>
      </c>
      <c r="D298" s="202" t="s">
        <v>1455</v>
      </c>
      <c r="E298" s="232">
        <v>549.0</v>
      </c>
      <c r="F298" s="233"/>
      <c r="G298" s="232">
        <v>9.0</v>
      </c>
      <c r="H298" s="232">
        <v>2.0</v>
      </c>
      <c r="I298" s="232">
        <v>11.0</v>
      </c>
      <c r="J298" s="234">
        <v>0.82</v>
      </c>
      <c r="K298" s="202" t="s">
        <v>2173</v>
      </c>
      <c r="L298" s="202">
        <v>5.325592005E9</v>
      </c>
      <c r="M298" s="202" t="s">
        <v>1147</v>
      </c>
      <c r="N298" s="202" t="s">
        <v>1164</v>
      </c>
      <c r="O298" s="202" t="s">
        <v>1045</v>
      </c>
      <c r="P298" s="202" t="s">
        <v>2522</v>
      </c>
      <c r="Q298" s="235">
        <f>COUNTIF('Hedef Liste'!A:A,A298)</f>
        <v>1</v>
      </c>
    </row>
    <row r="299" hidden="1">
      <c r="A299" s="202" t="s">
        <v>746</v>
      </c>
      <c r="B299" s="202" t="s">
        <v>747</v>
      </c>
      <c r="C299" s="231" t="s">
        <v>2521</v>
      </c>
      <c r="D299" s="202" t="s">
        <v>1216</v>
      </c>
      <c r="E299" s="232">
        <v>56.0</v>
      </c>
      <c r="F299" s="233"/>
      <c r="G299" s="232">
        <v>11.0</v>
      </c>
      <c r="H299" s="232">
        <v>4.0</v>
      </c>
      <c r="I299" s="232">
        <v>15.0</v>
      </c>
      <c r="J299" s="234">
        <v>0.73</v>
      </c>
      <c r="K299" s="202" t="s">
        <v>2419</v>
      </c>
      <c r="L299" s="202">
        <v>5.445405469E9</v>
      </c>
      <c r="M299" s="202" t="s">
        <v>1147</v>
      </c>
      <c r="N299" s="202" t="s">
        <v>1157</v>
      </c>
      <c r="O299" s="202" t="s">
        <v>749</v>
      </c>
      <c r="P299" s="202" t="s">
        <v>2522</v>
      </c>
      <c r="Q299" s="235">
        <f>COUNTIF('Hedef Liste'!A:A,A299)</f>
        <v>1</v>
      </c>
    </row>
    <row r="300" hidden="1">
      <c r="A300" s="202" t="s">
        <v>1485</v>
      </c>
      <c r="B300" s="202" t="s">
        <v>1486</v>
      </c>
      <c r="C300" s="231" t="s">
        <v>2523</v>
      </c>
      <c r="D300" s="202" t="s">
        <v>1170</v>
      </c>
      <c r="F300" s="233"/>
      <c r="G300" s="232">
        <v>0.0</v>
      </c>
      <c r="H300" s="232">
        <v>9.0</v>
      </c>
      <c r="I300" s="232">
        <v>9.0</v>
      </c>
      <c r="J300" s="234">
        <v>0.0</v>
      </c>
      <c r="K300" s="202" t="s">
        <v>1487</v>
      </c>
      <c r="L300" s="202">
        <v>5.327282826E9</v>
      </c>
      <c r="M300" s="202" t="s">
        <v>1172</v>
      </c>
      <c r="N300" s="202" t="s">
        <v>1379</v>
      </c>
      <c r="O300" s="202" t="s">
        <v>1488</v>
      </c>
      <c r="P300" s="202" t="s">
        <v>2522</v>
      </c>
      <c r="Q300" s="235">
        <f>COUNTIF('Hedef Liste'!A:A,A300)</f>
        <v>1</v>
      </c>
    </row>
    <row r="301" hidden="1">
      <c r="A301" s="202" t="s">
        <v>1056</v>
      </c>
      <c r="B301" s="202" t="s">
        <v>1057</v>
      </c>
      <c r="C301" s="231" t="s">
        <v>2523</v>
      </c>
      <c r="D301" s="202" t="s">
        <v>1302</v>
      </c>
      <c r="E301" s="232">
        <v>932.0</v>
      </c>
      <c r="F301" s="232">
        <v>68.0</v>
      </c>
      <c r="G301" s="232">
        <v>4.0</v>
      </c>
      <c r="H301" s="232">
        <v>6.0</v>
      </c>
      <c r="I301" s="232">
        <v>10.0</v>
      </c>
      <c r="J301" s="234">
        <v>0.4</v>
      </c>
      <c r="K301" s="202" t="s">
        <v>1351</v>
      </c>
      <c r="L301" s="202">
        <v>5.075015557E9</v>
      </c>
      <c r="M301" s="202" t="s">
        <v>1147</v>
      </c>
      <c r="N301" s="202" t="s">
        <v>1352</v>
      </c>
      <c r="O301" s="202" t="s">
        <v>1059</v>
      </c>
      <c r="P301" s="202" t="s">
        <v>2522</v>
      </c>
      <c r="Q301" s="235">
        <f>COUNTIF('Hedef Liste'!A:A,A301)</f>
        <v>1</v>
      </c>
    </row>
    <row r="302" hidden="1">
      <c r="A302" s="202" t="s">
        <v>1309</v>
      </c>
      <c r="B302" s="202" t="s">
        <v>1310</v>
      </c>
      <c r="C302" s="231" t="s">
        <v>2521</v>
      </c>
      <c r="D302" s="202" t="s">
        <v>1311</v>
      </c>
      <c r="E302" s="233"/>
      <c r="F302" s="233"/>
      <c r="G302" s="232">
        <v>0.0</v>
      </c>
      <c r="H302" s="232">
        <v>27.0</v>
      </c>
      <c r="I302" s="232">
        <v>27.0</v>
      </c>
      <c r="J302" s="234">
        <v>0.0</v>
      </c>
      <c r="K302" s="202" t="s">
        <v>1312</v>
      </c>
      <c r="L302" s="202">
        <v>5.061060077E9</v>
      </c>
      <c r="M302" s="202" t="s">
        <v>1172</v>
      </c>
      <c r="N302" s="202" t="s">
        <v>1190</v>
      </c>
      <c r="O302" s="202" t="s">
        <v>1313</v>
      </c>
      <c r="P302" s="202" t="s">
        <v>2522</v>
      </c>
      <c r="Q302" s="235">
        <f>COUNTIF('Hedef Liste'!A:A,A302)</f>
        <v>1</v>
      </c>
    </row>
    <row r="303" hidden="1">
      <c r="A303" s="202" t="s">
        <v>1051</v>
      </c>
      <c r="B303" s="202" t="s">
        <v>2741</v>
      </c>
      <c r="C303" s="231" t="s">
        <v>2523</v>
      </c>
      <c r="D303" s="202" t="s">
        <v>1155</v>
      </c>
      <c r="E303" s="232">
        <v>349.0</v>
      </c>
      <c r="F303" s="232">
        <v>21.0</v>
      </c>
      <c r="G303" s="232">
        <v>12.0</v>
      </c>
      <c r="H303" s="232">
        <v>31.0</v>
      </c>
      <c r="I303" s="232">
        <v>43.0</v>
      </c>
      <c r="J303" s="234">
        <v>0.28</v>
      </c>
      <c r="K303" s="202" t="s">
        <v>1707</v>
      </c>
      <c r="L303" s="202">
        <v>5.357385463E9</v>
      </c>
      <c r="M303" s="202" t="s">
        <v>1147</v>
      </c>
      <c r="N303" s="202" t="s">
        <v>1708</v>
      </c>
      <c r="O303" s="202" t="s">
        <v>1055</v>
      </c>
      <c r="P303" s="202" t="s">
        <v>2522</v>
      </c>
      <c r="Q303" s="235">
        <f>COUNTIF('Hedef Liste'!A:A,A303)</f>
        <v>1</v>
      </c>
    </row>
    <row r="304" hidden="1">
      <c r="A304" s="202" t="s">
        <v>890</v>
      </c>
      <c r="B304" s="202" t="s">
        <v>891</v>
      </c>
      <c r="C304" s="231" t="s">
        <v>2523</v>
      </c>
      <c r="D304" s="202" t="s">
        <v>1226</v>
      </c>
      <c r="E304" s="232">
        <v>121.0</v>
      </c>
      <c r="F304" s="233"/>
      <c r="G304" s="232">
        <v>6.0</v>
      </c>
      <c r="H304" s="232">
        <v>4.0</v>
      </c>
      <c r="I304" s="232">
        <v>10.0</v>
      </c>
      <c r="J304" s="234">
        <v>0.6</v>
      </c>
      <c r="K304" s="202" t="s">
        <v>2209</v>
      </c>
      <c r="L304" s="202">
        <v>5.072599732E9</v>
      </c>
      <c r="M304" s="202" t="s">
        <v>1147</v>
      </c>
      <c r="N304" s="202" t="s">
        <v>1352</v>
      </c>
      <c r="O304" s="202" t="s">
        <v>894</v>
      </c>
      <c r="P304" s="202" t="s">
        <v>2522</v>
      </c>
      <c r="Q304" s="235">
        <f>COUNTIF('Hedef Liste'!A:A,A304)</f>
        <v>1</v>
      </c>
    </row>
    <row r="305" hidden="1">
      <c r="A305" s="202" t="s">
        <v>2742</v>
      </c>
      <c r="B305" s="202" t="s">
        <v>2743</v>
      </c>
      <c r="C305" s="231" t="s">
        <v>2523</v>
      </c>
      <c r="D305" s="202" t="s">
        <v>2524</v>
      </c>
      <c r="E305" s="232">
        <v>440.0</v>
      </c>
      <c r="F305" s="232">
        <v>8.0</v>
      </c>
      <c r="G305" s="232">
        <v>162.0</v>
      </c>
      <c r="H305" s="232">
        <v>11.0</v>
      </c>
      <c r="I305" s="232">
        <v>173.0</v>
      </c>
      <c r="J305" s="234">
        <v>0.94</v>
      </c>
      <c r="K305" s="202" t="s">
        <v>2715</v>
      </c>
      <c r="L305" s="202">
        <v>5.45454804E9</v>
      </c>
      <c r="M305" s="202" t="s">
        <v>1172</v>
      </c>
      <c r="N305" s="202" t="s">
        <v>2716</v>
      </c>
      <c r="O305" s="202" t="s">
        <v>2717</v>
      </c>
      <c r="P305" s="202" t="s">
        <v>2531</v>
      </c>
      <c r="Q305" s="235">
        <f>COUNTIF('Hedef Liste'!A:A,A305)</f>
        <v>0</v>
      </c>
    </row>
    <row r="306" hidden="1">
      <c r="A306" s="202" t="s">
        <v>1026</v>
      </c>
      <c r="B306" s="202" t="s">
        <v>1027</v>
      </c>
      <c r="C306" s="231" t="s">
        <v>2523</v>
      </c>
      <c r="D306" s="202" t="s">
        <v>1281</v>
      </c>
      <c r="E306" s="232">
        <v>1454.0</v>
      </c>
      <c r="F306" s="232">
        <v>60.0</v>
      </c>
      <c r="G306" s="232">
        <v>13.0</v>
      </c>
      <c r="H306" s="232">
        <v>31.0</v>
      </c>
      <c r="I306" s="232">
        <v>44.0</v>
      </c>
      <c r="J306" s="234">
        <v>0.3</v>
      </c>
      <c r="K306" s="202" t="s">
        <v>2465</v>
      </c>
      <c r="L306" s="202">
        <v>2.642767126E9</v>
      </c>
      <c r="M306" s="202" t="s">
        <v>1172</v>
      </c>
      <c r="N306" s="202" t="s">
        <v>2716</v>
      </c>
      <c r="O306" s="202" t="s">
        <v>525</v>
      </c>
      <c r="P306" s="202" t="s">
        <v>2522</v>
      </c>
      <c r="Q306" s="235">
        <f>COUNTIF('Hedef Liste'!A:A,A306)</f>
        <v>1</v>
      </c>
    </row>
    <row r="307" hidden="1">
      <c r="A307" s="202" t="s">
        <v>910</v>
      </c>
      <c r="B307" s="202" t="s">
        <v>911</v>
      </c>
      <c r="C307" s="231" t="s">
        <v>2523</v>
      </c>
      <c r="D307" s="202" t="s">
        <v>1170</v>
      </c>
      <c r="F307" s="233"/>
      <c r="G307" s="232">
        <v>5.0</v>
      </c>
      <c r="H307" s="232">
        <v>15.0</v>
      </c>
      <c r="I307" s="232">
        <v>20.0</v>
      </c>
      <c r="J307" s="234">
        <v>0.25</v>
      </c>
      <c r="K307" s="202" t="s">
        <v>1797</v>
      </c>
      <c r="L307" s="202">
        <v>5.325508088E9</v>
      </c>
      <c r="M307" s="202" t="s">
        <v>1172</v>
      </c>
      <c r="N307" s="202" t="s">
        <v>1379</v>
      </c>
      <c r="O307" s="202" t="s">
        <v>914</v>
      </c>
      <c r="P307" s="202" t="s">
        <v>2522</v>
      </c>
      <c r="Q307" s="235">
        <f>COUNTIF('Hedef Liste'!A:A,A307)</f>
        <v>1</v>
      </c>
    </row>
    <row r="308" hidden="1">
      <c r="A308" s="202" t="s">
        <v>668</v>
      </c>
      <c r="B308" s="202" t="s">
        <v>669</v>
      </c>
      <c r="C308" s="231" t="s">
        <v>2523</v>
      </c>
      <c r="D308" s="202" t="s">
        <v>1182</v>
      </c>
      <c r="E308" s="232">
        <v>422.0</v>
      </c>
      <c r="F308" s="232">
        <v>18.0</v>
      </c>
      <c r="G308" s="232">
        <v>6.0</v>
      </c>
      <c r="H308" s="232">
        <v>2.0</v>
      </c>
      <c r="I308" s="232">
        <v>8.0</v>
      </c>
      <c r="J308" s="234">
        <v>0.75</v>
      </c>
      <c r="K308" s="202" t="s">
        <v>1732</v>
      </c>
      <c r="L308" s="202">
        <v>5.061419208E9</v>
      </c>
      <c r="M308" s="202" t="s">
        <v>1147</v>
      </c>
      <c r="N308" s="202" t="s">
        <v>1362</v>
      </c>
      <c r="O308" s="202" t="s">
        <v>671</v>
      </c>
      <c r="P308" s="202" t="s">
        <v>2522</v>
      </c>
      <c r="Q308" s="235">
        <f>COUNTIF('Hedef Liste'!A:A,A308)</f>
        <v>1</v>
      </c>
    </row>
    <row r="309" hidden="1">
      <c r="A309" s="202" t="s">
        <v>815</v>
      </c>
      <c r="B309" s="202" t="s">
        <v>816</v>
      </c>
      <c r="C309" s="231" t="s">
        <v>2523</v>
      </c>
      <c r="D309" s="202" t="s">
        <v>1188</v>
      </c>
      <c r="E309" s="232">
        <v>6929.0</v>
      </c>
      <c r="F309" s="232">
        <v>75.0</v>
      </c>
      <c r="G309" s="232">
        <v>4.0</v>
      </c>
      <c r="H309" s="232">
        <v>14.0</v>
      </c>
      <c r="I309" s="232">
        <v>18.0</v>
      </c>
      <c r="J309" s="234">
        <v>0.22</v>
      </c>
      <c r="K309" s="202" t="s">
        <v>2481</v>
      </c>
      <c r="L309" s="202">
        <v>5.372159553E9</v>
      </c>
      <c r="M309" s="202" t="s">
        <v>1147</v>
      </c>
      <c r="N309" s="202" t="s">
        <v>1352</v>
      </c>
      <c r="O309" s="202" t="s">
        <v>819</v>
      </c>
      <c r="P309" s="202" t="s">
        <v>2522</v>
      </c>
      <c r="Q309" s="235">
        <f>COUNTIF('Hedef Liste'!A:A,A309)</f>
        <v>1</v>
      </c>
    </row>
    <row r="310" hidden="1">
      <c r="A310" s="202" t="s">
        <v>719</v>
      </c>
      <c r="B310" s="202" t="s">
        <v>720</v>
      </c>
      <c r="C310" s="231" t="s">
        <v>2523</v>
      </c>
      <c r="D310" s="202" t="s">
        <v>1170</v>
      </c>
      <c r="E310" s="232">
        <v>232.0</v>
      </c>
      <c r="F310" s="233"/>
      <c r="G310" s="232">
        <v>13.0</v>
      </c>
      <c r="H310" s="232">
        <v>6.0</v>
      </c>
      <c r="I310" s="232">
        <v>19.0</v>
      </c>
      <c r="J310" s="234">
        <v>0.68</v>
      </c>
      <c r="K310" s="202" t="s">
        <v>1648</v>
      </c>
      <c r="L310" s="202">
        <v>5.444558688E9</v>
      </c>
      <c r="M310" s="202" t="s">
        <v>1348</v>
      </c>
      <c r="N310" s="202" t="s">
        <v>2623</v>
      </c>
      <c r="O310" s="202" t="s">
        <v>723</v>
      </c>
      <c r="P310" s="202" t="s">
        <v>2522</v>
      </c>
      <c r="Q310" s="235">
        <f>COUNTIF('Hedef Liste'!A:A,A310)</f>
        <v>1</v>
      </c>
    </row>
    <row r="311" hidden="1">
      <c r="A311" s="202" t="s">
        <v>660</v>
      </c>
      <c r="B311" s="202" t="s">
        <v>661</v>
      </c>
      <c r="C311" s="231" t="s">
        <v>2523</v>
      </c>
      <c r="D311" s="202" t="s">
        <v>1226</v>
      </c>
      <c r="E311" s="232">
        <v>5640.0</v>
      </c>
      <c r="F311" s="233"/>
      <c r="G311" s="232">
        <v>10.0</v>
      </c>
      <c r="H311" s="232">
        <v>4.0</v>
      </c>
      <c r="I311" s="232">
        <v>14.0</v>
      </c>
      <c r="J311" s="234">
        <v>0.71</v>
      </c>
      <c r="K311" s="202" t="s">
        <v>1690</v>
      </c>
      <c r="L311" s="202">
        <v>5.523111217E9</v>
      </c>
      <c r="M311" s="202" t="s">
        <v>1147</v>
      </c>
      <c r="N311" s="202" t="s">
        <v>1164</v>
      </c>
      <c r="O311" s="202" t="s">
        <v>663</v>
      </c>
      <c r="P311" s="202" t="s">
        <v>2522</v>
      </c>
      <c r="Q311" s="235">
        <f>COUNTIF('Hedef Liste'!A:A,A311)</f>
        <v>1</v>
      </c>
    </row>
    <row r="312" hidden="1">
      <c r="A312" s="202" t="s">
        <v>2299</v>
      </c>
      <c r="B312" s="202" t="s">
        <v>2300</v>
      </c>
      <c r="C312" s="231" t="s">
        <v>2523</v>
      </c>
      <c r="D312" s="202" t="s">
        <v>1302</v>
      </c>
      <c r="E312" s="232">
        <v>150.0</v>
      </c>
      <c r="F312" s="233"/>
      <c r="G312" s="232">
        <v>0.0</v>
      </c>
      <c r="H312" s="232">
        <v>52.0</v>
      </c>
      <c r="I312" s="232">
        <v>52.0</v>
      </c>
      <c r="J312" s="234">
        <v>0.0</v>
      </c>
      <c r="K312" s="202" t="s">
        <v>2301</v>
      </c>
      <c r="L312" s="202">
        <v>5.458412868E9</v>
      </c>
      <c r="M312" s="202" t="s">
        <v>1318</v>
      </c>
      <c r="N312" s="202" t="s">
        <v>1319</v>
      </c>
      <c r="O312" s="202" t="s">
        <v>2302</v>
      </c>
      <c r="P312" s="202" t="s">
        <v>2522</v>
      </c>
      <c r="Q312" s="235">
        <f>COUNTIF('Hedef Liste'!A:A,A312)</f>
        <v>1</v>
      </c>
    </row>
    <row r="313" hidden="1">
      <c r="A313" s="202" t="s">
        <v>2744</v>
      </c>
      <c r="B313" s="202" t="s">
        <v>2745</v>
      </c>
      <c r="C313" s="231" t="s">
        <v>2523</v>
      </c>
      <c r="D313" s="202" t="s">
        <v>1145</v>
      </c>
      <c r="E313" s="232">
        <v>1390.0</v>
      </c>
      <c r="F313" s="233"/>
      <c r="G313" s="232">
        <v>98.0</v>
      </c>
      <c r="H313" s="232">
        <v>0.0</v>
      </c>
      <c r="I313" s="232">
        <v>98.0</v>
      </c>
      <c r="J313" s="234">
        <v>1.0</v>
      </c>
      <c r="K313" s="202" t="s">
        <v>2635</v>
      </c>
      <c r="L313" s="202">
        <v>2.64228339E9</v>
      </c>
      <c r="M313" s="202" t="s">
        <v>1147</v>
      </c>
      <c r="N313" s="202" t="s">
        <v>1164</v>
      </c>
      <c r="O313" s="202" t="s">
        <v>2746</v>
      </c>
      <c r="P313" s="202" t="s">
        <v>2531</v>
      </c>
      <c r="Q313" s="235">
        <f>COUNTIF('Hedef Liste'!A:A,A313)</f>
        <v>0</v>
      </c>
    </row>
    <row r="314" hidden="1">
      <c r="A314" s="202" t="s">
        <v>964</v>
      </c>
      <c r="B314" s="202" t="s">
        <v>2747</v>
      </c>
      <c r="C314" s="231" t="s">
        <v>2523</v>
      </c>
      <c r="D314" s="202" t="s">
        <v>1145</v>
      </c>
      <c r="E314" s="232">
        <v>400.0</v>
      </c>
      <c r="F314" s="232">
        <v>7.0</v>
      </c>
      <c r="G314" s="232">
        <v>0.0</v>
      </c>
      <c r="H314" s="232">
        <v>14.0</v>
      </c>
      <c r="I314" s="232">
        <v>14.0</v>
      </c>
      <c r="J314" s="234">
        <v>0.0</v>
      </c>
      <c r="K314" s="202" t="s">
        <v>1549</v>
      </c>
      <c r="L314" s="202">
        <v>5.536324854E9</v>
      </c>
      <c r="M314" s="202" t="s">
        <v>1147</v>
      </c>
      <c r="N314" s="202" t="s">
        <v>1157</v>
      </c>
      <c r="O314" s="202" t="s">
        <v>967</v>
      </c>
      <c r="P314" s="202" t="s">
        <v>2522</v>
      </c>
      <c r="Q314" s="235">
        <f>COUNTIF('Hedef Liste'!A:A,A314)</f>
        <v>1</v>
      </c>
    </row>
    <row r="315" hidden="1">
      <c r="A315" s="202" t="s">
        <v>2748</v>
      </c>
      <c r="B315" s="202" t="s">
        <v>2749</v>
      </c>
      <c r="C315" s="231" t="s">
        <v>2523</v>
      </c>
      <c r="D315" s="202" t="s">
        <v>1216</v>
      </c>
      <c r="E315" s="232">
        <v>4941.0</v>
      </c>
      <c r="F315" s="232">
        <v>143.0</v>
      </c>
      <c r="G315" s="232">
        <v>61.0</v>
      </c>
      <c r="H315" s="232">
        <v>2.0</v>
      </c>
      <c r="I315" s="232">
        <v>63.0</v>
      </c>
      <c r="J315" s="234">
        <v>0.97</v>
      </c>
      <c r="K315" s="202" t="s">
        <v>2750</v>
      </c>
      <c r="L315" s="202">
        <v>2.649991944E9</v>
      </c>
      <c r="M315" s="202" t="s">
        <v>1147</v>
      </c>
      <c r="N315" s="202" t="s">
        <v>1164</v>
      </c>
      <c r="O315" s="202" t="s">
        <v>2751</v>
      </c>
      <c r="P315" s="202" t="s">
        <v>2531</v>
      </c>
      <c r="Q315" s="235">
        <f>COUNTIF('Hedef Liste'!A:A,A315)</f>
        <v>0</v>
      </c>
    </row>
    <row r="316" hidden="1">
      <c r="A316" s="202" t="s">
        <v>2752</v>
      </c>
      <c r="B316" s="202" t="s">
        <v>2753</v>
      </c>
      <c r="C316" s="231" t="s">
        <v>2523</v>
      </c>
      <c r="D316" s="202" t="s">
        <v>1216</v>
      </c>
      <c r="E316" s="232">
        <v>1574.0</v>
      </c>
      <c r="F316" s="232">
        <v>45.0</v>
      </c>
      <c r="G316" s="232">
        <v>61.0</v>
      </c>
      <c r="H316" s="232">
        <v>2.0</v>
      </c>
      <c r="I316" s="232">
        <v>63.0</v>
      </c>
      <c r="J316" s="234">
        <v>0.97</v>
      </c>
      <c r="K316" s="202" t="s">
        <v>2750</v>
      </c>
      <c r="L316" s="202">
        <v>2.649991595E9</v>
      </c>
      <c r="M316" s="202" t="s">
        <v>1242</v>
      </c>
      <c r="N316" s="202" t="s">
        <v>1243</v>
      </c>
      <c r="O316" s="202" t="s">
        <v>2754</v>
      </c>
      <c r="P316" s="202" t="s">
        <v>2531</v>
      </c>
      <c r="Q316" s="235">
        <f>COUNTIF('Hedef Liste'!A:A,A316)</f>
        <v>0</v>
      </c>
    </row>
    <row r="317" hidden="1">
      <c r="A317" s="202" t="s">
        <v>1848</v>
      </c>
      <c r="B317" s="202" t="s">
        <v>1849</v>
      </c>
      <c r="C317" s="231" t="s">
        <v>2523</v>
      </c>
      <c r="D317" s="202" t="s">
        <v>1145</v>
      </c>
      <c r="E317" s="232">
        <v>22.0</v>
      </c>
      <c r="F317" s="233"/>
      <c r="G317" s="232">
        <v>0.0</v>
      </c>
      <c r="H317" s="232">
        <v>14.0</v>
      </c>
      <c r="I317" s="232">
        <v>14.0</v>
      </c>
      <c r="J317" s="234">
        <v>0.0</v>
      </c>
      <c r="K317" s="202" t="s">
        <v>1850</v>
      </c>
      <c r="L317" s="202">
        <v>5.457677429E9</v>
      </c>
      <c r="M317" s="202" t="s">
        <v>1172</v>
      </c>
      <c r="N317" s="202" t="s">
        <v>1336</v>
      </c>
      <c r="O317" s="202" t="s">
        <v>1851</v>
      </c>
      <c r="P317" s="202" t="s">
        <v>2522</v>
      </c>
      <c r="Q317" s="235">
        <f>COUNTIF('Hedef Liste'!A:A,A317)</f>
        <v>1</v>
      </c>
    </row>
    <row r="318" hidden="1">
      <c r="A318" s="202" t="s">
        <v>469</v>
      </c>
      <c r="B318" s="202" t="s">
        <v>470</v>
      </c>
      <c r="C318" s="231" t="s">
        <v>2523</v>
      </c>
      <c r="D318" s="202" t="s">
        <v>1226</v>
      </c>
      <c r="E318" s="232">
        <v>473.0</v>
      </c>
      <c r="F318" s="232">
        <v>6.0</v>
      </c>
      <c r="G318" s="232">
        <v>8.0</v>
      </c>
      <c r="H318" s="232">
        <v>7.0</v>
      </c>
      <c r="I318" s="232">
        <v>15.0</v>
      </c>
      <c r="J318" s="234">
        <v>0.53</v>
      </c>
      <c r="K318" s="202" t="s">
        <v>1775</v>
      </c>
      <c r="L318" s="202">
        <v>5.301179139E9</v>
      </c>
      <c r="M318" s="202" t="s">
        <v>1172</v>
      </c>
      <c r="N318" s="202" t="s">
        <v>1164</v>
      </c>
      <c r="O318" s="202" t="s">
        <v>473</v>
      </c>
      <c r="P318" s="202" t="s">
        <v>2522</v>
      </c>
      <c r="Q318" s="235">
        <f>COUNTIF('Hedef Liste'!A:A,A318)</f>
        <v>1</v>
      </c>
    </row>
    <row r="319" hidden="1">
      <c r="A319" s="202" t="s">
        <v>2440</v>
      </c>
      <c r="B319" s="202" t="s">
        <v>2441</v>
      </c>
      <c r="C319" s="231" t="s">
        <v>2521</v>
      </c>
      <c r="D319" s="202" t="s">
        <v>1162</v>
      </c>
      <c r="E319" s="232">
        <v>66.0</v>
      </c>
      <c r="F319" s="233"/>
      <c r="G319" s="232">
        <v>0.0</v>
      </c>
      <c r="H319" s="232">
        <v>11.0</v>
      </c>
      <c r="I319" s="232">
        <v>11.0</v>
      </c>
      <c r="J319" s="234">
        <v>0.0</v>
      </c>
      <c r="K319" s="202" t="s">
        <v>2442</v>
      </c>
      <c r="L319" s="202">
        <v>5.426454154E9</v>
      </c>
      <c r="M319" s="202" t="s">
        <v>1348</v>
      </c>
      <c r="N319" s="202" t="s">
        <v>2623</v>
      </c>
      <c r="O319" s="202" t="s">
        <v>2443</v>
      </c>
      <c r="P319" s="202" t="s">
        <v>2522</v>
      </c>
      <c r="Q319" s="235">
        <f>COUNTIF('Hedef Liste'!A:A,A319)</f>
        <v>1</v>
      </c>
    </row>
    <row r="320" hidden="1">
      <c r="A320" s="202" t="s">
        <v>1153</v>
      </c>
      <c r="B320" s="202" t="s">
        <v>1154</v>
      </c>
      <c r="C320" s="231" t="s">
        <v>2523</v>
      </c>
      <c r="D320" s="202" t="s">
        <v>1155</v>
      </c>
      <c r="E320" s="232">
        <v>120.0</v>
      </c>
      <c r="F320" s="233"/>
      <c r="G320" s="232">
        <v>0.0</v>
      </c>
      <c r="H320" s="232">
        <v>41.0</v>
      </c>
      <c r="I320" s="232">
        <v>41.0</v>
      </c>
      <c r="J320" s="234">
        <v>0.0</v>
      </c>
      <c r="K320" s="202" t="s">
        <v>1156</v>
      </c>
      <c r="L320" s="202">
        <v>5.380593677E9</v>
      </c>
      <c r="M320" s="202" t="s">
        <v>1147</v>
      </c>
      <c r="N320" s="202" t="s">
        <v>1157</v>
      </c>
      <c r="O320" s="202" t="s">
        <v>1158</v>
      </c>
      <c r="P320" s="202" t="s">
        <v>2522</v>
      </c>
      <c r="Q320" s="235">
        <f>COUNTIF('Hedef Liste'!A:A,A320)</f>
        <v>1</v>
      </c>
    </row>
    <row r="321" hidden="1">
      <c r="A321" s="202" t="s">
        <v>106</v>
      </c>
      <c r="B321" s="202" t="s">
        <v>107</v>
      </c>
      <c r="C321" s="231" t="s">
        <v>2523</v>
      </c>
      <c r="D321" s="202" t="s">
        <v>1188</v>
      </c>
      <c r="E321" s="232">
        <v>906.0</v>
      </c>
      <c r="F321" s="233"/>
      <c r="G321" s="232">
        <v>8.0</v>
      </c>
      <c r="H321" s="232">
        <v>5.0</v>
      </c>
      <c r="I321" s="232">
        <v>13.0</v>
      </c>
      <c r="J321" s="234">
        <v>0.62</v>
      </c>
      <c r="K321" s="202" t="s">
        <v>1391</v>
      </c>
      <c r="L321" s="202">
        <v>5.537510354E9</v>
      </c>
      <c r="M321" s="202" t="s">
        <v>1177</v>
      </c>
      <c r="N321" s="202" t="s">
        <v>2384</v>
      </c>
      <c r="O321" s="202" t="s">
        <v>111</v>
      </c>
      <c r="P321" s="202" t="s">
        <v>2522</v>
      </c>
      <c r="Q321" s="235">
        <f>COUNTIF('Hedef Liste'!A:A,A321)</f>
        <v>1</v>
      </c>
    </row>
    <row r="322" hidden="1">
      <c r="A322" s="202" t="s">
        <v>1967</v>
      </c>
      <c r="B322" s="202" t="s">
        <v>1968</v>
      </c>
      <c r="C322" s="231" t="s">
        <v>2521</v>
      </c>
      <c r="D322" s="202" t="s">
        <v>1162</v>
      </c>
      <c r="E322" s="232">
        <v>119.0</v>
      </c>
      <c r="F322" s="233"/>
      <c r="G322" s="232">
        <v>0.0</v>
      </c>
      <c r="H322" s="232">
        <v>9.0</v>
      </c>
      <c r="I322" s="232">
        <v>9.0</v>
      </c>
      <c r="J322" s="234">
        <v>0.0</v>
      </c>
      <c r="K322" s="202" t="s">
        <v>1969</v>
      </c>
      <c r="L322" s="202">
        <v>5.337900085E9</v>
      </c>
      <c r="M322" s="202" t="s">
        <v>1172</v>
      </c>
      <c r="N322" s="202" t="s">
        <v>1859</v>
      </c>
      <c r="O322" s="202" t="s">
        <v>1970</v>
      </c>
      <c r="P322" s="202" t="s">
        <v>2522</v>
      </c>
      <c r="Q322" s="235">
        <f>COUNTIF('Hedef Liste'!A:A,A322)</f>
        <v>1</v>
      </c>
    </row>
    <row r="323" hidden="1">
      <c r="A323" s="202" t="s">
        <v>2755</v>
      </c>
      <c r="B323" s="202" t="s">
        <v>2756</v>
      </c>
      <c r="C323" s="231" t="s">
        <v>2523</v>
      </c>
      <c r="D323" s="202" t="s">
        <v>1216</v>
      </c>
      <c r="E323" s="232">
        <v>2746.0</v>
      </c>
      <c r="F323" s="233"/>
      <c r="G323" s="232">
        <v>60.0</v>
      </c>
      <c r="H323" s="232">
        <v>2.0</v>
      </c>
      <c r="I323" s="232">
        <v>62.0</v>
      </c>
      <c r="J323" s="234">
        <v>0.97</v>
      </c>
      <c r="K323" s="202" t="s">
        <v>2750</v>
      </c>
      <c r="L323" s="202">
        <v>2.649991707E9</v>
      </c>
      <c r="M323" s="202" t="s">
        <v>1172</v>
      </c>
      <c r="N323" s="202" t="s">
        <v>1379</v>
      </c>
      <c r="O323" s="202" t="s">
        <v>2757</v>
      </c>
      <c r="P323" s="202" t="s">
        <v>2531</v>
      </c>
      <c r="Q323" s="235">
        <f>COUNTIF('Hedef Liste'!A:A,A323)</f>
        <v>0</v>
      </c>
    </row>
    <row r="324" hidden="1">
      <c r="A324" s="202" t="s">
        <v>2367</v>
      </c>
      <c r="B324" s="202" t="s">
        <v>2368</v>
      </c>
      <c r="C324" s="231" t="s">
        <v>2523</v>
      </c>
      <c r="D324" s="202" t="s">
        <v>1281</v>
      </c>
      <c r="E324" s="232">
        <v>2109.0</v>
      </c>
      <c r="F324" s="232">
        <v>153.0</v>
      </c>
      <c r="G324" s="232">
        <v>0.0</v>
      </c>
      <c r="H324" s="232">
        <v>27.0</v>
      </c>
      <c r="I324" s="232">
        <v>27.0</v>
      </c>
      <c r="J324" s="234">
        <v>0.0</v>
      </c>
      <c r="K324" s="202" t="s">
        <v>2369</v>
      </c>
      <c r="L324" s="202">
        <v>5.317851653E9</v>
      </c>
      <c r="M324" s="202" t="s">
        <v>1147</v>
      </c>
      <c r="N324" s="202" t="s">
        <v>1164</v>
      </c>
      <c r="O324" s="202" t="s">
        <v>2370</v>
      </c>
      <c r="P324" s="202" t="s">
        <v>2522</v>
      </c>
      <c r="Q324" s="235">
        <f>COUNTIF('Hedef Liste'!A:A,A324)</f>
        <v>1</v>
      </c>
    </row>
    <row r="325" hidden="1">
      <c r="A325" s="202" t="s">
        <v>885</v>
      </c>
      <c r="B325" s="202" t="s">
        <v>886</v>
      </c>
      <c r="C325" s="231" t="s">
        <v>2521</v>
      </c>
      <c r="D325" s="202" t="s">
        <v>1182</v>
      </c>
      <c r="E325" s="232">
        <v>1.0</v>
      </c>
      <c r="F325" s="233"/>
      <c r="G325" s="232">
        <v>8.0</v>
      </c>
      <c r="H325" s="232">
        <v>6.0</v>
      </c>
      <c r="I325" s="232">
        <v>14.0</v>
      </c>
      <c r="J325" s="234">
        <v>0.57</v>
      </c>
      <c r="K325" s="202" t="s">
        <v>1634</v>
      </c>
      <c r="L325" s="202">
        <v>5.301786658E9</v>
      </c>
      <c r="M325" s="202" t="s">
        <v>1147</v>
      </c>
      <c r="N325" s="202" t="s">
        <v>1218</v>
      </c>
      <c r="O325" s="202" t="s">
        <v>889</v>
      </c>
      <c r="P325" s="202" t="s">
        <v>2522</v>
      </c>
      <c r="Q325" s="235">
        <f>COUNTIF('Hedef Liste'!A:A,A325)</f>
        <v>1</v>
      </c>
    </row>
    <row r="326" hidden="1">
      <c r="A326" s="202" t="s">
        <v>2068</v>
      </c>
      <c r="B326" s="202" t="s">
        <v>2069</v>
      </c>
      <c r="C326" s="231" t="s">
        <v>2523</v>
      </c>
      <c r="D326" s="202" t="s">
        <v>1188</v>
      </c>
      <c r="E326" s="232">
        <v>2968.0</v>
      </c>
      <c r="F326" s="232">
        <v>201.0</v>
      </c>
      <c r="G326" s="232">
        <v>0.0</v>
      </c>
      <c r="H326" s="232">
        <v>23.0</v>
      </c>
      <c r="I326" s="232">
        <v>23.0</v>
      </c>
      <c r="J326" s="234">
        <v>0.0</v>
      </c>
      <c r="K326" s="202" t="s">
        <v>1923</v>
      </c>
      <c r="L326" s="202">
        <v>5.350100013E9</v>
      </c>
      <c r="M326" s="202" t="s">
        <v>1147</v>
      </c>
      <c r="N326" s="202" t="s">
        <v>1164</v>
      </c>
      <c r="O326" s="202" t="s">
        <v>1014</v>
      </c>
      <c r="P326" s="202" t="s">
        <v>2522</v>
      </c>
      <c r="Q326" s="235">
        <f>COUNTIF('Hedef Liste'!A:A,A326)</f>
        <v>1</v>
      </c>
    </row>
    <row r="327" hidden="1">
      <c r="A327" s="202" t="s">
        <v>1638</v>
      </c>
      <c r="B327" s="202" t="s">
        <v>1639</v>
      </c>
      <c r="C327" s="231" t="s">
        <v>2523</v>
      </c>
      <c r="D327" s="202" t="s">
        <v>1170</v>
      </c>
      <c r="E327" s="232">
        <v>20.0</v>
      </c>
      <c r="F327" s="232">
        <v>1.0</v>
      </c>
      <c r="G327" s="232">
        <v>2.0</v>
      </c>
      <c r="H327" s="232">
        <v>24.0</v>
      </c>
      <c r="I327" s="232">
        <v>26.0</v>
      </c>
      <c r="J327" s="234">
        <v>0.08</v>
      </c>
      <c r="K327" s="202" t="s">
        <v>1640</v>
      </c>
      <c r="L327" s="202">
        <v>5.438845999E9</v>
      </c>
      <c r="M327" s="202" t="s">
        <v>1147</v>
      </c>
      <c r="N327" s="202" t="s">
        <v>1164</v>
      </c>
      <c r="O327" s="202" t="s">
        <v>1641</v>
      </c>
      <c r="P327" s="202" t="s">
        <v>2522</v>
      </c>
      <c r="Q327" s="235">
        <f>COUNTIF('Hedef Liste'!A:A,A327)</f>
        <v>1</v>
      </c>
    </row>
    <row r="328" hidden="1">
      <c r="A328" s="202" t="s">
        <v>2331</v>
      </c>
      <c r="B328" s="202" t="s">
        <v>2332</v>
      </c>
      <c r="C328" s="231" t="s">
        <v>2523</v>
      </c>
      <c r="D328" s="202" t="s">
        <v>1162</v>
      </c>
      <c r="E328" s="232">
        <v>15.0</v>
      </c>
      <c r="F328" s="233"/>
      <c r="G328" s="232">
        <v>0.0</v>
      </c>
      <c r="H328" s="232">
        <v>40.0</v>
      </c>
      <c r="I328" s="232">
        <v>40.0</v>
      </c>
      <c r="J328" s="234">
        <v>0.0</v>
      </c>
      <c r="K328" s="202" t="s">
        <v>2333</v>
      </c>
      <c r="L328" s="202">
        <v>5.383161453E9</v>
      </c>
      <c r="M328" s="202" t="s">
        <v>1679</v>
      </c>
      <c r="N328" s="202" t="s">
        <v>1811</v>
      </c>
      <c r="O328" s="202" t="s">
        <v>2334</v>
      </c>
      <c r="P328" s="202" t="s">
        <v>2522</v>
      </c>
      <c r="Q328" s="235">
        <f>COUNTIF('Hedef Liste'!A:A,A328)</f>
        <v>1</v>
      </c>
    </row>
    <row r="329" hidden="1">
      <c r="A329" s="202" t="s">
        <v>1002</v>
      </c>
      <c r="B329" s="202" t="s">
        <v>1003</v>
      </c>
      <c r="C329" s="231" t="s">
        <v>2523</v>
      </c>
      <c r="D329" s="202" t="s">
        <v>1256</v>
      </c>
      <c r="E329" s="232">
        <v>383.0</v>
      </c>
      <c r="F329" s="232">
        <v>132.0</v>
      </c>
      <c r="G329" s="232">
        <v>52.0</v>
      </c>
      <c r="H329" s="232">
        <v>18.0</v>
      </c>
      <c r="I329" s="232">
        <v>70.0</v>
      </c>
      <c r="J329" s="234">
        <v>0.74</v>
      </c>
      <c r="K329" s="202" t="s">
        <v>1257</v>
      </c>
      <c r="L329" s="202">
        <v>5.323403401E9</v>
      </c>
      <c r="M329" s="202" t="s">
        <v>1147</v>
      </c>
      <c r="N329" s="202" t="s">
        <v>1148</v>
      </c>
      <c r="O329" s="202" t="s">
        <v>1005</v>
      </c>
      <c r="P329" s="202" t="s">
        <v>2522</v>
      </c>
      <c r="Q329" s="235">
        <f>COUNTIF('Hedef Liste'!A:A,A329)</f>
        <v>1</v>
      </c>
    </row>
    <row r="330" hidden="1">
      <c r="A330" s="202" t="s">
        <v>2177</v>
      </c>
      <c r="B330" s="202" t="s">
        <v>2178</v>
      </c>
      <c r="C330" s="231" t="s">
        <v>2523</v>
      </c>
      <c r="D330" s="202" t="s">
        <v>1145</v>
      </c>
      <c r="E330" s="232">
        <v>4667.0</v>
      </c>
      <c r="F330" s="232">
        <v>163.0</v>
      </c>
      <c r="G330" s="232">
        <v>27.0</v>
      </c>
      <c r="H330" s="232">
        <v>24.0</v>
      </c>
      <c r="I330" s="232">
        <v>51.0</v>
      </c>
      <c r="J330" s="234">
        <v>0.53</v>
      </c>
      <c r="K330" s="202" t="s">
        <v>2758</v>
      </c>
      <c r="L330" s="202">
        <v>2.647772732E9</v>
      </c>
      <c r="M330" s="202" t="s">
        <v>1172</v>
      </c>
      <c r="N330" s="202" t="s">
        <v>1379</v>
      </c>
      <c r="O330" s="202" t="s">
        <v>2180</v>
      </c>
      <c r="P330" s="202" t="s">
        <v>2531</v>
      </c>
      <c r="Q330" s="235">
        <f>COUNTIF('Hedef Liste'!A:A,A330)</f>
        <v>1</v>
      </c>
    </row>
    <row r="331" hidden="1">
      <c r="A331" s="202" t="s">
        <v>1314</v>
      </c>
      <c r="B331" s="202" t="s">
        <v>1315</v>
      </c>
      <c r="C331" s="231" t="s">
        <v>2523</v>
      </c>
      <c r="D331" s="202" t="s">
        <v>1316</v>
      </c>
      <c r="E331" s="232">
        <v>8.0</v>
      </c>
      <c r="F331" s="233"/>
      <c r="G331" s="232">
        <v>0.0</v>
      </c>
      <c r="H331" s="232">
        <v>11.0</v>
      </c>
      <c r="I331" s="232">
        <v>11.0</v>
      </c>
      <c r="J331" s="234">
        <v>0.0</v>
      </c>
      <c r="K331" s="202" t="s">
        <v>1317</v>
      </c>
      <c r="L331" s="202">
        <v>5.382918185E9</v>
      </c>
      <c r="M331" s="202" t="s">
        <v>1318</v>
      </c>
      <c r="N331" s="202" t="s">
        <v>1319</v>
      </c>
      <c r="O331" s="202" t="s">
        <v>1320</v>
      </c>
      <c r="P331" s="202" t="s">
        <v>2522</v>
      </c>
      <c r="Q331" s="235">
        <f>COUNTIF('Hedef Liste'!A:A,A331)</f>
        <v>1</v>
      </c>
    </row>
    <row r="332" hidden="1">
      <c r="A332" s="202" t="s">
        <v>1339</v>
      </c>
      <c r="B332" s="202" t="s">
        <v>1340</v>
      </c>
      <c r="C332" s="231" t="s">
        <v>2523</v>
      </c>
      <c r="D332" s="202" t="s">
        <v>1341</v>
      </c>
      <c r="E332" s="232">
        <v>34.0</v>
      </c>
      <c r="F332" s="233"/>
      <c r="G332" s="232">
        <v>0.0</v>
      </c>
      <c r="H332" s="232">
        <v>23.0</v>
      </c>
      <c r="I332" s="232">
        <v>23.0</v>
      </c>
      <c r="J332" s="234">
        <v>0.0</v>
      </c>
      <c r="K332" s="202" t="s">
        <v>1342</v>
      </c>
      <c r="L332" s="202">
        <v>5.161669161E9</v>
      </c>
      <c r="M332" s="202" t="s">
        <v>1147</v>
      </c>
      <c r="N332" s="202" t="s">
        <v>1164</v>
      </c>
      <c r="O332" s="202" t="s">
        <v>315</v>
      </c>
      <c r="P332" s="202" t="s">
        <v>2522</v>
      </c>
      <c r="Q332" s="235">
        <f>COUNTIF('Hedef Liste'!A:A,A332)</f>
        <v>1</v>
      </c>
    </row>
    <row r="333" hidden="1">
      <c r="A333" s="202" t="s">
        <v>1761</v>
      </c>
      <c r="B333" s="202" t="s">
        <v>1762</v>
      </c>
      <c r="C333" s="231" t="s">
        <v>2523</v>
      </c>
      <c r="D333" s="202" t="s">
        <v>1145</v>
      </c>
      <c r="E333" s="232">
        <v>24.0</v>
      </c>
      <c r="F333" s="232">
        <v>2.0</v>
      </c>
      <c r="G333" s="232">
        <v>0.0</v>
      </c>
      <c r="H333" s="232">
        <v>5.0</v>
      </c>
      <c r="I333" s="232">
        <v>5.0</v>
      </c>
      <c r="J333" s="234">
        <v>0.0</v>
      </c>
      <c r="K333" s="202" t="s">
        <v>1763</v>
      </c>
      <c r="L333" s="202">
        <v>5.34290257E9</v>
      </c>
      <c r="M333" s="202" t="s">
        <v>1147</v>
      </c>
      <c r="N333" s="202" t="s">
        <v>2557</v>
      </c>
      <c r="O333" s="202" t="s">
        <v>1764</v>
      </c>
      <c r="P333" s="202" t="s">
        <v>2522</v>
      </c>
      <c r="Q333" s="235">
        <f>COUNTIF('Hedef Liste'!A:A,A333)</f>
        <v>1</v>
      </c>
    </row>
    <row r="334" hidden="1">
      <c r="A334" s="202" t="s">
        <v>1205</v>
      </c>
      <c r="B334" s="202" t="s">
        <v>1206</v>
      </c>
      <c r="C334" s="231" t="s">
        <v>2521</v>
      </c>
      <c r="D334" s="202" t="s">
        <v>1170</v>
      </c>
      <c r="E334" s="232">
        <v>21.0</v>
      </c>
      <c r="F334" s="233"/>
      <c r="G334" s="232">
        <v>0.0</v>
      </c>
      <c r="H334" s="232">
        <v>6.0</v>
      </c>
      <c r="I334" s="232">
        <v>6.0</v>
      </c>
      <c r="J334" s="234">
        <v>0.0</v>
      </c>
      <c r="K334" s="202" t="s">
        <v>1207</v>
      </c>
      <c r="L334" s="202">
        <v>5.52828321E9</v>
      </c>
      <c r="M334" s="202" t="s">
        <v>1147</v>
      </c>
      <c r="N334" s="202" t="s">
        <v>1148</v>
      </c>
      <c r="O334" s="202" t="s">
        <v>1208</v>
      </c>
      <c r="P334" s="202" t="s">
        <v>2522</v>
      </c>
      <c r="Q334" s="235">
        <f>COUNTIF('Hedef Liste'!A:A,A334)</f>
        <v>1</v>
      </c>
    </row>
    <row r="335" hidden="1">
      <c r="A335" s="202" t="s">
        <v>2312</v>
      </c>
      <c r="B335" s="202" t="s">
        <v>2313</v>
      </c>
      <c r="C335" s="231" t="s">
        <v>2523</v>
      </c>
      <c r="D335" s="202" t="s">
        <v>1188</v>
      </c>
      <c r="E335" s="232">
        <v>7481.0</v>
      </c>
      <c r="F335" s="232">
        <v>1054.0</v>
      </c>
      <c r="G335" s="232">
        <v>0.0</v>
      </c>
      <c r="H335" s="232">
        <v>17.0</v>
      </c>
      <c r="I335" s="232">
        <v>17.0</v>
      </c>
      <c r="J335" s="234">
        <v>0.0</v>
      </c>
      <c r="K335" s="202" t="s">
        <v>2314</v>
      </c>
      <c r="L335" s="202">
        <v>5.357484729E9</v>
      </c>
      <c r="M335" s="202" t="s">
        <v>1147</v>
      </c>
      <c r="N335" s="202" t="s">
        <v>1157</v>
      </c>
      <c r="O335" s="202" t="s">
        <v>2315</v>
      </c>
      <c r="P335" s="202" t="s">
        <v>2522</v>
      </c>
      <c r="Q335" s="235">
        <f>COUNTIF('Hedef Liste'!A:A,A335)</f>
        <v>1</v>
      </c>
    </row>
    <row r="336" hidden="1">
      <c r="A336" s="202" t="s">
        <v>1033</v>
      </c>
      <c r="B336" s="202" t="s">
        <v>1034</v>
      </c>
      <c r="C336" s="231" t="s">
        <v>2523</v>
      </c>
      <c r="D336" s="202" t="s">
        <v>1182</v>
      </c>
      <c r="E336" s="232">
        <v>127.0</v>
      </c>
      <c r="F336" s="232">
        <v>4.0</v>
      </c>
      <c r="G336" s="232">
        <v>0.0</v>
      </c>
      <c r="H336" s="232">
        <v>16.0</v>
      </c>
      <c r="I336" s="232">
        <v>16.0</v>
      </c>
      <c r="J336" s="234">
        <v>0.0</v>
      </c>
      <c r="K336" s="202" t="s">
        <v>1873</v>
      </c>
      <c r="L336" s="202">
        <v>5.330149254E9</v>
      </c>
      <c r="M336" s="202" t="s">
        <v>1172</v>
      </c>
      <c r="N336" s="202" t="s">
        <v>1874</v>
      </c>
      <c r="O336" s="202" t="s">
        <v>1037</v>
      </c>
      <c r="P336" s="202" t="s">
        <v>2522</v>
      </c>
      <c r="Q336" s="235">
        <f>COUNTIF('Hedef Liste'!A:A,A336)</f>
        <v>1</v>
      </c>
    </row>
    <row r="337" hidden="1">
      <c r="A337" s="202" t="s">
        <v>1321</v>
      </c>
      <c r="B337" s="202" t="s">
        <v>1322</v>
      </c>
      <c r="C337" s="231" t="s">
        <v>2523</v>
      </c>
      <c r="D337" s="202" t="s">
        <v>1145</v>
      </c>
      <c r="E337" s="233"/>
      <c r="F337" s="233"/>
      <c r="G337" s="232">
        <v>0.0</v>
      </c>
      <c r="H337" s="232">
        <v>62.0</v>
      </c>
      <c r="I337" s="232">
        <v>62.0</v>
      </c>
      <c r="J337" s="234">
        <v>0.0</v>
      </c>
      <c r="K337" s="202" t="s">
        <v>1323</v>
      </c>
      <c r="L337" s="202">
        <v>5.491323535E9</v>
      </c>
      <c r="M337" s="202" t="s">
        <v>1318</v>
      </c>
      <c r="N337" s="202" t="s">
        <v>1324</v>
      </c>
      <c r="O337" s="202" t="s">
        <v>1325</v>
      </c>
      <c r="P337" s="202" t="s">
        <v>2522</v>
      </c>
      <c r="Q337" s="235">
        <f>COUNTIF('Hedef Liste'!A:A,A337)</f>
        <v>1</v>
      </c>
    </row>
    <row r="338" hidden="1">
      <c r="A338" s="202" t="s">
        <v>1422</v>
      </c>
      <c r="B338" s="202" t="s">
        <v>1423</v>
      </c>
      <c r="C338" s="231" t="s">
        <v>2523</v>
      </c>
      <c r="D338" s="202" t="s">
        <v>1170</v>
      </c>
      <c r="E338" s="232">
        <v>133.0</v>
      </c>
      <c r="F338" s="233"/>
      <c r="G338" s="232">
        <v>0.0</v>
      </c>
      <c r="H338" s="232">
        <v>29.0</v>
      </c>
      <c r="I338" s="232">
        <v>29.0</v>
      </c>
      <c r="J338" s="234">
        <v>0.0</v>
      </c>
      <c r="K338" s="202" t="s">
        <v>1424</v>
      </c>
      <c r="L338" s="202">
        <v>5.4179701E9</v>
      </c>
      <c r="M338" s="202" t="s">
        <v>1147</v>
      </c>
      <c r="N338" s="202" t="s">
        <v>1200</v>
      </c>
      <c r="O338" s="202" t="s">
        <v>1425</v>
      </c>
      <c r="P338" s="202" t="s">
        <v>2522</v>
      </c>
      <c r="Q338" s="235">
        <f>COUNTIF('Hedef Liste'!A:A,A338)</f>
        <v>1</v>
      </c>
    </row>
    <row r="339" hidden="1">
      <c r="A339" s="202" t="s">
        <v>2759</v>
      </c>
      <c r="B339" s="202" t="s">
        <v>2760</v>
      </c>
      <c r="C339" s="231" t="s">
        <v>2523</v>
      </c>
      <c r="D339" s="202" t="s">
        <v>1175</v>
      </c>
      <c r="E339" s="232">
        <v>1278.0</v>
      </c>
      <c r="F339" s="232">
        <v>47.0</v>
      </c>
      <c r="G339" s="232">
        <v>2.0</v>
      </c>
      <c r="H339" s="232">
        <v>19.0</v>
      </c>
      <c r="I339" s="232">
        <v>21.0</v>
      </c>
      <c r="J339" s="234">
        <v>0.1</v>
      </c>
      <c r="K339" s="202" t="s">
        <v>2761</v>
      </c>
      <c r="L339" s="202">
        <v>2.646662626E9</v>
      </c>
      <c r="M339" s="202" t="s">
        <v>1147</v>
      </c>
      <c r="N339" s="202" t="s">
        <v>1362</v>
      </c>
      <c r="O339" s="202" t="s">
        <v>2762</v>
      </c>
      <c r="P339" s="202" t="s">
        <v>2531</v>
      </c>
      <c r="Q339" s="235">
        <f>COUNTIF('Hedef Liste'!A:A,A339)</f>
        <v>0</v>
      </c>
    </row>
    <row r="340" hidden="1">
      <c r="A340" s="202" t="s">
        <v>2763</v>
      </c>
      <c r="B340" s="202" t="s">
        <v>2764</v>
      </c>
      <c r="C340" s="231" t="s">
        <v>2523</v>
      </c>
      <c r="D340" s="202" t="s">
        <v>1145</v>
      </c>
      <c r="E340" s="232">
        <v>453.0</v>
      </c>
      <c r="F340" s="232">
        <v>57.0</v>
      </c>
      <c r="G340" s="232">
        <v>169.0</v>
      </c>
      <c r="H340" s="232">
        <v>0.0</v>
      </c>
      <c r="I340" s="232">
        <v>169.0</v>
      </c>
      <c r="J340" s="234">
        <v>1.0</v>
      </c>
      <c r="K340" s="202" t="s">
        <v>2571</v>
      </c>
      <c r="L340" s="202">
        <v>9.999999999E9</v>
      </c>
      <c r="M340" s="202" t="s">
        <v>1172</v>
      </c>
      <c r="N340" s="202" t="s">
        <v>1874</v>
      </c>
      <c r="O340" s="202" t="s">
        <v>2765</v>
      </c>
      <c r="P340" s="202" t="s">
        <v>2531</v>
      </c>
      <c r="Q340" s="235">
        <f>COUNTIF('Hedef Liste'!A:A,A340)</f>
        <v>0</v>
      </c>
    </row>
    <row r="341" hidden="1">
      <c r="A341" s="202" t="s">
        <v>987</v>
      </c>
      <c r="B341" s="202" t="s">
        <v>988</v>
      </c>
      <c r="C341" s="231" t="s">
        <v>2523</v>
      </c>
      <c r="D341" s="202" t="s">
        <v>1188</v>
      </c>
      <c r="E341" s="232">
        <v>1955.0</v>
      </c>
      <c r="F341" s="232">
        <v>102.0</v>
      </c>
      <c r="G341" s="232">
        <v>14.0</v>
      </c>
      <c r="H341" s="232">
        <v>13.0</v>
      </c>
      <c r="I341" s="232">
        <v>27.0</v>
      </c>
      <c r="J341" s="234">
        <v>0.52</v>
      </c>
      <c r="K341" s="202" t="s">
        <v>1925</v>
      </c>
      <c r="L341" s="202">
        <v>2.642771011E9</v>
      </c>
      <c r="M341" s="202" t="s">
        <v>1172</v>
      </c>
      <c r="N341" s="202" t="s">
        <v>1190</v>
      </c>
      <c r="O341" s="202" t="s">
        <v>990</v>
      </c>
      <c r="P341" s="202" t="s">
        <v>2522</v>
      </c>
      <c r="Q341" s="235">
        <f>COUNTIF('Hedef Liste'!A:A,A341)</f>
        <v>1</v>
      </c>
    </row>
    <row r="342" hidden="1">
      <c r="A342" s="202" t="s">
        <v>1867</v>
      </c>
      <c r="B342" s="202" t="s">
        <v>1868</v>
      </c>
      <c r="C342" s="231" t="s">
        <v>2523</v>
      </c>
      <c r="D342" s="202" t="s">
        <v>1869</v>
      </c>
      <c r="E342" s="232">
        <v>246.0</v>
      </c>
      <c r="F342" s="232">
        <v>32.0</v>
      </c>
      <c r="G342" s="232">
        <v>0.0</v>
      </c>
      <c r="H342" s="232">
        <v>11.0</v>
      </c>
      <c r="I342" s="232">
        <v>11.0</v>
      </c>
      <c r="J342" s="234">
        <v>0.0</v>
      </c>
      <c r="K342" s="202" t="s">
        <v>1870</v>
      </c>
      <c r="L342" s="202">
        <v>5.315239294E9</v>
      </c>
      <c r="M342" s="202" t="s">
        <v>1147</v>
      </c>
      <c r="N342" s="202" t="s">
        <v>1200</v>
      </c>
      <c r="O342" s="202" t="s">
        <v>1564</v>
      </c>
      <c r="P342" s="202" t="s">
        <v>2522</v>
      </c>
      <c r="Q342" s="235">
        <f>COUNTIF('Hedef Liste'!A:A,A342)</f>
        <v>1</v>
      </c>
    </row>
    <row r="343" hidden="1">
      <c r="A343" s="202" t="s">
        <v>2322</v>
      </c>
      <c r="B343" s="202" t="s">
        <v>2323</v>
      </c>
      <c r="C343" s="231" t="s">
        <v>2523</v>
      </c>
      <c r="D343" s="202" t="s">
        <v>1235</v>
      </c>
      <c r="E343" s="232">
        <v>100.0</v>
      </c>
      <c r="F343" s="233"/>
      <c r="G343" s="232">
        <v>0.0</v>
      </c>
      <c r="H343" s="232">
        <v>46.0</v>
      </c>
      <c r="I343" s="232">
        <v>46.0</v>
      </c>
      <c r="J343" s="234">
        <v>0.0</v>
      </c>
      <c r="K343" s="202" t="s">
        <v>2324</v>
      </c>
      <c r="L343" s="202">
        <v>5.462270031E9</v>
      </c>
      <c r="M343" s="202" t="s">
        <v>1147</v>
      </c>
      <c r="N343" s="202" t="s">
        <v>1148</v>
      </c>
      <c r="O343" s="202" t="s">
        <v>2325</v>
      </c>
      <c r="P343" s="202" t="s">
        <v>2522</v>
      </c>
      <c r="Q343" s="235">
        <f>COUNTIF('Hedef Liste'!A:A,A343)</f>
        <v>1</v>
      </c>
    </row>
    <row r="344" hidden="1">
      <c r="A344" s="202" t="s">
        <v>685</v>
      </c>
      <c r="B344" s="202" t="s">
        <v>686</v>
      </c>
      <c r="C344" s="231" t="s">
        <v>2523</v>
      </c>
      <c r="D344" s="202" t="s">
        <v>1188</v>
      </c>
      <c r="E344" s="232">
        <v>8222.0</v>
      </c>
      <c r="F344" s="232">
        <v>317.0</v>
      </c>
      <c r="G344" s="232">
        <v>8.0</v>
      </c>
      <c r="H344" s="232">
        <v>14.0</v>
      </c>
      <c r="I344" s="232">
        <v>22.0</v>
      </c>
      <c r="J344" s="234">
        <v>0.36</v>
      </c>
      <c r="K344" s="202" t="s">
        <v>1674</v>
      </c>
      <c r="L344" s="202">
        <v>5.322743354E9</v>
      </c>
      <c r="M344" s="202" t="s">
        <v>1172</v>
      </c>
      <c r="N344" s="202" t="s">
        <v>1379</v>
      </c>
      <c r="O344" s="202" t="s">
        <v>689</v>
      </c>
      <c r="P344" s="202" t="s">
        <v>2522</v>
      </c>
      <c r="Q344" s="235">
        <f>COUNTIF('Hedef Liste'!A:A,A344)</f>
        <v>1</v>
      </c>
    </row>
    <row r="345" hidden="1">
      <c r="A345" s="202" t="s">
        <v>2058</v>
      </c>
      <c r="B345" s="202" t="s">
        <v>2059</v>
      </c>
      <c r="C345" s="231" t="s">
        <v>2523</v>
      </c>
      <c r="D345" s="202" t="s">
        <v>1455</v>
      </c>
      <c r="E345" s="232">
        <v>5724.0</v>
      </c>
      <c r="F345" s="233"/>
      <c r="G345" s="232">
        <v>0.0</v>
      </c>
      <c r="H345" s="232">
        <v>18.0</v>
      </c>
      <c r="I345" s="232">
        <v>18.0</v>
      </c>
      <c r="J345" s="234">
        <v>0.0</v>
      </c>
      <c r="K345" s="202" t="s">
        <v>2060</v>
      </c>
      <c r="L345" s="202">
        <v>2.645029245E9</v>
      </c>
      <c r="M345" s="202" t="s">
        <v>1147</v>
      </c>
      <c r="N345" s="202" t="s">
        <v>1157</v>
      </c>
      <c r="O345" s="202" t="s">
        <v>2061</v>
      </c>
      <c r="P345" s="202" t="s">
        <v>2522</v>
      </c>
      <c r="Q345" s="235">
        <f>COUNTIF('Hedef Liste'!A:A,A345)</f>
        <v>1</v>
      </c>
    </row>
    <row r="346" hidden="1">
      <c r="A346" s="202" t="s">
        <v>1600</v>
      </c>
      <c r="B346" s="202" t="s">
        <v>1601</v>
      </c>
      <c r="C346" s="231" t="s">
        <v>2523</v>
      </c>
      <c r="D346" s="202" t="s">
        <v>1182</v>
      </c>
      <c r="E346" s="232">
        <v>736.0</v>
      </c>
      <c r="F346" s="232">
        <v>55.0</v>
      </c>
      <c r="G346" s="232">
        <v>0.0</v>
      </c>
      <c r="H346" s="232">
        <v>18.0</v>
      </c>
      <c r="I346" s="232">
        <v>18.0</v>
      </c>
      <c r="J346" s="234">
        <v>0.0</v>
      </c>
      <c r="K346" s="202" t="s">
        <v>1602</v>
      </c>
      <c r="L346" s="202">
        <v>5.301123154E9</v>
      </c>
      <c r="M346" s="202" t="s">
        <v>1172</v>
      </c>
      <c r="N346" s="202" t="s">
        <v>1190</v>
      </c>
      <c r="O346" s="202" t="s">
        <v>1603</v>
      </c>
      <c r="P346" s="202" t="s">
        <v>2522</v>
      </c>
      <c r="Q346" s="235">
        <f>COUNTIF('Hedef Liste'!A:A,A346)</f>
        <v>1</v>
      </c>
    </row>
    <row r="347">
      <c r="A347" s="202" t="s">
        <v>1794</v>
      </c>
      <c r="B347" s="202" t="s">
        <v>1795</v>
      </c>
      <c r="C347" s="231" t="s">
        <v>2523</v>
      </c>
      <c r="D347" s="202" t="s">
        <v>1155</v>
      </c>
      <c r="E347" s="232">
        <v>6.0</v>
      </c>
      <c r="F347" s="233"/>
      <c r="G347" s="232">
        <v>0.0</v>
      </c>
      <c r="H347" s="232">
        <v>19.0</v>
      </c>
      <c r="I347" s="232">
        <v>19.0</v>
      </c>
      <c r="J347" s="234">
        <v>0.0</v>
      </c>
      <c r="K347" s="202" t="s">
        <v>1796</v>
      </c>
      <c r="L347" s="202">
        <v>8.503075454E9</v>
      </c>
      <c r="M347" s="202" t="s">
        <v>1147</v>
      </c>
      <c r="N347" s="202" t="s">
        <v>1200</v>
      </c>
      <c r="O347" s="202" t="s">
        <v>21</v>
      </c>
      <c r="P347" s="202" t="s">
        <v>2522</v>
      </c>
      <c r="Q347" s="235">
        <f>COUNTIF('Hedef Liste'!A:A,A347)</f>
        <v>1</v>
      </c>
    </row>
    <row r="348">
      <c r="A348" s="202" t="s">
        <v>1838</v>
      </c>
      <c r="B348" s="202" t="s">
        <v>1839</v>
      </c>
      <c r="C348" s="231" t="s">
        <v>2523</v>
      </c>
      <c r="D348" s="202" t="s">
        <v>1155</v>
      </c>
      <c r="E348" s="232">
        <v>42.0</v>
      </c>
      <c r="F348" s="232">
        <v>22.0</v>
      </c>
      <c r="G348" s="232">
        <v>0.0</v>
      </c>
      <c r="H348" s="232">
        <v>31.0</v>
      </c>
      <c r="I348" s="232">
        <v>31.0</v>
      </c>
      <c r="J348" s="234">
        <v>0.0</v>
      </c>
      <c r="K348" s="202" t="s">
        <v>1840</v>
      </c>
      <c r="L348" s="202">
        <v>5.449541654E9</v>
      </c>
      <c r="M348" s="202" t="s">
        <v>1147</v>
      </c>
      <c r="N348" s="202" t="s">
        <v>1200</v>
      </c>
      <c r="O348" s="202" t="s">
        <v>1841</v>
      </c>
      <c r="P348" s="202" t="s">
        <v>2522</v>
      </c>
      <c r="Q348" s="235">
        <f>COUNTIF('Hedef Liste'!A:A,A348)</f>
        <v>1</v>
      </c>
    </row>
    <row r="349" hidden="1">
      <c r="A349" s="202" t="s">
        <v>1642</v>
      </c>
      <c r="B349" s="202" t="s">
        <v>1643</v>
      </c>
      <c r="C349" s="231" t="s">
        <v>2523</v>
      </c>
      <c r="D349" s="202" t="s">
        <v>1869</v>
      </c>
      <c r="E349" s="232">
        <v>277.0</v>
      </c>
      <c r="F349" s="232">
        <v>69.0</v>
      </c>
      <c r="G349" s="232">
        <v>5.0</v>
      </c>
      <c r="H349" s="232">
        <v>71.0</v>
      </c>
      <c r="I349" s="232">
        <v>76.0</v>
      </c>
      <c r="J349" s="234">
        <v>0.07</v>
      </c>
      <c r="K349" s="202" t="s">
        <v>1644</v>
      </c>
      <c r="L349" s="202">
        <v>2.64211288E9</v>
      </c>
      <c r="M349" s="202" t="s">
        <v>1147</v>
      </c>
      <c r="N349" s="202" t="s">
        <v>1157</v>
      </c>
      <c r="O349" s="202" t="s">
        <v>1645</v>
      </c>
      <c r="P349" s="202" t="s">
        <v>2522</v>
      </c>
      <c r="Q349" s="235">
        <f>COUNTIF('Hedef Liste'!A:A,A349)</f>
        <v>1</v>
      </c>
    </row>
    <row r="350">
      <c r="A350" s="202" t="s">
        <v>1785</v>
      </c>
      <c r="B350" s="202" t="s">
        <v>1786</v>
      </c>
      <c r="C350" s="231" t="s">
        <v>2523</v>
      </c>
      <c r="D350" s="202" t="s">
        <v>1170</v>
      </c>
      <c r="E350" s="232">
        <v>10.0</v>
      </c>
      <c r="F350" s="232">
        <v>9.0</v>
      </c>
      <c r="G350" s="232">
        <v>0.0</v>
      </c>
      <c r="H350" s="232">
        <v>24.0</v>
      </c>
      <c r="I350" s="232">
        <v>24.0</v>
      </c>
      <c r="J350" s="234">
        <v>0.0</v>
      </c>
      <c r="K350" s="202" t="s">
        <v>1787</v>
      </c>
      <c r="L350" s="202">
        <v>2.647181618E9</v>
      </c>
      <c r="M350" s="202" t="s">
        <v>1242</v>
      </c>
      <c r="N350" s="202" t="s">
        <v>1243</v>
      </c>
      <c r="O350" s="202" t="s">
        <v>1788</v>
      </c>
      <c r="P350" s="202" t="s">
        <v>2522</v>
      </c>
      <c r="Q350" s="235">
        <f>COUNTIF('Hedef Liste'!A:A,A350)</f>
        <v>1</v>
      </c>
    </row>
    <row r="351" hidden="1">
      <c r="A351" s="202" t="s">
        <v>2340</v>
      </c>
      <c r="B351" s="202" t="s">
        <v>2341</v>
      </c>
      <c r="C351" s="231" t="s">
        <v>2521</v>
      </c>
      <c r="D351" s="202" t="s">
        <v>1162</v>
      </c>
      <c r="F351" s="233"/>
      <c r="G351" s="232">
        <v>63.0</v>
      </c>
      <c r="H351" s="232">
        <v>19.0</v>
      </c>
      <c r="I351" s="232">
        <v>82.0</v>
      </c>
      <c r="J351" s="234">
        <v>0.77</v>
      </c>
      <c r="K351" s="202" t="s">
        <v>2342</v>
      </c>
      <c r="L351" s="202">
        <v>2.645020033E9</v>
      </c>
      <c r="M351" s="202" t="s">
        <v>1147</v>
      </c>
      <c r="N351" s="202" t="s">
        <v>1164</v>
      </c>
      <c r="O351" s="202" t="s">
        <v>2343</v>
      </c>
      <c r="P351" s="202" t="s">
        <v>2531</v>
      </c>
      <c r="Q351" s="235">
        <f>COUNTIF('Hedef Liste'!A:A,A351)</f>
        <v>1</v>
      </c>
    </row>
    <row r="352">
      <c r="A352" s="202" t="s">
        <v>2217</v>
      </c>
      <c r="B352" s="202" t="s">
        <v>2218</v>
      </c>
      <c r="C352" s="231" t="s">
        <v>2523</v>
      </c>
      <c r="D352" s="202" t="s">
        <v>1170</v>
      </c>
      <c r="E352" s="232">
        <v>6.0</v>
      </c>
      <c r="F352" s="232">
        <v>6.0</v>
      </c>
      <c r="G352" s="232">
        <v>0.0</v>
      </c>
      <c r="H352" s="232">
        <v>11.0</v>
      </c>
      <c r="I352" s="232">
        <v>11.0</v>
      </c>
      <c r="J352" s="234">
        <v>0.0</v>
      </c>
      <c r="K352" s="202" t="s">
        <v>2219</v>
      </c>
      <c r="L352" s="202">
        <v>5.528672954E9</v>
      </c>
      <c r="M352" s="202" t="s">
        <v>1147</v>
      </c>
      <c r="N352" s="202" t="s">
        <v>1164</v>
      </c>
      <c r="O352" s="202" t="s">
        <v>2220</v>
      </c>
      <c r="P352" s="202" t="s">
        <v>2522</v>
      </c>
      <c r="Q352" s="235">
        <f>COUNTIF('Hedef Liste'!A:A,A352)</f>
        <v>1</v>
      </c>
    </row>
    <row r="353" hidden="1">
      <c r="A353" s="202" t="s">
        <v>2766</v>
      </c>
      <c r="B353" s="202" t="s">
        <v>2767</v>
      </c>
      <c r="C353" s="231" t="s">
        <v>2523</v>
      </c>
      <c r="D353" s="202" t="s">
        <v>1235</v>
      </c>
      <c r="E353" s="232">
        <v>148.0</v>
      </c>
      <c r="F353" s="232">
        <v>8.0</v>
      </c>
      <c r="G353" s="232">
        <v>41.0</v>
      </c>
      <c r="H353" s="232">
        <v>0.0</v>
      </c>
      <c r="I353" s="232">
        <v>41.0</v>
      </c>
      <c r="J353" s="234">
        <v>1.0</v>
      </c>
      <c r="K353" s="202" t="s">
        <v>2768</v>
      </c>
      <c r="L353" s="202">
        <v>5.616106761E9</v>
      </c>
      <c r="M353" s="202" t="s">
        <v>1147</v>
      </c>
      <c r="N353" s="202" t="s">
        <v>1148</v>
      </c>
      <c r="O353" s="202" t="s">
        <v>2769</v>
      </c>
      <c r="P353" s="202" t="s">
        <v>2531</v>
      </c>
      <c r="Q353" s="235">
        <f>COUNTIF('Hedef Liste'!A:A,A353)</f>
        <v>0</v>
      </c>
    </row>
    <row r="354" hidden="1">
      <c r="A354" s="202" t="s">
        <v>2770</v>
      </c>
      <c r="B354" s="202" t="s">
        <v>2771</v>
      </c>
      <c r="C354" s="231" t="s">
        <v>2523</v>
      </c>
      <c r="D354" s="202" t="s">
        <v>1235</v>
      </c>
      <c r="E354" s="232">
        <v>4054.0</v>
      </c>
      <c r="F354" s="232">
        <v>472.0</v>
      </c>
      <c r="G354" s="232">
        <v>16.0</v>
      </c>
      <c r="H354" s="232">
        <v>8.0</v>
      </c>
      <c r="I354" s="232">
        <v>24.0</v>
      </c>
      <c r="J354" s="234">
        <v>0.67</v>
      </c>
      <c r="K354" s="202" t="s">
        <v>2772</v>
      </c>
      <c r="L354" s="202">
        <v>5.3123054E9</v>
      </c>
      <c r="M354" s="202" t="s">
        <v>1147</v>
      </c>
      <c r="N354" s="202" t="s">
        <v>1200</v>
      </c>
      <c r="O354" s="202" t="s">
        <v>68</v>
      </c>
      <c r="P354" s="202" t="s">
        <v>2522</v>
      </c>
      <c r="Q354" s="235">
        <f>COUNTIF('Hedef Liste'!A:A,A354)</f>
        <v>0</v>
      </c>
    </row>
    <row r="355" hidden="1">
      <c r="A355" s="202" t="s">
        <v>2773</v>
      </c>
      <c r="B355" s="202" t="s">
        <v>2774</v>
      </c>
      <c r="C355" s="231" t="s">
        <v>2523</v>
      </c>
      <c r="D355" s="202" t="s">
        <v>1235</v>
      </c>
      <c r="E355" s="233"/>
      <c r="F355" s="233"/>
      <c r="G355" s="232">
        <v>33.0</v>
      </c>
      <c r="H355" s="232">
        <v>12.0</v>
      </c>
      <c r="I355" s="232">
        <v>45.0</v>
      </c>
      <c r="J355" s="234">
        <v>0.73</v>
      </c>
      <c r="K355" s="202" t="s">
        <v>2775</v>
      </c>
      <c r="L355" s="202">
        <v>5.357168648E9</v>
      </c>
      <c r="M355" s="202" t="s">
        <v>1147</v>
      </c>
      <c r="N355" s="202" t="s">
        <v>1148</v>
      </c>
      <c r="O355" s="202" t="s">
        <v>1989</v>
      </c>
      <c r="P355" s="202" t="s">
        <v>2522</v>
      </c>
      <c r="Q355" s="235">
        <f>COUNTIF('Hedef Liste'!A:A,A355)</f>
        <v>0</v>
      </c>
    </row>
    <row r="356" hidden="1">
      <c r="A356" s="202" t="s">
        <v>2182</v>
      </c>
      <c r="B356" s="202" t="s">
        <v>2183</v>
      </c>
      <c r="C356" s="231" t="s">
        <v>2523</v>
      </c>
      <c r="D356" s="202" t="s">
        <v>1145</v>
      </c>
      <c r="E356" s="232">
        <v>8348.0</v>
      </c>
      <c r="F356" s="232">
        <v>461.0</v>
      </c>
      <c r="G356" s="232">
        <v>29.0</v>
      </c>
      <c r="H356" s="232">
        <v>31.0</v>
      </c>
      <c r="I356" s="232">
        <v>60.0</v>
      </c>
      <c r="J356" s="234">
        <v>0.48</v>
      </c>
      <c r="K356" s="202" t="s">
        <v>2776</v>
      </c>
      <c r="L356" s="202">
        <v>2.642111168E9</v>
      </c>
      <c r="M356" s="202" t="s">
        <v>1147</v>
      </c>
      <c r="N356" s="202" t="s">
        <v>1157</v>
      </c>
      <c r="O356" s="202" t="s">
        <v>2185</v>
      </c>
      <c r="P356" s="202" t="s">
        <v>2531</v>
      </c>
      <c r="Q356" s="235">
        <f>COUNTIF('Hedef Liste'!A:A,A356)</f>
        <v>1</v>
      </c>
    </row>
    <row r="357" hidden="1">
      <c r="A357" s="202" t="s">
        <v>2777</v>
      </c>
      <c r="B357" s="202" t="s">
        <v>2778</v>
      </c>
      <c r="C357" s="231" t="s">
        <v>2523</v>
      </c>
      <c r="D357" s="202" t="s">
        <v>1145</v>
      </c>
      <c r="E357" s="232">
        <v>292.0</v>
      </c>
      <c r="F357" s="232">
        <v>48.0</v>
      </c>
      <c r="G357" s="232">
        <v>29.0</v>
      </c>
      <c r="H357" s="232">
        <v>21.0</v>
      </c>
      <c r="I357" s="232">
        <v>50.0</v>
      </c>
      <c r="J357" s="234">
        <v>0.58</v>
      </c>
      <c r="K357" s="202" t="s">
        <v>2779</v>
      </c>
      <c r="L357" s="202">
        <v>2.645920666E9</v>
      </c>
      <c r="M357" s="202" t="s">
        <v>1318</v>
      </c>
      <c r="N357" s="202" t="s">
        <v>2568</v>
      </c>
      <c r="O357" s="202" t="s">
        <v>2780</v>
      </c>
      <c r="P357" s="202" t="s">
        <v>2531</v>
      </c>
      <c r="Q357" s="235">
        <f>COUNTIF('Hedef Liste'!A:A,A357)</f>
        <v>0</v>
      </c>
    </row>
    <row r="358" hidden="1">
      <c r="A358" s="202" t="s">
        <v>1863</v>
      </c>
      <c r="B358" s="202" t="s">
        <v>1864</v>
      </c>
      <c r="C358" s="231" t="s">
        <v>2523</v>
      </c>
      <c r="D358" s="202" t="s">
        <v>1455</v>
      </c>
      <c r="E358" s="232">
        <v>10.0</v>
      </c>
      <c r="F358" s="233"/>
      <c r="G358" s="232">
        <v>0.0</v>
      </c>
      <c r="H358" s="232">
        <v>24.0</v>
      </c>
      <c r="I358" s="232">
        <v>24.0</v>
      </c>
      <c r="J358" s="234">
        <v>0.0</v>
      </c>
      <c r="K358" s="202" t="s">
        <v>1865</v>
      </c>
      <c r="L358" s="202">
        <v>5.358650309E9</v>
      </c>
      <c r="M358" s="202" t="s">
        <v>1177</v>
      </c>
      <c r="N358" s="202" t="s">
        <v>1177</v>
      </c>
      <c r="O358" s="202" t="s">
        <v>1866</v>
      </c>
      <c r="P358" s="202" t="s">
        <v>2522</v>
      </c>
      <c r="Q358" s="235">
        <f>COUNTIF('Hedef Liste'!A:A,A358)</f>
        <v>1</v>
      </c>
    </row>
    <row r="359" hidden="1">
      <c r="A359" s="202" t="s">
        <v>1097</v>
      </c>
      <c r="B359" s="202" t="s">
        <v>1098</v>
      </c>
      <c r="C359" s="231" t="s">
        <v>2523</v>
      </c>
      <c r="D359" s="202" t="s">
        <v>1155</v>
      </c>
      <c r="E359" s="232">
        <v>562.0</v>
      </c>
      <c r="F359" s="232">
        <v>162.0</v>
      </c>
      <c r="G359" s="232">
        <v>0.0</v>
      </c>
      <c r="H359" s="232">
        <v>37.0</v>
      </c>
      <c r="I359" s="232">
        <v>37.0</v>
      </c>
      <c r="J359" s="234">
        <v>0.0</v>
      </c>
      <c r="K359" s="202" t="s">
        <v>2362</v>
      </c>
      <c r="L359" s="202">
        <v>2.642111112E9</v>
      </c>
      <c r="M359" s="202" t="s">
        <v>1147</v>
      </c>
      <c r="N359" s="202" t="s">
        <v>1164</v>
      </c>
      <c r="O359" s="202" t="s">
        <v>1100</v>
      </c>
      <c r="P359" s="202" t="s">
        <v>2522</v>
      </c>
      <c r="Q359" s="235">
        <f>COUNTIF('Hedef Liste'!A:A,A359)</f>
        <v>1</v>
      </c>
    </row>
    <row r="360" hidden="1">
      <c r="A360" s="202" t="s">
        <v>2445</v>
      </c>
      <c r="B360" s="202" t="s">
        <v>2446</v>
      </c>
      <c r="C360" s="231" t="s">
        <v>2521</v>
      </c>
      <c r="D360" s="202" t="s">
        <v>1162</v>
      </c>
      <c r="F360" s="233"/>
      <c r="G360" s="232">
        <v>0.0</v>
      </c>
      <c r="H360" s="232">
        <v>82.0</v>
      </c>
      <c r="I360" s="232">
        <v>82.0</v>
      </c>
      <c r="J360" s="234">
        <v>0.0</v>
      </c>
      <c r="K360" s="202" t="s">
        <v>1323</v>
      </c>
      <c r="L360" s="202">
        <v>5.491323535E9</v>
      </c>
      <c r="M360" s="202" t="s">
        <v>1318</v>
      </c>
      <c r="N360" s="202" t="s">
        <v>1324</v>
      </c>
      <c r="O360" s="202" t="s">
        <v>1325</v>
      </c>
      <c r="P360" s="202" t="s">
        <v>2522</v>
      </c>
      <c r="Q360" s="235">
        <f>COUNTIF('Hedef Liste'!A:A,A360)</f>
        <v>1</v>
      </c>
    </row>
    <row r="361" hidden="1">
      <c r="A361" s="202" t="s">
        <v>2781</v>
      </c>
      <c r="B361" s="202" t="s">
        <v>2782</v>
      </c>
      <c r="C361" s="231" t="s">
        <v>2523</v>
      </c>
      <c r="D361" s="202" t="s">
        <v>1216</v>
      </c>
      <c r="E361" s="232">
        <v>1891.0</v>
      </c>
      <c r="F361" s="232">
        <v>61.0</v>
      </c>
      <c r="G361" s="232">
        <v>77.0</v>
      </c>
      <c r="H361" s="232">
        <v>27.0</v>
      </c>
      <c r="I361" s="232">
        <v>104.0</v>
      </c>
      <c r="J361" s="234">
        <v>0.74</v>
      </c>
      <c r="K361" s="202" t="s">
        <v>2627</v>
      </c>
      <c r="L361" s="202">
        <v>2.642719999E9</v>
      </c>
      <c r="M361" s="202" t="s">
        <v>1172</v>
      </c>
      <c r="N361" s="202" t="s">
        <v>1665</v>
      </c>
      <c r="O361" s="202" t="s">
        <v>2783</v>
      </c>
      <c r="P361" s="202" t="s">
        <v>2531</v>
      </c>
      <c r="Q361" s="235">
        <f>COUNTIF('Hedef Liste'!A:A,A361)</f>
        <v>0</v>
      </c>
    </row>
    <row r="362" hidden="1">
      <c r="A362" s="202" t="s">
        <v>2784</v>
      </c>
      <c r="B362" s="202" t="s">
        <v>2785</v>
      </c>
      <c r="C362" s="231" t="s">
        <v>2523</v>
      </c>
      <c r="D362" s="202" t="s">
        <v>1216</v>
      </c>
      <c r="E362" s="232">
        <v>2146.0</v>
      </c>
      <c r="F362" s="232">
        <v>73.0</v>
      </c>
      <c r="G362" s="232">
        <v>77.0</v>
      </c>
      <c r="H362" s="232">
        <v>27.0</v>
      </c>
      <c r="I362" s="232">
        <v>104.0</v>
      </c>
      <c r="J362" s="234">
        <v>0.74</v>
      </c>
      <c r="K362" s="202" t="s">
        <v>2627</v>
      </c>
      <c r="L362" s="202">
        <v>2.642814747E9</v>
      </c>
      <c r="M362" s="202" t="s">
        <v>1172</v>
      </c>
      <c r="N362" s="202" t="s">
        <v>1379</v>
      </c>
      <c r="O362" s="202" t="s">
        <v>2786</v>
      </c>
      <c r="P362" s="202" t="s">
        <v>2531</v>
      </c>
      <c r="Q362" s="235">
        <f>COUNTIF('Hedef Liste'!A:A,A362)</f>
        <v>0</v>
      </c>
    </row>
    <row r="363" hidden="1">
      <c r="A363" s="202" t="s">
        <v>1074</v>
      </c>
      <c r="B363" s="202" t="s">
        <v>1075</v>
      </c>
      <c r="C363" s="231" t="s">
        <v>2523</v>
      </c>
      <c r="D363" s="202" t="s">
        <v>1162</v>
      </c>
      <c r="E363" s="232">
        <v>249.0</v>
      </c>
      <c r="F363" s="232">
        <v>2.0</v>
      </c>
      <c r="G363" s="232">
        <v>0.0</v>
      </c>
      <c r="H363" s="232">
        <v>6.0</v>
      </c>
      <c r="I363" s="232">
        <v>6.0</v>
      </c>
      <c r="J363" s="234">
        <v>0.0</v>
      </c>
      <c r="K363" s="202" t="s">
        <v>1393</v>
      </c>
      <c r="L363" s="202">
        <v>5.387168726E9</v>
      </c>
      <c r="M363" s="202" t="s">
        <v>1147</v>
      </c>
      <c r="N363" s="202" t="s">
        <v>1157</v>
      </c>
      <c r="O363" s="202" t="s">
        <v>1077</v>
      </c>
      <c r="P363" s="202" t="s">
        <v>2522</v>
      </c>
      <c r="Q363" s="235">
        <f>COUNTIF('Hedef Liste'!A:A,A363)</f>
        <v>1</v>
      </c>
    </row>
    <row r="364" hidden="1">
      <c r="A364" s="202" t="s">
        <v>1592</v>
      </c>
      <c r="B364" s="202" t="s">
        <v>1593</v>
      </c>
      <c r="C364" s="231" t="s">
        <v>2523</v>
      </c>
      <c r="D364" s="202" t="s">
        <v>1182</v>
      </c>
      <c r="E364" s="232">
        <v>4.0</v>
      </c>
      <c r="F364" s="233"/>
      <c r="G364" s="232">
        <v>8.0</v>
      </c>
      <c r="H364" s="232">
        <v>18.0</v>
      </c>
      <c r="I364" s="232">
        <v>26.0</v>
      </c>
      <c r="J364" s="234">
        <v>0.31</v>
      </c>
      <c r="K364" s="202" t="s">
        <v>1594</v>
      </c>
      <c r="L364" s="202">
        <v>5.077508907E9</v>
      </c>
      <c r="M364" s="202" t="s">
        <v>1147</v>
      </c>
      <c r="N364" s="202" t="s">
        <v>1148</v>
      </c>
      <c r="O364" s="202" t="s">
        <v>1595</v>
      </c>
      <c r="P364" s="202" t="s">
        <v>2522</v>
      </c>
      <c r="Q364" s="235">
        <f>COUNTIF('Hedef Liste'!A:A,A364)</f>
        <v>1</v>
      </c>
    </row>
    <row r="365" hidden="1">
      <c r="A365" s="202" t="s">
        <v>1084</v>
      </c>
      <c r="B365" s="202" t="s">
        <v>1085</v>
      </c>
      <c r="C365" s="231" t="s">
        <v>2523</v>
      </c>
      <c r="D365" s="202" t="s">
        <v>1188</v>
      </c>
      <c r="E365" s="233"/>
      <c r="F365" s="233"/>
      <c r="G365" s="232">
        <v>0.0</v>
      </c>
      <c r="H365" s="232">
        <v>12.0</v>
      </c>
      <c r="I365" s="232">
        <v>12.0</v>
      </c>
      <c r="J365" s="234">
        <v>0.0</v>
      </c>
      <c r="K365" s="202" t="s">
        <v>1671</v>
      </c>
      <c r="L365" s="202">
        <v>5.316645446E9</v>
      </c>
      <c r="M365" s="202" t="s">
        <v>1147</v>
      </c>
      <c r="N365" s="202" t="s">
        <v>1148</v>
      </c>
      <c r="O365" s="202" t="s">
        <v>1088</v>
      </c>
      <c r="P365" s="202" t="s">
        <v>2522</v>
      </c>
      <c r="Q365" s="235">
        <f>COUNTIF('Hedef Liste'!A:A,A365)</f>
        <v>1</v>
      </c>
    </row>
    <row r="366" hidden="1">
      <c r="A366" s="202" t="s">
        <v>2447</v>
      </c>
      <c r="B366" s="202" t="s">
        <v>2787</v>
      </c>
      <c r="C366" s="231" t="s">
        <v>2521</v>
      </c>
      <c r="D366" s="202" t="s">
        <v>1170</v>
      </c>
      <c r="E366" s="232">
        <v>79.0</v>
      </c>
      <c r="F366" s="233"/>
      <c r="G366" s="232">
        <v>0.0</v>
      </c>
      <c r="H366" s="232">
        <v>6.0</v>
      </c>
      <c r="I366" s="232">
        <v>6.0</v>
      </c>
      <c r="J366" s="234">
        <v>0.0</v>
      </c>
      <c r="K366" s="202" t="s">
        <v>1622</v>
      </c>
      <c r="L366" s="202">
        <v>5.386020191E9</v>
      </c>
      <c r="M366" s="202" t="s">
        <v>1147</v>
      </c>
      <c r="N366" s="202" t="s">
        <v>1148</v>
      </c>
      <c r="O366" s="202" t="s">
        <v>2449</v>
      </c>
      <c r="P366" s="202" t="s">
        <v>2522</v>
      </c>
      <c r="Q366" s="235">
        <f>COUNTIF('Hedef Liste'!A:A,A366)</f>
        <v>1</v>
      </c>
    </row>
    <row r="367" hidden="1">
      <c r="A367" s="202" t="s">
        <v>2099</v>
      </c>
      <c r="B367" s="202" t="s">
        <v>2100</v>
      </c>
      <c r="C367" s="231" t="s">
        <v>2523</v>
      </c>
      <c r="D367" s="202" t="s">
        <v>1188</v>
      </c>
      <c r="E367" s="232">
        <v>2582.0</v>
      </c>
      <c r="F367" s="233"/>
      <c r="G367" s="232">
        <v>0.0</v>
      </c>
      <c r="H367" s="232">
        <v>5.0</v>
      </c>
      <c r="I367" s="232">
        <v>5.0</v>
      </c>
      <c r="J367" s="234">
        <v>0.0</v>
      </c>
      <c r="K367" s="202" t="s">
        <v>2101</v>
      </c>
      <c r="L367" s="202">
        <v>5.456262624E9</v>
      </c>
      <c r="M367" s="202" t="s">
        <v>1318</v>
      </c>
      <c r="N367" s="202" t="s">
        <v>1319</v>
      </c>
      <c r="O367" s="202" t="s">
        <v>2102</v>
      </c>
      <c r="P367" s="202" t="s">
        <v>2522</v>
      </c>
      <c r="Q367" s="235">
        <f>COUNTIF('Hedef Liste'!A:A,A367)</f>
        <v>1</v>
      </c>
    </row>
    <row r="368" hidden="1">
      <c r="A368" s="202" t="s">
        <v>973</v>
      </c>
      <c r="B368" s="202" t="s">
        <v>974</v>
      </c>
      <c r="C368" s="231" t="s">
        <v>2523</v>
      </c>
      <c r="D368" s="202" t="s">
        <v>1188</v>
      </c>
      <c r="E368" s="232">
        <v>2627.0</v>
      </c>
      <c r="F368" s="232">
        <v>470.0</v>
      </c>
      <c r="G368" s="232">
        <v>10.0</v>
      </c>
      <c r="H368" s="232">
        <v>15.0</v>
      </c>
      <c r="I368" s="232">
        <v>25.0</v>
      </c>
      <c r="J368" s="234">
        <v>0.4</v>
      </c>
      <c r="K368" s="202" t="s">
        <v>1925</v>
      </c>
      <c r="L368" s="202">
        <v>5.414511154E9</v>
      </c>
      <c r="M368" s="202" t="s">
        <v>1147</v>
      </c>
      <c r="N368" s="202" t="s">
        <v>2557</v>
      </c>
      <c r="O368" s="202" t="s">
        <v>976</v>
      </c>
      <c r="P368" s="202" t="s">
        <v>2522</v>
      </c>
      <c r="Q368" s="235">
        <f>COUNTIF('Hedef Liste'!A:A,A368)</f>
        <v>1</v>
      </c>
    </row>
    <row r="369">
      <c r="A369" s="202" t="s">
        <v>1999</v>
      </c>
      <c r="B369" s="202" t="s">
        <v>2000</v>
      </c>
      <c r="C369" s="231" t="s">
        <v>2523</v>
      </c>
      <c r="D369" s="202" t="s">
        <v>1302</v>
      </c>
      <c r="E369" s="232">
        <v>1.0</v>
      </c>
      <c r="F369" s="232">
        <v>1.0</v>
      </c>
      <c r="G369" s="232">
        <v>0.0</v>
      </c>
      <c r="H369" s="232">
        <v>42.0</v>
      </c>
      <c r="I369" s="232">
        <v>42.0</v>
      </c>
      <c r="J369" s="234">
        <v>0.0</v>
      </c>
      <c r="K369" s="202" t="s">
        <v>2001</v>
      </c>
      <c r="L369" s="202">
        <v>5.333601967E9</v>
      </c>
      <c r="M369" s="202" t="s">
        <v>1242</v>
      </c>
      <c r="N369" s="202" t="s">
        <v>1243</v>
      </c>
      <c r="O369" s="202" t="s">
        <v>2002</v>
      </c>
      <c r="P369" s="202" t="s">
        <v>2522</v>
      </c>
      <c r="Q369" s="235">
        <f>COUNTIF('Hedef Liste'!A:A,A369)</f>
        <v>1</v>
      </c>
    </row>
    <row r="370" hidden="1">
      <c r="A370" s="202" t="s">
        <v>1079</v>
      </c>
      <c r="B370" s="202" t="s">
        <v>1080</v>
      </c>
      <c r="C370" s="231" t="s">
        <v>2523</v>
      </c>
      <c r="D370" s="202" t="s">
        <v>1175</v>
      </c>
      <c r="E370" s="232">
        <v>309.0</v>
      </c>
      <c r="F370" s="232">
        <v>67.0</v>
      </c>
      <c r="G370" s="232">
        <v>0.0</v>
      </c>
      <c r="H370" s="232">
        <v>37.0</v>
      </c>
      <c r="I370" s="232">
        <v>37.0</v>
      </c>
      <c r="J370" s="234">
        <v>0.0</v>
      </c>
      <c r="K370" s="202" t="s">
        <v>2498</v>
      </c>
      <c r="L370" s="202">
        <v>5.411365454E9</v>
      </c>
      <c r="M370" s="202" t="s">
        <v>1147</v>
      </c>
      <c r="N370" s="202" t="s">
        <v>1352</v>
      </c>
      <c r="O370" s="202" t="s">
        <v>1083</v>
      </c>
      <c r="P370" s="202" t="s">
        <v>2522</v>
      </c>
      <c r="Q370" s="235">
        <f>COUNTIF('Hedef Liste'!A:A,A370)</f>
        <v>1</v>
      </c>
    </row>
    <row r="371" hidden="1">
      <c r="A371" s="202" t="s">
        <v>1168</v>
      </c>
      <c r="B371" s="202" t="s">
        <v>2788</v>
      </c>
      <c r="C371" s="231" t="s">
        <v>2523</v>
      </c>
      <c r="D371" s="202" t="s">
        <v>1170</v>
      </c>
      <c r="E371" s="232">
        <v>46.0</v>
      </c>
      <c r="F371" s="232">
        <v>20.0</v>
      </c>
      <c r="G371" s="232">
        <v>0.0</v>
      </c>
      <c r="H371" s="232">
        <v>20.0</v>
      </c>
      <c r="I371" s="232">
        <v>20.0</v>
      </c>
      <c r="J371" s="234">
        <v>0.0</v>
      </c>
      <c r="K371" s="202" t="s">
        <v>1171</v>
      </c>
      <c r="L371" s="202">
        <v>5.493773444E9</v>
      </c>
      <c r="M371" s="202" t="s">
        <v>1172</v>
      </c>
      <c r="N371" s="202" t="s">
        <v>1173</v>
      </c>
      <c r="O371" s="202" t="s">
        <v>1174</v>
      </c>
      <c r="P371" s="202" t="s">
        <v>2522</v>
      </c>
      <c r="Q371" s="235">
        <f>COUNTIF('Hedef Liste'!A:A,A371)</f>
        <v>1</v>
      </c>
    </row>
    <row r="372" hidden="1">
      <c r="A372" s="202" t="s">
        <v>2789</v>
      </c>
      <c r="B372" s="202" t="s">
        <v>2790</v>
      </c>
      <c r="C372" s="231" t="s">
        <v>2523</v>
      </c>
      <c r="D372" s="202" t="s">
        <v>1311</v>
      </c>
      <c r="E372" s="232">
        <v>219.0</v>
      </c>
      <c r="F372" s="232">
        <v>73.0</v>
      </c>
      <c r="G372" s="232">
        <v>62.0</v>
      </c>
      <c r="H372" s="232">
        <v>2.0</v>
      </c>
      <c r="I372" s="232">
        <v>64.0</v>
      </c>
      <c r="J372" s="234">
        <v>0.97</v>
      </c>
      <c r="K372" s="202" t="s">
        <v>2791</v>
      </c>
      <c r="L372" s="202">
        <v>2.645022535E9</v>
      </c>
      <c r="M372" s="202" t="s">
        <v>1172</v>
      </c>
      <c r="N372" s="202" t="s">
        <v>1874</v>
      </c>
      <c r="O372" s="202" t="s">
        <v>2792</v>
      </c>
      <c r="P372" s="202" t="s">
        <v>2531</v>
      </c>
      <c r="Q372" s="235">
        <f>COUNTIF('Hedef Liste'!A:A,A372)</f>
        <v>0</v>
      </c>
    </row>
    <row r="373" hidden="1">
      <c r="A373" s="202" t="s">
        <v>1609</v>
      </c>
      <c r="B373" s="202" t="s">
        <v>1610</v>
      </c>
      <c r="C373" s="231" t="s">
        <v>2523</v>
      </c>
      <c r="D373" s="202" t="s">
        <v>1182</v>
      </c>
      <c r="E373" s="232">
        <v>95.0</v>
      </c>
      <c r="F373" s="232">
        <v>26.0</v>
      </c>
      <c r="G373" s="232">
        <v>10.0</v>
      </c>
      <c r="H373" s="232">
        <v>2.0</v>
      </c>
      <c r="I373" s="232">
        <v>12.0</v>
      </c>
      <c r="J373" s="234">
        <v>0.83</v>
      </c>
      <c r="K373" s="202" t="s">
        <v>1611</v>
      </c>
      <c r="L373" s="202">
        <v>5.422802397E9</v>
      </c>
      <c r="M373" s="202" t="s">
        <v>1147</v>
      </c>
      <c r="N373" s="202" t="s">
        <v>1148</v>
      </c>
      <c r="O373" s="202" t="s">
        <v>1612</v>
      </c>
      <c r="P373" s="202" t="s">
        <v>2522</v>
      </c>
      <c r="Q373" s="235">
        <f>COUNTIF('Hedef Liste'!A:A,A373)</f>
        <v>1</v>
      </c>
    </row>
    <row r="374" hidden="1">
      <c r="A374" s="202" t="s">
        <v>1576</v>
      </c>
      <c r="B374" s="202" t="s">
        <v>1577</v>
      </c>
      <c r="C374" s="231" t="s">
        <v>2521</v>
      </c>
      <c r="D374" s="202" t="s">
        <v>1175</v>
      </c>
      <c r="E374" s="233"/>
      <c r="F374" s="233"/>
      <c r="G374" s="232">
        <v>0.0</v>
      </c>
      <c r="H374" s="232">
        <v>24.0</v>
      </c>
      <c r="I374" s="232">
        <v>24.0</v>
      </c>
      <c r="J374" s="234">
        <v>0.0</v>
      </c>
      <c r="K374" s="202" t="s">
        <v>1578</v>
      </c>
      <c r="L374" s="202">
        <v>2.642810506E9</v>
      </c>
      <c r="M374" s="202" t="s">
        <v>1172</v>
      </c>
      <c r="N374" s="202" t="s">
        <v>1300</v>
      </c>
      <c r="O374" s="202" t="s">
        <v>1579</v>
      </c>
      <c r="P374" s="202" t="s">
        <v>2522</v>
      </c>
      <c r="Q374" s="235">
        <f>COUNTIF('Hedef Liste'!A:A,A374)</f>
        <v>1</v>
      </c>
    </row>
    <row r="375" hidden="1">
      <c r="A375" s="202" t="s">
        <v>2793</v>
      </c>
      <c r="B375" s="202" t="s">
        <v>2794</v>
      </c>
      <c r="C375" s="231" t="s">
        <v>2523</v>
      </c>
      <c r="D375" s="202" t="s">
        <v>1182</v>
      </c>
      <c r="E375" s="232">
        <v>30.0</v>
      </c>
      <c r="F375" s="232">
        <v>2.0</v>
      </c>
      <c r="G375" s="232">
        <v>32.0</v>
      </c>
      <c r="H375" s="232">
        <v>6.0</v>
      </c>
      <c r="I375" s="232">
        <v>38.0</v>
      </c>
      <c r="J375" s="234">
        <v>0.84</v>
      </c>
      <c r="K375" s="202" t="s">
        <v>2795</v>
      </c>
      <c r="L375" s="202">
        <v>5.314908632E9</v>
      </c>
      <c r="M375" s="202" t="s">
        <v>1242</v>
      </c>
      <c r="N375" s="202" t="s">
        <v>1243</v>
      </c>
      <c r="O375" s="202" t="s">
        <v>2796</v>
      </c>
      <c r="P375" s="202" t="s">
        <v>2531</v>
      </c>
      <c r="Q375" s="235">
        <f>COUNTIF('Hedef Liste'!A:A,A375)</f>
        <v>0</v>
      </c>
    </row>
    <row r="376" hidden="1">
      <c r="A376" s="202" t="s">
        <v>1854</v>
      </c>
      <c r="B376" s="202" t="s">
        <v>1855</v>
      </c>
      <c r="C376" s="231" t="s">
        <v>2523</v>
      </c>
      <c r="D376" s="202" t="s">
        <v>1170</v>
      </c>
      <c r="F376" s="233"/>
      <c r="G376" s="232">
        <v>0.0</v>
      </c>
      <c r="H376" s="232">
        <v>15.0</v>
      </c>
      <c r="I376" s="232">
        <v>15.0</v>
      </c>
      <c r="J376" s="234">
        <v>0.0</v>
      </c>
      <c r="K376" s="202" t="s">
        <v>1856</v>
      </c>
      <c r="L376" s="202">
        <v>5.363052554E9</v>
      </c>
      <c r="M376" s="202" t="s">
        <v>1172</v>
      </c>
      <c r="N376" s="202" t="s">
        <v>1405</v>
      </c>
      <c r="O376" s="202" t="s">
        <v>1857</v>
      </c>
      <c r="P376" s="202" t="s">
        <v>2522</v>
      </c>
      <c r="Q376" s="235">
        <f>COUNTIF('Hedef Liste'!A:A,A376)</f>
        <v>1</v>
      </c>
    </row>
    <row r="377" hidden="1">
      <c r="A377" s="202" t="s">
        <v>1353</v>
      </c>
      <c r="B377" s="202" t="s">
        <v>1354</v>
      </c>
      <c r="C377" s="231" t="s">
        <v>2523</v>
      </c>
      <c r="D377" s="202" t="s">
        <v>1302</v>
      </c>
      <c r="E377" s="232">
        <v>12.0</v>
      </c>
      <c r="F377" s="232">
        <v>5.0</v>
      </c>
      <c r="G377" s="232">
        <v>0.0</v>
      </c>
      <c r="H377" s="232">
        <v>43.0</v>
      </c>
      <c r="I377" s="232">
        <v>43.0</v>
      </c>
      <c r="J377" s="234">
        <v>0.0</v>
      </c>
      <c r="K377" s="202" t="s">
        <v>1355</v>
      </c>
      <c r="L377" s="202">
        <v>2.642735859E9</v>
      </c>
      <c r="M377" s="202" t="s">
        <v>1172</v>
      </c>
      <c r="N377" s="202" t="s">
        <v>1356</v>
      </c>
      <c r="O377" s="202" t="s">
        <v>1357</v>
      </c>
      <c r="P377" s="202" t="s">
        <v>2522</v>
      </c>
      <c r="Q377" s="235">
        <f>COUNTIF('Hedef Liste'!A:A,A377)</f>
        <v>1</v>
      </c>
    </row>
    <row r="378" hidden="1">
      <c r="A378" s="202" t="s">
        <v>2797</v>
      </c>
      <c r="B378" s="202" t="s">
        <v>2798</v>
      </c>
      <c r="C378" s="231" t="s">
        <v>2523</v>
      </c>
      <c r="D378" s="202" t="s">
        <v>1182</v>
      </c>
      <c r="E378" s="232">
        <v>101.0</v>
      </c>
      <c r="F378" s="232">
        <v>41.0</v>
      </c>
      <c r="G378" s="232">
        <v>61.0</v>
      </c>
      <c r="H378" s="232">
        <v>0.0</v>
      </c>
      <c r="I378" s="232">
        <v>61.0</v>
      </c>
      <c r="J378" s="234">
        <v>1.0</v>
      </c>
      <c r="K378" s="202" t="s">
        <v>2799</v>
      </c>
      <c r="L378" s="202">
        <v>5.451210654E9</v>
      </c>
      <c r="M378" s="202" t="s">
        <v>1147</v>
      </c>
      <c r="N378" s="202" t="s">
        <v>1148</v>
      </c>
      <c r="O378" s="202" t="s">
        <v>2800</v>
      </c>
      <c r="P378" s="202" t="s">
        <v>2531</v>
      </c>
      <c r="Q378" s="235">
        <f>COUNTIF('Hedef Liste'!A:A,A378)</f>
        <v>0</v>
      </c>
    </row>
    <row r="379" hidden="1">
      <c r="A379" s="202" t="s">
        <v>977</v>
      </c>
      <c r="B379" s="202" t="s">
        <v>978</v>
      </c>
      <c r="C379" s="231" t="s">
        <v>2523</v>
      </c>
      <c r="D379" s="202" t="s">
        <v>1216</v>
      </c>
      <c r="E379" s="232">
        <v>2818.0</v>
      </c>
      <c r="F379" s="232">
        <v>223.0</v>
      </c>
      <c r="G379" s="232">
        <v>10.0</v>
      </c>
      <c r="H379" s="232">
        <v>4.0</v>
      </c>
      <c r="I379" s="232">
        <v>14.0</v>
      </c>
      <c r="J379" s="234">
        <v>0.71</v>
      </c>
      <c r="K379" s="202" t="s">
        <v>2405</v>
      </c>
      <c r="L379" s="202">
        <v>5.387370923E9</v>
      </c>
      <c r="M379" s="202" t="s">
        <v>1147</v>
      </c>
      <c r="N379" s="202" t="s">
        <v>1164</v>
      </c>
      <c r="O379" s="202" t="s">
        <v>980</v>
      </c>
      <c r="P379" s="202" t="s">
        <v>2522</v>
      </c>
      <c r="Q379" s="235">
        <f>COUNTIF('Hedef Liste'!A:A,A379)</f>
        <v>1</v>
      </c>
    </row>
    <row r="380" hidden="1">
      <c r="A380" s="202" t="s">
        <v>2477</v>
      </c>
      <c r="B380" s="202" t="s">
        <v>2478</v>
      </c>
      <c r="C380" s="231" t="s">
        <v>2523</v>
      </c>
      <c r="D380" s="202" t="s">
        <v>1170</v>
      </c>
      <c r="E380" s="232">
        <v>39.0</v>
      </c>
      <c r="F380" s="233"/>
      <c r="G380" s="232">
        <v>0.0</v>
      </c>
      <c r="H380" s="232">
        <v>9.0</v>
      </c>
      <c r="I380" s="232">
        <v>9.0</v>
      </c>
      <c r="J380" s="234">
        <v>0.0</v>
      </c>
      <c r="K380" s="202" t="s">
        <v>2479</v>
      </c>
      <c r="L380" s="202">
        <v>5.326217461E9</v>
      </c>
      <c r="M380" s="202" t="s">
        <v>1172</v>
      </c>
      <c r="N380" s="202" t="s">
        <v>1379</v>
      </c>
      <c r="O380" s="202" t="s">
        <v>2480</v>
      </c>
      <c r="P380" s="202" t="s">
        <v>2522</v>
      </c>
      <c r="Q380" s="235">
        <f>COUNTIF('Hedef Liste'!A:A,A380)</f>
        <v>1</v>
      </c>
    </row>
    <row r="381" hidden="1">
      <c r="A381" s="202" t="s">
        <v>1667</v>
      </c>
      <c r="B381" s="202" t="s">
        <v>1668</v>
      </c>
      <c r="C381" s="231" t="s">
        <v>2523</v>
      </c>
      <c r="D381" s="202" t="s">
        <v>1145</v>
      </c>
      <c r="E381" s="232">
        <v>15.0</v>
      </c>
      <c r="F381" s="232">
        <v>7.0</v>
      </c>
      <c r="G381" s="232">
        <v>0.0</v>
      </c>
      <c r="H381" s="232">
        <v>18.0</v>
      </c>
      <c r="I381" s="232">
        <v>18.0</v>
      </c>
      <c r="J381" s="234">
        <v>0.0</v>
      </c>
      <c r="K381" s="202" t="s">
        <v>1669</v>
      </c>
      <c r="L381" s="202">
        <v>5.39312002E9</v>
      </c>
      <c r="M381" s="202" t="s">
        <v>1147</v>
      </c>
      <c r="N381" s="202" t="s">
        <v>1164</v>
      </c>
      <c r="O381" s="202" t="s">
        <v>1670</v>
      </c>
      <c r="P381" s="202" t="s">
        <v>2522</v>
      </c>
      <c r="Q381" s="235">
        <f>COUNTIF('Hedef Liste'!A:A,A381)</f>
        <v>1</v>
      </c>
    </row>
    <row r="382" hidden="1">
      <c r="A382" s="202" t="s">
        <v>1490</v>
      </c>
      <c r="B382" s="202" t="s">
        <v>1491</v>
      </c>
      <c r="C382" s="231" t="s">
        <v>2523</v>
      </c>
      <c r="D382" s="202" t="s">
        <v>1145</v>
      </c>
      <c r="E382" s="232">
        <v>69.0</v>
      </c>
      <c r="F382" s="232">
        <v>42.0</v>
      </c>
      <c r="G382" s="232">
        <v>0.0</v>
      </c>
      <c r="H382" s="232">
        <v>187.0</v>
      </c>
      <c r="I382" s="232">
        <v>187.0</v>
      </c>
      <c r="J382" s="234">
        <v>0.0</v>
      </c>
      <c r="K382" s="202" t="s">
        <v>1492</v>
      </c>
      <c r="L382" s="202">
        <v>2.642732354E9</v>
      </c>
      <c r="M382" s="202" t="s">
        <v>1147</v>
      </c>
      <c r="N382" s="202" t="s">
        <v>1200</v>
      </c>
      <c r="O382" s="202" t="s">
        <v>68</v>
      </c>
      <c r="P382" s="202" t="s">
        <v>2522</v>
      </c>
      <c r="Q382" s="235">
        <f>COUNTIF('Hedef Liste'!A:A,A382)</f>
        <v>1</v>
      </c>
    </row>
    <row r="383" hidden="1">
      <c r="A383" s="202" t="s">
        <v>2801</v>
      </c>
      <c r="B383" s="202" t="s">
        <v>2802</v>
      </c>
      <c r="C383" s="231" t="s">
        <v>2523</v>
      </c>
      <c r="D383" s="202" t="s">
        <v>1188</v>
      </c>
      <c r="E383" s="232">
        <v>6919.0</v>
      </c>
      <c r="F383" s="232">
        <v>476.0</v>
      </c>
      <c r="G383" s="232">
        <v>36.0</v>
      </c>
      <c r="H383" s="232">
        <v>8.0</v>
      </c>
      <c r="I383" s="232">
        <v>44.0</v>
      </c>
      <c r="J383" s="234">
        <v>0.82</v>
      </c>
      <c r="K383" s="202" t="s">
        <v>2803</v>
      </c>
      <c r="L383" s="202">
        <v>2.645024422E9</v>
      </c>
      <c r="M383" s="202" t="s">
        <v>1147</v>
      </c>
      <c r="N383" s="202" t="s">
        <v>1200</v>
      </c>
      <c r="O383" s="202" t="s">
        <v>2804</v>
      </c>
      <c r="P383" s="202" t="s">
        <v>2531</v>
      </c>
      <c r="Q383" s="235">
        <f>COUNTIF('Hedef Liste'!A:A,A383)</f>
        <v>0</v>
      </c>
    </row>
    <row r="384">
      <c r="A384" s="202" t="s">
        <v>1536</v>
      </c>
      <c r="B384" s="202" t="s">
        <v>1537</v>
      </c>
      <c r="C384" s="231" t="s">
        <v>2523</v>
      </c>
      <c r="D384" s="202" t="s">
        <v>1188</v>
      </c>
      <c r="E384" s="232">
        <v>9.0</v>
      </c>
      <c r="F384" s="232">
        <v>2.0</v>
      </c>
      <c r="G384" s="232">
        <v>0.0</v>
      </c>
      <c r="H384" s="232">
        <v>10.0</v>
      </c>
      <c r="I384" s="232">
        <v>10.0</v>
      </c>
      <c r="J384" s="234">
        <v>0.0</v>
      </c>
      <c r="K384" s="202" t="s">
        <v>1538</v>
      </c>
      <c r="L384" s="202">
        <v>2.647181415E9</v>
      </c>
      <c r="M384" s="202" t="s">
        <v>1242</v>
      </c>
      <c r="N384" s="202" t="s">
        <v>1283</v>
      </c>
      <c r="O384" s="202" t="s">
        <v>1539</v>
      </c>
      <c r="P384" s="202" t="s">
        <v>2522</v>
      </c>
      <c r="Q384" s="235">
        <f>COUNTIF('Hedef Liste'!A:A,A384)</f>
        <v>1</v>
      </c>
    </row>
    <row r="385" hidden="1">
      <c r="A385" s="202" t="s">
        <v>2805</v>
      </c>
      <c r="B385" s="202" t="s">
        <v>2806</v>
      </c>
      <c r="C385" s="231" t="s">
        <v>2523</v>
      </c>
      <c r="D385" s="202" t="s">
        <v>1216</v>
      </c>
      <c r="E385" s="232">
        <v>7215.0</v>
      </c>
      <c r="F385" s="232">
        <v>148.0</v>
      </c>
      <c r="G385" s="232">
        <v>66.0</v>
      </c>
      <c r="H385" s="232">
        <v>10.0</v>
      </c>
      <c r="I385" s="232">
        <v>76.0</v>
      </c>
      <c r="J385" s="234">
        <v>0.87</v>
      </c>
      <c r="K385" s="202" t="s">
        <v>2807</v>
      </c>
      <c r="L385" s="202">
        <v>2.642712222E9</v>
      </c>
      <c r="M385" s="202" t="s">
        <v>1172</v>
      </c>
      <c r="N385" s="202" t="s">
        <v>1379</v>
      </c>
      <c r="O385" s="202" t="s">
        <v>2808</v>
      </c>
      <c r="P385" s="202" t="s">
        <v>2531</v>
      </c>
      <c r="Q385" s="235">
        <f>COUNTIF('Hedef Liste'!A:A,A385)</f>
        <v>0</v>
      </c>
    </row>
    <row r="386">
      <c r="A386" s="202" t="s">
        <v>1990</v>
      </c>
      <c r="B386" s="202" t="s">
        <v>1991</v>
      </c>
      <c r="C386" s="231" t="s">
        <v>2523</v>
      </c>
      <c r="D386" s="202" t="s">
        <v>1226</v>
      </c>
      <c r="E386" s="232">
        <v>15.0</v>
      </c>
      <c r="F386" s="232">
        <v>5.0</v>
      </c>
      <c r="G386" s="232">
        <v>0.0</v>
      </c>
      <c r="H386" s="232">
        <v>11.0</v>
      </c>
      <c r="I386" s="232">
        <v>11.0</v>
      </c>
      <c r="J386" s="234">
        <v>0.0</v>
      </c>
      <c r="K386" s="202" t="s">
        <v>1992</v>
      </c>
      <c r="L386" s="202">
        <v>2.642412954E9</v>
      </c>
      <c r="M386" s="202" t="s">
        <v>1177</v>
      </c>
      <c r="N386" s="202" t="s">
        <v>1178</v>
      </c>
      <c r="O386" s="202" t="s">
        <v>1993</v>
      </c>
      <c r="P386" s="202" t="s">
        <v>2522</v>
      </c>
      <c r="Q386" s="235">
        <f>COUNTIF('Hedef Liste'!A:A,A386)</f>
        <v>1</v>
      </c>
    </row>
    <row r="387" hidden="1">
      <c r="A387" s="202" t="s">
        <v>2809</v>
      </c>
      <c r="B387" s="202" t="s">
        <v>2810</v>
      </c>
      <c r="C387" s="231" t="s">
        <v>2523</v>
      </c>
      <c r="D387" s="202" t="s">
        <v>1145</v>
      </c>
      <c r="E387" s="232">
        <v>124.0</v>
      </c>
      <c r="F387" s="232">
        <v>18.0</v>
      </c>
      <c r="G387" s="232">
        <v>27.0</v>
      </c>
      <c r="H387" s="232">
        <v>21.0</v>
      </c>
      <c r="I387" s="232">
        <v>48.0</v>
      </c>
      <c r="J387" s="234">
        <v>0.56</v>
      </c>
      <c r="K387" s="202" t="s">
        <v>2779</v>
      </c>
      <c r="L387" s="202">
        <v>8.50252258E9</v>
      </c>
      <c r="M387" s="202" t="s">
        <v>1463</v>
      </c>
      <c r="N387" s="202" t="s">
        <v>1464</v>
      </c>
      <c r="O387" s="202" t="s">
        <v>2811</v>
      </c>
      <c r="P387" s="202" t="s">
        <v>2531</v>
      </c>
      <c r="Q387" s="235">
        <f>COUNTIF('Hedef Liste'!A:A,A387)</f>
        <v>0</v>
      </c>
    </row>
    <row r="388" hidden="1">
      <c r="A388" s="202" t="s">
        <v>2077</v>
      </c>
      <c r="B388" s="202" t="s">
        <v>2078</v>
      </c>
      <c r="C388" s="231" t="s">
        <v>2523</v>
      </c>
      <c r="D388" s="202" t="s">
        <v>1170</v>
      </c>
      <c r="E388" s="232">
        <v>567.0</v>
      </c>
      <c r="F388" s="232">
        <v>47.0</v>
      </c>
      <c r="G388" s="232">
        <v>0.0</v>
      </c>
      <c r="H388" s="232">
        <v>12.0</v>
      </c>
      <c r="I388" s="232">
        <v>12.0</v>
      </c>
      <c r="J388" s="234">
        <v>0.0</v>
      </c>
      <c r="K388" s="202" t="s">
        <v>2079</v>
      </c>
      <c r="L388" s="202">
        <v>5.528505433E9</v>
      </c>
      <c r="M388" s="202" t="s">
        <v>1172</v>
      </c>
      <c r="N388" s="202" t="s">
        <v>1190</v>
      </c>
      <c r="O388" s="202" t="s">
        <v>2080</v>
      </c>
      <c r="P388" s="202" t="s">
        <v>2522</v>
      </c>
      <c r="Q388" s="235">
        <f>COUNTIF('Hedef Liste'!A:A,A388)</f>
        <v>1</v>
      </c>
    </row>
    <row r="389" hidden="1">
      <c r="A389" s="202" t="s">
        <v>2812</v>
      </c>
      <c r="B389" s="202" t="s">
        <v>2813</v>
      </c>
      <c r="C389" s="231" t="s">
        <v>2521</v>
      </c>
      <c r="D389" s="202" t="s">
        <v>1311</v>
      </c>
      <c r="E389" s="232">
        <v>83.0</v>
      </c>
      <c r="F389" s="233"/>
      <c r="G389" s="232">
        <v>102.0</v>
      </c>
      <c r="H389" s="232">
        <v>2.0</v>
      </c>
      <c r="I389" s="232">
        <v>104.0</v>
      </c>
      <c r="J389" s="234">
        <v>0.98</v>
      </c>
      <c r="K389" s="202" t="s">
        <v>2791</v>
      </c>
      <c r="L389" s="202">
        <v>2.642730586E9</v>
      </c>
      <c r="M389" s="202" t="s">
        <v>1147</v>
      </c>
      <c r="N389" s="202" t="s">
        <v>1148</v>
      </c>
      <c r="O389" s="202" t="s">
        <v>2814</v>
      </c>
      <c r="P389" s="202" t="s">
        <v>2531</v>
      </c>
      <c r="Q389" s="235">
        <f>COUNTIF('Hedef Liste'!A:A,A389)</f>
        <v>0</v>
      </c>
    </row>
    <row r="390" hidden="1">
      <c r="A390" s="202" t="s">
        <v>1407</v>
      </c>
      <c r="B390" s="202" t="s">
        <v>1408</v>
      </c>
      <c r="C390" s="231" t="s">
        <v>2523</v>
      </c>
      <c r="D390" s="202" t="s">
        <v>1182</v>
      </c>
      <c r="E390" s="232">
        <v>1.0</v>
      </c>
      <c r="F390" s="233"/>
      <c r="G390" s="232">
        <v>0.0</v>
      </c>
      <c r="H390" s="232">
        <v>14.0</v>
      </c>
      <c r="I390" s="232">
        <v>14.0</v>
      </c>
      <c r="J390" s="234">
        <v>0.0</v>
      </c>
      <c r="K390" s="202" t="s">
        <v>1409</v>
      </c>
      <c r="L390" s="202">
        <v>5.395657582E9</v>
      </c>
      <c r="M390" s="202" t="s">
        <v>1172</v>
      </c>
      <c r="N390" s="202" t="s">
        <v>1356</v>
      </c>
      <c r="O390" s="202" t="s">
        <v>1410</v>
      </c>
      <c r="P390" s="202" t="s">
        <v>2522</v>
      </c>
      <c r="Q390" s="235">
        <f>COUNTIF('Hedef Liste'!A:A,A390)</f>
        <v>1</v>
      </c>
    </row>
    <row r="391" hidden="1">
      <c r="A391" s="202" t="s">
        <v>1930</v>
      </c>
      <c r="B391" s="202" t="s">
        <v>1931</v>
      </c>
      <c r="C391" s="231" t="s">
        <v>2523</v>
      </c>
      <c r="D391" s="202" t="s">
        <v>1188</v>
      </c>
      <c r="E391" s="232">
        <v>284.0</v>
      </c>
      <c r="F391" s="232">
        <v>97.0</v>
      </c>
      <c r="G391" s="232">
        <v>0.0</v>
      </c>
      <c r="H391" s="232">
        <v>25.0</v>
      </c>
      <c r="I391" s="232">
        <v>25.0</v>
      </c>
      <c r="J391" s="234">
        <v>0.0</v>
      </c>
      <c r="K391" s="202" t="s">
        <v>1925</v>
      </c>
      <c r="L391" s="202">
        <v>5.417247171E9</v>
      </c>
      <c r="M391" s="202" t="s">
        <v>1242</v>
      </c>
      <c r="N391" s="202" t="s">
        <v>1243</v>
      </c>
      <c r="O391" s="202" t="s">
        <v>1932</v>
      </c>
      <c r="P391" s="202" t="s">
        <v>2522</v>
      </c>
      <c r="Q391" s="235">
        <f>COUNTIF('Hedef Liste'!A:A,A391)</f>
        <v>1</v>
      </c>
    </row>
    <row r="392" hidden="1">
      <c r="A392" s="202" t="s">
        <v>1547</v>
      </c>
      <c r="B392" s="202" t="s">
        <v>1548</v>
      </c>
      <c r="C392" s="231" t="s">
        <v>2523</v>
      </c>
      <c r="D392" s="202" t="s">
        <v>1235</v>
      </c>
      <c r="E392" s="233"/>
      <c r="F392" s="233"/>
      <c r="G392" s="232">
        <v>0.0</v>
      </c>
      <c r="H392" s="232">
        <v>14.0</v>
      </c>
      <c r="I392" s="232">
        <v>14.0</v>
      </c>
      <c r="J392" s="234">
        <v>0.0</v>
      </c>
      <c r="K392" s="202" t="s">
        <v>1549</v>
      </c>
      <c r="L392" s="202">
        <v>5.536324854E9</v>
      </c>
      <c r="M392" s="202" t="s">
        <v>1147</v>
      </c>
      <c r="N392" s="202" t="s">
        <v>1157</v>
      </c>
      <c r="O392" s="202" t="s">
        <v>967</v>
      </c>
      <c r="P392" s="202" t="s">
        <v>2522</v>
      </c>
      <c r="Q392" s="235">
        <f>COUNTIF('Hedef Liste'!A:A,A392)</f>
        <v>1</v>
      </c>
    </row>
    <row r="393" hidden="1">
      <c r="A393" s="202" t="s">
        <v>1387</v>
      </c>
      <c r="B393" s="202" t="s">
        <v>1388</v>
      </c>
      <c r="C393" s="231" t="s">
        <v>2523</v>
      </c>
      <c r="D393" s="202" t="s">
        <v>1145</v>
      </c>
      <c r="E393" s="233"/>
      <c r="F393" s="233"/>
      <c r="G393" s="232">
        <v>0.0</v>
      </c>
      <c r="H393" s="232">
        <v>31.0</v>
      </c>
      <c r="I393" s="232">
        <v>31.0</v>
      </c>
      <c r="J393" s="234">
        <v>0.0</v>
      </c>
      <c r="K393" s="202" t="s">
        <v>1389</v>
      </c>
      <c r="L393" s="202">
        <v>5.451665454E9</v>
      </c>
      <c r="M393" s="202" t="s">
        <v>1147</v>
      </c>
      <c r="N393" s="202" t="s">
        <v>1157</v>
      </c>
      <c r="O393" s="202" t="s">
        <v>1390</v>
      </c>
      <c r="P393" s="202" t="s">
        <v>2522</v>
      </c>
      <c r="Q393" s="235">
        <f>COUNTIF('Hedef Liste'!A:A,A393)</f>
        <v>1</v>
      </c>
    </row>
    <row r="394" hidden="1">
      <c r="A394" s="202" t="s">
        <v>1381</v>
      </c>
      <c r="B394" s="202" t="s">
        <v>1382</v>
      </c>
      <c r="C394" s="231" t="s">
        <v>2523</v>
      </c>
      <c r="D394" s="202" t="s">
        <v>1188</v>
      </c>
      <c r="E394" s="232">
        <v>1.0</v>
      </c>
      <c r="F394" s="233"/>
      <c r="G394" s="232">
        <v>0.0</v>
      </c>
      <c r="H394" s="232">
        <v>14.0</v>
      </c>
      <c r="I394" s="232">
        <v>14.0</v>
      </c>
      <c r="J394" s="234">
        <v>0.0</v>
      </c>
      <c r="K394" s="202" t="s">
        <v>1383</v>
      </c>
      <c r="L394" s="202">
        <v>5.331378554E9</v>
      </c>
      <c r="M394" s="202" t="s">
        <v>1147</v>
      </c>
      <c r="N394" s="202" t="s">
        <v>1157</v>
      </c>
      <c r="O394" s="202" t="s">
        <v>1384</v>
      </c>
      <c r="P394" s="202" t="s">
        <v>2522</v>
      </c>
      <c r="Q394" s="235">
        <f>COUNTIF('Hedef Liste'!A:A,A394)</f>
        <v>1</v>
      </c>
    </row>
    <row r="395" hidden="1">
      <c r="A395" s="202" t="s">
        <v>1909</v>
      </c>
      <c r="B395" s="202" t="s">
        <v>1910</v>
      </c>
      <c r="C395" s="231" t="s">
        <v>2523</v>
      </c>
      <c r="D395" s="202" t="s">
        <v>1170</v>
      </c>
      <c r="E395" s="232">
        <v>44.0</v>
      </c>
      <c r="F395" s="232">
        <v>16.0</v>
      </c>
      <c r="G395" s="232">
        <v>0.0</v>
      </c>
      <c r="H395" s="232">
        <v>14.0</v>
      </c>
      <c r="I395" s="232">
        <v>14.0</v>
      </c>
      <c r="J395" s="234">
        <v>0.0</v>
      </c>
      <c r="K395" s="202" t="s">
        <v>1911</v>
      </c>
      <c r="L395" s="202">
        <v>5.013540034E9</v>
      </c>
      <c r="M395" s="202" t="s">
        <v>1318</v>
      </c>
      <c r="N395" s="202" t="s">
        <v>1371</v>
      </c>
      <c r="O395" s="202" t="s">
        <v>1912</v>
      </c>
      <c r="P395" s="202" t="s">
        <v>2522</v>
      </c>
      <c r="Q395" s="235">
        <f>COUNTIF('Hedef Liste'!A:A,A395)</f>
        <v>1</v>
      </c>
    </row>
    <row r="396" hidden="1">
      <c r="A396" s="202" t="s">
        <v>2011</v>
      </c>
      <c r="B396" s="202" t="s">
        <v>2012</v>
      </c>
      <c r="C396" s="231" t="s">
        <v>2523</v>
      </c>
      <c r="D396" s="202" t="s">
        <v>1182</v>
      </c>
      <c r="E396" s="232">
        <v>18.0</v>
      </c>
      <c r="F396" s="232">
        <v>7.0</v>
      </c>
      <c r="G396" s="232">
        <v>0.0</v>
      </c>
      <c r="H396" s="232">
        <v>30.0</v>
      </c>
      <c r="I396" s="232">
        <v>30.0</v>
      </c>
      <c r="J396" s="234">
        <v>0.0</v>
      </c>
      <c r="K396" s="202" t="s">
        <v>2013</v>
      </c>
      <c r="L396" s="202">
        <v>2.647181907E9</v>
      </c>
      <c r="M396" s="202" t="s">
        <v>1242</v>
      </c>
      <c r="N396" s="202" t="s">
        <v>1283</v>
      </c>
      <c r="O396" s="202" t="s">
        <v>2014</v>
      </c>
      <c r="P396" s="202" t="s">
        <v>2522</v>
      </c>
      <c r="Q396" s="235">
        <f>COUNTIF('Hedef Liste'!A:A,A396)</f>
        <v>1</v>
      </c>
    </row>
    <row r="397" hidden="1">
      <c r="A397" s="202" t="s">
        <v>1402</v>
      </c>
      <c r="B397" s="202" t="s">
        <v>1403</v>
      </c>
      <c r="C397" s="231" t="s">
        <v>2523</v>
      </c>
      <c r="D397" s="202" t="s">
        <v>1170</v>
      </c>
      <c r="E397" s="232">
        <v>121.0</v>
      </c>
      <c r="F397" s="232">
        <v>2.0</v>
      </c>
      <c r="G397" s="232">
        <v>0.0</v>
      </c>
      <c r="H397" s="232">
        <v>97.0</v>
      </c>
      <c r="I397" s="232">
        <v>97.0</v>
      </c>
      <c r="J397" s="234">
        <v>0.0</v>
      </c>
      <c r="K397" s="202" t="s">
        <v>1404</v>
      </c>
      <c r="L397" s="202">
        <v>5.445479454E9</v>
      </c>
      <c r="M397" s="202" t="s">
        <v>1172</v>
      </c>
      <c r="N397" s="202" t="s">
        <v>1405</v>
      </c>
      <c r="O397" s="202" t="s">
        <v>1406</v>
      </c>
      <c r="P397" s="202" t="s">
        <v>2522</v>
      </c>
      <c r="Q397" s="235">
        <f>COUNTIF('Hedef Liste'!A:A,A397)</f>
        <v>1</v>
      </c>
    </row>
    <row r="398" hidden="1">
      <c r="A398" s="202" t="s">
        <v>2019</v>
      </c>
      <c r="B398" s="202" t="s">
        <v>2020</v>
      </c>
      <c r="C398" s="231" t="s">
        <v>2523</v>
      </c>
      <c r="D398" s="202" t="s">
        <v>1235</v>
      </c>
      <c r="E398" s="232">
        <v>32.0</v>
      </c>
      <c r="F398" s="232">
        <v>16.0</v>
      </c>
      <c r="G398" s="232">
        <v>1.0</v>
      </c>
      <c r="H398" s="232">
        <v>33.0</v>
      </c>
      <c r="I398" s="232">
        <v>34.0</v>
      </c>
      <c r="J398" s="234">
        <v>0.03</v>
      </c>
      <c r="K398" s="202" t="s">
        <v>2021</v>
      </c>
      <c r="L398" s="202">
        <v>5.345853717E9</v>
      </c>
      <c r="M398" s="202" t="s">
        <v>1147</v>
      </c>
      <c r="N398" s="202" t="s">
        <v>1164</v>
      </c>
      <c r="O398" s="202" t="s">
        <v>2022</v>
      </c>
      <c r="P398" s="202" t="s">
        <v>2522</v>
      </c>
      <c r="Q398" s="235">
        <f>COUNTIF('Hedef Liste'!A:A,A398)</f>
        <v>1</v>
      </c>
    </row>
    <row r="399" hidden="1">
      <c r="A399" s="202" t="s">
        <v>2815</v>
      </c>
      <c r="B399" s="202" t="s">
        <v>2816</v>
      </c>
      <c r="C399" s="231" t="s">
        <v>2523</v>
      </c>
      <c r="D399" s="202" t="s">
        <v>1182</v>
      </c>
      <c r="E399" s="232">
        <v>236.0</v>
      </c>
      <c r="F399" s="232">
        <v>107.0</v>
      </c>
      <c r="G399" s="232">
        <v>92.0</v>
      </c>
      <c r="H399" s="232">
        <v>6.0</v>
      </c>
      <c r="I399" s="232">
        <v>98.0</v>
      </c>
      <c r="J399" s="234">
        <v>0.94</v>
      </c>
      <c r="K399" s="202" t="s">
        <v>2550</v>
      </c>
      <c r="L399" s="202">
        <v>5.326520779E9</v>
      </c>
      <c r="M399" s="202" t="s">
        <v>1147</v>
      </c>
      <c r="N399" s="202" t="s">
        <v>1200</v>
      </c>
      <c r="O399" s="202" t="s">
        <v>2817</v>
      </c>
      <c r="P399" s="202" t="s">
        <v>2531</v>
      </c>
      <c r="Q399" s="235">
        <f>COUNTIF('Hedef Liste'!A:A,A399)</f>
        <v>0</v>
      </c>
    </row>
    <row r="400" hidden="1">
      <c r="A400" s="202" t="s">
        <v>2818</v>
      </c>
      <c r="B400" s="202" t="s">
        <v>2819</v>
      </c>
      <c r="C400" s="231" t="s">
        <v>2523</v>
      </c>
      <c r="D400" s="202" t="s">
        <v>1302</v>
      </c>
      <c r="E400" s="232">
        <v>7.0</v>
      </c>
      <c r="F400" s="232">
        <v>7.0</v>
      </c>
      <c r="G400" s="232">
        <v>16.0</v>
      </c>
      <c r="H400" s="232">
        <v>1.0</v>
      </c>
      <c r="I400" s="232">
        <v>17.0</v>
      </c>
      <c r="J400" s="234">
        <v>0.94</v>
      </c>
      <c r="K400" s="202" t="s">
        <v>2820</v>
      </c>
      <c r="L400" s="202">
        <v>5.549360054E9</v>
      </c>
      <c r="M400" s="202" t="s">
        <v>1147</v>
      </c>
      <c r="N400" s="202" t="s">
        <v>1148</v>
      </c>
      <c r="O400" s="202" t="s">
        <v>2821</v>
      </c>
      <c r="P400" s="202" t="s">
        <v>2522</v>
      </c>
      <c r="Q400" s="235">
        <f>COUNTIF('Hedef Liste'!A:A,A400)</f>
        <v>0</v>
      </c>
    </row>
    <row r="401">
      <c r="A401" s="202" t="s">
        <v>1359</v>
      </c>
      <c r="B401" s="202" t="s">
        <v>1360</v>
      </c>
      <c r="C401" s="231" t="s">
        <v>2523</v>
      </c>
      <c r="D401" s="202" t="s">
        <v>1235</v>
      </c>
      <c r="E401" s="232">
        <v>4.0</v>
      </c>
      <c r="F401" s="233"/>
      <c r="G401" s="232">
        <v>0.0</v>
      </c>
      <c r="H401" s="232">
        <v>55.0</v>
      </c>
      <c r="I401" s="232">
        <v>55.0</v>
      </c>
      <c r="J401" s="234">
        <v>0.0</v>
      </c>
      <c r="K401" s="202" t="s">
        <v>1361</v>
      </c>
      <c r="L401" s="202">
        <v>2.643331233E9</v>
      </c>
      <c r="M401" s="202" t="s">
        <v>1147</v>
      </c>
      <c r="N401" s="202" t="s">
        <v>1362</v>
      </c>
      <c r="O401" s="202" t="s">
        <v>671</v>
      </c>
      <c r="P401" s="202" t="s">
        <v>2522</v>
      </c>
      <c r="Q401" s="235">
        <f>COUNTIF('Hedef Liste'!A:A,A401)</f>
        <v>1</v>
      </c>
    </row>
    <row r="402">
      <c r="A402" s="202" t="s">
        <v>1662</v>
      </c>
      <c r="B402" s="202" t="s">
        <v>1663</v>
      </c>
      <c r="C402" s="231" t="s">
        <v>2523</v>
      </c>
      <c r="D402" s="202" t="s">
        <v>1220</v>
      </c>
      <c r="E402" s="232">
        <v>3.0</v>
      </c>
      <c r="F402" s="232">
        <v>3.0</v>
      </c>
      <c r="G402" s="232">
        <v>0.0</v>
      </c>
      <c r="H402" s="232">
        <v>63.0</v>
      </c>
      <c r="I402" s="232">
        <v>63.0</v>
      </c>
      <c r="J402" s="234">
        <v>0.0</v>
      </c>
      <c r="K402" s="202" t="s">
        <v>1664</v>
      </c>
      <c r="L402" s="202">
        <v>2.642823214E9</v>
      </c>
      <c r="M402" s="202" t="s">
        <v>1172</v>
      </c>
      <c r="N402" s="202" t="s">
        <v>1665</v>
      </c>
      <c r="O402" s="202" t="s">
        <v>1666</v>
      </c>
      <c r="P402" s="202" t="s">
        <v>2522</v>
      </c>
      <c r="Q402" s="235">
        <f>COUNTIF('Hedef Liste'!A:A,A402)</f>
        <v>1</v>
      </c>
    </row>
    <row r="403">
      <c r="A403" s="202" t="s">
        <v>1526</v>
      </c>
      <c r="B403" s="202" t="s">
        <v>1527</v>
      </c>
      <c r="C403" s="231" t="s">
        <v>2523</v>
      </c>
      <c r="D403" s="202" t="s">
        <v>1170</v>
      </c>
      <c r="E403" s="232">
        <v>1.0</v>
      </c>
      <c r="F403" s="232">
        <v>1.0</v>
      </c>
      <c r="G403" s="232">
        <v>0.0</v>
      </c>
      <c r="H403" s="232">
        <v>17.0</v>
      </c>
      <c r="I403" s="232">
        <v>17.0</v>
      </c>
      <c r="J403" s="234">
        <v>0.0</v>
      </c>
      <c r="K403" s="202" t="s">
        <v>1528</v>
      </c>
      <c r="L403" s="202">
        <v>5.072402019E9</v>
      </c>
      <c r="M403" s="202" t="s">
        <v>1147</v>
      </c>
      <c r="N403" s="202" t="s">
        <v>1164</v>
      </c>
      <c r="O403" s="202" t="s">
        <v>1529</v>
      </c>
      <c r="P403" s="202" t="s">
        <v>2522</v>
      </c>
      <c r="Q403" s="235">
        <f>COUNTIF('Hedef Liste'!A:A,A403)</f>
        <v>1</v>
      </c>
    </row>
    <row r="404">
      <c r="A404" s="202" t="s">
        <v>1566</v>
      </c>
      <c r="B404" s="202" t="s">
        <v>1567</v>
      </c>
      <c r="C404" s="231" t="s">
        <v>2523</v>
      </c>
      <c r="D404" s="202" t="s">
        <v>1145</v>
      </c>
      <c r="E404" s="232">
        <v>6.0</v>
      </c>
      <c r="F404" s="232">
        <v>6.0</v>
      </c>
      <c r="G404" s="232">
        <v>1.0</v>
      </c>
      <c r="H404" s="232">
        <v>72.0</v>
      </c>
      <c r="I404" s="232">
        <v>73.0</v>
      </c>
      <c r="J404" s="234">
        <v>0.01</v>
      </c>
      <c r="K404" s="202" t="s">
        <v>1568</v>
      </c>
      <c r="L404" s="202">
        <v>5.323924197E9</v>
      </c>
      <c r="M404" s="202" t="s">
        <v>1147</v>
      </c>
      <c r="N404" s="202" t="s">
        <v>1362</v>
      </c>
      <c r="O404" s="202" t="s">
        <v>1569</v>
      </c>
      <c r="P404" s="202" t="s">
        <v>2522</v>
      </c>
      <c r="Q404" s="235">
        <f>COUNTIF('Hedef Liste'!A:A,A404)</f>
        <v>1</v>
      </c>
    </row>
    <row r="405" hidden="1">
      <c r="A405" s="202" t="s">
        <v>2822</v>
      </c>
      <c r="B405" s="202" t="s">
        <v>2823</v>
      </c>
      <c r="C405" s="231" t="s">
        <v>2523</v>
      </c>
      <c r="D405" s="202" t="s">
        <v>1182</v>
      </c>
      <c r="E405" s="232">
        <v>2.0</v>
      </c>
      <c r="F405" s="232">
        <v>2.0</v>
      </c>
      <c r="G405" s="232">
        <v>84.0</v>
      </c>
      <c r="H405" s="232">
        <v>8.0</v>
      </c>
      <c r="I405" s="232">
        <v>92.0</v>
      </c>
      <c r="J405" s="234">
        <v>0.91</v>
      </c>
      <c r="K405" s="202" t="s">
        <v>2550</v>
      </c>
      <c r="L405" s="202">
        <v>5.444550898E9</v>
      </c>
      <c r="M405" s="202" t="s">
        <v>1172</v>
      </c>
      <c r="N405" s="202" t="s">
        <v>2566</v>
      </c>
      <c r="O405" s="202" t="s">
        <v>2824</v>
      </c>
      <c r="P405" s="202" t="s">
        <v>2531</v>
      </c>
      <c r="Q405" s="235">
        <f>COUNTIF('Hedef Liste'!A:A,A405)</f>
        <v>0</v>
      </c>
    </row>
    <row r="406" hidden="1">
      <c r="A406" s="202" t="s">
        <v>2825</v>
      </c>
      <c r="B406" s="202" t="s">
        <v>2826</v>
      </c>
      <c r="C406" s="231" t="s">
        <v>2523</v>
      </c>
      <c r="D406" s="202" t="s">
        <v>1155</v>
      </c>
      <c r="E406" s="232">
        <v>8.0</v>
      </c>
      <c r="F406" s="232">
        <v>8.0</v>
      </c>
      <c r="G406" s="232">
        <v>6.0</v>
      </c>
      <c r="H406" s="232">
        <v>43.0</v>
      </c>
      <c r="I406" s="232">
        <v>49.0</v>
      </c>
      <c r="J406" s="234">
        <v>0.12</v>
      </c>
      <c r="K406" s="202" t="s">
        <v>2827</v>
      </c>
      <c r="L406" s="202">
        <v>2.642782727E9</v>
      </c>
      <c r="M406" s="202" t="s">
        <v>1147</v>
      </c>
      <c r="N406" s="202" t="s">
        <v>1157</v>
      </c>
      <c r="O406" s="202" t="s">
        <v>2262</v>
      </c>
      <c r="P406" s="202" t="s">
        <v>2522</v>
      </c>
      <c r="Q406" s="235">
        <f>COUNTIF('Hedef Liste'!A:A,A406)</f>
        <v>0</v>
      </c>
    </row>
    <row r="407">
      <c r="A407" s="202" t="s">
        <v>2006</v>
      </c>
      <c r="B407" s="202" t="s">
        <v>2007</v>
      </c>
      <c r="C407" s="231" t="s">
        <v>2523</v>
      </c>
      <c r="D407" s="202" t="s">
        <v>1281</v>
      </c>
      <c r="E407" s="232">
        <v>141.0</v>
      </c>
      <c r="F407" s="232">
        <v>111.0</v>
      </c>
      <c r="G407" s="232">
        <v>0.0</v>
      </c>
      <c r="H407" s="232">
        <v>21.0</v>
      </c>
      <c r="I407" s="232">
        <v>21.0</v>
      </c>
      <c r="J407" s="234">
        <v>0.0</v>
      </c>
      <c r="K407" s="202" t="s">
        <v>2008</v>
      </c>
      <c r="L407" s="202">
        <v>5.368194321E9</v>
      </c>
      <c r="M407" s="202" t="s">
        <v>1147</v>
      </c>
      <c r="N407" s="202" t="s">
        <v>1200</v>
      </c>
      <c r="O407" s="202" t="s">
        <v>68</v>
      </c>
      <c r="P407" s="202" t="s">
        <v>2522</v>
      </c>
      <c r="Q407" s="235">
        <f>COUNTIF('Hedef Liste'!A:A,A407)</f>
        <v>1</v>
      </c>
    </row>
    <row r="408">
      <c r="A408" s="202" t="s">
        <v>2253</v>
      </c>
      <c r="B408" s="202" t="s">
        <v>2254</v>
      </c>
      <c r="C408" s="231" t="s">
        <v>2523</v>
      </c>
      <c r="D408" s="202" t="s">
        <v>1235</v>
      </c>
      <c r="E408" s="232">
        <v>1.0</v>
      </c>
      <c r="F408" s="232">
        <v>1.0</v>
      </c>
      <c r="G408" s="232">
        <v>2.0</v>
      </c>
      <c r="H408" s="232">
        <v>50.0</v>
      </c>
      <c r="I408" s="232">
        <v>52.0</v>
      </c>
      <c r="J408" s="234">
        <v>0.04</v>
      </c>
      <c r="K408" s="202" t="s">
        <v>2255</v>
      </c>
      <c r="L408" s="202">
        <v>5.45563688E9</v>
      </c>
      <c r="M408" s="202" t="s">
        <v>2256</v>
      </c>
      <c r="N408" s="202" t="s">
        <v>2257</v>
      </c>
      <c r="O408" s="202" t="s">
        <v>2258</v>
      </c>
      <c r="P408" s="202" t="s">
        <v>2522</v>
      </c>
      <c r="Q408" s="235">
        <f>COUNTIF('Hedef Liste'!A:A,A408)</f>
        <v>1</v>
      </c>
    </row>
    <row r="409" hidden="1">
      <c r="A409" s="202" t="s">
        <v>2278</v>
      </c>
      <c r="B409" s="202" t="s">
        <v>2279</v>
      </c>
      <c r="C409" s="231" t="s">
        <v>2523</v>
      </c>
      <c r="D409" s="202" t="s">
        <v>1188</v>
      </c>
      <c r="E409" s="232">
        <v>324.0</v>
      </c>
      <c r="F409" s="232">
        <v>79.0</v>
      </c>
      <c r="G409" s="232">
        <v>2.0</v>
      </c>
      <c r="H409" s="232">
        <v>12.0</v>
      </c>
      <c r="I409" s="232">
        <v>14.0</v>
      </c>
      <c r="J409" s="234">
        <v>0.14</v>
      </c>
      <c r="K409" s="202" t="s">
        <v>2280</v>
      </c>
      <c r="L409" s="202">
        <v>5.455233353E9</v>
      </c>
      <c r="M409" s="202" t="s">
        <v>1318</v>
      </c>
      <c r="N409" s="202" t="s">
        <v>1319</v>
      </c>
      <c r="O409" s="202" t="s">
        <v>2281</v>
      </c>
      <c r="P409" s="202" t="s">
        <v>2522</v>
      </c>
      <c r="Q409" s="235">
        <f>COUNTIF('Hedef Liste'!A:A,A409)</f>
        <v>1</v>
      </c>
    </row>
    <row r="410" hidden="1">
      <c r="A410" s="202" t="s">
        <v>2828</v>
      </c>
      <c r="B410" s="202" t="s">
        <v>2829</v>
      </c>
      <c r="C410" s="231" t="s">
        <v>2523</v>
      </c>
      <c r="D410" s="202" t="s">
        <v>1155</v>
      </c>
      <c r="E410" s="232">
        <v>5.0</v>
      </c>
      <c r="F410" s="232">
        <v>5.0</v>
      </c>
      <c r="G410" s="232">
        <v>6.0</v>
      </c>
      <c r="H410" s="232">
        <v>31.0</v>
      </c>
      <c r="I410" s="232">
        <v>37.0</v>
      </c>
      <c r="J410" s="234">
        <v>0.16</v>
      </c>
      <c r="K410" s="202" t="s">
        <v>2827</v>
      </c>
      <c r="L410" s="202">
        <v>2.642782727E9</v>
      </c>
      <c r="M410" s="202" t="s">
        <v>1147</v>
      </c>
      <c r="N410" s="202" t="s">
        <v>1157</v>
      </c>
      <c r="O410" s="202" t="s">
        <v>2262</v>
      </c>
      <c r="P410" s="202" t="s">
        <v>2522</v>
      </c>
      <c r="Q410" s="235">
        <f>COUNTIF('Hedef Liste'!A:A,A410)</f>
        <v>0</v>
      </c>
    </row>
    <row r="411">
      <c r="A411" s="202" t="s">
        <v>1345</v>
      </c>
      <c r="B411" s="202" t="s">
        <v>1346</v>
      </c>
      <c r="C411" s="231" t="s">
        <v>2523</v>
      </c>
      <c r="D411" s="202" t="s">
        <v>1155</v>
      </c>
      <c r="E411" s="233"/>
      <c r="F411" s="233"/>
      <c r="G411" s="232">
        <v>0.0</v>
      </c>
      <c r="H411" s="232">
        <v>39.0</v>
      </c>
      <c r="I411" s="232">
        <v>39.0</v>
      </c>
      <c r="J411" s="234">
        <v>0.0</v>
      </c>
      <c r="K411" s="202" t="s">
        <v>1347</v>
      </c>
      <c r="L411" s="202">
        <v>5.317865383E9</v>
      </c>
      <c r="M411" s="202" t="s">
        <v>1348</v>
      </c>
      <c r="N411" s="202" t="s">
        <v>1349</v>
      </c>
      <c r="O411" s="202" t="s">
        <v>1350</v>
      </c>
      <c r="P411" s="202" t="s">
        <v>2522</v>
      </c>
      <c r="Q411" s="235">
        <f>COUNTIF('Hedef Liste'!A:A,A411)</f>
        <v>1</v>
      </c>
    </row>
    <row r="412" hidden="1">
      <c r="A412" s="202" t="s">
        <v>1752</v>
      </c>
      <c r="B412" s="202" t="s">
        <v>1753</v>
      </c>
      <c r="C412" s="231" t="s">
        <v>2523</v>
      </c>
      <c r="D412" s="202" t="s">
        <v>1155</v>
      </c>
      <c r="E412" s="232">
        <v>239.0</v>
      </c>
      <c r="F412" s="233"/>
      <c r="G412" s="232">
        <v>0.0</v>
      </c>
      <c r="H412" s="232">
        <v>24.0</v>
      </c>
      <c r="I412" s="232">
        <v>24.0</v>
      </c>
      <c r="J412" s="234">
        <v>0.0</v>
      </c>
      <c r="K412" s="202" t="s">
        <v>1754</v>
      </c>
      <c r="L412" s="202">
        <v>5.374488134E9</v>
      </c>
      <c r="M412" s="202" t="s">
        <v>1242</v>
      </c>
      <c r="N412" s="202" t="s">
        <v>1243</v>
      </c>
      <c r="O412" s="202" t="s">
        <v>1755</v>
      </c>
      <c r="P412" s="202" t="s">
        <v>2522</v>
      </c>
      <c r="Q412" s="235">
        <f>COUNTIF('Hedef Liste'!A:A,A412)</f>
        <v>1</v>
      </c>
    </row>
    <row r="413" hidden="1">
      <c r="A413" s="202" t="s">
        <v>2830</v>
      </c>
      <c r="B413" s="202" t="s">
        <v>2831</v>
      </c>
      <c r="C413" s="231" t="s">
        <v>2523</v>
      </c>
      <c r="D413" s="202" t="s">
        <v>1216</v>
      </c>
      <c r="E413" s="232">
        <v>37.0</v>
      </c>
      <c r="F413" s="232">
        <v>22.0</v>
      </c>
      <c r="G413" s="232">
        <v>33.0</v>
      </c>
      <c r="H413" s="232">
        <v>3.0</v>
      </c>
      <c r="I413" s="232">
        <v>36.0</v>
      </c>
      <c r="J413" s="234">
        <v>0.92</v>
      </c>
      <c r="K413" s="202" t="s">
        <v>2832</v>
      </c>
      <c r="L413" s="202">
        <v>5.351006811E9</v>
      </c>
      <c r="M413" s="202" t="s">
        <v>1147</v>
      </c>
      <c r="N413" s="202" t="s">
        <v>1148</v>
      </c>
      <c r="O413" s="202" t="s">
        <v>2833</v>
      </c>
      <c r="P413" s="202" t="s">
        <v>2531</v>
      </c>
      <c r="Q413" s="235">
        <f>COUNTIF('Hedef Liste'!A:A,A413)</f>
        <v>0</v>
      </c>
    </row>
    <row r="414" hidden="1">
      <c r="A414" s="202" t="s">
        <v>1305</v>
      </c>
      <c r="B414" s="202" t="s">
        <v>1306</v>
      </c>
      <c r="C414" s="231" t="s">
        <v>2523</v>
      </c>
      <c r="D414" s="202" t="s">
        <v>1170</v>
      </c>
      <c r="E414" s="232">
        <v>49.0</v>
      </c>
      <c r="F414" s="232">
        <v>32.0</v>
      </c>
      <c r="G414" s="232">
        <v>0.0</v>
      </c>
      <c r="H414" s="232">
        <v>11.0</v>
      </c>
      <c r="I414" s="232">
        <v>11.0</v>
      </c>
      <c r="J414" s="234">
        <v>0.0</v>
      </c>
      <c r="K414" s="202" t="s">
        <v>1307</v>
      </c>
      <c r="L414" s="202">
        <v>5.302006954E9</v>
      </c>
      <c r="M414" s="202" t="s">
        <v>1147</v>
      </c>
      <c r="N414" s="202" t="s">
        <v>1164</v>
      </c>
      <c r="O414" s="202" t="s">
        <v>1308</v>
      </c>
      <c r="P414" s="202" t="s">
        <v>2522</v>
      </c>
      <c r="Q414" s="235">
        <f>COUNTIF('Hedef Liste'!A:A,A414)</f>
        <v>1</v>
      </c>
    </row>
    <row r="415">
      <c r="A415" s="202" t="s">
        <v>1986</v>
      </c>
      <c r="B415" s="202" t="s">
        <v>1987</v>
      </c>
      <c r="C415" s="231" t="s">
        <v>2523</v>
      </c>
      <c r="D415" s="202" t="s">
        <v>1170</v>
      </c>
      <c r="E415" s="232">
        <v>52.0</v>
      </c>
      <c r="F415" s="232">
        <v>32.0</v>
      </c>
      <c r="G415" s="232">
        <v>0.0</v>
      </c>
      <c r="H415" s="232">
        <v>33.0</v>
      </c>
      <c r="I415" s="232">
        <v>33.0</v>
      </c>
      <c r="J415" s="234">
        <v>0.0</v>
      </c>
      <c r="K415" s="202" t="s">
        <v>1988</v>
      </c>
      <c r="L415" s="202">
        <v>5.312752869E9</v>
      </c>
      <c r="M415" s="202" t="s">
        <v>1147</v>
      </c>
      <c r="N415" s="202" t="s">
        <v>1148</v>
      </c>
      <c r="O415" s="202" t="s">
        <v>1989</v>
      </c>
      <c r="P415" s="202" t="s">
        <v>2522</v>
      </c>
      <c r="Q415" s="235">
        <f>COUNTIF('Hedef Liste'!A:A,A415)</f>
        <v>1</v>
      </c>
    </row>
    <row r="416" hidden="1">
      <c r="A416" s="202" t="s">
        <v>2834</v>
      </c>
      <c r="B416" s="202" t="s">
        <v>2835</v>
      </c>
      <c r="C416" s="231" t="s">
        <v>2523</v>
      </c>
      <c r="D416" s="202" t="s">
        <v>1216</v>
      </c>
      <c r="E416" s="232">
        <v>11748.0</v>
      </c>
      <c r="F416" s="232">
        <v>256.0</v>
      </c>
      <c r="G416" s="232">
        <v>134.0</v>
      </c>
      <c r="H416" s="232">
        <v>16.0</v>
      </c>
      <c r="I416" s="232">
        <v>150.0</v>
      </c>
      <c r="J416" s="234">
        <v>0.89</v>
      </c>
      <c r="K416" s="202" t="s">
        <v>2807</v>
      </c>
      <c r="L416" s="202">
        <v>2.64211407E9</v>
      </c>
      <c r="M416" s="202" t="s">
        <v>1147</v>
      </c>
      <c r="N416" s="202" t="s">
        <v>1157</v>
      </c>
      <c r="O416" s="202" t="s">
        <v>2836</v>
      </c>
      <c r="P416" s="202" t="s">
        <v>2531</v>
      </c>
      <c r="Q416" s="235">
        <f>COUNTIF('Hedef Liste'!A:A,A416)</f>
        <v>0</v>
      </c>
    </row>
    <row r="417" hidden="1">
      <c r="A417" s="202" t="s">
        <v>2837</v>
      </c>
      <c r="B417" s="202" t="s">
        <v>2838</v>
      </c>
      <c r="C417" s="231" t="s">
        <v>2523</v>
      </c>
      <c r="D417" s="202" t="s">
        <v>1182</v>
      </c>
      <c r="E417" s="232">
        <v>4.0</v>
      </c>
      <c r="F417" s="232">
        <v>4.0</v>
      </c>
      <c r="G417" s="232">
        <v>51.0</v>
      </c>
      <c r="H417" s="232">
        <v>9.0</v>
      </c>
      <c r="I417" s="232">
        <v>60.0</v>
      </c>
      <c r="J417" s="234">
        <v>0.85</v>
      </c>
      <c r="K417" s="202" t="s">
        <v>2839</v>
      </c>
      <c r="L417" s="202">
        <v>5.333886464E9</v>
      </c>
      <c r="M417" s="202" t="s">
        <v>1147</v>
      </c>
      <c r="N417" s="202" t="s">
        <v>1148</v>
      </c>
      <c r="O417" s="202" t="s">
        <v>2840</v>
      </c>
      <c r="P417" s="202" t="s">
        <v>2531</v>
      </c>
      <c r="Q417" s="235">
        <f>COUNTIF('Hedef Liste'!A:A,A417)</f>
        <v>0</v>
      </c>
    </row>
    <row r="418" hidden="1">
      <c r="A418" s="202" t="s">
        <v>790</v>
      </c>
      <c r="B418" s="202" t="s">
        <v>2841</v>
      </c>
      <c r="C418" s="231" t="s">
        <v>2521</v>
      </c>
      <c r="D418" s="202" t="s">
        <v>1145</v>
      </c>
      <c r="E418" s="233"/>
      <c r="F418" s="233"/>
      <c r="G418" s="232">
        <v>3.0</v>
      </c>
      <c r="H418" s="232">
        <v>4.0</v>
      </c>
      <c r="I418" s="232">
        <v>7.0</v>
      </c>
      <c r="J418" s="234">
        <v>0.43</v>
      </c>
      <c r="K418" s="202" t="s">
        <v>2039</v>
      </c>
      <c r="L418" s="202">
        <v>5.548213251E9</v>
      </c>
      <c r="M418" s="202" t="s">
        <v>1172</v>
      </c>
      <c r="N418" s="202" t="s">
        <v>1196</v>
      </c>
      <c r="O418" s="202" t="s">
        <v>2842</v>
      </c>
      <c r="P418" s="202" t="s">
        <v>2522</v>
      </c>
      <c r="Q418" s="235">
        <f>COUNTIF('Hedef Liste'!A:A,A418)</f>
        <v>1</v>
      </c>
    </row>
    <row r="419">
      <c r="A419" s="202" t="s">
        <v>1186</v>
      </c>
      <c r="B419" s="202" t="s">
        <v>1187</v>
      </c>
      <c r="C419" s="231" t="s">
        <v>2523</v>
      </c>
      <c r="D419" s="202" t="s">
        <v>1188</v>
      </c>
      <c r="E419" s="233"/>
      <c r="F419" s="233"/>
      <c r="G419" s="232">
        <v>0.0</v>
      </c>
      <c r="H419" s="232">
        <v>20.0</v>
      </c>
      <c r="I419" s="232">
        <v>20.0</v>
      </c>
      <c r="J419" s="234">
        <v>0.0</v>
      </c>
      <c r="K419" s="202" t="s">
        <v>1189</v>
      </c>
      <c r="L419" s="202">
        <v>5.354313106E9</v>
      </c>
      <c r="M419" s="202" t="s">
        <v>1172</v>
      </c>
      <c r="N419" s="202" t="s">
        <v>1190</v>
      </c>
      <c r="O419" s="202" t="s">
        <v>1191</v>
      </c>
      <c r="P419" s="202" t="s">
        <v>2522</v>
      </c>
      <c r="Q419" s="235">
        <f>COUNTIF('Hedef Liste'!A:A,A419)</f>
        <v>1</v>
      </c>
    </row>
    <row r="420">
      <c r="A420" s="202" t="s">
        <v>2308</v>
      </c>
      <c r="B420" s="202" t="s">
        <v>2309</v>
      </c>
      <c r="C420" s="231" t="s">
        <v>2523</v>
      </c>
      <c r="D420" s="202" t="s">
        <v>1175</v>
      </c>
      <c r="E420" s="232">
        <v>135.0</v>
      </c>
      <c r="F420" s="232">
        <v>82.0</v>
      </c>
      <c r="G420" s="232">
        <v>0.0</v>
      </c>
      <c r="H420" s="232">
        <v>28.0</v>
      </c>
      <c r="I420" s="232">
        <v>28.0</v>
      </c>
      <c r="J420" s="234">
        <v>0.0</v>
      </c>
      <c r="K420" s="202" t="s">
        <v>2310</v>
      </c>
      <c r="L420" s="202">
        <v>2.642712524E9</v>
      </c>
      <c r="M420" s="202" t="s">
        <v>1172</v>
      </c>
      <c r="N420" s="202" t="s">
        <v>1300</v>
      </c>
      <c r="O420" s="202" t="s">
        <v>2311</v>
      </c>
      <c r="P420" s="202" t="s">
        <v>2522</v>
      </c>
      <c r="Q420" s="235">
        <f>COUNTIF('Hedef Liste'!A:A,A420)</f>
        <v>1</v>
      </c>
    </row>
    <row r="421" hidden="1">
      <c r="A421" s="202" t="s">
        <v>1712</v>
      </c>
      <c r="B421" s="202" t="s">
        <v>1713</v>
      </c>
      <c r="C421" s="231" t="s">
        <v>2523</v>
      </c>
      <c r="D421" s="202" t="s">
        <v>1302</v>
      </c>
      <c r="E421" s="232">
        <v>31.0</v>
      </c>
      <c r="F421" s="232">
        <v>16.0</v>
      </c>
      <c r="G421" s="232">
        <v>17.0</v>
      </c>
      <c r="H421" s="232">
        <v>1.0</v>
      </c>
      <c r="I421" s="232">
        <v>18.0</v>
      </c>
      <c r="J421" s="234">
        <v>0.94</v>
      </c>
      <c r="K421" s="202" t="s">
        <v>1714</v>
      </c>
      <c r="L421" s="202">
        <v>5.416495054E9</v>
      </c>
      <c r="M421" s="202" t="s">
        <v>1172</v>
      </c>
      <c r="N421" s="202" t="s">
        <v>1715</v>
      </c>
      <c r="O421" s="202" t="s">
        <v>1716</v>
      </c>
      <c r="P421" s="202" t="s">
        <v>2522</v>
      </c>
      <c r="Q421" s="235">
        <f>COUNTIF('Hedef Liste'!A:A,A421)</f>
        <v>1</v>
      </c>
    </row>
    <row r="422" hidden="1">
      <c r="A422" s="202" t="s">
        <v>642</v>
      </c>
      <c r="B422" s="202" t="s">
        <v>643</v>
      </c>
      <c r="C422" s="231" t="s">
        <v>2523</v>
      </c>
      <c r="D422" s="202" t="s">
        <v>1170</v>
      </c>
      <c r="E422" s="232">
        <v>2963.0</v>
      </c>
      <c r="F422" s="232">
        <v>149.0</v>
      </c>
      <c r="G422" s="232">
        <v>5.0</v>
      </c>
      <c r="H422" s="232">
        <v>4.0</v>
      </c>
      <c r="I422" s="232">
        <v>9.0</v>
      </c>
      <c r="J422" s="234">
        <v>0.56</v>
      </c>
      <c r="K422" s="202" t="s">
        <v>2381</v>
      </c>
      <c r="L422" s="202">
        <v>2.642796739E9</v>
      </c>
      <c r="M422" s="202" t="s">
        <v>1172</v>
      </c>
      <c r="N422" s="202" t="s">
        <v>1190</v>
      </c>
      <c r="O422" s="202" t="s">
        <v>645</v>
      </c>
      <c r="P422" s="202" t="s">
        <v>2522</v>
      </c>
      <c r="Q422" s="235">
        <f>COUNTIF('Hedef Liste'!A:A,A422)</f>
        <v>1</v>
      </c>
    </row>
    <row r="423" hidden="1">
      <c r="A423" s="202" t="s">
        <v>787</v>
      </c>
      <c r="B423" s="202" t="s">
        <v>2843</v>
      </c>
      <c r="C423" s="231" t="s">
        <v>2523</v>
      </c>
      <c r="D423" s="202" t="s">
        <v>1145</v>
      </c>
      <c r="E423" s="232">
        <v>2557.0</v>
      </c>
      <c r="F423" s="232">
        <v>201.0</v>
      </c>
      <c r="G423" s="232">
        <v>8.0</v>
      </c>
      <c r="H423" s="232">
        <v>14.0</v>
      </c>
      <c r="I423" s="232">
        <v>22.0</v>
      </c>
      <c r="J423" s="234">
        <v>0.36</v>
      </c>
      <c r="K423" s="202" t="s">
        <v>1803</v>
      </c>
      <c r="L423" s="202">
        <v>5.315239294E9</v>
      </c>
      <c r="M423" s="202" t="s">
        <v>1147</v>
      </c>
      <c r="N423" s="202" t="s">
        <v>1200</v>
      </c>
      <c r="O423" s="202" t="s">
        <v>68</v>
      </c>
      <c r="P423" s="202" t="s">
        <v>2522</v>
      </c>
      <c r="Q423" s="235">
        <f>COUNTIF('Hedef Liste'!A:A,A423)</f>
        <v>1</v>
      </c>
    </row>
    <row r="424" hidden="1">
      <c r="A424" s="202" t="s">
        <v>968</v>
      </c>
      <c r="B424" s="202" t="s">
        <v>969</v>
      </c>
      <c r="C424" s="231" t="s">
        <v>2523</v>
      </c>
      <c r="D424" s="202" t="s">
        <v>1170</v>
      </c>
      <c r="E424" s="232">
        <v>449.0</v>
      </c>
      <c r="F424" s="232">
        <v>156.0</v>
      </c>
      <c r="G424" s="232">
        <v>6.0</v>
      </c>
      <c r="H424" s="232">
        <v>29.0</v>
      </c>
      <c r="I424" s="232">
        <v>35.0</v>
      </c>
      <c r="J424" s="234">
        <v>0.17</v>
      </c>
      <c r="K424" s="202" t="s">
        <v>2475</v>
      </c>
      <c r="L424" s="202">
        <v>5.326217461E9</v>
      </c>
      <c r="M424" s="202" t="s">
        <v>1147</v>
      </c>
      <c r="N424" s="202" t="s">
        <v>1200</v>
      </c>
      <c r="O424" s="202" t="s">
        <v>2844</v>
      </c>
      <c r="P424" s="202" t="s">
        <v>2522</v>
      </c>
      <c r="Q424" s="235">
        <f>COUNTIF('Hedef Liste'!A:A,A424)</f>
        <v>1</v>
      </c>
    </row>
    <row r="425">
      <c r="A425" s="202" t="s">
        <v>1374</v>
      </c>
      <c r="B425" s="202" t="s">
        <v>1375</v>
      </c>
      <c r="C425" s="231" t="s">
        <v>2523</v>
      </c>
      <c r="D425" s="202" t="s">
        <v>1170</v>
      </c>
      <c r="F425" s="233"/>
      <c r="G425" s="232">
        <v>0.0</v>
      </c>
      <c r="H425" s="232">
        <v>15.0</v>
      </c>
      <c r="I425" s="232">
        <v>15.0</v>
      </c>
      <c r="J425" s="234">
        <v>0.0</v>
      </c>
      <c r="K425" s="202" t="s">
        <v>1376</v>
      </c>
      <c r="L425" s="202">
        <v>5.300230654E9</v>
      </c>
      <c r="M425" s="202" t="s">
        <v>1147</v>
      </c>
      <c r="N425" s="202" t="s">
        <v>1157</v>
      </c>
      <c r="O425" s="202" t="s">
        <v>1377</v>
      </c>
      <c r="P425" s="202" t="s">
        <v>2522</v>
      </c>
      <c r="Q425" s="235">
        <f>COUNTIF('Hedef Liste'!A:A,A425)</f>
        <v>1</v>
      </c>
    </row>
    <row r="426">
      <c r="A426" s="202" t="s">
        <v>1293</v>
      </c>
      <c r="B426" s="202" t="s">
        <v>1294</v>
      </c>
      <c r="C426" s="231" t="s">
        <v>2523</v>
      </c>
      <c r="D426" s="202" t="s">
        <v>1182</v>
      </c>
      <c r="E426" s="233"/>
      <c r="F426" s="233"/>
      <c r="G426" s="232">
        <v>0.0</v>
      </c>
      <c r="H426" s="232">
        <v>31.0</v>
      </c>
      <c r="I426" s="232">
        <v>31.0</v>
      </c>
      <c r="J426" s="234">
        <v>0.0</v>
      </c>
      <c r="K426" s="202" t="s">
        <v>1295</v>
      </c>
      <c r="L426" s="202">
        <v>5.424601841E9</v>
      </c>
      <c r="M426" s="202" t="s">
        <v>1177</v>
      </c>
      <c r="N426" s="202" t="s">
        <v>1177</v>
      </c>
      <c r="O426" s="202" t="s">
        <v>1296</v>
      </c>
      <c r="P426" s="202" t="s">
        <v>2522</v>
      </c>
      <c r="Q426" s="235">
        <f>COUNTIF('Hedef Liste'!A:A,A426)</f>
        <v>1</v>
      </c>
    </row>
    <row r="427">
      <c r="A427" s="202" t="s">
        <v>2461</v>
      </c>
      <c r="B427" s="202" t="s">
        <v>2462</v>
      </c>
      <c r="C427" s="231" t="s">
        <v>2523</v>
      </c>
      <c r="D427" s="202" t="s">
        <v>1155</v>
      </c>
      <c r="E427" s="233"/>
      <c r="F427" s="233"/>
      <c r="G427" s="232">
        <v>0.0</v>
      </c>
      <c r="H427" s="232">
        <v>29.0</v>
      </c>
      <c r="I427" s="232">
        <v>29.0</v>
      </c>
      <c r="J427" s="234">
        <v>0.0</v>
      </c>
      <c r="K427" s="202" t="s">
        <v>2463</v>
      </c>
      <c r="L427" s="202">
        <v>5.525616354E9</v>
      </c>
      <c r="M427" s="202" t="s">
        <v>1172</v>
      </c>
      <c r="N427" s="202" t="s">
        <v>1228</v>
      </c>
      <c r="O427" s="202" t="s">
        <v>2464</v>
      </c>
      <c r="P427" s="202" t="s">
        <v>2522</v>
      </c>
      <c r="Q427" s="235">
        <f>COUNTIF('Hedef Liste'!A:A,A427)</f>
        <v>1</v>
      </c>
    </row>
    <row r="428" hidden="1">
      <c r="A428" s="202" t="s">
        <v>2358</v>
      </c>
      <c r="B428" s="202" t="s">
        <v>2359</v>
      </c>
      <c r="C428" s="231" t="s">
        <v>2521</v>
      </c>
      <c r="D428" s="202" t="s">
        <v>1170</v>
      </c>
      <c r="E428" s="232">
        <v>109.0</v>
      </c>
      <c r="F428" s="233"/>
      <c r="G428" s="232">
        <v>0.0</v>
      </c>
      <c r="H428" s="232">
        <v>20.0</v>
      </c>
      <c r="I428" s="232">
        <v>20.0</v>
      </c>
      <c r="J428" s="234">
        <v>0.0</v>
      </c>
      <c r="K428" s="202" t="s">
        <v>2360</v>
      </c>
      <c r="L428" s="202">
        <v>5.396592954E9</v>
      </c>
      <c r="M428" s="202" t="s">
        <v>1147</v>
      </c>
      <c r="N428" s="202" t="s">
        <v>1148</v>
      </c>
      <c r="O428" s="202" t="s">
        <v>1598</v>
      </c>
      <c r="P428" s="202" t="s">
        <v>2522</v>
      </c>
      <c r="Q428" s="235">
        <f>COUNTIF('Hedef Liste'!A:A,A428)</f>
        <v>1</v>
      </c>
    </row>
    <row r="429" hidden="1">
      <c r="A429" s="202" t="s">
        <v>1596</v>
      </c>
      <c r="B429" s="202" t="s">
        <v>1597</v>
      </c>
      <c r="C429" s="231" t="s">
        <v>2523</v>
      </c>
      <c r="D429" s="202" t="s">
        <v>1182</v>
      </c>
      <c r="E429" s="232">
        <v>1600.0</v>
      </c>
      <c r="F429" s="232">
        <v>16.0</v>
      </c>
      <c r="G429" s="232">
        <v>7.0</v>
      </c>
      <c r="H429" s="232">
        <v>10.0</v>
      </c>
      <c r="I429" s="232">
        <v>17.0</v>
      </c>
      <c r="J429" s="234">
        <v>0.41</v>
      </c>
      <c r="K429" s="202" t="s">
        <v>1574</v>
      </c>
      <c r="L429" s="202">
        <v>2.64273524E9</v>
      </c>
      <c r="M429" s="202" t="s">
        <v>1147</v>
      </c>
      <c r="N429" s="202" t="s">
        <v>1148</v>
      </c>
      <c r="O429" s="202" t="s">
        <v>1598</v>
      </c>
      <c r="P429" s="202" t="s">
        <v>2522</v>
      </c>
      <c r="Q429" s="235">
        <f>COUNTIF('Hedef Liste'!A:A,A429)</f>
        <v>1</v>
      </c>
    </row>
    <row r="430" hidden="1">
      <c r="A430" s="202" t="s">
        <v>1981</v>
      </c>
      <c r="B430" s="202" t="s">
        <v>1982</v>
      </c>
      <c r="C430" s="231" t="s">
        <v>2523</v>
      </c>
      <c r="D430" s="202" t="s">
        <v>1302</v>
      </c>
      <c r="E430" s="232">
        <v>216.0</v>
      </c>
      <c r="F430" s="232">
        <v>28.0</v>
      </c>
      <c r="G430" s="232">
        <v>0.0</v>
      </c>
      <c r="H430" s="232">
        <v>6.0</v>
      </c>
      <c r="I430" s="232">
        <v>6.0</v>
      </c>
      <c r="J430" s="234">
        <v>0.0</v>
      </c>
      <c r="K430" s="202" t="s">
        <v>1983</v>
      </c>
      <c r="L430" s="202">
        <v>5.541645413E9</v>
      </c>
      <c r="M430" s="202" t="s">
        <v>1172</v>
      </c>
      <c r="N430" s="202" t="s">
        <v>1405</v>
      </c>
      <c r="O430" s="202" t="s">
        <v>1984</v>
      </c>
      <c r="P430" s="202" t="s">
        <v>2522</v>
      </c>
      <c r="Q430" s="235">
        <f>COUNTIF('Hedef Liste'!A:A,A430)</f>
        <v>1</v>
      </c>
    </row>
    <row r="431" hidden="1">
      <c r="A431" s="202" t="s">
        <v>650</v>
      </c>
      <c r="B431" s="202" t="s">
        <v>651</v>
      </c>
      <c r="C431" s="231" t="s">
        <v>2521</v>
      </c>
      <c r="D431" s="202" t="s">
        <v>1302</v>
      </c>
      <c r="E431" s="232">
        <v>110.0</v>
      </c>
      <c r="F431" s="233"/>
      <c r="G431" s="232">
        <v>4.0</v>
      </c>
      <c r="H431" s="232">
        <v>1.0</v>
      </c>
      <c r="I431" s="232">
        <v>5.0</v>
      </c>
      <c r="J431" s="234">
        <v>0.8</v>
      </c>
      <c r="K431" s="202" t="s">
        <v>2027</v>
      </c>
      <c r="L431" s="202">
        <v>5.524700114E9</v>
      </c>
      <c r="M431" s="202" t="s">
        <v>1318</v>
      </c>
      <c r="N431" s="202" t="s">
        <v>1533</v>
      </c>
      <c r="O431" s="202" t="s">
        <v>654</v>
      </c>
      <c r="P431" s="202" t="s">
        <v>2522</v>
      </c>
      <c r="Q431" s="235">
        <f>COUNTIF('Hedef Liste'!A:A,A431)</f>
        <v>1</v>
      </c>
    </row>
    <row r="432" hidden="1">
      <c r="A432" s="202" t="s">
        <v>565</v>
      </c>
      <c r="B432" s="202" t="s">
        <v>566</v>
      </c>
      <c r="C432" s="231" t="s">
        <v>2523</v>
      </c>
      <c r="D432" s="202" t="s">
        <v>1302</v>
      </c>
      <c r="E432" s="232">
        <v>55.0</v>
      </c>
      <c r="F432" s="233"/>
      <c r="G432" s="232">
        <v>0.0</v>
      </c>
      <c r="H432" s="232">
        <v>4.0</v>
      </c>
      <c r="I432" s="232">
        <v>4.0</v>
      </c>
      <c r="J432" s="234">
        <v>0.0</v>
      </c>
      <c r="K432" s="202" t="s">
        <v>1558</v>
      </c>
      <c r="L432" s="202">
        <v>5.325640364E9</v>
      </c>
      <c r="M432" s="202" t="s">
        <v>1147</v>
      </c>
      <c r="N432" s="202" t="s">
        <v>1164</v>
      </c>
      <c r="O432" s="202" t="s">
        <v>568</v>
      </c>
      <c r="P432" s="202" t="s">
        <v>2522</v>
      </c>
      <c r="Q432" s="235">
        <f>COUNTIF('Hedef Liste'!A:A,A432)</f>
        <v>1</v>
      </c>
    </row>
    <row r="433" hidden="1">
      <c r="A433" s="202" t="s">
        <v>585</v>
      </c>
      <c r="B433" s="202" t="s">
        <v>586</v>
      </c>
      <c r="C433" s="231" t="s">
        <v>2523</v>
      </c>
      <c r="D433" s="202" t="s">
        <v>1170</v>
      </c>
      <c r="E433" s="232">
        <v>27.0</v>
      </c>
      <c r="F433" s="233"/>
      <c r="G433" s="232">
        <v>2.0</v>
      </c>
      <c r="H433" s="232">
        <v>4.0</v>
      </c>
      <c r="I433" s="232">
        <v>6.0</v>
      </c>
      <c r="J433" s="234">
        <v>0.33</v>
      </c>
      <c r="K433" s="202" t="s">
        <v>2095</v>
      </c>
      <c r="L433" s="202">
        <v>5.414649144E9</v>
      </c>
      <c r="M433" s="202" t="s">
        <v>1147</v>
      </c>
      <c r="N433" s="202" t="s">
        <v>1157</v>
      </c>
      <c r="O433" s="202" t="s">
        <v>588</v>
      </c>
      <c r="P433" s="202" t="s">
        <v>2522</v>
      </c>
      <c r="Q433" s="235">
        <f>COUNTIF('Hedef Liste'!A:A,A433)</f>
        <v>1</v>
      </c>
    </row>
    <row r="434">
      <c r="A434" s="202" t="s">
        <v>1625</v>
      </c>
      <c r="B434" s="202" t="s">
        <v>1626</v>
      </c>
      <c r="C434" s="231" t="s">
        <v>2523</v>
      </c>
      <c r="D434" s="202" t="s">
        <v>1170</v>
      </c>
      <c r="E434" s="232">
        <v>2.0</v>
      </c>
      <c r="F434" s="232">
        <v>1.0</v>
      </c>
      <c r="G434" s="232">
        <v>0.0</v>
      </c>
      <c r="H434" s="232">
        <v>13.0</v>
      </c>
      <c r="I434" s="232">
        <v>13.0</v>
      </c>
      <c r="J434" s="234">
        <v>0.0</v>
      </c>
      <c r="K434" s="202" t="s">
        <v>1627</v>
      </c>
      <c r="L434" s="202">
        <v>5.516440757E9</v>
      </c>
      <c r="M434" s="202" t="s">
        <v>1177</v>
      </c>
      <c r="N434" s="202" t="s">
        <v>1184</v>
      </c>
      <c r="O434" s="202" t="s">
        <v>1185</v>
      </c>
      <c r="P434" s="202" t="s">
        <v>2522</v>
      </c>
      <c r="Q434" s="235">
        <f>COUNTIF('Hedef Liste'!A:A,A434)</f>
        <v>1</v>
      </c>
    </row>
    <row r="435">
      <c r="A435" s="202" t="s">
        <v>2107</v>
      </c>
      <c r="B435" s="202" t="s">
        <v>2108</v>
      </c>
      <c r="C435" s="231" t="s">
        <v>2523</v>
      </c>
      <c r="D435" s="202" t="s">
        <v>1188</v>
      </c>
      <c r="E435" s="233"/>
      <c r="F435" s="233"/>
      <c r="G435" s="232">
        <v>0.0</v>
      </c>
      <c r="H435" s="232">
        <v>30.0</v>
      </c>
      <c r="I435" s="232">
        <v>30.0</v>
      </c>
      <c r="J435" s="234">
        <v>0.0</v>
      </c>
      <c r="K435" s="202" t="s">
        <v>2109</v>
      </c>
      <c r="L435" s="202">
        <v>5.424047784E9</v>
      </c>
      <c r="M435" s="202" t="s">
        <v>1318</v>
      </c>
      <c r="N435" s="202" t="s">
        <v>1324</v>
      </c>
      <c r="O435" s="202" t="s">
        <v>1325</v>
      </c>
      <c r="P435" s="202" t="s">
        <v>2522</v>
      </c>
      <c r="Q435" s="235">
        <f>COUNTIF('Hedef Liste'!A:A,A435)</f>
        <v>1</v>
      </c>
    </row>
    <row r="436" hidden="1">
      <c r="A436" s="202" t="s">
        <v>2845</v>
      </c>
      <c r="B436" s="202" t="s">
        <v>2846</v>
      </c>
      <c r="C436" s="231" t="s">
        <v>2523</v>
      </c>
      <c r="D436" s="202" t="s">
        <v>1235</v>
      </c>
      <c r="E436" s="232">
        <v>228.0</v>
      </c>
      <c r="F436" s="232">
        <v>87.0</v>
      </c>
      <c r="G436" s="232">
        <v>52.0</v>
      </c>
      <c r="H436" s="232">
        <v>0.0</v>
      </c>
      <c r="I436" s="232">
        <v>52.0</v>
      </c>
      <c r="J436" s="234">
        <v>1.0</v>
      </c>
      <c r="K436" s="202" t="s">
        <v>2847</v>
      </c>
      <c r="L436" s="202">
        <v>2.645030833E9</v>
      </c>
      <c r="M436" s="202" t="s">
        <v>1147</v>
      </c>
      <c r="N436" s="202" t="s">
        <v>2557</v>
      </c>
      <c r="O436" s="202" t="s">
        <v>2848</v>
      </c>
      <c r="P436" s="202" t="s">
        <v>2531</v>
      </c>
      <c r="Q436" s="235">
        <f>COUNTIF('Hedef Liste'!A:A,A436)</f>
        <v>0</v>
      </c>
    </row>
    <row r="437">
      <c r="A437" s="202" t="s">
        <v>2386</v>
      </c>
      <c r="B437" s="202" t="s">
        <v>2387</v>
      </c>
      <c r="C437" s="231" t="s">
        <v>2523</v>
      </c>
      <c r="D437" s="202" t="s">
        <v>1170</v>
      </c>
      <c r="E437" s="232">
        <v>25.0</v>
      </c>
      <c r="F437" s="232">
        <v>20.0</v>
      </c>
      <c r="G437" s="232">
        <v>0.0</v>
      </c>
      <c r="H437" s="232">
        <v>15.0</v>
      </c>
      <c r="I437" s="232">
        <v>15.0</v>
      </c>
      <c r="J437" s="234">
        <v>0.0</v>
      </c>
      <c r="K437" s="202" t="s">
        <v>2388</v>
      </c>
      <c r="L437" s="202">
        <v>2.642554444E9</v>
      </c>
      <c r="M437" s="202" t="s">
        <v>1147</v>
      </c>
      <c r="N437" s="202" t="s">
        <v>1148</v>
      </c>
      <c r="O437" s="202" t="s">
        <v>2389</v>
      </c>
      <c r="P437" s="202" t="s">
        <v>2522</v>
      </c>
      <c r="Q437" s="235">
        <f>COUNTIF('Hedef Liste'!A:A,A437)</f>
        <v>1</v>
      </c>
    </row>
    <row r="438" hidden="1">
      <c r="A438" s="202" t="s">
        <v>2145</v>
      </c>
      <c r="B438" s="202" t="s">
        <v>2849</v>
      </c>
      <c r="C438" s="231" t="s">
        <v>2523</v>
      </c>
      <c r="D438" s="202" t="s">
        <v>1226</v>
      </c>
      <c r="E438" s="232">
        <v>36.0</v>
      </c>
      <c r="F438" s="233"/>
      <c r="G438" s="232">
        <v>0.0</v>
      </c>
      <c r="H438" s="232">
        <v>9.0</v>
      </c>
      <c r="I438" s="232">
        <v>9.0</v>
      </c>
      <c r="J438" s="234">
        <v>0.0</v>
      </c>
      <c r="K438" s="202" t="s">
        <v>2147</v>
      </c>
      <c r="L438" s="202">
        <v>5.395900321E9</v>
      </c>
      <c r="M438" s="202" t="s">
        <v>1679</v>
      </c>
      <c r="N438" s="202" t="s">
        <v>1811</v>
      </c>
      <c r="O438" s="202" t="s">
        <v>2148</v>
      </c>
      <c r="P438" s="202" t="s">
        <v>2522</v>
      </c>
      <c r="Q438" s="235">
        <f>COUNTIF('Hedef Liste'!A:A,A438)</f>
        <v>1</v>
      </c>
    </row>
    <row r="439" hidden="1">
      <c r="A439" s="202" t="s">
        <v>1441</v>
      </c>
      <c r="B439" s="202" t="s">
        <v>1442</v>
      </c>
      <c r="C439" s="231" t="s">
        <v>2523</v>
      </c>
      <c r="D439" s="202" t="s">
        <v>1145</v>
      </c>
      <c r="E439" s="233"/>
      <c r="F439" s="233"/>
      <c r="G439" s="232">
        <v>0.0</v>
      </c>
      <c r="H439" s="232">
        <v>10.0</v>
      </c>
      <c r="I439" s="232">
        <v>10.0</v>
      </c>
      <c r="J439" s="234">
        <v>0.0</v>
      </c>
      <c r="K439" s="202" t="s">
        <v>1443</v>
      </c>
      <c r="L439" s="202">
        <v>5.413355987E9</v>
      </c>
      <c r="M439" s="202" t="s">
        <v>1147</v>
      </c>
      <c r="N439" s="202" t="s">
        <v>1164</v>
      </c>
      <c r="O439" s="202" t="s">
        <v>1444</v>
      </c>
      <c r="P439" s="202" t="s">
        <v>2522</v>
      </c>
      <c r="Q439" s="235">
        <f>COUNTIF('Hedef Liste'!A:A,A439)</f>
        <v>1</v>
      </c>
    </row>
    <row r="440" hidden="1">
      <c r="A440" s="202" t="s">
        <v>804</v>
      </c>
      <c r="B440" s="202" t="s">
        <v>2850</v>
      </c>
      <c r="C440" s="231" t="s">
        <v>2523</v>
      </c>
      <c r="D440" s="202" t="s">
        <v>1188</v>
      </c>
      <c r="E440" s="232">
        <v>3106.0</v>
      </c>
      <c r="F440" s="232">
        <v>104.0</v>
      </c>
      <c r="G440" s="232">
        <v>12.0</v>
      </c>
      <c r="H440" s="232">
        <v>9.0</v>
      </c>
      <c r="I440" s="232">
        <v>21.0</v>
      </c>
      <c r="J440" s="234">
        <v>0.57</v>
      </c>
      <c r="K440" s="202" t="s">
        <v>1192</v>
      </c>
      <c r="L440" s="202">
        <v>5.338174818E9</v>
      </c>
      <c r="M440" s="202" t="s">
        <v>1172</v>
      </c>
      <c r="N440" s="202" t="s">
        <v>1193</v>
      </c>
      <c r="O440" s="202" t="s">
        <v>808</v>
      </c>
      <c r="P440" s="202" t="s">
        <v>2522</v>
      </c>
      <c r="Q440" s="235">
        <f>COUNTIF('Hedef Liste'!A:A,A440)</f>
        <v>1</v>
      </c>
    </row>
    <row r="441" hidden="1">
      <c r="A441" s="202" t="s">
        <v>600</v>
      </c>
      <c r="B441" s="202" t="s">
        <v>601</v>
      </c>
      <c r="C441" s="231" t="s">
        <v>2521</v>
      </c>
      <c r="D441" s="202" t="s">
        <v>1188</v>
      </c>
      <c r="E441" s="232">
        <v>1.0</v>
      </c>
      <c r="F441" s="233"/>
      <c r="G441" s="232">
        <v>10.0</v>
      </c>
      <c r="H441" s="232">
        <v>1.0</v>
      </c>
      <c r="I441" s="232">
        <v>11.0</v>
      </c>
      <c r="J441" s="234">
        <v>0.91</v>
      </c>
      <c r="K441" s="202" t="s">
        <v>1756</v>
      </c>
      <c r="L441" s="202">
        <v>5.494545434E9</v>
      </c>
      <c r="M441" s="202" t="s">
        <v>1147</v>
      </c>
      <c r="N441" s="202" t="s">
        <v>1157</v>
      </c>
      <c r="O441" s="202" t="s">
        <v>604</v>
      </c>
      <c r="P441" s="202" t="s">
        <v>2522</v>
      </c>
      <c r="Q441" s="235">
        <f>COUNTIF('Hedef Liste'!A:A,A441)</f>
        <v>1</v>
      </c>
    </row>
    <row r="442" hidden="1">
      <c r="A442" s="202" t="s">
        <v>877</v>
      </c>
      <c r="B442" s="202" t="s">
        <v>878</v>
      </c>
      <c r="C442" s="231" t="s">
        <v>2523</v>
      </c>
      <c r="D442" s="202" t="s">
        <v>1188</v>
      </c>
      <c r="E442" s="232">
        <v>80.0</v>
      </c>
      <c r="F442" s="233"/>
      <c r="G442" s="232">
        <v>5.0</v>
      </c>
      <c r="H442" s="232">
        <v>1.0</v>
      </c>
      <c r="I442" s="232">
        <v>6.0</v>
      </c>
      <c r="J442" s="234">
        <v>0.83</v>
      </c>
      <c r="K442" s="202" t="s">
        <v>2075</v>
      </c>
      <c r="L442" s="202">
        <v>5.448823619E9</v>
      </c>
      <c r="M442" s="202" t="s">
        <v>1679</v>
      </c>
      <c r="N442" s="202" t="s">
        <v>1893</v>
      </c>
      <c r="O442" s="202" t="s">
        <v>881</v>
      </c>
      <c r="P442" s="202" t="s">
        <v>2522</v>
      </c>
      <c r="Q442" s="235">
        <f>COUNTIF('Hedef Liste'!A:A,A442)</f>
        <v>1</v>
      </c>
    </row>
    <row r="443" hidden="1">
      <c r="A443" s="202" t="s">
        <v>2023</v>
      </c>
      <c r="B443" s="202" t="s">
        <v>2024</v>
      </c>
      <c r="C443" s="231" t="s">
        <v>2523</v>
      </c>
      <c r="D443" s="202" t="s">
        <v>1170</v>
      </c>
      <c r="E443" s="232">
        <v>4.0</v>
      </c>
      <c r="F443" s="233"/>
      <c r="G443" s="232">
        <v>0.0</v>
      </c>
      <c r="H443" s="232">
        <v>21.0</v>
      </c>
      <c r="I443" s="232">
        <v>21.0</v>
      </c>
      <c r="J443" s="234">
        <v>0.0</v>
      </c>
      <c r="K443" s="202" t="s">
        <v>2025</v>
      </c>
      <c r="L443" s="202">
        <v>5.373090202E9</v>
      </c>
      <c r="M443" s="202" t="s">
        <v>1147</v>
      </c>
      <c r="N443" s="202" t="s">
        <v>1200</v>
      </c>
      <c r="O443" s="202" t="s">
        <v>2026</v>
      </c>
      <c r="P443" s="202" t="s">
        <v>2522</v>
      </c>
      <c r="Q443" s="235">
        <f>COUNTIF('Hedef Liste'!A:A,A443)</f>
        <v>1</v>
      </c>
    </row>
    <row r="444">
      <c r="A444" s="202" t="s">
        <v>2259</v>
      </c>
      <c r="B444" s="202" t="s">
        <v>2260</v>
      </c>
      <c r="C444" s="231" t="s">
        <v>2523</v>
      </c>
      <c r="D444" s="202" t="s">
        <v>1170</v>
      </c>
      <c r="E444" s="232">
        <v>12.0</v>
      </c>
      <c r="F444" s="232">
        <v>11.0</v>
      </c>
      <c r="G444" s="232">
        <v>0.0</v>
      </c>
      <c r="H444" s="232">
        <v>27.0</v>
      </c>
      <c r="I444" s="232">
        <v>27.0</v>
      </c>
      <c r="J444" s="234">
        <v>0.0</v>
      </c>
      <c r="K444" s="202" t="s">
        <v>2261</v>
      </c>
      <c r="L444" s="202">
        <v>5.45267037E9</v>
      </c>
      <c r="M444" s="202" t="s">
        <v>1147</v>
      </c>
      <c r="N444" s="202" t="s">
        <v>1157</v>
      </c>
      <c r="O444" s="202" t="s">
        <v>2262</v>
      </c>
      <c r="P444" s="202" t="s">
        <v>2522</v>
      </c>
      <c r="Q444" s="235">
        <f>COUNTIF('Hedef Liste'!A:A,A444)</f>
        <v>1</v>
      </c>
    </row>
    <row r="445" hidden="1">
      <c r="A445" s="202" t="s">
        <v>2851</v>
      </c>
      <c r="B445" s="202" t="s">
        <v>2852</v>
      </c>
      <c r="C445" s="231" t="s">
        <v>2523</v>
      </c>
      <c r="D445" s="202" t="s">
        <v>1182</v>
      </c>
      <c r="E445" s="232">
        <v>1.0</v>
      </c>
      <c r="F445" s="233"/>
      <c r="G445" s="232">
        <v>9.0</v>
      </c>
      <c r="H445" s="232">
        <v>7.0</v>
      </c>
      <c r="I445" s="232">
        <v>16.0</v>
      </c>
      <c r="J445" s="234">
        <v>0.56</v>
      </c>
      <c r="K445" s="202" t="s">
        <v>1443</v>
      </c>
      <c r="L445" s="202">
        <v>5.413355987E9</v>
      </c>
      <c r="M445" s="202" t="s">
        <v>1147</v>
      </c>
      <c r="N445" s="202" t="s">
        <v>1164</v>
      </c>
      <c r="O445" s="202" t="s">
        <v>1444</v>
      </c>
      <c r="P445" s="202" t="s">
        <v>2522</v>
      </c>
      <c r="Q445" s="235">
        <f>COUNTIF('Hedef Liste'!A:A,A445)</f>
        <v>0</v>
      </c>
    </row>
    <row r="446">
      <c r="A446" s="202" t="s">
        <v>1881</v>
      </c>
      <c r="B446" s="202" t="s">
        <v>1882</v>
      </c>
      <c r="C446" s="231" t="s">
        <v>2523</v>
      </c>
      <c r="D446" s="202" t="s">
        <v>1170</v>
      </c>
      <c r="E446" s="232">
        <v>5.0</v>
      </c>
      <c r="F446" s="232">
        <v>3.0</v>
      </c>
      <c r="G446" s="232">
        <v>0.0</v>
      </c>
      <c r="H446" s="232">
        <v>17.0</v>
      </c>
      <c r="I446" s="232">
        <v>17.0</v>
      </c>
      <c r="J446" s="234">
        <v>0.0</v>
      </c>
      <c r="K446" s="202" t="s">
        <v>1883</v>
      </c>
      <c r="L446" s="202">
        <v>5.327739403E9</v>
      </c>
      <c r="M446" s="202" t="s">
        <v>1242</v>
      </c>
      <c r="N446" s="202" t="s">
        <v>1243</v>
      </c>
      <c r="O446" s="202" t="s">
        <v>1884</v>
      </c>
      <c r="P446" s="202" t="s">
        <v>2522</v>
      </c>
      <c r="Q446" s="235">
        <f>COUNTIF('Hedef Liste'!$A:$A,A446)</f>
        <v>1</v>
      </c>
    </row>
    <row r="447">
      <c r="A447" s="202" t="s">
        <v>2274</v>
      </c>
      <c r="B447" s="202" t="s">
        <v>2275</v>
      </c>
      <c r="C447" s="231" t="s">
        <v>2523</v>
      </c>
      <c r="D447" s="202" t="s">
        <v>1302</v>
      </c>
      <c r="E447" s="232">
        <v>5.0</v>
      </c>
      <c r="F447" s="232">
        <v>5.0</v>
      </c>
      <c r="G447" s="232">
        <v>0.0</v>
      </c>
      <c r="H447" s="232">
        <v>18.0</v>
      </c>
      <c r="I447" s="232">
        <v>18.0</v>
      </c>
      <c r="J447" s="234">
        <v>0.0</v>
      </c>
      <c r="K447" s="202" t="s">
        <v>2276</v>
      </c>
      <c r="L447" s="202">
        <v>2.642797999E9</v>
      </c>
      <c r="M447" s="202" t="s">
        <v>1147</v>
      </c>
      <c r="N447" s="202" t="s">
        <v>1148</v>
      </c>
      <c r="O447" s="202" t="s">
        <v>2277</v>
      </c>
      <c r="P447" s="202" t="s">
        <v>2522</v>
      </c>
      <c r="Q447" s="235">
        <f>COUNTIF('Hedef Liste'!$A:$A,A447)</f>
        <v>1</v>
      </c>
    </row>
    <row r="448" hidden="1">
      <c r="A448" s="202" t="s">
        <v>2853</v>
      </c>
      <c r="B448" s="202" t="s">
        <v>2854</v>
      </c>
      <c r="C448" s="231" t="s">
        <v>2523</v>
      </c>
      <c r="D448" s="202" t="s">
        <v>1235</v>
      </c>
      <c r="E448" s="232">
        <v>832.0</v>
      </c>
      <c r="F448" s="232">
        <v>15.0</v>
      </c>
      <c r="G448" s="232">
        <v>38.0</v>
      </c>
      <c r="H448" s="232">
        <v>0.0</v>
      </c>
      <c r="I448" s="232">
        <v>38.0</v>
      </c>
      <c r="J448" s="234">
        <v>1.0</v>
      </c>
      <c r="K448" s="202" t="s">
        <v>2855</v>
      </c>
      <c r="L448" s="202">
        <v>2.647183333E9</v>
      </c>
      <c r="M448" s="202" t="s">
        <v>1242</v>
      </c>
      <c r="N448" s="202" t="s">
        <v>1243</v>
      </c>
      <c r="O448" s="202" t="s">
        <v>2856</v>
      </c>
      <c r="P448" s="202" t="s">
        <v>2531</v>
      </c>
      <c r="Q448" s="235">
        <f>COUNTIF('Hedef Liste'!$A:$A,A448)</f>
        <v>0</v>
      </c>
    </row>
    <row r="449">
      <c r="A449" s="202" t="s">
        <v>2390</v>
      </c>
      <c r="B449" s="202" t="s">
        <v>2391</v>
      </c>
      <c r="C449" s="231" t="s">
        <v>2523</v>
      </c>
      <c r="D449" s="202" t="s">
        <v>1170</v>
      </c>
      <c r="F449" s="233"/>
      <c r="G449" s="232">
        <v>0.0</v>
      </c>
      <c r="H449" s="232">
        <v>4.0</v>
      </c>
      <c r="I449" s="232">
        <v>4.0</v>
      </c>
      <c r="J449" s="234">
        <v>0.0</v>
      </c>
      <c r="K449" s="202" t="s">
        <v>2392</v>
      </c>
      <c r="L449" s="202">
        <v>5.522967192E9</v>
      </c>
      <c r="M449" s="202" t="s">
        <v>1318</v>
      </c>
      <c r="N449" s="202" t="s">
        <v>1319</v>
      </c>
      <c r="O449" s="202" t="s">
        <v>2393</v>
      </c>
      <c r="P449" s="202" t="s">
        <v>2522</v>
      </c>
      <c r="Q449" s="235">
        <f>COUNTIF('Hedef Liste'!$A:$A,A449)</f>
        <v>1</v>
      </c>
    </row>
    <row r="450" hidden="1">
      <c r="A450" s="202" t="s">
        <v>2857</v>
      </c>
      <c r="B450" s="202" t="s">
        <v>2858</v>
      </c>
      <c r="C450" s="231" t="s">
        <v>2523</v>
      </c>
      <c r="D450" s="202" t="s">
        <v>1302</v>
      </c>
      <c r="E450" s="232">
        <v>181.0</v>
      </c>
      <c r="F450" s="232">
        <v>131.0</v>
      </c>
      <c r="G450" s="232">
        <v>10.0</v>
      </c>
      <c r="H450" s="232">
        <v>8.0</v>
      </c>
      <c r="I450" s="232">
        <v>18.0</v>
      </c>
      <c r="J450" s="234">
        <v>0.56</v>
      </c>
      <c r="K450" s="202" t="s">
        <v>2859</v>
      </c>
      <c r="L450" s="202">
        <v>8.503075454E9</v>
      </c>
      <c r="M450" s="202" t="s">
        <v>1172</v>
      </c>
      <c r="N450" s="202" t="s">
        <v>1874</v>
      </c>
      <c r="O450" s="202" t="s">
        <v>2860</v>
      </c>
      <c r="P450" s="202" t="s">
        <v>2522</v>
      </c>
      <c r="Q450" s="235">
        <f>COUNTIF('Hedef Liste'!$A:$A,A450)</f>
        <v>0</v>
      </c>
    </row>
    <row r="451">
      <c r="A451" s="202" t="s">
        <v>2045</v>
      </c>
      <c r="B451" s="202" t="s">
        <v>2046</v>
      </c>
      <c r="C451" s="231" t="s">
        <v>2523</v>
      </c>
      <c r="D451" s="202" t="s">
        <v>1170</v>
      </c>
      <c r="E451" s="232">
        <v>1.0</v>
      </c>
      <c r="F451" s="232">
        <v>1.0</v>
      </c>
      <c r="G451" s="232">
        <v>0.0</v>
      </c>
      <c r="H451" s="232">
        <v>45.0</v>
      </c>
      <c r="I451" s="232">
        <v>45.0</v>
      </c>
      <c r="J451" s="234">
        <v>0.0</v>
      </c>
      <c r="K451" s="202" t="s">
        <v>2047</v>
      </c>
      <c r="L451" s="202">
        <v>5.305554845E9</v>
      </c>
      <c r="M451" s="202" t="s">
        <v>1147</v>
      </c>
      <c r="N451" s="202" t="s">
        <v>1148</v>
      </c>
      <c r="O451" s="202" t="s">
        <v>2048</v>
      </c>
      <c r="P451" s="202" t="s">
        <v>2522</v>
      </c>
      <c r="Q451" s="235">
        <f>COUNTIF('Hedef Liste'!$A:$A,A451)</f>
        <v>1</v>
      </c>
    </row>
    <row r="452" hidden="1">
      <c r="A452" s="202" t="s">
        <v>2861</v>
      </c>
      <c r="B452" s="202" t="s">
        <v>2862</v>
      </c>
      <c r="C452" s="231" t="s">
        <v>2523</v>
      </c>
      <c r="D452" s="202" t="s">
        <v>1188</v>
      </c>
      <c r="E452" s="232">
        <v>8.0</v>
      </c>
      <c r="F452" s="232">
        <v>8.0</v>
      </c>
      <c r="G452" s="232">
        <v>5.0</v>
      </c>
      <c r="H452" s="232">
        <v>15.0</v>
      </c>
      <c r="I452" s="232">
        <v>20.0</v>
      </c>
      <c r="J452" s="234">
        <v>0.25</v>
      </c>
      <c r="K452" s="202" t="s">
        <v>2863</v>
      </c>
      <c r="L452" s="202">
        <v>5.411545477E9</v>
      </c>
      <c r="M452" s="202" t="s">
        <v>1172</v>
      </c>
      <c r="N452" s="202" t="s">
        <v>1268</v>
      </c>
      <c r="O452" s="202" t="s">
        <v>2864</v>
      </c>
      <c r="P452" s="202" t="s">
        <v>2522</v>
      </c>
      <c r="Q452" s="235">
        <f>COUNTIF('Hedef Liste'!$A:$A,A452)</f>
        <v>0</v>
      </c>
    </row>
    <row r="453" hidden="1">
      <c r="A453" s="202" t="s">
        <v>1717</v>
      </c>
      <c r="B453" s="202" t="s">
        <v>1718</v>
      </c>
      <c r="C453" s="231" t="s">
        <v>2523</v>
      </c>
      <c r="D453" s="202" t="s">
        <v>1302</v>
      </c>
      <c r="E453" s="232">
        <v>478.0</v>
      </c>
      <c r="F453" s="232">
        <v>60.0</v>
      </c>
      <c r="G453" s="232">
        <v>19.0</v>
      </c>
      <c r="H453" s="232">
        <v>1.0</v>
      </c>
      <c r="I453" s="232">
        <v>20.0</v>
      </c>
      <c r="J453" s="234">
        <v>0.95</v>
      </c>
      <c r="K453" s="202" t="s">
        <v>2865</v>
      </c>
      <c r="L453" s="202">
        <v>5.079728708E9</v>
      </c>
      <c r="M453" s="202" t="s">
        <v>1147</v>
      </c>
      <c r="N453" s="202" t="s">
        <v>1164</v>
      </c>
      <c r="O453" s="202" t="s">
        <v>1720</v>
      </c>
      <c r="P453" s="202" t="s">
        <v>2522</v>
      </c>
      <c r="Q453" s="235">
        <f>COUNTIF('Hedef Liste'!$A:$A,A453)</f>
        <v>1</v>
      </c>
    </row>
    <row r="454" hidden="1">
      <c r="A454" s="202" t="s">
        <v>1089</v>
      </c>
      <c r="B454" s="202" t="s">
        <v>1090</v>
      </c>
      <c r="C454" s="231" t="s">
        <v>2523</v>
      </c>
      <c r="D454" s="202" t="s">
        <v>1182</v>
      </c>
      <c r="E454" s="232">
        <v>50.0</v>
      </c>
      <c r="F454" s="232">
        <v>6.0</v>
      </c>
      <c r="G454" s="232">
        <v>0.0</v>
      </c>
      <c r="H454" s="232">
        <v>21.0</v>
      </c>
      <c r="I454" s="232">
        <v>21.0</v>
      </c>
      <c r="J454" s="234">
        <v>0.0</v>
      </c>
      <c r="K454" s="202" t="s">
        <v>1978</v>
      </c>
      <c r="L454" s="202">
        <v>2.642728519E9</v>
      </c>
      <c r="M454" s="202" t="s">
        <v>1172</v>
      </c>
      <c r="N454" s="202" t="s">
        <v>1979</v>
      </c>
      <c r="O454" s="202" t="s">
        <v>1980</v>
      </c>
      <c r="P454" s="202" t="s">
        <v>2522</v>
      </c>
      <c r="Q454" s="235">
        <f>COUNTIF('Hedef Liste'!$A:$A,A454)</f>
        <v>1</v>
      </c>
    </row>
    <row r="455" hidden="1">
      <c r="A455" s="202" t="s">
        <v>1658</v>
      </c>
      <c r="B455" s="202" t="s">
        <v>1659</v>
      </c>
      <c r="C455" s="231" t="s">
        <v>2523</v>
      </c>
      <c r="D455" s="202" t="s">
        <v>1188</v>
      </c>
      <c r="E455" s="232">
        <v>413.0</v>
      </c>
      <c r="F455" s="232">
        <v>116.0</v>
      </c>
      <c r="G455" s="232">
        <v>0.0</v>
      </c>
      <c r="H455" s="232">
        <v>24.0</v>
      </c>
      <c r="I455" s="232">
        <v>24.0</v>
      </c>
      <c r="J455" s="234">
        <v>0.0</v>
      </c>
      <c r="K455" s="202" t="s">
        <v>2866</v>
      </c>
      <c r="L455" s="202">
        <v>5.537275831E9</v>
      </c>
      <c r="M455" s="202" t="s">
        <v>1172</v>
      </c>
      <c r="N455" s="202" t="s">
        <v>1379</v>
      </c>
      <c r="O455" s="202" t="s">
        <v>1661</v>
      </c>
      <c r="P455" s="202" t="s">
        <v>2522</v>
      </c>
      <c r="Q455" s="235">
        <f>COUNTIF('Hedef Liste'!$A:$A,A455)</f>
        <v>1</v>
      </c>
    </row>
    <row r="456" hidden="1">
      <c r="A456" s="202" t="s">
        <v>1652</v>
      </c>
      <c r="B456" s="202" t="s">
        <v>1653</v>
      </c>
      <c r="C456" s="231" t="s">
        <v>2523</v>
      </c>
      <c r="D456" s="202" t="s">
        <v>1302</v>
      </c>
      <c r="E456" s="232">
        <v>18.0</v>
      </c>
      <c r="F456" s="232">
        <v>4.0</v>
      </c>
      <c r="G456" s="232">
        <v>0.0</v>
      </c>
      <c r="H456" s="232">
        <v>7.0</v>
      </c>
      <c r="I456" s="232">
        <v>7.0</v>
      </c>
      <c r="J456" s="234">
        <v>0.0</v>
      </c>
      <c r="K456" s="202" t="s">
        <v>1323</v>
      </c>
      <c r="L456" s="202">
        <v>5.491323535E9</v>
      </c>
      <c r="M456" s="202" t="s">
        <v>1318</v>
      </c>
      <c r="N456" s="202" t="s">
        <v>1324</v>
      </c>
      <c r="O456" s="202" t="s">
        <v>1325</v>
      </c>
      <c r="P456" s="202" t="s">
        <v>2522</v>
      </c>
      <c r="Q456" s="235">
        <f>COUNTIF('Hedef Liste'!$A:$A,A456)</f>
        <v>1</v>
      </c>
    </row>
    <row r="457" hidden="1">
      <c r="A457" s="202" t="s">
        <v>1921</v>
      </c>
      <c r="B457" s="202" t="s">
        <v>1922</v>
      </c>
      <c r="C457" s="231" t="s">
        <v>2523</v>
      </c>
      <c r="D457" s="202" t="s">
        <v>1188</v>
      </c>
      <c r="E457" s="232">
        <v>82.0</v>
      </c>
      <c r="F457" s="232">
        <v>15.0</v>
      </c>
      <c r="G457" s="232">
        <v>0.0</v>
      </c>
      <c r="H457" s="232">
        <v>24.0</v>
      </c>
      <c r="I457" s="232">
        <v>24.0</v>
      </c>
      <c r="J457" s="234">
        <v>0.0</v>
      </c>
      <c r="K457" s="202" t="s">
        <v>1923</v>
      </c>
      <c r="L457" s="202">
        <v>5.345192054E9</v>
      </c>
      <c r="M457" s="202" t="s">
        <v>1463</v>
      </c>
      <c r="N457" s="202" t="s">
        <v>1464</v>
      </c>
      <c r="O457" s="202" t="s">
        <v>1924</v>
      </c>
      <c r="P457" s="202" t="s">
        <v>2522</v>
      </c>
      <c r="Q457" s="235">
        <f>COUNTIF('Hedef Liste'!$A:$A,A457)</f>
        <v>1</v>
      </c>
    </row>
    <row r="458" hidden="1">
      <c r="A458" s="202" t="s">
        <v>1654</v>
      </c>
      <c r="B458" s="202" t="s">
        <v>1655</v>
      </c>
      <c r="C458" s="231" t="s">
        <v>2523</v>
      </c>
      <c r="D458" s="202" t="s">
        <v>1188</v>
      </c>
      <c r="E458" s="232">
        <v>736.0</v>
      </c>
      <c r="F458" s="232">
        <v>272.0</v>
      </c>
      <c r="G458" s="232">
        <v>0.0</v>
      </c>
      <c r="H458" s="232">
        <v>11.0</v>
      </c>
      <c r="I458" s="232">
        <v>11.0</v>
      </c>
      <c r="J458" s="234">
        <v>0.0</v>
      </c>
      <c r="K458" s="202" t="s">
        <v>2866</v>
      </c>
      <c r="L458" s="202">
        <v>5.444470803E9</v>
      </c>
      <c r="M458" s="202" t="s">
        <v>1147</v>
      </c>
      <c r="N458" s="202" t="s">
        <v>1164</v>
      </c>
      <c r="O458" s="202" t="s">
        <v>1657</v>
      </c>
      <c r="P458" s="202" t="s">
        <v>2522</v>
      </c>
      <c r="Q458" s="235">
        <f>COUNTIF('Hedef Liste'!$A:$A,A458)</f>
        <v>1</v>
      </c>
    </row>
    <row r="459" hidden="1">
      <c r="A459" s="202" t="s">
        <v>2867</v>
      </c>
      <c r="B459" s="202" t="s">
        <v>2868</v>
      </c>
      <c r="C459" s="231" t="s">
        <v>2521</v>
      </c>
      <c r="D459" s="202" t="s">
        <v>1170</v>
      </c>
      <c r="F459" s="233"/>
      <c r="G459" s="232">
        <v>0.0</v>
      </c>
      <c r="H459" s="232">
        <v>4.0</v>
      </c>
      <c r="I459" s="232">
        <v>4.0</v>
      </c>
      <c r="J459" s="234">
        <v>0.0</v>
      </c>
      <c r="K459" s="202" t="s">
        <v>2869</v>
      </c>
      <c r="L459" s="202">
        <v>5.453515461E9</v>
      </c>
      <c r="M459" s="202" t="s">
        <v>1172</v>
      </c>
      <c r="N459" s="202" t="s">
        <v>2870</v>
      </c>
      <c r="O459" s="202" t="s">
        <v>2871</v>
      </c>
      <c r="P459" s="202" t="s">
        <v>2522</v>
      </c>
      <c r="Q459" s="235">
        <f>COUNTIF('Hedef Liste'!$A:$A,A459)</f>
        <v>0</v>
      </c>
    </row>
    <row r="460" hidden="1">
      <c r="A460" s="202" t="s">
        <v>2872</v>
      </c>
      <c r="B460" s="202" t="s">
        <v>2873</v>
      </c>
      <c r="C460" s="231" t="s">
        <v>2523</v>
      </c>
      <c r="D460" s="202" t="s">
        <v>1145</v>
      </c>
      <c r="E460" s="232">
        <v>385.0</v>
      </c>
      <c r="F460" s="232">
        <v>385.0</v>
      </c>
      <c r="G460" s="232">
        <v>26.0</v>
      </c>
      <c r="H460" s="232">
        <v>4.0</v>
      </c>
      <c r="I460" s="232">
        <v>30.0</v>
      </c>
      <c r="J460" s="234">
        <v>0.87</v>
      </c>
      <c r="K460" s="202" t="s">
        <v>2874</v>
      </c>
      <c r="L460" s="202">
        <v>2.645029245E9</v>
      </c>
      <c r="M460" s="202" t="s">
        <v>1147</v>
      </c>
      <c r="N460" s="202" t="s">
        <v>1157</v>
      </c>
      <c r="O460" s="202" t="s">
        <v>2875</v>
      </c>
      <c r="P460" s="202" t="s">
        <v>2522</v>
      </c>
      <c r="Q460" s="235">
        <f>COUNTIF('Hedef Liste'!$A:$A,A460)</f>
        <v>0</v>
      </c>
    </row>
    <row r="461" hidden="1">
      <c r="A461" s="202" t="s">
        <v>996</v>
      </c>
      <c r="B461" s="202" t="s">
        <v>997</v>
      </c>
      <c r="C461" s="231" t="s">
        <v>2523</v>
      </c>
      <c r="D461" s="202" t="s">
        <v>1182</v>
      </c>
      <c r="E461" s="232">
        <v>815.0</v>
      </c>
      <c r="F461" s="232">
        <v>26.0</v>
      </c>
      <c r="G461" s="232">
        <v>4.0</v>
      </c>
      <c r="H461" s="232">
        <v>4.0</v>
      </c>
      <c r="I461" s="232">
        <v>8.0</v>
      </c>
      <c r="J461" s="234">
        <v>0.5</v>
      </c>
      <c r="K461" s="202" t="s">
        <v>2379</v>
      </c>
      <c r="L461" s="202">
        <v>5.321382978E9</v>
      </c>
      <c r="M461" s="202" t="s">
        <v>1172</v>
      </c>
      <c r="N461" s="202" t="s">
        <v>1190</v>
      </c>
      <c r="O461" s="202" t="s">
        <v>999</v>
      </c>
      <c r="P461" s="202" t="s">
        <v>2522</v>
      </c>
      <c r="Q461" s="235">
        <f>COUNTIF('Hedef Liste'!$A:$A,A461)</f>
        <v>1</v>
      </c>
    </row>
    <row r="462">
      <c r="A462" s="202" t="s">
        <v>2372</v>
      </c>
      <c r="B462" s="202" t="s">
        <v>2373</v>
      </c>
      <c r="C462" s="231" t="s">
        <v>2523</v>
      </c>
      <c r="D462" s="202" t="s">
        <v>1256</v>
      </c>
      <c r="E462" s="233"/>
      <c r="F462" s="233"/>
      <c r="G462" s="232">
        <v>0.0</v>
      </c>
      <c r="H462" s="232">
        <v>12.0</v>
      </c>
      <c r="I462" s="232">
        <v>12.0</v>
      </c>
      <c r="J462" s="234">
        <v>0.0</v>
      </c>
      <c r="K462" s="202" t="s">
        <v>2374</v>
      </c>
      <c r="L462" s="202">
        <v>5.444547654E9</v>
      </c>
      <c r="M462" s="202" t="s">
        <v>1172</v>
      </c>
      <c r="N462" s="202" t="s">
        <v>1379</v>
      </c>
      <c r="O462" s="202" t="s">
        <v>918</v>
      </c>
      <c r="P462" s="202" t="s">
        <v>2522</v>
      </c>
      <c r="Q462" s="235">
        <f>COUNTIF('Hedef Liste'!$A:$A,A462)</f>
        <v>1</v>
      </c>
    </row>
    <row r="463">
      <c r="A463" s="202" t="s">
        <v>1682</v>
      </c>
      <c r="B463" s="202" t="s">
        <v>1683</v>
      </c>
      <c r="C463" s="231" t="s">
        <v>2523</v>
      </c>
      <c r="D463" s="202" t="s">
        <v>1684</v>
      </c>
      <c r="E463" s="232">
        <v>41.0</v>
      </c>
      <c r="F463" s="232">
        <v>41.0</v>
      </c>
      <c r="G463" s="232">
        <v>0.0</v>
      </c>
      <c r="H463" s="232">
        <v>15.0</v>
      </c>
      <c r="I463" s="232">
        <v>15.0</v>
      </c>
      <c r="J463" s="234">
        <v>0.0</v>
      </c>
      <c r="K463" s="202" t="s">
        <v>1685</v>
      </c>
      <c r="L463" s="202">
        <v>5.548826754E9</v>
      </c>
      <c r="M463" s="202" t="s">
        <v>1172</v>
      </c>
      <c r="N463" s="202" t="s">
        <v>1336</v>
      </c>
      <c r="O463" s="202" t="s">
        <v>1686</v>
      </c>
      <c r="P463" s="202" t="s">
        <v>2522</v>
      </c>
      <c r="Q463" s="235">
        <f>COUNTIF('Hedef Liste'!$A:$A,A463)</f>
        <v>1</v>
      </c>
    </row>
    <row r="464" hidden="1">
      <c r="A464" s="202" t="s">
        <v>1994</v>
      </c>
      <c r="B464" s="202" t="s">
        <v>1995</v>
      </c>
      <c r="C464" s="231" t="s">
        <v>2523</v>
      </c>
      <c r="D464" s="202" t="s">
        <v>1302</v>
      </c>
      <c r="E464" s="232">
        <v>1775.0</v>
      </c>
      <c r="F464" s="232">
        <v>126.0</v>
      </c>
      <c r="G464" s="232">
        <v>0.0</v>
      </c>
      <c r="H464" s="232">
        <v>9.0</v>
      </c>
      <c r="I464" s="232">
        <v>9.0</v>
      </c>
      <c r="J464" s="234">
        <v>0.0</v>
      </c>
      <c r="K464" s="202" t="s">
        <v>1996</v>
      </c>
      <c r="L464" s="202">
        <v>5.412836637E9</v>
      </c>
      <c r="M464" s="202" t="s">
        <v>1147</v>
      </c>
      <c r="N464" s="202" t="s">
        <v>1164</v>
      </c>
      <c r="O464" s="202" t="s">
        <v>1997</v>
      </c>
      <c r="P464" s="202" t="s">
        <v>2522</v>
      </c>
      <c r="Q464" s="235">
        <f>COUNTIF('Hedef Liste'!$A:$A,A464)</f>
        <v>1</v>
      </c>
    </row>
    <row r="465" hidden="1">
      <c r="A465" s="202" t="s">
        <v>1007</v>
      </c>
      <c r="B465" s="202" t="s">
        <v>1008</v>
      </c>
      <c r="C465" s="231" t="s">
        <v>2523</v>
      </c>
      <c r="D465" s="202" t="s">
        <v>1182</v>
      </c>
      <c r="E465" s="232">
        <v>121.0</v>
      </c>
      <c r="F465" s="233"/>
      <c r="G465" s="232">
        <v>5.0</v>
      </c>
      <c r="H465" s="232">
        <v>2.0</v>
      </c>
      <c r="I465" s="232">
        <v>7.0</v>
      </c>
      <c r="J465" s="234">
        <v>0.71</v>
      </c>
      <c r="K465" s="202" t="s">
        <v>1344</v>
      </c>
      <c r="L465" s="202">
        <v>5.424542934E9</v>
      </c>
      <c r="M465" s="202" t="s">
        <v>1147</v>
      </c>
      <c r="N465" s="202" t="s">
        <v>1164</v>
      </c>
      <c r="O465" s="202" t="s">
        <v>1010</v>
      </c>
      <c r="P465" s="202" t="s">
        <v>2522</v>
      </c>
      <c r="Q465" s="235">
        <f>COUNTIF('Hedef Liste'!$A:$A,A465)</f>
        <v>1</v>
      </c>
    </row>
    <row r="466" hidden="1">
      <c r="A466" s="202" t="s">
        <v>2128</v>
      </c>
      <c r="B466" s="202" t="s">
        <v>2129</v>
      </c>
      <c r="C466" s="231" t="s">
        <v>2521</v>
      </c>
      <c r="D466" s="202" t="s">
        <v>2524</v>
      </c>
      <c r="E466" s="233"/>
      <c r="F466" s="233"/>
      <c r="G466" s="232">
        <v>0.0</v>
      </c>
      <c r="H466" s="232">
        <v>4.0</v>
      </c>
      <c r="I466" s="232">
        <v>4.0</v>
      </c>
      <c r="J466" s="234">
        <v>0.0</v>
      </c>
      <c r="K466" s="202" t="s">
        <v>2131</v>
      </c>
      <c r="L466" s="202">
        <v>5.332346953E9</v>
      </c>
      <c r="M466" s="202" t="s">
        <v>1147</v>
      </c>
      <c r="N466" s="202" t="s">
        <v>1164</v>
      </c>
      <c r="O466" s="202" t="s">
        <v>2132</v>
      </c>
      <c r="P466" s="202" t="s">
        <v>2522</v>
      </c>
      <c r="Q466" s="235">
        <f>COUNTIF('Hedef Liste'!$A:$A,A466)</f>
        <v>1</v>
      </c>
    </row>
    <row r="467" hidden="1">
      <c r="A467" s="202" t="s">
        <v>596</v>
      </c>
      <c r="B467" s="202" t="s">
        <v>597</v>
      </c>
      <c r="C467" s="231" t="s">
        <v>2521</v>
      </c>
      <c r="D467" s="202" t="s">
        <v>1216</v>
      </c>
      <c r="E467" s="232">
        <v>1.0</v>
      </c>
      <c r="F467" s="233"/>
      <c r="G467" s="232">
        <v>2.0</v>
      </c>
      <c r="H467" s="232">
        <v>4.0</v>
      </c>
      <c r="I467" s="232">
        <v>6.0</v>
      </c>
      <c r="J467" s="234">
        <v>0.33</v>
      </c>
      <c r="K467" s="202" t="s">
        <v>1588</v>
      </c>
      <c r="L467" s="202">
        <v>5.33216826E9</v>
      </c>
      <c r="M467" s="202" t="s">
        <v>1147</v>
      </c>
      <c r="N467" s="202" t="s">
        <v>1164</v>
      </c>
      <c r="O467" s="202" t="s">
        <v>598</v>
      </c>
      <c r="P467" s="202" t="s">
        <v>2522</v>
      </c>
      <c r="Q467" s="235">
        <f>COUNTIF('Hedef Liste'!$A:$A,A467)</f>
        <v>1</v>
      </c>
    </row>
    <row r="468" hidden="1">
      <c r="A468" s="202" t="s">
        <v>2394</v>
      </c>
      <c r="B468" s="202" t="s">
        <v>2395</v>
      </c>
      <c r="C468" s="231" t="s">
        <v>2521</v>
      </c>
      <c r="D468" s="202" t="s">
        <v>1302</v>
      </c>
      <c r="E468" s="232">
        <v>1.0</v>
      </c>
      <c r="F468" s="233"/>
      <c r="G468" s="232">
        <v>0.0</v>
      </c>
      <c r="H468" s="232">
        <v>3.0</v>
      </c>
      <c r="I468" s="232">
        <v>3.0</v>
      </c>
      <c r="J468" s="234">
        <v>0.0</v>
      </c>
      <c r="K468" s="202" t="s">
        <v>2396</v>
      </c>
      <c r="L468" s="202">
        <v>5.522967192E9</v>
      </c>
      <c r="M468" s="202" t="s">
        <v>1463</v>
      </c>
      <c r="N468" s="202" t="s">
        <v>1464</v>
      </c>
      <c r="O468" s="202" t="s">
        <v>2397</v>
      </c>
      <c r="P468" s="202" t="s">
        <v>2522</v>
      </c>
      <c r="Q468" s="235">
        <f>COUNTIF('Hedef Liste'!$A:$A,A468)</f>
        <v>1</v>
      </c>
    </row>
    <row r="469" hidden="1">
      <c r="A469" s="202" t="s">
        <v>1447</v>
      </c>
      <c r="B469" s="202" t="s">
        <v>1448</v>
      </c>
      <c r="C469" s="231" t="s">
        <v>2523</v>
      </c>
      <c r="D469" s="202" t="s">
        <v>1170</v>
      </c>
      <c r="E469" s="232">
        <v>72.0</v>
      </c>
      <c r="F469" s="233"/>
      <c r="G469" s="232">
        <v>0.0</v>
      </c>
      <c r="H469" s="232">
        <v>10.0</v>
      </c>
      <c r="I469" s="232">
        <v>10.0</v>
      </c>
      <c r="J469" s="234">
        <v>0.0</v>
      </c>
      <c r="K469" s="202" t="s">
        <v>1424</v>
      </c>
      <c r="L469" s="202">
        <v>5.4179701E9</v>
      </c>
      <c r="M469" s="202" t="s">
        <v>1147</v>
      </c>
      <c r="N469" s="202" t="s">
        <v>1200</v>
      </c>
      <c r="O469" s="202" t="s">
        <v>1425</v>
      </c>
      <c r="P469" s="202" t="s">
        <v>2522</v>
      </c>
      <c r="Q469" s="235">
        <f>COUNTIF('Hedef Liste'!$A:$A,A469)</f>
        <v>1</v>
      </c>
    </row>
    <row r="470">
      <c r="A470" s="202" t="s">
        <v>1974</v>
      </c>
      <c r="B470" s="202" t="s">
        <v>1975</v>
      </c>
      <c r="C470" s="231" t="s">
        <v>2523</v>
      </c>
      <c r="D470" s="202" t="s">
        <v>1170</v>
      </c>
      <c r="E470" s="232">
        <v>41.0</v>
      </c>
      <c r="F470" s="232">
        <v>31.0</v>
      </c>
      <c r="G470" s="232">
        <v>0.0</v>
      </c>
      <c r="H470" s="232">
        <v>14.0</v>
      </c>
      <c r="I470" s="232">
        <v>14.0</v>
      </c>
      <c r="J470" s="234">
        <v>0.0</v>
      </c>
      <c r="K470" s="202" t="s">
        <v>1976</v>
      </c>
      <c r="L470" s="202">
        <v>2.642777222E9</v>
      </c>
      <c r="M470" s="202" t="s">
        <v>1147</v>
      </c>
      <c r="N470" s="202" t="s">
        <v>1164</v>
      </c>
      <c r="O470" s="202" t="s">
        <v>1977</v>
      </c>
      <c r="P470" s="202" t="s">
        <v>2522</v>
      </c>
      <c r="Q470" s="235">
        <f>COUNTIF('Hedef Liste'!$A:$A,A470)</f>
        <v>1</v>
      </c>
    </row>
    <row r="471">
      <c r="A471" s="202" t="s">
        <v>1214</v>
      </c>
      <c r="B471" s="202" t="s">
        <v>1215</v>
      </c>
      <c r="C471" s="231" t="s">
        <v>2523</v>
      </c>
      <c r="D471" s="202" t="s">
        <v>1216</v>
      </c>
      <c r="E471" s="233"/>
      <c r="F471" s="233"/>
      <c r="G471" s="232">
        <v>0.0</v>
      </c>
      <c r="H471" s="232">
        <v>14.0</v>
      </c>
      <c r="I471" s="232">
        <v>14.0</v>
      </c>
      <c r="J471" s="234">
        <v>0.0</v>
      </c>
      <c r="K471" s="202" t="s">
        <v>1217</v>
      </c>
      <c r="L471" s="202">
        <v>2.64275606E9</v>
      </c>
      <c r="M471" s="202" t="s">
        <v>1147</v>
      </c>
      <c r="N471" s="202" t="s">
        <v>1218</v>
      </c>
      <c r="O471" s="202" t="s">
        <v>1219</v>
      </c>
      <c r="P471" s="202" t="s">
        <v>2522</v>
      </c>
      <c r="Q471" s="235">
        <f>COUNTIF('Hedef Liste'!$A:$A,A471)</f>
        <v>1</v>
      </c>
    </row>
    <row r="472">
      <c r="A472" s="202" t="s">
        <v>1757</v>
      </c>
      <c r="B472" s="202" t="s">
        <v>1758</v>
      </c>
      <c r="C472" s="231" t="s">
        <v>2523</v>
      </c>
      <c r="D472" s="202" t="s">
        <v>1302</v>
      </c>
      <c r="E472" s="232">
        <v>12.0</v>
      </c>
      <c r="F472" s="233"/>
      <c r="G472" s="232">
        <v>0.0</v>
      </c>
      <c r="H472" s="232">
        <v>6.0</v>
      </c>
      <c r="I472" s="232">
        <v>6.0</v>
      </c>
      <c r="J472" s="234">
        <v>0.0</v>
      </c>
      <c r="K472" s="202" t="s">
        <v>1759</v>
      </c>
      <c r="L472" s="202">
        <v>2.642781653E9</v>
      </c>
      <c r="M472" s="202" t="s">
        <v>1147</v>
      </c>
      <c r="N472" s="202" t="s">
        <v>1148</v>
      </c>
      <c r="O472" s="202" t="s">
        <v>1760</v>
      </c>
      <c r="P472" s="202" t="s">
        <v>2522</v>
      </c>
      <c r="Q472" s="235">
        <f>COUNTIF('Hedef Liste'!$A:$A,A472)</f>
        <v>1</v>
      </c>
    </row>
    <row r="473">
      <c r="A473" s="202" t="s">
        <v>2491</v>
      </c>
      <c r="B473" s="202" t="s">
        <v>2492</v>
      </c>
      <c r="C473" s="231" t="s">
        <v>2523</v>
      </c>
      <c r="D473" s="202" t="s">
        <v>1170</v>
      </c>
      <c r="E473" s="232">
        <v>3.0</v>
      </c>
      <c r="F473" s="232">
        <v>1.0</v>
      </c>
      <c r="G473" s="232">
        <v>0.0</v>
      </c>
      <c r="H473" s="232">
        <v>11.0</v>
      </c>
      <c r="I473" s="232">
        <v>11.0</v>
      </c>
      <c r="J473" s="234">
        <v>0.0</v>
      </c>
      <c r="K473" s="202" t="s">
        <v>2493</v>
      </c>
      <c r="L473" s="202">
        <v>5.468556228E9</v>
      </c>
      <c r="M473" s="202" t="s">
        <v>1147</v>
      </c>
      <c r="N473" s="202" t="s">
        <v>1157</v>
      </c>
      <c r="O473" s="202" t="s">
        <v>2494</v>
      </c>
      <c r="P473" s="202" t="s">
        <v>2522</v>
      </c>
      <c r="Q473" s="235">
        <f>COUNTIF('Hedef Liste'!$A:$A,A473)</f>
        <v>1</v>
      </c>
    </row>
    <row r="474">
      <c r="A474" s="202" t="s">
        <v>1180</v>
      </c>
      <c r="B474" s="202" t="s">
        <v>1181</v>
      </c>
      <c r="C474" s="231" t="s">
        <v>2523</v>
      </c>
      <c r="D474" s="202" t="s">
        <v>1182</v>
      </c>
      <c r="E474" s="233"/>
      <c r="F474" s="233"/>
      <c r="G474" s="232">
        <v>0.0</v>
      </c>
      <c r="H474" s="232">
        <v>4.0</v>
      </c>
      <c r="I474" s="232">
        <v>4.0</v>
      </c>
      <c r="J474" s="234">
        <v>0.0</v>
      </c>
      <c r="K474" s="202" t="s">
        <v>1183</v>
      </c>
      <c r="L474" s="202">
        <v>5.417338374E9</v>
      </c>
      <c r="M474" s="202" t="s">
        <v>1177</v>
      </c>
      <c r="N474" s="202" t="s">
        <v>1184</v>
      </c>
      <c r="O474" s="202" t="s">
        <v>1185</v>
      </c>
      <c r="P474" s="202" t="s">
        <v>2522</v>
      </c>
      <c r="Q474" s="235">
        <f>COUNTIF('Hedef Liste'!$A:$A,A474)</f>
        <v>1</v>
      </c>
    </row>
    <row r="475" hidden="1">
      <c r="A475" s="202" t="s">
        <v>1028</v>
      </c>
      <c r="B475" s="202" t="s">
        <v>1029</v>
      </c>
      <c r="C475" s="231" t="s">
        <v>2523</v>
      </c>
      <c r="D475" s="202" t="s">
        <v>1170</v>
      </c>
      <c r="E475" s="232">
        <v>402.0</v>
      </c>
      <c r="F475" s="232">
        <v>7.0</v>
      </c>
      <c r="G475" s="232">
        <v>5.0</v>
      </c>
      <c r="H475" s="232">
        <v>0.0</v>
      </c>
      <c r="I475" s="232">
        <v>5.0</v>
      </c>
      <c r="J475" s="234">
        <v>1.0</v>
      </c>
      <c r="K475" s="202" t="s">
        <v>2094</v>
      </c>
      <c r="L475" s="202">
        <v>5.411044754E9</v>
      </c>
      <c r="M475" s="202" t="s">
        <v>1172</v>
      </c>
      <c r="N475" s="202" t="s">
        <v>1405</v>
      </c>
      <c r="O475" s="202" t="s">
        <v>1032</v>
      </c>
      <c r="P475" s="202" t="s">
        <v>2522</v>
      </c>
      <c r="Q475" s="235">
        <f>COUNTIF('Hedef Liste'!$A:$A,A475)</f>
        <v>1</v>
      </c>
    </row>
    <row r="476">
      <c r="A476" s="202" t="s">
        <v>2470</v>
      </c>
      <c r="B476" s="202" t="s">
        <v>2471</v>
      </c>
      <c r="C476" s="231" t="s">
        <v>2523</v>
      </c>
      <c r="D476" s="202" t="s">
        <v>1155</v>
      </c>
      <c r="E476" s="232">
        <v>8.0</v>
      </c>
      <c r="F476" s="232">
        <v>2.0</v>
      </c>
      <c r="G476" s="232">
        <v>0.0</v>
      </c>
      <c r="H476" s="232">
        <v>13.0</v>
      </c>
      <c r="I476" s="232">
        <v>13.0</v>
      </c>
      <c r="J476" s="234">
        <v>0.0</v>
      </c>
      <c r="K476" s="202" t="s">
        <v>2472</v>
      </c>
      <c r="L476" s="202">
        <v>5.310287084E9</v>
      </c>
      <c r="M476" s="202" t="s">
        <v>1172</v>
      </c>
      <c r="N476" s="202" t="s">
        <v>2473</v>
      </c>
      <c r="O476" s="202" t="s">
        <v>2474</v>
      </c>
      <c r="P476" s="202" t="s">
        <v>2522</v>
      </c>
      <c r="Q476" s="235">
        <f>COUNTIF('Hedef Liste'!$A:$A,A476)</f>
        <v>1</v>
      </c>
    </row>
    <row r="477" hidden="1">
      <c r="A477" s="202" t="s">
        <v>2483</v>
      </c>
      <c r="B477" s="202" t="s">
        <v>2876</v>
      </c>
      <c r="C477" s="231" t="s">
        <v>2523</v>
      </c>
      <c r="D477" s="202" t="s">
        <v>1188</v>
      </c>
      <c r="E477" s="232">
        <v>993.0</v>
      </c>
      <c r="F477" s="232">
        <v>113.0</v>
      </c>
      <c r="G477" s="232">
        <v>0.0</v>
      </c>
      <c r="H477" s="232">
        <v>9.0</v>
      </c>
      <c r="I477" s="232">
        <v>9.0</v>
      </c>
      <c r="J477" s="234">
        <v>0.0</v>
      </c>
      <c r="K477" s="202" t="s">
        <v>2131</v>
      </c>
      <c r="L477" s="202">
        <v>5.332346953E9</v>
      </c>
      <c r="M477" s="202" t="s">
        <v>1147</v>
      </c>
      <c r="N477" s="202" t="s">
        <v>1164</v>
      </c>
      <c r="O477" s="202" t="s">
        <v>2132</v>
      </c>
      <c r="P477" s="202" t="s">
        <v>2522</v>
      </c>
      <c r="Q477" s="235">
        <f>COUNTIF('Hedef Liste'!$A:$A,A477)</f>
        <v>1</v>
      </c>
    </row>
    <row r="478" hidden="1">
      <c r="A478" s="202" t="s">
        <v>556</v>
      </c>
      <c r="B478" s="202" t="s">
        <v>557</v>
      </c>
      <c r="C478" s="231" t="s">
        <v>2521</v>
      </c>
      <c r="D478" s="202" t="s">
        <v>1182</v>
      </c>
      <c r="E478" s="232">
        <v>201.0</v>
      </c>
      <c r="F478" s="233"/>
      <c r="G478" s="232">
        <v>5.0</v>
      </c>
      <c r="H478" s="232">
        <v>2.0</v>
      </c>
      <c r="I478" s="232">
        <v>7.0</v>
      </c>
      <c r="J478" s="234">
        <v>0.71</v>
      </c>
      <c r="K478" s="202" t="s">
        <v>1591</v>
      </c>
      <c r="L478" s="202">
        <v>5.345671851E9</v>
      </c>
      <c r="M478" s="202" t="s">
        <v>1147</v>
      </c>
      <c r="N478" s="202" t="s">
        <v>1218</v>
      </c>
      <c r="O478" s="202" t="s">
        <v>560</v>
      </c>
      <c r="P478" s="202" t="s">
        <v>2522</v>
      </c>
      <c r="Q478" s="235">
        <f>COUNTIF('Hedef Liste'!$A:$A,A478)</f>
        <v>1</v>
      </c>
    </row>
    <row r="479" hidden="1">
      <c r="A479" s="202" t="s">
        <v>112</v>
      </c>
      <c r="B479" s="202" t="s">
        <v>113</v>
      </c>
      <c r="C479" s="231" t="s">
        <v>2523</v>
      </c>
      <c r="D479" s="202" t="s">
        <v>1220</v>
      </c>
      <c r="E479" s="232">
        <v>339.0</v>
      </c>
      <c r="F479" s="232">
        <v>2.0</v>
      </c>
      <c r="G479" s="232">
        <v>7.0</v>
      </c>
      <c r="H479" s="232">
        <v>1.0</v>
      </c>
      <c r="I479" s="232">
        <v>8.0</v>
      </c>
      <c r="J479" s="234">
        <v>0.88</v>
      </c>
      <c r="K479" s="202" t="s">
        <v>1630</v>
      </c>
      <c r="L479" s="202">
        <v>5.399342723E9</v>
      </c>
      <c r="M479" s="202" t="s">
        <v>1177</v>
      </c>
      <c r="N479" s="202" t="s">
        <v>1607</v>
      </c>
      <c r="O479" s="202" t="s">
        <v>117</v>
      </c>
      <c r="P479" s="202" t="s">
        <v>2522</v>
      </c>
      <c r="Q479" s="235">
        <f>COUNTIF('Hedef Liste'!$A:$A,A479)</f>
        <v>1</v>
      </c>
    </row>
    <row r="480" hidden="1">
      <c r="A480" s="202" t="s">
        <v>1466</v>
      </c>
      <c r="B480" s="202" t="s">
        <v>1467</v>
      </c>
      <c r="C480" s="231" t="s">
        <v>2523</v>
      </c>
      <c r="D480" s="202" t="s">
        <v>1145</v>
      </c>
      <c r="E480" s="232">
        <v>25.0</v>
      </c>
      <c r="F480" s="232">
        <v>13.0</v>
      </c>
      <c r="G480" s="232">
        <v>0.0</v>
      </c>
      <c r="H480" s="232">
        <v>20.0</v>
      </c>
      <c r="I480" s="232">
        <v>20.0</v>
      </c>
      <c r="J480" s="234">
        <v>0.0</v>
      </c>
      <c r="K480" s="202" t="s">
        <v>1468</v>
      </c>
      <c r="L480" s="202">
        <v>5.344271117E9</v>
      </c>
      <c r="M480" s="202" t="s">
        <v>1147</v>
      </c>
      <c r="N480" s="202" t="s">
        <v>1148</v>
      </c>
      <c r="O480" s="202" t="s">
        <v>1469</v>
      </c>
      <c r="P480" s="202" t="s">
        <v>2522</v>
      </c>
      <c r="Q480" s="235">
        <f>COUNTIF('Hedef Liste'!$A:$A,A480)</f>
        <v>1</v>
      </c>
    </row>
    <row r="481" hidden="1">
      <c r="A481" s="202" t="s">
        <v>1805</v>
      </c>
      <c r="B481" s="202" t="s">
        <v>1806</v>
      </c>
      <c r="C481" s="231" t="s">
        <v>2523</v>
      </c>
      <c r="D481" s="202" t="s">
        <v>1226</v>
      </c>
      <c r="E481" s="232">
        <v>35.0</v>
      </c>
      <c r="F481" s="233"/>
      <c r="G481" s="232">
        <v>0.0</v>
      </c>
      <c r="H481" s="232">
        <v>8.0</v>
      </c>
      <c r="I481" s="232">
        <v>8.0</v>
      </c>
      <c r="J481" s="234">
        <v>0.0</v>
      </c>
      <c r="K481" s="202" t="s">
        <v>1807</v>
      </c>
      <c r="L481" s="202">
        <v>2.645828751E9</v>
      </c>
      <c r="M481" s="202" t="s">
        <v>1318</v>
      </c>
      <c r="N481" s="202" t="s">
        <v>1808</v>
      </c>
      <c r="O481" s="202" t="s">
        <v>1809</v>
      </c>
      <c r="P481" s="202" t="s">
        <v>2522</v>
      </c>
      <c r="Q481" s="235">
        <f>COUNTIF('Hedef Liste'!$A:$A,A481)</f>
        <v>1</v>
      </c>
    </row>
    <row r="482" hidden="1">
      <c r="A482" s="202" t="s">
        <v>1093</v>
      </c>
      <c r="B482" s="202" t="s">
        <v>1094</v>
      </c>
      <c r="C482" s="231" t="s">
        <v>2523</v>
      </c>
      <c r="D482" s="202" t="s">
        <v>1302</v>
      </c>
      <c r="E482" s="232">
        <v>9.0</v>
      </c>
      <c r="F482" s="233"/>
      <c r="G482" s="232">
        <v>9.0</v>
      </c>
      <c r="H482" s="232">
        <v>3.0</v>
      </c>
      <c r="I482" s="232">
        <v>12.0</v>
      </c>
      <c r="J482" s="234">
        <v>0.75</v>
      </c>
      <c r="K482" s="202" t="s">
        <v>1709</v>
      </c>
      <c r="L482" s="202">
        <v>5.34818488E9</v>
      </c>
      <c r="M482" s="202" t="s">
        <v>1172</v>
      </c>
      <c r="N482" s="202" t="s">
        <v>1379</v>
      </c>
      <c r="O482" s="202" t="s">
        <v>1710</v>
      </c>
      <c r="P482" s="202" t="s">
        <v>2522</v>
      </c>
      <c r="Q482" s="235">
        <f>COUNTIF('Hedef Liste'!$A:$A,A482)</f>
        <v>1</v>
      </c>
    </row>
    <row r="483" hidden="1">
      <c r="A483" s="202" t="s">
        <v>2133</v>
      </c>
      <c r="B483" s="202" t="s">
        <v>2134</v>
      </c>
      <c r="C483" s="231" t="s">
        <v>2521</v>
      </c>
      <c r="D483" s="202" t="s">
        <v>2524</v>
      </c>
      <c r="E483" s="233"/>
      <c r="F483" s="233"/>
      <c r="G483" s="232">
        <v>0.0</v>
      </c>
      <c r="H483" s="232">
        <v>4.0</v>
      </c>
      <c r="I483" s="232">
        <v>4.0</v>
      </c>
      <c r="J483" s="234">
        <v>0.0</v>
      </c>
      <c r="K483" s="202" t="s">
        <v>2131</v>
      </c>
      <c r="L483" s="202">
        <v>5.372159553E9</v>
      </c>
      <c r="M483" s="202" t="s">
        <v>1172</v>
      </c>
      <c r="N483" s="202" t="s">
        <v>2135</v>
      </c>
      <c r="O483" s="202" t="s">
        <v>819</v>
      </c>
      <c r="P483" s="202" t="s">
        <v>2522</v>
      </c>
      <c r="Q483" s="235">
        <f>COUNTIF('Hedef Liste'!$A:$A,A483)</f>
        <v>1</v>
      </c>
    </row>
    <row r="484" hidden="1">
      <c r="A484" s="202" t="s">
        <v>1224</v>
      </c>
      <c r="B484" s="202" t="s">
        <v>1225</v>
      </c>
      <c r="C484" s="231" t="s">
        <v>2521</v>
      </c>
      <c r="D484" s="202" t="s">
        <v>1226</v>
      </c>
      <c r="E484" s="232">
        <v>6.0</v>
      </c>
      <c r="F484" s="233"/>
      <c r="G484" s="232">
        <v>0.0</v>
      </c>
      <c r="H484" s="232">
        <v>8.0</v>
      </c>
      <c r="I484" s="232">
        <v>8.0</v>
      </c>
      <c r="J484" s="234">
        <v>0.0</v>
      </c>
      <c r="K484" s="202" t="s">
        <v>1227</v>
      </c>
      <c r="L484" s="202">
        <v>5.342256045E9</v>
      </c>
      <c r="M484" s="202" t="s">
        <v>1172</v>
      </c>
      <c r="N484" s="202" t="s">
        <v>1228</v>
      </c>
      <c r="O484" s="202" t="s">
        <v>1229</v>
      </c>
      <c r="P484" s="202" t="s">
        <v>2522</v>
      </c>
      <c r="Q484" s="235">
        <f>COUNTIF('Hedef Liste'!$A:$A,A484)</f>
        <v>1</v>
      </c>
    </row>
  </sheetData>
  <autoFilter ref="$A$1:$Q$484">
    <filterColumn colId="16">
      <filters>
        <filter val="0"/>
      </filters>
    </filterColumn>
    <filterColumn colId="15">
      <filters>
        <filter val="Geleneksel"/>
      </filters>
    </filterColumn>
    <filterColumn colId="2">
      <filters>
        <filter val="DOĞRU"/>
      </filters>
    </filterColumn>
    <filterColumn colId="9">
      <filters>
        <filter val="27%"/>
        <filter val="59%"/>
        <filter val="15%"/>
        <filter val="47%"/>
        <filter val="79%"/>
        <filter val="23%"/>
        <filter val="55%"/>
        <filter val="99%"/>
        <filter val="43%"/>
        <filter val="31%"/>
        <filter val="75%"/>
        <filter val="95%"/>
        <filter val="83%"/>
        <filter val="71%"/>
        <filter val="5%"/>
        <filter val="1%"/>
        <filter val="28%"/>
        <filter val="48%"/>
        <filter val="36%"/>
        <filter val="68%"/>
        <filter val="24%"/>
        <filter val="44%"/>
        <filter val="88%"/>
        <filter val="76%"/>
        <filter val="64%"/>
        <filter val="20%"/>
        <filter val="96%"/>
        <filter val="52%"/>
        <filter val="40%"/>
        <filter val="84%"/>
        <filter val="60%"/>
        <filter val="92%"/>
        <filter val="80%"/>
        <filter val="29%"/>
        <filter val="17%"/>
        <filter val="37%"/>
        <filter val="13%"/>
        <filter val="100%"/>
        <filter val="57%"/>
        <filter val="89%"/>
        <filter val="45%"/>
        <filter val="33%"/>
        <filter val="77%"/>
        <filter val="21%"/>
        <filter val="97%"/>
        <filter val="53%"/>
        <filter val="41%"/>
        <filter val="85%"/>
        <filter val="61%"/>
        <filter val="93%"/>
        <filter val="7%"/>
        <filter val="3%"/>
        <filter val="18%"/>
        <filter val="38%"/>
        <filter val="26%"/>
        <filter val="58%"/>
        <filter val="14%"/>
        <filter val="46%"/>
        <filter val="78%"/>
        <filter val="22%"/>
        <filter val="98%"/>
        <filter val="10%"/>
        <filter val="42%"/>
        <filter val="86%"/>
        <filter val="30%"/>
        <filter val="74%"/>
        <filter val="62%"/>
        <filter val="50%"/>
        <filter val="82%"/>
        <filter val="8%"/>
        <filter val="90%"/>
        <filter val="4%"/>
        <filter val="0%"/>
        <filter val="19%"/>
        <filter val="39%"/>
      </filters>
    </filterColumn>
  </autoFilter>
  <customSheetViews>
    <customSheetView guid="{C3D7AF6D-4115-436B-BB6A-FCBA2B9DAB89}" filter="1" showAutoFilter="1">
      <autoFilter ref="$A$1:$Q$484">
        <filterColumn colId="16">
          <filters>
            <filter val="0"/>
          </filters>
        </filterColumn>
        <filterColumn colId="15">
          <filters>
            <filter val="Geleneksel"/>
          </filters>
        </filterColumn>
        <filterColumn colId="9">
          <filters>
            <filter val="27%"/>
            <filter val="59%"/>
            <filter val="15%"/>
            <filter val="47%"/>
            <filter val="79%"/>
            <filter val="67%"/>
            <filter val="23%"/>
            <filter val="55%"/>
            <filter val="99%"/>
            <filter val="43%"/>
            <filter val="87%"/>
            <filter val="31%"/>
            <filter val="75%"/>
            <filter val="95%"/>
            <filter val="83%"/>
            <filter val="71%"/>
            <filter val="5%"/>
            <filter val="1%"/>
            <filter val="28%"/>
            <filter val="16%"/>
            <filter val="48%"/>
            <filter val="36%"/>
            <filter val="68%"/>
            <filter val="24%"/>
            <filter val="56%"/>
            <filter val="12%"/>
            <filter val="44%"/>
            <filter val="88%"/>
            <filter val="76%"/>
            <filter val="64%"/>
            <filter val="20%"/>
            <filter val="96%"/>
            <filter val="52%"/>
            <filter val="40%"/>
            <filter val="84%"/>
            <filter val="60%"/>
            <filter val="92%"/>
            <filter val="80%"/>
            <filter val="29%"/>
            <filter val="37%"/>
            <filter val="25%"/>
            <filter val="13%"/>
            <filter val="100%"/>
            <filter val="57%"/>
            <filter val="89%"/>
            <filter val="45%"/>
            <filter val="33%"/>
            <filter val="77%"/>
            <filter val="21%"/>
            <filter val="97%"/>
            <filter val="53%"/>
            <filter val="41%"/>
            <filter val="85%"/>
            <filter val="73%"/>
            <filter val="61%"/>
            <filter val="93%"/>
            <filter val="7%"/>
            <filter val="3%"/>
            <filter val="18%"/>
            <filter val="38%"/>
            <filter val="58%"/>
            <filter val="14%"/>
            <filter val="46%"/>
            <filter val="78%"/>
            <filter val="22%"/>
            <filter val="98%"/>
            <filter val="10%"/>
            <filter val="42%"/>
            <filter val="86%"/>
            <filter val="30%"/>
            <filter val="74%"/>
            <filter val="62%"/>
            <filter val="50%"/>
            <filter val="94%"/>
            <filter val="82%"/>
            <filter val="8%"/>
            <filter val="90%"/>
            <filter val="4%"/>
            <filter val="0%"/>
            <filter val="19%"/>
            <filter val="39%"/>
          </filters>
        </filterColumn>
        <filterColumn colId="2">
          <filters>
            <filter val="DOĞRU"/>
            <filter val="YANLIŞ"/>
          </filters>
        </filterColumn>
      </autoFilter>
    </customSheetView>
  </customSheetViews>
  <mergeCells count="13">
    <mergeCell ref="D351:E351"/>
    <mergeCell ref="D360:E360"/>
    <mergeCell ref="D376:E376"/>
    <mergeCell ref="D425:E425"/>
    <mergeCell ref="D449:E449"/>
    <mergeCell ref="D459:E459"/>
    <mergeCell ref="D29:E29"/>
    <mergeCell ref="D82:E82"/>
    <mergeCell ref="D172:E172"/>
    <mergeCell ref="D213:E213"/>
    <mergeCell ref="D258:E258"/>
    <mergeCell ref="D300:E300"/>
    <mergeCell ref="D307:E30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9"/>
    </row>
    <row r="2">
      <c r="A2" s="199"/>
      <c r="C2" s="236" t="s">
        <v>1251</v>
      </c>
      <c r="H2" s="200" t="s">
        <v>105</v>
      </c>
    </row>
    <row r="3">
      <c r="A3" s="199"/>
      <c r="C3" s="105" t="s">
        <v>2198</v>
      </c>
      <c r="F3" s="237" t="s">
        <v>15</v>
      </c>
      <c r="H3" s="200" t="s">
        <v>963</v>
      </c>
    </row>
    <row r="4">
      <c r="A4" s="238">
        <v>44197.0</v>
      </c>
      <c r="C4" s="105" t="s">
        <v>1275</v>
      </c>
      <c r="F4" s="219" t="s">
        <v>91</v>
      </c>
      <c r="H4" s="200" t="s">
        <v>189</v>
      </c>
    </row>
    <row r="5">
      <c r="A5" s="238">
        <v>44198.0</v>
      </c>
      <c r="C5" s="105" t="s">
        <v>2877</v>
      </c>
      <c r="H5" s="200" t="s">
        <v>2878</v>
      </c>
    </row>
    <row r="6">
      <c r="A6" s="238">
        <v>44199.0</v>
      </c>
      <c r="C6" s="105" t="s">
        <v>1253</v>
      </c>
      <c r="H6" s="200" t="s">
        <v>1006</v>
      </c>
    </row>
    <row r="7">
      <c r="A7" s="238">
        <v>44200.0</v>
      </c>
      <c r="C7" s="239" t="s">
        <v>1373</v>
      </c>
      <c r="H7" s="200" t="s">
        <v>2879</v>
      </c>
    </row>
    <row r="8">
      <c r="A8" s="238">
        <v>44201.0</v>
      </c>
      <c r="C8" s="236" t="s">
        <v>1289</v>
      </c>
      <c r="H8" s="200" t="s">
        <v>257</v>
      </c>
    </row>
    <row r="9">
      <c r="A9" s="238">
        <v>44202.0</v>
      </c>
      <c r="C9" s="239" t="s">
        <v>2880</v>
      </c>
      <c r="H9" s="200" t="s">
        <v>2881</v>
      </c>
    </row>
    <row r="10">
      <c r="A10" s="238">
        <v>44203.0</v>
      </c>
      <c r="C10" s="236" t="s">
        <v>2882</v>
      </c>
      <c r="H10" s="200" t="s">
        <v>2883</v>
      </c>
    </row>
    <row r="11">
      <c r="A11" s="238">
        <v>44204.0</v>
      </c>
      <c r="C11" s="236" t="s">
        <v>2247</v>
      </c>
      <c r="F11" s="240" t="s">
        <v>1024</v>
      </c>
      <c r="H11" s="200" t="s">
        <v>1024</v>
      </c>
    </row>
    <row r="12">
      <c r="A12" s="238">
        <v>44205.0</v>
      </c>
      <c r="C12" s="105" t="s">
        <v>1230</v>
      </c>
      <c r="F12" s="240" t="s">
        <v>1647</v>
      </c>
      <c r="H12" s="200" t="s">
        <v>909</v>
      </c>
    </row>
    <row r="13">
      <c r="A13" s="238">
        <v>44206.0</v>
      </c>
      <c r="C13" s="105" t="s">
        <v>1165</v>
      </c>
      <c r="F13" s="241" t="s">
        <v>2878</v>
      </c>
      <c r="H13" s="200" t="s">
        <v>73</v>
      </c>
    </row>
    <row r="14">
      <c r="A14" s="238">
        <v>44207.0</v>
      </c>
      <c r="C14" s="105" t="s">
        <v>1436</v>
      </c>
      <c r="F14" s="240" t="s">
        <v>1232</v>
      </c>
      <c r="H14" s="219" t="s">
        <v>22</v>
      </c>
    </row>
    <row r="15">
      <c r="A15" s="238">
        <v>44208.0</v>
      </c>
      <c r="C15" s="239" t="s">
        <v>1852</v>
      </c>
      <c r="F15" s="242" t="s">
        <v>941</v>
      </c>
      <c r="H15" s="219" t="s">
        <v>2884</v>
      </c>
    </row>
    <row r="16">
      <c r="A16" s="238">
        <v>44209.0</v>
      </c>
      <c r="C16" s="236" t="s">
        <v>1209</v>
      </c>
      <c r="F16" s="241" t="s">
        <v>2881</v>
      </c>
      <c r="H16" s="219" t="s">
        <v>16</v>
      </c>
    </row>
    <row r="17">
      <c r="A17" s="238">
        <v>44210.0</v>
      </c>
      <c r="C17" s="239" t="s">
        <v>1159</v>
      </c>
      <c r="F17" s="240" t="s">
        <v>1006</v>
      </c>
      <c r="H17" s="219" t="s">
        <v>2885</v>
      </c>
    </row>
    <row r="18">
      <c r="A18" s="238">
        <v>44211.0</v>
      </c>
      <c r="C18" s="239" t="s">
        <v>1202</v>
      </c>
      <c r="F18" s="240" t="s">
        <v>1061</v>
      </c>
      <c r="H18" s="219" t="s">
        <v>2886</v>
      </c>
    </row>
    <row r="19">
      <c r="A19" s="238">
        <v>44212.0</v>
      </c>
      <c r="C19" s="236" t="s">
        <v>2887</v>
      </c>
      <c r="F19" s="240" t="s">
        <v>1161</v>
      </c>
      <c r="H19" s="219" t="s">
        <v>2888</v>
      </c>
    </row>
    <row r="20">
      <c r="A20" s="238">
        <v>44213.0</v>
      </c>
      <c r="F20" s="243" t="s">
        <v>1001</v>
      </c>
      <c r="H20" s="219" t="s">
        <v>27</v>
      </c>
    </row>
    <row r="21">
      <c r="A21" s="238">
        <v>44214.0</v>
      </c>
      <c r="C21" s="105" t="s">
        <v>1253</v>
      </c>
      <c r="F21" s="244"/>
      <c r="H21" s="219" t="s">
        <v>2889</v>
      </c>
    </row>
    <row r="22">
      <c r="A22" s="238">
        <v>44215.0</v>
      </c>
      <c r="C22" s="105" t="s">
        <v>1151</v>
      </c>
      <c r="F22" s="244"/>
      <c r="H22" s="245" t="s">
        <v>2890</v>
      </c>
    </row>
    <row r="23">
      <c r="A23" s="238">
        <v>44216.0</v>
      </c>
      <c r="C23" s="105" t="s">
        <v>1254</v>
      </c>
      <c r="F23" s="244"/>
      <c r="H23" s="200" t="s">
        <v>2891</v>
      </c>
    </row>
    <row r="24">
      <c r="A24" s="238">
        <v>44217.0</v>
      </c>
      <c r="C24" s="105" t="s">
        <v>1202</v>
      </c>
      <c r="F24" s="246"/>
      <c r="H24" s="200" t="s">
        <v>140</v>
      </c>
    </row>
    <row r="25">
      <c r="A25" s="238">
        <v>44218.0</v>
      </c>
      <c r="C25" s="105" t="s">
        <v>1277</v>
      </c>
      <c r="F25" s="247"/>
      <c r="H25" s="219" t="s">
        <v>2892</v>
      </c>
    </row>
    <row r="26">
      <c r="A26" s="238">
        <v>44219.0</v>
      </c>
      <c r="F26" s="246"/>
      <c r="H26" s="219" t="s">
        <v>2893</v>
      </c>
    </row>
    <row r="27">
      <c r="A27" s="238">
        <v>44220.0</v>
      </c>
      <c r="C27" s="219" t="s">
        <v>1774</v>
      </c>
      <c r="F27" s="247"/>
      <c r="H27" s="219" t="s">
        <v>310</v>
      </c>
    </row>
    <row r="28">
      <c r="A28" s="238">
        <v>44221.0</v>
      </c>
      <c r="C28" s="219" t="s">
        <v>1459</v>
      </c>
      <c r="F28" s="248"/>
      <c r="H28" s="219" t="s">
        <v>2894</v>
      </c>
    </row>
    <row r="29">
      <c r="A29" s="238">
        <v>44222.0</v>
      </c>
      <c r="C29" s="219" t="s">
        <v>1777</v>
      </c>
      <c r="F29" s="248"/>
      <c r="H29" s="219" t="s">
        <v>2895</v>
      </c>
    </row>
    <row r="30">
      <c r="A30" s="238">
        <v>44223.0</v>
      </c>
      <c r="F30" s="249"/>
    </row>
    <row r="31">
      <c r="A31" s="238">
        <v>44224.0</v>
      </c>
      <c r="F31" s="250"/>
    </row>
    <row r="32">
      <c r="A32" s="238">
        <v>44225.0</v>
      </c>
      <c r="C32" s="236" t="s">
        <v>2896</v>
      </c>
      <c r="F32" s="249"/>
    </row>
    <row r="33">
      <c r="A33" s="238">
        <v>44226.0</v>
      </c>
      <c r="C33" s="239" t="s">
        <v>1275</v>
      </c>
      <c r="F33" s="250"/>
    </row>
    <row r="34">
      <c r="A34" s="238">
        <v>44227.0</v>
      </c>
      <c r="C34" s="236" t="s">
        <v>2897</v>
      </c>
      <c r="F34" s="248"/>
    </row>
    <row r="35">
      <c r="A35" s="238">
        <v>44228.0</v>
      </c>
      <c r="C35" s="236" t="s">
        <v>2898</v>
      </c>
      <c r="F35" s="248"/>
    </row>
    <row r="36">
      <c r="A36" s="238">
        <v>44229.0</v>
      </c>
      <c r="F36" s="105"/>
    </row>
    <row r="37">
      <c r="A37" s="238">
        <v>44230.0</v>
      </c>
      <c r="F37" s="105"/>
    </row>
    <row r="38">
      <c r="A38" s="238">
        <v>44231.0</v>
      </c>
    </row>
    <row r="39">
      <c r="A39" s="238">
        <v>44232.0</v>
      </c>
    </row>
    <row r="40">
      <c r="A40" s="238">
        <v>44233.0</v>
      </c>
    </row>
    <row r="41">
      <c r="A41" s="238">
        <v>44234.0</v>
      </c>
    </row>
    <row r="42">
      <c r="A42" s="238">
        <v>44235.0</v>
      </c>
    </row>
    <row r="43">
      <c r="A43" s="238">
        <v>44236.0</v>
      </c>
    </row>
    <row r="44">
      <c r="A44" s="238">
        <v>44237.0</v>
      </c>
    </row>
    <row r="45">
      <c r="A45" s="238">
        <v>44238.0</v>
      </c>
    </row>
    <row r="46">
      <c r="A46" s="238">
        <v>44239.0</v>
      </c>
    </row>
    <row r="47">
      <c r="A47" s="238">
        <v>44240.0</v>
      </c>
    </row>
    <row r="48">
      <c r="A48" s="238">
        <v>44241.0</v>
      </c>
    </row>
    <row r="49">
      <c r="A49" s="238">
        <v>44242.0</v>
      </c>
    </row>
    <row r="50">
      <c r="A50" s="238">
        <v>44243.0</v>
      </c>
    </row>
    <row r="51">
      <c r="A51" s="238">
        <v>44244.0</v>
      </c>
    </row>
    <row r="52">
      <c r="A52" s="238">
        <v>44245.0</v>
      </c>
    </row>
    <row r="53">
      <c r="A53" s="238">
        <v>44246.0</v>
      </c>
    </row>
    <row r="54">
      <c r="A54" s="238">
        <v>44247.0</v>
      </c>
    </row>
    <row r="55">
      <c r="A55" s="238">
        <v>44248.0</v>
      </c>
    </row>
    <row r="56">
      <c r="A56" s="238">
        <v>44249.0</v>
      </c>
    </row>
    <row r="57">
      <c r="A57" s="238">
        <v>44250.0</v>
      </c>
    </row>
    <row r="58">
      <c r="A58" s="238">
        <v>44251.0</v>
      </c>
    </row>
    <row r="59">
      <c r="A59" s="238">
        <v>44252.0</v>
      </c>
    </row>
    <row r="60">
      <c r="A60" s="238">
        <v>44253.0</v>
      </c>
    </row>
    <row r="61">
      <c r="A61" s="238">
        <v>44254.0</v>
      </c>
    </row>
    <row r="62">
      <c r="A62" s="238">
        <v>44255.0</v>
      </c>
    </row>
    <row r="63">
      <c r="A63" s="238">
        <v>44256.0</v>
      </c>
    </row>
    <row r="64">
      <c r="A64" s="238">
        <v>44257.0</v>
      </c>
    </row>
    <row r="65">
      <c r="A65" s="238">
        <v>44258.0</v>
      </c>
    </row>
    <row r="66">
      <c r="A66" s="238">
        <v>44259.0</v>
      </c>
    </row>
    <row r="67">
      <c r="A67" s="238">
        <v>44260.0</v>
      </c>
    </row>
    <row r="68">
      <c r="A68" s="238">
        <v>44261.0</v>
      </c>
    </row>
    <row r="69">
      <c r="A69" s="238">
        <v>44262.0</v>
      </c>
    </row>
    <row r="70">
      <c r="A70" s="238">
        <v>44263.0</v>
      </c>
    </row>
    <row r="71">
      <c r="A71" s="238">
        <v>44264.0</v>
      </c>
    </row>
    <row r="72">
      <c r="A72" s="238">
        <v>44265.0</v>
      </c>
    </row>
    <row r="73">
      <c r="A73" s="238">
        <v>44266.0</v>
      </c>
    </row>
    <row r="74">
      <c r="A74" s="238">
        <v>44267.0</v>
      </c>
    </row>
    <row r="75">
      <c r="A75" s="238">
        <v>44268.0</v>
      </c>
    </row>
    <row r="76">
      <c r="A76" s="238">
        <v>44269.0</v>
      </c>
    </row>
    <row r="77">
      <c r="A77" s="238">
        <v>44270.0</v>
      </c>
    </row>
    <row r="78">
      <c r="A78" s="238">
        <v>44271.0</v>
      </c>
    </row>
    <row r="79">
      <c r="A79" s="238">
        <v>44272.0</v>
      </c>
    </row>
    <row r="80">
      <c r="A80" s="238">
        <v>44273.0</v>
      </c>
    </row>
    <row r="81">
      <c r="A81" s="238">
        <v>44274.0</v>
      </c>
    </row>
    <row r="82">
      <c r="A82" s="238">
        <v>44275.0</v>
      </c>
    </row>
    <row r="83">
      <c r="A83" s="238">
        <v>44276.0</v>
      </c>
    </row>
    <row r="84">
      <c r="A84" s="238">
        <v>44277.0</v>
      </c>
    </row>
    <row r="85">
      <c r="A85" s="238">
        <v>44278.0</v>
      </c>
    </row>
    <row r="86">
      <c r="A86" s="238">
        <v>44279.0</v>
      </c>
    </row>
    <row r="87">
      <c r="A87" s="238">
        <v>44280.0</v>
      </c>
    </row>
    <row r="88">
      <c r="A88" s="238">
        <v>44281.0</v>
      </c>
    </row>
    <row r="89">
      <c r="A89" s="238">
        <v>44282.0</v>
      </c>
    </row>
    <row r="90">
      <c r="A90" s="238">
        <v>44283.0</v>
      </c>
    </row>
    <row r="91">
      <c r="A91" s="238">
        <v>44284.0</v>
      </c>
    </row>
    <row r="92">
      <c r="A92" s="238">
        <v>44285.0</v>
      </c>
    </row>
    <row r="93">
      <c r="A93" s="238">
        <v>44286.0</v>
      </c>
    </row>
    <row r="94">
      <c r="A94" s="238">
        <v>44287.0</v>
      </c>
    </row>
    <row r="95">
      <c r="A95" s="238">
        <v>44288.0</v>
      </c>
    </row>
    <row r="96">
      <c r="A96" s="238">
        <v>44289.0</v>
      </c>
    </row>
    <row r="97">
      <c r="A97" s="238">
        <v>44290.0</v>
      </c>
    </row>
    <row r="98">
      <c r="A98" s="238">
        <v>44291.0</v>
      </c>
    </row>
    <row r="99">
      <c r="A99" s="238">
        <v>44292.0</v>
      </c>
    </row>
    <row r="100">
      <c r="A100" s="238">
        <v>44293.0</v>
      </c>
    </row>
    <row r="101">
      <c r="A101" s="238">
        <v>44294.0</v>
      </c>
    </row>
    <row r="102">
      <c r="A102" s="238">
        <v>44295.0</v>
      </c>
    </row>
    <row r="103">
      <c r="A103" s="238">
        <v>44296.0</v>
      </c>
    </row>
    <row r="104">
      <c r="A104" s="238">
        <v>44297.0</v>
      </c>
    </row>
    <row r="105">
      <c r="A105" s="238">
        <v>44298.0</v>
      </c>
    </row>
    <row r="106">
      <c r="A106" s="238">
        <v>44299.0</v>
      </c>
    </row>
    <row r="107">
      <c r="A107" s="238">
        <v>44300.0</v>
      </c>
    </row>
    <row r="108">
      <c r="A108" s="238">
        <v>44301.0</v>
      </c>
    </row>
    <row r="109">
      <c r="A109" s="238">
        <v>44302.0</v>
      </c>
    </row>
    <row r="110">
      <c r="A110" s="238">
        <v>44303.0</v>
      </c>
    </row>
    <row r="111">
      <c r="A111" s="238">
        <v>44304.0</v>
      </c>
    </row>
    <row r="112">
      <c r="A112" s="238">
        <v>44305.0</v>
      </c>
    </row>
    <row r="113">
      <c r="A113" s="238">
        <v>44306.0</v>
      </c>
    </row>
    <row r="114">
      <c r="A114" s="238">
        <v>44307.0</v>
      </c>
    </row>
    <row r="115">
      <c r="A115" s="238">
        <v>44308.0</v>
      </c>
    </row>
    <row r="116">
      <c r="A116" s="238">
        <v>44309.0</v>
      </c>
    </row>
    <row r="117">
      <c r="A117" s="238">
        <v>44310.0</v>
      </c>
    </row>
    <row r="118">
      <c r="A118" s="238">
        <v>44311.0</v>
      </c>
    </row>
    <row r="119">
      <c r="A119" s="238">
        <v>44312.0</v>
      </c>
    </row>
    <row r="120">
      <c r="A120" s="238">
        <v>44313.0</v>
      </c>
    </row>
    <row r="121">
      <c r="A121" s="238">
        <v>44314.0</v>
      </c>
    </row>
    <row r="122">
      <c r="A122" s="238">
        <v>44315.0</v>
      </c>
    </row>
    <row r="123">
      <c r="A123" s="238">
        <v>44316.0</v>
      </c>
    </row>
    <row r="124">
      <c r="A124" s="238">
        <v>44317.0</v>
      </c>
    </row>
    <row r="125">
      <c r="A125" s="238">
        <v>44318.0</v>
      </c>
    </row>
    <row r="126">
      <c r="A126" s="238">
        <v>44319.0</v>
      </c>
    </row>
    <row r="127">
      <c r="A127" s="238">
        <v>44320.0</v>
      </c>
    </row>
    <row r="128">
      <c r="A128" s="238">
        <v>44321.0</v>
      </c>
    </row>
    <row r="129">
      <c r="A129" s="238">
        <v>44322.0</v>
      </c>
    </row>
    <row r="130">
      <c r="A130" s="238">
        <v>44323.0</v>
      </c>
    </row>
    <row r="131">
      <c r="A131" s="238">
        <v>44324.0</v>
      </c>
    </row>
    <row r="132">
      <c r="A132" s="238">
        <v>44325.0</v>
      </c>
    </row>
    <row r="133">
      <c r="A133" s="238">
        <v>44326.0</v>
      </c>
    </row>
    <row r="134">
      <c r="A134" s="238">
        <v>44327.0</v>
      </c>
    </row>
    <row r="135">
      <c r="A135" s="238">
        <v>44328.0</v>
      </c>
    </row>
    <row r="136">
      <c r="A136" s="238">
        <v>44329.0</v>
      </c>
    </row>
    <row r="137">
      <c r="A137" s="238">
        <v>44330.0</v>
      </c>
    </row>
    <row r="138">
      <c r="A138" s="238">
        <v>44331.0</v>
      </c>
    </row>
    <row r="139">
      <c r="A139" s="238">
        <v>44332.0</v>
      </c>
    </row>
    <row r="140">
      <c r="A140" s="238">
        <v>44333.0</v>
      </c>
    </row>
    <row r="141">
      <c r="A141" s="238">
        <v>44334.0</v>
      </c>
    </row>
    <row r="142">
      <c r="A142" s="238">
        <v>44335.0</v>
      </c>
    </row>
    <row r="143">
      <c r="A143" s="238">
        <v>44336.0</v>
      </c>
    </row>
    <row r="144">
      <c r="A144" s="238">
        <v>44337.0</v>
      </c>
    </row>
    <row r="145">
      <c r="A145" s="238">
        <v>44338.0</v>
      </c>
    </row>
    <row r="146">
      <c r="A146" s="238">
        <v>44339.0</v>
      </c>
    </row>
    <row r="147">
      <c r="A147" s="238">
        <v>44340.0</v>
      </c>
    </row>
    <row r="148">
      <c r="A148" s="238">
        <v>44341.0</v>
      </c>
    </row>
    <row r="149">
      <c r="A149" s="238">
        <v>44342.0</v>
      </c>
    </row>
    <row r="150">
      <c r="A150" s="238">
        <v>44343.0</v>
      </c>
    </row>
    <row r="151">
      <c r="A151" s="238">
        <v>44344.0</v>
      </c>
    </row>
    <row r="152">
      <c r="A152" s="238">
        <v>44345.0</v>
      </c>
    </row>
    <row r="153">
      <c r="A153" s="238">
        <v>44346.0</v>
      </c>
    </row>
    <row r="154">
      <c r="A154" s="238">
        <v>44347.0</v>
      </c>
    </row>
    <row r="155">
      <c r="A155" s="238">
        <v>44348.0</v>
      </c>
    </row>
    <row r="156">
      <c r="A156" s="238">
        <v>44349.0</v>
      </c>
    </row>
    <row r="157">
      <c r="A157" s="238">
        <v>44350.0</v>
      </c>
    </row>
    <row r="158">
      <c r="A158" s="238">
        <v>44351.0</v>
      </c>
    </row>
    <row r="159">
      <c r="A159" s="238">
        <v>44352.0</v>
      </c>
    </row>
    <row r="160">
      <c r="A160" s="238">
        <v>44353.0</v>
      </c>
    </row>
    <row r="161">
      <c r="A161" s="238">
        <v>44354.0</v>
      </c>
    </row>
    <row r="162">
      <c r="A162" s="238">
        <v>44355.0</v>
      </c>
    </row>
    <row r="163">
      <c r="A163" s="238">
        <v>44356.0</v>
      </c>
    </row>
    <row r="164">
      <c r="A164" s="238">
        <v>44357.0</v>
      </c>
    </row>
    <row r="165">
      <c r="A165" s="238">
        <v>44358.0</v>
      </c>
    </row>
    <row r="166">
      <c r="A166" s="238">
        <v>44359.0</v>
      </c>
    </row>
    <row r="167">
      <c r="A167" s="238">
        <v>44360.0</v>
      </c>
    </row>
    <row r="168">
      <c r="A168" s="238">
        <v>44361.0</v>
      </c>
    </row>
    <row r="169">
      <c r="A169" s="238">
        <v>44362.0</v>
      </c>
    </row>
    <row r="170">
      <c r="A170" s="238">
        <v>44363.0</v>
      </c>
    </row>
    <row r="171">
      <c r="A171" s="238">
        <v>44364.0</v>
      </c>
    </row>
    <row r="172">
      <c r="A172" s="238">
        <v>44365.0</v>
      </c>
    </row>
    <row r="173">
      <c r="A173" s="238">
        <v>44366.0</v>
      </c>
    </row>
    <row r="174">
      <c r="A174" s="238">
        <v>44367.0</v>
      </c>
    </row>
    <row r="175">
      <c r="A175" s="238">
        <v>44368.0</v>
      </c>
    </row>
    <row r="176">
      <c r="A176" s="238">
        <v>44369.0</v>
      </c>
    </row>
    <row r="177">
      <c r="A177" s="238">
        <v>44370.0</v>
      </c>
    </row>
    <row r="178">
      <c r="A178" s="238">
        <v>44371.0</v>
      </c>
    </row>
    <row r="179">
      <c r="A179" s="238">
        <v>44372.0</v>
      </c>
    </row>
    <row r="180">
      <c r="A180" s="238">
        <v>44373.0</v>
      </c>
    </row>
    <row r="181">
      <c r="A181" s="238">
        <v>44374.0</v>
      </c>
    </row>
    <row r="182">
      <c r="A182" s="238">
        <v>44375.0</v>
      </c>
    </row>
    <row r="183">
      <c r="A183" s="238">
        <v>44376.0</v>
      </c>
    </row>
    <row r="184">
      <c r="A184" s="238">
        <v>44377.0</v>
      </c>
    </row>
    <row r="185">
      <c r="A185" s="238">
        <v>44378.0</v>
      </c>
    </row>
    <row r="186">
      <c r="A186" s="238">
        <v>44379.0</v>
      </c>
    </row>
    <row r="187">
      <c r="A187" s="238">
        <v>44380.0</v>
      </c>
    </row>
    <row r="188">
      <c r="A188" s="238">
        <v>44381.0</v>
      </c>
    </row>
    <row r="189">
      <c r="A189" s="238">
        <v>44382.0</v>
      </c>
    </row>
    <row r="190">
      <c r="A190" s="238">
        <v>44383.0</v>
      </c>
    </row>
    <row r="191">
      <c r="A191" s="238">
        <v>44384.0</v>
      </c>
    </row>
    <row r="192">
      <c r="A192" s="238">
        <v>44385.0</v>
      </c>
    </row>
    <row r="193">
      <c r="A193" s="238">
        <v>44386.0</v>
      </c>
    </row>
    <row r="194">
      <c r="A194" s="238">
        <v>44387.0</v>
      </c>
    </row>
    <row r="195">
      <c r="A195" s="238">
        <v>44388.0</v>
      </c>
    </row>
    <row r="196">
      <c r="A196" s="238">
        <v>44389.0</v>
      </c>
    </row>
    <row r="197">
      <c r="A197" s="238">
        <v>44390.0</v>
      </c>
    </row>
    <row r="198">
      <c r="A198" s="238">
        <v>44391.0</v>
      </c>
    </row>
    <row r="199">
      <c r="A199" s="238">
        <v>44392.0</v>
      </c>
    </row>
    <row r="200">
      <c r="A200" s="238">
        <v>44393.0</v>
      </c>
    </row>
    <row r="201">
      <c r="A201" s="238">
        <v>44394.0</v>
      </c>
    </row>
    <row r="202">
      <c r="A202" s="238">
        <v>44395.0</v>
      </c>
    </row>
    <row r="203">
      <c r="A203" s="238">
        <v>44396.0</v>
      </c>
    </row>
    <row r="204">
      <c r="A204" s="238">
        <v>44397.0</v>
      </c>
    </row>
    <row r="205">
      <c r="A205" s="238">
        <v>44398.0</v>
      </c>
    </row>
    <row r="206">
      <c r="A206" s="238">
        <v>44399.0</v>
      </c>
    </row>
    <row r="207">
      <c r="A207" s="238">
        <v>44400.0</v>
      </c>
    </row>
    <row r="208">
      <c r="A208" s="238">
        <v>44401.0</v>
      </c>
    </row>
    <row r="209">
      <c r="A209" s="238">
        <v>44402.0</v>
      </c>
    </row>
    <row r="210">
      <c r="A210" s="238">
        <v>44403.0</v>
      </c>
    </row>
    <row r="211">
      <c r="A211" s="238">
        <v>44404.0</v>
      </c>
    </row>
    <row r="212">
      <c r="A212" s="238">
        <v>44405.0</v>
      </c>
    </row>
    <row r="213">
      <c r="A213" s="238">
        <v>44406.0</v>
      </c>
    </row>
    <row r="214">
      <c r="A214" s="238">
        <v>44407.0</v>
      </c>
    </row>
    <row r="215">
      <c r="A215" s="238">
        <v>44408.0</v>
      </c>
    </row>
    <row r="216">
      <c r="A216" s="238">
        <v>44409.0</v>
      </c>
    </row>
    <row r="217">
      <c r="A217" s="238">
        <v>44410.0</v>
      </c>
    </row>
    <row r="218">
      <c r="A218" s="238">
        <v>44411.0</v>
      </c>
    </row>
    <row r="219">
      <c r="A219" s="238">
        <v>44412.0</v>
      </c>
    </row>
    <row r="220">
      <c r="A220" s="238">
        <v>44413.0</v>
      </c>
    </row>
    <row r="221">
      <c r="A221" s="238">
        <v>44414.0</v>
      </c>
    </row>
    <row r="222">
      <c r="A222" s="238">
        <v>44415.0</v>
      </c>
    </row>
    <row r="223">
      <c r="A223" s="238">
        <v>44416.0</v>
      </c>
    </row>
    <row r="224">
      <c r="A224" s="238">
        <v>44417.0</v>
      </c>
    </row>
    <row r="225">
      <c r="A225" s="238">
        <v>44418.0</v>
      </c>
    </row>
    <row r="226">
      <c r="A226" s="238">
        <v>44419.0</v>
      </c>
    </row>
    <row r="227">
      <c r="A227" s="238">
        <v>44420.0</v>
      </c>
    </row>
    <row r="228">
      <c r="A228" s="238">
        <v>44421.0</v>
      </c>
    </row>
    <row r="229">
      <c r="A229" s="238">
        <v>44422.0</v>
      </c>
    </row>
    <row r="230">
      <c r="A230" s="238">
        <v>44423.0</v>
      </c>
    </row>
    <row r="231">
      <c r="A231" s="238">
        <v>44424.0</v>
      </c>
    </row>
    <row r="232">
      <c r="A232" s="238">
        <v>44425.0</v>
      </c>
    </row>
    <row r="233">
      <c r="A233" s="238">
        <v>44426.0</v>
      </c>
    </row>
    <row r="234">
      <c r="A234" s="238">
        <v>44427.0</v>
      </c>
    </row>
    <row r="235">
      <c r="A235" s="238">
        <v>44428.0</v>
      </c>
    </row>
    <row r="236">
      <c r="A236" s="238">
        <v>44429.0</v>
      </c>
    </row>
    <row r="237">
      <c r="A237" s="238">
        <v>44430.0</v>
      </c>
    </row>
    <row r="238">
      <c r="A238" s="238">
        <v>44431.0</v>
      </c>
    </row>
    <row r="239">
      <c r="A239" s="238">
        <v>44432.0</v>
      </c>
    </row>
    <row r="240">
      <c r="A240" s="238">
        <v>44433.0</v>
      </c>
    </row>
    <row r="241">
      <c r="A241" s="238">
        <v>44434.0</v>
      </c>
    </row>
    <row r="242">
      <c r="A242" s="238">
        <v>44435.0</v>
      </c>
    </row>
    <row r="243">
      <c r="A243" s="238">
        <v>44436.0</v>
      </c>
    </row>
    <row r="244">
      <c r="A244" s="238">
        <v>44437.0</v>
      </c>
    </row>
    <row r="245">
      <c r="A245" s="238">
        <v>44438.0</v>
      </c>
    </row>
    <row r="246">
      <c r="A246" s="238">
        <v>44439.0</v>
      </c>
    </row>
    <row r="247">
      <c r="A247" s="238">
        <v>44440.0</v>
      </c>
    </row>
    <row r="248">
      <c r="A248" s="238">
        <v>44441.0</v>
      </c>
    </row>
    <row r="249">
      <c r="A249" s="238">
        <v>44442.0</v>
      </c>
    </row>
    <row r="250">
      <c r="A250" s="238">
        <v>44443.0</v>
      </c>
    </row>
    <row r="251">
      <c r="A251" s="238">
        <v>44444.0</v>
      </c>
    </row>
    <row r="252">
      <c r="A252" s="238">
        <v>44445.0</v>
      </c>
    </row>
    <row r="253">
      <c r="A253" s="238">
        <v>44446.0</v>
      </c>
    </row>
    <row r="254">
      <c r="A254" s="238">
        <v>44447.0</v>
      </c>
    </row>
    <row r="255">
      <c r="A255" s="238">
        <v>44448.0</v>
      </c>
    </row>
    <row r="256">
      <c r="A256" s="238">
        <v>44449.0</v>
      </c>
    </row>
    <row r="257">
      <c r="A257" s="238">
        <v>44450.0</v>
      </c>
    </row>
    <row r="258">
      <c r="A258" s="238">
        <v>44451.0</v>
      </c>
    </row>
    <row r="259">
      <c r="A259" s="238">
        <v>44452.0</v>
      </c>
    </row>
    <row r="260">
      <c r="A260" s="238">
        <v>44453.0</v>
      </c>
    </row>
    <row r="261">
      <c r="A261" s="238">
        <v>44454.0</v>
      </c>
    </row>
    <row r="262">
      <c r="A262" s="238">
        <v>44455.0</v>
      </c>
    </row>
    <row r="263">
      <c r="A263" s="238">
        <v>44456.0</v>
      </c>
    </row>
    <row r="264">
      <c r="A264" s="238">
        <v>44457.0</v>
      </c>
    </row>
    <row r="265">
      <c r="A265" s="238">
        <v>44458.0</v>
      </c>
    </row>
    <row r="266">
      <c r="A266" s="238">
        <v>44459.0</v>
      </c>
    </row>
    <row r="267">
      <c r="A267" s="238">
        <v>44460.0</v>
      </c>
    </row>
    <row r="268">
      <c r="A268" s="238">
        <v>44461.0</v>
      </c>
    </row>
    <row r="269">
      <c r="A269" s="238">
        <v>44462.0</v>
      </c>
    </row>
    <row r="270">
      <c r="A270" s="238">
        <v>44463.0</v>
      </c>
    </row>
    <row r="271">
      <c r="A271" s="238">
        <v>44464.0</v>
      </c>
    </row>
    <row r="272">
      <c r="A272" s="238">
        <v>44465.0</v>
      </c>
    </row>
    <row r="273">
      <c r="A273" s="238">
        <v>44466.0</v>
      </c>
    </row>
    <row r="274">
      <c r="A274" s="238">
        <v>44467.0</v>
      </c>
    </row>
    <row r="275">
      <c r="A275" s="238">
        <v>44468.0</v>
      </c>
    </row>
    <row r="276">
      <c r="A276" s="238">
        <v>44469.0</v>
      </c>
    </row>
    <row r="277">
      <c r="A277" s="238">
        <v>44470.0</v>
      </c>
    </row>
    <row r="278">
      <c r="A278" s="238">
        <v>44471.0</v>
      </c>
    </row>
    <row r="279">
      <c r="A279" s="238">
        <v>44472.0</v>
      </c>
    </row>
    <row r="280">
      <c r="A280" s="238">
        <v>44473.0</v>
      </c>
    </row>
    <row r="281">
      <c r="A281" s="238">
        <v>44474.0</v>
      </c>
    </row>
    <row r="282">
      <c r="A282" s="238">
        <v>44475.0</v>
      </c>
    </row>
    <row r="283">
      <c r="A283" s="238">
        <v>44476.0</v>
      </c>
    </row>
    <row r="284">
      <c r="A284" s="238">
        <v>44477.0</v>
      </c>
    </row>
    <row r="285">
      <c r="A285" s="238">
        <v>44478.0</v>
      </c>
    </row>
    <row r="286">
      <c r="A286" s="238">
        <v>44479.0</v>
      </c>
    </row>
    <row r="287">
      <c r="A287" s="238">
        <v>44480.0</v>
      </c>
    </row>
    <row r="288">
      <c r="A288" s="238">
        <v>44481.0</v>
      </c>
    </row>
    <row r="289">
      <c r="A289" s="238">
        <v>44482.0</v>
      </c>
    </row>
    <row r="290">
      <c r="A290" s="238">
        <v>44483.0</v>
      </c>
    </row>
    <row r="291">
      <c r="A291" s="238">
        <v>44484.0</v>
      </c>
    </row>
    <row r="292">
      <c r="A292" s="238">
        <v>44485.0</v>
      </c>
    </row>
    <row r="293">
      <c r="A293" s="238">
        <v>44486.0</v>
      </c>
    </row>
    <row r="294">
      <c r="A294" s="238">
        <v>44487.0</v>
      </c>
    </row>
    <row r="295">
      <c r="A295" s="238">
        <v>44488.0</v>
      </c>
    </row>
    <row r="296">
      <c r="A296" s="238">
        <v>44489.0</v>
      </c>
    </row>
    <row r="297">
      <c r="A297" s="238">
        <v>44490.0</v>
      </c>
    </row>
    <row r="298">
      <c r="A298" s="238">
        <v>44491.0</v>
      </c>
    </row>
    <row r="299">
      <c r="A299" s="238">
        <v>44492.0</v>
      </c>
    </row>
    <row r="300">
      <c r="A300" s="238">
        <v>44493.0</v>
      </c>
    </row>
    <row r="301">
      <c r="A301" s="238">
        <v>44494.0</v>
      </c>
    </row>
    <row r="302">
      <c r="A302" s="238">
        <v>44495.0</v>
      </c>
    </row>
    <row r="303">
      <c r="A303" s="238">
        <v>44496.0</v>
      </c>
    </row>
    <row r="304">
      <c r="A304" s="238">
        <v>44497.0</v>
      </c>
    </row>
    <row r="305">
      <c r="A305" s="238">
        <v>44498.0</v>
      </c>
    </row>
    <row r="306">
      <c r="A306" s="238">
        <v>44499.0</v>
      </c>
    </row>
    <row r="307">
      <c r="A307" s="238">
        <v>44500.0</v>
      </c>
    </row>
    <row r="308">
      <c r="A308" s="238">
        <v>44501.0</v>
      </c>
    </row>
    <row r="309">
      <c r="A309" s="238">
        <v>44502.0</v>
      </c>
    </row>
    <row r="310">
      <c r="A310" s="238">
        <v>44503.0</v>
      </c>
    </row>
    <row r="311">
      <c r="A311" s="238">
        <v>44504.0</v>
      </c>
    </row>
    <row r="312">
      <c r="A312" s="238">
        <v>44505.0</v>
      </c>
    </row>
    <row r="313">
      <c r="A313" s="238">
        <v>44506.0</v>
      </c>
    </row>
    <row r="314">
      <c r="A314" s="238">
        <v>44507.0</v>
      </c>
    </row>
    <row r="315">
      <c r="A315" s="238">
        <v>44508.0</v>
      </c>
    </row>
    <row r="316">
      <c r="A316" s="238">
        <v>44509.0</v>
      </c>
    </row>
    <row r="317">
      <c r="A317" s="238">
        <v>44510.0</v>
      </c>
    </row>
    <row r="318">
      <c r="A318" s="238">
        <v>44511.0</v>
      </c>
    </row>
    <row r="319">
      <c r="A319" s="238">
        <v>44512.0</v>
      </c>
    </row>
    <row r="320">
      <c r="A320" s="238">
        <v>44513.0</v>
      </c>
    </row>
    <row r="321">
      <c r="A321" s="238">
        <v>44514.0</v>
      </c>
    </row>
    <row r="322">
      <c r="A322" s="238">
        <v>44515.0</v>
      </c>
    </row>
    <row r="323">
      <c r="A323" s="238">
        <v>44516.0</v>
      </c>
    </row>
    <row r="324">
      <c r="A324" s="238">
        <v>44517.0</v>
      </c>
    </row>
    <row r="325">
      <c r="A325" s="238">
        <v>44518.0</v>
      </c>
    </row>
    <row r="326">
      <c r="A326" s="238">
        <v>44519.0</v>
      </c>
    </row>
    <row r="327">
      <c r="A327" s="238">
        <v>44520.0</v>
      </c>
    </row>
    <row r="328">
      <c r="A328" s="238">
        <v>44521.0</v>
      </c>
    </row>
    <row r="329">
      <c r="A329" s="238">
        <v>44522.0</v>
      </c>
    </row>
    <row r="330">
      <c r="A330" s="238">
        <v>44523.0</v>
      </c>
    </row>
    <row r="331">
      <c r="A331" s="238">
        <v>44524.0</v>
      </c>
    </row>
    <row r="332">
      <c r="A332" s="238">
        <v>44525.0</v>
      </c>
    </row>
    <row r="333">
      <c r="A333" s="238">
        <v>44526.0</v>
      </c>
    </row>
    <row r="334">
      <c r="A334" s="238">
        <v>44527.0</v>
      </c>
    </row>
    <row r="335">
      <c r="A335" s="238">
        <v>44528.0</v>
      </c>
    </row>
    <row r="336">
      <c r="A336" s="238">
        <v>44529.0</v>
      </c>
    </row>
    <row r="337">
      <c r="A337" s="238">
        <v>44530.0</v>
      </c>
    </row>
    <row r="338">
      <c r="A338" s="238">
        <v>44531.0</v>
      </c>
    </row>
    <row r="339">
      <c r="A339" s="238">
        <v>44532.0</v>
      </c>
    </row>
    <row r="340">
      <c r="A340" s="238">
        <v>44533.0</v>
      </c>
    </row>
    <row r="341">
      <c r="A341" s="238">
        <v>44534.0</v>
      </c>
    </row>
    <row r="342">
      <c r="A342" s="238">
        <v>44535.0</v>
      </c>
    </row>
    <row r="343">
      <c r="A343" s="238">
        <v>44536.0</v>
      </c>
    </row>
    <row r="344">
      <c r="A344" s="238">
        <v>44537.0</v>
      </c>
    </row>
    <row r="345">
      <c r="A345" s="238">
        <v>44538.0</v>
      </c>
    </row>
    <row r="346">
      <c r="A346" s="238">
        <v>44539.0</v>
      </c>
    </row>
    <row r="347">
      <c r="A347" s="238">
        <v>44540.0</v>
      </c>
    </row>
    <row r="348">
      <c r="A348" s="238">
        <v>44541.0</v>
      </c>
    </row>
    <row r="349">
      <c r="A349" s="238">
        <v>44542.0</v>
      </c>
    </row>
    <row r="350">
      <c r="A350" s="238">
        <v>44543.0</v>
      </c>
    </row>
    <row r="351">
      <c r="A351" s="238">
        <v>44544.0</v>
      </c>
    </row>
    <row r="352">
      <c r="A352" s="238">
        <v>44545.0</v>
      </c>
    </row>
    <row r="353">
      <c r="A353" s="238">
        <v>44546.0</v>
      </c>
    </row>
    <row r="354">
      <c r="A354" s="238">
        <v>44547.0</v>
      </c>
    </row>
    <row r="355">
      <c r="A355" s="238">
        <v>44548.0</v>
      </c>
    </row>
    <row r="356">
      <c r="A356" s="238">
        <v>44549.0</v>
      </c>
    </row>
    <row r="357">
      <c r="A357" s="238">
        <v>44550.0</v>
      </c>
    </row>
    <row r="358">
      <c r="A358" s="238">
        <v>44551.0</v>
      </c>
    </row>
    <row r="359">
      <c r="A359" s="238">
        <v>44552.0</v>
      </c>
    </row>
    <row r="360">
      <c r="A360" s="238">
        <v>44553.0</v>
      </c>
    </row>
    <row r="361">
      <c r="A361" s="238">
        <v>44554.0</v>
      </c>
    </row>
    <row r="362">
      <c r="A362" s="238">
        <v>44555.0</v>
      </c>
    </row>
    <row r="363">
      <c r="A363" s="238">
        <v>44556.0</v>
      </c>
    </row>
    <row r="364">
      <c r="A364" s="238">
        <v>44557.0</v>
      </c>
    </row>
    <row r="365">
      <c r="A365" s="238">
        <v>44558.0</v>
      </c>
    </row>
    <row r="366">
      <c r="A366" s="238">
        <v>44559.0</v>
      </c>
    </row>
    <row r="367">
      <c r="A367" s="238">
        <v>44560.0</v>
      </c>
    </row>
    <row r="368">
      <c r="A368" s="238">
        <v>44561.0</v>
      </c>
    </row>
    <row r="369">
      <c r="A369" s="238">
        <v>44562.0</v>
      </c>
    </row>
    <row r="370">
      <c r="A370" s="238">
        <v>44563.0</v>
      </c>
    </row>
    <row r="371">
      <c r="A371" s="238">
        <v>44564.0</v>
      </c>
    </row>
    <row r="372">
      <c r="A372" s="238">
        <v>44565.0</v>
      </c>
    </row>
    <row r="373">
      <c r="A373" s="238">
        <v>44566.0</v>
      </c>
    </row>
    <row r="374">
      <c r="A374" s="238">
        <v>44567.0</v>
      </c>
    </row>
    <row r="375">
      <c r="A375" s="238">
        <v>44568.0</v>
      </c>
    </row>
    <row r="376">
      <c r="A376" s="238">
        <v>44569.0</v>
      </c>
    </row>
    <row r="377">
      <c r="A377" s="238">
        <v>44570.0</v>
      </c>
    </row>
    <row r="378">
      <c r="A378" s="238">
        <v>44571.0</v>
      </c>
    </row>
    <row r="379">
      <c r="A379" s="238">
        <v>44572.0</v>
      </c>
    </row>
    <row r="380">
      <c r="A380" s="238">
        <v>44573.0</v>
      </c>
    </row>
    <row r="381">
      <c r="A381" s="238">
        <v>44574.0</v>
      </c>
    </row>
    <row r="382">
      <c r="A382" s="238">
        <v>44575.0</v>
      </c>
    </row>
    <row r="383">
      <c r="A383" s="238">
        <v>44576.0</v>
      </c>
    </row>
    <row r="384">
      <c r="A384" s="238">
        <v>44577.0</v>
      </c>
    </row>
    <row r="385">
      <c r="A385" s="238">
        <v>44578.0</v>
      </c>
    </row>
    <row r="386">
      <c r="A386" s="238">
        <v>44579.0</v>
      </c>
    </row>
    <row r="387">
      <c r="A387" s="238">
        <v>44580.0</v>
      </c>
    </row>
    <row r="388">
      <c r="A388" s="238">
        <v>44581.0</v>
      </c>
    </row>
    <row r="389">
      <c r="A389" s="238">
        <v>44582.0</v>
      </c>
    </row>
    <row r="390">
      <c r="A390" s="238">
        <v>44583.0</v>
      </c>
    </row>
    <row r="391">
      <c r="A391" s="238">
        <v>44584.0</v>
      </c>
    </row>
    <row r="392">
      <c r="A392" s="238">
        <v>44585.0</v>
      </c>
    </row>
    <row r="393">
      <c r="A393" s="238">
        <v>44586.0</v>
      </c>
    </row>
    <row r="394">
      <c r="A394" s="238">
        <v>44587.0</v>
      </c>
    </row>
    <row r="395">
      <c r="A395" s="238">
        <v>44588.0</v>
      </c>
    </row>
    <row r="396">
      <c r="A396" s="238">
        <v>44589.0</v>
      </c>
    </row>
    <row r="397">
      <c r="A397" s="238">
        <v>44590.0</v>
      </c>
    </row>
    <row r="398">
      <c r="A398" s="238">
        <v>44591.0</v>
      </c>
    </row>
    <row r="399">
      <c r="A399" s="238">
        <v>44592.0</v>
      </c>
    </row>
    <row r="400">
      <c r="A400" s="238">
        <v>44593.0</v>
      </c>
    </row>
    <row r="401">
      <c r="A401" s="238">
        <v>44594.0</v>
      </c>
    </row>
    <row r="402">
      <c r="A402" s="238">
        <v>44595.0</v>
      </c>
    </row>
    <row r="403">
      <c r="A403" s="238">
        <v>44596.0</v>
      </c>
    </row>
    <row r="404">
      <c r="A404" s="238">
        <v>44597.0</v>
      </c>
    </row>
    <row r="405">
      <c r="A405" s="238">
        <v>44598.0</v>
      </c>
    </row>
    <row r="406">
      <c r="A406" s="238">
        <v>44599.0</v>
      </c>
    </row>
    <row r="407">
      <c r="A407" s="238">
        <v>44600.0</v>
      </c>
    </row>
    <row r="408">
      <c r="A408" s="238">
        <v>44601.0</v>
      </c>
    </row>
    <row r="409">
      <c r="A409" s="238">
        <v>44602.0</v>
      </c>
    </row>
    <row r="410">
      <c r="A410" s="238">
        <v>44603.0</v>
      </c>
    </row>
    <row r="411">
      <c r="A411" s="238">
        <v>44604.0</v>
      </c>
    </row>
    <row r="412">
      <c r="A412" s="238">
        <v>44605.0</v>
      </c>
    </row>
    <row r="413">
      <c r="A413" s="238">
        <v>44606.0</v>
      </c>
    </row>
    <row r="414">
      <c r="A414" s="238">
        <v>44607.0</v>
      </c>
    </row>
    <row r="415">
      <c r="A415" s="238">
        <v>44608.0</v>
      </c>
    </row>
    <row r="416">
      <c r="A416" s="238">
        <v>44609.0</v>
      </c>
    </row>
    <row r="417">
      <c r="A417" s="238">
        <v>44610.0</v>
      </c>
    </row>
    <row r="418">
      <c r="A418" s="238">
        <v>44611.0</v>
      </c>
    </row>
    <row r="419">
      <c r="A419" s="238">
        <v>44612.0</v>
      </c>
    </row>
    <row r="420">
      <c r="A420" s="238">
        <v>44613.0</v>
      </c>
    </row>
    <row r="421">
      <c r="A421" s="238">
        <v>44614.0</v>
      </c>
    </row>
    <row r="422">
      <c r="A422" s="238">
        <v>44615.0</v>
      </c>
    </row>
    <row r="423">
      <c r="A423" s="238">
        <v>44616.0</v>
      </c>
    </row>
    <row r="424">
      <c r="A424" s="238">
        <v>44617.0</v>
      </c>
    </row>
    <row r="425">
      <c r="A425" s="238">
        <v>44618.0</v>
      </c>
    </row>
    <row r="426">
      <c r="A426" s="238">
        <v>44619.0</v>
      </c>
    </row>
    <row r="427">
      <c r="A427" s="238">
        <v>44620.0</v>
      </c>
    </row>
    <row r="428">
      <c r="A428" s="238">
        <v>44621.0</v>
      </c>
    </row>
    <row r="429">
      <c r="A429" s="238">
        <v>44622.0</v>
      </c>
    </row>
    <row r="430">
      <c r="A430" s="238">
        <v>44623.0</v>
      </c>
    </row>
    <row r="431">
      <c r="A431" s="238">
        <v>44624.0</v>
      </c>
    </row>
    <row r="432">
      <c r="A432" s="238">
        <v>44625.0</v>
      </c>
    </row>
    <row r="433">
      <c r="A433" s="238">
        <v>44626.0</v>
      </c>
    </row>
    <row r="434">
      <c r="A434" s="238">
        <v>44627.0</v>
      </c>
    </row>
    <row r="435">
      <c r="A435" s="238">
        <v>44628.0</v>
      </c>
    </row>
    <row r="436">
      <c r="A436" s="238">
        <v>44629.0</v>
      </c>
    </row>
    <row r="437">
      <c r="A437" s="238">
        <v>44630.0</v>
      </c>
    </row>
    <row r="438">
      <c r="A438" s="238">
        <v>44631.0</v>
      </c>
    </row>
    <row r="439">
      <c r="A439" s="238">
        <v>44632.0</v>
      </c>
    </row>
    <row r="440">
      <c r="A440" s="238">
        <v>44633.0</v>
      </c>
    </row>
    <row r="441">
      <c r="A441" s="238">
        <v>44634.0</v>
      </c>
    </row>
    <row r="442">
      <c r="A442" s="238">
        <v>44635.0</v>
      </c>
    </row>
    <row r="443">
      <c r="A443" s="238">
        <v>44636.0</v>
      </c>
    </row>
    <row r="444">
      <c r="A444" s="238">
        <v>44637.0</v>
      </c>
    </row>
    <row r="445">
      <c r="A445" s="238">
        <v>44638.0</v>
      </c>
    </row>
    <row r="446">
      <c r="A446" s="238">
        <v>44639.0</v>
      </c>
    </row>
    <row r="447">
      <c r="A447" s="238">
        <v>44640.0</v>
      </c>
    </row>
    <row r="448">
      <c r="A448" s="238">
        <v>44641.0</v>
      </c>
    </row>
    <row r="449">
      <c r="A449" s="238">
        <v>44642.0</v>
      </c>
    </row>
    <row r="450">
      <c r="A450" s="238">
        <v>44643.0</v>
      </c>
    </row>
    <row r="451">
      <c r="A451" s="238">
        <v>44644.0</v>
      </c>
    </row>
    <row r="452">
      <c r="A452" s="238">
        <v>44645.0</v>
      </c>
    </row>
    <row r="453">
      <c r="A453" s="238">
        <v>44646.0</v>
      </c>
    </row>
    <row r="454">
      <c r="A454" s="238">
        <v>44647.0</v>
      </c>
    </row>
    <row r="455">
      <c r="A455" s="238">
        <v>44648.0</v>
      </c>
    </row>
    <row r="456">
      <c r="A456" s="238">
        <v>44649.0</v>
      </c>
    </row>
    <row r="457">
      <c r="A457" s="238">
        <v>44650.0</v>
      </c>
    </row>
    <row r="458">
      <c r="A458" s="238">
        <v>44651.0</v>
      </c>
    </row>
    <row r="459">
      <c r="A459" s="238">
        <v>44652.0</v>
      </c>
    </row>
    <row r="460">
      <c r="A460" s="238">
        <v>44653.0</v>
      </c>
    </row>
    <row r="461">
      <c r="A461" s="238">
        <v>44654.0</v>
      </c>
    </row>
    <row r="462">
      <c r="A462" s="238">
        <v>44655.0</v>
      </c>
    </row>
    <row r="463">
      <c r="A463" s="238">
        <v>44656.0</v>
      </c>
    </row>
    <row r="464">
      <c r="A464" s="238">
        <v>44657.0</v>
      </c>
    </row>
    <row r="465">
      <c r="A465" s="238">
        <v>44658.0</v>
      </c>
    </row>
    <row r="466">
      <c r="A466" s="238">
        <v>44659.0</v>
      </c>
    </row>
    <row r="467">
      <c r="A467" s="238">
        <v>44660.0</v>
      </c>
    </row>
    <row r="468">
      <c r="A468" s="238">
        <v>44661.0</v>
      </c>
    </row>
    <row r="469">
      <c r="A469" s="238">
        <v>44662.0</v>
      </c>
    </row>
    <row r="470">
      <c r="A470" s="238">
        <v>44663.0</v>
      </c>
    </row>
    <row r="471">
      <c r="A471" s="238">
        <v>44664.0</v>
      </c>
    </row>
    <row r="472">
      <c r="A472" s="238">
        <v>44665.0</v>
      </c>
    </row>
    <row r="473">
      <c r="A473" s="238">
        <v>44666.0</v>
      </c>
    </row>
    <row r="474">
      <c r="A474" s="238">
        <v>44667.0</v>
      </c>
    </row>
    <row r="475">
      <c r="A475" s="238">
        <v>44668.0</v>
      </c>
    </row>
    <row r="476">
      <c r="A476" s="238">
        <v>44669.0</v>
      </c>
    </row>
    <row r="477">
      <c r="A477" s="238">
        <v>44670.0</v>
      </c>
    </row>
    <row r="478">
      <c r="A478" s="238">
        <v>44671.0</v>
      </c>
    </row>
    <row r="479">
      <c r="A479" s="238">
        <v>44672.0</v>
      </c>
    </row>
    <row r="480">
      <c r="A480" s="238">
        <v>44673.0</v>
      </c>
    </row>
    <row r="481">
      <c r="A481" s="238">
        <v>44674.0</v>
      </c>
    </row>
    <row r="482">
      <c r="A482" s="238">
        <v>44675.0</v>
      </c>
    </row>
    <row r="483">
      <c r="A483" s="238">
        <v>44676.0</v>
      </c>
    </row>
    <row r="484">
      <c r="A484" s="238">
        <v>44677.0</v>
      </c>
    </row>
    <row r="485">
      <c r="A485" s="238">
        <v>44678.0</v>
      </c>
    </row>
    <row r="486">
      <c r="A486" s="238">
        <v>44679.0</v>
      </c>
    </row>
    <row r="487">
      <c r="A487" s="238">
        <v>44680.0</v>
      </c>
    </row>
    <row r="488">
      <c r="A488" s="238">
        <v>44681.0</v>
      </c>
    </row>
    <row r="489">
      <c r="A489" s="238">
        <v>44682.0</v>
      </c>
    </row>
    <row r="490">
      <c r="A490" s="238">
        <v>44683.0</v>
      </c>
    </row>
    <row r="491">
      <c r="A491" s="238">
        <v>44684.0</v>
      </c>
    </row>
    <row r="492">
      <c r="A492" s="238">
        <v>44685.0</v>
      </c>
    </row>
    <row r="493">
      <c r="A493" s="238">
        <v>44686.0</v>
      </c>
    </row>
    <row r="494">
      <c r="A494" s="238">
        <v>44687.0</v>
      </c>
    </row>
    <row r="495">
      <c r="A495" s="238">
        <v>44688.0</v>
      </c>
    </row>
    <row r="496">
      <c r="A496" s="238">
        <v>44689.0</v>
      </c>
    </row>
    <row r="497">
      <c r="A497" s="238">
        <v>44690.0</v>
      </c>
    </row>
    <row r="498">
      <c r="A498" s="238">
        <v>44691.0</v>
      </c>
    </row>
    <row r="499">
      <c r="A499" s="238">
        <v>44692.0</v>
      </c>
    </row>
    <row r="500">
      <c r="A500" s="238">
        <v>44693.0</v>
      </c>
    </row>
    <row r="501">
      <c r="A501" s="238">
        <v>44694.0</v>
      </c>
    </row>
    <row r="502">
      <c r="A502" s="238">
        <v>44695.0</v>
      </c>
    </row>
    <row r="503">
      <c r="A503" s="238">
        <v>44696.0</v>
      </c>
    </row>
    <row r="504">
      <c r="A504" s="238">
        <v>44697.0</v>
      </c>
    </row>
    <row r="505">
      <c r="A505" s="238">
        <v>44698.0</v>
      </c>
    </row>
    <row r="506">
      <c r="A506" s="238">
        <v>44699.0</v>
      </c>
    </row>
    <row r="507">
      <c r="A507" s="238">
        <v>44700.0</v>
      </c>
    </row>
    <row r="508">
      <c r="A508" s="238">
        <v>44701.0</v>
      </c>
    </row>
    <row r="509">
      <c r="A509" s="238">
        <v>44702.0</v>
      </c>
    </row>
    <row r="510">
      <c r="A510" s="238">
        <v>44703.0</v>
      </c>
    </row>
    <row r="511">
      <c r="A511" s="238">
        <v>44704.0</v>
      </c>
    </row>
    <row r="512">
      <c r="A512" s="238">
        <v>44705.0</v>
      </c>
    </row>
    <row r="513">
      <c r="A513" s="238">
        <v>44706.0</v>
      </c>
    </row>
    <row r="514">
      <c r="A514" s="238">
        <v>44707.0</v>
      </c>
    </row>
    <row r="515">
      <c r="A515" s="238">
        <v>44708.0</v>
      </c>
    </row>
    <row r="516">
      <c r="A516" s="238">
        <v>44709.0</v>
      </c>
    </row>
    <row r="517">
      <c r="A517" s="238">
        <v>44710.0</v>
      </c>
    </row>
    <row r="518">
      <c r="A518" s="238">
        <v>44711.0</v>
      </c>
    </row>
    <row r="519">
      <c r="A519" s="238">
        <v>44712.0</v>
      </c>
    </row>
    <row r="520">
      <c r="A520" s="238">
        <v>44713.0</v>
      </c>
    </row>
    <row r="521">
      <c r="A521" s="238">
        <v>44714.0</v>
      </c>
    </row>
    <row r="522">
      <c r="A522" s="238">
        <v>44715.0</v>
      </c>
    </row>
    <row r="523">
      <c r="A523" s="238">
        <v>44716.0</v>
      </c>
    </row>
    <row r="524">
      <c r="A524" s="238">
        <v>44717.0</v>
      </c>
    </row>
    <row r="525">
      <c r="A525" s="238">
        <v>44718.0</v>
      </c>
    </row>
    <row r="526">
      <c r="A526" s="238">
        <v>44719.0</v>
      </c>
    </row>
    <row r="527">
      <c r="A527" s="238">
        <v>44720.0</v>
      </c>
    </row>
    <row r="528">
      <c r="A528" s="238">
        <v>44721.0</v>
      </c>
    </row>
    <row r="529">
      <c r="A529" s="238">
        <v>44722.0</v>
      </c>
    </row>
    <row r="530">
      <c r="A530" s="238">
        <v>44723.0</v>
      </c>
    </row>
    <row r="531">
      <c r="A531" s="238">
        <v>44724.0</v>
      </c>
    </row>
    <row r="532">
      <c r="A532" s="238">
        <v>44725.0</v>
      </c>
    </row>
    <row r="533">
      <c r="A533" s="238">
        <v>44726.0</v>
      </c>
    </row>
    <row r="534">
      <c r="A534" s="238">
        <v>44727.0</v>
      </c>
    </row>
    <row r="535">
      <c r="A535" s="238">
        <v>44728.0</v>
      </c>
    </row>
    <row r="536">
      <c r="A536" s="238">
        <v>44729.0</v>
      </c>
    </row>
    <row r="537">
      <c r="A537" s="238">
        <v>44730.0</v>
      </c>
    </row>
    <row r="538">
      <c r="A538" s="238">
        <v>44731.0</v>
      </c>
    </row>
    <row r="539">
      <c r="A539" s="238">
        <v>44732.0</v>
      </c>
    </row>
    <row r="540">
      <c r="A540" s="238">
        <v>44733.0</v>
      </c>
    </row>
    <row r="541">
      <c r="A541" s="238">
        <v>44734.0</v>
      </c>
    </row>
    <row r="542">
      <c r="A542" s="238">
        <v>44735.0</v>
      </c>
    </row>
    <row r="543">
      <c r="A543" s="238">
        <v>44736.0</v>
      </c>
    </row>
    <row r="544">
      <c r="A544" s="238">
        <v>44737.0</v>
      </c>
    </row>
    <row r="545">
      <c r="A545" s="238">
        <v>44738.0</v>
      </c>
    </row>
    <row r="546">
      <c r="A546" s="238">
        <v>44739.0</v>
      </c>
    </row>
    <row r="547">
      <c r="A547" s="238">
        <v>44740.0</v>
      </c>
    </row>
    <row r="548">
      <c r="A548" s="238">
        <v>44741.0</v>
      </c>
    </row>
    <row r="549">
      <c r="A549" s="238">
        <v>44742.0</v>
      </c>
    </row>
    <row r="550">
      <c r="A550" s="238">
        <v>44743.0</v>
      </c>
    </row>
    <row r="551">
      <c r="A551" s="238">
        <v>44744.0</v>
      </c>
    </row>
    <row r="552">
      <c r="A552" s="238">
        <v>44745.0</v>
      </c>
    </row>
    <row r="553">
      <c r="A553" s="238">
        <v>44746.0</v>
      </c>
    </row>
    <row r="554">
      <c r="A554" s="238">
        <v>44747.0</v>
      </c>
    </row>
    <row r="555">
      <c r="A555" s="238">
        <v>44748.0</v>
      </c>
    </row>
    <row r="556">
      <c r="A556" s="238">
        <v>44749.0</v>
      </c>
    </row>
    <row r="557">
      <c r="A557" s="238">
        <v>44750.0</v>
      </c>
    </row>
    <row r="558">
      <c r="A558" s="238">
        <v>44751.0</v>
      </c>
    </row>
    <row r="559">
      <c r="A559" s="238">
        <v>44752.0</v>
      </c>
    </row>
    <row r="560">
      <c r="A560" s="238">
        <v>44753.0</v>
      </c>
    </row>
    <row r="561">
      <c r="A561" s="238">
        <v>44754.0</v>
      </c>
    </row>
    <row r="562">
      <c r="A562" s="238">
        <v>44755.0</v>
      </c>
    </row>
    <row r="563">
      <c r="A563" s="238">
        <v>44756.0</v>
      </c>
    </row>
    <row r="564">
      <c r="A564" s="238">
        <v>44757.0</v>
      </c>
    </row>
    <row r="565">
      <c r="A565" s="238">
        <v>44758.0</v>
      </c>
    </row>
    <row r="566">
      <c r="A566" s="238">
        <v>44759.0</v>
      </c>
    </row>
    <row r="567">
      <c r="A567" s="238">
        <v>44760.0</v>
      </c>
    </row>
    <row r="568">
      <c r="A568" s="238">
        <v>44761.0</v>
      </c>
    </row>
    <row r="569">
      <c r="A569" s="238">
        <v>44762.0</v>
      </c>
    </row>
    <row r="570">
      <c r="A570" s="238">
        <v>44763.0</v>
      </c>
    </row>
    <row r="571">
      <c r="A571" s="238">
        <v>44764.0</v>
      </c>
    </row>
    <row r="572">
      <c r="A572" s="238">
        <v>44765.0</v>
      </c>
    </row>
    <row r="573">
      <c r="A573" s="238">
        <v>44766.0</v>
      </c>
    </row>
    <row r="574">
      <c r="A574" s="238">
        <v>44767.0</v>
      </c>
    </row>
    <row r="575">
      <c r="A575" s="238">
        <v>44768.0</v>
      </c>
    </row>
    <row r="576">
      <c r="A576" s="238">
        <v>44769.0</v>
      </c>
    </row>
    <row r="577">
      <c r="A577" s="238">
        <v>44770.0</v>
      </c>
    </row>
    <row r="578">
      <c r="A578" s="238">
        <v>44771.0</v>
      </c>
    </row>
    <row r="579">
      <c r="A579" s="238">
        <v>44772.0</v>
      </c>
    </row>
    <row r="580">
      <c r="A580" s="238">
        <v>44773.0</v>
      </c>
    </row>
    <row r="581">
      <c r="A581" s="238">
        <v>44774.0</v>
      </c>
    </row>
    <row r="582">
      <c r="A582" s="238">
        <v>44775.0</v>
      </c>
    </row>
    <row r="583">
      <c r="A583" s="238">
        <v>44776.0</v>
      </c>
    </row>
    <row r="584">
      <c r="A584" s="238">
        <v>44777.0</v>
      </c>
    </row>
    <row r="585">
      <c r="A585" s="238">
        <v>44778.0</v>
      </c>
    </row>
    <row r="586">
      <c r="A586" s="238">
        <v>44779.0</v>
      </c>
    </row>
    <row r="587">
      <c r="A587" s="238">
        <v>44780.0</v>
      </c>
    </row>
    <row r="588">
      <c r="A588" s="238">
        <v>44781.0</v>
      </c>
    </row>
    <row r="589">
      <c r="A589" s="238">
        <v>44782.0</v>
      </c>
    </row>
    <row r="590">
      <c r="A590" s="238">
        <v>44783.0</v>
      </c>
    </row>
    <row r="591">
      <c r="A591" s="238">
        <v>44784.0</v>
      </c>
    </row>
    <row r="592">
      <c r="A592" s="238">
        <v>44785.0</v>
      </c>
    </row>
    <row r="593">
      <c r="A593" s="238">
        <v>44786.0</v>
      </c>
    </row>
    <row r="594">
      <c r="A594" s="238">
        <v>44787.0</v>
      </c>
    </row>
    <row r="595">
      <c r="A595" s="238">
        <v>44788.0</v>
      </c>
    </row>
    <row r="596">
      <c r="A596" s="238">
        <v>44789.0</v>
      </c>
    </row>
    <row r="597">
      <c r="A597" s="238">
        <v>44790.0</v>
      </c>
    </row>
    <row r="598">
      <c r="A598" s="238">
        <v>44791.0</v>
      </c>
    </row>
    <row r="599">
      <c r="A599" s="238">
        <v>44792.0</v>
      </c>
    </row>
    <row r="600">
      <c r="A600" s="238">
        <v>44793.0</v>
      </c>
    </row>
    <row r="601">
      <c r="A601" s="238">
        <v>44794.0</v>
      </c>
    </row>
    <row r="602">
      <c r="A602" s="238">
        <v>44795.0</v>
      </c>
    </row>
    <row r="603">
      <c r="A603" s="238">
        <v>44796.0</v>
      </c>
    </row>
    <row r="604">
      <c r="A604" s="238">
        <v>44797.0</v>
      </c>
    </row>
    <row r="605">
      <c r="A605" s="238">
        <v>44798.0</v>
      </c>
    </row>
    <row r="606">
      <c r="A606" s="238">
        <v>44799.0</v>
      </c>
    </row>
    <row r="607">
      <c r="A607" s="238">
        <v>44800.0</v>
      </c>
    </row>
    <row r="608">
      <c r="A608" s="238">
        <v>44801.0</v>
      </c>
    </row>
    <row r="609">
      <c r="A609" s="238">
        <v>44802.0</v>
      </c>
    </row>
    <row r="610">
      <c r="A610" s="238">
        <v>44803.0</v>
      </c>
    </row>
    <row r="611">
      <c r="A611" s="238">
        <v>44804.0</v>
      </c>
    </row>
    <row r="612">
      <c r="A612" s="238">
        <v>44805.0</v>
      </c>
    </row>
    <row r="613">
      <c r="A613" s="238">
        <v>44806.0</v>
      </c>
    </row>
    <row r="614">
      <c r="A614" s="238">
        <v>44807.0</v>
      </c>
    </row>
    <row r="615">
      <c r="A615" s="238">
        <v>44808.0</v>
      </c>
    </row>
    <row r="616">
      <c r="A616" s="238">
        <v>44809.0</v>
      </c>
    </row>
    <row r="617">
      <c r="A617" s="238">
        <v>44810.0</v>
      </c>
    </row>
    <row r="618">
      <c r="A618" s="238">
        <v>44811.0</v>
      </c>
    </row>
    <row r="619">
      <c r="A619" s="238">
        <v>44812.0</v>
      </c>
    </row>
    <row r="620">
      <c r="A620" s="238">
        <v>44813.0</v>
      </c>
    </row>
    <row r="621">
      <c r="A621" s="238">
        <v>44814.0</v>
      </c>
    </row>
    <row r="622">
      <c r="A622" s="238">
        <v>44815.0</v>
      </c>
    </row>
    <row r="623">
      <c r="A623" s="238">
        <v>44816.0</v>
      </c>
    </row>
    <row r="624">
      <c r="A624" s="238">
        <v>44817.0</v>
      </c>
    </row>
    <row r="625">
      <c r="A625" s="238">
        <v>44818.0</v>
      </c>
    </row>
    <row r="626">
      <c r="A626" s="238">
        <v>44819.0</v>
      </c>
    </row>
    <row r="627">
      <c r="A627" s="238">
        <v>44820.0</v>
      </c>
    </row>
    <row r="628">
      <c r="A628" s="238">
        <v>44821.0</v>
      </c>
    </row>
    <row r="629">
      <c r="A629" s="238">
        <v>44822.0</v>
      </c>
    </row>
    <row r="630">
      <c r="A630" s="238">
        <v>44823.0</v>
      </c>
    </row>
    <row r="631">
      <c r="A631" s="238">
        <v>44824.0</v>
      </c>
    </row>
    <row r="632">
      <c r="A632" s="238">
        <v>44825.0</v>
      </c>
    </row>
    <row r="633">
      <c r="A633" s="238">
        <v>44826.0</v>
      </c>
    </row>
    <row r="634">
      <c r="A634" s="238">
        <v>44827.0</v>
      </c>
    </row>
    <row r="635">
      <c r="A635" s="238">
        <v>44828.0</v>
      </c>
    </row>
    <row r="636">
      <c r="A636" s="238">
        <v>44829.0</v>
      </c>
    </row>
    <row r="637">
      <c r="A637" s="238">
        <v>44830.0</v>
      </c>
    </row>
    <row r="638">
      <c r="A638" s="238">
        <v>44831.0</v>
      </c>
    </row>
    <row r="639">
      <c r="A639" s="238">
        <v>44832.0</v>
      </c>
    </row>
    <row r="640">
      <c r="A640" s="238">
        <v>44833.0</v>
      </c>
    </row>
    <row r="641">
      <c r="A641" s="238">
        <v>44834.0</v>
      </c>
    </row>
    <row r="642">
      <c r="A642" s="238">
        <v>44835.0</v>
      </c>
    </row>
    <row r="643">
      <c r="A643" s="238">
        <v>44836.0</v>
      </c>
    </row>
    <row r="644">
      <c r="A644" s="238">
        <v>44837.0</v>
      </c>
    </row>
    <row r="645">
      <c r="A645" s="238">
        <v>44838.0</v>
      </c>
    </row>
    <row r="646">
      <c r="A646" s="238">
        <v>44839.0</v>
      </c>
    </row>
    <row r="647">
      <c r="A647" s="238">
        <v>44840.0</v>
      </c>
    </row>
    <row r="648">
      <c r="A648" s="238">
        <v>44841.0</v>
      </c>
    </row>
    <row r="649">
      <c r="A649" s="238">
        <v>44842.0</v>
      </c>
    </row>
    <row r="650">
      <c r="A650" s="238">
        <v>44843.0</v>
      </c>
    </row>
    <row r="651">
      <c r="A651" s="238">
        <v>44844.0</v>
      </c>
    </row>
    <row r="652">
      <c r="A652" s="238">
        <v>44845.0</v>
      </c>
    </row>
    <row r="653">
      <c r="A653" s="238">
        <v>44846.0</v>
      </c>
    </row>
    <row r="654">
      <c r="A654" s="238">
        <v>44847.0</v>
      </c>
    </row>
    <row r="655">
      <c r="A655" s="238">
        <v>44848.0</v>
      </c>
    </row>
    <row r="656">
      <c r="A656" s="238">
        <v>44849.0</v>
      </c>
    </row>
    <row r="657">
      <c r="A657" s="238">
        <v>44850.0</v>
      </c>
    </row>
    <row r="658">
      <c r="A658" s="238">
        <v>44851.0</v>
      </c>
    </row>
    <row r="659">
      <c r="A659" s="238">
        <v>44852.0</v>
      </c>
    </row>
    <row r="660">
      <c r="A660" s="238">
        <v>44853.0</v>
      </c>
    </row>
    <row r="661">
      <c r="A661" s="238">
        <v>44854.0</v>
      </c>
    </row>
    <row r="662">
      <c r="A662" s="238">
        <v>44855.0</v>
      </c>
    </row>
    <row r="663">
      <c r="A663" s="238">
        <v>44856.0</v>
      </c>
    </row>
    <row r="664">
      <c r="A664" s="238">
        <v>44857.0</v>
      </c>
    </row>
    <row r="665">
      <c r="A665" s="238">
        <v>44858.0</v>
      </c>
    </row>
    <row r="666">
      <c r="A666" s="238">
        <v>44859.0</v>
      </c>
    </row>
    <row r="667">
      <c r="A667" s="238">
        <v>44860.0</v>
      </c>
    </row>
    <row r="668">
      <c r="A668" s="238">
        <v>44861.0</v>
      </c>
    </row>
    <row r="669">
      <c r="A669" s="238">
        <v>44862.0</v>
      </c>
    </row>
    <row r="670">
      <c r="A670" s="238">
        <v>44863.0</v>
      </c>
    </row>
    <row r="671">
      <c r="A671" s="238">
        <v>44864.0</v>
      </c>
    </row>
    <row r="672">
      <c r="A672" s="238">
        <v>44865.0</v>
      </c>
    </row>
    <row r="673">
      <c r="A673" s="238">
        <v>44866.0</v>
      </c>
    </row>
    <row r="674">
      <c r="A674" s="238">
        <v>44867.0</v>
      </c>
    </row>
    <row r="675">
      <c r="A675" s="238">
        <v>44868.0</v>
      </c>
    </row>
    <row r="676">
      <c r="A676" s="238">
        <v>44869.0</v>
      </c>
    </row>
    <row r="677">
      <c r="A677" s="238">
        <v>44870.0</v>
      </c>
    </row>
    <row r="678">
      <c r="A678" s="238">
        <v>44871.0</v>
      </c>
    </row>
    <row r="679">
      <c r="A679" s="238">
        <v>44872.0</v>
      </c>
    </row>
    <row r="680">
      <c r="A680" s="238">
        <v>44873.0</v>
      </c>
    </row>
    <row r="681">
      <c r="A681" s="238">
        <v>44874.0</v>
      </c>
    </row>
    <row r="682">
      <c r="A682" s="238">
        <v>44875.0</v>
      </c>
    </row>
    <row r="683">
      <c r="A683" s="238">
        <v>44876.0</v>
      </c>
    </row>
    <row r="684">
      <c r="A684" s="238">
        <v>44877.0</v>
      </c>
    </row>
    <row r="685">
      <c r="A685" s="238">
        <v>44878.0</v>
      </c>
    </row>
    <row r="686">
      <c r="A686" s="238">
        <v>44879.0</v>
      </c>
    </row>
    <row r="687">
      <c r="A687" s="238">
        <v>44880.0</v>
      </c>
    </row>
    <row r="688">
      <c r="A688" s="238">
        <v>44881.0</v>
      </c>
    </row>
    <row r="689">
      <c r="A689" s="238">
        <v>44882.0</v>
      </c>
    </row>
    <row r="690">
      <c r="A690" s="238">
        <v>44883.0</v>
      </c>
    </row>
    <row r="691">
      <c r="A691" s="238">
        <v>44884.0</v>
      </c>
    </row>
    <row r="692">
      <c r="A692" s="238">
        <v>44885.0</v>
      </c>
    </row>
    <row r="693">
      <c r="A693" s="238">
        <v>44886.0</v>
      </c>
    </row>
    <row r="694">
      <c r="A694" s="238">
        <v>44887.0</v>
      </c>
    </row>
    <row r="695">
      <c r="A695" s="238">
        <v>44888.0</v>
      </c>
    </row>
    <row r="696">
      <c r="A696" s="238">
        <v>44889.0</v>
      </c>
    </row>
    <row r="697">
      <c r="A697" s="238">
        <v>44890.0</v>
      </c>
    </row>
    <row r="698">
      <c r="A698" s="238">
        <v>44891.0</v>
      </c>
    </row>
    <row r="699">
      <c r="A699" s="238">
        <v>44892.0</v>
      </c>
    </row>
    <row r="700">
      <c r="A700" s="238">
        <v>44893.0</v>
      </c>
    </row>
    <row r="701">
      <c r="A701" s="238">
        <v>44894.0</v>
      </c>
    </row>
    <row r="702">
      <c r="A702" s="238">
        <v>44895.0</v>
      </c>
    </row>
    <row r="703">
      <c r="A703" s="238">
        <v>44896.0</v>
      </c>
    </row>
    <row r="704">
      <c r="A704" s="238">
        <v>44897.0</v>
      </c>
    </row>
    <row r="705">
      <c r="A705" s="238">
        <v>44898.0</v>
      </c>
    </row>
    <row r="706">
      <c r="A706" s="238">
        <v>44899.0</v>
      </c>
    </row>
    <row r="707">
      <c r="A707" s="238">
        <v>44900.0</v>
      </c>
    </row>
    <row r="708">
      <c r="A708" s="238">
        <v>44901.0</v>
      </c>
    </row>
    <row r="709">
      <c r="A709" s="238">
        <v>44902.0</v>
      </c>
    </row>
    <row r="710">
      <c r="A710" s="238">
        <v>44903.0</v>
      </c>
    </row>
    <row r="711">
      <c r="A711" s="238">
        <v>44904.0</v>
      </c>
    </row>
    <row r="712">
      <c r="A712" s="238">
        <v>44905.0</v>
      </c>
    </row>
    <row r="713">
      <c r="A713" s="238">
        <v>44906.0</v>
      </c>
    </row>
    <row r="714">
      <c r="A714" s="238">
        <v>44907.0</v>
      </c>
    </row>
    <row r="715">
      <c r="A715" s="238">
        <v>44908.0</v>
      </c>
    </row>
    <row r="716">
      <c r="A716" s="238">
        <v>44909.0</v>
      </c>
    </row>
    <row r="717">
      <c r="A717" s="238">
        <v>44910.0</v>
      </c>
    </row>
    <row r="718">
      <c r="A718" s="238">
        <v>44911.0</v>
      </c>
    </row>
    <row r="719">
      <c r="A719" s="238">
        <v>44912.0</v>
      </c>
    </row>
    <row r="720">
      <c r="A720" s="238">
        <v>44913.0</v>
      </c>
    </row>
    <row r="721">
      <c r="A721" s="238">
        <v>44914.0</v>
      </c>
    </row>
    <row r="722">
      <c r="A722" s="238">
        <v>44915.0</v>
      </c>
    </row>
    <row r="723">
      <c r="A723" s="238">
        <v>44916.0</v>
      </c>
    </row>
    <row r="724">
      <c r="A724" s="238">
        <v>44917.0</v>
      </c>
    </row>
    <row r="725">
      <c r="A725" s="238">
        <v>44918.0</v>
      </c>
    </row>
    <row r="726">
      <c r="A726" s="238">
        <v>44919.0</v>
      </c>
    </row>
    <row r="727">
      <c r="A727" s="238">
        <v>44920.0</v>
      </c>
    </row>
    <row r="728">
      <c r="A728" s="238">
        <v>44921.0</v>
      </c>
    </row>
    <row r="729">
      <c r="A729" s="238">
        <v>44922.0</v>
      </c>
    </row>
    <row r="730">
      <c r="A730" s="238">
        <v>44923.0</v>
      </c>
    </row>
    <row r="731">
      <c r="A731" s="238">
        <v>44924.0</v>
      </c>
    </row>
    <row r="732">
      <c r="A732" s="238">
        <v>44925.0</v>
      </c>
    </row>
    <row r="733">
      <c r="A733" s="238">
        <v>44926.0</v>
      </c>
    </row>
    <row r="734">
      <c r="A734" s="238">
        <v>44927.0</v>
      </c>
    </row>
    <row r="735">
      <c r="A735" s="238">
        <v>44928.0</v>
      </c>
    </row>
    <row r="736">
      <c r="A736" s="238">
        <v>44929.0</v>
      </c>
    </row>
    <row r="737">
      <c r="A737" s="238">
        <v>44930.0</v>
      </c>
    </row>
    <row r="738">
      <c r="A738" s="238">
        <v>44931.0</v>
      </c>
    </row>
    <row r="739">
      <c r="A739" s="238">
        <v>44932.0</v>
      </c>
    </row>
    <row r="740">
      <c r="A740" s="238">
        <v>44933.0</v>
      </c>
    </row>
    <row r="741">
      <c r="A741" s="238">
        <v>44934.0</v>
      </c>
    </row>
    <row r="742">
      <c r="A742" s="238">
        <v>44935.0</v>
      </c>
    </row>
    <row r="743">
      <c r="A743" s="238">
        <v>44936.0</v>
      </c>
    </row>
    <row r="744">
      <c r="A744" s="238">
        <v>44937.0</v>
      </c>
    </row>
    <row r="745">
      <c r="A745" s="238">
        <v>44938.0</v>
      </c>
    </row>
    <row r="746">
      <c r="A746" s="238">
        <v>44939.0</v>
      </c>
    </row>
    <row r="747">
      <c r="A747" s="238">
        <v>44940.0</v>
      </c>
    </row>
    <row r="748">
      <c r="A748" s="238">
        <v>44941.0</v>
      </c>
    </row>
    <row r="749">
      <c r="A749" s="238">
        <v>44942.0</v>
      </c>
    </row>
    <row r="750">
      <c r="A750" s="238">
        <v>44943.0</v>
      </c>
    </row>
    <row r="751">
      <c r="A751" s="238">
        <v>44944.0</v>
      </c>
    </row>
    <row r="752">
      <c r="A752" s="238">
        <v>44945.0</v>
      </c>
    </row>
    <row r="753">
      <c r="A753" s="238">
        <v>44946.0</v>
      </c>
    </row>
    <row r="754">
      <c r="A754" s="238">
        <v>44947.0</v>
      </c>
    </row>
    <row r="755">
      <c r="A755" s="238">
        <v>44948.0</v>
      </c>
    </row>
    <row r="756">
      <c r="A756" s="238">
        <v>44949.0</v>
      </c>
    </row>
    <row r="757">
      <c r="A757" s="238">
        <v>44950.0</v>
      </c>
    </row>
    <row r="758">
      <c r="A758" s="238">
        <v>44951.0</v>
      </c>
    </row>
    <row r="759">
      <c r="A759" s="238">
        <v>44952.0</v>
      </c>
    </row>
    <row r="760">
      <c r="A760" s="238">
        <v>44953.0</v>
      </c>
    </row>
    <row r="761">
      <c r="A761" s="238">
        <v>44954.0</v>
      </c>
    </row>
    <row r="762">
      <c r="A762" s="238">
        <v>44955.0</v>
      </c>
    </row>
    <row r="763">
      <c r="A763" s="238">
        <v>44956.0</v>
      </c>
    </row>
    <row r="764">
      <c r="A764" s="238">
        <v>44957.0</v>
      </c>
    </row>
    <row r="765">
      <c r="A765" s="238">
        <v>44958.0</v>
      </c>
    </row>
    <row r="766">
      <c r="A766" s="238">
        <v>44959.0</v>
      </c>
    </row>
    <row r="767">
      <c r="A767" s="238">
        <v>44960.0</v>
      </c>
    </row>
    <row r="768">
      <c r="A768" s="238">
        <v>44961.0</v>
      </c>
    </row>
    <row r="769">
      <c r="A769" s="238">
        <v>44962.0</v>
      </c>
    </row>
    <row r="770">
      <c r="A770" s="238">
        <v>44963.0</v>
      </c>
    </row>
    <row r="771">
      <c r="A771" s="238">
        <v>44964.0</v>
      </c>
    </row>
    <row r="772">
      <c r="A772" s="238">
        <v>44965.0</v>
      </c>
    </row>
    <row r="773">
      <c r="A773" s="238">
        <v>44966.0</v>
      </c>
    </row>
    <row r="774">
      <c r="A774" s="238">
        <v>44967.0</v>
      </c>
    </row>
    <row r="775">
      <c r="A775" s="238">
        <v>44968.0</v>
      </c>
    </row>
    <row r="776">
      <c r="A776" s="238">
        <v>44969.0</v>
      </c>
    </row>
    <row r="777">
      <c r="A777" s="238">
        <v>44970.0</v>
      </c>
    </row>
    <row r="778">
      <c r="A778" s="238">
        <v>44971.0</v>
      </c>
    </row>
    <row r="779">
      <c r="A779" s="238">
        <v>44972.0</v>
      </c>
    </row>
    <row r="780">
      <c r="A780" s="238">
        <v>44973.0</v>
      </c>
    </row>
    <row r="781">
      <c r="A781" s="238">
        <v>44974.0</v>
      </c>
    </row>
    <row r="782">
      <c r="A782" s="238">
        <v>44975.0</v>
      </c>
    </row>
    <row r="783">
      <c r="A783" s="238">
        <v>44976.0</v>
      </c>
    </row>
    <row r="784">
      <c r="A784" s="238">
        <v>44977.0</v>
      </c>
    </row>
    <row r="785">
      <c r="A785" s="238">
        <v>44978.0</v>
      </c>
    </row>
    <row r="786">
      <c r="A786" s="238">
        <v>44979.0</v>
      </c>
    </row>
    <row r="787">
      <c r="A787" s="238">
        <v>44980.0</v>
      </c>
    </row>
    <row r="788">
      <c r="A788" s="238">
        <v>44981.0</v>
      </c>
    </row>
    <row r="789">
      <c r="A789" s="238">
        <v>44982.0</v>
      </c>
    </row>
    <row r="790">
      <c r="A790" s="238">
        <v>44983.0</v>
      </c>
    </row>
    <row r="791">
      <c r="A791" s="238">
        <v>44984.0</v>
      </c>
    </row>
    <row r="792">
      <c r="A792" s="238">
        <v>44985.0</v>
      </c>
    </row>
    <row r="793">
      <c r="A793" s="238">
        <v>44986.0</v>
      </c>
    </row>
    <row r="794">
      <c r="A794" s="238">
        <v>44987.0</v>
      </c>
    </row>
    <row r="795">
      <c r="A795" s="238">
        <v>44988.0</v>
      </c>
    </row>
    <row r="796">
      <c r="A796" s="238">
        <v>44989.0</v>
      </c>
    </row>
    <row r="797">
      <c r="A797" s="238">
        <v>44990.0</v>
      </c>
    </row>
    <row r="798">
      <c r="A798" s="238">
        <v>44991.0</v>
      </c>
    </row>
    <row r="799">
      <c r="A799" s="238">
        <v>44992.0</v>
      </c>
    </row>
    <row r="800">
      <c r="A800" s="238">
        <v>44993.0</v>
      </c>
    </row>
    <row r="801">
      <c r="A801" s="238">
        <v>44994.0</v>
      </c>
    </row>
    <row r="802">
      <c r="A802" s="238">
        <v>44995.0</v>
      </c>
    </row>
    <row r="803">
      <c r="A803" s="238">
        <v>44996.0</v>
      </c>
    </row>
    <row r="804">
      <c r="A804" s="238">
        <v>44997.0</v>
      </c>
    </row>
    <row r="805">
      <c r="A805" s="238">
        <v>44998.0</v>
      </c>
    </row>
    <row r="806">
      <c r="A806" s="238">
        <v>44999.0</v>
      </c>
    </row>
    <row r="807">
      <c r="A807" s="238">
        <v>45000.0</v>
      </c>
    </row>
    <row r="808">
      <c r="A808" s="238">
        <v>45001.0</v>
      </c>
    </row>
    <row r="809">
      <c r="A809" s="238">
        <v>45002.0</v>
      </c>
    </row>
    <row r="810">
      <c r="A810" s="238">
        <v>45003.0</v>
      </c>
    </row>
    <row r="811">
      <c r="A811" s="238">
        <v>45004.0</v>
      </c>
    </row>
    <row r="812">
      <c r="A812" s="238">
        <v>45005.0</v>
      </c>
    </row>
    <row r="813">
      <c r="A813" s="238">
        <v>45006.0</v>
      </c>
    </row>
    <row r="814">
      <c r="A814" s="238">
        <v>45007.0</v>
      </c>
    </row>
    <row r="815">
      <c r="A815" s="238">
        <v>45008.0</v>
      </c>
    </row>
    <row r="816">
      <c r="A816" s="238">
        <v>45009.0</v>
      </c>
    </row>
    <row r="817">
      <c r="A817" s="238">
        <v>45010.0</v>
      </c>
    </row>
    <row r="818">
      <c r="A818" s="238">
        <v>45011.0</v>
      </c>
    </row>
    <row r="819">
      <c r="A819" s="238">
        <v>45012.0</v>
      </c>
    </row>
    <row r="820">
      <c r="A820" s="238">
        <v>45013.0</v>
      </c>
    </row>
    <row r="821">
      <c r="A821" s="199"/>
    </row>
    <row r="822">
      <c r="A822" s="199"/>
    </row>
    <row r="823">
      <c r="A823" s="199"/>
    </row>
    <row r="824">
      <c r="A824" s="199"/>
    </row>
    <row r="825">
      <c r="A825" s="199"/>
    </row>
    <row r="826">
      <c r="A826" s="199"/>
    </row>
    <row r="827">
      <c r="A827" s="199"/>
    </row>
    <row r="828">
      <c r="A828" s="199"/>
    </row>
    <row r="829">
      <c r="A829" s="199"/>
    </row>
    <row r="830">
      <c r="A830" s="199"/>
    </row>
    <row r="831">
      <c r="A831" s="199"/>
    </row>
    <row r="832">
      <c r="A832" s="199"/>
    </row>
    <row r="833">
      <c r="A833" s="199"/>
    </row>
    <row r="834">
      <c r="A834" s="199"/>
    </row>
    <row r="835">
      <c r="A835" s="199"/>
    </row>
    <row r="836">
      <c r="A836" s="199"/>
    </row>
    <row r="837">
      <c r="A837" s="199"/>
    </row>
    <row r="838">
      <c r="A838" s="199"/>
    </row>
    <row r="839">
      <c r="A839" s="199"/>
    </row>
    <row r="840">
      <c r="A840" s="199"/>
    </row>
    <row r="841">
      <c r="A841" s="199"/>
    </row>
    <row r="842">
      <c r="A842" s="199"/>
    </row>
    <row r="843">
      <c r="A843" s="199"/>
    </row>
    <row r="844">
      <c r="A844" s="199"/>
    </row>
    <row r="845">
      <c r="A845" s="199"/>
    </row>
    <row r="846">
      <c r="A846" s="199"/>
    </row>
    <row r="847">
      <c r="A847" s="199"/>
    </row>
    <row r="848">
      <c r="A848" s="199"/>
    </row>
    <row r="849">
      <c r="A849" s="199"/>
    </row>
    <row r="850">
      <c r="A850" s="199"/>
    </row>
    <row r="851">
      <c r="A851" s="199"/>
    </row>
    <row r="852">
      <c r="A852" s="199"/>
    </row>
    <row r="853">
      <c r="A853" s="199"/>
    </row>
    <row r="854">
      <c r="A854" s="199"/>
    </row>
    <row r="855">
      <c r="A855" s="199"/>
    </row>
    <row r="856">
      <c r="A856" s="199"/>
    </row>
    <row r="857">
      <c r="A857" s="199"/>
    </row>
    <row r="858">
      <c r="A858" s="199"/>
    </row>
    <row r="859">
      <c r="A859" s="199"/>
    </row>
    <row r="860">
      <c r="A860" s="199"/>
    </row>
    <row r="861">
      <c r="A861" s="199"/>
    </row>
    <row r="862">
      <c r="A862" s="199"/>
    </row>
    <row r="863">
      <c r="A863" s="199"/>
    </row>
    <row r="864">
      <c r="A864" s="199"/>
    </row>
    <row r="865">
      <c r="A865" s="199"/>
    </row>
    <row r="866">
      <c r="A866" s="199"/>
    </row>
    <row r="867">
      <c r="A867" s="199"/>
    </row>
    <row r="868">
      <c r="A868" s="199"/>
    </row>
    <row r="869">
      <c r="A869" s="199"/>
    </row>
    <row r="870">
      <c r="A870" s="199"/>
    </row>
    <row r="871">
      <c r="A871" s="199"/>
    </row>
    <row r="872">
      <c r="A872" s="199"/>
    </row>
    <row r="873">
      <c r="A873" s="199"/>
    </row>
    <row r="874">
      <c r="A874" s="199"/>
    </row>
    <row r="875">
      <c r="A875" s="199"/>
    </row>
    <row r="876">
      <c r="A876" s="199"/>
    </row>
    <row r="877">
      <c r="A877" s="199"/>
    </row>
    <row r="878">
      <c r="A878" s="199"/>
    </row>
    <row r="879">
      <c r="A879" s="199"/>
    </row>
    <row r="880">
      <c r="A880" s="199"/>
    </row>
    <row r="881">
      <c r="A881" s="199"/>
    </row>
    <row r="882">
      <c r="A882" s="199"/>
    </row>
    <row r="883">
      <c r="A883" s="199"/>
    </row>
    <row r="884">
      <c r="A884" s="199"/>
    </row>
    <row r="885">
      <c r="A885" s="199"/>
    </row>
    <row r="886">
      <c r="A886" s="199"/>
    </row>
    <row r="887">
      <c r="A887" s="199"/>
    </row>
    <row r="888">
      <c r="A888" s="199"/>
    </row>
    <row r="889">
      <c r="A889" s="199"/>
    </row>
    <row r="890">
      <c r="A890" s="199"/>
    </row>
    <row r="891">
      <c r="A891" s="199"/>
    </row>
    <row r="892">
      <c r="A892" s="199"/>
    </row>
    <row r="893">
      <c r="A893" s="199"/>
    </row>
    <row r="894">
      <c r="A894" s="199"/>
    </row>
    <row r="895">
      <c r="A895" s="199"/>
    </row>
    <row r="896">
      <c r="A896" s="199"/>
    </row>
    <row r="897">
      <c r="A897" s="199"/>
    </row>
    <row r="898">
      <c r="A898" s="199"/>
    </row>
    <row r="899">
      <c r="A899" s="199"/>
    </row>
    <row r="900">
      <c r="A900" s="199"/>
    </row>
    <row r="901">
      <c r="A901" s="199"/>
    </row>
    <row r="902">
      <c r="A902" s="199"/>
    </row>
    <row r="903">
      <c r="A903" s="199"/>
    </row>
    <row r="904">
      <c r="A904" s="199"/>
    </row>
    <row r="905">
      <c r="A905" s="199"/>
    </row>
    <row r="906">
      <c r="A906" s="199"/>
    </row>
    <row r="907">
      <c r="A907" s="199"/>
    </row>
    <row r="908">
      <c r="A908" s="199"/>
    </row>
    <row r="909">
      <c r="A909" s="199"/>
    </row>
    <row r="910">
      <c r="A910" s="199"/>
    </row>
    <row r="911">
      <c r="A911" s="199"/>
    </row>
    <row r="912">
      <c r="A912" s="199"/>
    </row>
    <row r="913">
      <c r="A913" s="199"/>
    </row>
    <row r="914">
      <c r="A914" s="199"/>
    </row>
    <row r="915">
      <c r="A915" s="199"/>
    </row>
    <row r="916">
      <c r="A916" s="199"/>
    </row>
    <row r="917">
      <c r="A917" s="199"/>
    </row>
    <row r="918">
      <c r="A918" s="199"/>
    </row>
    <row r="919">
      <c r="A919" s="199"/>
    </row>
    <row r="920">
      <c r="A920" s="199"/>
    </row>
    <row r="921">
      <c r="A921" s="199"/>
    </row>
    <row r="922">
      <c r="A922" s="199"/>
    </row>
    <row r="923">
      <c r="A923" s="199"/>
    </row>
    <row r="924">
      <c r="A924" s="199"/>
    </row>
    <row r="925">
      <c r="A925" s="199"/>
    </row>
    <row r="926">
      <c r="A926" s="199"/>
    </row>
    <row r="927">
      <c r="A927" s="199"/>
    </row>
    <row r="928">
      <c r="A928" s="199"/>
    </row>
    <row r="929">
      <c r="A929" s="199"/>
    </row>
    <row r="930">
      <c r="A930" s="199"/>
    </row>
    <row r="931">
      <c r="A931" s="199"/>
    </row>
    <row r="932">
      <c r="A932" s="199"/>
    </row>
    <row r="933">
      <c r="A933" s="199"/>
    </row>
    <row r="934">
      <c r="A934" s="199"/>
    </row>
    <row r="935">
      <c r="A935" s="199"/>
    </row>
    <row r="936">
      <c r="A936" s="199"/>
    </row>
    <row r="937">
      <c r="A937" s="199"/>
    </row>
    <row r="938">
      <c r="A938" s="199"/>
    </row>
    <row r="939">
      <c r="A939" s="199"/>
    </row>
    <row r="940">
      <c r="A940" s="199"/>
    </row>
    <row r="941">
      <c r="A941" s="199"/>
    </row>
    <row r="942">
      <c r="A942" s="199"/>
    </row>
    <row r="943">
      <c r="A943" s="199"/>
    </row>
    <row r="944">
      <c r="A944" s="199"/>
    </row>
    <row r="945">
      <c r="A945" s="199"/>
    </row>
    <row r="946">
      <c r="A946" s="199"/>
    </row>
    <row r="947">
      <c r="A947" s="199"/>
    </row>
    <row r="948">
      <c r="A948" s="199"/>
    </row>
    <row r="949">
      <c r="A949" s="199"/>
    </row>
    <row r="950">
      <c r="A950" s="199"/>
    </row>
    <row r="951">
      <c r="A951" s="199"/>
    </row>
    <row r="952">
      <c r="A952" s="199"/>
    </row>
    <row r="953">
      <c r="A953" s="199"/>
    </row>
    <row r="954">
      <c r="A954" s="199"/>
    </row>
    <row r="955">
      <c r="A955" s="199"/>
    </row>
    <row r="956">
      <c r="A956" s="199"/>
    </row>
    <row r="957">
      <c r="A957" s="199"/>
    </row>
    <row r="958">
      <c r="A958" s="199"/>
    </row>
    <row r="959">
      <c r="A959" s="199"/>
    </row>
    <row r="960">
      <c r="A960" s="199"/>
    </row>
    <row r="961">
      <c r="A961" s="199"/>
    </row>
    <row r="962">
      <c r="A962" s="199"/>
    </row>
    <row r="963">
      <c r="A963" s="199"/>
    </row>
    <row r="964">
      <c r="A964" s="199"/>
    </row>
    <row r="965">
      <c r="A965" s="199"/>
    </row>
    <row r="966">
      <c r="A966" s="199"/>
    </row>
    <row r="967">
      <c r="A967" s="199"/>
    </row>
    <row r="968">
      <c r="A968" s="199"/>
    </row>
    <row r="969">
      <c r="A969" s="199"/>
    </row>
    <row r="970">
      <c r="A970" s="199"/>
    </row>
    <row r="971">
      <c r="A971" s="199"/>
    </row>
    <row r="972">
      <c r="A972" s="199"/>
    </row>
    <row r="973">
      <c r="A973" s="199"/>
    </row>
    <row r="974">
      <c r="A974" s="199"/>
    </row>
    <row r="975">
      <c r="A975" s="199"/>
    </row>
    <row r="976">
      <c r="A976" s="199"/>
    </row>
    <row r="977">
      <c r="A977" s="199"/>
    </row>
    <row r="978">
      <c r="A978" s="199"/>
    </row>
    <row r="979">
      <c r="A979" s="199"/>
    </row>
    <row r="980">
      <c r="A980" s="199"/>
    </row>
    <row r="981">
      <c r="A981" s="199"/>
    </row>
    <row r="982">
      <c r="A982" s="199"/>
    </row>
    <row r="983">
      <c r="A983" s="199"/>
    </row>
    <row r="984">
      <c r="A984" s="199"/>
    </row>
    <row r="985">
      <c r="A985" s="199"/>
    </row>
    <row r="986">
      <c r="A986" s="199"/>
    </row>
    <row r="987">
      <c r="A987" s="199"/>
    </row>
    <row r="988">
      <c r="A988" s="199"/>
    </row>
    <row r="989">
      <c r="A989" s="199"/>
    </row>
    <row r="990">
      <c r="A990" s="199"/>
    </row>
    <row r="991">
      <c r="A991" s="199"/>
    </row>
    <row r="992">
      <c r="A992" s="199"/>
    </row>
    <row r="993">
      <c r="A993" s="199"/>
    </row>
    <row r="994">
      <c r="A994" s="199"/>
    </row>
    <row r="995">
      <c r="A995" s="199"/>
    </row>
    <row r="996">
      <c r="A996" s="199"/>
    </row>
    <row r="997">
      <c r="A997" s="199"/>
    </row>
    <row r="998">
      <c r="A998" s="199"/>
    </row>
    <row r="999">
      <c r="A999" s="199"/>
    </row>
    <row r="1000">
      <c r="A1000" s="19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2" t="s">
        <v>1770</v>
      </c>
      <c r="B1" s="235" t="str">
        <f>VLOOKUP(A1,'Hedef Liste'!A:T,20)</f>
        <v>İleride Randevu Alınacak</v>
      </c>
      <c r="C1" s="251" t="str">
        <f>VLOOKUP(A1,'Hedef Liste'!A:Y,25)</f>
        <v/>
      </c>
    </row>
    <row r="2">
      <c r="A2" s="202" t="s">
        <v>1789</v>
      </c>
      <c r="B2" s="235" t="str">
        <f>VLOOKUP(A2,'Hedef Liste'!A:T,20)</f>
        <v>Franchise</v>
      </c>
      <c r="C2" s="251" t="str">
        <f>VLOOKUP(A2,'Hedef Liste'!A:Y,25)</f>
        <v/>
      </c>
    </row>
    <row r="3">
      <c r="A3" s="202" t="s">
        <v>1453</v>
      </c>
      <c r="B3" s="235" t="str">
        <f>VLOOKUP(A3,'Hedef Liste'!A:T,20)</f>
        <v>İleride Randevu Alınacak</v>
      </c>
      <c r="C3" s="251" t="str">
        <f>VLOOKUP(A3,'Hedef Liste'!A:Y,25)</f>
        <v/>
      </c>
    </row>
    <row r="4">
      <c r="A4" s="202" t="s">
        <v>2189</v>
      </c>
      <c r="B4" s="235" t="str">
        <f>VLOOKUP(A4,'Hedef Liste'!A:T,20)</f>
        <v>#N/A</v>
      </c>
      <c r="C4" s="252" t="str">
        <f>VLOOKUP(A4,'Hedef Liste'!A:Y,25)</f>
        <v>#N/A</v>
      </c>
    </row>
    <row r="5">
      <c r="A5" s="253" t="s">
        <v>1604</v>
      </c>
      <c r="B5" s="235" t="str">
        <f>VLOOKUP(A5,'Hedef Liste'!A:T,20)</f>
        <v/>
      </c>
      <c r="C5" s="251" t="str">
        <f>VLOOKUP(A5,'Hedef Liste'!A:Y,25)</f>
        <v/>
      </c>
    </row>
    <row r="6">
      <c r="A6" s="253" t="s">
        <v>1460</v>
      </c>
      <c r="B6" s="235" t="str">
        <f>VLOOKUP(A6,'Hedef Liste'!A:T,20)</f>
        <v>Randevu Alındı</v>
      </c>
      <c r="C6" s="251">
        <f>VLOOKUP(A6,'Hedef Liste'!A:Y,25)</f>
        <v>44300</v>
      </c>
    </row>
    <row r="7">
      <c r="A7" s="253" t="s">
        <v>2899</v>
      </c>
      <c r="B7" s="235" t="str">
        <f>VLOOKUP(A7,'Hedef Liste'!A:T,20)</f>
        <v>Franchise</v>
      </c>
      <c r="C7" s="251" t="str">
        <f>VLOOKUP(A7,'Hedef Liste'!A:Y,25)</f>
        <v/>
      </c>
    </row>
    <row r="8">
      <c r="A8" s="253" t="s">
        <v>1813</v>
      </c>
      <c r="B8" s="235" t="str">
        <f>VLOOKUP(A8,'Hedef Liste'!A:T,20)</f>
        <v>Franchise</v>
      </c>
      <c r="C8" s="251" t="str">
        <f>VLOOKUP(A8,'Hedef Liste'!A:Y,25)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</cols>
  <sheetData>
    <row r="1"/>
    <row r="2"/>
    <row r="3"/>
    <row r="4">
      <c r="G4" s="255" t="s">
        <v>2902</v>
      </c>
      <c r="H4" s="255" t="s">
        <v>2903</v>
      </c>
      <c r="I4" s="255" t="s">
        <v>2904</v>
      </c>
      <c r="J4" s="256" t="s">
        <v>2905</v>
      </c>
      <c r="K4" s="257">
        <f>COUNTIFS(import!$C:$C,"true",import!$P:$P,"Geleneksel")</f>
        <v>0</v>
      </c>
      <c r="O4" s="258" t="s">
        <v>2904</v>
      </c>
      <c r="P4" s="259" t="s">
        <v>2906</v>
      </c>
      <c r="Q4" s="259" t="s">
        <v>2907</v>
      </c>
    </row>
    <row r="5">
      <c r="B5" s="260" t="s">
        <v>1251</v>
      </c>
      <c r="C5" s="261">
        <f>COUNTIFS('Hedef Liste'!T:T,B5,'Hedef Liste'!C:C,"doğru",'Hedef Liste'!P:P,"Geleneksel",'Hedef Liste'!J:J,"=0%")</f>
        <v>4</v>
      </c>
      <c r="D5" s="200" t="s">
        <v>2908</v>
      </c>
      <c r="E5" s="235">
        <f>COUNTIFS(import!C:C,"doğru",import!P:P,"Geleneksel")</f>
        <v>307</v>
      </c>
      <c r="G5" s="262"/>
      <c r="J5" s="256" t="s">
        <v>2909</v>
      </c>
      <c r="K5" s="263">
        <f>COUNTIFS(import!$C:$C,"true",import!$P:$P,"Geleneksel",import!$J:$J,"&gt;0%")</f>
        <v>0</v>
      </c>
      <c r="M5" s="264" t="str">
        <f>$K$5/$K$4</f>
        <v>#DIV/0!</v>
      </c>
      <c r="O5" s="265"/>
      <c r="P5" s="265"/>
      <c r="Q5" s="266"/>
    </row>
    <row r="6">
      <c r="B6" s="260" t="s">
        <v>2198</v>
      </c>
      <c r="C6" s="261">
        <f>COUNTIFS('Hedef Liste'!T:T,B6,'Hedef Liste'!C:C,"doğru",'Hedef Liste'!P:P,"Geleneksel",'Hedef Liste'!J:J,"=0%")</f>
        <v>1</v>
      </c>
      <c r="D6" s="200" t="s">
        <v>2910</v>
      </c>
      <c r="E6" s="235">
        <f>COUNTIFS(import!C:C,"doğru",import!P:P,"Geleneksel",import!J:J,"&gt;0%")</f>
        <v>143</v>
      </c>
      <c r="G6" s="262"/>
      <c r="J6" s="105"/>
      <c r="K6" s="267"/>
      <c r="L6" s="105"/>
      <c r="M6" s="268"/>
      <c r="N6" s="269"/>
      <c r="O6" s="265"/>
      <c r="P6" s="265"/>
      <c r="Q6" s="266"/>
    </row>
    <row r="7">
      <c r="B7" s="260" t="s">
        <v>1275</v>
      </c>
      <c r="C7" s="261">
        <f>COUNTIFS('Hedef Liste'!T:T,B7,'Hedef Liste'!C:C,"doğru",'Hedef Liste'!P:P,"Geleneksel",'Hedef Liste'!J:J,"=0%")</f>
        <v>16</v>
      </c>
      <c r="D7" s="200" t="s">
        <v>2911</v>
      </c>
      <c r="E7" s="270">
        <f>E6/E5</f>
        <v>0.4657980456</v>
      </c>
      <c r="G7" s="262"/>
      <c r="J7" s="256" t="s">
        <v>2912</v>
      </c>
      <c r="K7" s="271" t="s">
        <v>2913</v>
      </c>
      <c r="M7" s="272" t="s">
        <v>2914</v>
      </c>
      <c r="O7" s="265"/>
      <c r="P7" s="265"/>
      <c r="Q7" s="266"/>
      <c r="S7" s="273" t="s">
        <v>2915</v>
      </c>
    </row>
    <row r="8">
      <c r="B8" s="260" t="s">
        <v>2877</v>
      </c>
      <c r="C8" s="261">
        <f>COUNTIFS('Hedef Liste'!T:T,B8,'Hedef Liste'!C:C,"doğru",'Hedef Liste'!P:P,"Geleneksel",'Hedef Liste'!J:J,"=0%")</f>
        <v>0</v>
      </c>
      <c r="D8" s="105"/>
      <c r="G8" s="274"/>
      <c r="J8" s="275" t="s">
        <v>2909</v>
      </c>
      <c r="K8" s="276">
        <f>COUNTIFS(import!$C:$C,"true",import!$J:$J,"&gt;0%",import!$P:$P,"Geleneksel",import!$I:$I,"&lt;=25")</f>
        <v>0</v>
      </c>
      <c r="L8" s="264" t="str">
        <f>K8/K5</f>
        <v>#DIV/0!</v>
      </c>
      <c r="M8" s="276">
        <f>COUNTIFS(import!C:C,"true",import!J:J,"&gt;0%",import!P:P,"Geleneksel",import!I:I,"&gt;25")</f>
        <v>0</v>
      </c>
      <c r="N8" s="264" t="str">
        <f>M8/K5</f>
        <v>#DIV/0!</v>
      </c>
      <c r="O8" s="265"/>
      <c r="P8" s="265"/>
      <c r="Q8" s="266"/>
      <c r="S8" s="277" t="str">
        <f>O13/N13</f>
        <v>#DIV/0!</v>
      </c>
    </row>
    <row r="9">
      <c r="B9" s="260" t="s">
        <v>1253</v>
      </c>
      <c r="C9" s="261">
        <f>COUNTIFS('Hedef Liste'!T:T,B9,'Hedef Liste'!C:C,"doğru",'Hedef Liste'!P:P,"Geleneksel",'Hedef Liste'!J:J,"=0%")</f>
        <v>1</v>
      </c>
      <c r="D9" s="105"/>
      <c r="G9" s="262"/>
      <c r="J9" s="275" t="s">
        <v>2916</v>
      </c>
      <c r="K9" s="278">
        <f>COUNTIFS(import!C:C,"true",import!J:J,"&gt;0%",import!J:J,"&lt;=20%",import!P:P,"Geleneksel",import!I:I,"&lt;=25")</f>
        <v>0</v>
      </c>
      <c r="L9" s="279" t="str">
        <f>K9/K8</f>
        <v>#DIV/0!</v>
      </c>
      <c r="M9" s="278">
        <f>COUNTIFS(import!C:C,"true",import!J:J,"&gt;0%",import!J:J,"&lt;=20%",import!P:P,"Geleneksel",import!I:I,"&gt;25")</f>
        <v>0</v>
      </c>
      <c r="N9" s="279" t="str">
        <f>M9/M8</f>
        <v>#DIV/0!</v>
      </c>
      <c r="O9" s="265"/>
      <c r="P9" s="265"/>
      <c r="Q9" s="266"/>
    </row>
    <row r="10">
      <c r="B10" s="260" t="s">
        <v>1373</v>
      </c>
      <c r="C10" s="261">
        <f>COUNTIFS('Hedef Liste'!T:T,B10,'Hedef Liste'!C:C,"doğru",'Hedef Liste'!P:P,"Geleneksel",'Hedef Liste'!J:J,"=0%")</f>
        <v>6</v>
      </c>
      <c r="D10" s="105"/>
      <c r="G10" s="262"/>
      <c r="J10" s="275" t="s">
        <v>2917</v>
      </c>
      <c r="K10" s="276">
        <f>COUNTIFS(import!C:C,"true",import!J:J,"&gt;20%",import!J:J,"&lt;=50%",import!P:P,"Geleneksel",import!I:I,"&lt;=25")</f>
        <v>0</v>
      </c>
      <c r="L10" s="280" t="str">
        <f>K10/K8</f>
        <v>#DIV/0!</v>
      </c>
      <c r="M10" s="276">
        <f>COUNTIFS(import!C:C,"true",import!J:J,"&gt;20%",import!J:J,"&lt;=50%",import!P:P,"Geleneksel",import!I:I,"&gt;25")</f>
        <v>0</v>
      </c>
      <c r="N10" s="280" t="str">
        <f>M10/M8</f>
        <v>#DIV/0!</v>
      </c>
      <c r="O10" s="265"/>
      <c r="P10" s="265"/>
      <c r="Q10" s="266"/>
    </row>
    <row r="11">
      <c r="B11" s="260" t="s">
        <v>1289</v>
      </c>
      <c r="C11" s="261">
        <f>COUNTIFS('Hedef Liste'!T:T,B11,'Hedef Liste'!C:C,"doğru",'Hedef Liste'!P:P,"Geleneksel",'Hedef Liste'!J:J,"=0%")</f>
        <v>16</v>
      </c>
      <c r="D11" s="105"/>
      <c r="G11" s="262"/>
      <c r="J11" s="275" t="s">
        <v>2918</v>
      </c>
      <c r="K11" s="278">
        <f>COUNTIFS(import!C:C,"true",import!J:J,"&gt;50%",import!J:J,"&lt;=80%",import!P:P,"Geleneksel",import!I:I,"&lt;=25")</f>
        <v>0</v>
      </c>
      <c r="L11" s="279" t="str">
        <f>K11/K8</f>
        <v>#DIV/0!</v>
      </c>
      <c r="M11" s="278">
        <f>COUNTIFS(import!C:C,"true",import!J:J,"&gt;50%",import!J:J,"&lt;=80%",import!P:P,"Geleneksel",import!I:I,"&gt;25")</f>
        <v>0</v>
      </c>
      <c r="N11" s="279" t="str">
        <f>M11/M8</f>
        <v>#DIV/0!</v>
      </c>
      <c r="O11" s="265"/>
      <c r="P11" s="265"/>
      <c r="Q11" s="266"/>
    </row>
    <row r="12">
      <c r="B12" s="260" t="s">
        <v>2880</v>
      </c>
      <c r="C12" s="261">
        <f>COUNTIFS('Hedef Liste'!T:T,B12,'Hedef Liste'!C:C,"doğru",'Hedef Liste'!P:P,"Geleneksel",'Hedef Liste'!J:J,"=0%")</f>
        <v>0</v>
      </c>
      <c r="D12" s="105"/>
      <c r="G12" s="262"/>
      <c r="J12" s="275" t="s">
        <v>2919</v>
      </c>
      <c r="K12" s="276">
        <f>COUNTIFS(import!C:C,"true",import!J:J,"&gt;80%",import!P:P,"Geleneksel",import!I:I,"&lt;=25")</f>
        <v>0</v>
      </c>
      <c r="L12" s="280" t="str">
        <f>K12/K8</f>
        <v>#DIV/0!</v>
      </c>
      <c r="M12" s="276">
        <f>COUNTIFS(import!C:C,"true",import!J:J,"&gt;80%",import!P:P,"Geleneksel",import!I:I,"&gt;25")</f>
        <v>0</v>
      </c>
      <c r="N12" s="280" t="str">
        <f>M12/M8</f>
        <v>#DIV/0!</v>
      </c>
      <c r="O12" s="265"/>
      <c r="P12" s="265"/>
      <c r="Q12" s="266"/>
    </row>
    <row r="13">
      <c r="B13" s="260" t="s">
        <v>2882</v>
      </c>
      <c r="C13" s="261">
        <f>COUNTIFS('Hedef Liste'!T:T,B13,'Hedef Liste'!C:C,"doğru",'Hedef Liste'!P:P,"Geleneksel",'Hedef Liste'!J:J,"=0%")</f>
        <v>0</v>
      </c>
      <c r="D13" s="105"/>
      <c r="G13" s="262"/>
      <c r="K13" s="281"/>
      <c r="M13" s="273"/>
      <c r="N13" s="282"/>
      <c r="O13" s="282"/>
      <c r="P13" s="282"/>
      <c r="Q13" s="283"/>
    </row>
    <row r="14">
      <c r="B14" s="260" t="s">
        <v>2247</v>
      </c>
      <c r="C14" s="261">
        <f>COUNTIFS('Hedef Liste'!T:T,B14,'Hedef Liste'!C:C,"doğru",'Hedef Liste'!P:P,"Geleneksel",'Hedef Liste'!J:J,"=0%")</f>
        <v>0</v>
      </c>
      <c r="D14" s="105"/>
      <c r="G14" s="262"/>
    </row>
    <row r="15">
      <c r="B15" s="260" t="s">
        <v>1230</v>
      </c>
      <c r="C15" s="261">
        <f>COUNTIFS('Hedef Liste'!T:T,B15,'Hedef Liste'!C:C,"doğru",'Hedef Liste'!P:P,"Geleneksel",'Hedef Liste'!J:J,"=0%")</f>
        <v>0</v>
      </c>
      <c r="D15" s="105"/>
      <c r="G15" s="262"/>
    </row>
    <row r="16">
      <c r="B16" s="260" t="s">
        <v>1165</v>
      </c>
      <c r="C16" s="261">
        <f>COUNTIFS('Hedef Liste'!T:T,B16,'Hedef Liste'!C:C,"doğru",'Hedef Liste'!P:P,"Geleneksel",'Hedef Liste'!J:J,"=0%")</f>
        <v>4</v>
      </c>
      <c r="D16" s="105"/>
    </row>
    <row r="17">
      <c r="B17" s="260" t="s">
        <v>1436</v>
      </c>
      <c r="C17" s="261">
        <f>COUNTIFS('Hedef Liste'!T:T,B17,'Hedef Liste'!C:C,"doğru",'Hedef Liste'!P:P,"Geleneksel",'Hedef Liste'!J:J,"=0%")</f>
        <v>4</v>
      </c>
      <c r="D17" s="105"/>
    </row>
    <row r="18">
      <c r="B18" s="260" t="s">
        <v>1852</v>
      </c>
      <c r="C18" s="261">
        <f>COUNTIFS('Hedef Liste'!T:T,B18,'Hedef Liste'!C:C,"doğru",'Hedef Liste'!P:P,"Geleneksel",'Hedef Liste'!J:J,"=0%")</f>
        <v>2</v>
      </c>
      <c r="D18" s="105"/>
    </row>
    <row r="19">
      <c r="B19" s="260" t="s">
        <v>1209</v>
      </c>
      <c r="C19" s="261">
        <f>COUNTIFS('Hedef Liste'!T:T,B19,'Hedef Liste'!C:C,"doğru",'Hedef Liste'!P:P,"Geleneksel",'Hedef Liste'!J:J,"=0%")</f>
        <v>6</v>
      </c>
      <c r="D19" s="105"/>
    </row>
    <row r="20">
      <c r="B20" s="260" t="s">
        <v>1159</v>
      </c>
      <c r="C20" s="261">
        <f>COUNTIFS('Hedef Liste'!T:T,B20,'Hedef Liste'!C:C,"doğru",'Hedef Liste'!P:P,"Geleneksel",'Hedef Liste'!J:J,"=0%")</f>
        <v>2</v>
      </c>
      <c r="D20" s="105"/>
    </row>
    <row r="21">
      <c r="B21" s="260" t="s">
        <v>1202</v>
      </c>
      <c r="C21" s="261">
        <f>COUNTIFS('Hedef Liste'!T:T,B21,'Hedef Liste'!C:C,"doğru",'Hedef Liste'!P:P,"Geleneksel",'Hedef Liste'!J:J,"=0%")</f>
        <v>4</v>
      </c>
      <c r="D21" s="105"/>
    </row>
    <row r="22">
      <c r="B22" s="260" t="s">
        <v>2921</v>
      </c>
      <c r="C22" s="261">
        <f>COUNTIFS('Hedef Liste'!T:T,B22,'Hedef Liste'!C:C,"doğru",'Hedef Liste'!P:P,"Geleneksel",'Hedef Liste'!J:J,"=0%")</f>
        <v>0</v>
      </c>
      <c r="D22" s="105"/>
    </row>
    <row r="23">
      <c r="B23" s="260" t="s">
        <v>2922</v>
      </c>
      <c r="C23" s="261">
        <f>COUNTIFS('Hedef Liste'!S:S,"True",'Hedef Liste'!C:C,"doğru",'Hedef Liste'!P:P,"Geleneksel",'Hedef Liste'!J:J,"=0%",'Hedef Liste'!T:T,"")</f>
        <v>22</v>
      </c>
      <c r="D23" s="105"/>
    </row>
    <row r="24">
      <c r="B24" s="284" t="s">
        <v>2923</v>
      </c>
      <c r="C24" s="261">
        <f>SUM(C5:C23)</f>
        <v>88</v>
      </c>
      <c r="D24" s="261">
        <f>COUNTIFS('Hedef Liste'!C:C,"true",'Hedef Liste'!P:P,"Geleneksel")</f>
        <v>0</v>
      </c>
    </row>
    <row r="25">
      <c r="B25" s="105"/>
      <c r="C25" s="105"/>
      <c r="D25" s="105"/>
    </row>
    <row r="26">
      <c r="B26" s="105"/>
      <c r="C26" s="105"/>
      <c r="D26" s="105"/>
    </row>
    <row r="27">
      <c r="B27" s="285" t="s">
        <v>2924</v>
      </c>
      <c r="C27" s="105"/>
      <c r="D27" s="105"/>
    </row>
    <row r="28">
      <c r="B28" s="286" t="str">
        <f>C16/COUNTIFS('Hedef Liste'!R:R,"true",'Hedef Liste'!C:C,"true")</f>
        <v>#DIV/0!</v>
      </c>
      <c r="C28" s="105"/>
      <c r="D28" s="105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</sheetData>
  <mergeCells count="5">
    <mergeCell ref="K4:N4"/>
    <mergeCell ref="K5:L5"/>
    <mergeCell ref="M5:N5"/>
    <mergeCell ref="K7:L7"/>
    <mergeCell ref="M7:N7"/>
  </mergeCells>
  <drawing r:id="rId3"/>
</worksheet>
</file>